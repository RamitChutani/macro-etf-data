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definedNames>
    <definedName function="false" hidden="true" localSheetId="0" name="_xlnm._FilterDatabase" vbProcedure="false">Sheet2!$A$4:$U$37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<sst xmlns="http://schemas.openxmlformats.org/spreadsheetml/2006/main" count="131" uniqueCount="117">
  <si>
    <t xml:space="preserve">Country Disconnect Dashboard (As of Feb 27, 2026)</t>
  </si>
  <si>
    <t xml:space="preserve">Horizon = 10 Yr</t>
  </si>
  <si>
    <t xml:space="preserve">Sorting Columns</t>
  </si>
  <si>
    <t xml:space="preserve">Country</t>
  </si>
  <si>
    <t xml:space="preserve">nGDP (USD) CAGR (%)</t>
  </si>
  <si>
    <t xml:space="preserve">MSCI Index Retrun (USD) CAGR (%)</t>
  </si>
  <si>
    <t xml:space="preserve">Undervalued Country (Macro Gap)</t>
  </si>
  <si>
    <t xml:space="preserve">Projected Growth (2026-28) CAGR</t>
  </si>
  <si>
    <t xml:space="preserve">REER Index</t>
  </si>
  <si>
    <t xml:space="preserve">Implied currency effect from REER</t>
  </si>
  <si>
    <t xml:space="preserve">Forward rate for USD/LCU 1 year out (% change)</t>
  </si>
  <si>
    <t xml:space="preserve">Avg Currency signals</t>
  </si>
  <si>
    <t xml:space="preserve">Currency Forecast</t>
  </si>
  <si>
    <t xml:space="preserve">Impact of $10 Oil Price rise relative to GDP (%)</t>
  </si>
  <si>
    <t xml:space="preserve">Oil Sensitivity</t>
  </si>
  <si>
    <t xml:space="preserve">nGDP 2025 ($ billion)</t>
  </si>
  <si>
    <t xml:space="preserve">USD/LCU spot rate as of Mar 19, 2026</t>
  </si>
  <si>
    <t xml:space="preserve">Futures rate for USD/LCU (1 years out from Mar 19, 2026)</t>
  </si>
  <si>
    <t xml:space="preserve">Index Market Cap ($ billion)</t>
  </si>
  <si>
    <t xml:space="preserve">Top 10 Float Adj Mkt Cap ($ billion)</t>
  </si>
  <si>
    <t xml:space="preserve">P/E</t>
  </si>
  <si>
    <t xml:space="preserve">MSCI Factsheet Link</t>
  </si>
  <si>
    <t xml:space="preserve">Indonesia</t>
  </si>
  <si>
    <t xml:space="preserve">https://www.msci.com/documents/10199/255599/msci-indonesia-index.pdf</t>
  </si>
  <si>
    <t xml:space="preserve">Pakistan</t>
  </si>
  <si>
    <t xml:space="preserve">N/A</t>
  </si>
  <si>
    <t xml:space="preserve">NA</t>
  </si>
  <si>
    <t xml:space="preserve">https://www.msci.com/documents/10199/255599/msci-pakistan-index-usd-net.pdf</t>
  </si>
  <si>
    <t xml:space="preserve">Philippines</t>
  </si>
  <si>
    <t xml:space="preserve">https://www.msci.com/documents/10199/255599/msci-philippines-index.pdf</t>
  </si>
  <si>
    <t xml:space="preserve">Turkey</t>
  </si>
  <si>
    <t xml:space="preserve">https://www.msci.com/documents/10199/255599/msci-turkey-index-gross-usd.pdf</t>
  </si>
  <si>
    <t xml:space="preserve">Malaysia</t>
  </si>
  <si>
    <t xml:space="preserve">https://www.msci.com/documents/10199/255599/msci-malaysia-index.pdf</t>
  </si>
  <si>
    <t xml:space="preserve">Belgium</t>
  </si>
  <si>
    <t xml:space="preserve">https://www.msci.com/documents/10199/255599/msci-belgium-index-usd-net.pdf</t>
  </si>
  <si>
    <t xml:space="preserve">Vietnam</t>
  </si>
  <si>
    <t xml:space="preserve">https://www.msci.com/documents/10199/255599/msci-vietnam-index.pdf</t>
  </si>
  <si>
    <t xml:space="preserve">China</t>
  </si>
  <si>
    <t xml:space="preserve">https://www.msci.com/documents/10199/255599/msci-china-index.pdf</t>
  </si>
  <si>
    <t xml:space="preserve">Poland</t>
  </si>
  <si>
    <t xml:space="preserve">https://www.msci.com/documents/10199/255599/msci-poland-index-usd-gross.pdf</t>
  </si>
  <si>
    <t xml:space="preserve">Thailand</t>
  </si>
  <si>
    <t xml:space="preserve">https://www.msci.com/documents/10199/255599/msci-thailand-index.pdf</t>
  </si>
  <si>
    <t xml:space="preserve">Singapore</t>
  </si>
  <si>
    <t xml:space="preserve">https://www.msci.com/documents/10199/255599/msci-singapore-index.pdf</t>
  </si>
  <si>
    <t xml:space="preserve">Hong Kong</t>
  </si>
  <si>
    <t xml:space="preserve">https://www.msci.com/documents/10199/255599/msci-hong-kong-index.pdf</t>
  </si>
  <si>
    <t xml:space="preserve">Mexico</t>
  </si>
  <si>
    <t xml:space="preserve">https://www.msci.com/documents/10199/255599/msci-mexico-index-usd-net.pdf</t>
  </si>
  <si>
    <t xml:space="preserve">India</t>
  </si>
  <si>
    <t xml:space="preserve">https://www.msci.com/documents/10199/255599/msci-india-index-gross-usd.pdf</t>
  </si>
  <si>
    <t xml:space="preserve">Saudi Arabia</t>
  </si>
  <si>
    <t xml:space="preserve">https://www.msci.com/documents/10199/255599/msci-saudi-arabia-index-usd-gross.pdf</t>
  </si>
  <si>
    <t xml:space="preserve">Germany</t>
  </si>
  <si>
    <t xml:space="preserve">https://www.msci.com/documents/10199/255599/msci-germany-index.pdf</t>
  </si>
  <si>
    <t xml:space="preserve">United Kingdom</t>
  </si>
  <si>
    <t xml:space="preserve">https://www.msci.com/documents/10199/255599/msci-unitedkingdom-index.pdf</t>
  </si>
  <si>
    <t xml:space="preserve">Australia</t>
  </si>
  <si>
    <t xml:space="preserve">https://www.msci.com/documents/10199/255599/msci-australia-index.pdf</t>
  </si>
  <si>
    <t xml:space="preserve">France</t>
  </si>
  <si>
    <t xml:space="preserve">https://www.msci.com/documents/10199/255599/msci-france-index.pdf</t>
  </si>
  <si>
    <t xml:space="preserve">Switzerland</t>
  </si>
  <si>
    <t xml:space="preserve">https://www.msci.com/documents/10199/255599/msci-switzerland-index.pdf</t>
  </si>
  <si>
    <t xml:space="preserve">Sweden</t>
  </si>
  <si>
    <t xml:space="preserve">https://www.msci.com/documents/10199/255599/msci-sweden-index.pdf</t>
  </si>
  <si>
    <t xml:space="preserve">Spain</t>
  </si>
  <si>
    <t xml:space="preserve">https://www.msci.com/documents/10199/255599/msci-spain-index.pdf</t>
  </si>
  <si>
    <t xml:space="preserve">Netherlands</t>
  </si>
  <si>
    <t xml:space="preserve">https://www.msci.com/documents/10199/255599/msci-netherlands-index-usd-gross.pdf</t>
  </si>
  <si>
    <t xml:space="preserve">Canada</t>
  </si>
  <si>
    <t xml:space="preserve">https://www.msci.com/documents/10199/255599/msci-canada-index-gross-usd.pdf</t>
  </si>
  <si>
    <t xml:space="preserve">Greece</t>
  </si>
  <si>
    <t xml:space="preserve">https://www.msci.com/documents/10199/255599/msci-greece-index-usd-net.pdf</t>
  </si>
  <si>
    <t xml:space="preserve">United States</t>
  </si>
  <si>
    <t xml:space="preserve">https://www.msci.com/documents/10199/255599/msci-usa-index-gross.pdf</t>
  </si>
  <si>
    <t xml:space="preserve">South Africa</t>
  </si>
  <si>
    <t xml:space="preserve">https://www.msci.com/documents/10199/255599/msci-south-africa-usd-gross.pdf</t>
  </si>
  <si>
    <t xml:space="preserve">Brazil</t>
  </si>
  <si>
    <t xml:space="preserve">https://www.msci.com/documents/10199/255599/msci-brazil-index.pdf</t>
  </si>
  <si>
    <t xml:space="preserve">Japan</t>
  </si>
  <si>
    <t xml:space="preserve">https://www.msci.com/documents/10199/255599/msci-japan-index.pdf</t>
  </si>
  <si>
    <t xml:space="preserve">Italy</t>
  </si>
  <si>
    <t xml:space="preserve">https://www.msci.com/documents/10199/255599/msci-italy-index.pdf</t>
  </si>
  <si>
    <t xml:space="preserve">Austria</t>
  </si>
  <si>
    <t xml:space="preserve">https://www.msci.com/documents/10199/255599/msci-austria-index-usd-gross.pdf</t>
  </si>
  <si>
    <t xml:space="preserve">South Korea</t>
  </si>
  <si>
    <t xml:space="preserve">https://www.msci.com/documents/10199/255599/msci-korea-index.pdf</t>
  </si>
  <si>
    <t xml:space="preserve">Taiwan</t>
  </si>
  <si>
    <t xml:space="preserve">https://www.msci.com/documents/10199/255599/msci-taiwan-index.pdf</t>
  </si>
  <si>
    <t xml:space="preserve">Column Name</t>
  </si>
  <si>
    <t xml:space="preserve">Data Source</t>
  </si>
  <si>
    <t xml:space="preserve">Data as of</t>
  </si>
  <si>
    <t xml:space="preserve">Source Link</t>
  </si>
  <si>
    <t xml:space="preserve">ETF Ticker</t>
  </si>
  <si>
    <t xml:space="preserve">Yahoo Finance</t>
  </si>
  <si>
    <t xml:space="preserve">Feb 27, 2026</t>
  </si>
  <si>
    <t xml:space="preserve">WEO Database, IMF</t>
  </si>
  <si>
    <t xml:space="preserve">Oct, 2026</t>
  </si>
  <si>
    <t xml:space="preserve">https://data.imf.org/en/Data-Explorer </t>
  </si>
  <si>
    <t xml:space="preserve">MSCI Index Returns (CAGR)</t>
  </si>
  <si>
    <t xml:space="preserve">MSCI Factsheets</t>
  </si>
  <si>
    <t xml:space="preserve">Macro Gap %</t>
  </si>
  <si>
    <t xml:space="preserve">Proj. 3Y (26-28)</t>
  </si>
  <si>
    <t xml:space="preserve">WITS, World Bank</t>
  </si>
  <si>
    <t xml:space="preserve">https://wits.worldbank.org/trade/comtrade/en/country/ALL/year/2024/tradeflow/Imports/partner/WLD/product/270900 </t>
  </si>
  <si>
    <t xml:space="preserve">https://data.un.org/Data.aspx?d=EDATA&amp;f=cmID%3ACR </t>
  </si>
  <si>
    <t xml:space="preserve">Bank of International Settlements</t>
  </si>
  <si>
    <t xml:space="preserve">Jan 1, 2026</t>
  </si>
  <si>
    <t xml:space="preserve">https://data.bis.org/topics/EER/data?data_view=table&amp;rows=REF_AREA&amp;cols=TIME_PERIOD&amp;settings=asc%7Cdesc%7Cname&amp;filter=FREQ%3DM%255EEER_BASKET%3DB%255EEER_TYPE%3DR%255EYEAR%3D2026 </t>
  </si>
  <si>
    <t xml:space="preserve">REER vs 10Y</t>
  </si>
  <si>
    <t xml:space="preserve">https://data.bis.org/topics/EER/data?data_view=table&amp;rows=REF_AREA&amp;cols=TIME_PERIOD&amp;settings=asc%7Cdesc%7Cname&amp;filter=FREQ%3DM%255EEER_BASKET%3DB%255EEER_TYPE%3DR%255ETIMESPAN%3D2016-03-19_2026-03-19 </t>
  </si>
  <si>
    <t xml:space="preserve">1Y Forward rate USD/LCU (%) </t>
  </si>
  <si>
    <t xml:space="preserve">FXEmpire</t>
  </si>
  <si>
    <t xml:space="preserve">Mar 19, 2026</t>
  </si>
  <si>
    <t xml:space="preserve">https://www.fxempire.com/currencies/usd-inr/forward-rates </t>
  </si>
  <si>
    <t xml:space="preserve">Forward rates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</si>
</sst>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.0%"/>
    <numFmt numFmtId="167" formatCode="#,##0.0"/>
    <numFmt numFmtId="168" formatCode="0.0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1"/>
      <name val="Arial"/>
      <family val="2"/>
      <charset val="1"/>
    </font>
    <font>
      <sz val="11"/>
      <name val="Arial"/>
      <family val="2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i val="true"/>
      <sz val="11"/>
      <name val="Arial"/>
      <family val="2"/>
      <charset val="1"/>
    </font>
    <font>
      <i val="true"/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7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7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8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A9D08E"/>
        </patternFill>
      </fill>
    </dxf>
    <dxf>
      <fill>
        <patternFill>
          <bgColor rgb="FFC6E0B4"/>
        </patternFill>
      </fill>
    </dxf>
    <dxf>
      <fill>
        <patternFill>
          <bgColor rgb="FFE2F0D9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  <dxf>
      <font>
        <name val="Calibri"/>
        <charset val="1"/>
        <family val="2"/>
        <color rgb="FF000000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ata.imf.org/en/Data-Explorer" TargetMode="External"/><Relationship Id="rId2" Type="http://schemas.openxmlformats.org/officeDocument/2006/relationships/hyperlink" Target="https://data.imf.org/en/Data-Explorer" TargetMode="External"/><Relationship Id="rId3" Type="http://schemas.openxmlformats.org/officeDocument/2006/relationships/hyperlink" Target="https://wits.worldbank.org/trade/comtrade/en/country/ALL/year/2024/tradeflow/Imports/partner/WLD/product/270900" TargetMode="External"/><Relationship Id="rId4" Type="http://schemas.openxmlformats.org/officeDocument/2006/relationships/hyperlink" Target="https://data.un.org/Data.aspx?d=EDATA&amp;f=cmID%3ACR" TargetMode="External"/><Relationship Id="rId5" Type="http://schemas.openxmlformats.org/officeDocument/2006/relationships/hyperlink" Target="https://data.bis.org/topics/EER/data?data_view=table&amp;rows=REF_AREA&amp;cols=TIME_PERIOD&amp;settings=asc%7Cdesc%7Cname&amp;filter=FREQ%3DM%255EEER_BASKET%3DB%255EEER_TYPE%3DR%255EYEAR%3D2026" TargetMode="External"/><Relationship Id="rId6" Type="http://schemas.openxmlformats.org/officeDocument/2006/relationships/hyperlink" Target="https://data.bis.org/topics/EER/data?data_view=table&amp;rows=REF_AREA&amp;cols=TIME_PERIOD&amp;settings=asc%7Cdesc%7Cname&amp;filter=FREQ%3DM%255EEER_BASKET%3DB%255EEER_TYPE%3DR%255ETIMESPAN%3D2016-03-19_2026-03-19" TargetMode="External"/><Relationship Id="rId7" Type="http://schemas.openxmlformats.org/officeDocument/2006/relationships/hyperlink" Target="https://www.fxempire.com/currencies/usd-inr/forward-rates" TargetMode="External"/><Relationship Id="rId8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58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25" activeCellId="0" sqref="A25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1" width="15.99"/>
    <col collapsed="false" customWidth="true" hidden="true" outlineLevel="0" max="2" min="2" style="1" width="15.3"/>
    <col collapsed="false" customWidth="true" hidden="true" outlineLevel="0" max="3" min="3" style="1" width="27.54"/>
    <col collapsed="false" customWidth="true" hidden="false" outlineLevel="0" max="4" min="4" style="1" width="23.1"/>
    <col collapsed="false" customWidth="true" hidden="false" outlineLevel="0" max="5" min="5" style="1" width="20.29"/>
    <col collapsed="false" customWidth="true" hidden="false" outlineLevel="0" max="6" min="6" style="1" width="11.53"/>
    <col collapsed="false" customWidth="true" hidden="false" outlineLevel="0" max="7" min="7" style="2" width="28.75"/>
    <col collapsed="false" customWidth="true" hidden="false" outlineLevel="0" max="8" min="8" style="1" width="28.75"/>
    <col collapsed="false" customWidth="true" hidden="false" outlineLevel="0" max="10" min="9" style="1" width="29.56"/>
    <col collapsed="false" customWidth="true" hidden="false" outlineLevel="0" max="11" min="11" style="3" width="29.37"/>
    <col collapsed="false" customWidth="true" hidden="false" outlineLevel="0" max="12" min="12" style="3" width="14.55"/>
    <col collapsed="false" customWidth="false" hidden="false" outlineLevel="0" max="13" min="13" style="4" width="8.68"/>
    <col collapsed="false" customWidth="true" hidden="false" outlineLevel="0" max="14" min="14" style="4" width="17.1"/>
    <col collapsed="false" customWidth="true" hidden="false" outlineLevel="0" max="15" min="15" style="5" width="17.1"/>
    <col collapsed="false" customWidth="true" hidden="false" outlineLevel="0" max="16" min="16" style="6" width="24.43"/>
    <col collapsed="false" customWidth="true" hidden="false" outlineLevel="0" max="17" min="17" style="6" width="31.77"/>
    <col collapsed="false" customWidth="true" hidden="false" outlineLevel="0" max="18" min="18" style="6" width="17.87"/>
    <col collapsed="false" customWidth="true" hidden="false" outlineLevel="0" max="19" min="19" style="6" width="22.65"/>
    <col collapsed="false" customWidth="true" hidden="false" outlineLevel="0" max="20" min="20" style="6" width="6.93"/>
    <col collapsed="false" customWidth="true" hidden="false" outlineLevel="0" max="21" min="21" style="1" width="11.53"/>
    <col collapsed="false" customWidth="true" hidden="false" outlineLevel="0" max="22" min="22" style="1" width="10.01"/>
    <col collapsed="false" customWidth="false" hidden="false" outlineLevel="0" max="16373" min="23" style="1" width="8.68"/>
    <col collapsed="false" customWidth="true" hidden="false" outlineLevel="0" max="16374" min="16374" style="7" width="11.53"/>
    <col collapsed="false" customWidth="true" hidden="false" outlineLevel="0" max="16376" min="16375" style="8" width="11.53"/>
    <col collapsed="false" customWidth="true" hidden="false" outlineLevel="0" max="16384" min="16377" style="9" width="11.53"/>
  </cols>
  <sheetData>
    <row r="1" customFormat="false" ht="13.8" hidden="false" customHeight="false" outlineLevel="0" collapsed="false">
      <c r="A1" s="10" t="s">
        <v>0</v>
      </c>
    </row>
    <row r="2" customFormat="false" ht="13.8" hidden="false" customHeight="false" outlineLevel="0" collapsed="false">
      <c r="A2" s="10" t="s">
        <v>1</v>
      </c>
      <c r="O2" s="11" t="s">
        <v>2</v>
      </c>
      <c r="P2" s="12"/>
      <c r="Q2" s="12"/>
    </row>
    <row r="3" customFormat="false" ht="15" hidden="false" customHeight="true" outlineLevel="0" collapsed="false">
      <c r="O3" s="13"/>
      <c r="P3" s="14"/>
      <c r="Q3" s="14"/>
      <c r="R3" s="15"/>
      <c r="S3" s="15"/>
      <c r="T3" s="15"/>
      <c r="U3" s="16"/>
    </row>
    <row r="4" s="25" customFormat="true" ht="31.05" hidden="false" customHeight="true" outlineLevel="0" collapsed="false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17" t="s">
        <v>8</v>
      </c>
      <c r="G4" s="18" t="s">
        <v>9</v>
      </c>
      <c r="H4" s="17" t="s">
        <v>10</v>
      </c>
      <c r="I4" s="17" t="s">
        <v>11</v>
      </c>
      <c r="J4" s="17" t="s">
        <v>12</v>
      </c>
      <c r="K4" s="19" t="s">
        <v>13</v>
      </c>
      <c r="L4" s="19" t="s">
        <v>14</v>
      </c>
      <c r="M4" s="20"/>
      <c r="N4" s="20"/>
      <c r="O4" s="21" t="s">
        <v>15</v>
      </c>
      <c r="P4" s="22" t="s">
        <v>16</v>
      </c>
      <c r="Q4" s="22" t="s">
        <v>17</v>
      </c>
      <c r="R4" s="23" t="s">
        <v>18</v>
      </c>
      <c r="S4" s="23" t="s">
        <v>19</v>
      </c>
      <c r="T4" s="23" t="s">
        <v>20</v>
      </c>
      <c r="U4" s="24" t="s">
        <v>21</v>
      </c>
      <c r="XET4" s="7"/>
      <c r="XEU4" s="8"/>
      <c r="XEV4" s="8"/>
      <c r="XEW4" s="9"/>
      <c r="XEX4" s="9"/>
      <c r="XEY4" s="9"/>
      <c r="XEZ4" s="9"/>
      <c r="XFA4" s="9"/>
      <c r="XFB4" s="9"/>
      <c r="XFC4" s="9"/>
      <c r="XFD4" s="9"/>
    </row>
    <row r="5" customFormat="false" ht="13.8" hidden="false" customHeight="false" outlineLevel="0" collapsed="false">
      <c r="A5" s="4" t="s">
        <v>22</v>
      </c>
      <c r="B5" s="26" t="n">
        <v>0.0530315601251614</v>
      </c>
      <c r="C5" s="3" t="n">
        <v>-0.0085</v>
      </c>
      <c r="D5" s="3" t="n">
        <v>0.0615315601251614</v>
      </c>
      <c r="E5" s="26" t="n">
        <v>0.0745178423076156</v>
      </c>
      <c r="F5" s="27" t="n">
        <v>92.06</v>
      </c>
      <c r="G5" s="2" t="n">
        <f aca="false">(100-F5)/100</f>
        <v>0.0794</v>
      </c>
      <c r="H5" s="28" t="n">
        <v>-0.0123783431792982</v>
      </c>
      <c r="I5" s="28" t="n">
        <f aca="false">(H5+G5)/2</f>
        <v>0.0335108284103509</v>
      </c>
      <c r="J5" s="28" t="str">
        <f aca="false">IF(I5&gt;0.1,"strong appreciation", IF(I5&gt;=0.05,"mild appreciation", IF(I5&lt;-0.1,"strong depreciation", IF(I5&lt;-0.05,"mild depreciation", "neutral"))))</f>
        <v>neutral</v>
      </c>
      <c r="K5" s="26" t="n">
        <v>0.00091834</v>
      </c>
      <c r="L5" s="26" t="str">
        <f aca="false">IF(K5&lt;0,"",IF(K5&lt;0.002,"low",IF(K5&lt;0.004,"medium","high")))</f>
        <v>low</v>
      </c>
      <c r="M5" s="26"/>
      <c r="N5" s="26"/>
      <c r="O5" s="5" t="n">
        <v>1443.256</v>
      </c>
      <c r="P5" s="6" t="n">
        <v>17045.9</v>
      </c>
      <c r="Q5" s="29" t="n">
        <v>17256.9</v>
      </c>
      <c r="R5" s="30" t="n">
        <v>111.98327</v>
      </c>
      <c r="S5" s="30" t="n">
        <v>92.56</v>
      </c>
      <c r="T5" s="30" t="n">
        <v>16.06</v>
      </c>
      <c r="U5" s="8" t="s">
        <v>23</v>
      </c>
    </row>
    <row r="6" customFormat="false" ht="13.8" hidden="false" customHeight="false" outlineLevel="0" collapsed="false">
      <c r="A6" s="4" t="s">
        <v>24</v>
      </c>
      <c r="B6" s="26" t="n">
        <v>0.0318790546992007</v>
      </c>
      <c r="C6" s="3" t="n">
        <v>-0.0073</v>
      </c>
      <c r="D6" s="3" t="n">
        <v>0.0391790546992007</v>
      </c>
      <c r="E6" s="26" t="e">
        <f aca="false">#VALUE!</f>
        <v>#VALUE!</v>
      </c>
      <c r="F6" s="27" t="e">
        <f aca="false">#N/A</f>
        <v>#N/A</v>
      </c>
      <c r="G6" s="2" t="e">
        <f aca="false">(100-F6)/100</f>
        <v>#N/A</v>
      </c>
      <c r="H6" s="28" t="e">
        <f aca="false">#VALUE!</f>
        <v>#VALUE!</v>
      </c>
      <c r="I6" s="28" t="e">
        <f aca="false">H6+G6</f>
        <v>#N/A</v>
      </c>
      <c r="J6" s="28" t="s">
        <v>25</v>
      </c>
      <c r="K6" s="26" t="n">
        <v>0.0036303</v>
      </c>
      <c r="L6" s="26" t="str">
        <f aca="false">IF(K6&lt;0,"",IF(K6&lt;0.002,"low",IF(K6&lt;0.004,"medium","high")))</f>
        <v>medium</v>
      </c>
      <c r="M6" s="26"/>
      <c r="N6" s="26"/>
      <c r="O6" s="5" t="n">
        <v>410.495</v>
      </c>
      <c r="P6" s="6" t="s">
        <v>26</v>
      </c>
      <c r="Q6" s="29" t="s">
        <v>26</v>
      </c>
      <c r="R6" s="30" t="n">
        <v>10.54133</v>
      </c>
      <c r="S6" s="30" t="n">
        <v>6.49</v>
      </c>
      <c r="T6" s="30" t="n">
        <v>8.08</v>
      </c>
      <c r="U6" s="8" t="s">
        <v>27</v>
      </c>
    </row>
    <row r="7" customFormat="false" ht="13.8" hidden="false" customHeight="false" outlineLevel="0" collapsed="false">
      <c r="A7" s="4" t="s">
        <v>28</v>
      </c>
      <c r="B7" s="26" t="n">
        <v>0.0489413051311505</v>
      </c>
      <c r="C7" s="3" t="n">
        <v>0.0102</v>
      </c>
      <c r="D7" s="3" t="n">
        <v>0.0387413051311505</v>
      </c>
      <c r="E7" s="26" t="n">
        <v>0.0840923886475082</v>
      </c>
      <c r="F7" s="27" t="n">
        <v>97.47</v>
      </c>
      <c r="G7" s="2" t="n">
        <f aca="false">(100-F7)/100</f>
        <v>0.0253</v>
      </c>
      <c r="H7" s="28" t="n">
        <v>-0.0187865131029879</v>
      </c>
      <c r="I7" s="28" t="n">
        <f aca="false">(H7+G7)/2</f>
        <v>0.00325674344850608</v>
      </c>
      <c r="J7" s="28" t="str">
        <f aca="false">IF(I7&gt;0.1,"strong appreciation", IF(I7&gt;=0.05,"mild appreciation", IF(I7&lt;-0.1,"strong depreciation", IF(I7&lt;-0.05,"mild depreciation", "neutral"))))</f>
        <v>neutral</v>
      </c>
      <c r="K7" s="26" t="n">
        <v>0.00105809</v>
      </c>
      <c r="L7" s="26" t="str">
        <f aca="false">IF(K7&lt;0,"",IF(K7&lt;0.002,"low",IF(K7&lt;0.004,"medium","high")))</f>
        <v>low</v>
      </c>
      <c r="M7" s="26"/>
      <c r="N7" s="26"/>
      <c r="O7" s="5" t="n">
        <v>494.158</v>
      </c>
      <c r="P7" s="6" t="n">
        <v>59.91</v>
      </c>
      <c r="Q7" s="29" t="n">
        <v>61.0355</v>
      </c>
      <c r="R7" s="30" t="n">
        <v>42.63947</v>
      </c>
      <c r="S7" s="30" t="n">
        <v>40.8</v>
      </c>
      <c r="T7" s="30" t="n">
        <v>12.19</v>
      </c>
      <c r="U7" s="8" t="s">
        <v>29</v>
      </c>
    </row>
    <row r="8" customFormat="false" ht="13.8" hidden="false" customHeight="false" outlineLevel="0" collapsed="false">
      <c r="A8" s="4" t="s">
        <v>30</v>
      </c>
      <c r="B8" s="26" t="n">
        <v>0.060723826726492</v>
      </c>
      <c r="C8" s="3" t="n">
        <v>0.0312</v>
      </c>
      <c r="D8" s="3" t="n">
        <v>0.029523826726492</v>
      </c>
      <c r="E8" s="26" t="n">
        <v>0.0398997923997735</v>
      </c>
      <c r="F8" s="27" t="n">
        <v>103.63</v>
      </c>
      <c r="G8" s="2" t="n">
        <f aca="false">(100-F8)/100</f>
        <v>-0.0363</v>
      </c>
      <c r="H8" s="28" t="n">
        <v>-0.35922198655174</v>
      </c>
      <c r="I8" s="28" t="n">
        <f aca="false">(H8+G8)/2</f>
        <v>-0.19776099327587</v>
      </c>
      <c r="J8" s="28" t="str">
        <f aca="false">IF(I8&gt;0.1,"strong appreciation", IF(I8&gt;=0.05,"mild appreciation", IF(I8&lt;-0.1,"strong depreciation", IF(I8&lt;-0.05,"mild depreciation", "neutral"))))</f>
        <v>strong depreciation</v>
      </c>
      <c r="K8" s="26" t="n">
        <v>0.00166453</v>
      </c>
      <c r="L8" s="26" t="str">
        <f aca="false">IF(K8&lt;0,"",IF(K8&lt;0.002,"low",IF(K8&lt;0.004,"medium","high")))</f>
        <v>low</v>
      </c>
      <c r="M8" s="26"/>
      <c r="N8" s="26"/>
      <c r="O8" s="5" t="n">
        <v>1565.471</v>
      </c>
      <c r="P8" s="6" t="n">
        <v>44.318</v>
      </c>
      <c r="Q8" s="29" t="n">
        <v>60.238</v>
      </c>
      <c r="R8" s="30" t="n">
        <v>52.34579</v>
      </c>
      <c r="S8" s="30" t="n">
        <v>47.89</v>
      </c>
      <c r="T8" s="30" t="n">
        <v>14.27</v>
      </c>
      <c r="U8" s="8" t="s">
        <v>31</v>
      </c>
    </row>
    <row r="9" customFormat="false" ht="13.8" hidden="false" customHeight="false" outlineLevel="0" collapsed="false">
      <c r="A9" s="4" t="s">
        <v>32</v>
      </c>
      <c r="B9" s="26" t="n">
        <v>0.0455739817222143</v>
      </c>
      <c r="C9" s="3" t="n">
        <v>0.0376</v>
      </c>
      <c r="D9" s="3" t="n">
        <v>0.0079739817222143</v>
      </c>
      <c r="E9" s="26" t="n">
        <v>0.0676102092584714</v>
      </c>
      <c r="F9" s="27" t="n">
        <v>106.47</v>
      </c>
      <c r="G9" s="2" t="n">
        <f aca="false">(100-F9)/100</f>
        <v>-0.0647</v>
      </c>
      <c r="H9" s="28" t="n">
        <v>0</v>
      </c>
      <c r="I9" s="28" t="n">
        <f aca="false">(H9+G9)/2</f>
        <v>-0.03235</v>
      </c>
      <c r="J9" s="28" t="s">
        <v>25</v>
      </c>
      <c r="K9" s="26" t="n">
        <v>0.00448625</v>
      </c>
      <c r="L9" s="26" t="str">
        <f aca="false">IF(K9&lt;0,"",IF(K9&lt;0.002,"low",IF(K9&lt;0.004,"medium","high")))</f>
        <v>high</v>
      </c>
      <c r="M9" s="26"/>
      <c r="N9" s="26"/>
      <c r="O9" s="5" t="n">
        <v>470.572</v>
      </c>
      <c r="P9" s="6" t="s">
        <v>26</v>
      </c>
      <c r="Q9" s="29" t="s">
        <v>26</v>
      </c>
      <c r="R9" s="30" t="n">
        <v>131.86567</v>
      </c>
      <c r="S9" s="30" t="n">
        <v>92.19</v>
      </c>
      <c r="T9" s="30" t="n">
        <v>16.11</v>
      </c>
      <c r="U9" s="8" t="s">
        <v>33</v>
      </c>
    </row>
    <row r="10" customFormat="false" ht="13.8" hidden="false" customHeight="false" outlineLevel="0" collapsed="false">
      <c r="A10" s="4" t="s">
        <v>34</v>
      </c>
      <c r="B10" s="26" t="n">
        <v>0.0451341518586059</v>
      </c>
      <c r="C10" s="3" t="n">
        <v>0.0407</v>
      </c>
      <c r="D10" s="3" t="n">
        <v>0.0044341518586059</v>
      </c>
      <c r="E10" s="26" t="n">
        <v>0.0380681638056453</v>
      </c>
      <c r="F10" s="27" t="n">
        <v>104.96</v>
      </c>
      <c r="G10" s="2" t="n">
        <f aca="false">(100-F10)/100</f>
        <v>-0.0495999999999999</v>
      </c>
      <c r="H10" s="28" t="n">
        <v>0.0142563295856103</v>
      </c>
      <c r="I10" s="28" t="n">
        <f aca="false">(H10+G10)/2</f>
        <v>-0.0176718352071948</v>
      </c>
      <c r="J10" s="28" t="str">
        <f aca="false">IF(I10&gt;0.1,"strong appreciation", IF(I10&gt;=0.05,"mild appreciation", IF(I10&lt;-0.1,"strong depreciation", IF(I10&lt;-0.05,"mild depreciation", "neutral"))))</f>
        <v>neutral</v>
      </c>
      <c r="K10" s="26" t="e">
        <f aca="false">#N/A</f>
        <v>#N/A</v>
      </c>
      <c r="L10" s="26" t="e">
        <f aca="false">IF(K10&lt;0,"",IF(K10&lt;0.002,"low",IF(K10&lt;0.004,"medium","high")))</f>
        <v>#N/A</v>
      </c>
      <c r="M10" s="26"/>
      <c r="N10" s="26"/>
      <c r="O10" s="5" t="n">
        <v>716.98</v>
      </c>
      <c r="P10" s="6" t="n">
        <v>0.872174</v>
      </c>
      <c r="Q10" s="29" t="n">
        <v>0.85974</v>
      </c>
      <c r="R10" s="30" t="n">
        <v>247.08608</v>
      </c>
      <c r="S10" s="30" t="n">
        <v>238.28</v>
      </c>
      <c r="T10" s="30" t="n">
        <v>23.2</v>
      </c>
      <c r="U10" s="8" t="s">
        <v>35</v>
      </c>
    </row>
    <row r="11" customFormat="false" ht="13.8" hidden="false" customHeight="false" outlineLevel="0" collapsed="false">
      <c r="A11" s="4" t="s">
        <v>36</v>
      </c>
      <c r="B11" s="26" t="n">
        <v>0.074267355779162</v>
      </c>
      <c r="C11" s="28" t="n">
        <v>0.0807</v>
      </c>
      <c r="D11" s="3" t="n">
        <v>-0.00643264422083799</v>
      </c>
      <c r="E11" s="26" t="n">
        <v>0.0639114476947322</v>
      </c>
      <c r="F11" s="31" t="e">
        <f aca="false">#N/A</f>
        <v>#N/A</v>
      </c>
      <c r="G11" s="2" t="e">
        <f aca="false">(100-F11)/100</f>
        <v>#N/A</v>
      </c>
      <c r="H11" s="28" t="n">
        <v>-0.0351387305207146</v>
      </c>
      <c r="I11" s="28" t="e">
        <f aca="false">(H11+G11)/2</f>
        <v>#N/A</v>
      </c>
      <c r="J11" s="28" t="s">
        <v>25</v>
      </c>
      <c r="K11" s="26" t="n">
        <v>0.00220276</v>
      </c>
      <c r="L11" s="26" t="str">
        <f aca="false">IF(K11&lt;0,"",IF(K11&lt;0.002,"low",IF(K11&lt;0.004,"medium","high")))</f>
        <v>medium</v>
      </c>
      <c r="M11" s="26"/>
      <c r="N11" s="26"/>
      <c r="O11" s="5" t="n">
        <v>484.726</v>
      </c>
      <c r="P11" s="29" t="n">
        <v>26310</v>
      </c>
      <c r="Q11" s="29" t="n">
        <v>27234.5</v>
      </c>
      <c r="R11" s="30" t="n">
        <v>59.92102</v>
      </c>
      <c r="S11" s="30" t="n">
        <v>37.5</v>
      </c>
      <c r="T11" s="30" t="n">
        <v>22.23</v>
      </c>
      <c r="U11" s="8" t="s">
        <v>37</v>
      </c>
    </row>
    <row r="12" customFormat="false" ht="13.8" hidden="false" customHeight="false" outlineLevel="0" collapsed="false">
      <c r="A12" s="4" t="s">
        <v>38</v>
      </c>
      <c r="B12" s="26" t="n">
        <v>0.0554590323533735</v>
      </c>
      <c r="C12" s="3" t="n">
        <v>0.0729</v>
      </c>
      <c r="D12" s="3" t="n">
        <v>-0.0174409676466265</v>
      </c>
      <c r="E12" s="26" t="n">
        <v>0.0652858358376784</v>
      </c>
      <c r="F12" s="27" t="n">
        <v>89.85</v>
      </c>
      <c r="G12" s="2" t="n">
        <f aca="false">(100-F12)/100</f>
        <v>0.1015</v>
      </c>
      <c r="H12" s="28" t="n">
        <v>0.0224366409557502</v>
      </c>
      <c r="I12" s="28" t="n">
        <f aca="false">(H12+G12)/2</f>
        <v>0.0619683204778751</v>
      </c>
      <c r="J12" s="28" t="str">
        <f aca="false">IF(I12&gt;0.1,"strong appreciation", IF(I12&gt;=0.05,"mild appreciation", IF(I12&lt;-0.1,"strong depreciation", IF(I12&lt;-0.05,"mild depreciation", "neutral"))))</f>
        <v>mild appreciation</v>
      </c>
      <c r="K12" s="26" t="n">
        <v>0.00250584</v>
      </c>
      <c r="L12" s="26" t="str">
        <f aca="false">IF(K12&lt;0,"",IF(K12&lt;0.002,"low",IF(K12&lt;0.004,"medium","high")))</f>
        <v>medium</v>
      </c>
      <c r="M12" s="26"/>
      <c r="N12" s="26"/>
      <c r="O12" s="5" t="n">
        <v>19398.577</v>
      </c>
      <c r="P12" s="6" t="n">
        <v>6.8972</v>
      </c>
      <c r="Q12" s="29" t="n">
        <v>6.74245</v>
      </c>
      <c r="R12" s="30" t="n">
        <v>2787.66186</v>
      </c>
      <c r="S12" s="30" t="n">
        <v>1237.28</v>
      </c>
      <c r="T12" s="30" t="n">
        <v>14.36</v>
      </c>
      <c r="U12" s="8" t="s">
        <v>39</v>
      </c>
    </row>
    <row r="13" customFormat="false" ht="13.8" hidden="false" customHeight="false" outlineLevel="0" collapsed="false">
      <c r="A13" s="4" t="s">
        <v>40</v>
      </c>
      <c r="B13" s="26" t="n">
        <v>0.0804080786481942</v>
      </c>
      <c r="C13" s="3" t="n">
        <v>0.0979</v>
      </c>
      <c r="D13" s="3" t="n">
        <v>-0.0174919213518058</v>
      </c>
      <c r="E13" s="26" t="n">
        <v>0.0615174064270962</v>
      </c>
      <c r="F13" s="27" t="n">
        <v>128.8</v>
      </c>
      <c r="G13" s="2" t="n">
        <f aca="false">(100-F13)/100</f>
        <v>-0.288</v>
      </c>
      <c r="H13" s="28" t="n">
        <v>-0.00397054286442466</v>
      </c>
      <c r="I13" s="28" t="n">
        <f aca="false">(H13+G13)/2</f>
        <v>-0.145985271432212</v>
      </c>
      <c r="J13" s="28" t="str">
        <f aca="false">IF(I13&gt;0.1,"strong appreciation", IF(I13&gt;=0.05,"mild appreciation", IF(I13&lt;-0.1,"strong depreciation", IF(I13&lt;-0.05,"mild depreciation", "neutral"))))</f>
        <v>strong depreciation</v>
      </c>
      <c r="K13" s="26" t="n">
        <v>0.00200188</v>
      </c>
      <c r="L13" s="26" t="str">
        <f aca="false">IF(K13&lt;0,"",IF(K13&lt;0.002,"low",IF(K13&lt;0.004,"medium","high")))</f>
        <v>medium</v>
      </c>
      <c r="M13" s="26"/>
      <c r="N13" s="26"/>
      <c r="O13" s="5" t="n">
        <v>1039.619</v>
      </c>
      <c r="P13" s="6" t="n">
        <v>3.72745</v>
      </c>
      <c r="Q13" s="29" t="n">
        <v>3.74225</v>
      </c>
      <c r="R13" s="30" t="n">
        <v>123.93461</v>
      </c>
      <c r="S13" s="30" t="n">
        <v>106.79</v>
      </c>
      <c r="T13" s="30" t="n">
        <v>14.33</v>
      </c>
      <c r="U13" s="8" t="s">
        <v>41</v>
      </c>
    </row>
    <row r="14" customFormat="false" ht="13.8" hidden="false" customHeight="false" outlineLevel="0" collapsed="false">
      <c r="A14" s="4" t="s">
        <v>42</v>
      </c>
      <c r="B14" s="26" t="n">
        <v>0.0336214452307169</v>
      </c>
      <c r="C14" s="3" t="n">
        <v>0.0662</v>
      </c>
      <c r="D14" s="3" t="n">
        <v>-0.0325785547692831</v>
      </c>
      <c r="E14" s="26" t="n">
        <v>0.0258337029805233</v>
      </c>
      <c r="F14" s="27" t="n">
        <v>100.98</v>
      </c>
      <c r="G14" s="2" t="n">
        <f aca="false">(100-F14)/100</f>
        <v>-0.00980000000000004</v>
      </c>
      <c r="H14" s="28" t="n">
        <v>0.0175358340957608</v>
      </c>
      <c r="I14" s="28" t="n">
        <f aca="false">(H14+G14)/2</f>
        <v>0.00386791704788037</v>
      </c>
      <c r="J14" s="28" t="str">
        <f aca="false">IF(I14&gt;0.1,"strong appreciation", IF(I14&gt;=0.05,"mild appreciation", IF(I14&lt;-0.1,"strong depreciation", IF(I14&lt;-0.05,"mild depreciation", "neutral"))))</f>
        <v>neutral</v>
      </c>
      <c r="K14" s="26" t="n">
        <v>0.02656892</v>
      </c>
      <c r="L14" s="26" t="str">
        <f aca="false">IF(K14&lt;0,"",IF(K14&lt;0.002,"low",IF(K14&lt;0.004,"medium","high")))</f>
        <v>high</v>
      </c>
      <c r="M14" s="26"/>
      <c r="N14" s="26"/>
      <c r="O14" s="5" t="n">
        <v>558.573</v>
      </c>
      <c r="P14" s="6" t="n">
        <v>32.79</v>
      </c>
      <c r="Q14" s="29" t="n">
        <v>32.215</v>
      </c>
      <c r="R14" s="30" t="n">
        <v>130.88883</v>
      </c>
      <c r="S14" s="30" t="n">
        <v>102.41</v>
      </c>
      <c r="T14" s="30" t="n">
        <v>20.25</v>
      </c>
      <c r="U14" s="8" t="s">
        <v>43</v>
      </c>
    </row>
    <row r="15" customFormat="false" ht="13.8" hidden="false" customHeight="false" outlineLevel="0" collapsed="false">
      <c r="A15" s="4" t="s">
        <v>44</v>
      </c>
      <c r="B15" s="26" t="n">
        <v>0.0642661601616978</v>
      </c>
      <c r="C15" s="3" t="n">
        <v>0.099</v>
      </c>
      <c r="D15" s="3" t="n">
        <v>-0.0347338398383022</v>
      </c>
      <c r="E15" s="26" t="n">
        <v>0.0482362690806129</v>
      </c>
      <c r="F15" s="27" t="n">
        <v>115.62</v>
      </c>
      <c r="G15" s="2" t="n">
        <f aca="false">(100-F15)/100</f>
        <v>-0.1562</v>
      </c>
      <c r="H15" s="28" t="n">
        <v>0.0239186345569323</v>
      </c>
      <c r="I15" s="28" t="n">
        <f aca="false">(H15+G15)/2</f>
        <v>-0.0661406827215338</v>
      </c>
      <c r="J15" s="28" t="str">
        <f aca="false">IF(I15&gt;0.1,"strong appreciation", IF(I15&gt;=0.05,"mild appreciation", IF(I15&lt;-0.1,"strong depreciation", IF(I15&lt;-0.05,"mild depreciation", "neutral"))))</f>
        <v>mild depreciation</v>
      </c>
      <c r="K15" s="26" t="n">
        <v>0.00686637</v>
      </c>
      <c r="L15" s="26" t="str">
        <f aca="false">IF(K15&lt;0,"",IF(K15&lt;0.002,"low",IF(K15&lt;0.004,"medium","high")))</f>
        <v>high</v>
      </c>
      <c r="M15" s="26"/>
      <c r="N15" s="26"/>
      <c r="O15" s="5" t="n">
        <v>574.185</v>
      </c>
      <c r="P15" s="6" t="n">
        <v>1.2831</v>
      </c>
      <c r="Q15" s="29" t="n">
        <v>1.25241</v>
      </c>
      <c r="R15" s="30" t="n">
        <v>364.13812</v>
      </c>
      <c r="S15" s="30" t="n">
        <v>322.72</v>
      </c>
      <c r="T15" s="30" t="n">
        <v>17.02</v>
      </c>
      <c r="U15" s="8" t="s">
        <v>45</v>
      </c>
    </row>
    <row r="16" customFormat="false" ht="13.8" hidden="false" customHeight="false" outlineLevel="0" collapsed="false">
      <c r="A16" s="4" t="s">
        <v>46</v>
      </c>
      <c r="B16" s="26" t="n">
        <v>0.0330419239887669</v>
      </c>
      <c r="C16" s="3" t="n">
        <v>0.0703</v>
      </c>
      <c r="D16" s="3" t="n">
        <v>-0.0372580760112331</v>
      </c>
      <c r="E16" s="26" t="n">
        <v>0.0442767290045278</v>
      </c>
      <c r="F16" s="27" t="n">
        <v>97.38</v>
      </c>
      <c r="G16" s="2" t="n">
        <f aca="false">(100-F16)/100</f>
        <v>0.0262</v>
      </c>
      <c r="H16" s="28" t="n">
        <v>0.0104378672553386</v>
      </c>
      <c r="I16" s="28" t="n">
        <f aca="false">(H16+G16)/2</f>
        <v>0.0183189336276693</v>
      </c>
      <c r="J16" s="28" t="str">
        <f aca="false">IF(I16&gt;0.1,"strong appreciation", IF(I16&gt;=0.05,"mild appreciation", IF(I16&lt;-0.1,"strong depreciation", IF(I16&lt;-0.05,"mild depreciation", "neutral"))))</f>
        <v>neutral</v>
      </c>
      <c r="K16" s="26" t="e">
        <f aca="false">#N/A</f>
        <v>#N/A</v>
      </c>
      <c r="L16" s="26" t="e">
        <f aca="false">IF(K16&lt;0,"",IF(K16&lt;0.002,"low",IF(K16&lt;0.004,"medium","high")))</f>
        <v>#N/A</v>
      </c>
      <c r="M16" s="26"/>
      <c r="N16" s="26"/>
      <c r="O16" s="5" t="n">
        <v>428.233</v>
      </c>
      <c r="P16" s="6" t="n">
        <v>7.83685</v>
      </c>
      <c r="Q16" s="29" t="n">
        <v>7.75505</v>
      </c>
      <c r="R16" s="30" t="n">
        <v>446.52099</v>
      </c>
      <c r="S16" s="30" t="n">
        <v>329.45</v>
      </c>
      <c r="T16" s="30" t="n">
        <v>19.27</v>
      </c>
      <c r="U16" s="8" t="s">
        <v>47</v>
      </c>
    </row>
    <row r="17" customFormat="false" ht="13.8" hidden="false" customHeight="false" outlineLevel="0" collapsed="false">
      <c r="A17" s="4" t="s">
        <v>48</v>
      </c>
      <c r="B17" s="26" t="n">
        <v>0.0438031876960645</v>
      </c>
      <c r="C17" s="3" t="n">
        <v>0.0847</v>
      </c>
      <c r="D17" s="3" t="n">
        <v>-0.0408968123039355</v>
      </c>
      <c r="E17" s="26" t="n">
        <v>0.0613430911733286</v>
      </c>
      <c r="F17" s="27" t="n">
        <v>136.8</v>
      </c>
      <c r="G17" s="2" t="n">
        <f aca="false">(100-F17)/100</f>
        <v>-0.368</v>
      </c>
      <c r="H17" s="28" t="n">
        <v>-0.0370608997702953</v>
      </c>
      <c r="I17" s="28" t="n">
        <f aca="false">(H17+G17)/2</f>
        <v>-0.202530449885148</v>
      </c>
      <c r="J17" s="28" t="str">
        <f aca="false">IF(I17&gt;0.1,"strong appreciation", IF(I17&gt;=0.05,"mild appreciation", IF(I17&lt;-0.1,"strong depreciation", IF(I17&lt;-0.05,"mild depreciation", "neutral"))))</f>
        <v>strong depreciation</v>
      </c>
      <c r="K17" s="26" t="n">
        <v>7.79E-006</v>
      </c>
      <c r="L17" s="26" t="str">
        <f aca="false">IF(K17&lt;0,"",IF(K17&lt;0.002,"low",IF(K17&lt;0.004,"medium","high")))</f>
        <v>low</v>
      </c>
      <c r="M17" s="26"/>
      <c r="N17" s="26"/>
      <c r="O17" s="5" t="n">
        <v>1862.74</v>
      </c>
      <c r="P17" s="6" t="n">
        <v>17.849</v>
      </c>
      <c r="Q17" s="29" t="n">
        <v>18.5105</v>
      </c>
      <c r="R17" s="30" t="n">
        <v>232.14638</v>
      </c>
      <c r="S17" s="30" t="n">
        <v>182.72</v>
      </c>
      <c r="T17" s="30" t="n">
        <v>16.87</v>
      </c>
      <c r="U17" s="8" t="s">
        <v>49</v>
      </c>
    </row>
    <row r="18" customFormat="false" ht="13.8" hidden="false" customHeight="false" outlineLevel="0" collapsed="false">
      <c r="A18" s="4" t="s">
        <v>50</v>
      </c>
      <c r="B18" s="26" t="n">
        <v>0.069666928460034</v>
      </c>
      <c r="C18" s="3" t="n">
        <v>0.1139</v>
      </c>
      <c r="D18" s="3" t="n">
        <v>-0.044233071539966</v>
      </c>
      <c r="E18" s="26" t="n">
        <v>0.0980609299628581</v>
      </c>
      <c r="F18" s="27" t="n">
        <v>90.65</v>
      </c>
      <c r="G18" s="2" t="n">
        <f aca="false">(100-F18)/100</f>
        <v>0.0934999999999999</v>
      </c>
      <c r="H18" s="28" t="n">
        <v>-0.027681479090645</v>
      </c>
      <c r="I18" s="28" t="n">
        <f aca="false">(H18+G18)/2</f>
        <v>0.0329092604546775</v>
      </c>
      <c r="J18" s="28" t="str">
        <f aca="false">IF(I18&gt;0.1,"strong appreciation", IF(I18&gt;=0.05,"mild appreciation", IF(I18&lt;-0.1,"strong depreciation", IF(I18&lt;-0.05,"mild depreciation", "neutral"))))</f>
        <v>neutral</v>
      </c>
      <c r="K18" s="26" t="n">
        <v>0.00512929</v>
      </c>
      <c r="L18" s="26" t="str">
        <f aca="false">IF(K18&lt;0,"",IF(K18&lt;0.002,"low",IF(K18&lt;0.004,"medium","high")))</f>
        <v>high</v>
      </c>
      <c r="M18" s="26"/>
      <c r="N18" s="26"/>
      <c r="O18" s="5" t="n">
        <v>4125.213</v>
      </c>
      <c r="P18" s="6" t="n">
        <v>93.2573</v>
      </c>
      <c r="Q18" s="29" t="n">
        <v>95.8388</v>
      </c>
      <c r="R18" s="30" t="n">
        <v>1504.29162</v>
      </c>
      <c r="S18" s="30" t="n">
        <v>543.2</v>
      </c>
      <c r="T18" s="30" t="n">
        <v>25.36</v>
      </c>
      <c r="U18" s="8" t="s">
        <v>51</v>
      </c>
    </row>
    <row r="19" customFormat="false" ht="13.8" hidden="false" customHeight="false" outlineLevel="0" collapsed="false">
      <c r="A19" s="4" t="s">
        <v>52</v>
      </c>
      <c r="B19" s="26" t="n">
        <v>0.0622602308534386</v>
      </c>
      <c r="C19" s="3" t="n">
        <v>0.1072</v>
      </c>
      <c r="D19" s="3" t="n">
        <v>-0.0449397691465614</v>
      </c>
      <c r="E19" s="26" t="n">
        <v>0.0452140738144502</v>
      </c>
      <c r="F19" s="27" t="n">
        <v>100.08</v>
      </c>
      <c r="G19" s="2" t="n">
        <f aca="false">(100-F19)/100</f>
        <v>-0.000799999999999983</v>
      </c>
      <c r="H19" s="28" t="n">
        <v>-0.0051270578145683</v>
      </c>
      <c r="I19" s="28" t="n">
        <f aca="false">(H19+G19)/2</f>
        <v>-0.00296352890728414</v>
      </c>
      <c r="J19" s="28" t="str">
        <f aca="false">IF(I19&gt;0.1,"strong appreciation", IF(I19&gt;=0.05,"mild appreciation", IF(I19&lt;-0.1,"strong depreciation", IF(I19&lt;-0.05,"mild depreciation", "neutral"))))</f>
        <v>neutral</v>
      </c>
      <c r="K19" s="26" t="e">
        <f aca="false">#N/A</f>
        <v>#N/A</v>
      </c>
      <c r="L19" s="26" t="e">
        <f aca="false">IF(K19&lt;0,"",IF(K19&lt;0.002,"low",IF(K19&lt;0.004,"medium","high")))</f>
        <v>#N/A</v>
      </c>
      <c r="M19" s="26"/>
      <c r="N19" s="26"/>
      <c r="O19" s="5" t="n">
        <v>1268.535</v>
      </c>
      <c r="P19" s="6" t="n">
        <v>3.75459</v>
      </c>
      <c r="Q19" s="29" t="n">
        <v>3.77384</v>
      </c>
      <c r="R19" s="30" t="n">
        <v>394.06552</v>
      </c>
      <c r="S19" s="30" t="n">
        <v>299.81</v>
      </c>
      <c r="T19" s="30" t="n">
        <v>15.93</v>
      </c>
      <c r="U19" s="8" t="s">
        <v>53</v>
      </c>
    </row>
    <row r="20" customFormat="false" ht="13.8" hidden="false" customHeight="false" outlineLevel="0" collapsed="false">
      <c r="A20" s="4" t="s">
        <v>54</v>
      </c>
      <c r="B20" s="26" t="n">
        <v>0.0388265256460685</v>
      </c>
      <c r="C20" s="3" t="n">
        <v>0.1014</v>
      </c>
      <c r="D20" s="3" t="n">
        <v>-0.0625734743539315</v>
      </c>
      <c r="E20" s="26" t="n">
        <v>0.0421326408492793</v>
      </c>
      <c r="F20" s="27" t="n">
        <v>102.04</v>
      </c>
      <c r="G20" s="2" t="n">
        <f aca="false">(100-F20)/100</f>
        <v>-0.0204000000000001</v>
      </c>
      <c r="H20" s="28" t="n">
        <v>0.0142563295856103</v>
      </c>
      <c r="I20" s="28" t="n">
        <f aca="false">(H20+G20)/2</f>
        <v>-0.00307183520719489</v>
      </c>
      <c r="J20" s="28" t="str">
        <f aca="false">IF(I20&gt;0.1,"strong appreciation", IF(I20&gt;=0.05,"mild appreciation", IF(I20&lt;-0.1,"strong depreciation", IF(I20&lt;-0.05,"mild depreciation", "neutral"))))</f>
        <v>neutral</v>
      </c>
      <c r="K20" s="26" t="n">
        <v>0.00131487</v>
      </c>
      <c r="L20" s="26" t="str">
        <f aca="false">IF(K20&lt;0,"",IF(K20&lt;0.002,"low",IF(K20&lt;0.004,"medium","high")))</f>
        <v>low</v>
      </c>
      <c r="M20" s="26"/>
      <c r="N20" s="26"/>
      <c r="O20" s="5" t="n">
        <v>5013.574</v>
      </c>
      <c r="P20" s="6" t="n">
        <v>0.872174</v>
      </c>
      <c r="Q20" s="29" t="n">
        <v>0.85974</v>
      </c>
      <c r="R20" s="30" t="n">
        <v>2073.81193</v>
      </c>
      <c r="S20" s="30" t="n">
        <v>1277.13</v>
      </c>
      <c r="T20" s="30" t="n">
        <v>18.77</v>
      </c>
      <c r="U20" s="8" t="s">
        <v>55</v>
      </c>
    </row>
    <row r="21" customFormat="false" ht="13.8" hidden="false" customHeight="false" outlineLevel="0" collapsed="false">
      <c r="A21" s="4" t="s">
        <v>56</v>
      </c>
      <c r="B21" s="26" t="n">
        <v>0.0306014611353314</v>
      </c>
      <c r="C21" s="3" t="n">
        <v>0.0973</v>
      </c>
      <c r="D21" s="3" t="n">
        <v>-0.0666985388646686</v>
      </c>
      <c r="E21" s="26" t="n">
        <v>0.0568724861023466</v>
      </c>
      <c r="F21" s="27" t="n">
        <v>111.8</v>
      </c>
      <c r="G21" s="2" t="n">
        <f aca="false">(100-F21)/100</f>
        <v>-0.118</v>
      </c>
      <c r="H21" s="28" t="n">
        <v>-0.0026444832301985</v>
      </c>
      <c r="I21" s="28" t="n">
        <f aca="false">(H21+G21)/2</f>
        <v>-0.0603222416150992</v>
      </c>
      <c r="J21" s="28" t="str">
        <f aca="false">IF(I21&gt;0.1,"strong appreciation", IF(I21&gt;=0.05,"mild appreciation", IF(I21&lt;-0.1,"strong depreciation", IF(I21&lt;-0.05,"mild depreciation", "neutral"))))</f>
        <v>mild depreciation</v>
      </c>
      <c r="K21" s="26" t="n">
        <v>0.00085493</v>
      </c>
      <c r="L21" s="26" t="str">
        <f aca="false">IF(K21&lt;0,"",IF(K21&lt;0.002,"low",IF(K21&lt;0.004,"medium","high")))</f>
        <v>low</v>
      </c>
      <c r="M21" s="26"/>
      <c r="N21" s="26"/>
      <c r="O21" s="5" t="n">
        <v>3958.78</v>
      </c>
      <c r="P21" s="6" t="n">
        <v>0.753573823859654</v>
      </c>
      <c r="Q21" s="29" t="n">
        <v>0.755566637199568</v>
      </c>
      <c r="R21" s="30" t="n">
        <v>3350.53447</v>
      </c>
      <c r="S21" s="30" t="n">
        <v>1758.78</v>
      </c>
      <c r="T21" s="30" t="n">
        <v>16.86</v>
      </c>
      <c r="U21" s="8" t="s">
        <v>57</v>
      </c>
    </row>
    <row r="22" customFormat="false" ht="13.8" hidden="false" customHeight="false" outlineLevel="0" collapsed="false">
      <c r="A22" s="4" t="s">
        <v>58</v>
      </c>
      <c r="B22" s="26" t="n">
        <v>0.0401714805316831</v>
      </c>
      <c r="C22" s="3" t="n">
        <v>0.1082</v>
      </c>
      <c r="D22" s="3" t="n">
        <v>-0.0680285194683169</v>
      </c>
      <c r="E22" s="26" t="n">
        <v>0.0523297413989625</v>
      </c>
      <c r="F22" s="27" t="n">
        <v>110.52</v>
      </c>
      <c r="G22" s="2" t="n">
        <f aca="false">(100-F22)/100</f>
        <v>-0.1052</v>
      </c>
      <c r="H22" s="28" t="n">
        <v>0.00413903788486709</v>
      </c>
      <c r="I22" s="28" t="n">
        <f aca="false">(H22+G22)/2</f>
        <v>-0.0505304810575664</v>
      </c>
      <c r="J22" s="28" t="str">
        <f aca="false">IF(I22&gt;0.1,"strong appreciation", IF(I22&gt;=0.05,"mild appreciation", IF(I22&lt;-0.1,"strong depreciation", IF(I22&lt;-0.05,"mild depreciation", "neutral"))))</f>
        <v>mild depreciation</v>
      </c>
      <c r="K22" s="26" t="n">
        <v>0.00037565</v>
      </c>
      <c r="L22" s="26" t="str">
        <f aca="false">IF(K22&lt;0,"",IF(K22&lt;0.002,"low",IF(K22&lt;0.004,"medium","high")))</f>
        <v>low</v>
      </c>
      <c r="M22" s="26"/>
      <c r="N22" s="26"/>
      <c r="O22" s="5" t="n">
        <v>1829.508</v>
      </c>
      <c r="P22" s="6" t="n">
        <v>1.42062</v>
      </c>
      <c r="Q22" s="29" t="n">
        <v>1.41474</v>
      </c>
      <c r="R22" s="30" t="n">
        <v>1492.80576</v>
      </c>
      <c r="S22" s="30" t="n">
        <v>972.15</v>
      </c>
      <c r="T22" s="30" t="n">
        <v>21.63</v>
      </c>
      <c r="U22" s="8" t="s">
        <v>59</v>
      </c>
    </row>
    <row r="23" customFormat="false" ht="13.8" hidden="false" customHeight="false" outlineLevel="0" collapsed="false">
      <c r="A23" s="4" t="s">
        <v>60</v>
      </c>
      <c r="B23" s="26" t="n">
        <v>0.0324439500595144</v>
      </c>
      <c r="C23" s="3" t="n">
        <v>0.112</v>
      </c>
      <c r="D23" s="3" t="n">
        <v>-0.0795560499404856</v>
      </c>
      <c r="E23" s="26" t="n">
        <v>0.0392239528297906</v>
      </c>
      <c r="F23" s="27" t="n">
        <v>96.52</v>
      </c>
      <c r="G23" s="2" t="n">
        <f aca="false">(100-F23)/100</f>
        <v>0.0348</v>
      </c>
      <c r="H23" s="28" t="n">
        <v>0.0142563295856103</v>
      </c>
      <c r="I23" s="28" t="n">
        <f aca="false">(H23+G23)/2</f>
        <v>0.0245281647928052</v>
      </c>
      <c r="J23" s="28" t="str">
        <f aca="false">IF(I23&gt;0.1,"strong appreciation", IF(I23&gt;=0.05,"mild appreciation", IF(I23&lt;-0.1,"strong depreciation", IF(I23&lt;-0.05,"mild depreciation", "neutral"))))</f>
        <v>neutral</v>
      </c>
      <c r="K23" s="26" t="n">
        <v>0.00164005</v>
      </c>
      <c r="L23" s="26" t="str">
        <f aca="false">IF(K23&lt;0,"",IF(K23&lt;0.002,"low",IF(K23&lt;0.004,"medium","high")))</f>
        <v>low</v>
      </c>
      <c r="M23" s="26"/>
      <c r="N23" s="26"/>
      <c r="O23" s="5" t="n">
        <v>3361.557</v>
      </c>
      <c r="P23" s="6" t="n">
        <v>0.872174</v>
      </c>
      <c r="Q23" s="29" t="n">
        <v>0.85974</v>
      </c>
      <c r="R23" s="30" t="n">
        <v>2324.18743</v>
      </c>
      <c r="S23" s="30" t="n">
        <v>1311.25</v>
      </c>
      <c r="T23" s="30" t="n">
        <v>20.12</v>
      </c>
      <c r="U23" s="8" t="s">
        <v>61</v>
      </c>
    </row>
    <row r="24" customFormat="false" ht="13.8" hidden="false" customHeight="false" outlineLevel="0" collapsed="false">
      <c r="A24" s="4" t="s">
        <v>62</v>
      </c>
      <c r="B24" s="26" t="n">
        <v>0.037507687916779</v>
      </c>
      <c r="C24" s="3" t="n">
        <v>0.1174</v>
      </c>
      <c r="D24" s="3" t="n">
        <v>-0.079892312083221</v>
      </c>
      <c r="E24" s="26" t="n">
        <v>0.0507285458190205</v>
      </c>
      <c r="F24" s="27" t="n">
        <v>103.82</v>
      </c>
      <c r="G24" s="2" t="n">
        <f aca="false">(100-F24)/100</f>
        <v>-0.0381999999999999</v>
      </c>
      <c r="H24" s="28" t="n">
        <v>0.0370786913967338</v>
      </c>
      <c r="I24" s="28" t="n">
        <f aca="false">(H24+G24)/2</f>
        <v>-0.000560654301633042</v>
      </c>
      <c r="J24" s="28" t="str">
        <f aca="false">IF(I24&gt;0.1,"strong appreciation", IF(I24&gt;=0.05,"mild appreciation", IF(I24&lt;-0.1,"strong depreciation", IF(I24&lt;-0.05,"mild depreciation", "neutral"))))</f>
        <v>neutral</v>
      </c>
      <c r="K24" s="26" t="n">
        <v>0.00020245</v>
      </c>
      <c r="L24" s="26" t="str">
        <f aca="false">IF(K24&lt;0,"",IF(K24&lt;0.002,"low",IF(K24&lt;0.004,"medium","high")))</f>
        <v>low</v>
      </c>
      <c r="M24" s="26"/>
      <c r="N24" s="26"/>
      <c r="O24" s="5" t="n">
        <v>1002.666</v>
      </c>
      <c r="P24" s="6" t="n">
        <v>0.792234</v>
      </c>
      <c r="Q24" s="29" t="n">
        <v>0.762859</v>
      </c>
      <c r="R24" s="30" t="n">
        <v>2139.45487</v>
      </c>
      <c r="S24" s="30" t="n">
        <v>1586.95</v>
      </c>
      <c r="T24" s="30" t="n">
        <v>20.45</v>
      </c>
      <c r="U24" s="8" t="s">
        <v>63</v>
      </c>
    </row>
    <row r="25" customFormat="false" ht="13.8" hidden="false" customHeight="false" outlineLevel="0" collapsed="false">
      <c r="A25" s="4" t="s">
        <v>64</v>
      </c>
      <c r="B25" s="26" t="n">
        <v>0.0281837355813022</v>
      </c>
      <c r="C25" s="3" t="n">
        <v>0.1143</v>
      </c>
      <c r="D25" s="3" t="n">
        <v>-0.0861162644186978</v>
      </c>
      <c r="E25" s="26" t="n">
        <v>0.0515252636267827</v>
      </c>
      <c r="F25" s="27" t="n">
        <v>101.8</v>
      </c>
      <c r="G25" s="2" t="n">
        <f aca="false">(100-F25)/100</f>
        <v>-0.018</v>
      </c>
      <c r="H25" s="28" t="n">
        <v>0.0171298171961716</v>
      </c>
      <c r="I25" s="28" t="n">
        <f aca="false">(H25+G25)/2</f>
        <v>-0.000435091401914183</v>
      </c>
      <c r="J25" s="28" t="str">
        <f aca="false">IF(I25&gt;0.1,"strong appreciation", IF(I25&gt;=0.05,"mild appreciation", IF(I25&lt;-0.1,"strong depreciation", IF(I25&lt;-0.05,"mild depreciation", "neutral"))))</f>
        <v>neutral</v>
      </c>
      <c r="K25" s="26" t="n">
        <v>0.00220601</v>
      </c>
      <c r="L25" s="26" t="str">
        <f aca="false">IF(K25&lt;0,"",IF(K25&lt;0.002,"low",IF(K25&lt;0.004,"medium","high")))</f>
        <v>medium</v>
      </c>
      <c r="M25" s="26"/>
      <c r="N25" s="26"/>
      <c r="O25" s="5" t="n">
        <v>662.318</v>
      </c>
      <c r="P25" s="6" t="n">
        <v>9.40407</v>
      </c>
      <c r="Q25" s="29" t="n">
        <v>9.24298</v>
      </c>
      <c r="R25" s="30" t="n">
        <v>840.38913</v>
      </c>
      <c r="S25" s="30" t="n">
        <v>493.74</v>
      </c>
      <c r="T25" s="30" t="n">
        <v>18.13</v>
      </c>
      <c r="U25" s="8" t="s">
        <v>65</v>
      </c>
    </row>
    <row r="26" customFormat="false" ht="13.8" hidden="false" customHeight="false" outlineLevel="0" collapsed="false">
      <c r="A26" s="4" t="s">
        <v>66</v>
      </c>
      <c r="B26" s="26" t="n">
        <v>0.0460022232560635</v>
      </c>
      <c r="C26" s="3" t="n">
        <v>0.134</v>
      </c>
      <c r="D26" s="3" t="n">
        <v>-0.0879977767439365</v>
      </c>
      <c r="E26" s="26" t="n">
        <v>0.0530611673080474</v>
      </c>
      <c r="F26" s="27" t="n">
        <v>103.63</v>
      </c>
      <c r="G26" s="2" t="n">
        <f aca="false">(100-F26)/100</f>
        <v>-0.0363</v>
      </c>
      <c r="H26" s="28" t="n">
        <v>0.0142563295856103</v>
      </c>
      <c r="I26" s="28" t="n">
        <f aca="false">(H26+G26)/2</f>
        <v>-0.0110218352071948</v>
      </c>
      <c r="J26" s="28" t="str">
        <f aca="false">IF(I26&gt;0.1,"strong appreciation", IF(I26&gt;=0.05,"mild appreciation", IF(I26&lt;-0.1,"strong depreciation", IF(I26&lt;-0.05,"mild depreciation", "neutral"))))</f>
        <v>neutral</v>
      </c>
      <c r="K26" s="26" t="n">
        <v>0.00281916</v>
      </c>
      <c r="L26" s="26" t="str">
        <f aca="false">IF(K26&lt;0,"",IF(K26&lt;0.002,"low",IF(K26&lt;0.004,"medium","high")))</f>
        <v>medium</v>
      </c>
      <c r="M26" s="26"/>
      <c r="N26" s="26"/>
      <c r="O26" s="5" t="n">
        <v>1891.371</v>
      </c>
      <c r="P26" s="6" t="n">
        <v>0.872174</v>
      </c>
      <c r="Q26" s="29" t="n">
        <v>0.85974</v>
      </c>
      <c r="R26" s="30" t="n">
        <v>852.04876</v>
      </c>
      <c r="S26" s="30" t="n">
        <v>736.2</v>
      </c>
      <c r="T26" s="30" t="n">
        <v>14.55</v>
      </c>
      <c r="U26" s="8" t="s">
        <v>67</v>
      </c>
    </row>
    <row r="27" customFormat="false" ht="13.8" hidden="false" customHeight="false" outlineLevel="0" collapsed="false">
      <c r="A27" s="4" t="s">
        <v>68</v>
      </c>
      <c r="B27" s="26" t="n">
        <v>0.0546347350435099</v>
      </c>
      <c r="C27" s="3" t="n">
        <v>0.1477</v>
      </c>
      <c r="D27" s="3" t="n">
        <v>-0.0930652649564901</v>
      </c>
      <c r="E27" s="26" t="n">
        <v>0.0453369022758081</v>
      </c>
      <c r="F27" s="27" t="n">
        <v>105.38</v>
      </c>
      <c r="G27" s="2" t="n">
        <f aca="false">(100-F27)/100</f>
        <v>-0.0538</v>
      </c>
      <c r="H27" s="28" t="n">
        <v>0.0142563295856103</v>
      </c>
      <c r="I27" s="28" t="n">
        <f aca="false">(H27+G27)/2</f>
        <v>-0.0197718352071948</v>
      </c>
      <c r="J27" s="28" t="str">
        <f aca="false">IF(I27&gt;0.1,"strong appreciation", IF(I27&gt;=0.05,"mild appreciation", IF(I27&lt;-0.1,"strong depreciation", IF(I27&lt;-0.05,"mild depreciation", "neutral"))))</f>
        <v>neutral</v>
      </c>
      <c r="K27" s="26" t="n">
        <v>0.00571043</v>
      </c>
      <c r="L27" s="26" t="str">
        <f aca="false">IF(K27&lt;0,"",IF(K27&lt;0.002,"low",IF(K27&lt;0.004,"medium","high")))</f>
        <v>high</v>
      </c>
      <c r="M27" s="26"/>
      <c r="N27" s="26"/>
      <c r="O27" s="5" t="n">
        <v>1320.635</v>
      </c>
      <c r="P27" s="6" t="n">
        <v>0.872174</v>
      </c>
      <c r="Q27" s="29" t="n">
        <v>0.85974</v>
      </c>
      <c r="R27" s="30" t="n">
        <v>1180.79476</v>
      </c>
      <c r="S27" s="30" t="n">
        <v>936.25</v>
      </c>
      <c r="T27" s="30" t="n">
        <v>23.84</v>
      </c>
      <c r="U27" s="8" t="s">
        <v>69</v>
      </c>
    </row>
    <row r="28" customFormat="false" ht="13.8" hidden="false" customHeight="false" outlineLevel="0" collapsed="false">
      <c r="A28" s="4" t="s">
        <v>70</v>
      </c>
      <c r="B28" s="26" t="n">
        <v>0.0390748881677163</v>
      </c>
      <c r="C28" s="3" t="n">
        <v>0.1354</v>
      </c>
      <c r="D28" s="3" t="n">
        <v>-0.0963251118322837</v>
      </c>
      <c r="E28" s="26" t="n">
        <v>0.0512211007169265</v>
      </c>
      <c r="F28" s="27" t="n">
        <v>96.52</v>
      </c>
      <c r="G28" s="2" t="n">
        <f aca="false">(100-F28)/100</f>
        <v>0.0348</v>
      </c>
      <c r="H28" s="28" t="n">
        <v>0.0132678562321037</v>
      </c>
      <c r="I28" s="28" t="n">
        <f aca="false">(H28+G28)/2</f>
        <v>0.0240339281160519</v>
      </c>
      <c r="J28" s="28" t="str">
        <f aca="false">IF(I28&gt;0.1,"strong appreciation", IF(I28&gt;=0.05,"mild appreciation", IF(I28&lt;-0.1,"strong depreciation", IF(I28&lt;-0.05,"mild depreciation", "neutral"))))</f>
        <v>neutral</v>
      </c>
      <c r="K28" s="26" t="n">
        <v>0.00078615</v>
      </c>
      <c r="L28" s="26" t="str">
        <f aca="false">IF(K28&lt;0,"",IF(K28&lt;0.002,"low",IF(K28&lt;0.004,"medium","high")))</f>
        <v>low</v>
      </c>
      <c r="M28" s="26"/>
      <c r="N28" s="26"/>
      <c r="O28" s="5" t="n">
        <v>2283.599</v>
      </c>
      <c r="P28" s="6" t="n">
        <v>1.37249</v>
      </c>
      <c r="Q28" s="29" t="n">
        <v>1.35428</v>
      </c>
      <c r="R28" s="30" t="n">
        <v>3031.37641</v>
      </c>
      <c r="S28" s="30" t="n">
        <v>1263.14</v>
      </c>
      <c r="T28" s="30" t="n">
        <v>21.56</v>
      </c>
      <c r="U28" s="8" t="s">
        <v>71</v>
      </c>
    </row>
    <row r="29" customFormat="false" ht="13.8" hidden="false" customHeight="false" outlineLevel="0" collapsed="false">
      <c r="A29" s="4" t="s">
        <v>72</v>
      </c>
      <c r="B29" s="26" t="n">
        <v>0.0378066626760696</v>
      </c>
      <c r="C29" s="3" t="n">
        <v>0.1375</v>
      </c>
      <c r="D29" s="3" t="n">
        <v>-0.0996933373239304</v>
      </c>
      <c r="E29" s="26" t="n">
        <v>0.0515508705054264</v>
      </c>
      <c r="F29" s="27" t="n">
        <v>101.05</v>
      </c>
      <c r="G29" s="2" t="n">
        <f aca="false">(100-F29)/100</f>
        <v>-0.0105</v>
      </c>
      <c r="H29" s="28" t="n">
        <v>0.0142563295856103</v>
      </c>
      <c r="I29" s="28" t="n">
        <f aca="false">(H29+G29)/2</f>
        <v>0.00187816479280515</v>
      </c>
      <c r="J29" s="28" t="str">
        <f aca="false">IF(I29&gt;0.1,"strong appreciation", IF(I29&gt;=0.05,"mild appreciation", IF(I29&lt;-0.1,"strong depreciation", IF(I29&lt;-0.05,"mild depreciation", "neutral"))))</f>
        <v>neutral</v>
      </c>
      <c r="K29" s="26" t="e">
        <f aca="false">#N/A</f>
        <v>#N/A</v>
      </c>
      <c r="L29" s="26" t="e">
        <f aca="false">IF(K29&lt;0,"",IF(K29&lt;0.002,"low",IF(K29&lt;0.004,"medium","high")))</f>
        <v>#N/A</v>
      </c>
      <c r="M29" s="26"/>
      <c r="N29" s="26"/>
      <c r="O29" s="5" t="n">
        <v>282.019</v>
      </c>
      <c r="P29" s="29" t="n">
        <v>0.872174</v>
      </c>
      <c r="Q29" s="29" t="n">
        <v>0.85974</v>
      </c>
      <c r="R29" s="30" t="n">
        <v>60.7903</v>
      </c>
      <c r="S29" s="30" t="n">
        <v>60.79</v>
      </c>
      <c r="T29" s="30" t="n">
        <v>10.55</v>
      </c>
      <c r="U29" s="8" t="s">
        <v>73</v>
      </c>
    </row>
    <row r="30" customFormat="false" ht="13.8" hidden="false" customHeight="false" outlineLevel="0" collapsed="false">
      <c r="A30" s="4" t="s">
        <v>74</v>
      </c>
      <c r="B30" s="26" t="n">
        <v>0.052837240606842</v>
      </c>
      <c r="C30" s="3" t="n">
        <v>0.1549</v>
      </c>
      <c r="D30" s="3" t="n">
        <v>-0.102062759393158</v>
      </c>
      <c r="E30" s="26" t="n">
        <v>0.0381834318970995</v>
      </c>
      <c r="F30" s="27" t="n">
        <v>106.94</v>
      </c>
      <c r="G30" s="2" t="n">
        <f aca="false">(100-F30)/100</f>
        <v>-0.0694</v>
      </c>
      <c r="H30" s="28" t="n">
        <v>0</v>
      </c>
      <c r="I30" s="28" t="n">
        <f aca="false">(H30+G30)/2</f>
        <v>-0.0347</v>
      </c>
      <c r="J30" s="28" t="str">
        <f aca="false">IF(I30&gt;0.1,"strong appreciation", IF(I30&gt;=0.05,"mild appreciation", IF(I30&lt;-0.1,"strong depreciation", IF(I30&lt;-0.05,"mild depreciation", "neutral"))))</f>
        <v>neutral</v>
      </c>
      <c r="K30" s="26" t="n">
        <v>0.00094522</v>
      </c>
      <c r="L30" s="26" t="str">
        <f aca="false">IF(K30&lt;0,"",IF(K30&lt;0.002,"low",IF(K30&lt;0.004,"medium","high")))</f>
        <v>low</v>
      </c>
      <c r="M30" s="26"/>
      <c r="N30" s="26"/>
      <c r="O30" s="5" t="n">
        <v>30615.743</v>
      </c>
      <c r="P30" s="6" t="n">
        <v>1</v>
      </c>
      <c r="Q30" s="29" t="n">
        <v>1</v>
      </c>
      <c r="R30" s="30" t="n">
        <v>59782.4572</v>
      </c>
      <c r="S30" s="30" t="n">
        <v>21174.69</v>
      </c>
      <c r="T30" s="30" t="n">
        <v>27.18</v>
      </c>
      <c r="U30" s="8" t="s">
        <v>75</v>
      </c>
    </row>
    <row r="31" customFormat="false" ht="13.8" hidden="false" customHeight="false" outlineLevel="0" collapsed="false">
      <c r="A31" s="4" t="s">
        <v>76</v>
      </c>
      <c r="B31" s="26" t="n">
        <v>0.0209141850160466</v>
      </c>
      <c r="C31" s="3" t="n">
        <v>0.1232</v>
      </c>
      <c r="D31" s="3" t="n">
        <v>-0.102285814983953</v>
      </c>
      <c r="E31" s="26" t="n">
        <v>0.0370230711997215</v>
      </c>
      <c r="F31" s="27" t="n">
        <v>112.14</v>
      </c>
      <c r="G31" s="2" t="n">
        <f aca="false">(100-F31)/100</f>
        <v>-0.1214</v>
      </c>
      <c r="H31" s="28" t="n">
        <v>-0.0310849990571375</v>
      </c>
      <c r="I31" s="28" t="n">
        <f aca="false">(H31+G31)/2</f>
        <v>-0.0762424995285687</v>
      </c>
      <c r="J31" s="28" t="str">
        <f aca="false">IF(I31&gt;0.1,"strong appreciation", IF(I31&gt;=0.05,"mild appreciation", IF(I31&lt;-0.1,"strong depreciation", IF(I31&lt;-0.05,"mild depreciation", "neutral"))))</f>
        <v>mild depreciation</v>
      </c>
      <c r="K31" s="26" t="n">
        <v>0.00211376</v>
      </c>
      <c r="L31" s="26" t="str">
        <f aca="false">IF(K31&lt;0,"",IF(K31&lt;0.002,"low",IF(K31&lt;0.004,"medium","high")))</f>
        <v>medium</v>
      </c>
      <c r="M31" s="26"/>
      <c r="N31" s="26"/>
      <c r="O31" s="5" t="n">
        <v>426.383</v>
      </c>
      <c r="P31" s="6" t="n">
        <v>16.9696</v>
      </c>
      <c r="Q31" s="29" t="n">
        <v>17.4971</v>
      </c>
      <c r="R31" s="30" t="n">
        <v>462.09177</v>
      </c>
      <c r="S31" s="30" t="n">
        <v>331.66</v>
      </c>
      <c r="T31" s="30" t="n">
        <v>16.93</v>
      </c>
      <c r="U31" s="8" t="s">
        <v>77</v>
      </c>
    </row>
    <row r="32" customFormat="false" ht="13.8" hidden="false" customHeight="false" outlineLevel="0" collapsed="false">
      <c r="A32" s="4" t="s">
        <v>78</v>
      </c>
      <c r="B32" s="26" t="n">
        <v>0.0228761778464299</v>
      </c>
      <c r="C32" s="3" t="n">
        <v>0.1343</v>
      </c>
      <c r="D32" s="3" t="n">
        <v>-0.11142382215357</v>
      </c>
      <c r="E32" s="26" t="n">
        <v>0.0395914364042658</v>
      </c>
      <c r="F32" s="27" t="n">
        <v>109.71</v>
      </c>
      <c r="G32" s="2" t="n">
        <f aca="false">(100-F32)/100</f>
        <v>-0.0970999999999999</v>
      </c>
      <c r="H32" s="28" t="n">
        <v>-0.0854944428612141</v>
      </c>
      <c r="I32" s="28" t="n">
        <f aca="false">(H32+G32)/2</f>
        <v>-0.091297221430607</v>
      </c>
      <c r="J32" s="28" t="str">
        <f aca="false">IF(I32&gt;0.1,"strong appreciation", IF(I32&gt;=0.05,"mild appreciation", IF(I32&lt;-0.1,"strong depreciation", IF(I32&lt;-0.05,"mild depreciation", "neutral"))))</f>
        <v>mild depreciation</v>
      </c>
      <c r="K32" s="26" t="n">
        <v>0.00044557</v>
      </c>
      <c r="L32" s="26" t="str">
        <f aca="false">IF(K32&lt;0,"",IF(K32&lt;0.002,"low",IF(K32&lt;0.004,"medium","high")))</f>
        <v>low</v>
      </c>
      <c r="M32" s="26"/>
      <c r="N32" s="26"/>
      <c r="O32" s="5" t="n">
        <v>2256.91</v>
      </c>
      <c r="P32" s="6" t="n">
        <v>5.2635</v>
      </c>
      <c r="Q32" s="29" t="n">
        <v>5.7135</v>
      </c>
      <c r="R32" s="30" t="n">
        <v>535.25636</v>
      </c>
      <c r="S32" s="30" t="n">
        <v>317.88</v>
      </c>
      <c r="T32" s="30" t="n">
        <v>12.2</v>
      </c>
      <c r="U32" s="8" t="s">
        <v>79</v>
      </c>
    </row>
    <row r="33" customFormat="false" ht="13.8" hidden="false" customHeight="false" outlineLevel="0" collapsed="false">
      <c r="A33" s="4" t="s">
        <v>80</v>
      </c>
      <c r="B33" s="26" t="n">
        <v>-0.003777999050533</v>
      </c>
      <c r="C33" s="3" t="n">
        <v>0.1085</v>
      </c>
      <c r="D33" s="3" t="n">
        <v>-0.112277999050533</v>
      </c>
      <c r="E33" s="26" t="n">
        <v>0.0404595423992784</v>
      </c>
      <c r="F33" s="27" t="n">
        <v>67.73</v>
      </c>
      <c r="G33" s="2" t="n">
        <f aca="false">(100-F33)/100</f>
        <v>0.3227</v>
      </c>
      <c r="H33" s="28" t="n">
        <v>0.0286944225450815</v>
      </c>
      <c r="I33" s="28" t="n">
        <f aca="false">(H33+G33)/2</f>
        <v>0.175697211272541</v>
      </c>
      <c r="J33" s="28" t="str">
        <f aca="false">IF(I33&gt;0.1,"strong appreciation", IF(I33&gt;=0.05,"mild appreciation", IF(I33&lt;-0.1,"strong depreciation", IF(I33&lt;-0.05,"mild depreciation", "neutral"))))</f>
        <v>strong appreciation</v>
      </c>
      <c r="K33" s="26" t="n">
        <v>0.0034735</v>
      </c>
      <c r="L33" s="26" t="str">
        <f aca="false">IF(K33&lt;0,"",IF(K33&lt;0.002,"low",IF(K33&lt;0.004,"medium","high")))</f>
        <v>medium</v>
      </c>
      <c r="M33" s="26"/>
      <c r="N33" s="26"/>
      <c r="O33" s="5" t="n">
        <v>4279.828</v>
      </c>
      <c r="P33" s="6" t="n">
        <v>159.822</v>
      </c>
      <c r="Q33" s="29" t="n">
        <v>155.236</v>
      </c>
      <c r="R33" s="30" t="n">
        <v>5230.52996</v>
      </c>
      <c r="S33" s="30" t="n">
        <v>1472.02</v>
      </c>
      <c r="T33" s="30" t="n">
        <v>20.45</v>
      </c>
      <c r="U33" s="8" t="s">
        <v>81</v>
      </c>
    </row>
    <row r="34" customFormat="false" ht="13.8" hidden="false" customHeight="false" outlineLevel="0" collapsed="false">
      <c r="A34" s="4" t="s">
        <v>82</v>
      </c>
      <c r="B34" s="26" t="n">
        <v>0.0325999154699563</v>
      </c>
      <c r="C34" s="3" t="n">
        <v>0.1517</v>
      </c>
      <c r="D34" s="3" t="n">
        <v>-0.119100084530044</v>
      </c>
      <c r="E34" s="26" t="n">
        <v>0.0366350396897965</v>
      </c>
      <c r="F34" s="27" t="n">
        <v>99.77</v>
      </c>
      <c r="G34" s="2" t="n">
        <f aca="false">(100-F34)/100</f>
        <v>0.00230000000000004</v>
      </c>
      <c r="H34" s="28" t="n">
        <v>0.0142563295856103</v>
      </c>
      <c r="I34" s="28" t="n">
        <f aca="false">(H34+G34)/2</f>
        <v>0.00827816479280516</v>
      </c>
      <c r="J34" s="28" t="str">
        <f aca="false">IF(I34&gt;0.1,"strong appreciation", IF(I34&gt;=0.05,"mild appreciation", IF(I34&lt;-0.1,"strong depreciation", IF(I34&lt;-0.05,"mild depreciation", "neutral"))))</f>
        <v>neutral</v>
      </c>
      <c r="K34" s="26" t="n">
        <v>0.00206035</v>
      </c>
      <c r="L34" s="26" t="str">
        <f aca="false">IF(K34&lt;0,"",IF(K34&lt;0.002,"low",IF(K34&lt;0.004,"medium","high")))</f>
        <v>medium</v>
      </c>
      <c r="M34" s="26"/>
      <c r="N34" s="26"/>
      <c r="O34" s="5" t="n">
        <v>2543.677</v>
      </c>
      <c r="P34" s="6" t="n">
        <v>0.872174</v>
      </c>
      <c r="Q34" s="29" t="n">
        <v>0.85974</v>
      </c>
      <c r="R34" s="30" t="n">
        <v>711.29059</v>
      </c>
      <c r="S34" s="30" t="n">
        <v>549.02</v>
      </c>
      <c r="T34" s="30" t="n">
        <v>13.92</v>
      </c>
      <c r="U34" s="8" t="s">
        <v>83</v>
      </c>
    </row>
    <row r="35" customFormat="false" ht="13.8" hidden="false" customHeight="false" outlineLevel="0" collapsed="false">
      <c r="A35" s="4" t="s">
        <v>84</v>
      </c>
      <c r="B35" s="26" t="n">
        <v>0.0408444437901003</v>
      </c>
      <c r="C35" s="3" t="n">
        <v>0.1639</v>
      </c>
      <c r="D35" s="3" t="n">
        <v>-0.1230555562099</v>
      </c>
      <c r="E35" s="26" t="n">
        <v>0.0448127661202311</v>
      </c>
      <c r="F35" s="27" t="n">
        <v>107.49</v>
      </c>
      <c r="G35" s="2" t="n">
        <f aca="false">(100-F35)/100</f>
        <v>-0.0749</v>
      </c>
      <c r="H35" s="28" t="n">
        <v>0.0142563295856103</v>
      </c>
      <c r="I35" s="28" t="n">
        <f aca="false">(H35+G35)/2</f>
        <v>-0.0303218352071948</v>
      </c>
      <c r="J35" s="28" t="str">
        <f aca="false">IF(I35&gt;0.1,"strong appreciation", IF(I35&gt;=0.05,"mild appreciation", IF(I35&lt;-0.1,"strong depreciation", IF(I35&lt;-0.05,"mild depreciation", "neutral"))))</f>
        <v>neutral</v>
      </c>
      <c r="K35" s="26" t="n">
        <v>0.00107334</v>
      </c>
      <c r="L35" s="26" t="str">
        <f aca="false">IF(K35&lt;0,"",IF(K35&lt;0.002,"low",IF(K35&lt;0.004,"medium","high")))</f>
        <v>low</v>
      </c>
      <c r="M35" s="26"/>
      <c r="N35" s="26"/>
      <c r="O35" s="5" t="n">
        <v>566.456</v>
      </c>
      <c r="P35" s="6" t="n">
        <v>0.872174</v>
      </c>
      <c r="Q35" s="29" t="n">
        <v>0.85974</v>
      </c>
      <c r="R35" s="30" t="n">
        <v>57.54859</v>
      </c>
      <c r="S35" s="30" t="n">
        <v>57.55</v>
      </c>
      <c r="T35" s="30" t="n">
        <v>11.32</v>
      </c>
      <c r="U35" s="8" t="s">
        <v>85</v>
      </c>
    </row>
    <row r="36" customFormat="false" ht="13.8" hidden="false" customHeight="false" outlineLevel="0" collapsed="false">
      <c r="A36" s="4" t="s">
        <v>86</v>
      </c>
      <c r="B36" s="26" t="n">
        <v>0.0190326389493289</v>
      </c>
      <c r="C36" s="3" t="n">
        <v>0.1615</v>
      </c>
      <c r="D36" s="3" t="n">
        <v>-0.142467361050671</v>
      </c>
      <c r="E36" s="26" t="n">
        <v>0.0415003608156233</v>
      </c>
      <c r="F36" s="27" t="n">
        <v>86.86</v>
      </c>
      <c r="G36" s="2" t="n">
        <f aca="false">(100-F36)/100</f>
        <v>0.1314</v>
      </c>
      <c r="H36" s="28" t="n">
        <v>0.0111208779500293</v>
      </c>
      <c r="I36" s="28" t="n">
        <f aca="false">(H36+G36)/2</f>
        <v>0.0712604389750147</v>
      </c>
      <c r="J36" s="28" t="str">
        <f aca="false">IF(I36&gt;0.1,"strong appreciation", IF(I36&gt;=0.05,"mild appreciation", IF(I36&lt;-0.1,"strong depreciation", IF(I36&lt;-0.05,"mild depreciation", "neutral"))))</f>
        <v>mild appreciation</v>
      </c>
      <c r="K36" s="26" t="n">
        <v>0.00743633</v>
      </c>
      <c r="L36" s="26" t="str">
        <f aca="false">IF(K36&lt;0,"",IF(K36&lt;0.002,"low",IF(K36&lt;0.004,"medium","high")))</f>
        <v>high</v>
      </c>
      <c r="M36" s="26"/>
      <c r="N36" s="26"/>
      <c r="O36" s="5" t="n">
        <v>1858.572</v>
      </c>
      <c r="P36" s="6" t="n">
        <v>1501.68</v>
      </c>
      <c r="Q36" s="29" t="n">
        <v>1484.98</v>
      </c>
      <c r="R36" s="30" t="n">
        <v>2120.89292</v>
      </c>
      <c r="S36" s="30" t="n">
        <v>1465.21</v>
      </c>
      <c r="T36" s="30" t="n">
        <v>23.73</v>
      </c>
      <c r="U36" s="8" t="s">
        <v>87</v>
      </c>
    </row>
    <row r="37" customFormat="false" ht="13.8" hidden="false" customHeight="false" outlineLevel="0" collapsed="false">
      <c r="A37" s="4" t="s">
        <v>88</v>
      </c>
      <c r="B37" s="26" t="n">
        <v>0.0516427809321134</v>
      </c>
      <c r="C37" s="3" t="n">
        <v>0.2275</v>
      </c>
      <c r="D37" s="3" t="n">
        <v>-0.175857219067887</v>
      </c>
      <c r="E37" s="26" t="n">
        <v>0.0605555234998383</v>
      </c>
      <c r="F37" s="27" t="n">
        <v>98.05</v>
      </c>
      <c r="G37" s="2" t="n">
        <f aca="false">(100-F37)/100</f>
        <v>0.0195</v>
      </c>
      <c r="H37" s="28" t="n">
        <v>0</v>
      </c>
      <c r="I37" s="28" t="n">
        <f aca="false">(H37+G37)/2</f>
        <v>0.00975000000000001</v>
      </c>
      <c r="J37" s="28" t="str">
        <f aca="false">IF(I37&gt;0.1,"strong appreciation", IF(I37&gt;=0.05,"mild appreciation", IF(I37&lt;-0.1,"strong depreciation", IF(I37&lt;-0.05,"mild depreciation", "neutral"))))</f>
        <v>neutral</v>
      </c>
      <c r="K37" s="26" t="e">
        <f aca="false">#N/A</f>
        <v>#N/A</v>
      </c>
      <c r="L37" s="26" t="e">
        <f aca="false">IF(K37&lt;0,"",IF(K37&lt;0.002,"low",IF(K37&lt;0.004,"medium","high")))</f>
        <v>#N/A</v>
      </c>
      <c r="M37" s="26"/>
      <c r="N37" s="26"/>
      <c r="O37" s="5" t="n">
        <v>884.387</v>
      </c>
      <c r="P37" s="6" t="n">
        <v>32.0504</v>
      </c>
      <c r="Q37" s="29" t="n">
        <v>32.0504</v>
      </c>
      <c r="R37" s="30" t="n">
        <v>2639.81659</v>
      </c>
      <c r="S37" s="30" t="n">
        <v>2026.53</v>
      </c>
      <c r="T37" s="30" t="n">
        <v>27.53</v>
      </c>
      <c r="U37" s="8" t="s">
        <v>89</v>
      </c>
    </row>
    <row r="39" customFormat="false" ht="13.8" hidden="false" customHeight="false" outlineLevel="0" collapsed="false">
      <c r="A39" s="10"/>
    </row>
    <row r="40" s="25" customFormat="true" ht="13.8" hidden="false" customHeight="false" outlineLevel="0" collapsed="false">
      <c r="A40" s="32" t="s">
        <v>90</v>
      </c>
      <c r="B40" s="33" t="s">
        <v>91</v>
      </c>
      <c r="C40" s="33" t="s">
        <v>92</v>
      </c>
      <c r="D40" s="34" t="s">
        <v>93</v>
      </c>
      <c r="E40" s="33"/>
      <c r="G40" s="35"/>
      <c r="K40" s="36"/>
      <c r="L40" s="36"/>
      <c r="M40" s="20"/>
      <c r="N40" s="20"/>
      <c r="O40" s="37"/>
      <c r="P40" s="38"/>
      <c r="Q40" s="38"/>
      <c r="R40" s="38"/>
      <c r="S40" s="38"/>
      <c r="T40" s="38"/>
      <c r="XET40" s="7"/>
      <c r="XEU40" s="8"/>
      <c r="XEV40" s="8"/>
      <c r="XEW40" s="9"/>
      <c r="XEX40" s="9"/>
      <c r="XEY40" s="9"/>
      <c r="XEZ40" s="9"/>
      <c r="XFA40" s="9"/>
      <c r="XFB40" s="9"/>
      <c r="XFC40" s="9"/>
      <c r="XFD40" s="9"/>
    </row>
    <row r="41" customFormat="false" ht="13.8" hidden="false" customHeight="false" outlineLevel="0" collapsed="false">
      <c r="A41" s="7" t="s">
        <v>94</v>
      </c>
      <c r="B41" s="1" t="s">
        <v>95</v>
      </c>
      <c r="C41" s="39" t="s">
        <v>96</v>
      </c>
    </row>
    <row r="42" customFormat="false" ht="13.8" hidden="false" customHeight="false" outlineLevel="0" collapsed="false">
      <c r="A42" s="7" t="s">
        <v>4</v>
      </c>
      <c r="B42" s="1" t="s">
        <v>97</v>
      </c>
      <c r="C42" s="39" t="s">
        <v>98</v>
      </c>
      <c r="D42" s="1" t="s">
        <v>99</v>
      </c>
    </row>
    <row r="43" customFormat="false" ht="13.8" hidden="false" customHeight="false" outlineLevel="0" collapsed="false">
      <c r="A43" s="7" t="s">
        <v>100</v>
      </c>
      <c r="B43" s="1" t="s">
        <v>101</v>
      </c>
      <c r="C43" s="39" t="s">
        <v>96</v>
      </c>
    </row>
    <row r="44" customFormat="false" ht="13.8" hidden="false" customHeight="false" outlineLevel="0" collapsed="false">
      <c r="A44" s="7" t="s">
        <v>102</v>
      </c>
      <c r="C44" s="39"/>
    </row>
    <row r="45" customFormat="false" ht="13.8" hidden="false" customHeight="false" outlineLevel="0" collapsed="false">
      <c r="A45" s="7" t="s">
        <v>103</v>
      </c>
      <c r="B45" s="1" t="s">
        <v>97</v>
      </c>
      <c r="C45" s="39" t="s">
        <v>98</v>
      </c>
      <c r="D45" s="1" t="s">
        <v>99</v>
      </c>
    </row>
    <row r="46" customFormat="false" ht="13.8" hidden="false" customHeight="false" outlineLevel="0" collapsed="false">
      <c r="A46" s="7" t="s">
        <v>13</v>
      </c>
      <c r="B46" s="1" t="s">
        <v>104</v>
      </c>
      <c r="C46" s="39" t="n">
        <v>2024</v>
      </c>
      <c r="D46" s="1" t="s">
        <v>105</v>
      </c>
      <c r="E46" s="1" t="s">
        <v>106</v>
      </c>
    </row>
    <row r="47" customFormat="false" ht="13.8" hidden="false" customHeight="false" outlineLevel="0" collapsed="false">
      <c r="A47" s="7" t="s">
        <v>8</v>
      </c>
      <c r="B47" s="1" t="s">
        <v>107</v>
      </c>
      <c r="C47" s="39" t="s">
        <v>108</v>
      </c>
      <c r="D47" s="1" t="s">
        <v>109</v>
      </c>
    </row>
    <row r="48" customFormat="false" ht="13.8" hidden="false" customHeight="false" outlineLevel="0" collapsed="false">
      <c r="A48" s="7" t="s">
        <v>110</v>
      </c>
      <c r="B48" s="1" t="s">
        <v>107</v>
      </c>
      <c r="C48" s="39" t="s">
        <v>108</v>
      </c>
      <c r="D48" s="1" t="s">
        <v>111</v>
      </c>
    </row>
    <row r="49" customFormat="false" ht="13.8" hidden="false" customHeight="false" outlineLevel="0" collapsed="false">
      <c r="A49" s="1" t="s">
        <v>112</v>
      </c>
      <c r="B49" s="1" t="s">
        <v>113</v>
      </c>
      <c r="C49" s="39" t="s">
        <v>114</v>
      </c>
      <c r="D49" s="1" t="s">
        <v>115</v>
      </c>
      <c r="K49" s="1"/>
      <c r="L49" s="1"/>
    </row>
    <row r="50" customFormat="false" ht="13.8" hidden="false" customHeight="false" outlineLevel="0" collapsed="false">
      <c r="A50" s="40"/>
    </row>
    <row r="51" customFormat="false" ht="13.8" hidden="false" customHeight="false" outlineLevel="0" collapsed="false">
      <c r="A51" s="41"/>
    </row>
    <row r="52" customFormat="false" ht="13.8" hidden="false" customHeight="false" outlineLevel="0" collapsed="false">
      <c r="A52" s="41"/>
    </row>
    <row r="53" customFormat="false" ht="13.8" hidden="false" customHeight="false" outlineLevel="0" collapsed="false">
      <c r="A53" s="41"/>
    </row>
    <row r="54" customFormat="false" ht="13.8" hidden="false" customHeight="false" outlineLevel="0" collapsed="false">
      <c r="A54" s="41"/>
    </row>
    <row r="58" customFormat="false" ht="13.8" hidden="false" customHeight="false" outlineLevel="0" collapsed="false">
      <c r="A58" s="1" t="s">
        <v>116</v>
      </c>
    </row>
  </sheetData>
  <autoFilter ref="A4:U37"/>
  <mergeCells count="1">
    <mergeCell ref="P2:Q2"/>
  </mergeCells>
  <conditionalFormatting sqref="B5:E37 I5:I37">
    <cfRule type="cellIs" priority="2" operator="greaterThanOrEqual" aboveAverage="0" equalAverage="0" bottom="0" percent="0" rank="0" text="" dxfId="7">
      <formula>0.1</formula>
    </cfRule>
    <cfRule type="cellIs" priority="3" operator="greaterThanOrEqual" aboveAverage="0" equalAverage="0" bottom="0" percent="0" rank="0" text="" dxfId="8">
      <formula>0.05</formula>
    </cfRule>
    <cfRule type="cellIs" priority="4" operator="greaterThanOrEqual" aboveAverage="0" equalAverage="0" bottom="0" percent="0" rank="0" text="" dxfId="9">
      <formula>0</formula>
    </cfRule>
    <cfRule type="cellIs" priority="5" operator="lessThan" aboveAverage="0" equalAverage="0" bottom="0" percent="0" rank="0" text="" dxfId="10">
      <formula>-0.05</formula>
    </cfRule>
    <cfRule type="cellIs" priority="6" operator="lessThan" aboveAverage="0" equalAverage="0" bottom="0" percent="0" rank="0" text="" dxfId="11">
      <formula>0</formula>
    </cfRule>
  </conditionalFormatting>
  <conditionalFormatting sqref="F5:F37">
    <cfRule type="cellIs" priority="7" operator="greaterThanOrEqual" aboveAverage="0" equalAverage="0" bottom="0" percent="0" rank="0" text="" dxfId="7">
      <formula>110</formula>
    </cfRule>
    <cfRule type="cellIs" priority="8" operator="between" aboveAverage="0" equalAverage="0" bottom="0" percent="0" rank="0" text="" dxfId="9">
      <formula>100</formula>
      <formula>110</formula>
    </cfRule>
    <cfRule type="cellIs" priority="9" operator="between" aboveAverage="0" equalAverage="0" bottom="0" percent="0" rank="0" text="" dxfId="11">
      <formula>90</formula>
      <formula>100</formula>
    </cfRule>
    <cfRule type="cellIs" priority="10" operator="lessThan" aboveAverage="0" equalAverage="0" bottom="0" percent="0" rank="0" text="" dxfId="10">
      <formula>90</formula>
    </cfRule>
  </conditionalFormatting>
  <conditionalFormatting sqref="D5:D37">
    <cfRule type="cellIs" priority="11" operator="greaterThanOrEqual" aboveAverage="0" equalAverage="0" bottom="0" percent="0" rank="0" text="" dxfId="7">
      <formula>10</formula>
    </cfRule>
    <cfRule type="cellIs" priority="12" operator="greaterThanOrEqual" aboveAverage="0" equalAverage="0" bottom="0" percent="0" rank="0" text="" dxfId="8">
      <formula>5</formula>
    </cfRule>
    <cfRule type="cellIs" priority="13" operator="greaterThanOrEqual" aboveAverage="0" equalAverage="0" bottom="0" percent="0" rank="0" text="" dxfId="9">
      <formula>0</formula>
    </cfRule>
    <cfRule type="cellIs" priority="14" operator="lessThan" aboveAverage="0" equalAverage="0" bottom="0" percent="0" rank="0" text="" dxfId="11">
      <formula>0</formula>
    </cfRule>
  </conditionalFormatting>
  <conditionalFormatting sqref="K5:L37">
    <cfRule type="cellIs" priority="15" operator="greaterThan" aboveAverage="0" equalAverage="0" bottom="0" percent="0" rank="0" text="" dxfId="10">
      <formula>0.01</formula>
    </cfRule>
    <cfRule type="cellIs" priority="16" operator="between" aboveAverage="0" equalAverage="0" bottom="0" percent="0" rank="0" text="" dxfId="11">
      <formula>0.005</formula>
      <formula>0.01</formula>
    </cfRule>
    <cfRule type="cellIs" priority="17" operator="between" aboveAverage="0" equalAverage="0" bottom="0" percent="0" rank="0" text="" dxfId="9">
      <formula>0.00025</formula>
      <formula>0.005</formula>
    </cfRule>
    <cfRule type="cellIs" priority="18" operator="between" aboveAverage="0" equalAverage="0" bottom="0" percent="0" rank="0" text="" dxfId="7">
      <formula>0</formula>
      <formula>0.00025</formula>
    </cfRule>
    <cfRule type="containsErrors" priority="19" aboveAverage="0" equalAverage="0" bottom="0" percent="0" rank="0" text="" dxfId="12">
      <formula>ISERROR(K5)</formula>
    </cfRule>
  </conditionalFormatting>
  <conditionalFormatting sqref="L5:L37">
    <cfRule type="cellIs" priority="20" operator="equal" aboveAverage="0" equalAverage="0" bottom="0" percent="0" rank="0" text="" dxfId="7">
      <formula>"low"</formula>
    </cfRule>
    <cfRule type="cellIs" priority="21" operator="equal" aboveAverage="0" equalAverage="0" bottom="0" percent="0" rank="0" text="" dxfId="11">
      <formula>"medium"</formula>
    </cfRule>
    <cfRule type="cellIs" priority="22" operator="equal" aboveAverage="0" equalAverage="0" bottom="0" percent="0" rank="0" text="" dxfId="10">
      <formula>"high"</formula>
    </cfRule>
  </conditionalFormatting>
  <hyperlinks>
    <hyperlink ref="D42" r:id="rId1" display="https://data.imf.org/en/Data-Explorer "/>
    <hyperlink ref="D45" r:id="rId2" display="https://data.imf.org/en/Data-Explorer "/>
    <hyperlink ref="D46" r:id="rId3" display="https://wits.worldbank.org/trade/comtrade/en/country/ALL/year/2024/tradeflow/Imports/partner/WLD/product/270900 "/>
    <hyperlink ref="E46" r:id="rId4" display="https://data.un.org/Data.aspx?d=EDATA&amp;f=cmID%3ACR"/>
    <hyperlink ref="D47" r:id="rId5" display="https://data.bis.org/topics/EER/data?data_view=table&amp;rows=REF_AREA&amp;cols=TIME_PERIOD&amp;settings=asc%7Cdesc%7Cname&amp;filter=FREQ%3DM%255EEER_BASKET%3DB%255EEER_TYPE%3DR%255EYEAR%3D2026 "/>
    <hyperlink ref="D48" r:id="rId6" display="https://data.bis.org/topics/EER/data?data_view=table&amp;rows=REF_AREA&amp;cols=TIME_PERIOD&amp;settings=asc%7Cdesc%7Cname&amp;filter=FREQ%3DM%255EEER_BASKET%3DB%255EEER_TYPE%3DR%255ETIMESPAN%3D2016-03-19_2026-03-19 "/>
    <hyperlink ref="D49" r:id="rId7" display="https://www.fxempire.com/currencies/usd-inr/forward-rates 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LibreOffice/26.2.1.2$MacOSX_X86_64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2026-03-19T12:36:54Z</dcterms:created>
  <dc:creator/>
  <dc:description/>
  <dc:language>en-IN</dc:language>
  <cp:lastModifiedBy/>
  <dcterms:modified xsi:type="dcterms:W3CDTF">2026-03-19T15:01:13Z</dcterms:modified>
  <cp:revision>10</cp:revision>
  <dc:subject/>
  <dc:title/>
</cp:coreProperties>
</file>