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'ETF_Timeframes'!$A$1:$J$270</definedName>
    <definedName name="_xlnm._FilterDatabase" localSheetId="1" hidden="1">'Annual'!$A$1:$R$361</definedName>
    <definedName name="_xlnm._FilterDatabase" localSheetId="2" hidden="1">'CAGR'!$A$1:$M$216</definedName>
    <definedName name="_xlnm._FilterDatabase" localSheetId="4" hidden="1">'Country_CAGR_Summary'!$A$5:$K$29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2" customWidth="1" min="7" max="7"/>
    <col width="22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46087</v>
      </c>
      <c r="G2" t="n">
        <v>7.867174482266126</v>
      </c>
      <c r="H2" t="n">
        <v>6.987545203012013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46059</v>
      </c>
      <c r="F3" s="1" t="n">
        <v>46087</v>
      </c>
      <c r="G3" t="n">
        <v>2.429927667269438</v>
      </c>
      <c r="H3" t="n">
        <v>1.191701958517077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46087</v>
      </c>
      <c r="G4" t="n">
        <v>8.864864864864863</v>
      </c>
      <c r="H4" t="n">
        <v>9.155684208719306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46087</v>
      </c>
      <c r="G5" t="n">
        <v>8.098759541984712</v>
      </c>
      <c r="H5" t="n">
        <v>7.398449411301966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45722</v>
      </c>
      <c r="F6" s="1" t="n">
        <v>46087</v>
      </c>
      <c r="G6" t="n">
        <v>15.89514066496163</v>
      </c>
      <c r="H6" t="n">
        <v>20.07953171046051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44991</v>
      </c>
      <c r="F7" s="1" t="n">
        <v>46087</v>
      </c>
      <c r="G7" t="n">
        <v>1.160843844179027</v>
      </c>
      <c r="H7" t="n">
        <v>12.33697519829891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46087</v>
      </c>
      <c r="G8" t="n">
        <v>45.28695094581596</v>
      </c>
      <c r="H8" t="n">
        <v>39.67457780245993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46087</v>
      </c>
      <c r="G9" t="n">
        <v>139.4768133174792</v>
      </c>
      <c r="H9" t="n">
        <v>125.6644703937483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46087</v>
      </c>
      <c r="G10" t="n">
        <v>208.7988851910488</v>
      </c>
      <c r="H10" t="n">
        <v>153.8284252819453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46087</v>
      </c>
      <c r="G11" t="n">
        <v>14.00899342787962</v>
      </c>
      <c r="H11" t="n">
        <v>13.07927918257008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46059</v>
      </c>
      <c r="F12" s="1" t="n">
        <v>46087</v>
      </c>
      <c r="G12" t="n">
        <v>-1.48450732290526</v>
      </c>
      <c r="H12" t="n">
        <v>-2.67541332587965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46087</v>
      </c>
      <c r="G13" t="n">
        <v>11.35135135135135</v>
      </c>
      <c r="H13" t="n">
        <v>11.64881304367515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46087</v>
      </c>
      <c r="G14" t="n">
        <v>28.4489477786438</v>
      </c>
      <c r="H14" t="n">
        <v>27.61680039983892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45722</v>
      </c>
      <c r="F15" s="1" t="n">
        <v>46087</v>
      </c>
      <c r="G15" t="n">
        <v>49.95450409463149</v>
      </c>
      <c r="H15" t="n">
        <v>55.36860757270341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44991</v>
      </c>
      <c r="F16" s="1" t="n">
        <v>46087</v>
      </c>
      <c r="G16" t="n">
        <v>42.95214688448748</v>
      </c>
      <c r="H16" t="n">
        <v>58.74533237229718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46087</v>
      </c>
      <c r="G17" t="n">
        <v>71.69647508247958</v>
      </c>
      <c r="H17" t="n">
        <v>65.06391325026671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46087</v>
      </c>
      <c r="G18" t="n">
        <v>159.5616222601391</v>
      </c>
      <c r="H18" t="n">
        <v>144.5908445600699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46087</v>
      </c>
      <c r="G19" t="n">
        <v>116.2417424895417</v>
      </c>
      <c r="H19" t="n">
        <v>96.27696565970894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46087</v>
      </c>
      <c r="G20" t="n">
        <v>4.645071370211951</v>
      </c>
      <c r="H20" t="n">
        <v>3.791717519527671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46059</v>
      </c>
      <c r="F21" s="1" t="n">
        <v>46087</v>
      </c>
      <c r="G21" t="n">
        <v>4.876932710370396</v>
      </c>
      <c r="H21" t="n">
        <v>3.609126344647784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46087</v>
      </c>
      <c r="G22" t="n">
        <v>6.503130502837018</v>
      </c>
      <c r="H22" t="n">
        <v>6.787640758461988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46087</v>
      </c>
      <c r="G23" t="n">
        <v>17.07756418873505</v>
      </c>
      <c r="H23" t="n">
        <v>16.31908551030781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45722</v>
      </c>
      <c r="F24" s="1" t="n">
        <v>46087</v>
      </c>
      <c r="G24" t="n">
        <v>35.02945736434108</v>
      </c>
      <c r="H24" t="n">
        <v>39.90469241761492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44991</v>
      </c>
      <c r="F25" s="1" t="n">
        <v>46087</v>
      </c>
      <c r="G25" t="n">
        <v>54.69077475045292</v>
      </c>
      <c r="H25" t="n">
        <v>71.78083007407817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46087</v>
      </c>
      <c r="G26" t="n">
        <v>97.06308263191241</v>
      </c>
      <c r="H26" t="n">
        <v>89.45061953519033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46087</v>
      </c>
      <c r="G27" t="n">
        <v>217.9773640014604</v>
      </c>
      <c r="H27" t="n">
        <v>199.6373321097314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46087</v>
      </c>
      <c r="G28" t="n">
        <v>113.5041974866024</v>
      </c>
      <c r="H28" t="n">
        <v>74.59630743455679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46087</v>
      </c>
      <c r="G29" t="n">
        <v>2.61194321965299</v>
      </c>
      <c r="H29" t="n">
        <v>1.77516901016439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46059</v>
      </c>
      <c r="F30" s="1" t="n">
        <v>46087</v>
      </c>
      <c r="G30" t="n">
        <v>1.126176471557816</v>
      </c>
      <c r="H30" t="n">
        <v>-0.09628882141459183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46087</v>
      </c>
      <c r="G31" t="n">
        <v>4.364324864826163</v>
      </c>
      <c r="H31" t="n">
        <v>4.643121559394947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46087</v>
      </c>
      <c r="G32" t="n">
        <v>9.712009323670202</v>
      </c>
      <c r="H32" t="n">
        <v>9.0012478689369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45722</v>
      </c>
      <c r="F33" s="1" t="n">
        <v>46087</v>
      </c>
      <c r="G33" t="n">
        <v>21.58054916294219</v>
      </c>
      <c r="H33" t="n">
        <v>25.97021173468848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44991</v>
      </c>
      <c r="F34" s="1" t="n">
        <v>46087</v>
      </c>
      <c r="G34" t="n">
        <v>5.099726839789387</v>
      </c>
      <c r="H34" t="n">
        <v>16.71102136648281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46087</v>
      </c>
      <c r="G35" t="n">
        <v>-2.395738262071267</v>
      </c>
      <c r="H35" t="n">
        <v>-6.166149394584741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46087</v>
      </c>
      <c r="G36" t="n">
        <v>74.91552163069051</v>
      </c>
      <c r="H36" t="n">
        <v>64.8268907775505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46087</v>
      </c>
      <c r="G37" t="n">
        <v>-13.89432485322896</v>
      </c>
      <c r="H37" t="n">
        <v>-22.69754245729018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46087</v>
      </c>
      <c r="G38" t="n">
        <v>-1.91740412979351</v>
      </c>
      <c r="H38" t="n">
        <v>-2.717242667576536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46059</v>
      </c>
      <c r="F39" s="1" t="n">
        <v>46087</v>
      </c>
      <c r="G39" t="n">
        <v>-3.483309143686508</v>
      </c>
      <c r="H39" t="n">
        <v>-4.650052601030364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46087</v>
      </c>
      <c r="G40" t="n">
        <v>-1.545294716387513</v>
      </c>
      <c r="H40" t="n">
        <v>-1.282284857095395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46087</v>
      </c>
      <c r="G41" t="n">
        <v>4.590582915560804</v>
      </c>
      <c r="H41" t="n">
        <v>3.913000257812249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45722</v>
      </c>
      <c r="F42" s="1" t="n">
        <v>46087</v>
      </c>
      <c r="G42" t="n">
        <v>3.875817631553247</v>
      </c>
      <c r="H42" t="n">
        <v>7.626251330908129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44991</v>
      </c>
      <c r="F43" s="1" t="n">
        <v>46087</v>
      </c>
      <c r="G43" t="n">
        <v>15.45765286745158</v>
      </c>
      <c r="H43" t="n">
        <v>28.21327891059342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46087</v>
      </c>
      <c r="G44" t="n">
        <v>55.79471410791419</v>
      </c>
      <c r="H44" t="n">
        <v>49.77643054119398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46087</v>
      </c>
      <c r="G45" t="n">
        <v>163.301163078446</v>
      </c>
      <c r="H45" t="n">
        <v>148.1146992773125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46087</v>
      </c>
      <c r="G46" t="n">
        <v>113.6614898038105</v>
      </c>
      <c r="H46" t="n">
        <v>76.03491138340142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46087</v>
      </c>
      <c r="G47" t="n">
        <v>-3.866045794402007</v>
      </c>
      <c r="H47" t="n">
        <v>-5.21185998300544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-4.640938027176444</v>
      </c>
      <c r="H48" t="n">
        <v>-6.015750287218824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-1.88983194548864</v>
      </c>
      <c r="H49" t="n">
        <v>-2.182524408543085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-0.1840870397043615</v>
      </c>
      <c r="H50" t="n">
        <v>-0.6023664234085291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0.494229524263412</v>
      </c>
      <c r="H51" t="n">
        <v>8.06393687053475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48.14815200839651</v>
      </c>
      <c r="H52" t="n">
        <v>61.83707898778283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64.6701496884106</v>
      </c>
      <c r="H53" t="n">
        <v>59.72126848826094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125.0922442349333</v>
      </c>
      <c r="H54" t="n">
        <v>138.6426652867672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46087</v>
      </c>
      <c r="G55" t="n">
        <v>159.0577317865288</v>
      </c>
      <c r="H55" t="n">
        <v>103.9455376626097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46087</v>
      </c>
      <c r="G56" t="n">
        <v>-4.693572496263076</v>
      </c>
      <c r="H56" t="n">
        <v>-5.470772089520048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46059</v>
      </c>
      <c r="F57" s="1" t="n">
        <v>46087</v>
      </c>
      <c r="G57" t="n">
        <v>-4.835820895522391</v>
      </c>
      <c r="H57" t="n">
        <v>-5.98621449437613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46087</v>
      </c>
      <c r="G58" t="n">
        <v>-2.765351769011792</v>
      </c>
      <c r="H58" t="n">
        <v>-2.50560114484526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46087</v>
      </c>
      <c r="G59" t="n">
        <v>-0.3646213147202815</v>
      </c>
      <c r="H59" t="n">
        <v>-1.010102034049098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45722</v>
      </c>
      <c r="F60" s="1" t="n">
        <v>46087</v>
      </c>
      <c r="G60" t="n">
        <v>3.327571305099397</v>
      </c>
      <c r="H60" t="n">
        <v>7.058210585068125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44991</v>
      </c>
      <c r="F61" s="1" t="n">
        <v>46087</v>
      </c>
      <c r="G61" t="n">
        <v>44.90909090909092</v>
      </c>
      <c r="H61" t="n">
        <v>60.9184772770091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46087</v>
      </c>
      <c r="G62" t="n">
        <v>65.96963123644252</v>
      </c>
      <c r="H62" t="n">
        <v>59.55829494711875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46087</v>
      </c>
      <c r="G63" t="n">
        <v>98.30021491302847</v>
      </c>
      <c r="H63" t="n">
        <v>86.86282132036713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46087</v>
      </c>
      <c r="G64" t="n">
        <v>284.4321922848686</v>
      </c>
      <c r="H64" t="n">
        <v>248.9390315435194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46087</v>
      </c>
      <c r="G65" t="n">
        <v>-7.349522492903294</v>
      </c>
      <c r="H65" t="n">
        <v>-7.349522492903294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-6.188313723371531</v>
      </c>
      <c r="H66" t="n">
        <v>-6.188313723371531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-7.862743443022957</v>
      </c>
      <c r="H67" t="n">
        <v>-7.862743443022957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-5.566943365070731</v>
      </c>
      <c r="H68" t="n">
        <v>-5.566943365070731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2.358976184812356</v>
      </c>
      <c r="H69" t="n">
        <v>2.358976184812356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27.0528319776036</v>
      </c>
      <c r="H70" t="n">
        <v>27.0528319776036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28.05817625647819</v>
      </c>
      <c r="H71" t="n">
        <v>28.05817625647819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112.1899451633875</v>
      </c>
      <c r="H72" t="n">
        <v>112.1899451633875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46087</v>
      </c>
      <c r="G73" t="n">
        <v>254.3195409451895</v>
      </c>
      <c r="H73" t="n">
        <v>254.3195409451895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-14.93557163439226</v>
      </c>
      <c r="H74" t="n">
        <v>-15.94374079571291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-8.871658550508998</v>
      </c>
      <c r="H75" t="n">
        <v>-10.18547559600168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-16.15668050658137</v>
      </c>
      <c r="H76" t="n">
        <v>-16.40681062234627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-13.29457630320467</v>
      </c>
      <c r="H77" t="n">
        <v>-13.65791607651447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-16.04567536046937</v>
      </c>
      <c r="H78" t="n">
        <v>-9.721832976846089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-30.54806266087365</v>
      </c>
      <c r="H79" t="n">
        <v>-24.13068596110671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-16.14235185151502</v>
      </c>
      <c r="H80" t="n">
        <v>-18.66255080193847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-12.90857321872865</v>
      </c>
      <c r="H81" t="n">
        <v>-7.665720418969491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46087</v>
      </c>
      <c r="G82" t="n">
        <v>-5.888944980705824</v>
      </c>
      <c r="H82" t="n">
        <v>-24.93357653600187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46087</v>
      </c>
      <c r="G92" t="n">
        <v>4.39270283245321</v>
      </c>
      <c r="H92" t="n">
        <v>3.541406982787687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46059</v>
      </c>
      <c r="F93" s="1" t="n">
        <v>46087</v>
      </c>
      <c r="G93" t="n">
        <v>-1.717514124293784</v>
      </c>
      <c r="H93" t="n">
        <v>-2.905603421073366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46087</v>
      </c>
      <c r="G94" t="n">
        <v>7.862103174603186</v>
      </c>
      <c r="H94" t="n">
        <v>8.15024376165978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46087</v>
      </c>
      <c r="G95" t="n">
        <v>16.87718355280838</v>
      </c>
      <c r="H95" t="n">
        <v>16.12000302608914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45722</v>
      </c>
      <c r="F96" s="1" t="n">
        <v>46087</v>
      </c>
      <c r="G96" t="n">
        <v>21.29410124111002</v>
      </c>
      <c r="H96" t="n">
        <v>25.67342161807369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44991</v>
      </c>
      <c r="F97" s="1" t="n">
        <v>46087</v>
      </c>
      <c r="G97" t="n">
        <v>29.6660703637448</v>
      </c>
      <c r="H97" t="n">
        <v>43.99142570370176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46087</v>
      </c>
      <c r="G98" t="n">
        <v>30.83634175691938</v>
      </c>
      <c r="H98" t="n">
        <v>25.78218950256215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46087</v>
      </c>
      <c r="G99" t="n">
        <v>33.60983102918589</v>
      </c>
      <c r="H99" t="n">
        <v>25.90359517865997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46087</v>
      </c>
      <c r="G100" t="n">
        <v>7.042298208172371</v>
      </c>
      <c r="H100" t="n">
        <v>-5.109613564398996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46087</v>
      </c>
      <c r="G101" t="n">
        <v>7.868852459016384</v>
      </c>
      <c r="H101" t="n">
        <v>6.989209496290116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46059</v>
      </c>
      <c r="F102" s="1" t="n">
        <v>46087</v>
      </c>
      <c r="G102" t="n">
        <v>-3.589743589743588</v>
      </c>
      <c r="H102" t="n">
        <v>-4.75520041269839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46087</v>
      </c>
      <c r="G103" t="n">
        <v>9.758131776480393</v>
      </c>
      <c r="H103" t="n">
        <v>10.05133737505022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46087</v>
      </c>
      <c r="G104" t="n">
        <v>22.70396270396271</v>
      </c>
      <c r="H104" t="n">
        <v>21.90903380264513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45722</v>
      </c>
      <c r="F105" s="1" t="n">
        <v>46087</v>
      </c>
      <c r="G105" t="n">
        <v>46.74398058798879</v>
      </c>
      <c r="H105" t="n">
        <v>52.0421681981867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44991</v>
      </c>
      <c r="F106" s="1" t="n">
        <v>46087</v>
      </c>
      <c r="G106" t="n">
        <v>25.39304430681275</v>
      </c>
      <c r="H106" t="n">
        <v>39.24632074077117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46087</v>
      </c>
      <c r="G107" t="n">
        <v>112.3608155683474</v>
      </c>
      <c r="H107" t="n">
        <v>104.1574075524309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46087</v>
      </c>
      <c r="G108" t="n">
        <v>97.47898436184835</v>
      </c>
      <c r="H108" t="n">
        <v>86.08895701661284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46087</v>
      </c>
      <c r="G109" t="n">
        <v>43.80155874907914</v>
      </c>
      <c r="H109" t="n">
        <v>28.20840151972077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46087</v>
      </c>
      <c r="G110" t="n">
        <v>-11.90806035693987</v>
      </c>
      <c r="H110" t="n">
        <v>-11.90806035693987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46059</v>
      </c>
      <c r="F111" s="1" t="n">
        <v>46087</v>
      </c>
      <c r="G111" t="n">
        <v>-15.26371769004276</v>
      </c>
      <c r="H111" t="n">
        <v>-15.26371769004276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46087</v>
      </c>
      <c r="G112" t="n">
        <v>-8.539388662668479</v>
      </c>
      <c r="H112" t="n">
        <v>-8.539388662668479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46087</v>
      </c>
      <c r="G113" t="n">
        <v>-1.333746375283273</v>
      </c>
      <c r="H113" t="n">
        <v>-1.333746375283273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45722</v>
      </c>
      <c r="F114" s="1" t="n">
        <v>46087</v>
      </c>
      <c r="G114" t="n">
        <v>22.62913917936768</v>
      </c>
      <c r="H114" t="n">
        <v>22.62913917936768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44991</v>
      </c>
      <c r="F115" s="1" t="n">
        <v>46087</v>
      </c>
      <c r="G115" t="n">
        <v>174.2241453284601</v>
      </c>
      <c r="H115" t="n">
        <v>174.2241453284601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46087</v>
      </c>
      <c r="G116" t="n">
        <v>35.94017568189498</v>
      </c>
      <c r="H116" t="n">
        <v>35.94017568189498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46087</v>
      </c>
      <c r="G117" t="n">
        <v>-10.14124213117655</v>
      </c>
      <c r="H117" t="n">
        <v>-10.14124213117655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46087</v>
      </c>
      <c r="G118" t="n">
        <v>38.30435044463512</v>
      </c>
      <c r="H118" t="n">
        <v>38.30435044463512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46087</v>
      </c>
      <c r="G119" t="n">
        <v>2.527714832923378</v>
      </c>
      <c r="H119" t="n">
        <v>1.691627484432723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46059</v>
      </c>
      <c r="F120" s="1" t="n">
        <v>46087</v>
      </c>
      <c r="G120" t="n">
        <v>-2.97944020671016</v>
      </c>
      <c r="H120" t="n">
        <v>-4.152274691215851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46087</v>
      </c>
      <c r="G121" t="n">
        <v>3.677128676341801</v>
      </c>
      <c r="H121" t="n">
        <v>3.954089609254319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46087</v>
      </c>
      <c r="G122" t="n">
        <v>-0.9425865491744068</v>
      </c>
      <c r="H122" t="n">
        <v>-1.584322961810103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45722</v>
      </c>
      <c r="F123" s="1" t="n">
        <v>46087</v>
      </c>
      <c r="G123" t="n">
        <v>-0.5163498191728344</v>
      </c>
      <c r="H123" t="n">
        <v>3.075504788378014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44991</v>
      </c>
      <c r="F124" s="1" t="n">
        <v>46087</v>
      </c>
      <c r="G124" t="n">
        <v>-10.76804650638518</v>
      </c>
      <c r="H124" t="n">
        <v>-0.9098049641786288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46087</v>
      </c>
      <c r="G125" t="n">
        <v>-7.85173273315023</v>
      </c>
      <c r="H125" t="n">
        <v>-11.41138111897214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46087</v>
      </c>
      <c r="G126" t="n">
        <v>-12.9518103782973</v>
      </c>
      <c r="H126" t="n">
        <v>-17.97250290083787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46087</v>
      </c>
      <c r="G127" t="n">
        <v>41.84048892530197</v>
      </c>
      <c r="H127" t="n">
        <v>18.34723538742815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46087</v>
      </c>
      <c r="G137" t="n">
        <v>-0.2957071479555373</v>
      </c>
      <c r="H137" t="n">
        <v>-1.108770210754162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46059</v>
      </c>
      <c r="F138" s="1" t="n">
        <v>46087</v>
      </c>
      <c r="G138" t="n">
        <v>-6.161228406909791</v>
      </c>
      <c r="H138" t="n">
        <v>-7.295599797288443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46087</v>
      </c>
      <c r="G139" t="n">
        <v>8.331486815865263</v>
      </c>
      <c r="H139" t="n">
        <v>8.620881304653484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46087</v>
      </c>
      <c r="G140" t="n">
        <v>15.74337121212121</v>
      </c>
      <c r="H140" t="n">
        <v>14.99353600806654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45722</v>
      </c>
      <c r="F141" s="1" t="n">
        <v>46087</v>
      </c>
      <c r="G141" t="n">
        <v>28.23269880849695</v>
      </c>
      <c r="H141" t="n">
        <v>32.86253707053077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44991</v>
      </c>
      <c r="F142" s="1" t="n">
        <v>46087</v>
      </c>
      <c r="G142" t="n">
        <v>107.6184770946064</v>
      </c>
      <c r="H142" t="n">
        <v>130.5559228826802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46087</v>
      </c>
      <c r="G143" t="n">
        <v>108.3972719522591</v>
      </c>
      <c r="H143" t="n">
        <v>100.3469739410515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46087</v>
      </c>
      <c r="G144" t="n">
        <v>120.6227436823105</v>
      </c>
      <c r="H144" t="n">
        <v>107.8978499846706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46087</v>
      </c>
      <c r="G145" t="n">
        <v>56.09833971902938</v>
      </c>
      <c r="H145" t="n">
        <v>30.36656165909075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2.852640038441168</v>
      </c>
      <c r="H146" t="n">
        <v>2.852640038441168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-6.463049292303191</v>
      </c>
      <c r="H147" t="n">
        <v>-6.463049292303191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2.360322361920075</v>
      </c>
      <c r="H148" t="n">
        <v>2.360322361920075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3.401417226037662</v>
      </c>
      <c r="H149" t="n">
        <v>3.401417226037662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-1.781757814759721</v>
      </c>
      <c r="H150" t="n">
        <v>-1.781757814759721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8.636244870356414</v>
      </c>
      <c r="H151" t="n">
        <v>8.636244870356414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28.82218055427612</v>
      </c>
      <c r="H152" t="n">
        <v>28.82218055427612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46087</v>
      </c>
      <c r="G153" t="n">
        <v>23.0456346409331</v>
      </c>
      <c r="H153" t="n">
        <v>23.0456346409331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46087</v>
      </c>
      <c r="G154" t="n">
        <v>2.063898337890424</v>
      </c>
      <c r="H154" t="n">
        <v>2.063898337890424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46059</v>
      </c>
      <c r="F155" s="1" t="n">
        <v>46087</v>
      </c>
      <c r="G155" t="n">
        <v>-5.640365423645688</v>
      </c>
      <c r="H155" t="n">
        <v>-5.640365423645688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45996</v>
      </c>
      <c r="F156" s="1" t="n">
        <v>46087</v>
      </c>
      <c r="G156" t="n">
        <v>8.982717377210058</v>
      </c>
      <c r="H156" t="n">
        <v>8.982717377210058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45905</v>
      </c>
      <c r="F157" s="1" t="n">
        <v>46087</v>
      </c>
      <c r="G157" t="n">
        <v>28.91553210252664</v>
      </c>
      <c r="H157" t="n">
        <v>28.91553210252664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45722</v>
      </c>
      <c r="F158" s="1" t="n">
        <v>46087</v>
      </c>
      <c r="G158" t="n">
        <v>61.69238652073759</v>
      </c>
      <c r="H158" t="n">
        <v>61.69238652073759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44991</v>
      </c>
      <c r="F159" s="1" t="n">
        <v>46087</v>
      </c>
      <c r="G159" t="n">
        <v>99.78990807923644</v>
      </c>
      <c r="H159" t="n">
        <v>99.78990807923644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44260</v>
      </c>
      <c r="F160" s="1" t="n">
        <v>46087</v>
      </c>
      <c r="G160" t="n">
        <v>82.18390235994055</v>
      </c>
      <c r="H160" t="n">
        <v>82.18390235994055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42433</v>
      </c>
      <c r="F161" s="1" t="n">
        <v>46087</v>
      </c>
      <c r="G161" t="n">
        <v>133.7492884857448</v>
      </c>
      <c r="H161" t="n">
        <v>133.7492884857448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46087</v>
      </c>
      <c r="G162" t="n">
        <v>153.7561456400016</v>
      </c>
      <c r="H162" t="n">
        <v>153.7561456400016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46087</v>
      </c>
      <c r="G163" t="n">
        <v>1.521714983894262</v>
      </c>
      <c r="H163" t="n">
        <v>0.6938313074324576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46059</v>
      </c>
      <c r="F164" s="1" t="n">
        <v>46087</v>
      </c>
      <c r="G164" t="n">
        <v>-4.75197999166318</v>
      </c>
      <c r="H164" t="n">
        <v>-5.903387102534041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46087</v>
      </c>
      <c r="G165" t="n">
        <v>7.554718757354673</v>
      </c>
      <c r="H165" t="n">
        <v>7.84203820404934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46087</v>
      </c>
      <c r="G166" t="n">
        <v>28.96853393537462</v>
      </c>
      <c r="H166" t="n">
        <v>28.13302045458241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45722</v>
      </c>
      <c r="F167" s="1" t="n">
        <v>46087</v>
      </c>
      <c r="G167" t="n">
        <v>54.20954951914965</v>
      </c>
      <c r="H167" t="n">
        <v>59.77728130182853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44991</v>
      </c>
      <c r="F168" s="1" t="n">
        <v>46087</v>
      </c>
      <c r="G168" t="n">
        <v>77.75184753014392</v>
      </c>
      <c r="H168" t="n">
        <v>97.38966312106922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46087</v>
      </c>
      <c r="G169" t="n">
        <v>85.67800914169629</v>
      </c>
      <c r="H169" t="n">
        <v>78.50534659330739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46087</v>
      </c>
      <c r="G170" t="n">
        <v>145.798036842813</v>
      </c>
      <c r="H170" t="n">
        <v>131.6211036866502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46087</v>
      </c>
      <c r="G171" t="n">
        <v>203.9594563105534</v>
      </c>
      <c r="H171" t="n">
        <v>149.8504814780351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46087</v>
      </c>
      <c r="G172" t="n">
        <v>28.68875504496111</v>
      </c>
      <c r="H172" t="n">
        <v>28.68875504496111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46059</v>
      </c>
      <c r="F173" s="1" t="n">
        <v>46087</v>
      </c>
      <c r="G173" t="n">
        <v>1.662044463206547</v>
      </c>
      <c r="H173" t="n">
        <v>1.662044463206547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46087</v>
      </c>
      <c r="G174" t="n">
        <v>38.40809938239155</v>
      </c>
      <c r="H174" t="n">
        <v>38.40809938239155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46087</v>
      </c>
      <c r="G175" t="n">
        <v>78.73987401837941</v>
      </c>
      <c r="H175" t="n">
        <v>78.73987401837941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45722</v>
      </c>
      <c r="F176" s="1" t="n">
        <v>46087</v>
      </c>
      <c r="G176" t="n">
        <v>136.8707032498867</v>
      </c>
      <c r="H176" t="n">
        <v>136.8707032498867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44991</v>
      </c>
      <c r="F177" s="1" t="n">
        <v>46087</v>
      </c>
      <c r="G177" t="n">
        <v>121.3158890352331</v>
      </c>
      <c r="H177" t="n">
        <v>121.3158890352331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46087</v>
      </c>
      <c r="G178" t="n">
        <v>54.98310076952562</v>
      </c>
      <c r="H178" t="n">
        <v>54.98310076952562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46087</v>
      </c>
      <c r="G179" t="n">
        <v>217.0698406687391</v>
      </c>
      <c r="H179" t="n">
        <v>217.0698406687391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46087</v>
      </c>
      <c r="G180" t="n">
        <v>223.72330898397</v>
      </c>
      <c r="H180" t="n">
        <v>223.72330898397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46087</v>
      </c>
      <c r="G181" t="n">
        <v>2.360614184612908</v>
      </c>
      <c r="H181" t="n">
        <v>1.14745356580257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46059</v>
      </c>
      <c r="F182" s="1" t="n">
        <v>46087</v>
      </c>
      <c r="G182" t="n">
        <v>-1.465092654968525</v>
      </c>
      <c r="H182" t="n">
        <v>-2.885691765923459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45996</v>
      </c>
      <c r="F183" s="1" t="n">
        <v>46087</v>
      </c>
      <c r="G183" t="n">
        <v>5.119618822306493</v>
      </c>
      <c r="H183" t="n">
        <v>4.806015036291678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45905</v>
      </c>
      <c r="F184" s="1" t="n">
        <v>46087</v>
      </c>
      <c r="G184" t="n">
        <v>9.630738325064293</v>
      </c>
      <c r="H184" t="n">
        <v>9.171329836961984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45722</v>
      </c>
      <c r="F185" s="1" t="n">
        <v>46087</v>
      </c>
      <c r="G185" t="n">
        <v>9.685476328514063</v>
      </c>
      <c r="H185" t="n">
        <v>17.94751246604929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44991</v>
      </c>
      <c r="F186" s="1" t="n">
        <v>46087</v>
      </c>
      <c r="G186" t="n">
        <v>34.74394531838325</v>
      </c>
      <c r="H186" t="n">
        <v>47.19432018551781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44260</v>
      </c>
      <c r="F187" s="1" t="n">
        <v>46087</v>
      </c>
      <c r="G187" t="n">
        <v>60.75610325408802</v>
      </c>
      <c r="H187" t="n">
        <v>55.92485206066382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42433</v>
      </c>
      <c r="F188" s="1" t="n">
        <v>46087</v>
      </c>
      <c r="G188" t="n">
        <v>-94.18918609645826</v>
      </c>
      <c r="H188" t="n">
        <v>-93.83937850839823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46087</v>
      </c>
      <c r="G189" t="n">
        <v>-88.18393649274347</v>
      </c>
      <c r="H189" t="n">
        <v>-90.42790018143894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46087</v>
      </c>
      <c r="G190" t="n">
        <v>1.423614169627019</v>
      </c>
      <c r="H190" t="n">
        <v>0.5965304802693749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46059</v>
      </c>
      <c r="F191" s="1" t="n">
        <v>46087</v>
      </c>
      <c r="G191" t="n">
        <v>-1.783556057841951</v>
      </c>
      <c r="H191" t="n">
        <v>-2.970847005722566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46087</v>
      </c>
      <c r="G192" t="n">
        <v>4.271869312848597</v>
      </c>
      <c r="H192" t="n">
        <v>4.550419023571894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46087</v>
      </c>
      <c r="G193" t="n">
        <v>9.342928001348906</v>
      </c>
      <c r="H193" t="n">
        <v>8.634557613730198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45722</v>
      </c>
      <c r="F194" s="1" t="n">
        <v>46087</v>
      </c>
      <c r="G194" t="n">
        <v>13.01804997088636</v>
      </c>
      <c r="H194" t="n">
        <v>17.09856373155429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44991</v>
      </c>
      <c r="F195" s="1" t="n">
        <v>46087</v>
      </c>
      <c r="G195" t="n">
        <v>31.51428029005623</v>
      </c>
      <c r="H195" t="n">
        <v>46.04382369450049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46087</v>
      </c>
      <c r="G196" t="n">
        <v>-95.97599497162099</v>
      </c>
      <c r="H196" t="n">
        <v>-96.13144057498029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46087</v>
      </c>
      <c r="G197" t="n">
        <v>83.79911348704279</v>
      </c>
      <c r="H197" t="n">
        <v>73.19810226849457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46087</v>
      </c>
      <c r="G198" t="n">
        <v>-93.5718715140469</v>
      </c>
      <c r="H198" t="n">
        <v>-94.21017681795638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46087</v>
      </c>
      <c r="G199" t="n">
        <v>11.30815463382058</v>
      </c>
      <c r="H199" t="n">
        <v>10.40046503959884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46059</v>
      </c>
      <c r="F200" s="1" t="n">
        <v>46087</v>
      </c>
      <c r="G200" t="n">
        <v>2.347001432762497</v>
      </c>
      <c r="H200" t="n">
        <v>1.10977817903315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46087</v>
      </c>
      <c r="G201" t="n">
        <v>13.08707124010553</v>
      </c>
      <c r="H201" t="n">
        <v>13.38916969856863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46087</v>
      </c>
      <c r="G202" t="n">
        <v>27.66808510638297</v>
      </c>
      <c r="H202" t="n">
        <v>26.8409964909013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45722</v>
      </c>
      <c r="F203" s="1" t="n">
        <v>46087</v>
      </c>
      <c r="G203" t="n">
        <v>45.20375568676798</v>
      </c>
      <c r="H203" t="n">
        <v>50.44633351688586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44991</v>
      </c>
      <c r="F204" s="1" t="n">
        <v>46087</v>
      </c>
      <c r="G204" t="n">
        <v>87.72368915029406</v>
      </c>
      <c r="H204" t="n">
        <v>108.4631821052491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46087</v>
      </c>
      <c r="G205" t="n">
        <v>100.7897202516397</v>
      </c>
      <c r="H205" t="n">
        <v>93.03329872812279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46087</v>
      </c>
      <c r="G206" t="n">
        <v>436.804437287529</v>
      </c>
      <c r="H206" t="n">
        <v>405.8430808702537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46087</v>
      </c>
      <c r="G207" t="n">
        <v>1033.862433862434</v>
      </c>
      <c r="H207" t="n">
        <v>929.1772320731013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46087</v>
      </c>
      <c r="G208" t="n">
        <v>14.53016241299303</v>
      </c>
      <c r="H208" t="n">
        <v>13.59619816761679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46059</v>
      </c>
      <c r="F209" s="1" t="n">
        <v>46087</v>
      </c>
      <c r="G209" t="n">
        <v>4.264026402640275</v>
      </c>
      <c r="H209" t="n">
        <v>3.003629163962573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46087</v>
      </c>
      <c r="G210" t="n">
        <v>13.86966551326414</v>
      </c>
      <c r="H210" t="n">
        <v>14.17385457784985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46087</v>
      </c>
      <c r="G211" t="n">
        <v>20.93094472515695</v>
      </c>
      <c r="H211" t="n">
        <v>20.14750219479961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45722</v>
      </c>
      <c r="F212" s="1" t="n">
        <v>46087</v>
      </c>
      <c r="G212" t="n">
        <v>32.85113540790581</v>
      </c>
      <c r="H212" t="n">
        <v>37.64772220348374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44991</v>
      </c>
      <c r="F213" s="1" t="n">
        <v>46087</v>
      </c>
      <c r="G213" t="n">
        <v>1.725914477073687</v>
      </c>
      <c r="H213" t="n">
        <v>12.96447417182025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46087</v>
      </c>
      <c r="G214" t="n">
        <v>11.34921753841816</v>
      </c>
      <c r="H214" t="n">
        <v>7.047844607277276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46087</v>
      </c>
      <c r="G215" t="n">
        <v>55.53367467506894</v>
      </c>
      <c r="H215" t="n">
        <v>46.56293374595848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46087</v>
      </c>
      <c r="G216" t="n">
        <v>72.04572270492213</v>
      </c>
      <c r="H216" t="n">
        <v>52.51433671867773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46087</v>
      </c>
      <c r="G226" t="n">
        <v>4.49376776732997</v>
      </c>
      <c r="H226" t="n">
        <v>3.64164775891318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46059</v>
      </c>
      <c r="F227" s="1" t="n">
        <v>46087</v>
      </c>
      <c r="G227" t="n">
        <v>-0.364887406171821</v>
      </c>
      <c r="H227" t="n">
        <v>-1.569327951213195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46087</v>
      </c>
      <c r="G228" t="n">
        <v>7.153268303621485</v>
      </c>
      <c r="H228" t="n">
        <v>7.439515323893819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46087</v>
      </c>
      <c r="G229" t="n">
        <v>13.08720861436514</v>
      </c>
      <c r="H229" t="n">
        <v>12.35458117091597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45722</v>
      </c>
      <c r="F230" s="1" t="n">
        <v>46087</v>
      </c>
      <c r="G230" t="n">
        <v>21.8150532152189</v>
      </c>
      <c r="H230" t="n">
        <v>26.21318254968579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44991</v>
      </c>
      <c r="F231" s="1" t="n">
        <v>46087</v>
      </c>
      <c r="G231" t="n">
        <v>43.0046386353434</v>
      </c>
      <c r="H231" t="n">
        <v>58.80362335020857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46087</v>
      </c>
      <c r="G232" t="n">
        <v>86.75134342940889</v>
      </c>
      <c r="H232" t="n">
        <v>79.53721843383539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46087</v>
      </c>
      <c r="G233" t="n">
        <v>132.4314464644008</v>
      </c>
      <c r="H233" t="n">
        <v>119.0254603050268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46087</v>
      </c>
      <c r="G234" t="n">
        <v>206.0198527057316</v>
      </c>
      <c r="H234" t="n">
        <v>161.7427135605558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46087</v>
      </c>
      <c r="G235" t="n">
        <v>4.104028863499698</v>
      </c>
      <c r="H235" t="n">
        <v>3.255087076378871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46059</v>
      </c>
      <c r="F236" s="1" t="n">
        <v>46087</v>
      </c>
      <c r="G236" t="n">
        <v>-0.5028735632183978</v>
      </c>
      <c r="H236" t="n">
        <v>-1.705646060541699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46087</v>
      </c>
      <c r="G237" t="n">
        <v>6.801357186921653</v>
      </c>
      <c r="H237" t="n">
        <v>7.086664119129948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46087</v>
      </c>
      <c r="G238" t="n">
        <v>13.14127001415968</v>
      </c>
      <c r="H238" t="n">
        <v>12.40829233777427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45722</v>
      </c>
      <c r="F239" s="1" t="n">
        <v>46087</v>
      </c>
      <c r="G239" t="n">
        <v>22.33541396773053</v>
      </c>
      <c r="H239" t="n">
        <v>26.75233091366021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44991</v>
      </c>
      <c r="F240" s="1" t="n">
        <v>46087</v>
      </c>
      <c r="G240" t="n">
        <v>44.42127215849845</v>
      </c>
      <c r="H240" t="n">
        <v>60.37676488312098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46087</v>
      </c>
      <c r="G241" t="n">
        <v>84.50266429840143</v>
      </c>
      <c r="H241" t="n">
        <v>77.3754048215874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46087</v>
      </c>
      <c r="G242" t="n">
        <v>139.5364925631269</v>
      </c>
      <c r="H242" t="n">
        <v>125.720707509885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46087</v>
      </c>
      <c r="G243" t="n">
        <v>220.4040715607649</v>
      </c>
      <c r="H243" t="n">
        <v>173.8488490194649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46087</v>
      </c>
      <c r="G244" t="n">
        <v>-1.865872577990424</v>
      </c>
      <c r="H244" t="n">
        <v>-1.865872577990424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46059</v>
      </c>
      <c r="F245" s="1" t="n">
        <v>46087</v>
      </c>
      <c r="G245" t="n">
        <v>-2.013143468923184</v>
      </c>
      <c r="H245" t="n">
        <v>-2.013143468923184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46087</v>
      </c>
      <c r="G246" t="n">
        <v>-1.428085685141112</v>
      </c>
      <c r="H246" t="n">
        <v>-1.428085685141112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46087</v>
      </c>
      <c r="G247" t="n">
        <v>4.852357020464404</v>
      </c>
      <c r="H247" t="n">
        <v>4.852357020464404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45722</v>
      </c>
      <c r="F248" s="1" t="n">
        <v>46087</v>
      </c>
      <c r="G248" t="n">
        <v>17.52257976143547</v>
      </c>
      <c r="H248" t="n">
        <v>17.52257976143547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44991</v>
      </c>
      <c r="F249" s="1" t="n">
        <v>46087</v>
      </c>
      <c r="G249" t="n">
        <v>71.66034558156511</v>
      </c>
      <c r="H249" t="n">
        <v>71.66034558156511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46087</v>
      </c>
      <c r="G250" t="n">
        <v>91.61620679174437</v>
      </c>
      <c r="H250" t="n">
        <v>91.61620679174437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46087</v>
      </c>
      <c r="G251" t="n">
        <v>287.981792376732</v>
      </c>
      <c r="H251" t="n">
        <v>287.981792376732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46087</v>
      </c>
      <c r="G252" t="n">
        <v>658.5827852783831</v>
      </c>
      <c r="H252" t="n">
        <v>658.5827852783831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46087</v>
      </c>
      <c r="G253" t="n">
        <v>-2.039094430857236</v>
      </c>
      <c r="H253" t="n">
        <v>-2.039094430857236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46059</v>
      </c>
      <c r="F254" s="1" t="n">
        <v>46087</v>
      </c>
      <c r="G254" t="n">
        <v>-2.025319889460264</v>
      </c>
      <c r="H254" t="n">
        <v>-2.025319889460264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46087</v>
      </c>
      <c r="G255" t="n">
        <v>-1.762797973539787</v>
      </c>
      <c r="H255" t="n">
        <v>-1.762797973539787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46087</v>
      </c>
      <c r="G256" t="n">
        <v>4.453433810857832</v>
      </c>
      <c r="H256" t="n">
        <v>4.453433810857832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45722</v>
      </c>
      <c r="F257" s="1" t="n">
        <v>46087</v>
      </c>
      <c r="G257" t="n">
        <v>17.21352682049964</v>
      </c>
      <c r="H257" t="n">
        <v>17.21352682049964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44991</v>
      </c>
      <c r="F258" s="1" t="n">
        <v>46087</v>
      </c>
      <c r="G258" t="n">
        <v>71.7095726433232</v>
      </c>
      <c r="H258" t="n">
        <v>71.7095726433232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46087</v>
      </c>
      <c r="G259" t="n">
        <v>87.27819969585798</v>
      </c>
      <c r="H259" t="n">
        <v>87.27819969585798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46087</v>
      </c>
      <c r="G260" t="n">
        <v>281.4373582948323</v>
      </c>
      <c r="H260" t="n">
        <v>281.4373582948323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46087</v>
      </c>
      <c r="G261" t="n">
        <v>636.675120104875</v>
      </c>
      <c r="H261" t="n">
        <v>636.675120104875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46087</v>
      </c>
      <c r="G262" t="n">
        <v>-7.268900760887165</v>
      </c>
      <c r="H262" t="n">
        <v>-8.025099209392483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46059</v>
      </c>
      <c r="F263" s="1" t="n">
        <v>46087</v>
      </c>
      <c r="G263" t="n">
        <v>-0.1046389954656446</v>
      </c>
      <c r="H263" t="n">
        <v>-1.312225557302471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46087</v>
      </c>
      <c r="G264" t="n">
        <v>-4.628704628704627</v>
      </c>
      <c r="H264" t="n">
        <v>-4.373931726750834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46087</v>
      </c>
      <c r="G265" t="n">
        <v>3.48690153568203</v>
      </c>
      <c r="H265" t="n">
        <v>2.816468999309985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45722</v>
      </c>
      <c r="F266" s="1" t="n">
        <v>46087</v>
      </c>
      <c r="G266" t="n">
        <v>45.10449651678277</v>
      </c>
      <c r="H266" t="n">
        <v>50.34349059714474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44991</v>
      </c>
      <c r="F267" s="1" t="n">
        <v>46087</v>
      </c>
      <c r="G267" t="n">
        <v>37.2304743651174</v>
      </c>
      <c r="H267" t="n">
        <v>52.39153618519418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46087</v>
      </c>
      <c r="G268" t="n">
        <v>7.065420560747659</v>
      </c>
      <c r="H268" t="n">
        <v>2.929528885511412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46087</v>
      </c>
      <c r="G269" t="n">
        <v>81.58186717387859</v>
      </c>
      <c r="H269" t="n">
        <v>71.10874042982105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46087</v>
      </c>
      <c r="G270" t="n">
        <v>21.30453197797544</v>
      </c>
      <c r="H270" t="n">
        <v>10.10494635909467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1.172686934071798</v>
      </c>
      <c r="Q3" t="n">
        <v>12.20446114007192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-2.984459854277322</v>
      </c>
      <c r="Q4" t="n">
        <v>20.71296466297954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2.490525814960742</v>
      </c>
      <c r="Q5" t="n">
        <v>-14.7051607410705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7.580436734990359</v>
      </c>
      <c r="Q6" t="n">
        <v>12.39547592601651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0.7244108415814354</v>
      </c>
      <c r="Q7" t="n">
        <v>6.824418873076143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-8.161557481435434</v>
      </c>
      <c r="Q8" t="n">
        <v>57.7838825503771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8.176668778948027</v>
      </c>
      <c r="Q9" t="n">
        <v>-23.60291214834977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4.531741720769156</v>
      </c>
      <c r="Q10" t="n">
        <v>15.92355995472749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0.7178450488759314</v>
      </c>
      <c r="Q11" t="n">
        <v>-20.34327842164313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2.855147160381288</v>
      </c>
      <c r="Q12" t="n">
        <v>8.996565203179818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8.357245337159247</v>
      </c>
      <c r="F13" t="n">
        <v>2.149</v>
      </c>
      <c r="G13" t="n">
        <v>5.21892</v>
      </c>
      <c r="H13" t="n">
        <v>6.489122</v>
      </c>
      <c r="I13" t="n">
        <v>-0.7740921271900651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8.357245337159247</v>
      </c>
      <c r="N13" t="n">
        <v>-1.00965210638666</v>
      </c>
      <c r="O13" t="n">
        <v>7.263214127190065</v>
      </c>
      <c r="P13" t="n">
        <v>-1.192799344672812</v>
      </c>
      <c r="Q13" t="n">
        <v>8.558094365369495</v>
      </c>
      <c r="R13" t="n">
        <v>1948227000000</v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2015</v>
      </c>
      <c r="E14" t="n">
        <v>-37.88392398561889</v>
      </c>
      <c r="F14" t="n">
        <v>-3.546</v>
      </c>
      <c r="G14" t="inlineStr"/>
      <c r="H14" t="inlineStr"/>
      <c r="I14" t="inlineStr"/>
      <c r="J14" t="inlineStr">
        <is>
          <t>Brazil|XMBR.L|2015</t>
        </is>
      </c>
      <c r="K14" t="inlineStr">
        <is>
          <t>Brazil|2015</t>
        </is>
      </c>
      <c r="L14" t="inlineStr">
        <is>
          <t>GBp</t>
        </is>
      </c>
      <c r="M14" t="n">
        <v>-37.88392398561889</v>
      </c>
      <c r="N14" t="n">
        <v>-4.888855870697362</v>
      </c>
      <c r="O14" t="n">
        <v>-40.9206894144948</v>
      </c>
      <c r="P14" t="inlineStr"/>
      <c r="Q14" t="inlineStr"/>
      <c r="R14" t="n">
        <v>1800046000000</v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2016</v>
      </c>
      <c r="E15" t="n">
        <v>105.2944171050399</v>
      </c>
      <c r="F15" t="n">
        <v>-3.276</v>
      </c>
      <c r="G15" t="n">
        <v>4.562203</v>
      </c>
      <c r="H15" t="n">
        <v>-0.190217</v>
      </c>
      <c r="I15" t="n">
        <v>-71.35298252407628</v>
      </c>
      <c r="J15" t="inlineStr">
        <is>
          <t>Brazil|XMBR.L|2016</t>
        </is>
      </c>
      <c r="K15" t="inlineStr">
        <is>
          <t>Brazil|2016</t>
        </is>
      </c>
      <c r="L15" t="inlineStr">
        <is>
          <t>GBp</t>
        </is>
      </c>
      <c r="M15" t="n">
        <v>105.2944171050399</v>
      </c>
      <c r="N15" t="n">
        <v>-16.62570861023462</v>
      </c>
      <c r="O15" t="n">
        <v>71.16276552407628</v>
      </c>
      <c r="P15" t="n">
        <v>4.761477945983761</v>
      </c>
      <c r="Q15" t="n">
        <v>63.3833054668528</v>
      </c>
      <c r="R15" t="n">
        <v>1796622000000</v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2017</v>
      </c>
      <c r="E16" t="n">
        <v>10.3247697527872</v>
      </c>
      <c r="F16" t="n">
        <v>1.323</v>
      </c>
      <c r="G16" t="n">
        <v>5.042838</v>
      </c>
      <c r="H16" t="n">
        <v>14.85549</v>
      </c>
      <c r="I16" t="n">
        <v>-5.223520785701201</v>
      </c>
      <c r="J16" t="inlineStr">
        <is>
          <t>Brazil|XMBR.L|2017</t>
        </is>
      </c>
      <c r="K16" t="inlineStr">
        <is>
          <t>Brazil|2017</t>
        </is>
      </c>
      <c r="L16" t="inlineStr">
        <is>
          <t>GBp</t>
        </is>
      </c>
      <c r="M16" t="n">
        <v>10.3247697527872</v>
      </c>
      <c r="N16" t="n">
        <v>8.841388071573641</v>
      </c>
      <c r="O16" t="n">
        <v>20.0790107857012</v>
      </c>
      <c r="P16" t="n">
        <v>-8.54347666776899</v>
      </c>
      <c r="Q16" t="n">
        <v>31.29627763073199</v>
      </c>
      <c r="R16" t="n">
        <v>2063519000000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2018</v>
      </c>
      <c r="E17" t="n">
        <v>2.443218456688401</v>
      </c>
      <c r="F17" t="n">
        <v>1.784</v>
      </c>
      <c r="G17" t="n">
        <v>6.357351</v>
      </c>
      <c r="H17" t="n">
        <v>-7.103642</v>
      </c>
      <c r="I17" t="n">
        <v>-3.312878956086286</v>
      </c>
      <c r="J17" t="inlineStr">
        <is>
          <t>Brazil|XMBR.L|2018</t>
        </is>
      </c>
      <c r="K17" t="inlineStr">
        <is>
          <t>Brazil|2018</t>
        </is>
      </c>
      <c r="L17" t="inlineStr">
        <is>
          <t>GBp</t>
        </is>
      </c>
      <c r="M17" t="n">
        <v>2.443218456688401</v>
      </c>
      <c r="N17" t="n">
        <v>-6.085304224640065</v>
      </c>
      <c r="O17" t="n">
        <v>-3.790763043913714</v>
      </c>
      <c r="P17" t="n">
        <v>14.49033409926102</v>
      </c>
      <c r="Q17" t="n">
        <v>-15.9673716449507</v>
      </c>
      <c r="R17" t="n">
        <v>1916934000000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2019</v>
      </c>
      <c r="E18" t="n">
        <v>13.68379342226918</v>
      </c>
      <c r="F18" t="n">
        <v>1.221</v>
      </c>
      <c r="G18" t="n">
        <v>5.496606</v>
      </c>
      <c r="H18" t="n">
        <v>-2.276969</v>
      </c>
      <c r="I18" t="n">
        <v>-19.30745902478561</v>
      </c>
      <c r="J18" t="inlineStr">
        <is>
          <t>Brazil|XMBR.L|2019</t>
        </is>
      </c>
      <c r="K18" t="inlineStr">
        <is>
          <t>Brazil|2019</t>
        </is>
      </c>
      <c r="L18" t="inlineStr">
        <is>
          <t>GBp</t>
        </is>
      </c>
      <c r="M18" t="n">
        <v>13.68379342226918</v>
      </c>
      <c r="N18" t="n">
        <v>2.94386429390634</v>
      </c>
      <c r="O18" t="n">
        <v>17.03049002478561</v>
      </c>
      <c r="P18" t="n">
        <v>7.954700981608953</v>
      </c>
      <c r="Q18" t="n">
        <v>8.407034580849615</v>
      </c>
      <c r="R18" t="n">
        <v>1873286000000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2020</v>
      </c>
      <c r="E19" t="n">
        <v>-23.38314132542488</v>
      </c>
      <c r="F19" t="n">
        <v>-3.277</v>
      </c>
      <c r="G19" t="n">
        <v>2.983653</v>
      </c>
      <c r="H19" t="n">
        <v>-21.203062</v>
      </c>
      <c r="I19" t="n">
        <v>0.05380951822924729</v>
      </c>
      <c r="J19" t="inlineStr">
        <is>
          <t>Brazil|XMBR.L|2020</t>
        </is>
      </c>
      <c r="K19" t="inlineStr">
        <is>
          <t>Brazil|2020</t>
        </is>
      </c>
      <c r="L19" t="inlineStr">
        <is>
          <t>GBp</t>
        </is>
      </c>
      <c r="M19" t="n">
        <v>-23.38314132542488</v>
      </c>
      <c r="N19" t="n">
        <v>2.775198362317122</v>
      </c>
      <c r="O19" t="n">
        <v>-21.25687151822925</v>
      </c>
      <c r="P19" t="n">
        <v>30.6949937163489</v>
      </c>
      <c r="Q19" t="n">
        <v>-39.7504630876151</v>
      </c>
      <c r="R19" t="n">
        <v>1476092000000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2021</v>
      </c>
      <c r="E20" t="n">
        <v>-16.78624813153962</v>
      </c>
      <c r="F20" t="n">
        <v>4.763</v>
      </c>
      <c r="G20" t="n">
        <v>18.431265</v>
      </c>
      <c r="H20" t="n">
        <v>13.180615</v>
      </c>
      <c r="I20" t="n">
        <v>31.02968624156539</v>
      </c>
      <c r="J20" t="inlineStr">
        <is>
          <t>Brazil|XMBR.L|2021</t>
        </is>
      </c>
      <c r="K20" t="inlineStr">
        <is>
          <t>Brazil|2021</t>
        </is>
      </c>
      <c r="L20" t="inlineStr">
        <is>
          <t>GBp</t>
        </is>
      </c>
      <c r="M20" t="n">
        <v>-16.78624813153962</v>
      </c>
      <c r="N20" t="n">
        <v>-1.277220514832489</v>
      </c>
      <c r="O20" t="n">
        <v>-17.84907124156539</v>
      </c>
      <c r="P20" t="n">
        <v>4.639178187779924</v>
      </c>
      <c r="Q20" t="n">
        <v>-21.49123284300752</v>
      </c>
      <c r="R20" t="n">
        <v>1670650000000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2022</v>
      </c>
      <c r="E21" t="n">
        <v>29.69270640503516</v>
      </c>
      <c r="F21" t="n">
        <v>3.017</v>
      </c>
      <c r="G21" t="n">
        <v>11.845508</v>
      </c>
      <c r="H21" t="n">
        <v>16.831712</v>
      </c>
      <c r="I21" t="n">
        <v>1.199052827924231</v>
      </c>
      <c r="J21" t="inlineStr">
        <is>
          <t>Brazil|XMBR.L|2022</t>
        </is>
      </c>
      <c r="K21" t="inlineStr">
        <is>
          <t>Brazil|2022</t>
        </is>
      </c>
      <c r="L21" t="inlineStr">
        <is>
          <t>GBp</t>
        </is>
      </c>
      <c r="M21" t="n">
        <v>29.69270640503516</v>
      </c>
      <c r="N21" t="n">
        <v>-10.84104698150823</v>
      </c>
      <c r="O21" t="n">
        <v>15.63265917207577</v>
      </c>
      <c r="P21" t="n">
        <v>-4.267851708362103</v>
      </c>
      <c r="Q21" t="n">
        <v>20.78769904944895</v>
      </c>
      <c r="R21" t="n">
        <v>1951849000000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2023</v>
      </c>
      <c r="E22" t="n">
        <v>32.01622596153846</v>
      </c>
      <c r="F22" t="n">
        <v>3.242</v>
      </c>
      <c r="G22" t="n">
        <v>8.56841</v>
      </c>
      <c r="H22" t="n">
        <v>12.259555</v>
      </c>
      <c r="I22" t="n">
        <v>-26.44069299210054</v>
      </c>
      <c r="J22" t="inlineStr">
        <is>
          <t>Brazil|XMBR.L|2023</t>
        </is>
      </c>
      <c r="K22" t="inlineStr">
        <is>
          <t>Brazil|2023</t>
        </is>
      </c>
      <c r="L22" t="inlineStr">
        <is>
          <t>GBp</t>
        </is>
      </c>
      <c r="M22" t="n">
        <v>32.01622596153846</v>
      </c>
      <c r="N22" t="n">
        <v>5.06303068571996</v>
      </c>
      <c r="O22" t="n">
        <v>38.70024799210054</v>
      </c>
      <c r="P22" t="n">
        <v>-3.288044909257404</v>
      </c>
      <c r="Q22" t="n">
        <v>43.41582471573582</v>
      </c>
      <c r="R22" t="n">
        <v>2191137000000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2024</v>
      </c>
      <c r="E23" t="n">
        <v>-28.08666743092974</v>
      </c>
      <c r="F23" t="n">
        <v>3.396</v>
      </c>
      <c r="G23" t="n">
        <v>7.322853</v>
      </c>
      <c r="H23" t="n">
        <v>-0.535065</v>
      </c>
      <c r="I23" t="n">
        <v>28.57352937738738</v>
      </c>
      <c r="J23" t="inlineStr">
        <is>
          <t>Brazil|XMBR.L|2024</t>
        </is>
      </c>
      <c r="K23" t="inlineStr">
        <is>
          <t>Brazil|2024</t>
        </is>
      </c>
      <c r="L23" t="inlineStr">
        <is>
          <t>GBp</t>
        </is>
      </c>
      <c r="M23" t="n">
        <v>-28.08666743092974</v>
      </c>
      <c r="N23" t="n">
        <v>-1.421053523664917</v>
      </c>
      <c r="O23" t="n">
        <v>-29.10859437738738</v>
      </c>
      <c r="P23" t="n">
        <v>7.900188842546507</v>
      </c>
      <c r="Q23" t="n">
        <v>-34.29909031386313</v>
      </c>
      <c r="R23" t="n">
        <v>2179413000000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2025</v>
      </c>
      <c r="E24" t="n">
        <v>35.96174949051576</v>
      </c>
      <c r="F24" t="n">
        <v>2.4</v>
      </c>
      <c r="G24" t="n">
        <v>7.880595</v>
      </c>
      <c r="H24" t="n">
        <v>3.555866</v>
      </c>
      <c r="I24" t="n">
        <v>-42.70081138405066</v>
      </c>
      <c r="J24" t="inlineStr">
        <is>
          <t>Brazil|XMBR.L|2025</t>
        </is>
      </c>
      <c r="K24" t="inlineStr">
        <is>
          <t>Brazil|2025</t>
        </is>
      </c>
      <c r="L24" t="inlineStr">
        <is>
          <t>GBp</t>
        </is>
      </c>
      <c r="M24" t="n">
        <v>35.96174949051576</v>
      </c>
      <c r="N24" t="n">
        <v>7.571929555270285</v>
      </c>
      <c r="O24" t="n">
        <v>46.25667738405066</v>
      </c>
      <c r="P24" t="n">
        <v>4.176228611024402</v>
      </c>
      <c r="Q24" t="n">
        <v>40.39352291216763</v>
      </c>
      <c r="R24" t="n">
        <v>2256910000000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2026</v>
      </c>
      <c r="E25" t="n">
        <v>13.6551724137931</v>
      </c>
      <c r="F25" t="n">
        <v>1.942</v>
      </c>
      <c r="G25" t="n">
        <v>6.700485</v>
      </c>
      <c r="H25" t="n">
        <v>1.585353</v>
      </c>
      <c r="I25" t="n">
        <v>-10.92229757149985</v>
      </c>
      <c r="J25" t="inlineStr">
        <is>
          <t>Brazil|XMBR.L|2026</t>
        </is>
      </c>
      <c r="K25" t="inlineStr">
        <is>
          <t>Brazil|2026</t>
        </is>
      </c>
      <c r="L25" t="inlineStr">
        <is>
          <t>GBp</t>
        </is>
      </c>
      <c r="M25" t="n">
        <v>13.6551724137931</v>
      </c>
      <c r="N25" t="n">
        <v>-1.00965210638666</v>
      </c>
      <c r="O25" t="n">
        <v>12.50765057149985</v>
      </c>
      <c r="P25" t="n">
        <v>5.035304169500088</v>
      </c>
      <c r="Q25" t="n">
        <v>7.114128398144404</v>
      </c>
      <c r="R25" t="n">
        <v>2292690000000</v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n">
        <v>2015</v>
      </c>
      <c r="E26" t="n">
        <v>-20.18576245308225</v>
      </c>
      <c r="F26" t="n">
        <v>0.65</v>
      </c>
      <c r="G26" t="inlineStr"/>
      <c r="H26" t="inlineStr"/>
      <c r="I26" t="inlineStr"/>
      <c r="J26" t="inlineStr">
        <is>
          <t>Canada|CSCA.L|2015</t>
        </is>
      </c>
      <c r="K26" t="inlineStr">
        <is>
          <t>Canada|2015</t>
        </is>
      </c>
      <c r="L26" t="inlineStr">
        <is>
          <t>GBp</t>
        </is>
      </c>
      <c r="M26" t="n">
        <v>-20.18576245308225</v>
      </c>
      <c r="N26" t="n">
        <v>-4.888855870697362</v>
      </c>
      <c r="O26" t="n">
        <v>-24.08776549104709</v>
      </c>
      <c r="P26" t="inlineStr"/>
      <c r="Q26" t="inlineStr"/>
      <c r="R26" t="n">
        <v>1556508000000</v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n">
        <v>2016</v>
      </c>
      <c r="E27" t="n">
        <v>52.57496740547589</v>
      </c>
      <c r="F27" t="n">
        <v>1.039</v>
      </c>
      <c r="G27" t="n">
        <v>1.763127</v>
      </c>
      <c r="H27" t="n">
        <v>-1.831793</v>
      </c>
      <c r="I27" t="n">
        <v>-29.04009091248101</v>
      </c>
      <c r="J27" t="inlineStr">
        <is>
          <t>Canada|CSCA.L|2016</t>
        </is>
      </c>
      <c r="K27" t="inlineStr">
        <is>
          <t>Canada|2016</t>
        </is>
      </c>
      <c r="L27" t="inlineStr">
        <is>
          <t>GBp</t>
        </is>
      </c>
      <c r="M27" t="n">
        <v>52.57496740547589</v>
      </c>
      <c r="N27" t="n">
        <v>-16.62570861023462</v>
      </c>
      <c r="O27" t="n">
        <v>27.208297912481</v>
      </c>
      <c r="P27" t="n">
        <v>3.661999815545869</v>
      </c>
      <c r="Q27" t="n">
        <v>22.71449339085967</v>
      </c>
      <c r="R27" t="n">
        <v>1527996000000</v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n">
        <v>2017</v>
      </c>
      <c r="E28" t="n">
        <v>4.695559691571383</v>
      </c>
      <c r="F28" t="n">
        <v>3.034</v>
      </c>
      <c r="G28" t="n">
        <v>5.682746</v>
      </c>
      <c r="H28" t="n">
        <v>7.936539</v>
      </c>
      <c r="I28" t="n">
        <v>-6.015561417609238</v>
      </c>
      <c r="J28" t="inlineStr">
        <is>
          <t>Canada|CSCA.L|2017</t>
        </is>
      </c>
      <c r="K28" t="inlineStr">
        <is>
          <t>Canada|2017</t>
        </is>
      </c>
      <c r="L28" t="inlineStr">
        <is>
          <t>GBp</t>
        </is>
      </c>
      <c r="M28" t="n">
        <v>4.695559691571383</v>
      </c>
      <c r="N28" t="n">
        <v>8.841388071573641</v>
      </c>
      <c r="O28" t="n">
        <v>13.95210041760924</v>
      </c>
      <c r="P28" t="n">
        <v>-2.088072837450061</v>
      </c>
      <c r="Q28" t="n">
        <v>16.38224649427027</v>
      </c>
      <c r="R28" t="n">
        <v>1649266000000</v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n">
        <v>2018</v>
      </c>
      <c r="E29" t="n">
        <v>-11.89139532509951</v>
      </c>
      <c r="F29" t="n">
        <v>2.743</v>
      </c>
      <c r="G29" t="n">
        <v>4.439511</v>
      </c>
      <c r="H29" t="n">
        <v>4.610172</v>
      </c>
      <c r="I29" t="n">
        <v>21.86324396765264</v>
      </c>
      <c r="J29" t="inlineStr">
        <is>
          <t>Canada|CSCA.L|2018</t>
        </is>
      </c>
      <c r="K29" t="inlineStr">
        <is>
          <t>Canada|2018</t>
        </is>
      </c>
      <c r="L29" t="inlineStr">
        <is>
          <t>GBp</t>
        </is>
      </c>
      <c r="M29" t="n">
        <v>-11.89139532509951</v>
      </c>
      <c r="N29" t="n">
        <v>-6.085304224640065</v>
      </c>
      <c r="O29" t="n">
        <v>-17.25307196765264</v>
      </c>
      <c r="P29" t="n">
        <v>-0.1631396777285521</v>
      </c>
      <c r="Q29" t="n">
        <v>-17.1178583088031</v>
      </c>
      <c r="R29" t="n">
        <v>1725300000000</v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n">
        <v>2019</v>
      </c>
      <c r="E30" t="n">
        <v>20.07651458916233</v>
      </c>
      <c r="F30" t="n">
        <v>1.908</v>
      </c>
      <c r="G30" t="n">
        <v>3.48387</v>
      </c>
      <c r="H30" t="n">
        <v>1.06793</v>
      </c>
      <c r="I30" t="n">
        <v>-22.54347422751993</v>
      </c>
      <c r="J30" t="inlineStr">
        <is>
          <t>Canada|CSCA.L|2019</t>
        </is>
      </c>
      <c r="K30" t="inlineStr">
        <is>
          <t>Canada|2019</t>
        </is>
      </c>
      <c r="L30" t="inlineStr">
        <is>
          <t>GBp</t>
        </is>
      </c>
      <c r="M30" t="n">
        <v>20.07651458916233</v>
      </c>
      <c r="N30" t="n">
        <v>2.94386429390634</v>
      </c>
      <c r="O30" t="n">
        <v>23.61140422751993</v>
      </c>
      <c r="P30" t="n">
        <v>2.390411384391244</v>
      </c>
      <c r="Q30" t="n">
        <v>20.7255665410518</v>
      </c>
      <c r="R30" t="n">
        <v>1743725000000</v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n">
        <v>2020</v>
      </c>
      <c r="E31" t="n">
        <v>1.681545510367966</v>
      </c>
      <c r="F31" t="n">
        <v>-5.038</v>
      </c>
      <c r="G31" t="n">
        <v>-4.02133</v>
      </c>
      <c r="H31" t="n">
        <v>-5.048961</v>
      </c>
      <c r="I31" t="n">
        <v>-9.552371096150429</v>
      </c>
      <c r="J31" t="inlineStr">
        <is>
          <t>Canada|CSCA.L|2020</t>
        </is>
      </c>
      <c r="K31" t="inlineStr">
        <is>
          <t>Canada|2020</t>
        </is>
      </c>
      <c r="L31" t="inlineStr">
        <is>
          <t>GBp</t>
        </is>
      </c>
      <c r="M31" t="n">
        <v>1.681545510367966</v>
      </c>
      <c r="N31" t="n">
        <v>2.775198362317122</v>
      </c>
      <c r="O31" t="n">
        <v>4.503410096150429</v>
      </c>
      <c r="P31" t="n">
        <v>1.082275052891735</v>
      </c>
      <c r="Q31" t="n">
        <v>3.384505385804348</v>
      </c>
      <c r="R31" t="n">
        <v>1655685000000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2021</v>
      </c>
      <c r="E32" t="n">
        <v>25.51308779244847</v>
      </c>
      <c r="F32" t="n">
        <v>5.951</v>
      </c>
      <c r="G32" t="n">
        <v>14.198927</v>
      </c>
      <c r="H32" t="n">
        <v>22.147752</v>
      </c>
      <c r="I32" t="n">
        <v>-1.762256886363609</v>
      </c>
      <c r="J32" t="inlineStr">
        <is>
          <t>Canada|CSCA.L|2021</t>
        </is>
      </c>
      <c r="K32" t="inlineStr">
        <is>
          <t>Canada|2021</t>
        </is>
      </c>
      <c r="L32" t="inlineStr">
        <is>
          <t>GBp</t>
        </is>
      </c>
      <c r="M32" t="n">
        <v>25.51308779244847</v>
      </c>
      <c r="N32" t="n">
        <v>-1.277220514832489</v>
      </c>
      <c r="O32" t="n">
        <v>23.91000888636361</v>
      </c>
      <c r="P32" t="n">
        <v>-6.507549081980935</v>
      </c>
      <c r="Q32" t="n">
        <v>32.5347743798233</v>
      </c>
      <c r="R32" t="n">
        <v>2022382000000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2022</v>
      </c>
      <c r="E33" t="n">
        <v>-1.89243027888446</v>
      </c>
      <c r="F33" t="n">
        <v>4.189</v>
      </c>
      <c r="G33" t="n">
        <v>12.426838</v>
      </c>
      <c r="H33" t="n">
        <v>8.30847</v>
      </c>
      <c r="I33" t="n">
        <v>20.83678800476654</v>
      </c>
      <c r="J33" t="inlineStr">
        <is>
          <t>Canada|CSCA.L|2022</t>
        </is>
      </c>
      <c r="K33" t="inlineStr">
        <is>
          <t>Canada|2022</t>
        </is>
      </c>
      <c r="L33" t="inlineStr">
        <is>
          <t>GBp</t>
        </is>
      </c>
      <c r="M33" t="n">
        <v>-1.89243027888446</v>
      </c>
      <c r="N33" t="n">
        <v>-10.84104698150823</v>
      </c>
      <c r="O33" t="n">
        <v>-12.52831800476654</v>
      </c>
      <c r="P33" t="n">
        <v>3.802443422741741</v>
      </c>
      <c r="Q33" t="n">
        <v>-15.73254047691369</v>
      </c>
      <c r="R33" t="n">
        <v>2190411000000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2023</v>
      </c>
      <c r="E34" t="n">
        <v>7.801685224194976</v>
      </c>
      <c r="F34" t="n">
        <v>1.529</v>
      </c>
      <c r="G34" t="n">
        <v>2.906761</v>
      </c>
      <c r="H34" t="n">
        <v>-0.779351</v>
      </c>
      <c r="I34" t="n">
        <v>-14.03906862681921</v>
      </c>
      <c r="J34" t="inlineStr">
        <is>
          <t>Canada|CSCA.L|2023</t>
        </is>
      </c>
      <c r="K34" t="inlineStr">
        <is>
          <t>Canada|2023</t>
        </is>
      </c>
      <c r="L34" t="inlineStr">
        <is>
          <t>GBp</t>
        </is>
      </c>
      <c r="M34" t="n">
        <v>7.801685224194976</v>
      </c>
      <c r="N34" t="n">
        <v>5.06303068571996</v>
      </c>
      <c r="O34" t="n">
        <v>13.25971762681921</v>
      </c>
      <c r="P34" t="n">
        <v>3.715065448891575</v>
      </c>
      <c r="Q34" t="n">
        <v>9.202763491125632</v>
      </c>
      <c r="R34" t="n">
        <v>2173340000000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2024</v>
      </c>
      <c r="E35" t="n">
        <v>13.72084928646016</v>
      </c>
      <c r="F35" t="n">
        <v>1.555</v>
      </c>
      <c r="G35" t="n">
        <v>4.722051</v>
      </c>
      <c r="H35" t="n">
        <v>3.234515</v>
      </c>
      <c r="I35" t="n">
        <v>-8.870300150533255</v>
      </c>
      <c r="J35" t="inlineStr">
        <is>
          <t>Canada|CSCA.L|2024</t>
        </is>
      </c>
      <c r="K35" t="inlineStr">
        <is>
          <t>Canada|2024</t>
        </is>
      </c>
      <c r="L35" t="inlineStr">
        <is>
          <t>GBp</t>
        </is>
      </c>
      <c r="M35" t="n">
        <v>13.72084928646016</v>
      </c>
      <c r="N35" t="n">
        <v>-1.421053523664917</v>
      </c>
      <c r="O35" t="n">
        <v>12.10481515053326</v>
      </c>
      <c r="P35" t="n">
        <v>1.440929165992166</v>
      </c>
      <c r="Q35" t="n">
        <v>10.51240960844444</v>
      </c>
      <c r="R35" t="n">
        <v>2243637000000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2025</v>
      </c>
      <c r="E36" t="n">
        <v>24.92570021914682</v>
      </c>
      <c r="F36" t="n">
        <v>1.153</v>
      </c>
      <c r="G36" t="n">
        <v>3.577136</v>
      </c>
      <c r="H36" t="n">
        <v>1.781126</v>
      </c>
      <c r="I36" t="n">
        <v>-32.60386023616874</v>
      </c>
      <c r="J36" t="inlineStr">
        <is>
          <t>Canada|CSCA.L|2025</t>
        </is>
      </c>
      <c r="K36" t="inlineStr">
        <is>
          <t>Canada|2025</t>
        </is>
      </c>
      <c r="L36" t="inlineStr">
        <is>
          <t>GBp</t>
        </is>
      </c>
      <c r="M36" t="n">
        <v>24.92570021914682</v>
      </c>
      <c r="N36" t="n">
        <v>7.571929555270285</v>
      </c>
      <c r="O36" t="n">
        <v>34.38498623616874</v>
      </c>
      <c r="P36" t="n">
        <v>1.764580849177255</v>
      </c>
      <c r="Q36" t="n">
        <v>32.05477300136221</v>
      </c>
      <c r="R36" t="n">
        <v>2283599000000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2026</v>
      </c>
      <c r="E37" t="n">
        <v>5.328463622291024</v>
      </c>
      <c r="F37" t="n">
        <v>1.541</v>
      </c>
      <c r="G37" t="n">
        <v>4.015086</v>
      </c>
      <c r="H37" t="n">
        <v>6.009724</v>
      </c>
      <c r="I37" t="n">
        <v>1.744711429296137</v>
      </c>
      <c r="J37" t="inlineStr">
        <is>
          <t>Canada|CSCA.L|2026</t>
        </is>
      </c>
      <c r="K37" t="inlineStr">
        <is>
          <t>Canada|2026</t>
        </is>
      </c>
      <c r="L37" t="inlineStr">
        <is>
          <t>GBp</t>
        </is>
      </c>
      <c r="M37" t="n">
        <v>5.328463622291024</v>
      </c>
      <c r="N37" t="n">
        <v>-1.00965210638666</v>
      </c>
      <c r="O37" t="n">
        <v>4.265012570703863</v>
      </c>
      <c r="P37" t="n">
        <v>-1.881561290634082</v>
      </c>
      <c r="Q37" t="n">
        <v>6.264443199656444</v>
      </c>
      <c r="R37" t="n">
        <v>2420837000000</v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t="n">
        <v>2015</v>
      </c>
      <c r="E38" t="n">
        <v>-45.52325463110162</v>
      </c>
      <c r="F38" t="n">
        <v>7.018</v>
      </c>
      <c r="G38" t="inlineStr"/>
      <c r="H38" t="inlineStr"/>
      <c r="I38" t="inlineStr"/>
      <c r="J38" t="inlineStr">
        <is>
          <t>China|IASH.L|2015</t>
        </is>
      </c>
      <c r="K38" t="inlineStr">
        <is>
          <t>China|2015</t>
        </is>
      </c>
      <c r="L38" t="inlineStr">
        <is>
          <t>GBp</t>
        </is>
      </c>
      <c r="M38" t="n">
        <v>-45.52325463110162</v>
      </c>
      <c r="N38" t="n">
        <v>-4.888855870697362</v>
      </c>
      <c r="O38" t="n">
        <v>-48.18654419523386</v>
      </c>
      <c r="P38" t="inlineStr"/>
      <c r="Q38" t="inlineStr"/>
      <c r="R38" t="n">
        <v>11307226000000</v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t="n">
        <v>2016</v>
      </c>
      <c r="E39" t="n">
        <v>7.19257759648706</v>
      </c>
      <c r="F39" t="n">
        <v>6.776</v>
      </c>
      <c r="G39" t="n">
        <v>8.025846</v>
      </c>
      <c r="H39" t="n">
        <v>1.245018</v>
      </c>
      <c r="I39" t="n">
        <v>11.87396600650452</v>
      </c>
      <c r="J39" t="inlineStr">
        <is>
          <t>China|IASH.L|2016</t>
        </is>
      </c>
      <c r="K39" t="inlineStr">
        <is>
          <t>China|2016</t>
        </is>
      </c>
      <c r="L39" t="inlineStr">
        <is>
          <t>GBp</t>
        </is>
      </c>
      <c r="M39" t="n">
        <v>7.19257759648706</v>
      </c>
      <c r="N39" t="n">
        <v>-16.62570861023462</v>
      </c>
      <c r="O39" t="n">
        <v>-10.62894800650452</v>
      </c>
      <c r="P39" t="n">
        <v>6.697444096340166</v>
      </c>
      <c r="Q39" t="n">
        <v>-16.23880707695322</v>
      </c>
      <c r="R39" t="n">
        <v>11448003000000</v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t="n">
        <v>2017</v>
      </c>
      <c r="E40" t="n">
        <v>16.93833654333832</v>
      </c>
      <c r="F40" t="n">
        <v>6.891</v>
      </c>
      <c r="G40" t="n">
        <v>11.094741</v>
      </c>
      <c r="H40" t="n">
        <v>9.218166999999999</v>
      </c>
      <c r="I40" t="n">
        <v>-18.05914168157767</v>
      </c>
      <c r="J40" t="inlineStr">
        <is>
          <t>China|IASH.L|2017</t>
        </is>
      </c>
      <c r="K40" t="inlineStr">
        <is>
          <t>China|2017</t>
        </is>
      </c>
      <c r="L40" t="inlineStr">
        <is>
          <t>GBp</t>
        </is>
      </c>
      <c r="M40" t="n">
        <v>16.93833654333832</v>
      </c>
      <c r="N40" t="n">
        <v>8.841388071573641</v>
      </c>
      <c r="O40" t="n">
        <v>27.27730868157767</v>
      </c>
      <c r="P40" t="n">
        <v>1.718188873516557</v>
      </c>
      <c r="Q40" t="n">
        <v>25.12738389379219</v>
      </c>
      <c r="R40" t="n">
        <v>12503299000000</v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t="n">
        <v>2018</v>
      </c>
      <c r="E41" t="n">
        <v>-23.35946430862727</v>
      </c>
      <c r="F41" t="n">
        <v>6.759</v>
      </c>
      <c r="G41" t="n">
        <v>10.474274</v>
      </c>
      <c r="H41" t="n">
        <v>12.857919</v>
      </c>
      <c r="I41" t="n">
        <v>40.88119306484116</v>
      </c>
      <c r="J41" t="inlineStr">
        <is>
          <t>China|IASH.L|2018</t>
        </is>
      </c>
      <c r="K41" t="inlineStr">
        <is>
          <t>China|2018</t>
        </is>
      </c>
      <c r="L41" t="inlineStr">
        <is>
          <t>GBp</t>
        </is>
      </c>
      <c r="M41" t="n">
        <v>-23.35946430862727</v>
      </c>
      <c r="N41" t="n">
        <v>-6.085304224640065</v>
      </c>
      <c r="O41" t="n">
        <v>-28.02327406484115</v>
      </c>
      <c r="P41" t="n">
        <v>-2.112075752567699</v>
      </c>
      <c r="Q41" t="n">
        <v>-26.47027047664986</v>
      </c>
      <c r="R41" t="n">
        <v>14110963000000</v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n">
        <v>2019</v>
      </c>
      <c r="E42" t="n">
        <v>30.09538094455615</v>
      </c>
      <c r="F42" t="n">
        <v>6.065</v>
      </c>
      <c r="G42" t="n">
        <v>7.834508</v>
      </c>
      <c r="H42" t="n">
        <v>3.270131</v>
      </c>
      <c r="I42" t="n">
        <v>-30.65508141220437</v>
      </c>
      <c r="J42" t="inlineStr">
        <is>
          <t>China|IASH.L|2019</t>
        </is>
      </c>
      <c r="K42" t="inlineStr">
        <is>
          <t>China|2019</t>
        </is>
      </c>
      <c r="L42" t="inlineStr">
        <is>
          <t>GBp</t>
        </is>
      </c>
      <c r="M42" t="n">
        <v>30.09538094455615</v>
      </c>
      <c r="N42" t="n">
        <v>2.94386429390634</v>
      </c>
      <c r="O42" t="n">
        <v>33.92521241220437</v>
      </c>
      <c r="P42" t="n">
        <v>4.419842019262177</v>
      </c>
      <c r="Q42" t="n">
        <v>28.25647867528795</v>
      </c>
      <c r="R42" t="n">
        <v>14572410000000</v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n">
        <v>2020</v>
      </c>
      <c r="E43" t="n">
        <v>34.60637862908649</v>
      </c>
      <c r="F43" t="n">
        <v>2.337</v>
      </c>
      <c r="G43" t="n">
        <v>3.528489</v>
      </c>
      <c r="H43" t="n">
        <v>3.643509</v>
      </c>
      <c r="I43" t="n">
        <v>-34.69846364437529</v>
      </c>
      <c r="J43" t="inlineStr">
        <is>
          <t>China|IASH.L|2020</t>
        </is>
      </c>
      <c r="K43" t="inlineStr">
        <is>
          <t>China|2020</t>
        </is>
      </c>
      <c r="L43" t="inlineStr">
        <is>
          <t>GBp</t>
        </is>
      </c>
      <c r="M43" t="n">
        <v>34.60637862908649</v>
      </c>
      <c r="N43" t="n">
        <v>2.775198362317122</v>
      </c>
      <c r="O43" t="n">
        <v>38.34197264437529</v>
      </c>
      <c r="P43" t="n">
        <v>-0.1109764092982024</v>
      </c>
      <c r="Q43" t="n">
        <v>38.49567016615918</v>
      </c>
      <c r="R43" t="n">
        <v>15103357000000</v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n">
        <v>2021</v>
      </c>
      <c r="E44" t="n">
        <v>1.574716041712132</v>
      </c>
      <c r="F44" t="n">
        <v>8.555999999999999</v>
      </c>
      <c r="G44" t="n">
        <v>12.556051</v>
      </c>
      <c r="H44" t="n">
        <v>20.442118</v>
      </c>
      <c r="I44" t="n">
        <v>20.16473506945547</v>
      </c>
      <c r="J44" t="inlineStr">
        <is>
          <t>China|IASH.L|2021</t>
        </is>
      </c>
      <c r="K44" t="inlineStr">
        <is>
          <t>China|2021</t>
        </is>
      </c>
      <c r="L44" t="inlineStr">
        <is>
          <t>GBp</t>
        </is>
      </c>
      <c r="M44" t="n">
        <v>1.574716041712132</v>
      </c>
      <c r="N44" t="n">
        <v>-1.277220514832489</v>
      </c>
      <c r="O44" t="n">
        <v>0.2773829305445341</v>
      </c>
      <c r="P44" t="n">
        <v>-6.547598858590675</v>
      </c>
      <c r="Q44" t="n">
        <v>7.303163648848199</v>
      </c>
      <c r="R44" t="n">
        <v>18190803000000</v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n">
        <v>2022</v>
      </c>
      <c r="E45" t="n">
        <v>-16.15522663493669</v>
      </c>
      <c r="F45" t="n">
        <v>3.112</v>
      </c>
      <c r="G45" t="n">
        <v>5.140449</v>
      </c>
      <c r="H45" t="n">
        <v>0.643254</v>
      </c>
      <c r="I45" t="n">
        <v>25.8881319069823</v>
      </c>
      <c r="J45" t="inlineStr">
        <is>
          <t>China|IASH.L|2022</t>
        </is>
      </c>
      <c r="K45" t="inlineStr">
        <is>
          <t>China|2022</t>
        </is>
      </c>
      <c r="L45" t="inlineStr">
        <is>
          <t>GBp</t>
        </is>
      </c>
      <c r="M45" t="n">
        <v>-16.15522663493669</v>
      </c>
      <c r="N45" t="n">
        <v>-10.84104698150823</v>
      </c>
      <c r="O45" t="n">
        <v>-25.2448779069823</v>
      </c>
      <c r="P45" t="n">
        <v>4.468451399708395</v>
      </c>
      <c r="Q45" t="n">
        <v>-28.44239472164094</v>
      </c>
      <c r="R45" t="n">
        <v>18307816000000</v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n">
        <v>2023</v>
      </c>
      <c r="E46" t="n">
        <v>-19.74632994062772</v>
      </c>
      <c r="F46" t="n">
        <v>5.377</v>
      </c>
      <c r="G46" t="n">
        <v>4.934187</v>
      </c>
      <c r="H46" t="n">
        <v>-0.204639</v>
      </c>
      <c r="I46" t="n">
        <v>15.47842299910524</v>
      </c>
      <c r="J46" t="inlineStr">
        <is>
          <t>China|IASH.L|2023</t>
        </is>
      </c>
      <c r="K46" t="inlineStr">
        <is>
          <t>China|2023</t>
        </is>
      </c>
      <c r="L46" t="inlineStr">
        <is>
          <t>GBp</t>
        </is>
      </c>
      <c r="M46" t="n">
        <v>-19.74632994062772</v>
      </c>
      <c r="N46" t="n">
        <v>5.06303068571996</v>
      </c>
      <c r="O46" t="n">
        <v>-15.68306199910524</v>
      </c>
      <c r="P46" t="n">
        <v>5.14936448463148</v>
      </c>
      <c r="Q46" t="n">
        <v>-19.8122229134172</v>
      </c>
      <c r="R46" t="n">
        <v>18270351000000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2024</v>
      </c>
      <c r="E47" t="n">
        <v>13.75058122481656</v>
      </c>
      <c r="F47" t="n">
        <v>5.003</v>
      </c>
      <c r="G47" t="n">
        <v>4.244735</v>
      </c>
      <c r="H47" t="n">
        <v>2.623967</v>
      </c>
      <c r="I47" t="n">
        <v>-9.510157582131988</v>
      </c>
      <c r="J47" t="inlineStr">
        <is>
          <t>China|IASH.L|2024</t>
        </is>
      </c>
      <c r="K47" t="inlineStr">
        <is>
          <t>China|2024</t>
        </is>
      </c>
      <c r="L47" t="inlineStr">
        <is>
          <t>GBp</t>
        </is>
      </c>
      <c r="M47" t="n">
        <v>13.75058122481656</v>
      </c>
      <c r="N47" t="n">
        <v>-1.421053523664917</v>
      </c>
      <c r="O47" t="n">
        <v>12.13412458213199</v>
      </c>
      <c r="P47" t="n">
        <v>1.579326588905361</v>
      </c>
      <c r="Q47" t="n">
        <v>10.39069498456335</v>
      </c>
      <c r="R47" t="n">
        <v>18749759000000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2025</v>
      </c>
      <c r="E48" t="n">
        <v>19.49281886573942</v>
      </c>
      <c r="F48" t="n">
        <v>4.796</v>
      </c>
      <c r="G48" t="n">
        <v>3.644671</v>
      </c>
      <c r="H48" t="n">
        <v>3.460407</v>
      </c>
      <c r="I48" t="n">
        <v>-25.08032393385992</v>
      </c>
      <c r="J48" t="inlineStr">
        <is>
          <t>China|IASH.L|2025</t>
        </is>
      </c>
      <c r="K48" t="inlineStr">
        <is>
          <t>China|2025</t>
        </is>
      </c>
      <c r="L48" t="inlineStr">
        <is>
          <t>GBp</t>
        </is>
      </c>
      <c r="M48" t="n">
        <v>19.49281886573942</v>
      </c>
      <c r="N48" t="n">
        <v>7.571929555270285</v>
      </c>
      <c r="O48" t="n">
        <v>28.54073093385992</v>
      </c>
      <c r="P48" t="n">
        <v>0.1781008955042518</v>
      </c>
      <c r="Q48" t="n">
        <v>28.31220574638436</v>
      </c>
      <c r="R48" t="n">
        <v>19398577000000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2026</v>
      </c>
      <c r="E49" t="n">
        <v>1.687078249832807</v>
      </c>
      <c r="F49" t="n">
        <v>4.163</v>
      </c>
      <c r="G49" t="n">
        <v>4.659559</v>
      </c>
      <c r="H49" t="n">
        <v>6.454994</v>
      </c>
      <c r="I49" t="n">
        <v>5.79460147763968</v>
      </c>
      <c r="J49" t="inlineStr">
        <is>
          <t>China|IASH.L|2026</t>
        </is>
      </c>
      <c r="K49" t="inlineStr">
        <is>
          <t>China|2026</t>
        </is>
      </c>
      <c r="L49" t="inlineStr">
        <is>
          <t>GBp</t>
        </is>
      </c>
      <c r="M49" t="n">
        <v>1.687078249832807</v>
      </c>
      <c r="N49" t="n">
        <v>-1.00965210638666</v>
      </c>
      <c r="O49" t="n">
        <v>0.6603925223603202</v>
      </c>
      <c r="P49" t="n">
        <v>-1.686566925985811</v>
      </c>
      <c r="Q49" t="n">
        <v>2.387221537243289</v>
      </c>
      <c r="R49" t="n">
        <v>20650754000000</v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t="n">
        <v>2015</v>
      </c>
      <c r="E50" t="n">
        <v>5.851063829787218</v>
      </c>
      <c r="F50" t="n">
        <v>0.998</v>
      </c>
      <c r="G50" t="inlineStr"/>
      <c r="H50" t="inlineStr"/>
      <c r="I50" t="inlineStr"/>
      <c r="J50" t="inlineStr">
        <is>
          <t>France|ISFR.L|2015</t>
        </is>
      </c>
      <c r="K50" t="inlineStr">
        <is>
          <t>France|2015</t>
        </is>
      </c>
      <c r="L50" t="inlineStr">
        <is>
          <t>GBp</t>
        </is>
      </c>
      <c r="M50" t="n">
        <v>5.851063829787218</v>
      </c>
      <c r="N50" t="n">
        <v>-4.888855870697362</v>
      </c>
      <c r="O50" t="n">
        <v>0.6761578815490443</v>
      </c>
      <c r="P50" t="inlineStr"/>
      <c r="Q50" t="inlineStr"/>
      <c r="R50" t="n">
        <v>2442731000000</v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t="n">
        <v>2016</v>
      </c>
      <c r="E51" t="n">
        <v>29.38290730699718</v>
      </c>
      <c r="F51" t="n">
        <v>0.735</v>
      </c>
      <c r="G51" t="n">
        <v>1.38171</v>
      </c>
      <c r="H51" t="n">
        <v>1.105116</v>
      </c>
      <c r="I51" t="n">
        <v>-6.766966146685866</v>
      </c>
      <c r="J51" t="inlineStr">
        <is>
          <t>France|ISFR.L|2016</t>
        </is>
      </c>
      <c r="K51" t="inlineStr">
        <is>
          <t>France|2016</t>
        </is>
      </c>
      <c r="L51" t="inlineStr">
        <is>
          <t>GBp</t>
        </is>
      </c>
      <c r="M51" t="n">
        <v>29.38290730699718</v>
      </c>
      <c r="N51" t="n">
        <v>-16.62570861023462</v>
      </c>
      <c r="O51" t="n">
        <v>7.872082146685866</v>
      </c>
      <c r="P51" t="n">
        <v>0.273571556098906</v>
      </c>
      <c r="Q51" t="n">
        <v>7.577779940087104</v>
      </c>
      <c r="R51" t="n">
        <v>2469726000000</v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n">
        <v>2017</v>
      </c>
      <c r="E52" t="n">
        <v>18.65315852205005</v>
      </c>
      <c r="F52" t="n">
        <v>2.268</v>
      </c>
      <c r="G52" t="n">
        <v>2.682207</v>
      </c>
      <c r="H52" t="n">
        <v>4.78713</v>
      </c>
      <c r="I52" t="n">
        <v>-24.35661472616394</v>
      </c>
      <c r="J52" t="inlineStr">
        <is>
          <t>France|ISFR.L|2017</t>
        </is>
      </c>
      <c r="K52" t="inlineStr">
        <is>
          <t>France|2017</t>
        </is>
      </c>
      <c r="L52" t="inlineStr">
        <is>
          <t>GBp</t>
        </is>
      </c>
      <c r="M52" t="n">
        <v>18.65315852205005</v>
      </c>
      <c r="N52" t="n">
        <v>8.841388071573641</v>
      </c>
      <c r="O52" t="n">
        <v>29.14374472616394</v>
      </c>
      <c r="P52" t="n">
        <v>-2.008761449599006</v>
      </c>
      <c r="Q52" t="n">
        <v>31.79111381446609</v>
      </c>
      <c r="R52" t="n">
        <v>2587955000000</v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n">
        <v>2018</v>
      </c>
      <c r="E53" t="n">
        <v>-7.625983592834418</v>
      </c>
      <c r="F53" t="n">
        <v>1.593</v>
      </c>
      <c r="G53" t="n">
        <v>2.778834</v>
      </c>
      <c r="H53" t="n">
        <v>7.530386</v>
      </c>
      <c r="I53" t="n">
        <v>20.77760951572937</v>
      </c>
      <c r="J53" t="inlineStr">
        <is>
          <t>France|ISFR.L|2018</t>
        </is>
      </c>
      <c r="K53" t="inlineStr">
        <is>
          <t>France|2018</t>
        </is>
      </c>
      <c r="L53" t="inlineStr">
        <is>
          <t>GBp</t>
        </is>
      </c>
      <c r="M53" t="n">
        <v>-7.625983592834418</v>
      </c>
      <c r="N53" t="n">
        <v>-6.085304224640065</v>
      </c>
      <c r="O53" t="n">
        <v>-13.24722351572937</v>
      </c>
      <c r="P53" t="n">
        <v>-4.418799755897773</v>
      </c>
      <c r="Q53" t="n">
        <v>-9.236569259734051</v>
      </c>
      <c r="R53" t="n">
        <v>2782838000000</v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n">
        <v>2019</v>
      </c>
      <c r="E54" t="n">
        <v>23.20391872278664</v>
      </c>
      <c r="F54" t="n">
        <v>2.091</v>
      </c>
      <c r="G54" t="n">
        <v>3.262512</v>
      </c>
      <c r="H54" t="n">
        <v>-2.146873</v>
      </c>
      <c r="I54" t="n">
        <v>-28.97774789476015</v>
      </c>
      <c r="J54" t="inlineStr">
        <is>
          <t>France|ISFR.L|2019</t>
        </is>
      </c>
      <c r="K54" t="inlineStr">
        <is>
          <t>France|2019</t>
        </is>
      </c>
      <c r="L54" t="inlineStr">
        <is>
          <t>GBp</t>
        </is>
      </c>
      <c r="M54" t="n">
        <v>23.20391872278664</v>
      </c>
      <c r="N54" t="n">
        <v>2.94386429390634</v>
      </c>
      <c r="O54" t="n">
        <v>26.83087489476015</v>
      </c>
      <c r="P54" t="n">
        <v>5.528065614991129</v>
      </c>
      <c r="Q54" t="n">
        <v>20.18686607739997</v>
      </c>
      <c r="R54" t="n">
        <v>2723094000000</v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n">
        <v>2020</v>
      </c>
      <c r="E55" t="n">
        <v>0.5099067599067419</v>
      </c>
      <c r="F55" t="n">
        <v>-7.603</v>
      </c>
      <c r="G55" t="n">
        <v>-4.684264</v>
      </c>
      <c r="H55" t="n">
        <v>-2.838242</v>
      </c>
      <c r="I55" t="n">
        <v>-6.137498046274146</v>
      </c>
      <c r="J55" t="inlineStr">
        <is>
          <t>France|ISFR.L|2020</t>
        </is>
      </c>
      <c r="K55" t="inlineStr">
        <is>
          <t>France|2020</t>
        </is>
      </c>
      <c r="L55" t="inlineStr">
        <is>
          <t>GBp</t>
        </is>
      </c>
      <c r="M55" t="n">
        <v>0.5099067599067419</v>
      </c>
      <c r="N55" t="n">
        <v>2.775198362317122</v>
      </c>
      <c r="O55" t="n">
        <v>3.299256046274146</v>
      </c>
      <c r="P55" t="n">
        <v>-1.899947138666191</v>
      </c>
      <c r="Q55" t="n">
        <v>5.299898453968721</v>
      </c>
      <c r="R55" t="n">
        <v>2645806000000</v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n">
        <v>2021</v>
      </c>
      <c r="E56" t="n">
        <v>19.09182498560737</v>
      </c>
      <c r="F56" t="n">
        <v>6.794</v>
      </c>
      <c r="G56" t="n">
        <v>8.18824</v>
      </c>
      <c r="H56" t="n">
        <v>12.192844</v>
      </c>
      <c r="I56" t="n">
        <v>-5.377915765402788</v>
      </c>
      <c r="J56" t="inlineStr">
        <is>
          <t>France|ISFR.L|2021</t>
        </is>
      </c>
      <c r="K56" t="inlineStr">
        <is>
          <t>France|2021</t>
        </is>
      </c>
      <c r="L56" t="inlineStr">
        <is>
          <t>GBp</t>
        </is>
      </c>
      <c r="M56" t="n">
        <v>19.09182498560737</v>
      </c>
      <c r="N56" t="n">
        <v>-1.277220514832489</v>
      </c>
      <c r="O56" t="n">
        <v>17.57075976540279</v>
      </c>
      <c r="P56" t="n">
        <v>-3.569393594049708</v>
      </c>
      <c r="Q56" t="n">
        <v>21.92265935823052</v>
      </c>
      <c r="R56" t="n">
        <v>2968405000000</v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n">
        <v>2022</v>
      </c>
      <c r="E57" t="n">
        <v>-2.64912489582092</v>
      </c>
      <c r="F57" t="n">
        <v>2.801</v>
      </c>
      <c r="G57" t="n">
        <v>5.816948</v>
      </c>
      <c r="H57" t="n">
        <v>-5.774751</v>
      </c>
      <c r="I57" t="n">
        <v>7.428228002774373</v>
      </c>
      <c r="J57" t="inlineStr">
        <is>
          <t>France|ISFR.L|2022</t>
        </is>
      </c>
      <c r="K57" t="inlineStr">
        <is>
          <t>France|2022</t>
        </is>
      </c>
      <c r="L57" t="inlineStr">
        <is>
          <t>GBp</t>
        </is>
      </c>
      <c r="M57" t="n">
        <v>-2.64912489582092</v>
      </c>
      <c r="N57" t="n">
        <v>-10.84104698150823</v>
      </c>
      <c r="O57" t="n">
        <v>-13.20297900277437</v>
      </c>
      <c r="P57" t="n">
        <v>12.30211610379064</v>
      </c>
      <c r="Q57" t="n">
        <v>-22.71114382474589</v>
      </c>
      <c r="R57" t="n">
        <v>2796987000000</v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n">
        <v>2023</v>
      </c>
      <c r="E58" t="n">
        <v>13.95968278951512</v>
      </c>
      <c r="F58" t="n">
        <v>1.619</v>
      </c>
      <c r="G58" t="n">
        <v>6.639307</v>
      </c>
      <c r="H58" t="n">
        <v>9.442518</v>
      </c>
      <c r="I58" t="n">
        <v>-10.2869784984974</v>
      </c>
      <c r="J58" t="inlineStr">
        <is>
          <t>France|ISFR.L|2023</t>
        </is>
      </c>
      <c r="K58" t="inlineStr">
        <is>
          <t>France|2023</t>
        </is>
      </c>
      <c r="L58" t="inlineStr">
        <is>
          <t>GBp</t>
        </is>
      </c>
      <c r="M58" t="n">
        <v>13.95968278951512</v>
      </c>
      <c r="N58" t="n">
        <v>5.06303068571996</v>
      </c>
      <c r="O58" t="n">
        <v>19.7294964984974</v>
      </c>
      <c r="P58" t="n">
        <v>-2.561354894610746</v>
      </c>
      <c r="Q58" t="n">
        <v>22.87680762494024</v>
      </c>
      <c r="R58" t="n">
        <v>3061093000000</v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n">
        <v>2024</v>
      </c>
      <c r="E59" t="n">
        <v>-3.266438941076011</v>
      </c>
      <c r="F59" t="n">
        <v>1.102</v>
      </c>
      <c r="G59" t="n">
        <v>3.215316</v>
      </c>
      <c r="H59" t="n">
        <v>3.260567</v>
      </c>
      <c r="I59" t="n">
        <v>7.901641619070407</v>
      </c>
      <c r="J59" t="inlineStr">
        <is>
          <t>France|ISFR.L|2024</t>
        </is>
      </c>
      <c r="K59" t="inlineStr">
        <is>
          <t>France|2024</t>
        </is>
      </c>
      <c r="L59" t="inlineStr">
        <is>
          <t>GBp</t>
        </is>
      </c>
      <c r="M59" t="n">
        <v>-3.266438941076011</v>
      </c>
      <c r="N59" t="n">
        <v>-1.421053523664917</v>
      </c>
      <c r="O59" t="n">
        <v>-4.641074619070407</v>
      </c>
      <c r="P59" t="n">
        <v>-0.04382259265116595</v>
      </c>
      <c r="Q59" t="n">
        <v>-4.599267544700291</v>
      </c>
      <c r="R59" t="n">
        <v>3160902000000</v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n">
        <v>2025</v>
      </c>
      <c r="E60" t="n">
        <v>19.35963030203003</v>
      </c>
      <c r="F60" t="n">
        <v>0.671</v>
      </c>
      <c r="G60" t="n">
        <v>1.876521</v>
      </c>
      <c r="H60" t="n">
        <v>6.34803</v>
      </c>
      <c r="I60" t="n">
        <v>-22.04942742593078</v>
      </c>
      <c r="J60" t="inlineStr">
        <is>
          <t>France|ISFR.L|2025</t>
        </is>
      </c>
      <c r="K60" t="inlineStr">
        <is>
          <t>France|2025</t>
        </is>
      </c>
      <c r="L60" t="inlineStr">
        <is>
          <t>GBp</t>
        </is>
      </c>
      <c r="M60" t="n">
        <v>19.35963030203003</v>
      </c>
      <c r="N60" t="n">
        <v>7.571929555270285</v>
      </c>
      <c r="O60" t="n">
        <v>28.39745742593078</v>
      </c>
      <c r="P60" t="n">
        <v>-4.204599750289173</v>
      </c>
      <c r="Q60" t="n">
        <v>34.03300898710777</v>
      </c>
      <c r="R60" t="n">
        <v>3361557000000</v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n">
        <v>2026</v>
      </c>
      <c r="E61" t="n">
        <v>-2.385321100917426</v>
      </c>
      <c r="F61" t="n">
        <v>0.911</v>
      </c>
      <c r="G61" t="n">
        <v>2.453141</v>
      </c>
      <c r="H61" t="n">
        <v>5.860528</v>
      </c>
      <c r="I61" t="n">
        <v>9.23141776256459</v>
      </c>
      <c r="J61" t="inlineStr">
        <is>
          <t>France|ISFR.L|2026</t>
        </is>
      </c>
      <c r="K61" t="inlineStr">
        <is>
          <t>France|2026</t>
        </is>
      </c>
      <c r="L61" t="inlineStr">
        <is>
          <t>GBp</t>
        </is>
      </c>
      <c r="M61" t="n">
        <v>-2.385321100917426</v>
      </c>
      <c r="N61" t="n">
        <v>-1.00965210638666</v>
      </c>
      <c r="O61" t="n">
        <v>-3.370889762564588</v>
      </c>
      <c r="P61" t="n">
        <v>-3.218751203146586</v>
      </c>
      <c r="Q61" t="n">
        <v>-0.1571983843041136</v>
      </c>
      <c r="R61" t="n">
        <v>3558562000000</v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t="n">
        <v>2015</v>
      </c>
      <c r="E62" t="n">
        <v>9.362051158062012</v>
      </c>
      <c r="F62" t="n">
        <v>1.663</v>
      </c>
      <c r="G62" t="inlineStr"/>
      <c r="H62" t="inlineStr"/>
      <c r="I62" t="inlineStr"/>
      <c r="J62" t="inlineStr">
        <is>
          <t>Germany|EXS1.DE|2015</t>
        </is>
      </c>
      <c r="K62" t="inlineStr">
        <is>
          <t>Germany|2015</t>
        </is>
      </c>
      <c r="L62" t="inlineStr">
        <is>
          <t>EUR</t>
        </is>
      </c>
      <c r="M62" t="n">
        <v>9.362051158062012</v>
      </c>
      <c r="N62" t="n">
        <v>-9.626275918027915</v>
      </c>
      <c r="O62" t="n">
        <v>-1.165441636027875</v>
      </c>
      <c r="P62" t="inlineStr"/>
      <c r="Q62" t="inlineStr"/>
      <c r="R62" t="n">
        <v>3425446000000</v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t="n">
        <v>2016</v>
      </c>
      <c r="E63" t="n">
        <v>10.52631313666317</v>
      </c>
      <c r="F63" t="n">
        <v>2.217</v>
      </c>
      <c r="G63" t="n">
        <v>3.504339</v>
      </c>
      <c r="H63" t="n">
        <v>3.221945</v>
      </c>
      <c r="I63" t="n">
        <v>-4.416151059670474</v>
      </c>
      <c r="J63" t="inlineStr">
        <is>
          <t>Germany|EXS1.DE|2016</t>
        </is>
      </c>
      <c r="K63" t="inlineStr">
        <is>
          <t>Germany|2016</t>
        </is>
      </c>
      <c r="L63" t="inlineStr">
        <is>
          <t>EUR</t>
        </is>
      </c>
      <c r="M63" t="n">
        <v>10.52631313666317</v>
      </c>
      <c r="N63" t="n">
        <v>-2.613148846665581</v>
      </c>
      <c r="O63" t="n">
        <v>7.638096059670474</v>
      </c>
      <c r="P63" t="n">
        <v>0.273579146270797</v>
      </c>
      <c r="Q63" t="n">
        <v>7.344424100646618</v>
      </c>
      <c r="R63" t="n">
        <v>3535812000000</v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t="n">
        <v>2017</v>
      </c>
      <c r="E64" t="n">
        <v>10.50142430142864</v>
      </c>
      <c r="F64" t="n">
        <v>2.806</v>
      </c>
      <c r="G64" t="n">
        <v>4.315835</v>
      </c>
      <c r="H64" t="n">
        <v>6.454274</v>
      </c>
      <c r="I64" t="n">
        <v>-18.89767602280126</v>
      </c>
      <c r="J64" t="inlineStr">
        <is>
          <t>Germany|EXS1.DE|2017</t>
        </is>
      </c>
      <c r="K64" t="inlineStr">
        <is>
          <t>Germany|2017</t>
        </is>
      </c>
      <c r="L64" t="inlineStr">
        <is>
          <t>EUR</t>
        </is>
      </c>
      <c r="M64" t="n">
        <v>10.50142430142864</v>
      </c>
      <c r="N64" t="n">
        <v>13.43921656689508</v>
      </c>
      <c r="O64" t="n">
        <v>25.35195002280126</v>
      </c>
      <c r="P64" t="n">
        <v>-2.008786311018629</v>
      </c>
      <c r="Q64" t="n">
        <v>27.92162205548483</v>
      </c>
      <c r="R64" t="n">
        <v>3764023000000</v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n">
        <v>2018</v>
      </c>
      <c r="E65" t="n">
        <v>-18.30253157495386</v>
      </c>
      <c r="F65" t="n">
        <v>1.133</v>
      </c>
      <c r="G65" t="n">
        <v>3.027803</v>
      </c>
      <c r="H65" t="n">
        <v>7.79084</v>
      </c>
      <c r="I65" t="n">
        <v>29.93838103699927</v>
      </c>
      <c r="J65" t="inlineStr">
        <is>
          <t>Germany|EXS1.DE|2018</t>
        </is>
      </c>
      <c r="K65" t="inlineStr">
        <is>
          <t>Germany|2018</t>
        </is>
      </c>
      <c r="L65" t="inlineStr">
        <is>
          <t>EUR</t>
        </is>
      </c>
      <c r="M65" t="n">
        <v>-18.30253157495386</v>
      </c>
      <c r="N65" t="n">
        <v>-4.706399765095581</v>
      </c>
      <c r="O65" t="n">
        <v>-22.14754103699928</v>
      </c>
      <c r="P65" t="n">
        <v>-4.418777046494737</v>
      </c>
      <c r="Q65" t="n">
        <v>-18.54837534264293</v>
      </c>
      <c r="R65" t="n">
        <v>4057272000000</v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n">
        <v>2019</v>
      </c>
      <c r="E66" t="n">
        <v>24.44638798941621</v>
      </c>
      <c r="F66" t="n">
        <v>0.973</v>
      </c>
      <c r="G66" t="n">
        <v>3.006671</v>
      </c>
      <c r="H66" t="n">
        <v>-2.38929</v>
      </c>
      <c r="I66" t="n">
        <v>-23.68726632959689</v>
      </c>
      <c r="J66" t="inlineStr">
        <is>
          <t>Germany|EXS1.DE|2019</t>
        </is>
      </c>
      <c r="K66" t="inlineStr">
        <is>
          <t>Germany|2019</t>
        </is>
      </c>
      <c r="L66" t="inlineStr">
        <is>
          <t>EUR</t>
        </is>
      </c>
      <c r="M66" t="n">
        <v>24.44638798941621</v>
      </c>
      <c r="N66" t="n">
        <v>-2.529934143277091</v>
      </c>
      <c r="O66" t="n">
        <v>21.29797632959689</v>
      </c>
      <c r="P66" t="n">
        <v>5.528042582086923</v>
      </c>
      <c r="Q66" t="n">
        <v>14.94383233275935</v>
      </c>
      <c r="R66" t="n">
        <v>3960332000000</v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n">
        <v>2020</v>
      </c>
      <c r="E67" t="n">
        <v>1.971390568966225</v>
      </c>
      <c r="F67" t="n">
        <v>-4.127</v>
      </c>
      <c r="G67" t="n">
        <v>-2.447078</v>
      </c>
      <c r="H67" t="n">
        <v>-0.557731</v>
      </c>
      <c r="I67" t="n">
        <v>-12.33538068274573</v>
      </c>
      <c r="J67" t="inlineStr">
        <is>
          <t>Germany|EXS1.DE|2020</t>
        </is>
      </c>
      <c r="K67" t="inlineStr">
        <is>
          <t>Germany|2020</t>
        </is>
      </c>
      <c r="L67" t="inlineStr">
        <is>
          <t>EUR</t>
        </is>
      </c>
      <c r="M67" t="n">
        <v>1.971390568966225</v>
      </c>
      <c r="N67" t="n">
        <v>9.616676853246631</v>
      </c>
      <c r="O67" t="n">
        <v>11.77764968274573</v>
      </c>
      <c r="P67" t="n">
        <v>-1.899943536749493</v>
      </c>
      <c r="Q67" t="n">
        <v>13.94249270857353</v>
      </c>
      <c r="R67" t="n">
        <v>3938244000000</v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n">
        <v>2021</v>
      </c>
      <c r="E68" t="n">
        <v>15.33584108060253</v>
      </c>
      <c r="F68" t="n">
        <v>3.913</v>
      </c>
      <c r="G68" t="n">
        <v>6.712222</v>
      </c>
      <c r="H68" t="n">
        <v>10.662189</v>
      </c>
      <c r="I68" t="n">
        <v>3.42468478046245</v>
      </c>
      <c r="J68" t="inlineStr">
        <is>
          <t>Germany|EXS1.DE|2021</t>
        </is>
      </c>
      <c r="K68" t="inlineStr">
        <is>
          <t>Germany|2021</t>
        </is>
      </c>
      <c r="L68" t="inlineStr">
        <is>
          <t>EUR</t>
        </is>
      </c>
      <c r="M68" t="n">
        <v>15.33584108060253</v>
      </c>
      <c r="N68" t="n">
        <v>-7.021526686925927</v>
      </c>
      <c r="O68" t="n">
        <v>7.237504219537549</v>
      </c>
      <c r="P68" t="n">
        <v>-3.569390958584695</v>
      </c>
      <c r="Q68" t="n">
        <v>11.20691374403833</v>
      </c>
      <c r="R68" t="n">
        <v>4358147000000</v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n">
        <v>2022</v>
      </c>
      <c r="E69" t="n">
        <v>-13.52386102227822</v>
      </c>
      <c r="F69" t="n">
        <v>1.807</v>
      </c>
      <c r="G69" t="n">
        <v>8.338448</v>
      </c>
      <c r="H69" t="n">
        <v>-3.529482</v>
      </c>
      <c r="I69" t="n">
        <v>15.41331530551549</v>
      </c>
      <c r="J69" t="inlineStr">
        <is>
          <t>Germany|EXS1.DE|2022</t>
        </is>
      </c>
      <c r="K69" t="inlineStr">
        <is>
          <t>Germany|2022</t>
        </is>
      </c>
      <c r="L69" t="inlineStr">
        <is>
          <t>EUR</t>
        </is>
      </c>
      <c r="M69" t="n">
        <v>-13.52386102227822</v>
      </c>
      <c r="N69" t="n">
        <v>-6.266394808206355</v>
      </c>
      <c r="O69" t="n">
        <v>-18.94279730551549</v>
      </c>
      <c r="P69" t="n">
        <v>12.30213097503907</v>
      </c>
      <c r="Q69" t="n">
        <v>-27.82220427099397</v>
      </c>
      <c r="R69" t="n">
        <v>4204327000000</v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n">
        <v>2023</v>
      </c>
      <c r="E70" t="n">
        <v>18.30606074746055</v>
      </c>
      <c r="F70" t="n">
        <v>-0.872</v>
      </c>
      <c r="G70" t="n">
        <v>5.763287</v>
      </c>
      <c r="H70" t="n">
        <v>8.543483999999999</v>
      </c>
      <c r="I70" t="n">
        <v>-13.72231119493885</v>
      </c>
      <c r="J70" t="inlineStr">
        <is>
          <t>Germany|EXS1.DE|2023</t>
        </is>
      </c>
      <c r="K70" t="inlineStr">
        <is>
          <t>Germany|2023</t>
        </is>
      </c>
      <c r="L70" t="inlineStr">
        <is>
          <t>EUR</t>
        </is>
      </c>
      <c r="M70" t="n">
        <v>18.30606074746055</v>
      </c>
      <c r="N70" t="n">
        <v>3.347025860264985</v>
      </c>
      <c r="O70" t="n">
        <v>22.26579519493885</v>
      </c>
      <c r="P70" t="n">
        <v>-2.561366811668431</v>
      </c>
      <c r="Q70" t="n">
        <v>25.47979296735494</v>
      </c>
      <c r="R70" t="n">
        <v>4563523000000</v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n">
        <v>2024</v>
      </c>
      <c r="E71" t="n">
        <v>17.96808286622589</v>
      </c>
      <c r="F71" t="n">
        <v>-0.496</v>
      </c>
      <c r="G71" t="n">
        <v>2.599003</v>
      </c>
      <c r="H71" t="n">
        <v>2.643988</v>
      </c>
      <c r="I71" t="n">
        <v>-8.391871871449416</v>
      </c>
      <c r="J71" t="inlineStr">
        <is>
          <t>Germany|EXS1.DE|2024</t>
        </is>
      </c>
      <c r="K71" t="inlineStr">
        <is>
          <t>Germany|2024</t>
        </is>
      </c>
      <c r="L71" t="inlineStr">
        <is>
          <t>EUR</t>
        </is>
      </c>
      <c r="M71" t="n">
        <v>17.96808286622589</v>
      </c>
      <c r="N71" t="n">
        <v>-5.876354710822507</v>
      </c>
      <c r="O71" t="n">
        <v>11.03585987144942</v>
      </c>
      <c r="P71" t="n">
        <v>-0.04382607831311391</v>
      </c>
      <c r="Q71" t="n">
        <v>11.08454387063993</v>
      </c>
      <c r="R71" t="n">
        <v>4684182000000</v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n">
        <v>2025</v>
      </c>
      <c r="E72" t="n">
        <v>21.8494981969924</v>
      </c>
      <c r="F72" t="n">
        <v>0.191</v>
      </c>
      <c r="G72" t="n">
        <v>2.531734</v>
      </c>
      <c r="H72" t="n">
        <v>7.032007</v>
      </c>
      <c r="I72" t="n">
        <v>-31.24281483556737</v>
      </c>
      <c r="J72" t="inlineStr">
        <is>
          <t>Germany|EXS1.DE|2025</t>
        </is>
      </c>
      <c r="K72" t="inlineStr">
        <is>
          <t>Germany|2025</t>
        </is>
      </c>
      <c r="L72" t="inlineStr">
        <is>
          <t>EUR</t>
        </is>
      </c>
      <c r="M72" t="n">
        <v>21.8494981969924</v>
      </c>
      <c r="N72" t="n">
        <v>13.48000925865149</v>
      </c>
      <c r="O72" t="n">
        <v>38.27482183556737</v>
      </c>
      <c r="P72" t="n">
        <v>-4.20460488789185</v>
      </c>
      <c r="Q72" t="n">
        <v>44.3439130594389</v>
      </c>
      <c r="R72" t="n">
        <v>5013574000000</v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n">
        <v>2026</v>
      </c>
      <c r="E73" t="n">
        <v>-3.937007933143677</v>
      </c>
      <c r="F73" t="n">
        <v>0.944</v>
      </c>
      <c r="G73" t="n">
        <v>2.854457</v>
      </c>
      <c r="H73" t="n">
        <v>6.275164</v>
      </c>
      <c r="I73" t="n">
        <v>11.77454681383241</v>
      </c>
      <c r="J73" t="inlineStr">
        <is>
          <t>Germany|EXS1.DE|2026</t>
        </is>
      </c>
      <c r="K73" t="inlineStr">
        <is>
          <t>Germany|2026</t>
        </is>
      </c>
      <c r="L73" t="inlineStr">
        <is>
          <t>EUR</t>
        </is>
      </c>
      <c r="M73" t="n">
        <v>-3.937007933143677</v>
      </c>
      <c r="N73" t="n">
        <v>-1.626406639095079</v>
      </c>
      <c r="O73" t="n">
        <v>-5.49938281383241</v>
      </c>
      <c r="P73" t="n">
        <v>-3.21872711082527</v>
      </c>
      <c r="Q73" t="n">
        <v>-2.356505173907708</v>
      </c>
      <c r="R73" t="n">
        <v>5328184000000</v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n">
        <v>2015</v>
      </c>
      <c r="E74" t="n">
        <v>9.739379736443542</v>
      </c>
      <c r="F74" t="n">
        <v>1.663</v>
      </c>
      <c r="G74" t="inlineStr"/>
      <c r="H74" t="inlineStr"/>
      <c r="I74" t="inlineStr"/>
      <c r="J74" t="inlineStr">
        <is>
          <t>Germany|XDAX.L|2015</t>
        </is>
      </c>
      <c r="K74" t="inlineStr">
        <is>
          <t>Germany|2015</t>
        </is>
      </c>
      <c r="L74" t="inlineStr">
        <is>
          <t>GBp</t>
        </is>
      </c>
      <c r="M74" t="n">
        <v>9.739379736443542</v>
      </c>
      <c r="N74" t="n">
        <v>-4.888855870697362</v>
      </c>
      <c r="O74" t="n">
        <v>4.374379627731551</v>
      </c>
      <c r="P74" t="inlineStr"/>
      <c r="Q74" t="inlineStr"/>
      <c r="R74" t="n">
        <v>3425446000000</v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n">
        <v>2016</v>
      </c>
      <c r="E75" t="n">
        <v>11.10671765226789</v>
      </c>
      <c r="F75" t="n">
        <v>2.217</v>
      </c>
      <c r="G75" t="n">
        <v>3.504339</v>
      </c>
      <c r="H75" t="n">
        <v>3.221945</v>
      </c>
      <c r="I75" t="n">
        <v>10.58750647099429</v>
      </c>
      <c r="J75" t="inlineStr">
        <is>
          <t>Germany|XDAX.L|2016</t>
        </is>
      </c>
      <c r="K75" t="inlineStr">
        <is>
          <t>Germany|2016</t>
        </is>
      </c>
      <c r="L75" t="inlineStr">
        <is>
          <t>GBp</t>
        </is>
      </c>
      <c r="M75" t="n">
        <v>11.10671765226789</v>
      </c>
      <c r="N75" t="n">
        <v>-16.62570861023462</v>
      </c>
      <c r="O75" t="n">
        <v>-7.365561470994287</v>
      </c>
      <c r="P75" t="n">
        <v>0.273579146270797</v>
      </c>
      <c r="Q75" t="n">
        <v>-7.618298541155832</v>
      </c>
      <c r="R75" t="n">
        <v>3535812000000</v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n">
        <v>2017</v>
      </c>
      <c r="E76" t="n">
        <v>-1.427771945157674</v>
      </c>
      <c r="F76" t="n">
        <v>2.806</v>
      </c>
      <c r="G76" t="n">
        <v>4.315835</v>
      </c>
      <c r="H76" t="n">
        <v>6.454274</v>
      </c>
      <c r="I76" t="n">
        <v>-0.83310726796753</v>
      </c>
      <c r="J76" t="inlineStr">
        <is>
          <t>Germany|XDAX.L|2017</t>
        </is>
      </c>
      <c r="K76" t="inlineStr">
        <is>
          <t>Germany|2017</t>
        </is>
      </c>
      <c r="L76" t="inlineStr">
        <is>
          <t>GBp</t>
        </is>
      </c>
      <c r="M76" t="n">
        <v>-1.427771945157674</v>
      </c>
      <c r="N76" t="n">
        <v>8.841388071573641</v>
      </c>
      <c r="O76" t="n">
        <v>7.28738126796753</v>
      </c>
      <c r="P76" t="n">
        <v>-2.008786311018629</v>
      </c>
      <c r="Q76" t="n">
        <v>9.486735829695592</v>
      </c>
      <c r="R76" t="n">
        <v>3764023000000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n">
        <v>2018</v>
      </c>
      <c r="E77" t="n">
        <v>-16.66816789767609</v>
      </c>
      <c r="F77" t="n">
        <v>1.133</v>
      </c>
      <c r="G77" t="n">
        <v>3.027803</v>
      </c>
      <c r="H77" t="n">
        <v>7.79084</v>
      </c>
      <c r="I77" t="n">
        <v>29.53000339706877</v>
      </c>
      <c r="J77" t="inlineStr">
        <is>
          <t>Germany|XDAX.L|2018</t>
        </is>
      </c>
      <c r="K77" t="inlineStr">
        <is>
          <t>Germany|2018</t>
        </is>
      </c>
      <c r="L77" t="inlineStr">
        <is>
          <t>GBp</t>
        </is>
      </c>
      <c r="M77" t="n">
        <v>-16.66816789767609</v>
      </c>
      <c r="N77" t="n">
        <v>-6.085304224640065</v>
      </c>
      <c r="O77" t="n">
        <v>-21.73916339706877</v>
      </c>
      <c r="P77" t="n">
        <v>-4.418777046494737</v>
      </c>
      <c r="Q77" t="n">
        <v>-18.12111816041463</v>
      </c>
      <c r="R77" t="n">
        <v>4057272000000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n">
        <v>2019</v>
      </c>
      <c r="E78" t="n">
        <v>16.50359478890751</v>
      </c>
      <c r="F78" t="n">
        <v>0.973</v>
      </c>
      <c r="G78" t="n">
        <v>3.006671</v>
      </c>
      <c r="H78" t="n">
        <v>-2.38929</v>
      </c>
      <c r="I78" t="n">
        <v>-22.32259251701548</v>
      </c>
      <c r="J78" t="inlineStr">
        <is>
          <t>Germany|XDAX.L|2019</t>
        </is>
      </c>
      <c r="K78" t="inlineStr">
        <is>
          <t>Germany|2019</t>
        </is>
      </c>
      <c r="L78" t="inlineStr">
        <is>
          <t>GBp</t>
        </is>
      </c>
      <c r="M78" t="n">
        <v>16.50359478890751</v>
      </c>
      <c r="N78" t="n">
        <v>2.94386429390634</v>
      </c>
      <c r="O78" t="n">
        <v>19.93330251701548</v>
      </c>
      <c r="P78" t="n">
        <v>5.528042582086923</v>
      </c>
      <c r="Q78" t="n">
        <v>13.65064638977187</v>
      </c>
      <c r="R78" t="n">
        <v>3960332000000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n">
        <v>2020</v>
      </c>
      <c r="E79" t="n">
        <v>7.320404261130853</v>
      </c>
      <c r="F79" t="n">
        <v>-4.127</v>
      </c>
      <c r="G79" t="n">
        <v>-2.447078</v>
      </c>
      <c r="H79" t="n">
        <v>-0.557731</v>
      </c>
      <c r="I79" t="n">
        <v>-10.85648936261787</v>
      </c>
      <c r="J79" t="inlineStr">
        <is>
          <t>Germany|XDAX.L|2020</t>
        </is>
      </c>
      <c r="K79" t="inlineStr">
        <is>
          <t>Germany|2020</t>
        </is>
      </c>
      <c r="L79" t="inlineStr">
        <is>
          <t>GBp</t>
        </is>
      </c>
      <c r="M79" t="n">
        <v>7.320404261130853</v>
      </c>
      <c r="N79" t="n">
        <v>2.775198362317122</v>
      </c>
      <c r="O79" t="n">
        <v>10.29875836261787</v>
      </c>
      <c r="P79" t="n">
        <v>-1.899943536749493</v>
      </c>
      <c r="Q79" t="n">
        <v>12.43495910110628</v>
      </c>
      <c r="R79" t="n">
        <v>3938244000000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n">
        <v>2021</v>
      </c>
      <c r="E80" t="n">
        <v>6.768558951965065</v>
      </c>
      <c r="F80" t="n">
        <v>3.913</v>
      </c>
      <c r="G80" t="n">
        <v>6.712222</v>
      </c>
      <c r="H80" t="n">
        <v>10.662189</v>
      </c>
      <c r="I80" t="n">
        <v>5.257299986360442</v>
      </c>
      <c r="J80" t="inlineStr">
        <is>
          <t>Germany|XDAX.L|2021</t>
        </is>
      </c>
      <c r="K80" t="inlineStr">
        <is>
          <t>Germany|2021</t>
        </is>
      </c>
      <c r="L80" t="inlineStr">
        <is>
          <t>GBp</t>
        </is>
      </c>
      <c r="M80" t="n">
        <v>6.768558951965065</v>
      </c>
      <c r="N80" t="n">
        <v>-1.277220514832489</v>
      </c>
      <c r="O80" t="n">
        <v>5.404889013639558</v>
      </c>
      <c r="P80" t="n">
        <v>-3.569390958584695</v>
      </c>
      <c r="Q80" t="n">
        <v>9.306464058906805</v>
      </c>
      <c r="R80" t="n">
        <v>4358147000000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n">
        <v>2022</v>
      </c>
      <c r="E81" t="n">
        <v>-8.695314321237079</v>
      </c>
      <c r="F81" t="n">
        <v>1.807</v>
      </c>
      <c r="G81" t="n">
        <v>8.338448</v>
      </c>
      <c r="H81" t="n">
        <v>-3.529482</v>
      </c>
      <c r="I81" t="n">
        <v>15.06421619199018</v>
      </c>
      <c r="J81" t="inlineStr">
        <is>
          <t>Germany|XDAX.L|2022</t>
        </is>
      </c>
      <c r="K81" t="inlineStr">
        <is>
          <t>Germany|2022</t>
        </is>
      </c>
      <c r="L81" t="inlineStr">
        <is>
          <t>GBp</t>
        </is>
      </c>
      <c r="M81" t="n">
        <v>-8.695314321237079</v>
      </c>
      <c r="N81" t="n">
        <v>-10.84104698150823</v>
      </c>
      <c r="O81" t="n">
        <v>-18.59369819199018</v>
      </c>
      <c r="P81" t="n">
        <v>12.30213097503907</v>
      </c>
      <c r="Q81" t="n">
        <v>-27.51134720132456</v>
      </c>
      <c r="R81" t="n">
        <v>4204327000000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n">
        <v>2023</v>
      </c>
      <c r="E82" t="n">
        <v>15.80053817692566</v>
      </c>
      <c r="F82" t="n">
        <v>-0.872</v>
      </c>
      <c r="G82" t="n">
        <v>5.763287</v>
      </c>
      <c r="H82" t="n">
        <v>8.543483999999999</v>
      </c>
      <c r="I82" t="n">
        <v>-13.12007095905226</v>
      </c>
      <c r="J82" t="inlineStr">
        <is>
          <t>Germany|XDAX.L|2023</t>
        </is>
      </c>
      <c r="K82" t="inlineStr">
        <is>
          <t>Germany|2023</t>
        </is>
      </c>
      <c r="L82" t="inlineStr">
        <is>
          <t>GBp</t>
        </is>
      </c>
      <c r="M82" t="n">
        <v>15.80053817692566</v>
      </c>
      <c r="N82" t="n">
        <v>5.06303068571996</v>
      </c>
      <c r="O82" t="n">
        <v>21.66355495905226</v>
      </c>
      <c r="P82" t="n">
        <v>-2.561366811668431</v>
      </c>
      <c r="Q82" t="n">
        <v>24.86172165808014</v>
      </c>
      <c r="R82" t="n">
        <v>4563523000000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XDAX.L</t>
        </is>
      </c>
      <c r="D83" t="n">
        <v>2024</v>
      </c>
      <c r="E83" t="n">
        <v>13.16821615339918</v>
      </c>
      <c r="F83" t="n">
        <v>-0.496</v>
      </c>
      <c r="G83" t="n">
        <v>2.599003</v>
      </c>
      <c r="H83" t="n">
        <v>2.643988</v>
      </c>
      <c r="I83" t="n">
        <v>-8.916047230082576</v>
      </c>
      <c r="J83" t="inlineStr">
        <is>
          <t>Germany|XDAX.L|2024</t>
        </is>
      </c>
      <c r="K83" t="inlineStr">
        <is>
          <t>Germany|2024</t>
        </is>
      </c>
      <c r="L83" t="inlineStr">
        <is>
          <t>GBp</t>
        </is>
      </c>
      <c r="M83" t="n">
        <v>13.16821615339918</v>
      </c>
      <c r="N83" t="n">
        <v>-1.421053523664917</v>
      </c>
      <c r="O83" t="n">
        <v>11.56003523008258</v>
      </c>
      <c r="P83" t="n">
        <v>-0.04382607831311391</v>
      </c>
      <c r="Q83" t="n">
        <v>11.60894905550007</v>
      </c>
      <c r="R83" t="n">
        <v>4684182000000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XDAX.L</t>
        </is>
      </c>
      <c r="D84" t="n">
        <v>2025</v>
      </c>
      <c r="E84" t="n">
        <v>28.64559964104865</v>
      </c>
      <c r="F84" t="n">
        <v>0.191</v>
      </c>
      <c r="G84" t="n">
        <v>2.531734</v>
      </c>
      <c r="H84" t="n">
        <v>7.032007</v>
      </c>
      <c r="I84" t="n">
        <v>-31.3545468218239</v>
      </c>
      <c r="J84" t="inlineStr">
        <is>
          <t>Germany|XDAX.L|2025</t>
        </is>
      </c>
      <c r="K84" t="inlineStr">
        <is>
          <t>Germany|2025</t>
        </is>
      </c>
      <c r="L84" t="inlineStr">
        <is>
          <t>GBp</t>
        </is>
      </c>
      <c r="M84" t="n">
        <v>28.64559964104865</v>
      </c>
      <c r="N84" t="n">
        <v>7.571929555270285</v>
      </c>
      <c r="O84" t="n">
        <v>38.3865538218239</v>
      </c>
      <c r="P84" t="n">
        <v>-4.20460488789185</v>
      </c>
      <c r="Q84" t="n">
        <v>44.46054913169035</v>
      </c>
      <c r="R84" t="n">
        <v>5013574000000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XDAX.L</t>
        </is>
      </c>
      <c r="D85" t="n">
        <v>2026</v>
      </c>
      <c r="E85" t="n">
        <v>-4.455544455544446</v>
      </c>
      <c r="F85" t="n">
        <v>0.944</v>
      </c>
      <c r="G85" t="n">
        <v>2.854457</v>
      </c>
      <c r="H85" t="n">
        <v>6.275164</v>
      </c>
      <c r="I85" t="n">
        <v>11.6953750634847</v>
      </c>
      <c r="J85" t="inlineStr">
        <is>
          <t>Germany|XDAX.L|2026</t>
        </is>
      </c>
      <c r="K85" t="inlineStr">
        <is>
          <t>Germany|2026</t>
        </is>
      </c>
      <c r="L85" t="inlineStr">
        <is>
          <t>GBp</t>
        </is>
      </c>
      <c r="M85" t="n">
        <v>-4.455544455544446</v>
      </c>
      <c r="N85" t="n">
        <v>-1.00965210638666</v>
      </c>
      <c r="O85" t="n">
        <v>-5.420211063484704</v>
      </c>
      <c r="P85" t="n">
        <v>-3.21872711082527</v>
      </c>
      <c r="Q85" t="n">
        <v>-2.274700349498793</v>
      </c>
      <c r="R85" t="n">
        <v>5328184000000</v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LYINR.SW</t>
        </is>
      </c>
      <c r="D86" t="n">
        <v>2015</v>
      </c>
      <c r="E86" t="n">
        <v>-8.312804475504365</v>
      </c>
      <c r="F86" t="n">
        <v>7.996</v>
      </c>
      <c r="G86" t="inlineStr"/>
      <c r="H86" t="inlineStr"/>
      <c r="I86" t="inlineStr"/>
      <c r="J86" t="inlineStr">
        <is>
          <t>India|LYINR.SW|2015</t>
        </is>
      </c>
      <c r="K86" t="inlineStr">
        <is>
          <t>India|2015</t>
        </is>
      </c>
      <c r="L86" t="inlineStr">
        <is>
          <t>USD</t>
        </is>
      </c>
      <c r="M86" t="n">
        <v>-8.312804475504365</v>
      </c>
      <c r="N86" t="n">
        <v>0</v>
      </c>
      <c r="O86" t="n">
        <v>-8.312804475504365</v>
      </c>
      <c r="P86" t="inlineStr"/>
      <c r="Q86" t="inlineStr"/>
      <c r="R86" t="n">
        <v>2103588000000</v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LYINR.SW</t>
        </is>
      </c>
      <c r="D87" t="n">
        <v>2016</v>
      </c>
      <c r="E87" t="n">
        <v>0.06863575217086471</v>
      </c>
      <c r="F87" t="n">
        <v>8.256</v>
      </c>
      <c r="G87" t="n">
        <v>11.761656</v>
      </c>
      <c r="H87" t="n">
        <v>9.08966</v>
      </c>
      <c r="I87" t="n">
        <v>9.021024247829136</v>
      </c>
      <c r="J87" t="inlineStr">
        <is>
          <t>India|LYINR.SW|2016</t>
        </is>
      </c>
      <c r="K87" t="inlineStr">
        <is>
          <t>India|2016</t>
        </is>
      </c>
      <c r="L87" t="inlineStr">
        <is>
          <t>USD</t>
        </is>
      </c>
      <c r="M87" t="n">
        <v>0.06863575217086471</v>
      </c>
      <c r="N87" t="n">
        <v>0</v>
      </c>
      <c r="O87" t="n">
        <v>0.06863575217086471</v>
      </c>
      <c r="P87" t="n">
        <v>2.449357749862746</v>
      </c>
      <c r="Q87" t="n">
        <v>-2.323803730917062</v>
      </c>
      <c r="R87" t="n">
        <v>2294797000000</v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LYINR.SW</t>
        </is>
      </c>
      <c r="D88" t="n">
        <v>2017</v>
      </c>
      <c r="E88" t="n">
        <v>37.54290552693875</v>
      </c>
      <c r="F88" t="n">
        <v>6.795</v>
      </c>
      <c r="G88" t="n">
        <v>11.034345</v>
      </c>
      <c r="H88" t="n">
        <v>15.542856</v>
      </c>
      <c r="I88" t="n">
        <v>-22.00004952693875</v>
      </c>
      <c r="J88" t="inlineStr">
        <is>
          <t>India|LYINR.SW|2017</t>
        </is>
      </c>
      <c r="K88" t="inlineStr">
        <is>
          <t>India|2017</t>
        </is>
      </c>
      <c r="L88" t="inlineStr">
        <is>
          <t>USD</t>
        </is>
      </c>
      <c r="M88" t="n">
        <v>37.54290552693875</v>
      </c>
      <c r="N88" t="n">
        <v>0</v>
      </c>
      <c r="O88" t="n">
        <v>37.54290552693875</v>
      </c>
      <c r="P88" t="n">
        <v>-3.902024962629203</v>
      </c>
      <c r="Q88" t="n">
        <v>43.12778752460784</v>
      </c>
      <c r="R88" t="n">
        <v>2651474000000</v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LYINR.SW</t>
        </is>
      </c>
      <c r="D89" t="n">
        <v>2018</v>
      </c>
      <c r="E89" t="n">
        <v>-9.304655485984137</v>
      </c>
      <c r="F89" t="n">
        <v>6.454</v>
      </c>
      <c r="G89" t="n">
        <v>10.588799</v>
      </c>
      <c r="H89" t="n">
        <v>1.940656</v>
      </c>
      <c r="I89" t="n">
        <v>11.24531148598414</v>
      </c>
      <c r="J89" t="inlineStr">
        <is>
          <t>India|LYINR.SW|2018</t>
        </is>
      </c>
      <c r="K89" t="inlineStr">
        <is>
          <t>India|2018</t>
        </is>
      </c>
      <c r="L89" t="inlineStr">
        <is>
          <t>USD</t>
        </is>
      </c>
      <c r="M89" t="n">
        <v>-9.304655485984137</v>
      </c>
      <c r="N89" t="n">
        <v>0</v>
      </c>
      <c r="O89" t="n">
        <v>-9.304655485984137</v>
      </c>
      <c r="P89" t="n">
        <v>8.483506964053378</v>
      </c>
      <c r="Q89" t="n">
        <v>-16.3971122872454</v>
      </c>
      <c r="R89" t="n">
        <v>2702930000000</v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t="n">
        <v>2019</v>
      </c>
      <c r="E90" t="n">
        <v>9.547509593920278</v>
      </c>
      <c r="F90" t="n">
        <v>3.871</v>
      </c>
      <c r="G90" t="n">
        <v>6.370058</v>
      </c>
      <c r="H90" t="n">
        <v>4.908599</v>
      </c>
      <c r="I90" t="n">
        <v>-4.638910593920278</v>
      </c>
      <c r="J90" t="inlineStr">
        <is>
          <t>India|LYINR.SW|2019</t>
        </is>
      </c>
      <c r="K90" t="inlineStr">
        <is>
          <t>India|2019</t>
        </is>
      </c>
      <c r="L90" t="inlineStr">
        <is>
          <t>USD</t>
        </is>
      </c>
      <c r="M90" t="n">
        <v>9.547509593920278</v>
      </c>
      <c r="N90" t="n">
        <v>0</v>
      </c>
      <c r="O90" t="n">
        <v>9.547509593920278</v>
      </c>
      <c r="P90" t="n">
        <v>1.393078487090182</v>
      </c>
      <c r="Q90" t="n">
        <v>8.042394242786855</v>
      </c>
      <c r="R90" t="n">
        <v>2835606000000</v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t="n">
        <v>2020</v>
      </c>
      <c r="E91" t="n">
        <v>12.54019928737056</v>
      </c>
      <c r="F91" t="n">
        <v>-5.778</v>
      </c>
      <c r="G91" t="n">
        <v>-1.241022</v>
      </c>
      <c r="H91" t="n">
        <v>-5.669123</v>
      </c>
      <c r="I91" t="n">
        <v>-18.20932228737056</v>
      </c>
      <c r="J91" t="inlineStr">
        <is>
          <t>India|LYINR.SW|2020</t>
        </is>
      </c>
      <c r="K91" t="inlineStr">
        <is>
          <t>India|2020</t>
        </is>
      </c>
      <c r="L91" t="inlineStr">
        <is>
          <t>USD</t>
        </is>
      </c>
      <c r="M91" t="n">
        <v>12.54019928737056</v>
      </c>
      <c r="N91" t="n">
        <v>0</v>
      </c>
      <c r="O91" t="n">
        <v>12.54019928737056</v>
      </c>
      <c r="P91" t="n">
        <v>4.694222414424543</v>
      </c>
      <c r="Q91" t="n">
        <v>7.494183243358243</v>
      </c>
      <c r="R91" t="n">
        <v>2674852000000</v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t="n">
        <v>2021</v>
      </c>
      <c r="E92" t="n">
        <v>22.28506403642434</v>
      </c>
      <c r="F92" t="n">
        <v>9.69</v>
      </c>
      <c r="G92" t="n">
        <v>18.85404</v>
      </c>
      <c r="H92" t="n">
        <v>18.409205</v>
      </c>
      <c r="I92" t="n">
        <v>-3.875859036424341</v>
      </c>
      <c r="J92" t="inlineStr">
        <is>
          <t>India|LYINR.SW|2021</t>
        </is>
      </c>
      <c r="K92" t="inlineStr">
        <is>
          <t>India|2021</t>
        </is>
      </c>
      <c r="L92" t="inlineStr">
        <is>
          <t>USD</t>
        </is>
      </c>
      <c r="M92" t="n">
        <v>22.28506403642434</v>
      </c>
      <c r="N92" t="n">
        <v>0</v>
      </c>
      <c r="O92" t="n">
        <v>22.28506403642434</v>
      </c>
      <c r="P92" t="n">
        <v>0.3756758419857231</v>
      </c>
      <c r="Q92" t="n">
        <v>21.82738797089547</v>
      </c>
      <c r="R92" t="n">
        <v>3167271000000</v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t="n">
        <v>2022</v>
      </c>
      <c r="E93" t="n">
        <v>-10.74229984980545</v>
      </c>
      <c r="F93" t="n">
        <v>7.609</v>
      </c>
      <c r="G93" t="n">
        <v>13.955224</v>
      </c>
      <c r="H93" t="n">
        <v>5.646375</v>
      </c>
      <c r="I93" t="n">
        <v>16.38867484980545</v>
      </c>
      <c r="J93" t="inlineStr">
        <is>
          <t>India|LYINR.SW|2022</t>
        </is>
      </c>
      <c r="K93" t="inlineStr">
        <is>
          <t>India|2022</t>
        </is>
      </c>
      <c r="L93" t="inlineStr">
        <is>
          <t>USD</t>
        </is>
      </c>
      <c r="M93" t="n">
        <v>-10.74229984980545</v>
      </c>
      <c r="N93" t="n">
        <v>0</v>
      </c>
      <c r="O93" t="n">
        <v>-10.74229984980545</v>
      </c>
      <c r="P93" t="n">
        <v>7.864774167569166</v>
      </c>
      <c r="Q93" t="n">
        <v>-17.25037127363592</v>
      </c>
      <c r="R93" t="n">
        <v>3346107000000</v>
      </c>
    </row>
    <row r="94">
      <c r="A94" t="inlineStr">
        <is>
          <t>India</t>
        </is>
      </c>
      <c r="B94" t="inlineStr">
        <is>
          <t>IND</t>
        </is>
      </c>
      <c r="C94" t="inlineStr">
        <is>
          <t>LYINR.SW</t>
        </is>
      </c>
      <c r="D94" t="n">
        <v>2023</v>
      </c>
      <c r="E94" t="n">
        <v>19.4868653550923</v>
      </c>
      <c r="F94" t="n">
        <v>9.191000000000001</v>
      </c>
      <c r="G94" t="n">
        <v>12.02095</v>
      </c>
      <c r="H94" t="n">
        <v>8.738004999999999</v>
      </c>
      <c r="I94" t="n">
        <v>-10.7488603550923</v>
      </c>
      <c r="J94" t="inlineStr">
        <is>
          <t>India|LYINR.SW|2023</t>
        </is>
      </c>
      <c r="K94" t="inlineStr">
        <is>
          <t>India|2023</t>
        </is>
      </c>
      <c r="L94" t="inlineStr">
        <is>
          <t>USD</t>
        </is>
      </c>
      <c r="M94" t="n">
        <v>19.4868653550923</v>
      </c>
      <c r="N94" t="n">
        <v>0</v>
      </c>
      <c r="O94" t="n">
        <v>19.4868653550923</v>
      </c>
      <c r="P94" t="n">
        <v>3.019133080125758</v>
      </c>
      <c r="Q94" t="n">
        <v>15.98512022243319</v>
      </c>
      <c r="R94" t="n">
        <v>3638490000000</v>
      </c>
    </row>
    <row r="95">
      <c r="A95" t="inlineStr">
        <is>
          <t>India</t>
        </is>
      </c>
      <c r="B95" t="inlineStr">
        <is>
          <t>IND</t>
        </is>
      </c>
      <c r="C95" t="inlineStr">
        <is>
          <t>LYINR.SW</t>
        </is>
      </c>
      <c r="D95" t="n">
        <v>2024</v>
      </c>
      <c r="E95" t="n">
        <v>9.413377097400467</v>
      </c>
      <c r="F95" t="n">
        <v>6.495</v>
      </c>
      <c r="G95" t="n">
        <v>9.777226000000001</v>
      </c>
      <c r="H95" t="n">
        <v>7.459193</v>
      </c>
      <c r="I95" t="n">
        <v>-1.954184097400467</v>
      </c>
      <c r="J95" t="inlineStr">
        <is>
          <t>India|LYINR.SW|2024</t>
        </is>
      </c>
      <c r="K95" t="inlineStr">
        <is>
          <t>India|2024</t>
        </is>
      </c>
      <c r="L95" t="inlineStr">
        <is>
          <t>USD</t>
        </is>
      </c>
      <c r="M95" t="n">
        <v>9.413377097400467</v>
      </c>
      <c r="N95" t="n">
        <v>0</v>
      </c>
      <c r="O95" t="n">
        <v>9.413377097400467</v>
      </c>
      <c r="P95" t="n">
        <v>2.157128768096217</v>
      </c>
      <c r="Q95" t="n">
        <v>7.103026892794184</v>
      </c>
      <c r="R95" t="n">
        <v>3909892000000</v>
      </c>
    </row>
    <row r="96">
      <c r="A96" t="inlineStr">
        <is>
          <t>India</t>
        </is>
      </c>
      <c r="B96" t="inlineStr">
        <is>
          <t>IND</t>
        </is>
      </c>
      <c r="C96" t="inlineStr">
        <is>
          <t>LYINR.SW</t>
        </is>
      </c>
      <c r="D96" t="n">
        <v>2025</v>
      </c>
      <c r="E96" t="n">
        <v>-0.8894369562915561</v>
      </c>
      <c r="F96" t="n">
        <v>6.646</v>
      </c>
      <c r="G96" t="n">
        <v>8.515731000000001</v>
      </c>
      <c r="H96" t="n">
        <v>5.507083</v>
      </c>
      <c r="I96" t="n">
        <v>6.396519956291556</v>
      </c>
      <c r="J96" t="inlineStr">
        <is>
          <t>India|LYINR.SW|2025</t>
        </is>
      </c>
      <c r="K96" t="inlineStr">
        <is>
          <t>India|2025</t>
        </is>
      </c>
      <c r="L96" t="inlineStr">
        <is>
          <t>USD</t>
        </is>
      </c>
      <c r="M96" t="n">
        <v>-0.8894369562915561</v>
      </c>
      <c r="N96" t="n">
        <v>0</v>
      </c>
      <c r="O96" t="n">
        <v>-0.8894369562915561</v>
      </c>
      <c r="P96" t="n">
        <v>2.851607828596303</v>
      </c>
      <c r="Q96" t="n">
        <v>-3.63732260862889</v>
      </c>
      <c r="R96" t="n">
        <v>4125213000000</v>
      </c>
    </row>
    <row r="97">
      <c r="A97" t="inlineStr">
        <is>
          <t>India</t>
        </is>
      </c>
      <c r="B97" t="inlineStr">
        <is>
          <t>IND</t>
        </is>
      </c>
      <c r="C97" t="inlineStr">
        <is>
          <t>LYINR.SW</t>
        </is>
      </c>
      <c r="D97" t="n">
        <v>2026</v>
      </c>
      <c r="E97" t="n">
        <v>-8.830693072642216</v>
      </c>
      <c r="F97" t="n">
        <v>6.159</v>
      </c>
      <c r="G97" t="n">
        <v>10.122338</v>
      </c>
      <c r="H97" t="n">
        <v>9.221730000000001</v>
      </c>
      <c r="I97" t="n">
        <v>18.05242307264222</v>
      </c>
      <c r="J97" t="inlineStr">
        <is>
          <t>India|LYINR.SW|2026</t>
        </is>
      </c>
      <c r="K97" t="inlineStr">
        <is>
          <t>India|2026</t>
        </is>
      </c>
      <c r="L97" t="inlineStr">
        <is>
          <t>USD</t>
        </is>
      </c>
      <c r="M97" t="n">
        <v>-8.830693072642216</v>
      </c>
      <c r="N97" t="n">
        <v>0</v>
      </c>
      <c r="O97" t="n">
        <v>-8.830693072642216</v>
      </c>
      <c r="P97" t="n">
        <v>0.8245690710504849</v>
      </c>
      <c r="Q97" t="n">
        <v>-9.576298944445472</v>
      </c>
      <c r="R97" t="n">
        <v>4505629000000</v>
      </c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t="n">
        <v>2015</v>
      </c>
      <c r="E98" t="n">
        <v>-10.91348111118395</v>
      </c>
      <c r="F98" t="n">
        <v>4.876</v>
      </c>
      <c r="G98" t="inlineStr"/>
      <c r="H98" t="inlineStr"/>
      <c r="I98" t="inlineStr"/>
      <c r="J98" t="inlineStr">
        <is>
          <t>Indonesia|INDO.PA|2015</t>
        </is>
      </c>
      <c r="K98" t="inlineStr">
        <is>
          <t>Indonesia|2015</t>
        </is>
      </c>
      <c r="L98" t="inlineStr">
        <is>
          <t>EUR</t>
        </is>
      </c>
      <c r="M98" t="n">
        <v>-10.91348111118395</v>
      </c>
      <c r="N98" t="n">
        <v>-9.626275918027915</v>
      </c>
      <c r="O98" t="n">
        <v>-19.48919522518744</v>
      </c>
      <c r="P98" t="inlineStr"/>
      <c r="Q98" t="inlineStr"/>
      <c r="R98" t="n">
        <v>860854000000</v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t="n">
        <v>2016</v>
      </c>
      <c r="E99" t="n">
        <v>21.68839404503549</v>
      </c>
      <c r="F99" t="n">
        <v>5.033</v>
      </c>
      <c r="G99" t="n">
        <v>7.594746</v>
      </c>
      <c r="H99" t="n">
        <v>8.250296000000001</v>
      </c>
      <c r="I99" t="n">
        <v>-10.25819917952178</v>
      </c>
      <c r="J99" t="inlineStr">
        <is>
          <t>Indonesia|INDO.PA|2016</t>
        </is>
      </c>
      <c r="K99" t="inlineStr">
        <is>
          <t>Indonesia|2016</t>
        </is>
      </c>
      <c r="L99" t="inlineStr">
        <is>
          <t>EUR</t>
        </is>
      </c>
      <c r="M99" t="n">
        <v>21.68839404503549</v>
      </c>
      <c r="N99" t="n">
        <v>-2.613148846665581</v>
      </c>
      <c r="O99" t="n">
        <v>18.50849517952178</v>
      </c>
      <c r="P99" t="n">
        <v>-0.605586919195289</v>
      </c>
      <c r="Q99" t="n">
        <v>19.23053973182365</v>
      </c>
      <c r="R99" t="n">
        <v>931877000000</v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t="n">
        <v>2017</v>
      </c>
      <c r="E100" t="n">
        <v>7.031584399794055</v>
      </c>
      <c r="F100" t="n">
        <v>5.07</v>
      </c>
      <c r="G100" t="n">
        <v>9.580094000000001</v>
      </c>
      <c r="H100" t="n">
        <v>8.986378999999999</v>
      </c>
      <c r="I100" t="n">
        <v>-12.42941182226148</v>
      </c>
      <c r="J100" t="inlineStr">
        <is>
          <t>Indonesia|INDO.PA|2017</t>
        </is>
      </c>
      <c r="K100" t="inlineStr">
        <is>
          <t>Indonesia|2017</t>
        </is>
      </c>
      <c r="L100" t="inlineStr">
        <is>
          <t>EUR</t>
        </is>
      </c>
      <c r="M100" t="n">
        <v>7.031584399794055</v>
      </c>
      <c r="N100" t="n">
        <v>13.43921656689508</v>
      </c>
      <c r="O100" t="n">
        <v>21.41579082226148</v>
      </c>
      <c r="P100" t="n">
        <v>0.5447602854287137</v>
      </c>
      <c r="Q100" t="n">
        <v>20.75794947203973</v>
      </c>
      <c r="R100" t="n">
        <v>1015619000000</v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t="n">
        <v>2018</v>
      </c>
      <c r="E101" t="n">
        <v>-4.968792335846706</v>
      </c>
      <c r="F101" t="n">
        <v>5.174</v>
      </c>
      <c r="G101" t="n">
        <v>9.190186000000001</v>
      </c>
      <c r="H101" t="n">
        <v>2.624311</v>
      </c>
      <c r="I101" t="n">
        <v>12.06565187011991</v>
      </c>
      <c r="J101" t="inlineStr">
        <is>
          <t>Indonesia|INDO.PA|2018</t>
        </is>
      </c>
      <c r="K101" t="inlineStr">
        <is>
          <t>Indonesia|2018</t>
        </is>
      </c>
      <c r="L101" t="inlineStr">
        <is>
          <t>EUR</t>
        </is>
      </c>
      <c r="M101" t="n">
        <v>-4.968792335846706</v>
      </c>
      <c r="N101" t="n">
        <v>-4.706399765095581</v>
      </c>
      <c r="O101" t="n">
        <v>-9.441340870119907</v>
      </c>
      <c r="P101" t="n">
        <v>6.397972719449885</v>
      </c>
      <c r="Q101" t="n">
        <v>-14.88685656759164</v>
      </c>
      <c r="R101" t="n">
        <v>1042272000000</v>
      </c>
    </row>
    <row r="102">
      <c r="A102" t="inlineStr">
        <is>
          <t>Indonesia</t>
        </is>
      </c>
      <c r="B102" t="inlineStr">
        <is>
          <t>IDN</t>
        </is>
      </c>
      <c r="C102" t="inlineStr">
        <is>
          <t>INDO.PA</t>
        </is>
      </c>
      <c r="D102" t="n">
        <v>2019</v>
      </c>
      <c r="E102" t="n">
        <v>10.5197414012292</v>
      </c>
      <c r="F102" t="n">
        <v>5.019</v>
      </c>
      <c r="G102" t="n">
        <v>6.698009</v>
      </c>
      <c r="H102" t="n">
        <v>7.371204</v>
      </c>
      <c r="I102" t="n">
        <v>-0.3524607284579577</v>
      </c>
      <c r="J102" t="inlineStr">
        <is>
          <t>Indonesia|INDO.PA|2019</t>
        </is>
      </c>
      <c r="K102" t="inlineStr">
        <is>
          <t>Indonesia|2019</t>
        </is>
      </c>
      <c r="L102" t="inlineStr">
        <is>
          <t>EUR</t>
        </is>
      </c>
      <c r="M102" t="n">
        <v>10.5197414012292</v>
      </c>
      <c r="N102" t="n">
        <v>-2.529934143277091</v>
      </c>
      <c r="O102" t="n">
        <v>7.723664728457957</v>
      </c>
      <c r="P102" t="n">
        <v>-0.6269795821865154</v>
      </c>
      <c r="Q102" t="n">
        <v>8.403331483268017</v>
      </c>
      <c r="R102" t="n">
        <v>1119100000000</v>
      </c>
    </row>
    <row r="103">
      <c r="A103" t="inlineStr">
        <is>
          <t>Indonesia</t>
        </is>
      </c>
      <c r="B103" t="inlineStr">
        <is>
          <t>IDN</t>
        </is>
      </c>
      <c r="C103" t="inlineStr">
        <is>
          <t>INDO.PA</t>
        </is>
      </c>
      <c r="D103" t="n">
        <v>2020</v>
      </c>
      <c r="E103" t="n">
        <v>-16.05572999906417</v>
      </c>
      <c r="F103" t="n">
        <v>-2.066</v>
      </c>
      <c r="G103" t="n">
        <v>-2.458867</v>
      </c>
      <c r="H103" t="n">
        <v>-5.365472</v>
      </c>
      <c r="I103" t="n">
        <v>2.617608816257326</v>
      </c>
      <c r="J103" t="inlineStr">
        <is>
          <t>Indonesia|INDO.PA|2020</t>
        </is>
      </c>
      <c r="K103" t="inlineStr">
        <is>
          <t>Indonesia|2020</t>
        </is>
      </c>
      <c r="L103" t="inlineStr">
        <is>
          <t>EUR</t>
        </is>
      </c>
      <c r="M103" t="n">
        <v>-16.05572999906417</v>
      </c>
      <c r="N103" t="n">
        <v>9.616676853246631</v>
      </c>
      <c r="O103" t="n">
        <v>-7.983080816257326</v>
      </c>
      <c r="P103" t="n">
        <v>3.071400277553216</v>
      </c>
      <c r="Q103" t="n">
        <v>-10.72507122639525</v>
      </c>
      <c r="R103" t="n">
        <v>1059055000000</v>
      </c>
    </row>
    <row r="104">
      <c r="A104" t="inlineStr">
        <is>
          <t>Indonesia</t>
        </is>
      </c>
      <c r="B104" t="inlineStr">
        <is>
          <t>IDN</t>
        </is>
      </c>
      <c r="C104" t="inlineStr">
        <is>
          <t>INDO.PA</t>
        </is>
      </c>
      <c r="D104" t="n">
        <v>2021</v>
      </c>
      <c r="E104" t="n">
        <v>8.173632026871447</v>
      </c>
      <c r="F104" t="n">
        <v>3.703</v>
      </c>
      <c r="G104" t="n">
        <v>9.929179</v>
      </c>
      <c r="H104" t="n">
        <v>12.034786</v>
      </c>
      <c r="I104" t="n">
        <v>11.45659441411239</v>
      </c>
      <c r="J104" t="inlineStr">
        <is>
          <t>Indonesia|INDO.PA|2021</t>
        </is>
      </c>
      <c r="K104" t="inlineStr">
        <is>
          <t>Indonesia|2021</t>
        </is>
      </c>
      <c r="L104" t="inlineStr">
        <is>
          <t>EUR</t>
        </is>
      </c>
      <c r="M104" t="n">
        <v>8.173632026871447</v>
      </c>
      <c r="N104" t="n">
        <v>-7.021526686925927</v>
      </c>
      <c r="O104" t="n">
        <v>0.5781915858876108</v>
      </c>
      <c r="P104" t="n">
        <v>-1.879422184735302</v>
      </c>
      <c r="Q104" t="n">
        <v>2.504687421684326</v>
      </c>
      <c r="R104" t="n">
        <v>1186510000000</v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INDO.PA</t>
        </is>
      </c>
      <c r="D105" t="n">
        <v>2022</v>
      </c>
      <c r="E105" t="n">
        <v>8.437335166019434</v>
      </c>
      <c r="F105" t="n">
        <v>5.307</v>
      </c>
      <c r="G105" t="n">
        <v>15.38403</v>
      </c>
      <c r="H105" t="n">
        <v>11.174874</v>
      </c>
      <c r="I105" t="n">
        <v>9.532650374981333</v>
      </c>
      <c r="J105" t="inlineStr">
        <is>
          <t>Indonesia|INDO.PA|2022</t>
        </is>
      </c>
      <c r="K105" t="inlineStr">
        <is>
          <t>Indonesia|2022</t>
        </is>
      </c>
      <c r="L105" t="inlineStr">
        <is>
          <t>EUR</t>
        </is>
      </c>
      <c r="M105" t="n">
        <v>8.437335166019434</v>
      </c>
      <c r="N105" t="n">
        <v>-6.266394808206355</v>
      </c>
      <c r="O105" t="n">
        <v>1.642223625018668</v>
      </c>
      <c r="P105" t="n">
        <v>3.786067357087641</v>
      </c>
      <c r="Q105" t="n">
        <v>-2.065637312080471</v>
      </c>
      <c r="R105" t="n">
        <v>1319101000000</v>
      </c>
    </row>
    <row r="106">
      <c r="A106" t="inlineStr">
        <is>
          <t>Indonesia</t>
        </is>
      </c>
      <c r="B106" t="inlineStr">
        <is>
          <t>IDN</t>
        </is>
      </c>
      <c r="C106" t="inlineStr">
        <is>
          <t>INDO.PA</t>
        </is>
      </c>
      <c r="D106" t="n">
        <v>2023</v>
      </c>
      <c r="E106" t="n">
        <v>1.373901186379678</v>
      </c>
      <c r="F106" t="n">
        <v>5.049</v>
      </c>
      <c r="G106" t="n">
        <v>6.656412</v>
      </c>
      <c r="H106" t="n">
        <v>3.947234</v>
      </c>
      <c r="I106" t="n">
        <v>-0.8196778746472839</v>
      </c>
      <c r="J106" t="inlineStr">
        <is>
          <t>Indonesia|INDO.PA|2023</t>
        </is>
      </c>
      <c r="K106" t="inlineStr">
        <is>
          <t>Indonesia|2023</t>
        </is>
      </c>
      <c r="L106" t="inlineStr">
        <is>
          <t>EUR</t>
        </is>
      </c>
      <c r="M106" t="n">
        <v>1.373901186379678</v>
      </c>
      <c r="N106" t="n">
        <v>3.347025860264985</v>
      </c>
      <c r="O106" t="n">
        <v>4.766911874647284</v>
      </c>
      <c r="P106" t="n">
        <v>2.606301452699777</v>
      </c>
      <c r="Q106" t="n">
        <v>2.105728782109462</v>
      </c>
      <c r="R106" t="n">
        <v>1371169000000</v>
      </c>
    </row>
    <row r="107">
      <c r="A107" t="inlineStr">
        <is>
          <t>Indonesia</t>
        </is>
      </c>
      <c r="B107" t="inlineStr">
        <is>
          <t>IDN</t>
        </is>
      </c>
      <c r="C107" t="inlineStr">
        <is>
          <t>INDO.PA</t>
        </is>
      </c>
      <c r="D107" t="n">
        <v>2024</v>
      </c>
      <c r="E107" t="n">
        <v>-8.966646994343774</v>
      </c>
      <c r="F107" t="n">
        <v>5.03</v>
      </c>
      <c r="G107" t="n">
        <v>5.966852</v>
      </c>
      <c r="H107" t="n">
        <v>1.832816</v>
      </c>
      <c r="I107" t="n">
        <v>16.14890572211134</v>
      </c>
      <c r="J107" t="inlineStr">
        <is>
          <t>Indonesia|INDO.PA|2024</t>
        </is>
      </c>
      <c r="K107" t="inlineStr">
        <is>
          <t>Indonesia|2024</t>
        </is>
      </c>
      <c r="L107" t="inlineStr">
        <is>
          <t>EUR</t>
        </is>
      </c>
      <c r="M107" t="n">
        <v>-8.966646994343774</v>
      </c>
      <c r="N107" t="n">
        <v>-5.876354710822507</v>
      </c>
      <c r="O107" t="n">
        <v>-14.31608972211134</v>
      </c>
      <c r="P107" t="n">
        <v>4.059630735522934</v>
      </c>
      <c r="Q107" t="n">
        <v>-17.65883688780123</v>
      </c>
      <c r="R107" t="n">
        <v>1396300000000</v>
      </c>
    </row>
    <row r="108">
      <c r="A108" t="inlineStr">
        <is>
          <t>Indonesia</t>
        </is>
      </c>
      <c r="B108" t="inlineStr">
        <is>
          <t>IDN</t>
        </is>
      </c>
      <c r="C108" t="inlineStr">
        <is>
          <t>INDO.PA</t>
        </is>
      </c>
      <c r="D108" t="n">
        <v>2025</v>
      </c>
      <c r="E108" t="n">
        <v>-14.84785496348749</v>
      </c>
      <c r="F108" t="n">
        <v>4.861</v>
      </c>
      <c r="G108" t="n">
        <v>7.022756</v>
      </c>
      <c r="H108" t="n">
        <v>3.362888</v>
      </c>
      <c r="I108" t="n">
        <v>6.73222592862526</v>
      </c>
      <c r="J108" t="inlineStr">
        <is>
          <t>Indonesia|INDO.PA|2025</t>
        </is>
      </c>
      <c r="K108" t="inlineStr">
        <is>
          <t>Indonesia|2025</t>
        </is>
      </c>
      <c r="L108" t="inlineStr">
        <is>
          <t>EUR</t>
        </is>
      </c>
      <c r="M108" t="n">
        <v>-14.84785496348749</v>
      </c>
      <c r="N108" t="n">
        <v>13.48000925865149</v>
      </c>
      <c r="O108" t="n">
        <v>-3.36933792862526</v>
      </c>
      <c r="P108" t="n">
        <v>3.540795687862541</v>
      </c>
      <c r="Q108" t="n">
        <v>-6.67382703656182</v>
      </c>
      <c r="R108" t="n">
        <v>1443256000000</v>
      </c>
    </row>
    <row r="109">
      <c r="A109" t="inlineStr">
        <is>
          <t>Indonesia</t>
        </is>
      </c>
      <c r="B109" t="inlineStr">
        <is>
          <t>IDN</t>
        </is>
      </c>
      <c r="C109" t="inlineStr">
        <is>
          <t>INDO.PA</t>
        </is>
      </c>
      <c r="D109" t="n">
        <v>2026</v>
      </c>
      <c r="E109" t="n">
        <v>-14.96273450231216</v>
      </c>
      <c r="F109" t="n">
        <v>4.942</v>
      </c>
      <c r="G109" t="n">
        <v>7.932287</v>
      </c>
      <c r="H109" t="n">
        <v>7.412406</v>
      </c>
      <c r="I109" t="n">
        <v>23.75819223407146</v>
      </c>
      <c r="J109" t="inlineStr">
        <is>
          <t>Indonesia|INDO.PA|2026</t>
        </is>
      </c>
      <c r="K109" t="inlineStr">
        <is>
          <t>Indonesia|2026</t>
        </is>
      </c>
      <c r="L109" t="inlineStr">
        <is>
          <t>EUR</t>
        </is>
      </c>
      <c r="M109" t="n">
        <v>-14.96273450231216</v>
      </c>
      <c r="N109" t="n">
        <v>-1.626406639095079</v>
      </c>
      <c r="O109" t="n">
        <v>-16.34578623407146</v>
      </c>
      <c r="P109" t="n">
        <v>0.4840044697987045</v>
      </c>
      <c r="Q109" t="n">
        <v>-16.7487261208111</v>
      </c>
      <c r="R109" t="n">
        <v>1550236000000</v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CJPU.L</t>
        </is>
      </c>
      <c r="D110" t="n">
        <v>2015</v>
      </c>
      <c r="E110" t="n">
        <v>9.329169648484047</v>
      </c>
      <c r="F110" t="n">
        <v>1.561</v>
      </c>
      <c r="G110" t="inlineStr"/>
      <c r="H110" t="inlineStr"/>
      <c r="I110" t="inlineStr"/>
      <c r="J110" t="inlineStr">
        <is>
          <t>Japan|CJPU.L|2015</t>
        </is>
      </c>
      <c r="K110" t="inlineStr">
        <is>
          <t>Japan|2015</t>
        </is>
      </c>
      <c r="L110" t="inlineStr">
        <is>
          <t>USD</t>
        </is>
      </c>
      <c r="M110" t="n">
        <v>9.329169648484047</v>
      </c>
      <c r="N110" t="n">
        <v>0</v>
      </c>
      <c r="O110" t="n">
        <v>9.329169648484047</v>
      </c>
      <c r="P110" t="inlineStr"/>
      <c r="Q110" t="inlineStr"/>
      <c r="R110" t="n">
        <v>4444931000000</v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CJPU.L</t>
        </is>
      </c>
      <c r="D111" t="n">
        <v>2016</v>
      </c>
      <c r="E111" t="n">
        <v>5.378466409585814</v>
      </c>
      <c r="F111" t="n">
        <v>0.754</v>
      </c>
      <c r="G111" t="n">
        <v>1.176918</v>
      </c>
      <c r="H111" t="n">
        <v>12.570431</v>
      </c>
      <c r="I111" t="n">
        <v>7.191964590414186</v>
      </c>
      <c r="J111" t="inlineStr">
        <is>
          <t>Japan|CJPU.L|2016</t>
        </is>
      </c>
      <c r="K111" t="inlineStr">
        <is>
          <t>Japan|2016</t>
        </is>
      </c>
      <c r="L111" t="inlineStr">
        <is>
          <t>USD</t>
        </is>
      </c>
      <c r="M111" t="n">
        <v>5.378466409585814</v>
      </c>
      <c r="N111" t="n">
        <v>0</v>
      </c>
      <c r="O111" t="n">
        <v>5.378466409585814</v>
      </c>
      <c r="P111" t="n">
        <v>-10.12123098862643</v>
      </c>
      <c r="Q111" t="n">
        <v>17.24511535783368</v>
      </c>
      <c r="R111" t="n">
        <v>5003678000000</v>
      </c>
    </row>
    <row r="112">
      <c r="A112" t="inlineStr">
        <is>
          <t>Japan</t>
        </is>
      </c>
      <c r="B112" t="inlineStr">
        <is>
          <t>JPN</t>
        </is>
      </c>
      <c r="C112" t="inlineStr">
        <is>
          <t>CJPU.L</t>
        </is>
      </c>
      <c r="D112" t="n">
        <v>2017</v>
      </c>
      <c r="E112" t="n">
        <v>23.90629384021681</v>
      </c>
      <c r="F112" t="n">
        <v>1.675</v>
      </c>
      <c r="G112" t="n">
        <v>1.599737</v>
      </c>
      <c r="H112" t="n">
        <v>-1.455749</v>
      </c>
      <c r="I112" t="n">
        <v>-25.36204284021681</v>
      </c>
      <c r="J112" t="inlineStr">
        <is>
          <t>Japan|CJPU.L|2017</t>
        </is>
      </c>
      <c r="K112" t="inlineStr">
        <is>
          <t>Japan|2017</t>
        </is>
      </c>
      <c r="L112" t="inlineStr">
        <is>
          <t>USD</t>
        </is>
      </c>
      <c r="M112" t="n">
        <v>23.90629384021681</v>
      </c>
      <c r="N112" t="n">
        <v>0</v>
      </c>
      <c r="O112" t="n">
        <v>23.90629384021681</v>
      </c>
      <c r="P112" t="n">
        <v>3.100623092357724</v>
      </c>
      <c r="Q112" t="n">
        <v>20.17996606016759</v>
      </c>
      <c r="R112" t="n">
        <v>4930837000000</v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CJPU.L</t>
        </is>
      </c>
      <c r="D113" t="n">
        <v>2018</v>
      </c>
      <c r="E113" t="n">
        <v>-13.49926345850369</v>
      </c>
      <c r="F113" t="n">
        <v>0.643</v>
      </c>
      <c r="G113" t="n">
        <v>0.6431519999999999</v>
      </c>
      <c r="H113" t="n">
        <v>2.231751</v>
      </c>
      <c r="I113" t="n">
        <v>15.73101445850369</v>
      </c>
      <c r="J113" t="inlineStr">
        <is>
          <t>Japan|CJPU.L|2018</t>
        </is>
      </c>
      <c r="K113" t="inlineStr">
        <is>
          <t>Japan|2018</t>
        </is>
      </c>
      <c r="L113" t="inlineStr">
        <is>
          <t>USD</t>
        </is>
      </c>
      <c r="M113" t="n">
        <v>-13.49926345850369</v>
      </c>
      <c r="N113" t="n">
        <v>0</v>
      </c>
      <c r="O113" t="n">
        <v>-13.49926345850369</v>
      </c>
      <c r="P113" t="n">
        <v>-1.553919320079944</v>
      </c>
      <c r="Q113" t="n">
        <v>-12.13389507832405</v>
      </c>
      <c r="R113" t="n">
        <v>5040881000000</v>
      </c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t="n">
        <v>2019</v>
      </c>
      <c r="E114" t="n">
        <v>18.55612029358247</v>
      </c>
      <c r="F114" t="n">
        <v>-0.402</v>
      </c>
      <c r="G114" t="n">
        <v>0.230099</v>
      </c>
      <c r="H114" t="n">
        <v>1.529772</v>
      </c>
      <c r="I114" t="n">
        <v>-17.02634829358247</v>
      </c>
      <c r="J114" t="inlineStr">
        <is>
          <t>Japan|CJPU.L|2019</t>
        </is>
      </c>
      <c r="K114" t="inlineStr">
        <is>
          <t>Japan|2019</t>
        </is>
      </c>
      <c r="L114" t="inlineStr">
        <is>
          <t>USD</t>
        </is>
      </c>
      <c r="M114" t="n">
        <v>18.55612029358247</v>
      </c>
      <c r="N114" t="n">
        <v>0</v>
      </c>
      <c r="O114" t="n">
        <v>18.55612029358247</v>
      </c>
      <c r="P114" t="n">
        <v>-1.280090853712723</v>
      </c>
      <c r="Q114" t="n">
        <v>20.0934252460677</v>
      </c>
      <c r="R114" t="n">
        <v>5117995000000</v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t="n">
        <v>2020</v>
      </c>
      <c r="E115" t="n">
        <v>14.51507284137148</v>
      </c>
      <c r="F115" t="n">
        <v>-4.169</v>
      </c>
      <c r="G115" t="n">
        <v>-3.273784</v>
      </c>
      <c r="H115" t="n">
        <v>-1.249044</v>
      </c>
      <c r="I115" t="n">
        <v>-15.76411684137148</v>
      </c>
      <c r="J115" t="inlineStr">
        <is>
          <t>Japan|CJPU.L|2020</t>
        </is>
      </c>
      <c r="K115" t="inlineStr">
        <is>
          <t>Japan|2020</t>
        </is>
      </c>
      <c r="L115" t="inlineStr">
        <is>
          <t>USD</t>
        </is>
      </c>
      <c r="M115" t="n">
        <v>14.51507284137148</v>
      </c>
      <c r="N115" t="n">
        <v>0</v>
      </c>
      <c r="O115" t="n">
        <v>14.51507284137148</v>
      </c>
      <c r="P115" t="n">
        <v>-2.050350357506614</v>
      </c>
      <c r="Q115" t="n">
        <v>16.91218218680748</v>
      </c>
      <c r="R115" t="n">
        <v>5054069000000</v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t="n">
        <v>2021</v>
      </c>
      <c r="E116" t="n">
        <v>1.286765336928752</v>
      </c>
      <c r="F116" t="n">
        <v>2.697</v>
      </c>
      <c r="G116" t="n">
        <v>2.487223</v>
      </c>
      <c r="H116" t="n">
        <v>-0.295227</v>
      </c>
      <c r="I116" t="n">
        <v>-1.581992336928753</v>
      </c>
      <c r="J116" t="inlineStr">
        <is>
          <t>Japan|CJPU.L|2021</t>
        </is>
      </c>
      <c r="K116" t="inlineStr">
        <is>
          <t>Japan|2021</t>
        </is>
      </c>
      <c r="L116" t="inlineStr">
        <is>
          <t>USD</t>
        </is>
      </c>
      <c r="M116" t="n">
        <v>1.286765336928752</v>
      </c>
      <c r="N116" t="n">
        <v>0</v>
      </c>
      <c r="O116" t="n">
        <v>1.286765336928752</v>
      </c>
      <c r="P116" t="n">
        <v>2.79068899430297</v>
      </c>
      <c r="Q116" t="n">
        <v>-1.463093274389449</v>
      </c>
      <c r="R116" t="n">
        <v>5039148000000</v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t="n">
        <v>2022</v>
      </c>
      <c r="E117" t="n">
        <v>-18.75000101541136</v>
      </c>
      <c r="F117" t="n">
        <v>0.96</v>
      </c>
      <c r="G117" t="n">
        <v>1.36305</v>
      </c>
      <c r="H117" t="n">
        <v>-15.397782</v>
      </c>
      <c r="I117" t="n">
        <v>3.352219015411357</v>
      </c>
      <c r="J117" t="inlineStr">
        <is>
          <t>Japan|CJPU.L|2022</t>
        </is>
      </c>
      <c r="K117" t="inlineStr">
        <is>
          <t>Japan|2022</t>
        </is>
      </c>
      <c r="L117" t="inlineStr">
        <is>
          <t>USD</t>
        </is>
      </c>
      <c r="M117" t="n">
        <v>-18.75000101541136</v>
      </c>
      <c r="N117" t="n">
        <v>0</v>
      </c>
      <c r="O117" t="n">
        <v>-18.75000101541136</v>
      </c>
      <c r="P117" t="n">
        <v>19.81133862856353</v>
      </c>
      <c r="Q117" t="n">
        <v>-32.18505033444446</v>
      </c>
      <c r="R117" t="n">
        <v>4263231000000</v>
      </c>
    </row>
    <row r="118">
      <c r="A118" t="inlineStr">
        <is>
          <t>Japan</t>
        </is>
      </c>
      <c r="B118" t="inlineStr">
        <is>
          <t>JPN</t>
        </is>
      </c>
      <c r="C118" t="inlineStr">
        <is>
          <t>CJPU.L</t>
        </is>
      </c>
      <c r="D118" t="n">
        <v>2023</v>
      </c>
      <c r="E118" t="n">
        <v>19.82893339712084</v>
      </c>
      <c r="F118" t="n">
        <v>1.245</v>
      </c>
      <c r="G118" t="n">
        <v>5.36886</v>
      </c>
      <c r="H118" t="n">
        <v>-1.375905</v>
      </c>
      <c r="I118" t="n">
        <v>-21.20483839712084</v>
      </c>
      <c r="J118" t="inlineStr">
        <is>
          <t>Japan|CJPU.L|2023</t>
        </is>
      </c>
      <c r="K118" t="inlineStr">
        <is>
          <t>Japan|2023</t>
        </is>
      </c>
      <c r="L118" t="inlineStr">
        <is>
          <t>USD</t>
        </is>
      </c>
      <c r="M118" t="n">
        <v>19.82893339712084</v>
      </c>
      <c r="N118" t="n">
        <v>0</v>
      </c>
      <c r="O118" t="n">
        <v>19.82893339712084</v>
      </c>
      <c r="P118" t="n">
        <v>6.838861088206349</v>
      </c>
      <c r="Q118" t="n">
        <v>12.1585649421982</v>
      </c>
      <c r="R118" t="n">
        <v>4204573000000</v>
      </c>
    </row>
    <row r="119">
      <c r="A119" t="inlineStr">
        <is>
          <t>Japan</t>
        </is>
      </c>
      <c r="B119" t="inlineStr">
        <is>
          <t>JPN</t>
        </is>
      </c>
      <c r="C119" t="inlineStr">
        <is>
          <t>CJPU.L</t>
        </is>
      </c>
      <c r="D119" t="n">
        <v>2024</v>
      </c>
      <c r="E119" t="n">
        <v>8.123835572930771</v>
      </c>
      <c r="F119" t="n">
        <v>0.104</v>
      </c>
      <c r="G119" t="n">
        <v>2.995369</v>
      </c>
      <c r="H119" t="n">
        <v>-4.404514</v>
      </c>
      <c r="I119" t="n">
        <v>-12.52834957293077</v>
      </c>
      <c r="J119" t="inlineStr">
        <is>
          <t>Japan|CJPU.L|2024</t>
        </is>
      </c>
      <c r="K119" t="inlineStr">
        <is>
          <t>Japan|2024</t>
        </is>
      </c>
      <c r="L119" t="inlineStr">
        <is>
          <t>USD</t>
        </is>
      </c>
      <c r="M119" t="n">
        <v>8.123835572930771</v>
      </c>
      <c r="N119" t="n">
        <v>0</v>
      </c>
      <c r="O119" t="n">
        <v>8.123835572930771</v>
      </c>
      <c r="P119" t="n">
        <v>7.740829172186858</v>
      </c>
      <c r="Q119" t="n">
        <v>0.3554886329413698</v>
      </c>
      <c r="R119" t="n">
        <v>4019382000000</v>
      </c>
    </row>
    <row r="120">
      <c r="A120" t="inlineStr">
        <is>
          <t>Japan</t>
        </is>
      </c>
      <c r="B120" t="inlineStr">
        <is>
          <t>JPN</t>
        </is>
      </c>
      <c r="C120" t="inlineStr">
        <is>
          <t>CJPU.L</t>
        </is>
      </c>
      <c r="D120" t="n">
        <v>2025</v>
      </c>
      <c r="E120" t="n">
        <v>25.89693520558538</v>
      </c>
      <c r="F120" t="n">
        <v>1.076</v>
      </c>
      <c r="G120" t="n">
        <v>3.88797</v>
      </c>
      <c r="H120" t="n">
        <v>6.479752</v>
      </c>
      <c r="I120" t="n">
        <v>-19.41718320558538</v>
      </c>
      <c r="J120" t="inlineStr">
        <is>
          <t>Japan|CJPU.L|2025</t>
        </is>
      </c>
      <c r="K120" t="inlineStr">
        <is>
          <t>Japan|2025</t>
        </is>
      </c>
      <c r="L120" t="inlineStr">
        <is>
          <t>USD</t>
        </is>
      </c>
      <c r="M120" t="n">
        <v>25.89693520558538</v>
      </c>
      <c r="N120" t="n">
        <v>0</v>
      </c>
      <c r="O120" t="n">
        <v>25.89693520558538</v>
      </c>
      <c r="P120" t="n">
        <v>-2.434060867425714</v>
      </c>
      <c r="Q120" t="n">
        <v>29.03779364488508</v>
      </c>
      <c r="R120" t="n">
        <v>4279828000000</v>
      </c>
    </row>
    <row r="121">
      <c r="A121" t="inlineStr">
        <is>
          <t>Japan</t>
        </is>
      </c>
      <c r="B121" t="inlineStr">
        <is>
          <t>JPN</t>
        </is>
      </c>
      <c r="C121" t="inlineStr">
        <is>
          <t>CJPU.L</t>
        </is>
      </c>
      <c r="D121" t="n">
        <v>2026</v>
      </c>
      <c r="E121" t="n">
        <v>4.67824644348338</v>
      </c>
      <c r="F121" t="n">
        <v>0.633</v>
      </c>
      <c r="G121" t="n">
        <v>2.602655</v>
      </c>
      <c r="H121" t="n">
        <v>4.294705</v>
      </c>
      <c r="I121" t="n">
        <v>-0.3835414434833799</v>
      </c>
      <c r="J121" t="inlineStr">
        <is>
          <t>Japan|CJPU.L|2026</t>
        </is>
      </c>
      <c r="K121" t="inlineStr">
        <is>
          <t>Japan|2026</t>
        </is>
      </c>
      <c r="L121" t="inlineStr">
        <is>
          <t>USD</t>
        </is>
      </c>
      <c r="M121" t="n">
        <v>4.67824644348338</v>
      </c>
      <c r="N121" t="n">
        <v>0</v>
      </c>
      <c r="O121" t="n">
        <v>4.67824644348338</v>
      </c>
      <c r="P121" t="n">
        <v>-1.62237396371292</v>
      </c>
      <c r="Q121" t="n">
        <v>6.404525765718594</v>
      </c>
      <c r="R121" t="n">
        <v>4463634000000</v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n">
        <v>2015</v>
      </c>
      <c r="E122" t="n">
        <v>-16.44470179502026</v>
      </c>
      <c r="F122" t="n">
        <v>5.007</v>
      </c>
      <c r="G122" t="inlineStr"/>
      <c r="H122" t="inlineStr"/>
      <c r="I122" t="inlineStr"/>
      <c r="J122" t="inlineStr">
        <is>
          <t>Malaysia|XCX3.L|2015</t>
        </is>
      </c>
      <c r="K122" t="inlineStr">
        <is>
          <t>Malaysia|2015</t>
        </is>
      </c>
      <c r="L122" t="inlineStr">
        <is>
          <t>GBp</t>
        </is>
      </c>
      <c r="M122" t="n">
        <v>-16.44470179502026</v>
      </c>
      <c r="N122" t="n">
        <v>-4.888855870697362</v>
      </c>
      <c r="O122" t="n">
        <v>-20.52959989659311</v>
      </c>
      <c r="P122" t="inlineStr"/>
      <c r="Q122" t="inlineStr"/>
      <c r="R122" t="n">
        <v>301355000000</v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n">
        <v>2016</v>
      </c>
      <c r="E123" t="n">
        <v>18.38652482269503</v>
      </c>
      <c r="F123" t="n">
        <v>4.45</v>
      </c>
      <c r="G123" t="n">
        <v>6.181873</v>
      </c>
      <c r="H123" t="n">
        <v>-0.032852</v>
      </c>
      <c r="I123" t="n">
        <v>1.263221828109334</v>
      </c>
      <c r="J123" t="inlineStr">
        <is>
          <t>Malaysia|XCX3.L|2016</t>
        </is>
      </c>
      <c r="K123" t="inlineStr">
        <is>
          <t>Malaysia|2016</t>
        </is>
      </c>
      <c r="L123" t="inlineStr">
        <is>
          <t>GBp</t>
        </is>
      </c>
      <c r="M123" t="n">
        <v>18.38652482269503</v>
      </c>
      <c r="N123" t="n">
        <v>-16.62570861023462</v>
      </c>
      <c r="O123" t="n">
        <v>-1.296073828109334</v>
      </c>
      <c r="P123" t="n">
        <v>6.216767106909526</v>
      </c>
      <c r="Q123" t="n">
        <v>-7.073121447442487</v>
      </c>
      <c r="R123" t="n">
        <v>301256000000</v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n">
        <v>2017</v>
      </c>
      <c r="E124" t="n">
        <v>10.07011785767567</v>
      </c>
      <c r="F124" t="n">
        <v>5.813</v>
      </c>
      <c r="G124" t="n">
        <v>9.81133</v>
      </c>
      <c r="H124" t="n">
        <v>5.926189</v>
      </c>
      <c r="I124" t="n">
        <v>-13.87565512831125</v>
      </c>
      <c r="J124" t="inlineStr">
        <is>
          <t>Malaysia|XCX3.L|2017</t>
        </is>
      </c>
      <c r="K124" t="inlineStr">
        <is>
          <t>Malaysia|2017</t>
        </is>
      </c>
      <c r="L124" t="inlineStr">
        <is>
          <t>GBp</t>
        </is>
      </c>
      <c r="M124" t="n">
        <v>10.07011785767567</v>
      </c>
      <c r="N124" t="n">
        <v>8.841388071573641</v>
      </c>
      <c r="O124" t="n">
        <v>19.80184412831125</v>
      </c>
      <c r="P124" t="n">
        <v>3.667781717948859</v>
      </c>
      <c r="Q124" t="n">
        <v>15.56323685429932</v>
      </c>
      <c r="R124" t="n">
        <v>319109000000</v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n">
        <v>2018</v>
      </c>
      <c r="E125" t="n">
        <v>2.100840336134446</v>
      </c>
      <c r="F125" t="n">
        <v>4.843</v>
      </c>
      <c r="G125" t="n">
        <v>5.498029</v>
      </c>
      <c r="H125" t="n">
        <v>12.432742</v>
      </c>
      <c r="I125" t="n">
        <v>16.54504841423335</v>
      </c>
      <c r="J125" t="inlineStr">
        <is>
          <t>Malaysia|XCX3.L|2018</t>
        </is>
      </c>
      <c r="K125" t="inlineStr">
        <is>
          <t>Malaysia|2018</t>
        </is>
      </c>
      <c r="L125" t="inlineStr">
        <is>
          <t>GBp</t>
        </is>
      </c>
      <c r="M125" t="n">
        <v>2.100840336134446</v>
      </c>
      <c r="N125" t="n">
        <v>-6.085304224640065</v>
      </c>
      <c r="O125" t="n">
        <v>-4.112306414233347</v>
      </c>
      <c r="P125" t="n">
        <v>-6.167877254483145</v>
      </c>
      <c r="Q125" t="n">
        <v>2.190689904591347</v>
      </c>
      <c r="R125" t="n">
        <v>358783000000</v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n">
        <v>2019</v>
      </c>
      <c r="E126" t="n">
        <v>-6.105762890676503</v>
      </c>
      <c r="F126" t="n">
        <v>4.413</v>
      </c>
      <c r="G126" t="n">
        <v>4.488175</v>
      </c>
      <c r="H126" t="n">
        <v>1.782414</v>
      </c>
      <c r="I126" t="n">
        <v>5.124057970379371</v>
      </c>
      <c r="J126" t="inlineStr">
        <is>
          <t>Malaysia|XCX3.L|2019</t>
        </is>
      </c>
      <c r="K126" t="inlineStr">
        <is>
          <t>Malaysia|2019</t>
        </is>
      </c>
      <c r="L126" t="inlineStr">
        <is>
          <t>GBp</t>
        </is>
      </c>
      <c r="M126" t="n">
        <v>-6.105762890676503</v>
      </c>
      <c r="N126" t="n">
        <v>2.94386429390634</v>
      </c>
      <c r="O126" t="n">
        <v>-3.341643970379371</v>
      </c>
      <c r="P126" t="n">
        <v>2.658377098412235</v>
      </c>
      <c r="Q126" t="n">
        <v>-5.844648277499809</v>
      </c>
      <c r="R126" t="n">
        <v>365178000000</v>
      </c>
    </row>
    <row r="127">
      <c r="A127" t="inlineStr">
        <is>
          <t>Malaysia</t>
        </is>
      </c>
      <c r="B127" t="inlineStr">
        <is>
          <t>MYS</t>
        </is>
      </c>
      <c r="C127" t="inlineStr">
        <is>
          <t>XCX3.L</t>
        </is>
      </c>
      <c r="D127" t="n">
        <v>2020</v>
      </c>
      <c r="E127" t="n">
        <v>-1.636615811373088</v>
      </c>
      <c r="F127" t="n">
        <v>-5.457</v>
      </c>
      <c r="G127" t="n">
        <v>-6.230226</v>
      </c>
      <c r="H127" t="n">
        <v>-7.591366</v>
      </c>
      <c r="I127" t="n">
        <v>-8.684529215749393</v>
      </c>
      <c r="J127" t="inlineStr">
        <is>
          <t>Malaysia|XCX3.L|2020</t>
        </is>
      </c>
      <c r="K127" t="inlineStr">
        <is>
          <t>Malaysia|2020</t>
        </is>
      </c>
      <c r="L127" t="inlineStr">
        <is>
          <t>GBp</t>
        </is>
      </c>
      <c r="M127" t="n">
        <v>-1.636615811373088</v>
      </c>
      <c r="N127" t="n">
        <v>2.775198362317122</v>
      </c>
      <c r="O127" t="n">
        <v>1.093163215749393</v>
      </c>
      <c r="P127" t="n">
        <v>1.472957771521788</v>
      </c>
      <c r="Q127" t="n">
        <v>-0.3742815466437288</v>
      </c>
      <c r="R127" t="n">
        <v>337456000000</v>
      </c>
    </row>
    <row r="128">
      <c r="A128" t="inlineStr">
        <is>
          <t>Malaysia</t>
        </is>
      </c>
      <c r="B128" t="inlineStr">
        <is>
          <t>MYS</t>
        </is>
      </c>
      <c r="C128" t="inlineStr">
        <is>
          <t>XCX3.L</t>
        </is>
      </c>
      <c r="D128" t="n">
        <v>2021</v>
      </c>
      <c r="E128" t="n">
        <v>-5.977566377963949</v>
      </c>
      <c r="F128" t="n">
        <v>3.315</v>
      </c>
      <c r="G128" t="n">
        <v>9.179473</v>
      </c>
      <c r="H128" t="n">
        <v>10.765552</v>
      </c>
      <c r="I128" t="n">
        <v>17.94399218872935</v>
      </c>
      <c r="J128" t="inlineStr">
        <is>
          <t>Malaysia|XCX3.L|2021</t>
        </is>
      </c>
      <c r="K128" t="inlineStr">
        <is>
          <t>Malaysia|2021</t>
        </is>
      </c>
      <c r="L128" t="inlineStr">
        <is>
          <t>GBp</t>
        </is>
      </c>
      <c r="M128" t="n">
        <v>-5.977566377963949</v>
      </c>
      <c r="N128" t="n">
        <v>-1.277220514832489</v>
      </c>
      <c r="O128" t="n">
        <v>-7.178440188729351</v>
      </c>
      <c r="P128" t="n">
        <v>-1.431924020805164</v>
      </c>
      <c r="Q128" t="n">
        <v>-5.829997299670464</v>
      </c>
      <c r="R128" t="n">
        <v>373785000000</v>
      </c>
    </row>
    <row r="129">
      <c r="A129" t="inlineStr">
        <is>
          <t>Malaysia</t>
        </is>
      </c>
      <c r="B129" t="inlineStr">
        <is>
          <t>MYS</t>
        </is>
      </c>
      <c r="C129" t="inlineStr">
        <is>
          <t>XCX3.L</t>
        </is>
      </c>
      <c r="D129" t="n">
        <v>2022</v>
      </c>
      <c r="E129" t="n">
        <v>7.51303281202087</v>
      </c>
      <c r="F129" t="n">
        <v>9.032</v>
      </c>
      <c r="G129" t="n">
        <v>15.896677</v>
      </c>
      <c r="H129" t="n">
        <v>9.108177</v>
      </c>
      <c r="I129" t="n">
        <v>13.25068258637467</v>
      </c>
      <c r="J129" t="inlineStr">
        <is>
          <t>Malaysia|XCX3.L|2022</t>
        </is>
      </c>
      <c r="K129" t="inlineStr">
        <is>
          <t>Malaysia|2022</t>
        </is>
      </c>
      <c r="L129" t="inlineStr">
        <is>
          <t>GBp</t>
        </is>
      </c>
      <c r="M129" t="n">
        <v>7.51303281202087</v>
      </c>
      <c r="N129" t="n">
        <v>-10.84104698150823</v>
      </c>
      <c r="O129" t="n">
        <v>-4.142505586374668</v>
      </c>
      <c r="P129" t="n">
        <v>6.221806922132567</v>
      </c>
      <c r="Q129" t="n">
        <v>-9.757236116407753</v>
      </c>
      <c r="R129" t="n">
        <v>407830000000</v>
      </c>
    </row>
    <row r="130">
      <c r="A130" t="inlineStr">
        <is>
          <t>Malaysia</t>
        </is>
      </c>
      <c r="B130" t="inlineStr">
        <is>
          <t>MYS</t>
        </is>
      </c>
      <c r="C130" t="inlineStr">
        <is>
          <t>XCX3.L</t>
        </is>
      </c>
      <c r="D130" t="n">
        <v>2023</v>
      </c>
      <c r="E130" t="n">
        <v>-8.690630864732206</v>
      </c>
      <c r="F130" t="n">
        <v>3.537</v>
      </c>
      <c r="G130" t="n">
        <v>1.622715</v>
      </c>
      <c r="H130" t="n">
        <v>-1.932423</v>
      </c>
      <c r="I130" t="n">
        <v>2.135186486476287</v>
      </c>
      <c r="J130" t="inlineStr">
        <is>
          <t>Malaysia|XCX3.L|2023</t>
        </is>
      </c>
      <c r="K130" t="inlineStr">
        <is>
          <t>Malaysia|2023</t>
        </is>
      </c>
      <c r="L130" t="inlineStr">
        <is>
          <t>GBp</t>
        </is>
      </c>
      <c r="M130" t="n">
        <v>-8.690630864732206</v>
      </c>
      <c r="N130" t="n">
        <v>5.06303068571996</v>
      </c>
      <c r="O130" t="n">
        <v>-4.067609486476287</v>
      </c>
      <c r="P130" t="n">
        <v>3.625191974837283</v>
      </c>
      <c r="Q130" t="n">
        <v>-7.423678851356497</v>
      </c>
      <c r="R130" t="n">
        <v>399949000000</v>
      </c>
    </row>
    <row r="131">
      <c r="A131" t="inlineStr">
        <is>
          <t>Malaysia</t>
        </is>
      </c>
      <c r="B131" t="inlineStr">
        <is>
          <t>MYS</t>
        </is>
      </c>
      <c r="C131" t="inlineStr">
        <is>
          <t>XCX3.L</t>
        </is>
      </c>
      <c r="D131" t="n">
        <v>2024</v>
      </c>
      <c r="E131" t="n">
        <v>21.8267716535433</v>
      </c>
      <c r="F131" t="n">
        <v>5.105</v>
      </c>
      <c r="G131" t="n">
        <v>5.935903</v>
      </c>
      <c r="H131" t="n">
        <v>5.57021</v>
      </c>
      <c r="I131" t="n">
        <v>-14.5253380221934</v>
      </c>
      <c r="J131" t="inlineStr">
        <is>
          <t>Malaysia|XCX3.L|2024</t>
        </is>
      </c>
      <c r="K131" t="inlineStr">
        <is>
          <t>Malaysia|2024</t>
        </is>
      </c>
      <c r="L131" t="inlineStr">
        <is>
          <t>GBp</t>
        </is>
      </c>
      <c r="M131" t="n">
        <v>21.8267716535433</v>
      </c>
      <c r="N131" t="n">
        <v>-1.421053523664917</v>
      </c>
      <c r="O131" t="n">
        <v>20.0955480221934</v>
      </c>
      <c r="P131" t="n">
        <v>0.3463977929542894</v>
      </c>
      <c r="Q131" t="n">
        <v>19.68097576356227</v>
      </c>
      <c r="R131" t="n">
        <v>422227000000</v>
      </c>
    </row>
    <row r="132">
      <c r="A132" t="inlineStr">
        <is>
          <t>Malaysia</t>
        </is>
      </c>
      <c r="B132" t="inlineStr">
        <is>
          <t>MYS</t>
        </is>
      </c>
      <c r="C132" t="inlineStr">
        <is>
          <t>XCX3.L</t>
        </is>
      </c>
      <c r="D132" t="n">
        <v>2025</v>
      </c>
      <c r="E132" t="n">
        <v>6.998844227558743</v>
      </c>
      <c r="F132" t="n">
        <v>4.5</v>
      </c>
      <c r="G132" t="n">
        <v>5.607851</v>
      </c>
      <c r="H132" t="n">
        <v>11.450002</v>
      </c>
      <c r="I132" t="n">
        <v>-3.650719337422885</v>
      </c>
      <c r="J132" t="inlineStr">
        <is>
          <t>Malaysia|XCX3.L|2025</t>
        </is>
      </c>
      <c r="K132" t="inlineStr">
        <is>
          <t>Malaysia|2025</t>
        </is>
      </c>
      <c r="L132" t="inlineStr">
        <is>
          <t>GBp</t>
        </is>
      </c>
      <c r="M132" t="n">
        <v>6.998844227558743</v>
      </c>
      <c r="N132" t="n">
        <v>7.571929555270285</v>
      </c>
      <c r="O132" t="n">
        <v>15.10072133742288</v>
      </c>
      <c r="P132" t="n">
        <v>-5.241947883552878</v>
      </c>
      <c r="Q132" t="n">
        <v>21.46801117859292</v>
      </c>
      <c r="R132" t="n">
        <v>470572000000</v>
      </c>
    </row>
    <row r="133">
      <c r="A133" t="inlineStr">
        <is>
          <t>Malaysia</t>
        </is>
      </c>
      <c r="B133" t="inlineStr">
        <is>
          <t>MYS</t>
        </is>
      </c>
      <c r="C133" t="inlineStr">
        <is>
          <t>XCX3.L</t>
        </is>
      </c>
      <c r="D133" t="n">
        <v>2026</v>
      </c>
      <c r="E133" t="n">
        <v>4.870991077887643</v>
      </c>
      <c r="F133" t="n">
        <v>4</v>
      </c>
      <c r="G133" t="n">
        <v>5.973192</v>
      </c>
      <c r="H133" t="n">
        <v>7.393555</v>
      </c>
      <c r="I133" t="n">
        <v>3.581396092518811</v>
      </c>
      <c r="J133" t="inlineStr">
        <is>
          <t>Malaysia|XCX3.L|2026</t>
        </is>
      </c>
      <c r="K133" t="inlineStr">
        <is>
          <t>Malaysia|2026</t>
        </is>
      </c>
      <c r="L133" t="inlineStr">
        <is>
          <t>GBp</t>
        </is>
      </c>
      <c r="M133" t="n">
        <v>4.870991077887643</v>
      </c>
      <c r="N133" t="n">
        <v>-1.00965210638666</v>
      </c>
      <c r="O133" t="n">
        <v>3.812158907481189</v>
      </c>
      <c r="P133" t="n">
        <v>-1.322577680148807</v>
      </c>
      <c r="Q133" t="n">
        <v>5.203557680080406</v>
      </c>
      <c r="R133" t="n">
        <v>505364000000</v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n">
        <v>2015</v>
      </c>
      <c r="E134" t="n">
        <v>-9.970801137659679</v>
      </c>
      <c r="F134" t="n">
        <v>2.702</v>
      </c>
      <c r="G134" t="inlineStr"/>
      <c r="H134" t="inlineStr"/>
      <c r="I134" t="inlineStr"/>
      <c r="J134" t="inlineStr">
        <is>
          <t>Mexico|XMEX.L|2015</t>
        </is>
      </c>
      <c r="K134" t="inlineStr">
        <is>
          <t>Mexico|2015</t>
        </is>
      </c>
      <c r="L134" t="inlineStr">
        <is>
          <t>GBp</t>
        </is>
      </c>
      <c r="M134" t="n">
        <v>-9.970801137659679</v>
      </c>
      <c r="N134" t="n">
        <v>-4.888855870697362</v>
      </c>
      <c r="O134" t="n">
        <v>-14.37219891158301</v>
      </c>
      <c r="P134" t="inlineStr"/>
      <c r="Q134" t="inlineStr"/>
      <c r="R134" t="n">
        <v>1213294000000</v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n">
        <v>2016</v>
      </c>
      <c r="E135" t="n">
        <v>11.89535854640324</v>
      </c>
      <c r="F135" t="n">
        <v>1.772</v>
      </c>
      <c r="G135" t="n">
        <v>7.957807</v>
      </c>
      <c r="H135" t="n">
        <v>-8.329473</v>
      </c>
      <c r="I135" t="n">
        <v>-1.621435286100971</v>
      </c>
      <c r="J135" t="inlineStr">
        <is>
          <t>Mexico|XMEX.L|2016</t>
        </is>
      </c>
      <c r="K135" t="inlineStr">
        <is>
          <t>Mexico|2016</t>
        </is>
      </c>
      <c r="L135" t="inlineStr">
        <is>
          <t>GBp</t>
        </is>
      </c>
      <c r="M135" t="n">
        <v>11.89535854640324</v>
      </c>
      <c r="N135" t="n">
        <v>-16.62570861023462</v>
      </c>
      <c r="O135" t="n">
        <v>-6.708037713899029</v>
      </c>
      <c r="P135" t="n">
        <v>17.76719360204619</v>
      </c>
      <c r="Q135" t="n">
        <v>-20.78272443058367</v>
      </c>
      <c r="R135" t="n">
        <v>1112233000000</v>
      </c>
    </row>
    <row r="136">
      <c r="A136" t="inlineStr">
        <is>
          <t>Mexico</t>
        </is>
      </c>
      <c r="B136" t="inlineStr">
        <is>
          <t>MEX</t>
        </is>
      </c>
      <c r="C136" t="inlineStr">
        <is>
          <t>XMEX.L</t>
        </is>
      </c>
      <c r="D136" t="n">
        <v>2017</v>
      </c>
      <c r="E136" t="n">
        <v>3.693817729694904</v>
      </c>
      <c r="F136" t="n">
        <v>1.872</v>
      </c>
      <c r="G136" t="n">
        <v>8.562246999999999</v>
      </c>
      <c r="H136" t="n">
        <v>7.056795</v>
      </c>
      <c r="I136" t="n">
        <v>-5.80499556140746</v>
      </c>
      <c r="J136" t="inlineStr">
        <is>
          <t>Mexico|XMEX.L|2017</t>
        </is>
      </c>
      <c r="K136" t="inlineStr">
        <is>
          <t>Mexico|2017</t>
        </is>
      </c>
      <c r="L136" t="inlineStr">
        <is>
          <t>GBp</t>
        </is>
      </c>
      <c r="M136" t="n">
        <v>3.693817729694904</v>
      </c>
      <c r="N136" t="n">
        <v>8.841388071573641</v>
      </c>
      <c r="O136" t="n">
        <v>12.86179056140746</v>
      </c>
      <c r="P136" t="n">
        <v>1.406218487646393</v>
      </c>
      <c r="Q136" t="n">
        <v>11.29671557090615</v>
      </c>
      <c r="R136" t="n">
        <v>1190721000000</v>
      </c>
    </row>
    <row r="137">
      <c r="A137" t="inlineStr">
        <is>
          <t>Mexico</t>
        </is>
      </c>
      <c r="B137" t="inlineStr">
        <is>
          <t>MEX</t>
        </is>
      </c>
      <c r="C137" t="inlineStr">
        <is>
          <t>XMEX.L</t>
        </is>
      </c>
      <c r="D137" t="n">
        <v>2018</v>
      </c>
      <c r="E137" t="n">
        <v>-10.87596013818325</v>
      </c>
      <c r="F137" t="n">
        <v>1.972</v>
      </c>
      <c r="G137" t="n">
        <v>7.279219</v>
      </c>
      <c r="H137" t="n">
        <v>5.507503</v>
      </c>
      <c r="I137" t="n">
        <v>21.80693210106428</v>
      </c>
      <c r="J137" t="inlineStr">
        <is>
          <t>Mexico|XMEX.L|2018</t>
        </is>
      </c>
      <c r="K137" t="inlineStr">
        <is>
          <t>Mexico|2018</t>
        </is>
      </c>
      <c r="L137" t="inlineStr">
        <is>
          <t>GBp</t>
        </is>
      </c>
      <c r="M137" t="n">
        <v>-10.87596013818325</v>
      </c>
      <c r="N137" t="n">
        <v>-6.085304224640065</v>
      </c>
      <c r="O137" t="n">
        <v>-16.29942910106428</v>
      </c>
      <c r="P137" t="n">
        <v>1.679231475886001</v>
      </c>
      <c r="Q137" t="n">
        <v>-17.68174317998662</v>
      </c>
      <c r="R137" t="n">
        <v>1256300000000</v>
      </c>
    </row>
    <row r="138">
      <c r="A138" t="inlineStr">
        <is>
          <t>Mexico</t>
        </is>
      </c>
      <c r="B138" t="inlineStr">
        <is>
          <t>MEX</t>
        </is>
      </c>
      <c r="C138" t="inlineStr">
        <is>
          <t>XMEX.L</t>
        </is>
      </c>
      <c r="D138" t="n">
        <v>2019</v>
      </c>
      <c r="E138" t="n">
        <v>4.346498216753458</v>
      </c>
      <c r="F138" t="n">
        <v>-0.393</v>
      </c>
      <c r="G138" t="n">
        <v>3.90936</v>
      </c>
      <c r="H138" t="n">
        <v>3.805301</v>
      </c>
      <c r="I138" t="n">
        <v>-3.613016519698081</v>
      </c>
      <c r="J138" t="inlineStr">
        <is>
          <t>Mexico|XMEX.L|2019</t>
        </is>
      </c>
      <c r="K138" t="inlineStr">
        <is>
          <t>Mexico|2019</t>
        </is>
      </c>
      <c r="L138" t="inlineStr">
        <is>
          <t>GBp</t>
        </is>
      </c>
      <c r="M138" t="n">
        <v>4.346498216753458</v>
      </c>
      <c r="N138" t="n">
        <v>2.94386429390634</v>
      </c>
      <c r="O138" t="n">
        <v>7.418317519698081</v>
      </c>
      <c r="P138" t="n">
        <v>0.1002438631682034</v>
      </c>
      <c r="Q138" t="n">
        <v>7.310745083232062</v>
      </c>
      <c r="R138" t="n">
        <v>1304106000000</v>
      </c>
    </row>
    <row r="139">
      <c r="A139" t="inlineStr">
        <is>
          <t>Mexico</t>
        </is>
      </c>
      <c r="B139" t="inlineStr">
        <is>
          <t>MEX</t>
        </is>
      </c>
      <c r="C139" t="inlineStr">
        <is>
          <t>XMEX.L</t>
        </is>
      </c>
      <c r="D139" t="n">
        <v>2020</v>
      </c>
      <c r="E139" t="n">
        <v>-5.381167780111673</v>
      </c>
      <c r="F139" t="n">
        <v>-8.353999999999999</v>
      </c>
      <c r="G139" t="n">
        <v>-4.120183</v>
      </c>
      <c r="H139" t="n">
        <v>-14.035746</v>
      </c>
      <c r="I139" t="n">
        <v>-11.28043850209825</v>
      </c>
      <c r="J139" t="inlineStr">
        <is>
          <t>Mexico|XMEX.L|2020</t>
        </is>
      </c>
      <c r="K139" t="inlineStr">
        <is>
          <t>Mexico|2020</t>
        </is>
      </c>
      <c r="L139" t="inlineStr">
        <is>
          <t>GBp</t>
        </is>
      </c>
      <c r="M139" t="n">
        <v>-5.381167780111673</v>
      </c>
      <c r="N139" t="n">
        <v>2.775198362317122</v>
      </c>
      <c r="O139" t="n">
        <v>-2.755307497901749</v>
      </c>
      <c r="P139" t="n">
        <v>11.5345185575102</v>
      </c>
      <c r="Q139" t="n">
        <v>-12.81202110362248</v>
      </c>
      <c r="R139" t="n">
        <v>1121065000000</v>
      </c>
    </row>
    <row r="140">
      <c r="A140" t="inlineStr">
        <is>
          <t>Mexico</t>
        </is>
      </c>
      <c r="B140" t="inlineStr">
        <is>
          <t>MEX</t>
        </is>
      </c>
      <c r="C140" t="inlineStr">
        <is>
          <t>XMEX.L</t>
        </is>
      </c>
      <c r="D140" t="n">
        <v>2021</v>
      </c>
      <c r="E140" t="n">
        <v>19.99089795741909</v>
      </c>
      <c r="F140" t="n">
        <v>6.048</v>
      </c>
      <c r="G140" t="n">
        <v>10.807909</v>
      </c>
      <c r="H140" t="n">
        <v>17.439132</v>
      </c>
      <c r="I140" t="n">
        <v>-1.019217592775213</v>
      </c>
      <c r="J140" t="inlineStr">
        <is>
          <t>Mexico|XMEX.L|2021</t>
        </is>
      </c>
      <c r="K140" t="inlineStr">
        <is>
          <t>Mexico|2021</t>
        </is>
      </c>
      <c r="L140" t="inlineStr">
        <is>
          <t>GBp</t>
        </is>
      </c>
      <c r="M140" t="n">
        <v>19.99089795741909</v>
      </c>
      <c r="N140" t="n">
        <v>-1.277220514832489</v>
      </c>
      <c r="O140" t="n">
        <v>18.45834959277521</v>
      </c>
      <c r="P140" t="n">
        <v>-5.646518310005288</v>
      </c>
      <c r="Q140" t="n">
        <v>25.54740691178605</v>
      </c>
      <c r="R140" t="n">
        <v>1316569000000</v>
      </c>
    </row>
    <row r="141">
      <c r="A141" t="inlineStr">
        <is>
          <t>Mexico</t>
        </is>
      </c>
      <c r="B141" t="inlineStr">
        <is>
          <t>MEX</t>
        </is>
      </c>
      <c r="C141" t="inlineStr">
        <is>
          <t>XMEX.L</t>
        </is>
      </c>
      <c r="D141" t="n">
        <v>2022</v>
      </c>
      <c r="E141" t="n">
        <v>11.77221792262422</v>
      </c>
      <c r="F141" t="n">
        <v>3.71</v>
      </c>
      <c r="G141" t="n">
        <v>10.623726</v>
      </c>
      <c r="H141" t="n">
        <v>11.42105</v>
      </c>
      <c r="I141" t="n">
        <v>11.76611073464123</v>
      </c>
      <c r="J141" t="inlineStr">
        <is>
          <t>Mexico|XMEX.L|2022</t>
        </is>
      </c>
      <c r="K141" t="inlineStr">
        <is>
          <t>Mexico|2022</t>
        </is>
      </c>
      <c r="L141" t="inlineStr">
        <is>
          <t>GBp</t>
        </is>
      </c>
      <c r="M141" t="n">
        <v>11.77221792262422</v>
      </c>
      <c r="N141" t="n">
        <v>-10.84104698150823</v>
      </c>
      <c r="O141" t="n">
        <v>-0.3450607346412338</v>
      </c>
      <c r="P141" t="n">
        <v>-0.715595143423664</v>
      </c>
      <c r="Q141" t="n">
        <v>0.3732050459663849</v>
      </c>
      <c r="R141" t="n">
        <v>1466935000000</v>
      </c>
    </row>
    <row r="142">
      <c r="A142" t="inlineStr">
        <is>
          <t>Mexico</t>
        </is>
      </c>
      <c r="B142" t="inlineStr">
        <is>
          <t>MEX</t>
        </is>
      </c>
      <c r="C142" t="inlineStr">
        <is>
          <t>XMEX.L</t>
        </is>
      </c>
      <c r="D142" t="n">
        <v>2023</v>
      </c>
      <c r="E142" t="n">
        <v>29.66957921780331</v>
      </c>
      <c r="F142" t="n">
        <v>3.354</v>
      </c>
      <c r="G142" t="n">
        <v>8.163463</v>
      </c>
      <c r="H142" t="n">
        <v>22.590162</v>
      </c>
      <c r="I142" t="n">
        <v>-13.64462780364465</v>
      </c>
      <c r="J142" t="inlineStr">
        <is>
          <t>Mexico|XMEX.L|2023</t>
        </is>
      </c>
      <c r="K142" t="inlineStr">
        <is>
          <t>Mexico|2023</t>
        </is>
      </c>
      <c r="L142" t="inlineStr">
        <is>
          <t>GBp</t>
        </is>
      </c>
      <c r="M142" t="n">
        <v>29.66957921780331</v>
      </c>
      <c r="N142" t="n">
        <v>5.06303068571996</v>
      </c>
      <c r="O142" t="n">
        <v>36.23478980364465</v>
      </c>
      <c r="P142" t="n">
        <v>-11.76823588369271</v>
      </c>
      <c r="Q142" t="n">
        <v>54.40560570007382</v>
      </c>
      <c r="R142" t="n">
        <v>1798318000000</v>
      </c>
    </row>
    <row r="143">
      <c r="A143" t="inlineStr">
        <is>
          <t>Mexico</t>
        </is>
      </c>
      <c r="B143" t="inlineStr">
        <is>
          <t>MEX</t>
        </is>
      </c>
      <c r="C143" t="inlineStr">
        <is>
          <t>XMEX.L</t>
        </is>
      </c>
      <c r="D143" t="n">
        <v>2024</v>
      </c>
      <c r="E143" t="n">
        <v>-26.73406378777472</v>
      </c>
      <c r="F143" t="n">
        <v>1.427</v>
      </c>
      <c r="G143" t="n">
        <v>6.402517</v>
      </c>
      <c r="H143" t="n">
        <v>3.227905</v>
      </c>
      <c r="I143" t="n">
        <v>31.00311695596464</v>
      </c>
      <c r="J143" t="inlineStr">
        <is>
          <t>Mexico|XMEX.L|2024</t>
        </is>
      </c>
      <c r="K143" t="inlineStr">
        <is>
          <t>Mexico|2024</t>
        </is>
      </c>
      <c r="L143" t="inlineStr">
        <is>
          <t>GBp</t>
        </is>
      </c>
      <c r="M143" t="n">
        <v>-26.73406378777472</v>
      </c>
      <c r="N143" t="n">
        <v>-1.421053523664917</v>
      </c>
      <c r="O143" t="n">
        <v>-27.77521195596464</v>
      </c>
      <c r="P143" t="n">
        <v>3.075343103110462</v>
      </c>
      <c r="Q143" t="n">
        <v>-29.93010173947618</v>
      </c>
      <c r="R143" t="n">
        <v>1856366000000</v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XMEX.L</t>
        </is>
      </c>
      <c r="D144" t="n">
        <v>2025</v>
      </c>
      <c r="E144" t="n">
        <v>41.10571760925725</v>
      </c>
      <c r="F144" t="n">
        <v>0.99</v>
      </c>
      <c r="G144" t="n">
        <v>6.194171</v>
      </c>
      <c r="H144" t="n">
        <v>0.343359</v>
      </c>
      <c r="I144" t="n">
        <v>-51.44678414508883</v>
      </c>
      <c r="J144" t="inlineStr">
        <is>
          <t>Mexico|XMEX.L|2025</t>
        </is>
      </c>
      <c r="K144" t="inlineStr">
        <is>
          <t>Mexico|2025</t>
        </is>
      </c>
      <c r="L144" t="inlineStr">
        <is>
          <t>GBp</t>
        </is>
      </c>
      <c r="M144" t="n">
        <v>41.10571760925725</v>
      </c>
      <c r="N144" t="n">
        <v>7.571929555270285</v>
      </c>
      <c r="O144" t="n">
        <v>51.79014314508883</v>
      </c>
      <c r="P144" t="n">
        <v>5.830791924120904</v>
      </c>
      <c r="Q144" t="n">
        <v>43.42720146507087</v>
      </c>
      <c r="R144" t="n">
        <v>1862740000000</v>
      </c>
    </row>
    <row r="145">
      <c r="A145" t="inlineStr">
        <is>
          <t>Mexico</t>
        </is>
      </c>
      <c r="B145" t="inlineStr">
        <is>
          <t>MEX</t>
        </is>
      </c>
      <c r="C145" t="inlineStr">
        <is>
          <t>XMEX.L</t>
        </is>
      </c>
      <c r="D145" t="n">
        <v>2026</v>
      </c>
      <c r="E145" t="n">
        <v>7.648261758691222</v>
      </c>
      <c r="F145" t="n">
        <v>1.544</v>
      </c>
      <c r="G145" t="n">
        <v>6.135736</v>
      </c>
      <c r="H145" t="n">
        <v>9.032876</v>
      </c>
      <c r="I145" t="n">
        <v>2.471487183644027</v>
      </c>
      <c r="J145" t="inlineStr">
        <is>
          <t>Mexico|XMEX.L|2026</t>
        </is>
      </c>
      <c r="K145" t="inlineStr">
        <is>
          <t>Mexico|2026</t>
        </is>
      </c>
      <c r="L145" t="inlineStr">
        <is>
          <t>GBp</t>
        </is>
      </c>
      <c r="M145" t="n">
        <v>7.648261758691222</v>
      </c>
      <c r="N145" t="n">
        <v>-1.00965210638666</v>
      </c>
      <c r="O145" t="n">
        <v>6.561388816355973</v>
      </c>
      <c r="P145" t="n">
        <v>-2.657125369469626</v>
      </c>
      <c r="Q145" t="n">
        <v>9.470147887880763</v>
      </c>
      <c r="R145" t="n">
        <v>2030999000000</v>
      </c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t="n">
        <v>2015</v>
      </c>
      <c r="E146" t="n">
        <v>-11.00000143051147</v>
      </c>
      <c r="F146" t="n">
        <v>3.812</v>
      </c>
      <c r="G146" t="inlineStr"/>
      <c r="H146" t="inlineStr"/>
      <c r="I146" t="inlineStr"/>
      <c r="J146" t="inlineStr">
        <is>
          <t>Pakistan|XBAK.L|2015</t>
        </is>
      </c>
      <c r="K146" t="inlineStr">
        <is>
          <t>Pakistan|2015</t>
        </is>
      </c>
      <c r="L146" t="inlineStr">
        <is>
          <t>USD</t>
        </is>
      </c>
      <c r="M146" t="n">
        <v>-11.00000143051147</v>
      </c>
      <c r="N146" t="n">
        <v>0</v>
      </c>
      <c r="O146" t="n">
        <v>-11.00000143051147</v>
      </c>
      <c r="P146" t="inlineStr"/>
      <c r="Q146" t="inlineStr"/>
      <c r="R146" t="n">
        <v>299930000000</v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t="n">
        <v>2016</v>
      </c>
      <c r="E147" t="n">
        <v>33.1460631265436</v>
      </c>
      <c r="F147" t="n">
        <v>4.072</v>
      </c>
      <c r="G147" t="n">
        <v>7.556623</v>
      </c>
      <c r="H147" t="n">
        <v>4.565399</v>
      </c>
      <c r="I147" t="n">
        <v>-28.5806641265436</v>
      </c>
      <c r="J147" t="inlineStr">
        <is>
          <t>Pakistan|XBAK.L|2016</t>
        </is>
      </c>
      <c r="K147" t="inlineStr">
        <is>
          <t>Pakistan|2016</t>
        </is>
      </c>
      <c r="L147" t="inlineStr">
        <is>
          <t>USD</t>
        </is>
      </c>
      <c r="M147" t="n">
        <v>33.1460631265436</v>
      </c>
      <c r="N147" t="n">
        <v>0</v>
      </c>
      <c r="O147" t="n">
        <v>33.1460631265436</v>
      </c>
      <c r="P147" t="n">
        <v>2.860625308132758</v>
      </c>
      <c r="Q147" t="n">
        <v>29.44317879430225</v>
      </c>
      <c r="R147" t="n">
        <v>313623000000</v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t="n">
        <v>2017</v>
      </c>
      <c r="E148" t="n">
        <v>-27.01613190084786</v>
      </c>
      <c r="F148" t="n">
        <v>4.609</v>
      </c>
      <c r="G148" t="n">
        <v>8.640995</v>
      </c>
      <c r="H148" t="n">
        <v>8.164580000000001</v>
      </c>
      <c r="I148" t="n">
        <v>35.18071190084786</v>
      </c>
      <c r="J148" t="inlineStr">
        <is>
          <t>Pakistan|XBAK.L|2017</t>
        </is>
      </c>
      <c r="K148" t="inlineStr">
        <is>
          <t>Pakistan|2017</t>
        </is>
      </c>
      <c r="L148" t="inlineStr">
        <is>
          <t>USD</t>
        </is>
      </c>
      <c r="M148" t="n">
        <v>-27.01613190084786</v>
      </c>
      <c r="N148" t="n">
        <v>0</v>
      </c>
      <c r="O148" t="n">
        <v>-27.01613190084786</v>
      </c>
      <c r="P148" t="n">
        <v>0.4404544443754599</v>
      </c>
      <c r="Q148" t="n">
        <v>-27.3361829126619</v>
      </c>
      <c r="R148" t="n">
        <v>339229000000</v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t="n">
        <v>2018</v>
      </c>
      <c r="E149" t="n">
        <v>-36.50793350442705</v>
      </c>
      <c r="F149" t="n">
        <v>6.096</v>
      </c>
      <c r="G149" t="n">
        <v>10.229825</v>
      </c>
      <c r="H149" t="n">
        <v>4.991908</v>
      </c>
      <c r="I149" t="n">
        <v>41.49984150442705</v>
      </c>
      <c r="J149" t="inlineStr">
        <is>
          <t>Pakistan|XBAK.L|2018</t>
        </is>
      </c>
      <c r="K149" t="inlineStr">
        <is>
          <t>Pakistan|2018</t>
        </is>
      </c>
      <c r="L149" t="inlineStr">
        <is>
          <t>USD</t>
        </is>
      </c>
      <c r="M149" t="n">
        <v>-36.50793350442705</v>
      </c>
      <c r="N149" t="n">
        <v>0</v>
      </c>
      <c r="O149" t="n">
        <v>-36.50793350442705</v>
      </c>
      <c r="P149" t="n">
        <v>4.988876290576916</v>
      </c>
      <c r="Q149" t="n">
        <v>-39.52495851098887</v>
      </c>
      <c r="R149" t="n">
        <v>356163000000</v>
      </c>
    </row>
    <row r="150">
      <c r="A150" t="inlineStr">
        <is>
          <t>Pakistan</t>
        </is>
      </c>
      <c r="B150" t="inlineStr">
        <is>
          <t>PAK</t>
        </is>
      </c>
      <c r="C150" t="inlineStr">
        <is>
          <t>XBAK.L</t>
        </is>
      </c>
      <c r="D150" t="n">
        <v>2019</v>
      </c>
      <c r="E150" t="n">
        <v>-3.968250213867131</v>
      </c>
      <c r="F150" t="n">
        <v>3.12</v>
      </c>
      <c r="G150" t="n">
        <v>11.759667</v>
      </c>
      <c r="H150" t="n">
        <v>-9.852792000000001</v>
      </c>
      <c r="I150" t="n">
        <v>-5.88454178613287</v>
      </c>
      <c r="J150" t="inlineStr">
        <is>
          <t>Pakistan|XBAK.L|2019</t>
        </is>
      </c>
      <c r="K150" t="inlineStr">
        <is>
          <t>Pakistan|2019</t>
        </is>
      </c>
      <c r="L150" t="inlineStr">
        <is>
          <t>USD</t>
        </is>
      </c>
      <c r="M150" t="n">
        <v>-3.968250213867131</v>
      </c>
      <c r="N150" t="n">
        <v>0</v>
      </c>
      <c r="O150" t="n">
        <v>-3.968250213867131</v>
      </c>
      <c r="P150" t="n">
        <v>23.97462909395305</v>
      </c>
      <c r="Q150" t="n">
        <v>-22.53919169755606</v>
      </c>
      <c r="R150" t="n">
        <v>321071000000</v>
      </c>
    </row>
    <row r="151">
      <c r="A151" t="inlineStr">
        <is>
          <t>Pakistan</t>
        </is>
      </c>
      <c r="B151" t="inlineStr">
        <is>
          <t>PAK</t>
        </is>
      </c>
      <c r="C151" t="inlineStr">
        <is>
          <t>XBAK.L</t>
        </is>
      </c>
      <c r="D151" t="n">
        <v>2020</v>
      </c>
      <c r="E151" t="n">
        <v>-10.39999961853028</v>
      </c>
      <c r="F151" t="n">
        <v>-0.9429999999999999</v>
      </c>
      <c r="G151" t="n">
        <v>8.543709</v>
      </c>
      <c r="H151" t="n">
        <v>-6.435025</v>
      </c>
      <c r="I151" t="n">
        <v>3.964974618530275</v>
      </c>
      <c r="J151" t="inlineStr">
        <is>
          <t>Pakistan|XBAK.L|2020</t>
        </is>
      </c>
      <c r="K151" t="inlineStr">
        <is>
          <t>Pakistan|2020</t>
        </is>
      </c>
      <c r="L151" t="inlineStr">
        <is>
          <t>USD</t>
        </is>
      </c>
      <c r="M151" t="n">
        <v>-10.39999961853028</v>
      </c>
      <c r="N151" t="n">
        <v>0</v>
      </c>
      <c r="O151" t="n">
        <v>-10.39999961853028</v>
      </c>
      <c r="P151" t="n">
        <v>16.00891197047862</v>
      </c>
      <c r="Q151" t="n">
        <v>-22.76455415401991</v>
      </c>
      <c r="R151" t="n">
        <v>300410000000</v>
      </c>
    </row>
    <row r="152">
      <c r="A152" t="inlineStr">
        <is>
          <t>Pakistan</t>
        </is>
      </c>
      <c r="B152" t="inlineStr">
        <is>
          <t>PAK</t>
        </is>
      </c>
      <c r="C152" t="inlineStr">
        <is>
          <t>XBAK.L</t>
        </is>
      </c>
      <c r="D152" t="n">
        <v>2021</v>
      </c>
      <c r="E152" t="n">
        <v>-18.1034469469832</v>
      </c>
      <c r="F152" t="n">
        <v>5.77</v>
      </c>
      <c r="G152" t="n">
        <v>17.450031</v>
      </c>
      <c r="H152" t="n">
        <v>16.001798</v>
      </c>
      <c r="I152" t="n">
        <v>34.10524494698321</v>
      </c>
      <c r="J152" t="inlineStr">
        <is>
          <t>Pakistan|XBAK.L|2021</t>
        </is>
      </c>
      <c r="K152" t="inlineStr">
        <is>
          <t>Pakistan|2021</t>
        </is>
      </c>
      <c r="L152" t="inlineStr">
        <is>
          <t>USD</t>
        </is>
      </c>
      <c r="M152" t="n">
        <v>-18.1034469469832</v>
      </c>
      <c r="N152" t="n">
        <v>0</v>
      </c>
      <c r="O152" t="n">
        <v>-18.1034469469832</v>
      </c>
      <c r="P152" t="n">
        <v>1.248457575728312</v>
      </c>
      <c r="Q152" t="n">
        <v>-19.11328328951317</v>
      </c>
      <c r="R152" t="n">
        <v>348481000000</v>
      </c>
    </row>
    <row r="153">
      <c r="A153" t="inlineStr">
        <is>
          <t>Pakistan</t>
        </is>
      </c>
      <c r="B153" t="inlineStr">
        <is>
          <t>PAK</t>
        </is>
      </c>
      <c r="C153" t="inlineStr">
        <is>
          <t>XBAK.L</t>
        </is>
      </c>
      <c r="D153" t="n">
        <v>2022</v>
      </c>
      <c r="E153" t="n">
        <v>-31.63265268885063</v>
      </c>
      <c r="F153" t="n">
        <v>6.18</v>
      </c>
      <c r="G153" t="n">
        <v>19.381043</v>
      </c>
      <c r="H153" t="n">
        <v>7.56684</v>
      </c>
      <c r="I153" t="n">
        <v>39.19949268885063</v>
      </c>
      <c r="J153" t="inlineStr">
        <is>
          <t>Pakistan|XBAK.L|2022</t>
        </is>
      </c>
      <c r="K153" t="inlineStr">
        <is>
          <t>Pakistan|2022</t>
        </is>
      </c>
      <c r="L153" t="inlineStr">
        <is>
          <t>USD</t>
        </is>
      </c>
      <c r="M153" t="n">
        <v>-31.63265268885063</v>
      </c>
      <c r="N153" t="n">
        <v>0</v>
      </c>
      <c r="O153" t="n">
        <v>-31.63265268885063</v>
      </c>
      <c r="P153" t="n">
        <v>10.98312761095976</v>
      </c>
      <c r="Q153" t="n">
        <v>-38.39843156087269</v>
      </c>
      <c r="R153" t="n">
        <v>374850000000</v>
      </c>
    </row>
    <row r="154">
      <c r="A154" t="inlineStr">
        <is>
          <t>Pakistan</t>
        </is>
      </c>
      <c r="B154" t="inlineStr">
        <is>
          <t>PAK</t>
        </is>
      </c>
      <c r="C154" t="inlineStr">
        <is>
          <t>XBAK.L</t>
        </is>
      </c>
      <c r="D154" t="n">
        <v>2023</v>
      </c>
      <c r="E154" t="n">
        <v>17.64705933914053</v>
      </c>
      <c r="F154" t="n">
        <v>-0.212</v>
      </c>
      <c r="G154" t="n">
        <v>25.492808</v>
      </c>
      <c r="H154" t="n">
        <v>-10.216086</v>
      </c>
      <c r="I154" t="n">
        <v>-27.86314533914053</v>
      </c>
      <c r="J154" t="inlineStr">
        <is>
          <t>Pakistan|XBAK.L|2023</t>
        </is>
      </c>
      <c r="K154" t="inlineStr">
        <is>
          <t>Pakistan|2023</t>
        </is>
      </c>
      <c r="L154" t="inlineStr">
        <is>
          <t>USD</t>
        </is>
      </c>
      <c r="M154" t="n">
        <v>17.64705933914053</v>
      </c>
      <c r="N154" t="n">
        <v>0</v>
      </c>
      <c r="O154" t="n">
        <v>17.64705933914053</v>
      </c>
      <c r="P154" t="n">
        <v>39.77203995378498</v>
      </c>
      <c r="Q154" t="n">
        <v>-15.82933226270432</v>
      </c>
      <c r="R154" t="n">
        <v>336555000000</v>
      </c>
    </row>
    <row r="155">
      <c r="A155" t="inlineStr">
        <is>
          <t>Pakistan</t>
        </is>
      </c>
      <c r="B155" t="inlineStr">
        <is>
          <t>PAK</t>
        </is>
      </c>
      <c r="C155" t="inlineStr">
        <is>
          <t>XBAK.L</t>
        </is>
      </c>
      <c r="D155" t="n">
        <v>2024</v>
      </c>
      <c r="E155" t="n">
        <v>64.64020240140165</v>
      </c>
      <c r="F155" t="n">
        <v>2.51</v>
      </c>
      <c r="G155" t="n">
        <v>25.692394</v>
      </c>
      <c r="H155" t="n">
        <v>10.355811</v>
      </c>
      <c r="I155" t="n">
        <v>-54.28439140140165</v>
      </c>
      <c r="J155" t="inlineStr">
        <is>
          <t>Pakistan|XBAK.L|2024</t>
        </is>
      </c>
      <c r="K155" t="inlineStr">
        <is>
          <t>Pakistan|2024</t>
        </is>
      </c>
      <c r="L155" t="inlineStr">
        <is>
          <t>USD</t>
        </is>
      </c>
      <c r="M155" t="n">
        <v>64.64020240140165</v>
      </c>
      <c r="N155" t="n">
        <v>0</v>
      </c>
      <c r="O155" t="n">
        <v>64.64020240140165</v>
      </c>
      <c r="P155" t="n">
        <v>13.89739513398613</v>
      </c>
      <c r="Q155" t="n">
        <v>44.55133254603663</v>
      </c>
      <c r="R155" t="n">
        <v>371408000000</v>
      </c>
    </row>
    <row r="156">
      <c r="A156" t="inlineStr">
        <is>
          <t>Pakistan</t>
        </is>
      </c>
      <c r="B156" t="inlineStr">
        <is>
          <t>PAK</t>
        </is>
      </c>
      <c r="C156" t="inlineStr">
        <is>
          <t>XBAK.L</t>
        </is>
      </c>
      <c r="D156" t="n">
        <v>2025</v>
      </c>
      <c r="E156" t="n">
        <v>34.99065889359694</v>
      </c>
      <c r="F156" t="n">
        <v>2.676</v>
      </c>
      <c r="G156" t="n">
        <v>9.082018</v>
      </c>
      <c r="H156" t="n">
        <v>10.524006</v>
      </c>
      <c r="I156" t="n">
        <v>-24.46665289359694</v>
      </c>
      <c r="J156" t="inlineStr">
        <is>
          <t>Pakistan|XBAK.L|2025</t>
        </is>
      </c>
      <c r="K156" t="inlineStr">
        <is>
          <t>Pakistan|2025</t>
        </is>
      </c>
      <c r="L156" t="inlineStr">
        <is>
          <t>USD</t>
        </is>
      </c>
      <c r="M156" t="n">
        <v>34.99065889359694</v>
      </c>
      <c r="N156" t="n">
        <v>0</v>
      </c>
      <c r="O156" t="n">
        <v>34.99065889359694</v>
      </c>
      <c r="P156" t="n">
        <v>-1.30468281501892</v>
      </c>
      <c r="Q156" t="n">
        <v>36.77514064886059</v>
      </c>
      <c r="R156" t="n">
        <v>410495000000</v>
      </c>
    </row>
    <row r="157">
      <c r="A157" t="inlineStr">
        <is>
          <t>Pakistan</t>
        </is>
      </c>
      <c r="B157" t="inlineStr">
        <is>
          <t>PAK</t>
        </is>
      </c>
      <c r="C157" t="inlineStr">
        <is>
          <t>XBAK.L</t>
        </is>
      </c>
      <c r="D157" t="n">
        <v>2026</v>
      </c>
      <c r="E157" t="n">
        <v>-14.21251235896219</v>
      </c>
      <c r="F157" t="n">
        <v>3.578</v>
      </c>
      <c r="G157" t="n">
        <v>11.117481</v>
      </c>
      <c r="H157" t="inlineStr"/>
      <c r="I157" t="inlineStr"/>
      <c r="J157" t="inlineStr">
        <is>
          <t>Pakistan|XBAK.L|2026</t>
        </is>
      </c>
      <c r="K157" t="inlineStr">
        <is>
          <t>Pakistan|2026</t>
        </is>
      </c>
      <c r="L157" t="inlineStr">
        <is>
          <t>USD</t>
        </is>
      </c>
      <c r="M157" t="n">
        <v>-14.21251235896219</v>
      </c>
      <c r="N157" t="n">
        <v>0</v>
      </c>
      <c r="O157" t="n">
        <v>-14.21251235896219</v>
      </c>
      <c r="P157" t="inlineStr"/>
      <c r="Q157" t="inlineStr"/>
      <c r="R157" t="inlineStr"/>
    </row>
    <row r="158">
      <c r="A158" t="inlineStr">
        <is>
          <t>Philippines</t>
        </is>
      </c>
      <c r="B158" t="inlineStr">
        <is>
          <t>PHL</t>
        </is>
      </c>
      <c r="C158" t="inlineStr">
        <is>
          <t>XPHG.L</t>
        </is>
      </c>
      <c r="D158" t="n">
        <v>2015</v>
      </c>
      <c r="E158" t="n">
        <v>-5.919815719102905</v>
      </c>
      <c r="F158" t="n">
        <v>6.348</v>
      </c>
      <c r="G158" t="inlineStr"/>
      <c r="H158" t="inlineStr"/>
      <c r="I158" t="inlineStr"/>
      <c r="J158" t="inlineStr">
        <is>
          <t>Philippines|XPHG.L|2015</t>
        </is>
      </c>
      <c r="K158" t="inlineStr">
        <is>
          <t>Philippines|2015</t>
        </is>
      </c>
      <c r="L158" t="inlineStr">
        <is>
          <t>GBp</t>
        </is>
      </c>
      <c r="M158" t="n">
        <v>-5.919815719102905</v>
      </c>
      <c r="N158" t="n">
        <v>-4.888855870697362</v>
      </c>
      <c r="O158" t="n">
        <v>-10.51926033148244</v>
      </c>
      <c r="P158" t="inlineStr"/>
      <c r="Q158" t="inlineStr"/>
      <c r="R158" t="n">
        <v>306446000000</v>
      </c>
    </row>
    <row r="159">
      <c r="A159" t="inlineStr">
        <is>
          <t>Philippines</t>
        </is>
      </c>
      <c r="B159" t="inlineStr">
        <is>
          <t>PHL</t>
        </is>
      </c>
      <c r="C159" t="inlineStr">
        <is>
          <t>XPHG.L</t>
        </is>
      </c>
      <c r="D159" t="n">
        <v>2016</v>
      </c>
      <c r="E159" t="n">
        <v>17.71382143851849</v>
      </c>
      <c r="F159" t="n">
        <v>7.149</v>
      </c>
      <c r="G159" t="n">
        <v>8.521296</v>
      </c>
      <c r="H159" t="n">
        <v>3.974925</v>
      </c>
      <c r="I159" t="n">
        <v>5.831860507821489</v>
      </c>
      <c r="J159" t="inlineStr">
        <is>
          <t>Philippines|XPHG.L|2016</t>
        </is>
      </c>
      <c r="K159" t="inlineStr">
        <is>
          <t>Philippines|2016</t>
        </is>
      </c>
      <c r="L159" t="inlineStr">
        <is>
          <t>GBp</t>
        </is>
      </c>
      <c r="M159" t="n">
        <v>17.71382143851849</v>
      </c>
      <c r="N159" t="n">
        <v>-16.62570861023462</v>
      </c>
      <c r="O159" t="n">
        <v>-1.856935507821489</v>
      </c>
      <c r="P159" t="n">
        <v>4.372563955163522</v>
      </c>
      <c r="Q159" t="n">
        <v>-5.968522020462275</v>
      </c>
      <c r="R159" t="n">
        <v>318627000000</v>
      </c>
    </row>
    <row r="160">
      <c r="A160" t="inlineStr">
        <is>
          <t>Philippines</t>
        </is>
      </c>
      <c r="B160" t="inlineStr">
        <is>
          <t>PHL</t>
        </is>
      </c>
      <c r="C160" t="inlineStr">
        <is>
          <t>XPHG.L</t>
        </is>
      </c>
      <c r="D160" t="n">
        <v>2017</v>
      </c>
      <c r="E160" t="n">
        <v>9.373920972458262</v>
      </c>
      <c r="F160" t="n">
        <v>6.931</v>
      </c>
      <c r="G160" t="n">
        <v>9.412061</v>
      </c>
      <c r="H160" t="n">
        <v>3.092644</v>
      </c>
      <c r="I160" t="n">
        <v>-15.95144977472957</v>
      </c>
      <c r="J160" t="inlineStr">
        <is>
          <t>Philippines|XPHG.L|2017</t>
        </is>
      </c>
      <c r="K160" t="inlineStr">
        <is>
          <t>Philippines|2017</t>
        </is>
      </c>
      <c r="L160" t="inlineStr">
        <is>
          <t>GBp</t>
        </is>
      </c>
      <c r="M160" t="n">
        <v>9.373920972458262</v>
      </c>
      <c r="N160" t="n">
        <v>8.841388071573641</v>
      </c>
      <c r="O160" t="n">
        <v>19.04409377472957</v>
      </c>
      <c r="P160" t="n">
        <v>6.129842238863148</v>
      </c>
      <c r="Q160" t="n">
        <v>12.16835082709416</v>
      </c>
      <c r="R160" t="n">
        <v>328481000000</v>
      </c>
    </row>
    <row r="161">
      <c r="A161" t="inlineStr">
        <is>
          <t>Philippines</t>
        </is>
      </c>
      <c r="B161" t="inlineStr">
        <is>
          <t>PHL</t>
        </is>
      </c>
      <c r="C161" t="inlineStr">
        <is>
          <t>XPHG.L</t>
        </is>
      </c>
      <c r="D161" t="n">
        <v>2018</v>
      </c>
      <c r="E161" t="n">
        <v>-11.28058424625853</v>
      </c>
      <c r="F161" t="n">
        <v>6.341</v>
      </c>
      <c r="G161" t="n">
        <v>10.319357</v>
      </c>
      <c r="H161" t="n">
        <v>5.589669</v>
      </c>
      <c r="I161" t="n">
        <v>22.26909960119694</v>
      </c>
      <c r="J161" t="inlineStr">
        <is>
          <t>Philippines|XPHG.L|2018</t>
        </is>
      </c>
      <c r="K161" t="inlineStr">
        <is>
          <t>Philippines|2018</t>
        </is>
      </c>
      <c r="L161" t="inlineStr">
        <is>
          <t>GBp</t>
        </is>
      </c>
      <c r="M161" t="n">
        <v>-11.28058424625853</v>
      </c>
      <c r="N161" t="n">
        <v>-6.085304224640065</v>
      </c>
      <c r="O161" t="n">
        <v>-16.67943060119694</v>
      </c>
      <c r="P161" t="n">
        <v>4.479310053656849</v>
      </c>
      <c r="Q161" t="n">
        <v>-20.25160832703376</v>
      </c>
      <c r="R161" t="n">
        <v>346842000000</v>
      </c>
    </row>
    <row r="162">
      <c r="A162" t="inlineStr">
        <is>
          <t>Philippines</t>
        </is>
      </c>
      <c r="B162" t="inlineStr">
        <is>
          <t>PHL</t>
        </is>
      </c>
      <c r="C162" t="inlineStr">
        <is>
          <t>XPHG.L</t>
        </is>
      </c>
      <c r="D162" t="n">
        <v>2019</v>
      </c>
      <c r="E162" t="n">
        <v>1.759943643992123</v>
      </c>
      <c r="F162" t="n">
        <v>6.119</v>
      </c>
      <c r="G162" t="n">
        <v>6.858253</v>
      </c>
      <c r="H162" t="n">
        <v>8.643993999999999</v>
      </c>
      <c r="I162" t="n">
        <v>3.888375709573189</v>
      </c>
      <c r="J162" t="inlineStr">
        <is>
          <t>Philippines|XPHG.L|2019</t>
        </is>
      </c>
      <c r="K162" t="inlineStr">
        <is>
          <t>Philippines|2019</t>
        </is>
      </c>
      <c r="L162" t="inlineStr">
        <is>
          <t>GBp</t>
        </is>
      </c>
      <c r="M162" t="n">
        <v>1.759943643992123</v>
      </c>
      <c r="N162" t="n">
        <v>2.94386429390634</v>
      </c>
      <c r="O162" t="n">
        <v>4.755618290426811</v>
      </c>
      <c r="P162" t="n">
        <v>-1.643662492519515</v>
      </c>
      <c r="Q162" t="n">
        <v>6.506221098828147</v>
      </c>
      <c r="R162" t="n">
        <v>376823000000</v>
      </c>
    </row>
    <row r="163">
      <c r="A163" t="inlineStr">
        <is>
          <t>Philippines</t>
        </is>
      </c>
      <c r="B163" t="inlineStr">
        <is>
          <t>PHL</t>
        </is>
      </c>
      <c r="C163" t="inlineStr">
        <is>
          <t>XPHG.L</t>
        </is>
      </c>
      <c r="D163" t="n">
        <v>2020</v>
      </c>
      <c r="E163" t="n">
        <v>-5.298006975537762</v>
      </c>
      <c r="F163" t="n">
        <v>-9.518000000000001</v>
      </c>
      <c r="G163" t="n">
        <v>-8.024900000000001</v>
      </c>
      <c r="H163" t="n">
        <v>-3.999756</v>
      </c>
      <c r="I163" t="n">
        <v>-1.329917183958786</v>
      </c>
      <c r="J163" t="inlineStr">
        <is>
          <t>Philippines|XPHG.L|2020</t>
        </is>
      </c>
      <c r="K163" t="inlineStr">
        <is>
          <t>Philippines|2020</t>
        </is>
      </c>
      <c r="L163" t="inlineStr">
        <is>
          <t>GBp</t>
        </is>
      </c>
      <c r="M163" t="n">
        <v>-5.298006975537762</v>
      </c>
      <c r="N163" t="n">
        <v>2.775198362317122</v>
      </c>
      <c r="O163" t="n">
        <v>-2.669838816041215</v>
      </c>
      <c r="P163" t="n">
        <v>-4.192847459033311</v>
      </c>
      <c r="Q163" t="n">
        <v>1.589660690876782</v>
      </c>
      <c r="R163" t="n">
        <v>361751000000</v>
      </c>
    </row>
    <row r="164">
      <c r="A164" t="inlineStr">
        <is>
          <t>Philippines</t>
        </is>
      </c>
      <c r="B164" t="inlineStr">
        <is>
          <t>PHL</t>
        </is>
      </c>
      <c r="C164" t="inlineStr">
        <is>
          <t>XPHG.L</t>
        </is>
      </c>
      <c r="D164" t="n">
        <v>2021</v>
      </c>
      <c r="E164" t="n">
        <v>-2.604550970119768</v>
      </c>
      <c r="F164" t="n">
        <v>5.715</v>
      </c>
      <c r="G164" t="n">
        <v>8.127649</v>
      </c>
      <c r="H164" t="n">
        <v>8.938745000000001</v>
      </c>
      <c r="I164" t="n">
        <v>12.78725062564262</v>
      </c>
      <c r="J164" t="inlineStr">
        <is>
          <t>Philippines|XPHG.L|2021</t>
        </is>
      </c>
      <c r="K164" t="inlineStr">
        <is>
          <t>Philippines|2021</t>
        </is>
      </c>
      <c r="L164" t="inlineStr">
        <is>
          <t>GBp</t>
        </is>
      </c>
      <c r="M164" t="n">
        <v>-2.604550970119768</v>
      </c>
      <c r="N164" t="n">
        <v>-1.277220514832489</v>
      </c>
      <c r="O164" t="n">
        <v>-3.848505625642618</v>
      </c>
      <c r="P164" t="n">
        <v>-0.7445433587886963</v>
      </c>
      <c r="Q164" t="n">
        <v>-3.127245969029313</v>
      </c>
      <c r="R164" t="n">
        <v>394087000000</v>
      </c>
    </row>
    <row r="165">
      <c r="A165" t="inlineStr">
        <is>
          <t>Philippines</t>
        </is>
      </c>
      <c r="B165" t="inlineStr">
        <is>
          <t>PHL</t>
        </is>
      </c>
      <c r="C165" t="inlineStr">
        <is>
          <t>XPHG.L</t>
        </is>
      </c>
      <c r="D165" t="n">
        <v>2022</v>
      </c>
      <c r="E165" t="n">
        <v>-3.244274809160308</v>
      </c>
      <c r="F165" t="n">
        <v>7.581</v>
      </c>
      <c r="G165" t="n">
        <v>13.485713</v>
      </c>
      <c r="H165" t="n">
        <v>2.605009</v>
      </c>
      <c r="I165" t="n">
        <v>16.33861743439824</v>
      </c>
      <c r="J165" t="inlineStr">
        <is>
          <t>Philippines|XPHG.L|2022</t>
        </is>
      </c>
      <c r="K165" t="inlineStr">
        <is>
          <t>Philippines|2022</t>
        </is>
      </c>
      <c r="L165" t="inlineStr">
        <is>
          <t>GBp</t>
        </is>
      </c>
      <c r="M165" t="n">
        <v>-3.244274809160308</v>
      </c>
      <c r="N165" t="n">
        <v>-10.84104698150823</v>
      </c>
      <c r="O165" t="n">
        <v>-13.73360843439824</v>
      </c>
      <c r="P165" t="n">
        <v>10.60445761376145</v>
      </c>
      <c r="Q165" t="n">
        <v>-22.00459780124769</v>
      </c>
      <c r="R165" t="n">
        <v>404353000000</v>
      </c>
    </row>
    <row r="166">
      <c r="A166" t="inlineStr">
        <is>
          <t>Philippines</t>
        </is>
      </c>
      <c r="B166" t="inlineStr">
        <is>
          <t>PHL</t>
        </is>
      </c>
      <c r="C166" t="inlineStr">
        <is>
          <t>XPHG.L</t>
        </is>
      </c>
      <c r="D166" t="n">
        <v>2023</v>
      </c>
      <c r="E166" t="n">
        <v>-5.217727780083791</v>
      </c>
      <c r="F166" t="n">
        <v>5.519</v>
      </c>
      <c r="G166" t="n">
        <v>10.374339</v>
      </c>
      <c r="H166" t="n">
        <v>8.087488</v>
      </c>
      <c r="I166" t="n">
        <v>8.506360252966807</v>
      </c>
      <c r="J166" t="inlineStr">
        <is>
          <t>Philippines|XPHG.L|2023</t>
        </is>
      </c>
      <c r="K166" t="inlineStr">
        <is>
          <t>Philippines|2023</t>
        </is>
      </c>
      <c r="L166" t="inlineStr">
        <is>
          <t>GBp</t>
        </is>
      </c>
      <c r="M166" t="n">
        <v>-5.217727780083791</v>
      </c>
      <c r="N166" t="n">
        <v>5.06303068571996</v>
      </c>
      <c r="O166" t="n">
        <v>-0.4188722529668065</v>
      </c>
      <c r="P166" t="n">
        <v>2.11574068731486</v>
      </c>
      <c r="Q166" t="n">
        <v>-2.482098179205128</v>
      </c>
      <c r="R166" t="n">
        <v>437055000000</v>
      </c>
    </row>
    <row r="167">
      <c r="A167" t="inlineStr">
        <is>
          <t>Philippines</t>
        </is>
      </c>
      <c r="B167" t="inlineStr">
        <is>
          <t>PHL</t>
        </is>
      </c>
      <c r="C167" t="inlineStr">
        <is>
          <t>XPHG.L</t>
        </is>
      </c>
      <c r="D167" t="n">
        <v>2024</v>
      </c>
      <c r="E167" t="n">
        <v>-2.961461684283073</v>
      </c>
      <c r="F167" t="n">
        <v>5.692</v>
      </c>
      <c r="G167" t="n">
        <v>8.772079</v>
      </c>
      <c r="H167" t="n">
        <v>5.619888</v>
      </c>
      <c r="I167" t="n">
        <v>9.960319252331502</v>
      </c>
      <c r="J167" t="inlineStr">
        <is>
          <t>Philippines|XPHG.L|2024</t>
        </is>
      </c>
      <c r="K167" t="inlineStr">
        <is>
          <t>Philippines|2024</t>
        </is>
      </c>
      <c r="L167" t="inlineStr">
        <is>
          <t>GBp</t>
        </is>
      </c>
      <c r="M167" t="n">
        <v>-2.961461684283073</v>
      </c>
      <c r="N167" t="n">
        <v>-1.421053523664917</v>
      </c>
      <c r="O167" t="n">
        <v>-4.3404312523315</v>
      </c>
      <c r="P167" t="n">
        <v>2.984467452919337</v>
      </c>
      <c r="Q167" t="n">
        <v>-7.112624734986861</v>
      </c>
      <c r="R167" t="n">
        <v>461617000000</v>
      </c>
    </row>
    <row r="168">
      <c r="A168" t="inlineStr">
        <is>
          <t>Philippines</t>
        </is>
      </c>
      <c r="B168" t="inlineStr">
        <is>
          <t>PHL</t>
        </is>
      </c>
      <c r="C168" t="inlineStr">
        <is>
          <t>XPHG.L</t>
        </is>
      </c>
      <c r="D168" t="n">
        <v>2025</v>
      </c>
      <c r="E168" t="n">
        <v>-7.84634131086781</v>
      </c>
      <c r="F168" t="n">
        <v>5.435</v>
      </c>
      <c r="G168" t="n">
        <v>7.049198</v>
      </c>
      <c r="H168" t="n">
        <v>7.04935</v>
      </c>
      <c r="I168" t="n">
        <v>7.917881192322508</v>
      </c>
      <c r="J168" t="inlineStr">
        <is>
          <t>Philippines|XPHG.L|2025</t>
        </is>
      </c>
      <c r="K168" t="inlineStr">
        <is>
          <t>Philippines|2025</t>
        </is>
      </c>
      <c r="L168" t="inlineStr">
        <is>
          <t>GBp</t>
        </is>
      </c>
      <c r="M168" t="n">
        <v>-7.84634131086781</v>
      </c>
      <c r="N168" t="n">
        <v>7.571929555270285</v>
      </c>
      <c r="O168" t="n">
        <v>-0.8685311923225081</v>
      </c>
      <c r="P168" t="n">
        <v>-0.0001420958594233745</v>
      </c>
      <c r="Q168" t="n">
        <v>-0.8683903304097851</v>
      </c>
      <c r="R168" t="n">
        <v>494158000000</v>
      </c>
    </row>
    <row r="169">
      <c r="A169" t="inlineStr">
        <is>
          <t>Philippines</t>
        </is>
      </c>
      <c r="B169" t="inlineStr">
        <is>
          <t>PHL</t>
        </is>
      </c>
      <c r="C169" t="inlineStr">
        <is>
          <t>XPHG.L</t>
        </is>
      </c>
      <c r="D169" t="n">
        <v>2026</v>
      </c>
      <c r="E169" t="n">
        <v>1.671065590919762</v>
      </c>
      <c r="F169" t="n">
        <v>5.731</v>
      </c>
      <c r="G169" t="n">
        <v>8.046950000000001</v>
      </c>
      <c r="H169" t="n">
        <v>8.046818999999999</v>
      </c>
      <c r="I169" t="n">
        <v>7.402277464404722</v>
      </c>
      <c r="J169" t="inlineStr">
        <is>
          <t>Philippines|XPHG.L|2026</t>
        </is>
      </c>
      <c r="K169" t="inlineStr">
        <is>
          <t>Philippines|2026</t>
        </is>
      </c>
      <c r="L169" t="inlineStr">
        <is>
          <t>GBp</t>
        </is>
      </c>
      <c r="M169" t="n">
        <v>1.671065590919762</v>
      </c>
      <c r="N169" t="n">
        <v>-1.00965210638666</v>
      </c>
      <c r="O169" t="n">
        <v>0.6445415355952777</v>
      </c>
      <c r="P169" t="n">
        <v>0.000121477756476196</v>
      </c>
      <c r="Q169" t="n">
        <v>0.6444192750127309</v>
      </c>
      <c r="R169" t="n">
        <v>533922000000</v>
      </c>
    </row>
    <row r="170">
      <c r="A170" t="inlineStr">
        <is>
          <t>Poland</t>
        </is>
      </c>
      <c r="B170" t="inlineStr">
        <is>
          <t>POL</t>
        </is>
      </c>
      <c r="C170" t="inlineStr">
        <is>
          <t>IPOL.L</t>
        </is>
      </c>
      <c r="D170" t="n">
        <v>2015</v>
      </c>
      <c r="E170" t="n">
        <v>-24.55335253145974</v>
      </c>
      <c r="F170" t="n">
        <v>4.432</v>
      </c>
      <c r="G170" t="inlineStr"/>
      <c r="H170" t="inlineStr"/>
      <c r="I170" t="inlineStr"/>
      <c r="J170" t="inlineStr">
        <is>
          <t>Poland|IPOL.L|2015</t>
        </is>
      </c>
      <c r="K170" t="inlineStr">
        <is>
          <t>Poland|2015</t>
        </is>
      </c>
      <c r="L170" t="inlineStr">
        <is>
          <t>USD</t>
        </is>
      </c>
      <c r="M170" t="n">
        <v>-24.55335253145974</v>
      </c>
      <c r="N170" t="n">
        <v>0</v>
      </c>
      <c r="O170" t="n">
        <v>-24.55335253145974</v>
      </c>
      <c r="P170" t="inlineStr"/>
      <c r="Q170" t="inlineStr"/>
      <c r="R170" t="n">
        <v>479729000000</v>
      </c>
    </row>
    <row r="171">
      <c r="A171" t="inlineStr">
        <is>
          <t>Poland</t>
        </is>
      </c>
      <c r="B171" t="inlineStr">
        <is>
          <t>POL</t>
        </is>
      </c>
      <c r="C171" t="inlineStr">
        <is>
          <t>IPOL.L</t>
        </is>
      </c>
      <c r="D171" t="n">
        <v>2016</v>
      </c>
      <c r="E171" t="n">
        <v>3.866666158040366</v>
      </c>
      <c r="F171" t="n">
        <v>3.031</v>
      </c>
      <c r="G171" t="n">
        <v>3.116552</v>
      </c>
      <c r="H171" t="n">
        <v>-1.427056</v>
      </c>
      <c r="I171" t="n">
        <v>-5.293722158040366</v>
      </c>
      <c r="J171" t="inlineStr">
        <is>
          <t>Poland|IPOL.L|2016</t>
        </is>
      </c>
      <c r="K171" t="inlineStr">
        <is>
          <t>Poland|2016</t>
        </is>
      </c>
      <c r="L171" t="inlineStr">
        <is>
          <t>USD</t>
        </is>
      </c>
      <c r="M171" t="n">
        <v>3.866666158040366</v>
      </c>
      <c r="N171" t="n">
        <v>0</v>
      </c>
      <c r="O171" t="n">
        <v>3.866666158040366</v>
      </c>
      <c r="P171" t="n">
        <v>4.609386029934415</v>
      </c>
      <c r="Q171" t="n">
        <v>-0.7099935293392479</v>
      </c>
      <c r="R171" t="n">
        <v>472883000000</v>
      </c>
    </row>
    <row r="172">
      <c r="A172" t="inlineStr">
        <is>
          <t>Poland</t>
        </is>
      </c>
      <c r="B172" t="inlineStr">
        <is>
          <t>POL</t>
        </is>
      </c>
      <c r="C172" t="inlineStr">
        <is>
          <t>IPOL.L</t>
        </is>
      </c>
      <c r="D172" t="n">
        <v>2017</v>
      </c>
      <c r="E172" t="n">
        <v>52.89624697287321</v>
      </c>
      <c r="F172" t="n">
        <v>5.152</v>
      </c>
      <c r="G172" t="n">
        <v>7.01387</v>
      </c>
      <c r="H172" t="n">
        <v>11.760626</v>
      </c>
      <c r="I172" t="n">
        <v>-41.13562097287321</v>
      </c>
      <c r="J172" t="inlineStr">
        <is>
          <t>Poland|IPOL.L|2017</t>
        </is>
      </c>
      <c r="K172" t="inlineStr">
        <is>
          <t>Poland|2017</t>
        </is>
      </c>
      <c r="L172" t="inlineStr">
        <is>
          <t>USD</t>
        </is>
      </c>
      <c r="M172" t="n">
        <v>52.89624697287321</v>
      </c>
      <c r="N172" t="n">
        <v>0</v>
      </c>
      <c r="O172" t="n">
        <v>52.89624697287321</v>
      </c>
      <c r="P172" t="n">
        <v>-4.247252741367092</v>
      </c>
      <c r="Q172" t="n">
        <v>59.67818297671699</v>
      </c>
      <c r="R172" t="n">
        <v>528497000000</v>
      </c>
    </row>
    <row r="173">
      <c r="A173" t="inlineStr">
        <is>
          <t>Poland</t>
        </is>
      </c>
      <c r="B173" t="inlineStr">
        <is>
          <t>POL</t>
        </is>
      </c>
      <c r="C173" t="inlineStr">
        <is>
          <t>IPOL.L</t>
        </is>
      </c>
      <c r="D173" t="n">
        <v>2018</v>
      </c>
      <c r="E173" t="n">
        <v>-12.83222658794891</v>
      </c>
      <c r="F173" t="n">
        <v>6.246</v>
      </c>
      <c r="G173" t="n">
        <v>7.549493</v>
      </c>
      <c r="H173" t="n">
        <v>12.515492</v>
      </c>
      <c r="I173" t="n">
        <v>25.34771858794891</v>
      </c>
      <c r="J173" t="inlineStr">
        <is>
          <t>Poland|IPOL.L|2018</t>
        </is>
      </c>
      <c r="K173" t="inlineStr">
        <is>
          <t>Poland|2018</t>
        </is>
      </c>
      <c r="L173" t="inlineStr">
        <is>
          <t>USD</t>
        </is>
      </c>
      <c r="M173" t="n">
        <v>-12.83222658794891</v>
      </c>
      <c r="N173" t="n">
        <v>0</v>
      </c>
      <c r="O173" t="n">
        <v>-12.83222658794891</v>
      </c>
      <c r="P173" t="n">
        <v>-4.413613323461574</v>
      </c>
      <c r="Q173" t="n">
        <v>-8.807334974357472</v>
      </c>
      <c r="R173" t="n">
        <v>594641000000</v>
      </c>
    </row>
    <row r="174">
      <c r="A174" t="inlineStr">
        <is>
          <t>Poland</t>
        </is>
      </c>
      <c r="B174" t="inlineStr">
        <is>
          <t>POL</t>
        </is>
      </c>
      <c r="C174" t="inlineStr">
        <is>
          <t>IPOL.L</t>
        </is>
      </c>
      <c r="D174" t="n">
        <v>2019</v>
      </c>
      <c r="E174" t="n">
        <v>-6.94100666991273</v>
      </c>
      <c r="F174" t="n">
        <v>4.581</v>
      </c>
      <c r="G174" t="n">
        <v>7.74553</v>
      </c>
      <c r="H174" t="n">
        <v>1.337109</v>
      </c>
      <c r="I174" t="n">
        <v>8.278115669912731</v>
      </c>
      <c r="J174" t="inlineStr">
        <is>
          <t>Poland|IPOL.L|2019</t>
        </is>
      </c>
      <c r="K174" t="inlineStr">
        <is>
          <t>Poland|2019</t>
        </is>
      </c>
      <c r="L174" t="inlineStr">
        <is>
          <t>USD</t>
        </is>
      </c>
      <c r="M174" t="n">
        <v>-6.94100666991273</v>
      </c>
      <c r="N174" t="n">
        <v>0</v>
      </c>
      <c r="O174" t="n">
        <v>-6.94100666991273</v>
      </c>
      <c r="P174" t="n">
        <v>6.323863962972553</v>
      </c>
      <c r="Q174" t="n">
        <v>-12.47591099351393</v>
      </c>
      <c r="R174" t="n">
        <v>602592000000</v>
      </c>
    </row>
    <row r="175">
      <c r="A175" t="inlineStr">
        <is>
          <t>Poland</t>
        </is>
      </c>
      <c r="B175" t="inlineStr">
        <is>
          <t>POL</t>
        </is>
      </c>
      <c r="C175" t="inlineStr">
        <is>
          <t>IPOL.L</t>
        </is>
      </c>
      <c r="D175" t="n">
        <v>2020</v>
      </c>
      <c r="E175" t="n">
        <v>-13.32834986178385</v>
      </c>
      <c r="F175" t="n">
        <v>-2.036</v>
      </c>
      <c r="G175" t="n">
        <v>2.116746</v>
      </c>
      <c r="H175" t="n">
        <v>0.55394</v>
      </c>
      <c r="I175" t="n">
        <v>13.88228986178385</v>
      </c>
      <c r="J175" t="inlineStr">
        <is>
          <t>Poland|IPOL.L|2020</t>
        </is>
      </c>
      <c r="K175" t="inlineStr">
        <is>
          <t>Poland|2020</t>
        </is>
      </c>
      <c r="L175" t="inlineStr">
        <is>
          <t>USD</t>
        </is>
      </c>
      <c r="M175" t="n">
        <v>-13.32834986178385</v>
      </c>
      <c r="N175" t="n">
        <v>0</v>
      </c>
      <c r="O175" t="n">
        <v>-13.32834986178385</v>
      </c>
      <c r="P175" t="n">
        <v>1.554196387935947</v>
      </c>
      <c r="Q175" t="n">
        <v>-14.65478215480987</v>
      </c>
      <c r="R175" t="n">
        <v>605930000000</v>
      </c>
    </row>
    <row r="176">
      <c r="A176" t="inlineStr">
        <is>
          <t>Poland</t>
        </is>
      </c>
      <c r="B176" t="inlineStr">
        <is>
          <t>POL</t>
        </is>
      </c>
      <c r="C176" t="inlineStr">
        <is>
          <t>IPOL.L</t>
        </is>
      </c>
      <c r="D176" t="n">
        <v>2021</v>
      </c>
      <c r="E176" t="n">
        <v>5.569779315299028</v>
      </c>
      <c r="F176" t="n">
        <v>6.927</v>
      </c>
      <c r="G176" t="n">
        <v>12.637347</v>
      </c>
      <c r="H176" t="n">
        <v>13.751258</v>
      </c>
      <c r="I176" t="n">
        <v>8.181478684700972</v>
      </c>
      <c r="J176" t="inlineStr">
        <is>
          <t>Poland|IPOL.L|2021</t>
        </is>
      </c>
      <c r="K176" t="inlineStr">
        <is>
          <t>Poland|2021</t>
        </is>
      </c>
      <c r="L176" t="inlineStr">
        <is>
          <t>USD</t>
        </is>
      </c>
      <c r="M176" t="n">
        <v>5.569779315299028</v>
      </c>
      <c r="N176" t="n">
        <v>0</v>
      </c>
      <c r="O176" t="n">
        <v>5.569779315299028</v>
      </c>
      <c r="P176" t="n">
        <v>-0.979252290650745</v>
      </c>
      <c r="Q176" t="n">
        <v>6.613797368176644</v>
      </c>
      <c r="R176" t="n">
        <v>689253000000</v>
      </c>
    </row>
    <row r="177">
      <c r="A177" t="inlineStr">
        <is>
          <t>Poland</t>
        </is>
      </c>
      <c r="B177" t="inlineStr">
        <is>
          <t>POL</t>
        </is>
      </c>
      <c r="C177" t="inlineStr">
        <is>
          <t>IPOL.L</t>
        </is>
      </c>
      <c r="D177" t="n">
        <v>2022</v>
      </c>
      <c r="E177" t="n">
        <v>-28.04459025763768</v>
      </c>
      <c r="F177" t="n">
        <v>5.255</v>
      </c>
      <c r="G177" t="n">
        <v>16.506821</v>
      </c>
      <c r="H177" t="n">
        <v>0.940293</v>
      </c>
      <c r="I177" t="n">
        <v>28.98488325763768</v>
      </c>
      <c r="J177" t="inlineStr">
        <is>
          <t>Poland|IPOL.L|2022</t>
        </is>
      </c>
      <c r="K177" t="inlineStr">
        <is>
          <t>Poland|2022</t>
        </is>
      </c>
      <c r="L177" t="inlineStr">
        <is>
          <t>USD</t>
        </is>
      </c>
      <c r="M177" t="n">
        <v>-28.04459025763768</v>
      </c>
      <c r="N177" t="n">
        <v>0</v>
      </c>
      <c r="O177" t="n">
        <v>-28.04459025763768</v>
      </c>
      <c r="P177" t="n">
        <v>15.42151969035805</v>
      </c>
      <c r="Q177" t="n">
        <v>-37.65858400114858</v>
      </c>
      <c r="R177" t="n">
        <v>695734000000</v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IPOL.L</t>
        </is>
      </c>
      <c r="D178" t="n">
        <v>2023</v>
      </c>
      <c r="E178" t="n">
        <v>48.43636363129584</v>
      </c>
      <c r="F178" t="n">
        <v>0.25</v>
      </c>
      <c r="G178" t="n">
        <v>10.139929</v>
      </c>
      <c r="H178" t="n">
        <v>16.849112</v>
      </c>
      <c r="I178" t="n">
        <v>-31.58725163129584</v>
      </c>
      <c r="J178" t="inlineStr">
        <is>
          <t>Poland|IPOL.L|2023</t>
        </is>
      </c>
      <c r="K178" t="inlineStr">
        <is>
          <t>Poland|2023</t>
        </is>
      </c>
      <c r="L178" t="inlineStr">
        <is>
          <t>USD</t>
        </is>
      </c>
      <c r="M178" t="n">
        <v>48.43636363129584</v>
      </c>
      <c r="N178" t="n">
        <v>0</v>
      </c>
      <c r="O178" t="n">
        <v>48.43636363129584</v>
      </c>
      <c r="P178" t="n">
        <v>-5.741748817305248</v>
      </c>
      <c r="Q178" t="n">
        <v>57.47837644854148</v>
      </c>
      <c r="R178" t="n">
        <v>812959000000</v>
      </c>
    </row>
    <row r="179">
      <c r="A179" t="inlineStr">
        <is>
          <t>Poland</t>
        </is>
      </c>
      <c r="B179" t="inlineStr">
        <is>
          <t>POL</t>
        </is>
      </c>
      <c r="C179" t="inlineStr">
        <is>
          <t>IPOL.L</t>
        </is>
      </c>
      <c r="D179" t="n">
        <v>2024</v>
      </c>
      <c r="E179" t="n">
        <v>-2.90150003330214</v>
      </c>
      <c r="F179" t="n">
        <v>2.923</v>
      </c>
      <c r="G179" t="n">
        <v>6.615399</v>
      </c>
      <c r="H179" t="n">
        <v>12.496817</v>
      </c>
      <c r="I179" t="n">
        <v>15.39831703330214</v>
      </c>
      <c r="J179" t="inlineStr">
        <is>
          <t>Poland|IPOL.L|2024</t>
        </is>
      </c>
      <c r="K179" t="inlineStr">
        <is>
          <t>Poland|2024</t>
        </is>
      </c>
      <c r="L179" t="inlineStr">
        <is>
          <t>USD</t>
        </is>
      </c>
      <c r="M179" t="n">
        <v>-2.90150003330214</v>
      </c>
      <c r="N179" t="n">
        <v>0</v>
      </c>
      <c r="O179" t="n">
        <v>-2.90150003330214</v>
      </c>
      <c r="P179" t="n">
        <v>-5.228075237844054</v>
      </c>
      <c r="Q179" t="n">
        <v>2.454920284019546</v>
      </c>
      <c r="R179" t="n">
        <v>914553000000</v>
      </c>
    </row>
    <row r="180">
      <c r="A180" t="inlineStr">
        <is>
          <t>Poland</t>
        </is>
      </c>
      <c r="B180" t="inlineStr">
        <is>
          <t>POL</t>
        </is>
      </c>
      <c r="C180" t="inlineStr">
        <is>
          <t>IPOL.L</t>
        </is>
      </c>
      <c r="D180" t="n">
        <v>2025</v>
      </c>
      <c r="E180" t="n">
        <v>74.00603656381143</v>
      </c>
      <c r="F180" t="n">
        <v>3.243</v>
      </c>
      <c r="G180" t="n">
        <v>6.963458</v>
      </c>
      <c r="H180" t="n">
        <v>13.675096</v>
      </c>
      <c r="I180" t="n">
        <v>-60.33094056381144</v>
      </c>
      <c r="J180" t="inlineStr">
        <is>
          <t>Poland|IPOL.L|2025</t>
        </is>
      </c>
      <c r="K180" t="inlineStr">
        <is>
          <t>Poland|2025</t>
        </is>
      </c>
      <c r="L180" t="inlineStr">
        <is>
          <t>USD</t>
        </is>
      </c>
      <c r="M180" t="n">
        <v>74.00603656381143</v>
      </c>
      <c r="N180" t="n">
        <v>0</v>
      </c>
      <c r="O180" t="n">
        <v>74.00603656381143</v>
      </c>
      <c r="P180" t="n">
        <v>-5.904228701907133</v>
      </c>
      <c r="Q180" t="n">
        <v>84.92439581855918</v>
      </c>
      <c r="R180" t="n">
        <v>1039619000000</v>
      </c>
    </row>
    <row r="181">
      <c r="A181" t="inlineStr">
        <is>
          <t>Poland</t>
        </is>
      </c>
      <c r="B181" t="inlineStr">
        <is>
          <t>POL</t>
        </is>
      </c>
      <c r="C181" t="inlineStr">
        <is>
          <t>IPOL.L</t>
        </is>
      </c>
      <c r="D181" t="n">
        <v>2026</v>
      </c>
      <c r="E181" t="n">
        <v>-3.15082949958897</v>
      </c>
      <c r="F181" t="n">
        <v>3.136</v>
      </c>
      <c r="G181" t="n">
        <v>6.397182</v>
      </c>
      <c r="H181" t="n">
        <v>6.766229</v>
      </c>
      <c r="I181" t="n">
        <v>9.91705849958897</v>
      </c>
      <c r="J181" t="inlineStr">
        <is>
          <t>Poland|IPOL.L|2026</t>
        </is>
      </c>
      <c r="K181" t="inlineStr">
        <is>
          <t>Poland|2026</t>
        </is>
      </c>
      <c r="L181" t="inlineStr">
        <is>
          <t>USD</t>
        </is>
      </c>
      <c r="M181" t="n">
        <v>-3.15082949958897</v>
      </c>
      <c r="N181" t="n">
        <v>0</v>
      </c>
      <c r="O181" t="n">
        <v>-3.15082949958897</v>
      </c>
      <c r="P181" t="n">
        <v>-0.3456590491800249</v>
      </c>
      <c r="Q181" t="n">
        <v>-2.814900408395971</v>
      </c>
      <c r="R181" t="n">
        <v>1109962000000</v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SPOL.L</t>
        </is>
      </c>
      <c r="D182" t="n">
        <v>2015</v>
      </c>
      <c r="E182" t="n">
        <v>-21.83268410313485</v>
      </c>
      <c r="F182" t="n">
        <v>4.432</v>
      </c>
      <c r="G182" t="inlineStr"/>
      <c r="H182" t="inlineStr"/>
      <c r="I182" t="inlineStr"/>
      <c r="J182" t="inlineStr">
        <is>
          <t>Poland|SPOL.L|2015</t>
        </is>
      </c>
      <c r="K182" t="inlineStr">
        <is>
          <t>Poland|2015</t>
        </is>
      </c>
      <c r="L182" t="inlineStr">
        <is>
          <t>GBp</t>
        </is>
      </c>
      <c r="M182" t="n">
        <v>-21.83268410313485</v>
      </c>
      <c r="N182" t="n">
        <v>-4.888855870697362</v>
      </c>
      <c r="O182" t="n">
        <v>-25.6541715153253</v>
      </c>
      <c r="P182" t="inlineStr"/>
      <c r="Q182" t="inlineStr"/>
      <c r="R182" t="n">
        <v>479729000000</v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SPOL.L</t>
        </is>
      </c>
      <c r="D183" t="n">
        <v>2016</v>
      </c>
      <c r="E183" t="n">
        <v>23.83863080684596</v>
      </c>
      <c r="F183" t="n">
        <v>3.031</v>
      </c>
      <c r="G183" t="n">
        <v>3.116552</v>
      </c>
      <c r="H183" t="n">
        <v>-1.427056</v>
      </c>
      <c r="I183" t="n">
        <v>-4.676636901995497</v>
      </c>
      <c r="J183" t="inlineStr">
        <is>
          <t>Poland|SPOL.L|2016</t>
        </is>
      </c>
      <c r="K183" t="inlineStr">
        <is>
          <t>Poland|2016</t>
        </is>
      </c>
      <c r="L183" t="inlineStr">
        <is>
          <t>GBp</t>
        </is>
      </c>
      <c r="M183" t="n">
        <v>23.83863080684596</v>
      </c>
      <c r="N183" t="n">
        <v>-16.62570861023462</v>
      </c>
      <c r="O183" t="n">
        <v>3.249580901995497</v>
      </c>
      <c r="P183" t="n">
        <v>4.609386029934415</v>
      </c>
      <c r="Q183" t="n">
        <v>-1.2998882600743</v>
      </c>
      <c r="R183" t="n">
        <v>472883000000</v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SPOL.L</t>
        </is>
      </c>
      <c r="D184" t="n">
        <v>2017</v>
      </c>
      <c r="E184" t="n">
        <v>38.72854914196569</v>
      </c>
      <c r="F184" t="n">
        <v>5.152</v>
      </c>
      <c r="G184" t="n">
        <v>7.01387</v>
      </c>
      <c r="H184" t="n">
        <v>11.760626</v>
      </c>
      <c r="I184" t="n">
        <v>-39.23345253767062</v>
      </c>
      <c r="J184" t="inlineStr">
        <is>
          <t>Poland|SPOL.L|2017</t>
        </is>
      </c>
      <c r="K184" t="inlineStr">
        <is>
          <t>Poland|2017</t>
        </is>
      </c>
      <c r="L184" t="inlineStr">
        <is>
          <t>GBp</t>
        </is>
      </c>
      <c r="M184" t="n">
        <v>38.72854914196569</v>
      </c>
      <c r="N184" t="n">
        <v>8.841388071573641</v>
      </c>
      <c r="O184" t="n">
        <v>50.99407853767062</v>
      </c>
      <c r="P184" t="n">
        <v>-4.247252741367092</v>
      </c>
      <c r="Q184" t="n">
        <v>57.69164108662923</v>
      </c>
      <c r="R184" t="n">
        <v>528497000000</v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SPOL.L</t>
        </is>
      </c>
      <c r="D185" t="n">
        <v>2018</v>
      </c>
      <c r="E185" t="n">
        <v>-7.426416568687122</v>
      </c>
      <c r="F185" t="n">
        <v>6.246</v>
      </c>
      <c r="G185" t="n">
        <v>7.549493</v>
      </c>
      <c r="H185" t="n">
        <v>12.515492</v>
      </c>
      <c r="I185" t="n">
        <v>25.5752927521335</v>
      </c>
      <c r="J185" t="inlineStr">
        <is>
          <t>Poland|SPOL.L|2018</t>
        </is>
      </c>
      <c r="K185" t="inlineStr">
        <is>
          <t>Poland|2018</t>
        </is>
      </c>
      <c r="L185" t="inlineStr">
        <is>
          <t>GBp</t>
        </is>
      </c>
      <c r="M185" t="n">
        <v>-7.426416568687122</v>
      </c>
      <c r="N185" t="n">
        <v>-6.085304224640065</v>
      </c>
      <c r="O185" t="n">
        <v>-13.0598007521335</v>
      </c>
      <c r="P185" t="n">
        <v>-4.413613323461574</v>
      </c>
      <c r="Q185" t="n">
        <v>-9.045417165867331</v>
      </c>
      <c r="R185" t="n">
        <v>594641000000</v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SPOL.L</t>
        </is>
      </c>
      <c r="D186" t="n">
        <v>2019</v>
      </c>
      <c r="E186" t="n">
        <v>-11.19362207638414</v>
      </c>
      <c r="F186" t="n">
        <v>4.581</v>
      </c>
      <c r="G186" t="n">
        <v>7.74553</v>
      </c>
      <c r="H186" t="n">
        <v>1.337109</v>
      </c>
      <c r="I186" t="n">
        <v>9.916391825979284</v>
      </c>
      <c r="J186" t="inlineStr">
        <is>
          <t>Poland|SPOL.L|2019</t>
        </is>
      </c>
      <c r="K186" t="inlineStr">
        <is>
          <t>Poland|2019</t>
        </is>
      </c>
      <c r="L186" t="inlineStr">
        <is>
          <t>GBp</t>
        </is>
      </c>
      <c r="M186" t="n">
        <v>-11.19362207638414</v>
      </c>
      <c r="N186" t="n">
        <v>2.94386429390634</v>
      </c>
      <c r="O186" t="n">
        <v>-8.579282825979284</v>
      </c>
      <c r="P186" t="n">
        <v>6.323863962972553</v>
      </c>
      <c r="Q186" t="n">
        <v>-14.0167467899228</v>
      </c>
      <c r="R186" t="n">
        <v>602592000000</v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SPOL.L</t>
        </is>
      </c>
      <c r="D187" t="n">
        <v>2020</v>
      </c>
      <c r="E187" t="n">
        <v>-16.46533185382913</v>
      </c>
      <c r="F187" t="n">
        <v>-2.036</v>
      </c>
      <c r="G187" t="n">
        <v>2.116746</v>
      </c>
      <c r="H187" t="n">
        <v>0.55394</v>
      </c>
      <c r="I187" t="n">
        <v>14.70101911146956</v>
      </c>
      <c r="J187" t="inlineStr">
        <is>
          <t>Poland|SPOL.L|2020</t>
        </is>
      </c>
      <c r="K187" t="inlineStr">
        <is>
          <t>Poland|2020</t>
        </is>
      </c>
      <c r="L187" t="inlineStr">
        <is>
          <t>GBp</t>
        </is>
      </c>
      <c r="M187" t="n">
        <v>-16.46533185382913</v>
      </c>
      <c r="N187" t="n">
        <v>2.775198362317122</v>
      </c>
      <c r="O187" t="n">
        <v>-14.14707911146956</v>
      </c>
      <c r="P187" t="n">
        <v>1.554196387935947</v>
      </c>
      <c r="Q187" t="n">
        <v>-15.46098148364722</v>
      </c>
      <c r="R187" t="n">
        <v>605930000000</v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SPOL.L</t>
        </is>
      </c>
      <c r="D188" t="n">
        <v>2021</v>
      </c>
      <c r="E188" t="n">
        <v>6.55738107253101</v>
      </c>
      <c r="F188" t="n">
        <v>6.927</v>
      </c>
      <c r="G188" t="n">
        <v>12.637347</v>
      </c>
      <c r="H188" t="n">
        <v>13.751258</v>
      </c>
      <c r="I188" t="n">
        <v>8.554849658595598</v>
      </c>
      <c r="J188" t="inlineStr">
        <is>
          <t>Poland|SPOL.L|2021</t>
        </is>
      </c>
      <c r="K188" t="inlineStr">
        <is>
          <t>Poland|2021</t>
        </is>
      </c>
      <c r="L188" t="inlineStr">
        <is>
          <t>GBp</t>
        </is>
      </c>
      <c r="M188" t="n">
        <v>6.55738107253101</v>
      </c>
      <c r="N188" t="n">
        <v>-1.277220514832489</v>
      </c>
      <c r="O188" t="n">
        <v>5.196408341404402</v>
      </c>
      <c r="P188" t="n">
        <v>-0.979252290650745</v>
      </c>
      <c r="Q188" t="n">
        <v>6.236733992538879</v>
      </c>
      <c r="R188" t="n">
        <v>689253000000</v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SPOL.L</t>
        </is>
      </c>
      <c r="D189" t="n">
        <v>2022</v>
      </c>
      <c r="E189" t="n">
        <v>-19.146042091298</v>
      </c>
      <c r="F189" t="n">
        <v>5.255</v>
      </c>
      <c r="G189" t="n">
        <v>16.506821</v>
      </c>
      <c r="H189" t="n">
        <v>0.940293</v>
      </c>
      <c r="I189" t="n">
        <v>28.85175065458927</v>
      </c>
      <c r="J189" t="inlineStr">
        <is>
          <t>Poland|SPOL.L|2022</t>
        </is>
      </c>
      <c r="K189" t="inlineStr">
        <is>
          <t>Poland|2022</t>
        </is>
      </c>
      <c r="L189" t="inlineStr">
        <is>
          <t>GBp</t>
        </is>
      </c>
      <c r="M189" t="n">
        <v>-19.146042091298</v>
      </c>
      <c r="N189" t="n">
        <v>-10.84104698150823</v>
      </c>
      <c r="O189" t="n">
        <v>-27.91145765458927</v>
      </c>
      <c r="P189" t="n">
        <v>15.42151969035805</v>
      </c>
      <c r="Q189" t="n">
        <v>-37.54323930337855</v>
      </c>
      <c r="R189" t="n">
        <v>695734000000</v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SPOL.L</t>
        </is>
      </c>
      <c r="D190" t="n">
        <v>2023</v>
      </c>
      <c r="E190" t="n">
        <v>40.03501307781727</v>
      </c>
      <c r="F190" t="n">
        <v>0.25</v>
      </c>
      <c r="G190" t="n">
        <v>10.139929</v>
      </c>
      <c r="H190" t="n">
        <v>16.849112</v>
      </c>
      <c r="I190" t="n">
        <v>-30.27591676069913</v>
      </c>
      <c r="J190" t="inlineStr">
        <is>
          <t>Poland|SPOL.L|2023</t>
        </is>
      </c>
      <c r="K190" t="inlineStr">
        <is>
          <t>Poland|2023</t>
        </is>
      </c>
      <c r="L190" t="inlineStr">
        <is>
          <t>GBp</t>
        </is>
      </c>
      <c r="M190" t="n">
        <v>40.03501307781727</v>
      </c>
      <c r="N190" t="n">
        <v>5.06303068571996</v>
      </c>
      <c r="O190" t="n">
        <v>47.12502876069913</v>
      </c>
      <c r="P190" t="n">
        <v>-5.741748817305248</v>
      </c>
      <c r="Q190" t="n">
        <v>56.08716151070539</v>
      </c>
      <c r="R190" t="n">
        <v>812959000000</v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n">
        <v>2024</v>
      </c>
      <c r="E191" t="n">
        <v>-2.256652631798706</v>
      </c>
      <c r="F191" t="n">
        <v>2.923</v>
      </c>
      <c r="G191" t="n">
        <v>6.615399</v>
      </c>
      <c r="H191" t="n">
        <v>12.496817</v>
      </c>
      <c r="I191" t="n">
        <v>16.14245491372257</v>
      </c>
      <c r="J191" t="inlineStr">
        <is>
          <t>Poland|SPOL.L|2024</t>
        </is>
      </c>
      <c r="K191" t="inlineStr">
        <is>
          <t>Poland|2024</t>
        </is>
      </c>
      <c r="L191" t="inlineStr">
        <is>
          <t>GBp</t>
        </is>
      </c>
      <c r="M191" t="n">
        <v>-2.256652631798706</v>
      </c>
      <c r="N191" t="n">
        <v>-1.421053523664917</v>
      </c>
      <c r="O191" t="n">
        <v>-3.645637913722566</v>
      </c>
      <c r="P191" t="n">
        <v>-5.228075237844054</v>
      </c>
      <c r="Q191" t="n">
        <v>1.669732178694106</v>
      </c>
      <c r="R191" t="n">
        <v>914553000000</v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n">
        <v>2025</v>
      </c>
      <c r="E192" t="n">
        <v>60.01501619451324</v>
      </c>
      <c r="F192" t="n">
        <v>3.243</v>
      </c>
      <c r="G192" t="n">
        <v>6.963458</v>
      </c>
      <c r="H192" t="n">
        <v>13.675096</v>
      </c>
      <c r="I192" t="n">
        <v>-58.45614449861613</v>
      </c>
      <c r="J192" t="inlineStr">
        <is>
          <t>Poland|SPOL.L|2025</t>
        </is>
      </c>
      <c r="K192" t="inlineStr">
        <is>
          <t>Poland|2025</t>
        </is>
      </c>
      <c r="L192" t="inlineStr">
        <is>
          <t>GBp</t>
        </is>
      </c>
      <c r="M192" t="n">
        <v>60.01501619451324</v>
      </c>
      <c r="N192" t="n">
        <v>7.571929555270285</v>
      </c>
      <c r="O192" t="n">
        <v>72.13124049861612</v>
      </c>
      <c r="P192" t="n">
        <v>-5.904228701907133</v>
      </c>
      <c r="Q192" t="n">
        <v>82.93196189795712</v>
      </c>
      <c r="R192" t="n">
        <v>1039619000000</v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n">
        <v>2026</v>
      </c>
      <c r="E193" t="n">
        <v>-3.034510115033717</v>
      </c>
      <c r="F193" t="n">
        <v>3.136</v>
      </c>
      <c r="G193" t="n">
        <v>6.397182</v>
      </c>
      <c r="H193" t="n">
        <v>6.766229</v>
      </c>
      <c r="I193" t="n">
        <v>10.77975322612542</v>
      </c>
      <c r="J193" t="inlineStr">
        <is>
          <t>Poland|SPOL.L|2026</t>
        </is>
      </c>
      <c r="K193" t="inlineStr">
        <is>
          <t>Poland|2026</t>
        </is>
      </c>
      <c r="L193" t="inlineStr">
        <is>
          <t>GBp</t>
        </is>
      </c>
      <c r="M193" t="n">
        <v>-3.034510115033717</v>
      </c>
      <c r="N193" t="n">
        <v>-1.00965210638666</v>
      </c>
      <c r="O193" t="n">
        <v>-4.01352422612542</v>
      </c>
      <c r="P193" t="n">
        <v>-0.3456590491800249</v>
      </c>
      <c r="Q193" t="n">
        <v>-3.680587460565832</v>
      </c>
      <c r="R193" t="n">
        <v>1109962000000</v>
      </c>
    </row>
    <row r="194">
      <c r="A194" t="inlineStr">
        <is>
          <t>Saudi Arabia</t>
        </is>
      </c>
      <c r="B194" t="inlineStr">
        <is>
          <t>SAU</t>
        </is>
      </c>
      <c r="C194" t="inlineStr">
        <is>
          <t>IKSA.L</t>
        </is>
      </c>
      <c r="D194" t="n">
        <v>2015</v>
      </c>
      <c r="E194" t="inlineStr"/>
      <c r="F194" t="n">
        <v>4.655</v>
      </c>
      <c r="G194" t="inlineStr"/>
      <c r="H194" t="inlineStr"/>
      <c r="I194" t="inlineStr"/>
      <c r="J194" t="inlineStr">
        <is>
          <t>Saudi Arabia|IKSA.L|2015</t>
        </is>
      </c>
      <c r="K194" t="inlineStr">
        <is>
          <t>Saudi Arabia|2015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  <c r="R194" t="n">
        <v>693415000000</v>
      </c>
    </row>
    <row r="195">
      <c r="A195" t="inlineStr">
        <is>
          <t>Saudi Arabia</t>
        </is>
      </c>
      <c r="B195" t="inlineStr">
        <is>
          <t>SAU</t>
        </is>
      </c>
      <c r="C195" t="inlineStr">
        <is>
          <t>IKSA.L</t>
        </is>
      </c>
      <c r="D195" t="n">
        <v>2016</v>
      </c>
      <c r="E195" t="inlineStr"/>
      <c r="F195" t="n">
        <v>1.704</v>
      </c>
      <c r="G195" t="n">
        <v>-0.596391</v>
      </c>
      <c r="H195" t="n">
        <v>-0.596468</v>
      </c>
      <c r="I195" t="inlineStr"/>
      <c r="J195" t="inlineStr">
        <is>
          <t>Saudi Arabia|IKSA.L|2016</t>
        </is>
      </c>
      <c r="K195" t="inlineStr">
        <is>
          <t>Saudi Arabia|2016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7.731785518494405e-05</v>
      </c>
      <c r="Q195" t="inlineStr"/>
      <c r="R195" t="n">
        <v>689279000000</v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IKSA.L</t>
        </is>
      </c>
      <c r="D196" t="n">
        <v>2017</v>
      </c>
      <c r="E196" t="inlineStr"/>
      <c r="F196" t="n">
        <v>1.182</v>
      </c>
      <c r="G196" t="n">
        <v>7.542137</v>
      </c>
      <c r="H196" t="n">
        <v>7.542229</v>
      </c>
      <c r="I196" t="inlineStr"/>
      <c r="J196" t="inlineStr">
        <is>
          <t>Saudi Arabia|IKSA.L|2017</t>
        </is>
      </c>
      <c r="K196" t="inlineStr">
        <is>
          <t>Saudi Arabia|2017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-8.569078282505416e-05</v>
      </c>
      <c r="Q196" t="inlineStr"/>
      <c r="R196" t="n">
        <v>741266000000</v>
      </c>
    </row>
    <row r="197">
      <c r="A197" t="inlineStr">
        <is>
          <t>Saudi Arabia</t>
        </is>
      </c>
      <c r="B197" t="inlineStr">
        <is>
          <t>SAU</t>
        </is>
      </c>
      <c r="C197" t="inlineStr">
        <is>
          <t>IKSA.L</t>
        </is>
      </c>
      <c r="D197" t="n">
        <v>2018</v>
      </c>
      <c r="E197" t="inlineStr"/>
      <c r="F197" t="n">
        <v>3.227</v>
      </c>
      <c r="G197" t="n">
        <v>19.601316</v>
      </c>
      <c r="H197" t="n">
        <v>19.601331</v>
      </c>
      <c r="I197" t="inlineStr"/>
      <c r="J197" t="inlineStr">
        <is>
          <t>Saudi Arabia|IKSA.L|2018</t>
        </is>
      </c>
      <c r="K197" t="inlineStr">
        <is>
          <t>Saudi Arabia|2018</t>
        </is>
      </c>
      <c r="L197" t="inlineStr">
        <is>
          <t>USD</t>
        </is>
      </c>
      <c r="M197" t="inlineStr"/>
      <c r="N197" t="n">
        <v>0</v>
      </c>
      <c r="O197" t="inlineStr"/>
      <c r="P197" t="n">
        <v>-1.209142769242888e-05</v>
      </c>
      <c r="Q197" t="inlineStr"/>
      <c r="R197" t="n">
        <v>886564000000</v>
      </c>
    </row>
    <row r="198">
      <c r="A198" t="inlineStr">
        <is>
          <t>Saudi Arabia</t>
        </is>
      </c>
      <c r="B198" t="inlineStr">
        <is>
          <t>SAU</t>
        </is>
      </c>
      <c r="C198" t="inlineStr">
        <is>
          <t>IKSA.L</t>
        </is>
      </c>
      <c r="D198" t="n">
        <v>2019</v>
      </c>
      <c r="E198" t="n">
        <v>-10.50999641418455</v>
      </c>
      <c r="F198" t="n">
        <v>1.652</v>
      </c>
      <c r="G198" t="n">
        <v>0.262136</v>
      </c>
      <c r="H198" t="n">
        <v>0.262136</v>
      </c>
      <c r="I198" t="n">
        <v>10.77213241418455</v>
      </c>
      <c r="J198" t="inlineStr">
        <is>
          <t>Saudi Arabia|IKSA.L|2019</t>
        </is>
      </c>
      <c r="K198" t="inlineStr">
        <is>
          <t>Saudi Arabia|2019</t>
        </is>
      </c>
      <c r="L198" t="inlineStr">
        <is>
          <t>USD</t>
        </is>
      </c>
      <c r="M198" t="n">
        <v>-10.50999641418455</v>
      </c>
      <c r="N198" t="n">
        <v>0</v>
      </c>
      <c r="O198" t="n">
        <v>-10.50999641418455</v>
      </c>
      <c r="P198" t="n">
        <v>7.864078277464159e-08</v>
      </c>
      <c r="Q198" t="n">
        <v>-10.50999648456019</v>
      </c>
      <c r="R198" t="n">
        <v>888888000000</v>
      </c>
    </row>
    <row r="199">
      <c r="A199" t="inlineStr">
        <is>
          <t>Saudi Arabia</t>
        </is>
      </c>
      <c r="B199" t="inlineStr">
        <is>
          <t>SAU</t>
        </is>
      </c>
      <c r="C199" t="inlineStr">
        <is>
          <t>IKSA.L</t>
        </is>
      </c>
      <c r="D199" t="n">
        <v>2020</v>
      </c>
      <c r="E199" t="n">
        <v>0.06664281421631113</v>
      </c>
      <c r="F199" t="n">
        <v>-3.805</v>
      </c>
      <c r="G199" t="n">
        <v>-13.678308</v>
      </c>
      <c r="H199" t="n">
        <v>-13.678326</v>
      </c>
      <c r="I199" t="n">
        <v>-13.74496881421631</v>
      </c>
      <c r="J199" t="inlineStr">
        <is>
          <t>Saudi Arabia|IKSA.L|2020</t>
        </is>
      </c>
      <c r="K199" t="inlineStr">
        <is>
          <t>Saudi Arabia|2020</t>
        </is>
      </c>
      <c r="L199" t="inlineStr">
        <is>
          <t>USD</t>
        </is>
      </c>
      <c r="M199" t="n">
        <v>0.06664281421631113</v>
      </c>
      <c r="N199" t="n">
        <v>0</v>
      </c>
      <c r="O199" t="n">
        <v>0.06664281421631113</v>
      </c>
      <c r="P199" t="n">
        <v>2.131159562157592e-05</v>
      </c>
      <c r="Q199" t="n">
        <v>0.0666214884225802</v>
      </c>
      <c r="R199" t="n">
        <v>767303000000</v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n">
        <v>2021</v>
      </c>
      <c r="E200" t="n">
        <v>37.43165715563745</v>
      </c>
      <c r="F200" t="n">
        <v>6.52</v>
      </c>
      <c r="G200" t="n">
        <v>28.066898</v>
      </c>
      <c r="H200" t="n">
        <v>28.066878</v>
      </c>
      <c r="I200" t="n">
        <v>-9.364779155637454</v>
      </c>
      <c r="J200" t="inlineStr">
        <is>
          <t>Saudi Arabia|IKSA.L|2021</t>
        </is>
      </c>
      <c r="K200" t="inlineStr">
        <is>
          <t>Saudi Arabia|2021</t>
        </is>
      </c>
      <c r="L200" t="inlineStr">
        <is>
          <t>USD</t>
        </is>
      </c>
      <c r="M200" t="n">
        <v>37.43165715563745</v>
      </c>
      <c r="N200" t="n">
        <v>0</v>
      </c>
      <c r="O200" t="n">
        <v>37.43165715563745</v>
      </c>
      <c r="P200" t="n">
        <v>1.547274175450752e-05</v>
      </c>
      <c r="Q200" t="n">
        <v>37.43163589119533</v>
      </c>
      <c r="R200" t="n">
        <v>982661000000</v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n">
        <v>2022</v>
      </c>
      <c r="E201" t="n">
        <v>-6.324523575817764</v>
      </c>
      <c r="F201" t="n">
        <v>12.001</v>
      </c>
      <c r="G201" t="n">
        <v>26.09388</v>
      </c>
      <c r="H201" t="n">
        <v>26.093841</v>
      </c>
      <c r="I201" t="n">
        <v>32.41836457581776</v>
      </c>
      <c r="J201" t="inlineStr">
        <is>
          <t>Saudi Arabia|IKSA.L|2022</t>
        </is>
      </c>
      <c r="K201" t="inlineStr">
        <is>
          <t>Saudi Arabia|2022</t>
        </is>
      </c>
      <c r="L201" t="inlineStr">
        <is>
          <t>USD</t>
        </is>
      </c>
      <c r="M201" t="n">
        <v>-6.324523575817764</v>
      </c>
      <c r="N201" t="n">
        <v>0</v>
      </c>
      <c r="O201" t="n">
        <v>-6.324523575817764</v>
      </c>
      <c r="P201" t="n">
        <v>3.087820188429902e-05</v>
      </c>
      <c r="Q201" t="n">
        <v>-6.324552501111558</v>
      </c>
      <c r="R201" t="n">
        <v>1239075000000</v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n">
        <v>2023</v>
      </c>
      <c r="E202" t="n">
        <v>8.379461836297741</v>
      </c>
      <c r="F202" t="n">
        <v>0.543</v>
      </c>
      <c r="G202" t="n">
        <v>-1.653728</v>
      </c>
      <c r="H202" t="n">
        <v>-1.653653</v>
      </c>
      <c r="I202" t="n">
        <v>-10.03311483629774</v>
      </c>
      <c r="J202" t="inlineStr">
        <is>
          <t>Saudi Arabia|IKSA.L|2023</t>
        </is>
      </c>
      <c r="K202" t="inlineStr">
        <is>
          <t>Saudi Arabia|2023</t>
        </is>
      </c>
      <c r="L202" t="inlineStr">
        <is>
          <t>USD</t>
        </is>
      </c>
      <c r="M202" t="n">
        <v>8.379461836297741</v>
      </c>
      <c r="N202" t="n">
        <v>0</v>
      </c>
      <c r="O202" t="n">
        <v>8.379461836297741</v>
      </c>
      <c r="P202" t="n">
        <v>-7.595825795014832e-05</v>
      </c>
      <c r="Q202" t="n">
        <v>8.379544159511454</v>
      </c>
      <c r="R202" t="n">
        <v>1218585000000</v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n">
        <v>2024</v>
      </c>
      <c r="E203" t="n">
        <v>-1.739530777835496</v>
      </c>
      <c r="F203" t="n">
        <v>1.997</v>
      </c>
      <c r="G203" t="n">
        <v>1.741387</v>
      </c>
      <c r="H203" t="n">
        <v>1.741364</v>
      </c>
      <c r="I203" t="n">
        <v>3.480894777835496</v>
      </c>
      <c r="J203" t="inlineStr">
        <is>
          <t>Saudi Arabia|IKSA.L|2024</t>
        </is>
      </c>
      <c r="K203" t="inlineStr">
        <is>
          <t>Saudi Arabia|2024</t>
        </is>
      </c>
      <c r="L203" t="inlineStr">
        <is>
          <t>USD</t>
        </is>
      </c>
      <c r="M203" t="n">
        <v>-1.739530777835496</v>
      </c>
      <c r="N203" t="n">
        <v>0</v>
      </c>
      <c r="O203" t="n">
        <v>-1.739530777835496</v>
      </c>
      <c r="P203" t="n">
        <v>2.216422236855919e-05</v>
      </c>
      <c r="Q203" t="n">
        <v>-1.739552556499568</v>
      </c>
      <c r="R203" t="n">
        <v>1239805000000</v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n">
        <v>2025</v>
      </c>
      <c r="E204" t="n">
        <v>-6.082555514391419</v>
      </c>
      <c r="F204" t="n">
        <v>4.021</v>
      </c>
      <c r="G204" t="n">
        <v>2.317311</v>
      </c>
      <c r="H204" t="n">
        <v>2.3173</v>
      </c>
      <c r="I204" t="n">
        <v>8.399855514391419</v>
      </c>
      <c r="J204" t="inlineStr">
        <is>
          <t>Saudi Arabia|IKSA.L|2025</t>
        </is>
      </c>
      <c r="K204" t="inlineStr">
        <is>
          <t>Saudi Arabia|2025</t>
        </is>
      </c>
      <c r="L204" t="inlineStr">
        <is>
          <t>USD</t>
        </is>
      </c>
      <c r="M204" t="n">
        <v>-6.082555514391419</v>
      </c>
      <c r="N204" t="n">
        <v>0</v>
      </c>
      <c r="O204" t="n">
        <v>-6.082555514391419</v>
      </c>
      <c r="P204" t="n">
        <v>1.087616465778041e-05</v>
      </c>
      <c r="Q204" t="n">
        <v>-6.082565729006218</v>
      </c>
      <c r="R204" t="n">
        <v>1268535000000</v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n">
        <v>2026</v>
      </c>
      <c r="E205" t="n">
        <v>2.5889141554295</v>
      </c>
      <c r="F205" t="n">
        <v>3.978</v>
      </c>
      <c r="G205" t="n">
        <v>3.761463</v>
      </c>
      <c r="H205" t="n">
        <v>3.761426</v>
      </c>
      <c r="I205" t="n">
        <v>1.1725118445705</v>
      </c>
      <c r="J205" t="inlineStr">
        <is>
          <t>Saudi Arabia|IKSA.L|2026</t>
        </is>
      </c>
      <c r="K205" t="inlineStr">
        <is>
          <t>Saudi Arabia|2026</t>
        </is>
      </c>
      <c r="L205" t="inlineStr">
        <is>
          <t>USD</t>
        </is>
      </c>
      <c r="M205" t="n">
        <v>2.5889141554295</v>
      </c>
      <c r="N205" t="n">
        <v>0</v>
      </c>
      <c r="O205" t="n">
        <v>2.5889141554295</v>
      </c>
      <c r="P205" t="n">
        <v>3.564477177864234e-05</v>
      </c>
      <c r="Q205" t="n">
        <v>2.588877587858218</v>
      </c>
      <c r="R205" t="n">
        <v>1316250000000</v>
      </c>
    </row>
    <row r="206">
      <c r="A206" t="inlineStr">
        <is>
          <t>South Africa</t>
        </is>
      </c>
      <c r="B206" t="inlineStr">
        <is>
          <t>ZAF</t>
        </is>
      </c>
      <c r="C206" t="inlineStr">
        <is>
          <t>IRSA.L</t>
        </is>
      </c>
      <c r="D206" t="n">
        <v>2015</v>
      </c>
      <c r="E206" t="n">
        <v>-24.05351480551538</v>
      </c>
      <c r="F206" t="n">
        <v>1.322</v>
      </c>
      <c r="G206" t="inlineStr"/>
      <c r="H206" t="inlineStr"/>
      <c r="I206" t="inlineStr"/>
      <c r="J206" t="inlineStr">
        <is>
          <t>South Africa|IRSA.L|2015</t>
        </is>
      </c>
      <c r="K206" t="inlineStr">
        <is>
          <t>South Africa|2015</t>
        </is>
      </c>
      <c r="L206" t="inlineStr">
        <is>
          <t>USD</t>
        </is>
      </c>
      <c r="M206" t="n">
        <v>-24.05351480551538</v>
      </c>
      <c r="N206" t="n">
        <v>0</v>
      </c>
      <c r="O206" t="n">
        <v>-24.05351480551538</v>
      </c>
      <c r="P206" t="inlineStr"/>
      <c r="Q206" t="inlineStr"/>
      <c r="R206" t="n">
        <v>346663000000</v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IRSA.L</t>
        </is>
      </c>
      <c r="D207" t="n">
        <v>2016</v>
      </c>
      <c r="E207" t="n">
        <v>21.89386186222804</v>
      </c>
      <c r="F207" t="n">
        <v>0.665</v>
      </c>
      <c r="G207" t="n">
        <v>7.662924</v>
      </c>
      <c r="H207" t="n">
        <v>-6.683725</v>
      </c>
      <c r="I207" t="n">
        <v>-28.57758686222803</v>
      </c>
      <c r="J207" t="inlineStr">
        <is>
          <t>South Africa|IRSA.L|2016</t>
        </is>
      </c>
      <c r="K207" t="inlineStr">
        <is>
          <t>South Africa|2016</t>
        </is>
      </c>
      <c r="L207" t="inlineStr">
        <is>
          <t>USD</t>
        </is>
      </c>
      <c r="M207" t="n">
        <v>21.89386186222804</v>
      </c>
      <c r="N207" t="n">
        <v>0</v>
      </c>
      <c r="O207" t="n">
        <v>21.89386186222804</v>
      </c>
      <c r="P207" t="n">
        <v>15.37421879776868</v>
      </c>
      <c r="Q207" t="n">
        <v>5.650866486807749</v>
      </c>
      <c r="R207" t="n">
        <v>323493000000</v>
      </c>
    </row>
    <row r="208">
      <c r="A208" t="inlineStr">
        <is>
          <t>South Africa</t>
        </is>
      </c>
      <c r="B208" t="inlineStr">
        <is>
          <t>ZAF</t>
        </is>
      </c>
      <c r="C208" t="inlineStr">
        <is>
          <t>IRSA.L</t>
        </is>
      </c>
      <c r="D208" t="n">
        <v>2017</v>
      </c>
      <c r="E208" t="n">
        <v>34.23377729686121</v>
      </c>
      <c r="F208" t="n">
        <v>1.158</v>
      </c>
      <c r="G208" t="n">
        <v>6.694659</v>
      </c>
      <c r="H208" t="n">
        <v>17.874884</v>
      </c>
      <c r="I208" t="n">
        <v>-16.35889329686121</v>
      </c>
      <c r="J208" t="inlineStr">
        <is>
          <t>South Africa|IRSA.L|2017</t>
        </is>
      </c>
      <c r="K208" t="inlineStr">
        <is>
          <t>South Africa|2017</t>
        </is>
      </c>
      <c r="L208" t="inlineStr">
        <is>
          <t>USD</t>
        </is>
      </c>
      <c r="M208" t="n">
        <v>34.23377729686121</v>
      </c>
      <c r="N208" t="n">
        <v>0</v>
      </c>
      <c r="O208" t="n">
        <v>34.23377729686121</v>
      </c>
      <c r="P208" t="n">
        <v>-9.484823705543821</v>
      </c>
      <c r="Q208" t="n">
        <v>48.29974684044524</v>
      </c>
      <c r="R208" t="n">
        <v>381317000000</v>
      </c>
    </row>
    <row r="209">
      <c r="A209" t="inlineStr">
        <is>
          <t>South Africa</t>
        </is>
      </c>
      <c r="B209" t="inlineStr">
        <is>
          <t>ZAF</t>
        </is>
      </c>
      <c r="C209" t="inlineStr">
        <is>
          <t>IRSA.L</t>
        </is>
      </c>
      <c r="D209" t="n">
        <v>2018</v>
      </c>
      <c r="E209" t="n">
        <v>-24.79147038938383</v>
      </c>
      <c r="F209" t="n">
        <v>1.557</v>
      </c>
      <c r="G209" t="n">
        <v>5.612215</v>
      </c>
      <c r="H209" t="n">
        <v>6.235232</v>
      </c>
      <c r="I209" t="n">
        <v>31.02670238938383</v>
      </c>
      <c r="J209" t="inlineStr">
        <is>
          <t>South Africa|IRSA.L|2018</t>
        </is>
      </c>
      <c r="K209" t="inlineStr">
        <is>
          <t>South Africa|2018</t>
        </is>
      </c>
      <c r="L209" t="inlineStr">
        <is>
          <t>USD</t>
        </is>
      </c>
      <c r="M209" t="n">
        <v>-24.79147038938383</v>
      </c>
      <c r="N209" t="n">
        <v>0</v>
      </c>
      <c r="O209" t="n">
        <v>-24.79147038938383</v>
      </c>
      <c r="P209" t="n">
        <v>-0.5864504954378513</v>
      </c>
      <c r="Q209" t="n">
        <v>-24.34780773302455</v>
      </c>
      <c r="R209" t="n">
        <v>405093000000</v>
      </c>
    </row>
    <row r="210">
      <c r="A210" t="inlineStr">
        <is>
          <t>South Africa</t>
        </is>
      </c>
      <c r="B210" t="inlineStr">
        <is>
          <t>ZAF</t>
        </is>
      </c>
      <c r="C210" t="inlineStr">
        <is>
          <t>IRSA.L</t>
        </is>
      </c>
      <c r="D210" t="n">
        <v>2019</v>
      </c>
      <c r="E210" t="n">
        <v>11.06752716800878</v>
      </c>
      <c r="F210" t="n">
        <v>0.26</v>
      </c>
      <c r="G210" t="n">
        <v>4.885469</v>
      </c>
      <c r="H210" t="n">
        <v>-3.912188</v>
      </c>
      <c r="I210" t="n">
        <v>-14.97971516800878</v>
      </c>
      <c r="J210" t="inlineStr">
        <is>
          <t>South Africa|IRSA.L|2019</t>
        </is>
      </c>
      <c r="K210" t="inlineStr">
        <is>
          <t>South Africa|2019</t>
        </is>
      </c>
      <c r="L210" t="inlineStr">
        <is>
          <t>USD</t>
        </is>
      </c>
      <c r="M210" t="n">
        <v>11.06752716800878</v>
      </c>
      <c r="N210" t="n">
        <v>0</v>
      </c>
      <c r="O210" t="n">
        <v>11.06752716800878</v>
      </c>
      <c r="P210" t="n">
        <v>9.155851476484699</v>
      </c>
      <c r="Q210" t="n">
        <v>1.751326809938281</v>
      </c>
      <c r="R210" t="n">
        <v>389245000000</v>
      </c>
    </row>
    <row r="211">
      <c r="A211" t="inlineStr">
        <is>
          <t>South Africa</t>
        </is>
      </c>
      <c r="B211" t="inlineStr">
        <is>
          <t>ZAF</t>
        </is>
      </c>
      <c r="C211" t="inlineStr">
        <is>
          <t>IRSA.L</t>
        </is>
      </c>
      <c r="D211" t="n">
        <v>2020</v>
      </c>
      <c r="E211" t="n">
        <v>-3.222364564563518</v>
      </c>
      <c r="F211" t="n">
        <v>-6.169</v>
      </c>
      <c r="G211" t="n">
        <v>-1.110128</v>
      </c>
      <c r="H211" t="n">
        <v>-13.197087</v>
      </c>
      <c r="I211" t="n">
        <v>-9.974722435436481</v>
      </c>
      <c r="J211" t="inlineStr">
        <is>
          <t>South Africa|IRSA.L|2020</t>
        </is>
      </c>
      <c r="K211" t="inlineStr">
        <is>
          <t>South Africa|2020</t>
        </is>
      </c>
      <c r="L211" t="inlineStr">
        <is>
          <t>USD</t>
        </is>
      </c>
      <c r="M211" t="n">
        <v>-3.222364564563518</v>
      </c>
      <c r="N211" t="n">
        <v>0</v>
      </c>
      <c r="O211" t="n">
        <v>-3.222364564563518</v>
      </c>
      <c r="P211" t="n">
        <v>13.92460018633528</v>
      </c>
      <c r="Q211" t="n">
        <v>-15.05115201006033</v>
      </c>
      <c r="R211" t="n">
        <v>337876000000</v>
      </c>
    </row>
    <row r="212">
      <c r="A212" t="inlineStr">
        <is>
          <t>South Africa</t>
        </is>
      </c>
      <c r="B212" t="inlineStr">
        <is>
          <t>ZAF</t>
        </is>
      </c>
      <c r="C212" t="inlineStr">
        <is>
          <t>IRSA.L</t>
        </is>
      </c>
      <c r="D212" t="n">
        <v>2021</v>
      </c>
      <c r="E212" t="n">
        <v>3.746853039929943</v>
      </c>
      <c r="F212" t="n">
        <v>4.859</v>
      </c>
      <c r="G212" t="n">
        <v>11.578443</v>
      </c>
      <c r="H212" t="n">
        <v>24.26985</v>
      </c>
      <c r="I212" t="n">
        <v>20.52299696007006</v>
      </c>
      <c r="J212" t="inlineStr">
        <is>
          <t>South Africa|IRSA.L|2021</t>
        </is>
      </c>
      <c r="K212" t="inlineStr">
        <is>
          <t>South Africa|2021</t>
        </is>
      </c>
      <c r="L212" t="inlineStr">
        <is>
          <t>USD</t>
        </is>
      </c>
      <c r="M212" t="n">
        <v>3.746853039929943</v>
      </c>
      <c r="N212" t="n">
        <v>0</v>
      </c>
      <c r="O212" t="n">
        <v>3.746853039929943</v>
      </c>
      <c r="P212" t="n">
        <v>-10.21278077818898</v>
      </c>
      <c r="Q212" t="n">
        <v>15.54746203202144</v>
      </c>
      <c r="R212" t="n">
        <v>419878000000</v>
      </c>
    </row>
    <row r="213">
      <c r="A213" t="inlineStr">
        <is>
          <t>South Africa</t>
        </is>
      </c>
      <c r="B213" t="inlineStr">
        <is>
          <t>ZAF</t>
        </is>
      </c>
      <c r="C213" t="inlineStr">
        <is>
          <t>IRSA.L</t>
        </is>
      </c>
      <c r="D213" t="n">
        <v>2022</v>
      </c>
      <c r="E213" t="n">
        <v>-4.587850327537191</v>
      </c>
      <c r="F213" t="n">
        <v>2.058</v>
      </c>
      <c r="G213" t="n">
        <v>7.406989</v>
      </c>
      <c r="H213" t="n">
        <v>-2.964671</v>
      </c>
      <c r="I213" t="n">
        <v>1.623179327537191</v>
      </c>
      <c r="J213" t="inlineStr">
        <is>
          <t>South Africa|IRSA.L|2022</t>
        </is>
      </c>
      <c r="K213" t="inlineStr">
        <is>
          <t>South Africa|2022</t>
        </is>
      </c>
      <c r="L213" t="inlineStr">
        <is>
          <t>USD</t>
        </is>
      </c>
      <c r="M213" t="n">
        <v>-4.587850327537191</v>
      </c>
      <c r="N213" t="n">
        <v>0</v>
      </c>
      <c r="O213" t="n">
        <v>-4.587850327537191</v>
      </c>
      <c r="P213" t="n">
        <v>10.6885391934918</v>
      </c>
      <c r="Q213" t="n">
        <v>-13.80123871209893</v>
      </c>
      <c r="R213" t="n">
        <v>407430000000</v>
      </c>
    </row>
    <row r="214">
      <c r="A214" t="inlineStr">
        <is>
          <t>South Africa</t>
        </is>
      </c>
      <c r="B214" t="inlineStr">
        <is>
          <t>ZAF</t>
        </is>
      </c>
      <c r="C214" t="inlineStr">
        <is>
          <t>IRSA.L</t>
        </is>
      </c>
      <c r="D214" t="n">
        <v>2023</v>
      </c>
      <c r="E214" t="n">
        <v>-1.273890748070561</v>
      </c>
      <c r="F214" t="n">
        <v>0.806</v>
      </c>
      <c r="G214" t="n">
        <v>5.566467</v>
      </c>
      <c r="H214" t="n">
        <v>-6.405027</v>
      </c>
      <c r="I214" t="n">
        <v>-5.131136251929439</v>
      </c>
      <c r="J214" t="inlineStr">
        <is>
          <t>South Africa|IRSA.L|2023</t>
        </is>
      </c>
      <c r="K214" t="inlineStr">
        <is>
          <t>South Africa|2023</t>
        </is>
      </c>
      <c r="L214" t="inlineStr">
        <is>
          <t>USD</t>
        </is>
      </c>
      <c r="M214" t="n">
        <v>-1.273890748070561</v>
      </c>
      <c r="N214" t="n">
        <v>0</v>
      </c>
      <c r="O214" t="n">
        <v>-1.273890748070561</v>
      </c>
      <c r="P214" t="n">
        <v>12.79074369961537</v>
      </c>
      <c r="Q214" t="n">
        <v>-12.46967081371757</v>
      </c>
      <c r="R214" t="n">
        <v>381334000000</v>
      </c>
    </row>
    <row r="215">
      <c r="A215" t="inlineStr">
        <is>
          <t>South Africa</t>
        </is>
      </c>
      <c r="B215" t="inlineStr">
        <is>
          <t>ZAF</t>
        </is>
      </c>
      <c r="C215" t="inlineStr">
        <is>
          <t>IRSA.L</t>
        </is>
      </c>
      <c r="D215" t="n">
        <v>2024</v>
      </c>
      <c r="E215" t="n">
        <v>9.804554511548847</v>
      </c>
      <c r="F215" t="n">
        <v>0.535</v>
      </c>
      <c r="G215" t="n">
        <v>4.472728</v>
      </c>
      <c r="H215" t="n">
        <v>5.177089</v>
      </c>
      <c r="I215" t="n">
        <v>-4.627465511548848</v>
      </c>
      <c r="J215" t="inlineStr">
        <is>
          <t>South Africa|IRSA.L|2024</t>
        </is>
      </c>
      <c r="K215" t="inlineStr">
        <is>
          <t>South Africa|2024</t>
        </is>
      </c>
      <c r="L215" t="inlineStr">
        <is>
          <t>USD</t>
        </is>
      </c>
      <c r="M215" t="n">
        <v>9.804554511548847</v>
      </c>
      <c r="N215" t="n">
        <v>0</v>
      </c>
      <c r="O215" t="n">
        <v>9.804554511548847</v>
      </c>
      <c r="P215" t="n">
        <v>-0.6696905950178356</v>
      </c>
      <c r="Q215" t="n">
        <v>10.54486306275546</v>
      </c>
      <c r="R215" t="n">
        <v>401076000000</v>
      </c>
    </row>
    <row r="216">
      <c r="A216" t="inlineStr">
        <is>
          <t>South Africa</t>
        </is>
      </c>
      <c r="B216" t="inlineStr">
        <is>
          <t>ZAF</t>
        </is>
      </c>
      <c r="C216" t="inlineStr">
        <is>
          <t>IRSA.L</t>
        </is>
      </c>
      <c r="D216" t="n">
        <v>2025</v>
      </c>
      <c r="E216" t="n">
        <v>75.04335635161455</v>
      </c>
      <c r="F216" t="n">
        <v>1.149</v>
      </c>
      <c r="G216" t="n">
        <v>4.705452</v>
      </c>
      <c r="H216" t="n">
        <v>6.309777</v>
      </c>
      <c r="I216" t="n">
        <v>-68.73357935161455</v>
      </c>
      <c r="J216" t="inlineStr">
        <is>
          <t>South Africa|IRSA.L|2025</t>
        </is>
      </c>
      <c r="K216" t="inlineStr">
        <is>
          <t>South Africa|2025</t>
        </is>
      </c>
      <c r="L216" t="inlineStr">
        <is>
          <t>USD</t>
        </is>
      </c>
      <c r="M216" t="n">
        <v>75.04335635161455</v>
      </c>
      <c r="N216" t="n">
        <v>0</v>
      </c>
      <c r="O216" t="n">
        <v>75.04335635161455</v>
      </c>
      <c r="P216" t="n">
        <v>-1.509103702666748</v>
      </c>
      <c r="Q216" t="n">
        <v>77.7254172032081</v>
      </c>
      <c r="R216" t="n">
        <v>426383000000</v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n">
        <v>2026</v>
      </c>
      <c r="E217" t="n">
        <v>2.156668883448587</v>
      </c>
      <c r="F217" t="n">
        <v>1.151</v>
      </c>
      <c r="G217" t="n">
        <v>4.860935</v>
      </c>
      <c r="H217" t="n">
        <v>4.048004</v>
      </c>
      <c r="I217" t="n">
        <v>1.891335116551413</v>
      </c>
      <c r="J217" t="inlineStr">
        <is>
          <t>South Africa|IRSA.L|2026</t>
        </is>
      </c>
      <c r="K217" t="inlineStr">
        <is>
          <t>South Africa|2026</t>
        </is>
      </c>
      <c r="L217" t="inlineStr">
        <is>
          <t>USD</t>
        </is>
      </c>
      <c r="M217" t="n">
        <v>2.156668883448587</v>
      </c>
      <c r="N217" t="n">
        <v>0</v>
      </c>
      <c r="O217" t="n">
        <v>2.156668883448587</v>
      </c>
      <c r="P217" t="n">
        <v>0.7813040222599543</v>
      </c>
      <c r="Q217" t="n">
        <v>1.364702386550642</v>
      </c>
      <c r="R217" t="n">
        <v>443643000000</v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SRSA.L</t>
        </is>
      </c>
      <c r="D218" t="n">
        <v>2015</v>
      </c>
      <c r="E218" t="n">
        <v>-21.28082271824237</v>
      </c>
      <c r="F218" t="n">
        <v>1.322</v>
      </c>
      <c r="G218" t="inlineStr"/>
      <c r="H218" t="inlineStr"/>
      <c r="I218" t="inlineStr"/>
      <c r="J218" t="inlineStr">
        <is>
          <t>South Africa|SRSA.L|2015</t>
        </is>
      </c>
      <c r="K218" t="inlineStr">
        <is>
          <t>South Africa|2015</t>
        </is>
      </c>
      <c r="L218" t="inlineStr">
        <is>
          <t>GBp</t>
        </is>
      </c>
      <c r="M218" t="n">
        <v>-21.28082271824237</v>
      </c>
      <c r="N218" t="n">
        <v>-4.888855870697362</v>
      </c>
      <c r="O218" t="n">
        <v>-25.12928983814624</v>
      </c>
      <c r="P218" t="inlineStr"/>
      <c r="Q218" t="inlineStr"/>
      <c r="R218" t="n">
        <v>346663000000</v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SRSA.L</t>
        </is>
      </c>
      <c r="D219" t="n">
        <v>2016</v>
      </c>
      <c r="E219" t="n">
        <v>45.48229548229548</v>
      </c>
      <c r="F219" t="n">
        <v>0.665</v>
      </c>
      <c r="G219" t="n">
        <v>7.662924</v>
      </c>
      <c r="H219" t="n">
        <v>-6.683725</v>
      </c>
      <c r="I219" t="n">
        <v>-27.97855795592849</v>
      </c>
      <c r="J219" t="inlineStr">
        <is>
          <t>South Africa|SRSA.L|2016</t>
        </is>
      </c>
      <c r="K219" t="inlineStr">
        <is>
          <t>South Africa|2016</t>
        </is>
      </c>
      <c r="L219" t="inlineStr">
        <is>
          <t>GBp</t>
        </is>
      </c>
      <c r="M219" t="n">
        <v>45.48229548229548</v>
      </c>
      <c r="N219" t="n">
        <v>-16.62570861023462</v>
      </c>
      <c r="O219" t="n">
        <v>21.29483295592849</v>
      </c>
      <c r="P219" t="n">
        <v>15.37421879776868</v>
      </c>
      <c r="Q219" t="n">
        <v>5.131661319014125</v>
      </c>
      <c r="R219" t="n">
        <v>323493000000</v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SRSA.L</t>
        </is>
      </c>
      <c r="D220" t="n">
        <v>2017</v>
      </c>
      <c r="E220" t="n">
        <v>23.73816213966073</v>
      </c>
      <c r="F220" t="n">
        <v>1.158</v>
      </c>
      <c r="G220" t="n">
        <v>6.694659</v>
      </c>
      <c r="H220" t="n">
        <v>17.874884</v>
      </c>
      <c r="I220" t="n">
        <v>-16.80344924706115</v>
      </c>
      <c r="J220" t="inlineStr">
        <is>
          <t>South Africa|SRSA.L|2017</t>
        </is>
      </c>
      <c r="K220" t="inlineStr">
        <is>
          <t>South Africa|2017</t>
        </is>
      </c>
      <c r="L220" t="inlineStr">
        <is>
          <t>GBp</t>
        </is>
      </c>
      <c r="M220" t="n">
        <v>23.73816213966073</v>
      </c>
      <c r="N220" t="n">
        <v>8.841388071573641</v>
      </c>
      <c r="O220" t="n">
        <v>34.67833324706115</v>
      </c>
      <c r="P220" t="n">
        <v>-9.484823705543821</v>
      </c>
      <c r="Q220" t="n">
        <v>48.79088652375509</v>
      </c>
      <c r="R220" t="n">
        <v>381317000000</v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SRSA.L</t>
        </is>
      </c>
      <c r="D221" t="n">
        <v>2018</v>
      </c>
      <c r="E221" t="n">
        <v>-19.97611736608667</v>
      </c>
      <c r="F221" t="n">
        <v>1.557</v>
      </c>
      <c r="G221" t="n">
        <v>5.612215</v>
      </c>
      <c r="H221" t="n">
        <v>6.235232</v>
      </c>
      <c r="I221" t="n">
        <v>31.0810460767292</v>
      </c>
      <c r="J221" t="inlineStr">
        <is>
          <t>South Africa|SRSA.L|2018</t>
        </is>
      </c>
      <c r="K221" t="inlineStr">
        <is>
          <t>South Africa|2018</t>
        </is>
      </c>
      <c r="L221" t="inlineStr">
        <is>
          <t>GBp</t>
        </is>
      </c>
      <c r="M221" t="n">
        <v>-19.97611736608667</v>
      </c>
      <c r="N221" t="n">
        <v>-6.085304224640065</v>
      </c>
      <c r="O221" t="n">
        <v>-24.8458140767292</v>
      </c>
      <c r="P221" t="n">
        <v>-0.5864504954378513</v>
      </c>
      <c r="Q221" t="n">
        <v>-24.40247199922991</v>
      </c>
      <c r="R221" t="n">
        <v>405093000000</v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SRSA.L</t>
        </is>
      </c>
      <c r="D222" t="n">
        <v>2019</v>
      </c>
      <c r="E222" t="n">
        <v>5.935386927122455</v>
      </c>
      <c r="F222" t="n">
        <v>0.26</v>
      </c>
      <c r="G222" t="n">
        <v>4.885469</v>
      </c>
      <c r="H222" t="n">
        <v>-3.912188</v>
      </c>
      <c r="I222" t="n">
        <v>-12.96616895748153</v>
      </c>
      <c r="J222" t="inlineStr">
        <is>
          <t>South Africa|SRSA.L|2019</t>
        </is>
      </c>
      <c r="K222" t="inlineStr">
        <is>
          <t>South Africa|2019</t>
        </is>
      </c>
      <c r="L222" t="inlineStr">
        <is>
          <t>GBp</t>
        </is>
      </c>
      <c r="M222" t="n">
        <v>5.935386927122455</v>
      </c>
      <c r="N222" t="n">
        <v>2.94386429390634</v>
      </c>
      <c r="O222" t="n">
        <v>9.053980957481533</v>
      </c>
      <c r="P222" t="n">
        <v>9.155851476484699</v>
      </c>
      <c r="Q222" t="n">
        <v>-0.09332575178080393</v>
      </c>
      <c r="R222" t="n">
        <v>389245000000</v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SRSA.L</t>
        </is>
      </c>
      <c r="D223" t="n">
        <v>2020</v>
      </c>
      <c r="E223" t="n">
        <v>-6.724969843184558</v>
      </c>
      <c r="F223" t="n">
        <v>-6.169</v>
      </c>
      <c r="G223" t="n">
        <v>-1.110128</v>
      </c>
      <c r="H223" t="n">
        <v>-13.197087</v>
      </c>
      <c r="I223" t="n">
        <v>-9.06068426617818</v>
      </c>
      <c r="J223" t="inlineStr">
        <is>
          <t>South Africa|SRSA.L|2020</t>
        </is>
      </c>
      <c r="K223" t="inlineStr">
        <is>
          <t>South Africa|2020</t>
        </is>
      </c>
      <c r="L223" t="inlineStr">
        <is>
          <t>GBp</t>
        </is>
      </c>
      <c r="M223" t="n">
        <v>-6.724969843184558</v>
      </c>
      <c r="N223" t="n">
        <v>2.775198362317122</v>
      </c>
      <c r="O223" t="n">
        <v>-4.13640273382182</v>
      </c>
      <c r="P223" t="n">
        <v>13.92460018633528</v>
      </c>
      <c r="Q223" t="n">
        <v>-15.85347053280546</v>
      </c>
      <c r="R223" t="n">
        <v>337876000000</v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SRSA.L</t>
        </is>
      </c>
      <c r="D224" t="n">
        <v>2021</v>
      </c>
      <c r="E224" t="n">
        <v>4.558099721806119</v>
      </c>
      <c r="F224" t="n">
        <v>4.859</v>
      </c>
      <c r="G224" t="n">
        <v>11.578443</v>
      </c>
      <c r="H224" t="n">
        <v>24.26985</v>
      </c>
      <c r="I224" t="n">
        <v>21.04718777775981</v>
      </c>
      <c r="J224" t="inlineStr">
        <is>
          <t>South Africa|SRSA.L|2021</t>
        </is>
      </c>
      <c r="K224" t="inlineStr">
        <is>
          <t>South Africa|2021</t>
        </is>
      </c>
      <c r="L224" t="inlineStr">
        <is>
          <t>GBp</t>
        </is>
      </c>
      <c r="M224" t="n">
        <v>4.558099721806119</v>
      </c>
      <c r="N224" t="n">
        <v>-1.277220514832489</v>
      </c>
      <c r="O224" t="n">
        <v>3.222662222240191</v>
      </c>
      <c r="P224" t="n">
        <v>-10.21278077818898</v>
      </c>
      <c r="Q224" t="n">
        <v>14.96364751784789</v>
      </c>
      <c r="R224" t="n">
        <v>419878000000</v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SRSA.L</t>
        </is>
      </c>
      <c r="D225" t="n">
        <v>2022</v>
      </c>
      <c r="E225" t="n">
        <v>7.076672436615428</v>
      </c>
      <c r="F225" t="n">
        <v>2.058</v>
      </c>
      <c r="G225" t="n">
        <v>7.406989</v>
      </c>
      <c r="H225" t="n">
        <v>-2.964671</v>
      </c>
      <c r="I225" t="n">
        <v>1.566888928473728</v>
      </c>
      <c r="J225" t="inlineStr">
        <is>
          <t>South Africa|SRSA.L|2022</t>
        </is>
      </c>
      <c r="K225" t="inlineStr">
        <is>
          <t>South Africa|2022</t>
        </is>
      </c>
      <c r="L225" t="inlineStr">
        <is>
          <t>GBp</t>
        </is>
      </c>
      <c r="M225" t="n">
        <v>7.076672436615428</v>
      </c>
      <c r="N225" t="n">
        <v>-10.84104698150823</v>
      </c>
      <c r="O225" t="n">
        <v>-4.531559928473728</v>
      </c>
      <c r="P225" t="n">
        <v>10.6885391934918</v>
      </c>
      <c r="Q225" t="n">
        <v>-13.75038394477287</v>
      </c>
      <c r="R225" t="n">
        <v>407430000000</v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n">
        <v>2023</v>
      </c>
      <c r="E226" t="n">
        <v>-7.169459962756052</v>
      </c>
      <c r="F226" t="n">
        <v>0.806</v>
      </c>
      <c r="G226" t="n">
        <v>5.566467</v>
      </c>
      <c r="H226" t="n">
        <v>-6.405027</v>
      </c>
      <c r="I226" t="n">
        <v>-3.935605765049158</v>
      </c>
      <c r="J226" t="inlineStr">
        <is>
          <t>South Africa|SRSA.L|2023</t>
        </is>
      </c>
      <c r="K226" t="inlineStr">
        <is>
          <t>South Africa|2023</t>
        </is>
      </c>
      <c r="L226" t="inlineStr">
        <is>
          <t>GBp</t>
        </is>
      </c>
      <c r="M226" t="n">
        <v>-7.169459962756052</v>
      </c>
      <c r="N226" t="n">
        <v>5.06303068571996</v>
      </c>
      <c r="O226" t="n">
        <v>-2.469421234950842</v>
      </c>
      <c r="P226" t="n">
        <v>12.79074369961537</v>
      </c>
      <c r="Q226" t="n">
        <v>-13.52962524585096</v>
      </c>
      <c r="R226" t="n">
        <v>381334000000</v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n">
        <v>2024</v>
      </c>
      <c r="E227" t="n">
        <v>10.55623223710922</v>
      </c>
      <c r="F227" t="n">
        <v>0.535</v>
      </c>
      <c r="G227" t="n">
        <v>4.472728</v>
      </c>
      <c r="H227" t="n">
        <v>5.177089</v>
      </c>
      <c r="I227" t="n">
        <v>-3.808080003272621</v>
      </c>
      <c r="J227" t="inlineStr">
        <is>
          <t>South Africa|SRSA.L|2024</t>
        </is>
      </c>
      <c r="K227" t="inlineStr">
        <is>
          <t>South Africa|2024</t>
        </is>
      </c>
      <c r="L227" t="inlineStr">
        <is>
          <t>GBp</t>
        </is>
      </c>
      <c r="M227" t="n">
        <v>10.55623223710922</v>
      </c>
      <c r="N227" t="n">
        <v>-1.421053523664917</v>
      </c>
      <c r="O227" t="n">
        <v>8.98516900327262</v>
      </c>
      <c r="P227" t="n">
        <v>-0.6696905950178356</v>
      </c>
      <c r="Q227" t="n">
        <v>9.719953210783206</v>
      </c>
      <c r="R227" t="n">
        <v>401076000000</v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n">
        <v>2025</v>
      </c>
      <c r="E228" t="n">
        <v>61.05545617173524</v>
      </c>
      <c r="F228" t="n">
        <v>1.149</v>
      </c>
      <c r="G228" t="n">
        <v>4.705452</v>
      </c>
      <c r="H228" t="n">
        <v>6.309777</v>
      </c>
      <c r="I228" t="n">
        <v>-66.94068485797825</v>
      </c>
      <c r="J228" t="inlineStr">
        <is>
          <t>South Africa|SRSA.L|2025</t>
        </is>
      </c>
      <c r="K228" t="inlineStr">
        <is>
          <t>South Africa|2025</t>
        </is>
      </c>
      <c r="L228" t="inlineStr">
        <is>
          <t>GBp</t>
        </is>
      </c>
      <c r="M228" t="n">
        <v>61.05545617173524</v>
      </c>
      <c r="N228" t="n">
        <v>7.571929555270285</v>
      </c>
      <c r="O228" t="n">
        <v>73.25046185797825</v>
      </c>
      <c r="P228" t="n">
        <v>-1.509103702666748</v>
      </c>
      <c r="Q228" t="n">
        <v>75.90505150339382</v>
      </c>
      <c r="R228" t="n">
        <v>426383000000</v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n">
        <v>2026</v>
      </c>
      <c r="E229" t="n">
        <v>1.725097384529795</v>
      </c>
      <c r="F229" t="n">
        <v>1.151</v>
      </c>
      <c r="G229" t="n">
        <v>4.860935</v>
      </c>
      <c r="H229" t="n">
        <v>4.048004</v>
      </c>
      <c r="I229" t="n">
        <v>3.349976203936994</v>
      </c>
      <c r="J229" t="inlineStr">
        <is>
          <t>South Africa|SRSA.L|2026</t>
        </is>
      </c>
      <c r="K229" t="inlineStr">
        <is>
          <t>South Africa|2026</t>
        </is>
      </c>
      <c r="L229" t="inlineStr">
        <is>
          <t>GBp</t>
        </is>
      </c>
      <c r="M229" t="n">
        <v>1.725097384529795</v>
      </c>
      <c r="N229" t="n">
        <v>-1.00965210638666</v>
      </c>
      <c r="O229" t="n">
        <v>0.6980277960630055</v>
      </c>
      <c r="P229" t="n">
        <v>0.7813040222599543</v>
      </c>
      <c r="Q229" t="n">
        <v>-0.08263062976299196</v>
      </c>
      <c r="R229" t="n">
        <v>443643000000</v>
      </c>
    </row>
    <row r="230">
      <c r="A230" t="inlineStr">
        <is>
          <t>South Korea</t>
        </is>
      </c>
      <c r="B230" t="inlineStr">
        <is>
          <t>KOR</t>
        </is>
      </c>
      <c r="C230" t="inlineStr">
        <is>
          <t>CSKR.L</t>
        </is>
      </c>
      <c r="D230" t="n">
        <v>2015</v>
      </c>
      <c r="E230" t="n">
        <v>-6.759926185702048</v>
      </c>
      <c r="F230" t="n">
        <v>2.92</v>
      </c>
      <c r="G230" t="inlineStr"/>
      <c r="H230" t="inlineStr"/>
      <c r="I230" t="inlineStr"/>
      <c r="J230" t="inlineStr">
        <is>
          <t>South Korea|CSKR.L|2015</t>
        </is>
      </c>
      <c r="K230" t="inlineStr">
        <is>
          <t>South Korea|2015</t>
        </is>
      </c>
      <c r="L230" t="inlineStr">
        <is>
          <t>USD</t>
        </is>
      </c>
      <c r="M230" t="n">
        <v>-6.759926185702048</v>
      </c>
      <c r="N230" t="n">
        <v>0</v>
      </c>
      <c r="O230" t="n">
        <v>-6.759926185702048</v>
      </c>
      <c r="P230" t="inlineStr"/>
      <c r="Q230" t="inlineStr"/>
      <c r="R230" t="n">
        <v>1539212000000</v>
      </c>
    </row>
    <row r="231">
      <c r="A231" t="inlineStr">
        <is>
          <t>South Korea</t>
        </is>
      </c>
      <c r="B231" t="inlineStr">
        <is>
          <t>KOR</t>
        </is>
      </c>
      <c r="C231" t="inlineStr">
        <is>
          <t>CSKR.L</t>
        </is>
      </c>
      <c r="D231" t="n">
        <v>2016</v>
      </c>
      <c r="E231" t="n">
        <v>14.8122080055201</v>
      </c>
      <c r="F231" t="n">
        <v>3.172</v>
      </c>
      <c r="G231" t="n">
        <v>5.299389</v>
      </c>
      <c r="H231" t="n">
        <v>2.573005</v>
      </c>
      <c r="I231" t="n">
        <v>-12.2392030055201</v>
      </c>
      <c r="J231" t="inlineStr">
        <is>
          <t>South Korea|CSKR.L|2016</t>
        </is>
      </c>
      <c r="K231" t="inlineStr">
        <is>
          <t>South Korea|2016</t>
        </is>
      </c>
      <c r="L231" t="inlineStr">
        <is>
          <t>USD</t>
        </is>
      </c>
      <c r="M231" t="n">
        <v>14.8122080055201</v>
      </c>
      <c r="N231" t="n">
        <v>0</v>
      </c>
      <c r="O231" t="n">
        <v>14.8122080055201</v>
      </c>
      <c r="P231" t="n">
        <v>2.65799425730131</v>
      </c>
      <c r="Q231" t="n">
        <v>11.8395199868756</v>
      </c>
      <c r="R231" t="n">
        <v>1578816000000</v>
      </c>
    </row>
    <row r="232">
      <c r="A232" t="inlineStr">
        <is>
          <t>South Korea</t>
        </is>
      </c>
      <c r="B232" t="inlineStr">
        <is>
          <t>KOR</t>
        </is>
      </c>
      <c r="C232" t="inlineStr">
        <is>
          <t>CSKR.L</t>
        </is>
      </c>
      <c r="D232" t="n">
        <v>2017</v>
      </c>
      <c r="E232" t="n">
        <v>41.917579631142</v>
      </c>
      <c r="F232" t="n">
        <v>3.433</v>
      </c>
      <c r="G232" t="n">
        <v>5.521328</v>
      </c>
      <c r="H232" t="n">
        <v>8.321489</v>
      </c>
      <c r="I232" t="n">
        <v>-33.596090631142</v>
      </c>
      <c r="J232" t="inlineStr">
        <is>
          <t>South Korea|CSKR.L|2017</t>
        </is>
      </c>
      <c r="K232" t="inlineStr">
        <is>
          <t>South Korea|2017</t>
        </is>
      </c>
      <c r="L232" t="inlineStr">
        <is>
          <t>USD</t>
        </is>
      </c>
      <c r="M232" t="n">
        <v>41.917579631142</v>
      </c>
      <c r="N232" t="n">
        <v>0</v>
      </c>
      <c r="O232" t="n">
        <v>41.917579631142</v>
      </c>
      <c r="P232" t="n">
        <v>-2.585046913757294</v>
      </c>
      <c r="Q232" t="n">
        <v>45.68356821513895</v>
      </c>
      <c r="R232" t="n">
        <v>1710197000000</v>
      </c>
    </row>
    <row r="233">
      <c r="A233" t="inlineStr">
        <is>
          <t>South Korea</t>
        </is>
      </c>
      <c r="B233" t="inlineStr">
        <is>
          <t>KOR</t>
        </is>
      </c>
      <c r="C233" t="inlineStr">
        <is>
          <t>CSKR.L</t>
        </is>
      </c>
      <c r="D233" t="n">
        <v>2018</v>
      </c>
      <c r="E233" t="n">
        <v>-21.61225548234764</v>
      </c>
      <c r="F233" t="n">
        <v>3.176</v>
      </c>
      <c r="G233" t="n">
        <v>3.760698</v>
      </c>
      <c r="H233" t="n">
        <v>6.669056</v>
      </c>
      <c r="I233" t="n">
        <v>28.28131148234764</v>
      </c>
      <c r="J233" t="inlineStr">
        <is>
          <t>South Korea|CSKR.L|2018</t>
        </is>
      </c>
      <c r="K233" t="inlineStr">
        <is>
          <t>South Korea|2018</t>
        </is>
      </c>
      <c r="L233" t="inlineStr">
        <is>
          <t>USD</t>
        </is>
      </c>
      <c r="M233" t="n">
        <v>-21.61225548234764</v>
      </c>
      <c r="N233" t="n">
        <v>0</v>
      </c>
      <c r="O233" t="n">
        <v>-21.61225548234764</v>
      </c>
      <c r="P233" t="n">
        <v>-2.726524569703193</v>
      </c>
      <c r="Q233" t="n">
        <v>-19.41508805879706</v>
      </c>
      <c r="R233" t="n">
        <v>1824251000000</v>
      </c>
    </row>
    <row r="234">
      <c r="A234" t="inlineStr">
        <is>
          <t>South Korea</t>
        </is>
      </c>
      <c r="B234" t="inlineStr">
        <is>
          <t>KOR</t>
        </is>
      </c>
      <c r="C234" t="inlineStr">
        <is>
          <t>CSKR.L</t>
        </is>
      </c>
      <c r="D234" t="n">
        <v>2019</v>
      </c>
      <c r="E234" t="n">
        <v>12.91555933075797</v>
      </c>
      <c r="F234" t="n">
        <v>2.314</v>
      </c>
      <c r="G234" t="n">
        <v>1.675143</v>
      </c>
      <c r="H234" t="n">
        <v>-4.01288</v>
      </c>
      <c r="I234" t="n">
        <v>-16.92843933075796</v>
      </c>
      <c r="J234" t="inlineStr">
        <is>
          <t>South Korea|CSKR.L|2019</t>
        </is>
      </c>
      <c r="K234" t="inlineStr">
        <is>
          <t>South Korea|2019</t>
        </is>
      </c>
      <c r="L234" t="inlineStr">
        <is>
          <t>USD</t>
        </is>
      </c>
      <c r="M234" t="n">
        <v>12.91555933075797</v>
      </c>
      <c r="N234" t="n">
        <v>0</v>
      </c>
      <c r="O234" t="n">
        <v>12.91555933075797</v>
      </c>
      <c r="P234" t="n">
        <v>5.925819076521344</v>
      </c>
      <c r="Q234" t="n">
        <v>6.598712490660286</v>
      </c>
      <c r="R234" t="n">
        <v>1751046000000</v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n">
        <v>2020</v>
      </c>
      <c r="E235" t="n">
        <v>44.82757939238946</v>
      </c>
      <c r="F235" t="n">
        <v>-0.7</v>
      </c>
      <c r="G235" t="n">
        <v>0.875833</v>
      </c>
      <c r="H235" t="n">
        <v>-0.376404</v>
      </c>
      <c r="I235" t="n">
        <v>-45.20398339238946</v>
      </c>
      <c r="J235" t="inlineStr">
        <is>
          <t>South Korea|CSKR.L|2020</t>
        </is>
      </c>
      <c r="K235" t="inlineStr">
        <is>
          <t>South Korea|2020</t>
        </is>
      </c>
      <c r="L235" t="inlineStr">
        <is>
          <t>USD</t>
        </is>
      </c>
      <c r="M235" t="n">
        <v>44.82757939238946</v>
      </c>
      <c r="N235" t="n">
        <v>0</v>
      </c>
      <c r="O235" t="n">
        <v>44.82757939238946</v>
      </c>
      <c r="P235" t="n">
        <v>1.256967946606102</v>
      </c>
      <c r="Q235" t="n">
        <v>43.02974138901592</v>
      </c>
      <c r="R235" t="n">
        <v>1744455000000</v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n">
        <v>2021</v>
      </c>
      <c r="E236" t="n">
        <v>-10.42339775059745</v>
      </c>
      <c r="F236" t="n">
        <v>4.613</v>
      </c>
      <c r="G236" t="n">
        <v>7.940202</v>
      </c>
      <c r="H236" t="n">
        <v>11.342167</v>
      </c>
      <c r="I236" t="n">
        <v>21.76556475059745</v>
      </c>
      <c r="J236" t="inlineStr">
        <is>
          <t>South Korea|CSKR.L|2021</t>
        </is>
      </c>
      <c r="K236" t="inlineStr">
        <is>
          <t>South Korea|2021</t>
        </is>
      </c>
      <c r="L236" t="inlineStr">
        <is>
          <t>USD</t>
        </is>
      </c>
      <c r="M236" t="n">
        <v>-10.42339775059745</v>
      </c>
      <c r="N236" t="n">
        <v>0</v>
      </c>
      <c r="O236" t="n">
        <v>-10.42339775059745</v>
      </c>
      <c r="P236" t="n">
        <v>-3.055414710363935</v>
      </c>
      <c r="Q236" t="n">
        <v>-7.600200690137148</v>
      </c>
      <c r="R236" t="n">
        <v>1942314000000</v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n">
        <v>2022</v>
      </c>
      <c r="E237" t="n">
        <v>-27.74138051300801</v>
      </c>
      <c r="F237" t="n">
        <v>2.728</v>
      </c>
      <c r="G237" t="n">
        <v>4.58473</v>
      </c>
      <c r="H237" t="n">
        <v>-7.35983</v>
      </c>
      <c r="I237" t="n">
        <v>20.38155051300801</v>
      </c>
      <c r="J237" t="inlineStr">
        <is>
          <t>South Korea|CSKR.L|2022</t>
        </is>
      </c>
      <c r="K237" t="inlineStr">
        <is>
          <t>South Korea|2022</t>
        </is>
      </c>
      <c r="L237" t="inlineStr">
        <is>
          <t>USD</t>
        </is>
      </c>
      <c r="M237" t="n">
        <v>-27.74138051300801</v>
      </c>
      <c r="N237" t="n">
        <v>0</v>
      </c>
      <c r="O237" t="n">
        <v>-27.74138051300801</v>
      </c>
      <c r="P237" t="n">
        <v>12.89349876987922</v>
      </c>
      <c r="Q237" t="n">
        <v>-35.99399409678753</v>
      </c>
      <c r="R237" t="n">
        <v>1799363000000</v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n">
        <v>2023</v>
      </c>
      <c r="E238" t="n">
        <v>23.02142835005658</v>
      </c>
      <c r="F238" t="n">
        <v>1.583</v>
      </c>
      <c r="G238" t="n">
        <v>3.653773</v>
      </c>
      <c r="H238" t="n">
        <v>2.525227</v>
      </c>
      <c r="I238" t="n">
        <v>-20.49620135005658</v>
      </c>
      <c r="J238" t="inlineStr">
        <is>
          <t>South Korea|CSKR.L|2023</t>
        </is>
      </c>
      <c r="K238" t="inlineStr">
        <is>
          <t>South Korea|2023</t>
        </is>
      </c>
      <c r="L238" t="inlineStr">
        <is>
          <t>USD</t>
        </is>
      </c>
      <c r="M238" t="n">
        <v>23.02142835005658</v>
      </c>
      <c r="N238" t="n">
        <v>0</v>
      </c>
      <c r="O238" t="n">
        <v>23.02142835005658</v>
      </c>
      <c r="P238" t="n">
        <v>1.10074939477629</v>
      </c>
      <c r="Q238" t="n">
        <v>21.68201431394425</v>
      </c>
      <c r="R238" t="n">
        <v>1844801000000</v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n">
        <v>2024</v>
      </c>
      <c r="E239" t="n">
        <v>-21.70154358359101</v>
      </c>
      <c r="F239" t="n">
        <v>2.004</v>
      </c>
      <c r="G239" t="n">
        <v>6.151488</v>
      </c>
      <c r="H239" t="n">
        <v>1.658011</v>
      </c>
      <c r="I239" t="n">
        <v>23.35955458359101</v>
      </c>
      <c r="J239" t="inlineStr">
        <is>
          <t>South Korea|CSKR.L|2024</t>
        </is>
      </c>
      <c r="K239" t="inlineStr">
        <is>
          <t>South Korea|2024</t>
        </is>
      </c>
      <c r="L239" t="inlineStr">
        <is>
          <t>USD</t>
        </is>
      </c>
      <c r="M239" t="n">
        <v>-21.70154358359101</v>
      </c>
      <c r="N239" t="n">
        <v>0</v>
      </c>
      <c r="O239" t="n">
        <v>-21.70154358359101</v>
      </c>
      <c r="P239" t="n">
        <v>4.42018954550818</v>
      </c>
      <c r="Q239" t="n">
        <v>-25.01597942198225</v>
      </c>
      <c r="R239" t="n">
        <v>1875388000000</v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n">
        <v>2025</v>
      </c>
      <c r="E240" t="n">
        <v>99.25350103748991</v>
      </c>
      <c r="F240" t="n">
        <v>0.896</v>
      </c>
      <c r="G240" t="n">
        <v>2.117764</v>
      </c>
      <c r="H240" t="n">
        <v>-0.896668</v>
      </c>
      <c r="I240" t="n">
        <v>-100.1501690374899</v>
      </c>
      <c r="J240" t="inlineStr">
        <is>
          <t>South Korea|CSKR.L|2025</t>
        </is>
      </c>
      <c r="K240" t="inlineStr">
        <is>
          <t>South Korea|2025</t>
        </is>
      </c>
      <c r="L240" t="inlineStr">
        <is>
          <t>USD</t>
        </is>
      </c>
      <c r="M240" t="n">
        <v>99.25350103748991</v>
      </c>
      <c r="N240" t="n">
        <v>0</v>
      </c>
      <c r="O240" t="n">
        <v>99.25350103748991</v>
      </c>
      <c r="P240" t="n">
        <v>3.041705559677754</v>
      </c>
      <c r="Q240" t="n">
        <v>93.37170319069497</v>
      </c>
      <c r="R240" t="n">
        <v>1858572000000</v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n">
        <v>2026</v>
      </c>
      <c r="E241" t="n">
        <v>24.19627262130037</v>
      </c>
      <c r="F241" t="n">
        <v>1.83</v>
      </c>
      <c r="G241" t="n">
        <v>2.120058</v>
      </c>
      <c r="H241" t="n">
        <v>4.199192</v>
      </c>
      <c r="I241" t="n">
        <v>-19.99708062130037</v>
      </c>
      <c r="J241" t="inlineStr">
        <is>
          <t>South Korea|CSKR.L|2026</t>
        </is>
      </c>
      <c r="K241" t="inlineStr">
        <is>
          <t>South Korea|2026</t>
        </is>
      </c>
      <c r="L241" t="inlineStr">
        <is>
          <t>USD</t>
        </is>
      </c>
      <c r="M241" t="n">
        <v>24.19627262130037</v>
      </c>
      <c r="N241" t="n">
        <v>0</v>
      </c>
      <c r="O241" t="n">
        <v>24.19627262130037</v>
      </c>
      <c r="P241" t="n">
        <v>-1.995345563749185</v>
      </c>
      <c r="Q241" t="n">
        <v>26.72487172748152</v>
      </c>
      <c r="R241" t="n">
        <v>1936617000000</v>
      </c>
    </row>
    <row r="242">
      <c r="A242" t="inlineStr">
        <is>
          <t>Switzerland</t>
        </is>
      </c>
      <c r="B242" t="inlineStr">
        <is>
          <t>CHE</t>
        </is>
      </c>
      <c r="C242" t="inlineStr">
        <is>
          <t>CSW.PA</t>
        </is>
      </c>
      <c r="D242" t="n">
        <v>2015</v>
      </c>
      <c r="E242" t="n">
        <v>12.2367174594572</v>
      </c>
      <c r="F242" t="n">
        <v>1.571</v>
      </c>
      <c r="G242" t="inlineStr"/>
      <c r="H242" t="inlineStr"/>
      <c r="I242" t="inlineStr"/>
      <c r="J242" t="inlineStr">
        <is>
          <t>Switzerland|CSW.PA|2015</t>
        </is>
      </c>
      <c r="K242" t="inlineStr">
        <is>
          <t>Switzerland|2015</t>
        </is>
      </c>
      <c r="L242" t="inlineStr">
        <is>
          <t>EUR</t>
        </is>
      </c>
      <c r="M242" t="n">
        <v>12.2367174594572</v>
      </c>
      <c r="N242" t="n">
        <v>-9.626275918027915</v>
      </c>
      <c r="O242" t="n">
        <v>1.432501355472438</v>
      </c>
      <c r="P242" t="inlineStr"/>
      <c r="Q242" t="inlineStr"/>
      <c r="R242" t="n">
        <v>693814000000</v>
      </c>
    </row>
    <row r="243">
      <c r="A243" t="inlineStr">
        <is>
          <t>Switzerland</t>
        </is>
      </c>
      <c r="B243" t="inlineStr">
        <is>
          <t>CHE</t>
        </is>
      </c>
      <c r="C243" t="inlineStr">
        <is>
          <t>CSW.PA</t>
        </is>
      </c>
      <c r="D243" t="n">
        <v>2016</v>
      </c>
      <c r="E243" t="n">
        <v>-0.542205832713305</v>
      </c>
      <c r="F243" t="n">
        <v>2.098</v>
      </c>
      <c r="G243" t="n">
        <v>1.498696</v>
      </c>
      <c r="H243" t="n">
        <v>-0.871703</v>
      </c>
      <c r="I243" t="n">
        <v>2.269483033914789</v>
      </c>
      <c r="J243" t="inlineStr">
        <is>
          <t>Switzerland|CSW.PA|2016</t>
        </is>
      </c>
      <c r="K243" t="inlineStr">
        <is>
          <t>Switzerland|2016</t>
        </is>
      </c>
      <c r="L243" t="inlineStr">
        <is>
          <t>EUR</t>
        </is>
      </c>
      <c r="M243" t="n">
        <v>-0.542205832713305</v>
      </c>
      <c r="N243" t="n">
        <v>-2.613148846665581</v>
      </c>
      <c r="O243" t="n">
        <v>-3.141186033914789</v>
      </c>
      <c r="P243" t="n">
        <v>2.39124346629016</v>
      </c>
      <c r="Q243" t="n">
        <v>-5.403225229925413</v>
      </c>
      <c r="R243" t="n">
        <v>687766000000</v>
      </c>
    </row>
    <row r="244">
      <c r="A244" t="inlineStr">
        <is>
          <t>Switzerland</t>
        </is>
      </c>
      <c r="B244" t="inlineStr">
        <is>
          <t>CHE</t>
        </is>
      </c>
      <c r="C244" t="inlineStr">
        <is>
          <t>CSW.PA</t>
        </is>
      </c>
      <c r="D244" t="n">
        <v>2017</v>
      </c>
      <c r="E244" t="n">
        <v>7.275124516117559</v>
      </c>
      <c r="F244" t="n">
        <v>1.428</v>
      </c>
      <c r="G244" t="n">
        <v>1.053383</v>
      </c>
      <c r="H244" t="n">
        <v>1.125528</v>
      </c>
      <c r="I244" t="n">
        <v>-20.56653282224495</v>
      </c>
      <c r="J244" t="inlineStr">
        <is>
          <t>Switzerland|CSW.PA|2017</t>
        </is>
      </c>
      <c r="K244" t="inlineStr">
        <is>
          <t>Switzerland|2017</t>
        </is>
      </c>
      <c r="L244" t="inlineStr">
        <is>
          <t>EUR</t>
        </is>
      </c>
      <c r="M244" t="n">
        <v>7.275124516117559</v>
      </c>
      <c r="N244" t="n">
        <v>13.43921656689508</v>
      </c>
      <c r="O244" t="n">
        <v>21.69206082224495</v>
      </c>
      <c r="P244" t="n">
        <v>-0.07134186213272331</v>
      </c>
      <c r="Q244" t="n">
        <v>21.77894018585904</v>
      </c>
      <c r="R244" t="n">
        <v>695507000000</v>
      </c>
    </row>
    <row r="245">
      <c r="A245" t="inlineStr">
        <is>
          <t>Switzerland</t>
        </is>
      </c>
      <c r="B245" t="inlineStr">
        <is>
          <t>CHE</t>
        </is>
      </c>
      <c r="C245" t="inlineStr">
        <is>
          <t>CSW.PA</t>
        </is>
      </c>
      <c r="D245" t="n">
        <v>2018</v>
      </c>
      <c r="E245" t="n">
        <v>-97.5981169447611</v>
      </c>
      <c r="F245" t="n">
        <v>2.862</v>
      </c>
      <c r="G245" t="n">
        <v>3.647461</v>
      </c>
      <c r="H245" t="n">
        <v>4.368324</v>
      </c>
      <c r="I245" t="n">
        <v>102.0794831632307</v>
      </c>
      <c r="J245" t="inlineStr">
        <is>
          <t>Switzerland|CSW.PA|2018</t>
        </is>
      </c>
      <c r="K245" t="inlineStr">
        <is>
          <t>Switzerland|2018</t>
        </is>
      </c>
      <c r="L245" t="inlineStr">
        <is>
          <t>EUR</t>
        </is>
      </c>
      <c r="M245" t="n">
        <v>-97.5981169447611</v>
      </c>
      <c r="N245" t="n">
        <v>-4.706399765095581</v>
      </c>
      <c r="O245" t="n">
        <v>-97.71115916323075</v>
      </c>
      <c r="P245" t="n">
        <v>-0.6906916689970899</v>
      </c>
      <c r="Q245" t="n">
        <v>-97.69524038054878</v>
      </c>
      <c r="R245" t="n">
        <v>725889000000</v>
      </c>
    </row>
    <row r="246">
      <c r="A246" t="inlineStr">
        <is>
          <t>Switzerland</t>
        </is>
      </c>
      <c r="B246" t="inlineStr">
        <is>
          <t>CHE</t>
        </is>
      </c>
      <c r="C246" t="inlineStr">
        <is>
          <t>CSW.PA</t>
        </is>
      </c>
      <c r="D246" t="n">
        <v>2019</v>
      </c>
      <c r="E246" t="n">
        <v>34.55942289211569</v>
      </c>
      <c r="F246" t="n">
        <v>1.163</v>
      </c>
      <c r="G246" t="n">
        <v>1.058548</v>
      </c>
      <c r="H246" t="n">
        <v>-0.550084</v>
      </c>
      <c r="I246" t="n">
        <v>-31.70524210937144</v>
      </c>
      <c r="J246" t="inlineStr">
        <is>
          <t>Switzerland|CSW.PA|2019</t>
        </is>
      </c>
      <c r="K246" t="inlineStr">
        <is>
          <t>Switzerland|2019</t>
        </is>
      </c>
      <c r="L246" t="inlineStr">
        <is>
          <t>EUR</t>
        </is>
      </c>
      <c r="M246" t="n">
        <v>34.55942289211569</v>
      </c>
      <c r="N246" t="n">
        <v>-2.529934143277091</v>
      </c>
      <c r="O246" t="n">
        <v>31.15515810937144</v>
      </c>
      <c r="P246" t="n">
        <v>1.617530286019386</v>
      </c>
      <c r="Q246" t="n">
        <v>29.06745296821671</v>
      </c>
      <c r="R246" t="n">
        <v>721896000000</v>
      </c>
    </row>
    <row r="247">
      <c r="A247" t="inlineStr">
        <is>
          <t>Switzerland</t>
        </is>
      </c>
      <c r="B247" t="inlineStr">
        <is>
          <t>CHE</t>
        </is>
      </c>
      <c r="C247" t="inlineStr">
        <is>
          <t>CSW.PA</t>
        </is>
      </c>
      <c r="D247" t="n">
        <v>2020</v>
      </c>
      <c r="E247" t="n">
        <v>0.6237905206050387</v>
      </c>
      <c r="F247" t="n">
        <v>-2.293</v>
      </c>
      <c r="G247" t="n">
        <v>-2.970639</v>
      </c>
      <c r="H247" t="n">
        <v>2.68626</v>
      </c>
      <c r="I247" t="n">
        <v>-7.614195292459443</v>
      </c>
      <c r="J247" t="inlineStr">
        <is>
          <t>Switzerland|CSW.PA|2020</t>
        </is>
      </c>
      <c r="K247" t="inlineStr">
        <is>
          <t>Switzerland|2020</t>
        </is>
      </c>
      <c r="L247" t="inlineStr">
        <is>
          <t>EUR</t>
        </is>
      </c>
      <c r="M247" t="n">
        <v>0.6237905206050387</v>
      </c>
      <c r="N247" t="n">
        <v>9.616676853246631</v>
      </c>
      <c r="O247" t="n">
        <v>10.30045529245944</v>
      </c>
      <c r="P247" t="n">
        <v>-5.508915082665967</v>
      </c>
      <c r="Q247" t="n">
        <v>16.73107086129482</v>
      </c>
      <c r="R247" t="n">
        <v>741288000000</v>
      </c>
    </row>
    <row r="248">
      <c r="A248" t="inlineStr">
        <is>
          <t>Switzerland</t>
        </is>
      </c>
      <c r="B248" t="inlineStr">
        <is>
          <t>CHE</t>
        </is>
      </c>
      <c r="C248" t="inlineStr">
        <is>
          <t>CSW.PA</t>
        </is>
      </c>
      <c r="D248" t="n">
        <v>2021</v>
      </c>
      <c r="E248" t="n">
        <v>27.92607924655868</v>
      </c>
      <c r="F248" t="n">
        <v>5.573</v>
      </c>
      <c r="G248" t="n">
        <v>6.962635</v>
      </c>
      <c r="H248" t="n">
        <v>9.902763999999999</v>
      </c>
      <c r="I248" t="n">
        <v>-9.040951452723553</v>
      </c>
      <c r="J248" t="inlineStr">
        <is>
          <t>Switzerland|CSW.PA|2021</t>
        </is>
      </c>
      <c r="K248" t="inlineStr">
        <is>
          <t>Switzerland|2021</t>
        </is>
      </c>
      <c r="L248" t="inlineStr">
        <is>
          <t>EUR</t>
        </is>
      </c>
      <c r="M248" t="n">
        <v>27.92607924655868</v>
      </c>
      <c r="N248" t="n">
        <v>-7.021526686925927</v>
      </c>
      <c r="O248" t="n">
        <v>18.94371545272355</v>
      </c>
      <c r="P248" t="n">
        <v>-2.675209602841577</v>
      </c>
      <c r="Q248" t="n">
        <v>22.2131740200453</v>
      </c>
      <c r="R248" t="n">
        <v>814696000000</v>
      </c>
    </row>
    <row r="249">
      <c r="A249" t="inlineStr">
        <is>
          <t>Switzerland</t>
        </is>
      </c>
      <c r="B249" t="inlineStr">
        <is>
          <t>CHE</t>
        </is>
      </c>
      <c r="C249" t="inlineStr">
        <is>
          <t>CSW.PA</t>
        </is>
      </c>
      <c r="D249" t="n">
        <v>2022</v>
      </c>
      <c r="E249" t="n">
        <v>-13.63958999324812</v>
      </c>
      <c r="F249" t="n">
        <v>3.124</v>
      </c>
      <c r="G249" t="n">
        <v>6.257026</v>
      </c>
      <c r="H249" t="n">
        <v>1.69597</v>
      </c>
      <c r="I249" t="n">
        <v>20.74724424225694</v>
      </c>
      <c r="J249" t="inlineStr">
        <is>
          <t>Switzerland|CSW.PA|2022</t>
        </is>
      </c>
      <c r="K249" t="inlineStr">
        <is>
          <t>Switzerland|2022</t>
        </is>
      </c>
      <c r="L249" t="inlineStr">
        <is>
          <t>EUR</t>
        </is>
      </c>
      <c r="M249" t="n">
        <v>-13.63958999324812</v>
      </c>
      <c r="N249" t="n">
        <v>-6.266394808206355</v>
      </c>
      <c r="O249" t="n">
        <v>-19.05127424225694</v>
      </c>
      <c r="P249" t="n">
        <v>4.484992305887436</v>
      </c>
      <c r="Q249" t="n">
        <v>-22.52597816080634</v>
      </c>
      <c r="R249" t="n">
        <v>828513000000</v>
      </c>
    </row>
    <row r="250">
      <c r="A250" t="inlineStr">
        <is>
          <t>Switzerland</t>
        </is>
      </c>
      <c r="B250" t="inlineStr">
        <is>
          <t>CHE</t>
        </is>
      </c>
      <c r="C250" t="inlineStr">
        <is>
          <t>CSW.PA</t>
        </is>
      </c>
      <c r="D250" t="n">
        <v>2023</v>
      </c>
      <c r="E250" t="n">
        <v>9.945783137920582</v>
      </c>
      <c r="F250" t="n">
        <v>0.737</v>
      </c>
      <c r="G250" t="n">
        <v>1.629522</v>
      </c>
      <c r="H250" t="n">
        <v>8.00253</v>
      </c>
      <c r="I250" t="n">
        <v>-5.623166931817654</v>
      </c>
      <c r="J250" t="inlineStr">
        <is>
          <t>Switzerland|CSW.PA|2023</t>
        </is>
      </c>
      <c r="K250" t="inlineStr">
        <is>
          <t>Switzerland|2023</t>
        </is>
      </c>
      <c r="L250" t="inlineStr">
        <is>
          <t>EUR</t>
        </is>
      </c>
      <c r="M250" t="n">
        <v>9.945783137920582</v>
      </c>
      <c r="N250" t="n">
        <v>3.347025860264985</v>
      </c>
      <c r="O250" t="n">
        <v>13.62569693181765</v>
      </c>
      <c r="P250" t="n">
        <v>-5.900795177363993</v>
      </c>
      <c r="Q250" t="n">
        <v>20.75096399165794</v>
      </c>
      <c r="R250" t="n">
        <v>894815000000</v>
      </c>
    </row>
    <row r="251">
      <c r="A251" t="inlineStr">
        <is>
          <t>Switzerland</t>
        </is>
      </c>
      <c r="B251" t="inlineStr">
        <is>
          <t>CHE</t>
        </is>
      </c>
      <c r="C251" t="inlineStr">
        <is>
          <t>CSW.PA</t>
        </is>
      </c>
      <c r="D251" t="n">
        <v>2024</v>
      </c>
      <c r="E251" t="n">
        <v>3.663137597502431</v>
      </c>
      <c r="F251" t="n">
        <v>1.363</v>
      </c>
      <c r="G251" t="n">
        <v>2.737126</v>
      </c>
      <c r="H251" t="n">
        <v>4.843236</v>
      </c>
      <c r="I251" t="n">
        <v>7.271712072094821</v>
      </c>
      <c r="J251" t="inlineStr">
        <is>
          <t>Switzerland|CSW.PA|2024</t>
        </is>
      </c>
      <c r="K251" t="inlineStr">
        <is>
          <t>Switzerland|2024</t>
        </is>
      </c>
      <c r="L251" t="inlineStr">
        <is>
          <t>EUR</t>
        </is>
      </c>
      <c r="M251" t="n">
        <v>3.663137597502431</v>
      </c>
      <c r="N251" t="n">
        <v>-5.876354710822507</v>
      </c>
      <c r="O251" t="n">
        <v>-2.428476072094821</v>
      </c>
      <c r="P251" t="n">
        <v>-2.008818005249624</v>
      </c>
      <c r="Q251" t="n">
        <v>-0.4282610519665719</v>
      </c>
      <c r="R251" t="n">
        <v>938153000000</v>
      </c>
    </row>
    <row r="252">
      <c r="A252" t="inlineStr">
        <is>
          <t>Switzerland</t>
        </is>
      </c>
      <c r="B252" t="inlineStr">
        <is>
          <t>CHE</t>
        </is>
      </c>
      <c r="C252" t="inlineStr">
        <is>
          <t>CSW.PA</t>
        </is>
      </c>
      <c r="D252" t="n">
        <v>2025</v>
      </c>
      <c r="E252" t="n">
        <v>15.9135972759421</v>
      </c>
      <c r="F252" t="n">
        <v>0.946</v>
      </c>
      <c r="G252" t="n">
        <v>1.031492</v>
      </c>
      <c r="H252" t="n">
        <v>6.876597</v>
      </c>
      <c r="I252" t="n">
        <v>-24.6621639207751</v>
      </c>
      <c r="J252" t="inlineStr">
        <is>
          <t>Switzerland|CSW.PA|2025</t>
        </is>
      </c>
      <c r="K252" t="inlineStr">
        <is>
          <t>Switzerland|2025</t>
        </is>
      </c>
      <c r="L252" t="inlineStr">
        <is>
          <t>EUR</t>
        </is>
      </c>
      <c r="M252" t="n">
        <v>15.9135972759421</v>
      </c>
      <c r="N252" t="n">
        <v>13.48000925865149</v>
      </c>
      <c r="O252" t="n">
        <v>31.5387609207751</v>
      </c>
      <c r="P252" t="n">
        <v>-5.46902228831353</v>
      </c>
      <c r="Q252" t="n">
        <v>39.14884210968393</v>
      </c>
      <c r="R252" t="n">
        <v>1002666000000</v>
      </c>
    </row>
    <row r="253">
      <c r="A253" t="inlineStr">
        <is>
          <t>Switzerland</t>
        </is>
      </c>
      <c r="B253" t="inlineStr">
        <is>
          <t>CHE</t>
        </is>
      </c>
      <c r="C253" t="inlineStr">
        <is>
          <t>CSW.PA</t>
        </is>
      </c>
      <c r="D253" t="n">
        <v>2026</v>
      </c>
      <c r="E253" t="n">
        <v>1.509318483450728</v>
      </c>
      <c r="F253" t="n">
        <v>1.275</v>
      </c>
      <c r="G253" t="n">
        <v>1.903517</v>
      </c>
      <c r="H253" t="n">
        <v>7.173077</v>
      </c>
      <c r="I253" t="n">
        <v>7.314712811664287</v>
      </c>
      <c r="J253" t="inlineStr">
        <is>
          <t>Switzerland|CSW.PA|2026</t>
        </is>
      </c>
      <c r="K253" t="inlineStr">
        <is>
          <t>Switzerland|2026</t>
        </is>
      </c>
      <c r="L253" t="inlineStr">
        <is>
          <t>EUR</t>
        </is>
      </c>
      <c r="M253" t="n">
        <v>1.509318483450728</v>
      </c>
      <c r="N253" t="n">
        <v>-1.626406639095079</v>
      </c>
      <c r="O253" t="n">
        <v>-0.1416358116642868</v>
      </c>
      <c r="P253" t="n">
        <v>-4.916868996758805</v>
      </c>
      <c r="Q253" t="n">
        <v>5.022166534389516</v>
      </c>
      <c r="R253" t="n">
        <v>1074588000000</v>
      </c>
    </row>
    <row r="254">
      <c r="A254" t="inlineStr">
        <is>
          <t>Switzerland</t>
        </is>
      </c>
      <c r="B254" t="inlineStr">
        <is>
          <t>CHE</t>
        </is>
      </c>
      <c r="C254" t="inlineStr">
        <is>
          <t>CSWG.L</t>
        </is>
      </c>
      <c r="D254" t="n">
        <v>2015</v>
      </c>
      <c r="E254" t="n">
        <v>0.9078539495379845</v>
      </c>
      <c r="F254" t="n">
        <v>1.571</v>
      </c>
      <c r="G254" t="inlineStr"/>
      <c r="H254" t="inlineStr"/>
      <c r="I254" t="inlineStr"/>
      <c r="J254" t="inlineStr">
        <is>
          <t>Switzerland|CSWG.L|2015</t>
        </is>
      </c>
      <c r="K254" t="inlineStr">
        <is>
          <t>Switzerland|2015</t>
        </is>
      </c>
      <c r="L254" t="inlineStr">
        <is>
          <t>GBp</t>
        </is>
      </c>
      <c r="M254" t="n">
        <v>0.9078539495379845</v>
      </c>
      <c r="N254" t="n">
        <v>-4.888855870697362</v>
      </c>
      <c r="O254" t="n">
        <v>-4.025385592268726</v>
      </c>
      <c r="P254" t="inlineStr"/>
      <c r="Q254" t="inlineStr"/>
      <c r="R254" t="n">
        <v>693814000000</v>
      </c>
    </row>
    <row r="255">
      <c r="A255" t="inlineStr">
        <is>
          <t>Switzerland</t>
        </is>
      </c>
      <c r="B255" t="inlineStr">
        <is>
          <t>CHE</t>
        </is>
      </c>
      <c r="C255" t="inlineStr">
        <is>
          <t>CSWG.L</t>
        </is>
      </c>
      <c r="D255" t="n">
        <v>2016</v>
      </c>
      <c r="E255" t="n">
        <v>-1.837844670956446</v>
      </c>
      <c r="F255" t="n">
        <v>2.098</v>
      </c>
      <c r="G255" t="n">
        <v>1.498696</v>
      </c>
      <c r="H255" t="n">
        <v>-0.871703</v>
      </c>
      <c r="I255" t="n">
        <v>17.28629558148912</v>
      </c>
      <c r="J255" t="inlineStr">
        <is>
          <t>Switzerland|CSWG.L|2016</t>
        </is>
      </c>
      <c r="K255" t="inlineStr">
        <is>
          <t>Switzerland|2016</t>
        </is>
      </c>
      <c r="L255" t="inlineStr">
        <is>
          <t>GBp</t>
        </is>
      </c>
      <c r="M255" t="n">
        <v>-1.837844670956446</v>
      </c>
      <c r="N255" t="n">
        <v>-16.62570861023462</v>
      </c>
      <c r="O255" t="n">
        <v>-18.15799858148912</v>
      </c>
      <c r="P255" t="n">
        <v>2.39124346629016</v>
      </c>
      <c r="Q255" t="n">
        <v>-20.06933537685244</v>
      </c>
      <c r="R255" t="n">
        <v>687766000000</v>
      </c>
    </row>
    <row r="256">
      <c r="A256" t="inlineStr">
        <is>
          <t>Switzerland</t>
        </is>
      </c>
      <c r="B256" t="inlineStr">
        <is>
          <t>CHE</t>
        </is>
      </c>
      <c r="C256" t="inlineStr">
        <is>
          <t>CSWG.L</t>
        </is>
      </c>
      <c r="D256" t="n">
        <v>2017</v>
      </c>
      <c r="E256" t="n">
        <v>15.85573149956643</v>
      </c>
      <c r="F256" t="n">
        <v>1.428</v>
      </c>
      <c r="G256" t="n">
        <v>1.053383</v>
      </c>
      <c r="H256" t="n">
        <v>1.125528</v>
      </c>
      <c r="I256" t="n">
        <v>-24.97345832460348</v>
      </c>
      <c r="J256" t="inlineStr">
        <is>
          <t>Switzerland|CSWG.L|2017</t>
        </is>
      </c>
      <c r="K256" t="inlineStr">
        <is>
          <t>Switzerland|2017</t>
        </is>
      </c>
      <c r="L256" t="inlineStr">
        <is>
          <t>GBp</t>
        </is>
      </c>
      <c r="M256" t="n">
        <v>15.85573149956643</v>
      </c>
      <c r="N256" t="n">
        <v>8.841388071573641</v>
      </c>
      <c r="O256" t="n">
        <v>26.09898632460348</v>
      </c>
      <c r="P256" t="n">
        <v>-0.07134186213272331</v>
      </c>
      <c r="Q256" t="n">
        <v>26.18901191551089</v>
      </c>
      <c r="R256" t="n">
        <v>695507000000</v>
      </c>
    </row>
    <row r="257">
      <c r="A257" t="inlineStr">
        <is>
          <t>Switzerland</t>
        </is>
      </c>
      <c r="B257" t="inlineStr">
        <is>
          <t>CHE</t>
        </is>
      </c>
      <c r="C257" t="inlineStr">
        <is>
          <t>CSWG.L</t>
        </is>
      </c>
      <c r="D257" t="n">
        <v>2018</v>
      </c>
      <c r="E257" t="n">
        <v>2835.268561832928</v>
      </c>
      <c r="F257" t="n">
        <v>2.862</v>
      </c>
      <c r="G257" t="n">
        <v>3.647461</v>
      </c>
      <c r="H257" t="n">
        <v>4.368324</v>
      </c>
      <c r="I257" t="n">
        <v>-2652.280216035177</v>
      </c>
      <c r="J257" t="inlineStr">
        <is>
          <t>Switzerland|CSWG.L|2018</t>
        </is>
      </c>
      <c r="K257" t="inlineStr">
        <is>
          <t>Switzerland|2018</t>
        </is>
      </c>
      <c r="L257" t="inlineStr">
        <is>
          <t>GBp</t>
        </is>
      </c>
      <c r="M257" t="n">
        <v>2835.268561832928</v>
      </c>
      <c r="N257" t="n">
        <v>-6.085304224640065</v>
      </c>
      <c r="O257" t="n">
        <v>2656.648540035177</v>
      </c>
      <c r="P257" t="n">
        <v>-0.6906916689970899</v>
      </c>
      <c r="Q257" t="n">
        <v>2675.820903763753</v>
      </c>
      <c r="R257" t="n">
        <v>725889000000</v>
      </c>
    </row>
    <row r="258">
      <c r="A258" t="inlineStr">
        <is>
          <t>Switzerland</t>
        </is>
      </c>
      <c r="B258" t="inlineStr">
        <is>
          <t>CHE</t>
        </is>
      </c>
      <c r="C258" t="inlineStr">
        <is>
          <t>CSWG.L</t>
        </is>
      </c>
      <c r="D258" t="n">
        <v>2019</v>
      </c>
      <c r="E258" t="n">
        <v>26.43935159306876</v>
      </c>
      <c r="F258" t="n">
        <v>1.163</v>
      </c>
      <c r="G258" t="n">
        <v>1.058548</v>
      </c>
      <c r="H258" t="n">
        <v>-0.550084</v>
      </c>
      <c r="I258" t="n">
        <v>-30.71163851806381</v>
      </c>
      <c r="J258" t="inlineStr">
        <is>
          <t>Switzerland|CSWG.L|2019</t>
        </is>
      </c>
      <c r="K258" t="inlineStr">
        <is>
          <t>Switzerland|2019</t>
        </is>
      </c>
      <c r="L258" t="inlineStr">
        <is>
          <t>GBp</t>
        </is>
      </c>
      <c r="M258" t="n">
        <v>26.43935159306876</v>
      </c>
      <c r="N258" t="n">
        <v>2.94386429390634</v>
      </c>
      <c r="O258" t="n">
        <v>30.16155451806382</v>
      </c>
      <c r="P258" t="n">
        <v>1.617530286019386</v>
      </c>
      <c r="Q258" t="n">
        <v>28.08966538716553</v>
      </c>
      <c r="R258" t="n">
        <v>721896000000</v>
      </c>
    </row>
    <row r="259">
      <c r="A259" t="inlineStr">
        <is>
          <t>Switzerland</t>
        </is>
      </c>
      <c r="B259" t="inlineStr">
        <is>
          <t>CHE</t>
        </is>
      </c>
      <c r="C259" t="inlineStr">
        <is>
          <t>CSWG.L</t>
        </is>
      </c>
      <c r="D259" t="n">
        <v>2020</v>
      </c>
      <c r="E259" t="n">
        <v>6.910462159080955</v>
      </c>
      <c r="F259" t="n">
        <v>-2.293</v>
      </c>
      <c r="G259" t="n">
        <v>-2.970639</v>
      </c>
      <c r="H259" t="n">
        <v>2.68626</v>
      </c>
      <c r="I259" t="n">
        <v>-7.191179554065436</v>
      </c>
      <c r="J259" t="inlineStr">
        <is>
          <t>Switzerland|CSWG.L|2020</t>
        </is>
      </c>
      <c r="K259" t="inlineStr">
        <is>
          <t>Switzerland|2020</t>
        </is>
      </c>
      <c r="L259" t="inlineStr">
        <is>
          <t>GBp</t>
        </is>
      </c>
      <c r="M259" t="n">
        <v>6.910462159080955</v>
      </c>
      <c r="N259" t="n">
        <v>2.775198362317122</v>
      </c>
      <c r="O259" t="n">
        <v>9.877439554065436</v>
      </c>
      <c r="P259" t="n">
        <v>-5.508915082665967</v>
      </c>
      <c r="Q259" t="n">
        <v>16.28339292557834</v>
      </c>
      <c r="R259" t="n">
        <v>741288000000</v>
      </c>
    </row>
    <row r="260">
      <c r="A260" t="inlineStr">
        <is>
          <t>Switzerland</t>
        </is>
      </c>
      <c r="B260" t="inlineStr">
        <is>
          <t>CHE</t>
        </is>
      </c>
      <c r="C260" t="inlineStr">
        <is>
          <t>CSWG.L</t>
        </is>
      </c>
      <c r="D260" t="n">
        <v>2021</v>
      </c>
      <c r="E260" t="n">
        <v>18.55310165638193</v>
      </c>
      <c r="F260" t="n">
        <v>5.573</v>
      </c>
      <c r="G260" t="n">
        <v>6.962635</v>
      </c>
      <c r="H260" t="n">
        <v>9.902763999999999</v>
      </c>
      <c r="I260" t="n">
        <v>-7.136153121056408</v>
      </c>
      <c r="J260" t="inlineStr">
        <is>
          <t>Switzerland|CSWG.L|2021</t>
        </is>
      </c>
      <c r="K260" t="inlineStr">
        <is>
          <t>Switzerland|2021</t>
        </is>
      </c>
      <c r="L260" t="inlineStr">
        <is>
          <t>GBp</t>
        </is>
      </c>
      <c r="M260" t="n">
        <v>18.55310165638193</v>
      </c>
      <c r="N260" t="n">
        <v>-1.277220514832489</v>
      </c>
      <c r="O260" t="n">
        <v>17.03891712105641</v>
      </c>
      <c r="P260" t="n">
        <v>-2.675209602841577</v>
      </c>
      <c r="Q260" t="n">
        <v>20.25601765331269</v>
      </c>
      <c r="R260" t="n">
        <v>814696000000</v>
      </c>
    </row>
    <row r="261">
      <c r="A261" t="inlineStr">
        <is>
          <t>Switzerland</t>
        </is>
      </c>
      <c r="B261" t="inlineStr">
        <is>
          <t>CHE</t>
        </is>
      </c>
      <c r="C261" t="inlineStr">
        <is>
          <t>CSWG.L</t>
        </is>
      </c>
      <c r="D261" t="n">
        <v>2022</v>
      </c>
      <c r="E261" t="n">
        <v>-97.68327164653236</v>
      </c>
      <c r="F261" t="n">
        <v>3.124</v>
      </c>
      <c r="G261" t="n">
        <v>6.257026</v>
      </c>
      <c r="H261" t="n">
        <v>1.69597</v>
      </c>
      <c r="I261" t="n">
        <v>99.63039925576571</v>
      </c>
      <c r="J261" t="inlineStr">
        <is>
          <t>Switzerland|CSWG.L|2022</t>
        </is>
      </c>
      <c r="K261" t="inlineStr">
        <is>
          <t>Switzerland|2022</t>
        </is>
      </c>
      <c r="L261" t="inlineStr">
        <is>
          <t>GBp</t>
        </is>
      </c>
      <c r="M261" t="n">
        <v>-97.68327164653236</v>
      </c>
      <c r="N261" t="n">
        <v>-10.84104698150823</v>
      </c>
      <c r="O261" t="n">
        <v>-97.93442925576571</v>
      </c>
      <c r="P261" t="n">
        <v>4.484992305887436</v>
      </c>
      <c r="Q261" t="n">
        <v>-98.02309336618681</v>
      </c>
      <c r="R261" t="n">
        <v>828513000000</v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CSWG.L</t>
        </is>
      </c>
      <c r="D262" t="n">
        <v>2023</v>
      </c>
      <c r="E262" t="n">
        <v>8.021459396061669</v>
      </c>
      <c r="F262" t="n">
        <v>0.737</v>
      </c>
      <c r="G262" t="n">
        <v>1.629522</v>
      </c>
      <c r="H262" t="n">
        <v>8.00253</v>
      </c>
      <c r="I262" t="n">
        <v>-5.488089032446794</v>
      </c>
      <c r="J262" t="inlineStr">
        <is>
          <t>Switzerland|CSWG.L|2023</t>
        </is>
      </c>
      <c r="K262" t="inlineStr">
        <is>
          <t>Switzerland|2023</t>
        </is>
      </c>
      <c r="L262" t="inlineStr">
        <is>
          <t>GBp</t>
        </is>
      </c>
      <c r="M262" t="n">
        <v>8.021459396061669</v>
      </c>
      <c r="N262" t="n">
        <v>5.06303068571996</v>
      </c>
      <c r="O262" t="n">
        <v>13.49061903244679</v>
      </c>
      <c r="P262" t="n">
        <v>-5.900795177363993</v>
      </c>
      <c r="Q262" t="n">
        <v>20.60741559544623</v>
      </c>
      <c r="R262" t="n">
        <v>894815000000</v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CSWG.L</t>
        </is>
      </c>
      <c r="D263" t="n">
        <v>2024</v>
      </c>
      <c r="E263" t="n">
        <v>-0.7733335992527901</v>
      </c>
      <c r="F263" t="n">
        <v>1.363</v>
      </c>
      <c r="G263" t="n">
        <v>2.737126</v>
      </c>
      <c r="H263" t="n">
        <v>4.843236</v>
      </c>
      <c r="I263" t="n">
        <v>7.02663363855584</v>
      </c>
      <c r="J263" t="inlineStr">
        <is>
          <t>Switzerland|CSWG.L|2024</t>
        </is>
      </c>
      <c r="K263" t="inlineStr">
        <is>
          <t>Switzerland|2024</t>
        </is>
      </c>
      <c r="L263" t="inlineStr">
        <is>
          <t>GBp</t>
        </is>
      </c>
      <c r="M263" t="n">
        <v>-0.7733335992527901</v>
      </c>
      <c r="N263" t="n">
        <v>-1.421053523664917</v>
      </c>
      <c r="O263" t="n">
        <v>-2.18339763855584</v>
      </c>
      <c r="P263" t="n">
        <v>-2.008818005249624</v>
      </c>
      <c r="Q263" t="n">
        <v>-0.1781585136054087</v>
      </c>
      <c r="R263" t="n">
        <v>938153000000</v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CSWG.L</t>
        </is>
      </c>
      <c r="D264" t="n">
        <v>2025</v>
      </c>
      <c r="E264" t="n">
        <v>22.14977222429994</v>
      </c>
      <c r="F264" t="n">
        <v>0.946</v>
      </c>
      <c r="G264" t="n">
        <v>1.031492</v>
      </c>
      <c r="H264" t="n">
        <v>6.876597</v>
      </c>
      <c r="I264" t="n">
        <v>-24.52226992904705</v>
      </c>
      <c r="J264" t="inlineStr">
        <is>
          <t>Switzerland|CSWG.L|2025</t>
        </is>
      </c>
      <c r="K264" t="inlineStr">
        <is>
          <t>Switzerland|2025</t>
        </is>
      </c>
      <c r="L264" t="inlineStr">
        <is>
          <t>GBp</t>
        </is>
      </c>
      <c r="M264" t="n">
        <v>22.14977222429994</v>
      </c>
      <c r="N264" t="n">
        <v>7.571929555270285</v>
      </c>
      <c r="O264" t="n">
        <v>31.39886692904705</v>
      </c>
      <c r="P264" t="n">
        <v>-5.46902228831353</v>
      </c>
      <c r="Q264" t="n">
        <v>39.00085465084824</v>
      </c>
      <c r="R264" t="n">
        <v>1002666000000</v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CSWG.L</t>
        </is>
      </c>
      <c r="D265" t="n">
        <v>2026</v>
      </c>
      <c r="E265" t="n">
        <v>0.9833429399175531</v>
      </c>
      <c r="F265" t="n">
        <v>1.275</v>
      </c>
      <c r="G265" t="n">
        <v>1.903517</v>
      </c>
      <c r="H265" t="n">
        <v>7.173077</v>
      </c>
      <c r="I265" t="n">
        <v>7.209314509174986</v>
      </c>
      <c r="J265" t="inlineStr">
        <is>
          <t>Switzerland|CSWG.L|2026</t>
        </is>
      </c>
      <c r="K265" t="inlineStr">
        <is>
          <t>Switzerland|2026</t>
        </is>
      </c>
      <c r="L265" t="inlineStr">
        <is>
          <t>GBp</t>
        </is>
      </c>
      <c r="M265" t="n">
        <v>0.9833429399175531</v>
      </c>
      <c r="N265" t="n">
        <v>-1.00965210638666</v>
      </c>
      <c r="O265" t="n">
        <v>-0.03623750917498558</v>
      </c>
      <c r="P265" t="n">
        <v>-4.916868996758805</v>
      </c>
      <c r="Q265" t="n">
        <v>5.133015116443151</v>
      </c>
      <c r="R265" t="n">
        <v>1074588000000</v>
      </c>
    </row>
    <row r="266">
      <c r="A266" t="inlineStr">
        <is>
          <t>Taiwan</t>
        </is>
      </c>
      <c r="B266" t="inlineStr">
        <is>
          <t>TWN</t>
        </is>
      </c>
      <c r="C266" t="inlineStr">
        <is>
          <t>XMTW.L</t>
        </is>
      </c>
      <c r="D266" t="n">
        <v>2015</v>
      </c>
      <c r="E266" t="n">
        <v>-7.487702678083441</v>
      </c>
      <c r="F266" t="n">
        <v>1.465</v>
      </c>
      <c r="G266" t="inlineStr"/>
      <c r="H266" t="inlineStr"/>
      <c r="I266" t="inlineStr"/>
      <c r="J266" t="inlineStr">
        <is>
          <t>Taiwan|XMTW.L|2015</t>
        </is>
      </c>
      <c r="K266" t="inlineStr">
        <is>
          <t>Taiwan|2015</t>
        </is>
      </c>
      <c r="L266" t="inlineStr">
        <is>
          <t>GBp</t>
        </is>
      </c>
      <c r="M266" t="n">
        <v>-7.487702678083441</v>
      </c>
      <c r="N266" t="n">
        <v>-4.888855870697362</v>
      </c>
      <c r="O266" t="n">
        <v>-12.01049555682295</v>
      </c>
      <c r="P266" t="inlineStr"/>
      <c r="Q266" t="inlineStr"/>
      <c r="R266" t="n">
        <v>534515000000</v>
      </c>
    </row>
    <row r="267">
      <c r="A267" t="inlineStr">
        <is>
          <t>Taiwan</t>
        </is>
      </c>
      <c r="B267" t="inlineStr">
        <is>
          <t>TWN</t>
        </is>
      </c>
      <c r="C267" t="inlineStr">
        <is>
          <t>XMTW.L</t>
        </is>
      </c>
      <c r="D267" t="n">
        <v>2016</v>
      </c>
      <c r="E267" t="n">
        <v>46.63412649989829</v>
      </c>
      <c r="F267" t="n">
        <v>2.165</v>
      </c>
      <c r="G267" t="n">
        <v>2.93278</v>
      </c>
      <c r="H267" t="n">
        <v>1.602574</v>
      </c>
      <c r="I267" t="n">
        <v>-20.65258990486237</v>
      </c>
      <c r="J267" t="inlineStr">
        <is>
          <t>Taiwan|XMTW.L|2016</t>
        </is>
      </c>
      <c r="K267" t="inlineStr">
        <is>
          <t>Taiwan|2016</t>
        </is>
      </c>
      <c r="L267" t="inlineStr">
        <is>
          <t>GBp</t>
        </is>
      </c>
      <c r="M267" t="n">
        <v>46.63412649989829</v>
      </c>
      <c r="N267" t="n">
        <v>-16.62570861023462</v>
      </c>
      <c r="O267" t="n">
        <v>22.25516390486237</v>
      </c>
      <c r="P267" t="n">
        <v>1.309224552781729</v>
      </c>
      <c r="Q267" t="n">
        <v>20.67525385229643</v>
      </c>
      <c r="R267" t="n">
        <v>543081000000</v>
      </c>
    </row>
    <row r="268">
      <c r="A268" t="inlineStr">
        <is>
          <t>Taiwan</t>
        </is>
      </c>
      <c r="B268" t="inlineStr">
        <is>
          <t>TWN</t>
        </is>
      </c>
      <c r="C268" t="inlineStr">
        <is>
          <t>XMTW.L</t>
        </is>
      </c>
      <c r="D268" t="n">
        <v>2017</v>
      </c>
      <c r="E268" t="n">
        <v>14.66119096509242</v>
      </c>
      <c r="F268" t="n">
        <v>3.662</v>
      </c>
      <c r="G268" t="n">
        <v>2.603885</v>
      </c>
      <c r="H268" t="n">
        <v>8.950046</v>
      </c>
      <c r="I268" t="n">
        <v>-15.84878582580438</v>
      </c>
      <c r="J268" t="inlineStr">
        <is>
          <t>Taiwan|XMTW.L|2017</t>
        </is>
      </c>
      <c r="K268" t="inlineStr">
        <is>
          <t>Taiwan|2017</t>
        </is>
      </c>
      <c r="L268" t="inlineStr">
        <is>
          <t>GBp</t>
        </is>
      </c>
      <c r="M268" t="n">
        <v>14.66119096509242</v>
      </c>
      <c r="N268" t="n">
        <v>8.841388071573641</v>
      </c>
      <c r="O268" t="n">
        <v>24.79883182580438</v>
      </c>
      <c r="P268" t="n">
        <v>-5.824835596996436</v>
      </c>
      <c r="Q268" t="n">
        <v>32.5177743165417</v>
      </c>
      <c r="R268" t="n">
        <v>591687000000</v>
      </c>
    </row>
    <row r="269">
      <c r="A269" t="inlineStr">
        <is>
          <t>Taiwan</t>
        </is>
      </c>
      <c r="B269" t="inlineStr">
        <is>
          <t>TWN</t>
        </is>
      </c>
      <c r="C269" t="inlineStr">
        <is>
          <t>XMTW.L</t>
        </is>
      </c>
      <c r="D269" t="n">
        <v>2018</v>
      </c>
      <c r="E269" t="n">
        <v>-3.19961795606496</v>
      </c>
      <c r="F269" t="n">
        <v>2.905</v>
      </c>
      <c r="G269" t="n">
        <v>2.263176</v>
      </c>
      <c r="H269" t="n">
        <v>3.211664</v>
      </c>
      <c r="I269" t="n">
        <v>12.30187969405226</v>
      </c>
      <c r="J269" t="inlineStr">
        <is>
          <t>Taiwan|XMTW.L|2018</t>
        </is>
      </c>
      <c r="K269" t="inlineStr">
        <is>
          <t>Taiwan|2018</t>
        </is>
      </c>
      <c r="L269" t="inlineStr">
        <is>
          <t>GBp</t>
        </is>
      </c>
      <c r="M269" t="n">
        <v>-3.19961795606496</v>
      </c>
      <c r="N269" t="n">
        <v>-6.085304224640065</v>
      </c>
      <c r="O269" t="n">
        <v>-9.090215694052262</v>
      </c>
      <c r="P269" t="n">
        <v>-0.9189740236590804</v>
      </c>
      <c r="Q269" t="n">
        <v>-8.247029731347711</v>
      </c>
      <c r="R269" t="n">
        <v>610690000000</v>
      </c>
    </row>
    <row r="270">
      <c r="A270" t="inlineStr">
        <is>
          <t>Taiwan</t>
        </is>
      </c>
      <c r="B270" t="inlineStr">
        <is>
          <t>TWN</t>
        </is>
      </c>
      <c r="C270" t="inlineStr">
        <is>
          <t>XMTW.L</t>
        </is>
      </c>
      <c r="D270" t="n">
        <v>2019</v>
      </c>
      <c r="E270" t="n">
        <v>31.44426413681187</v>
      </c>
      <c r="F270" t="n">
        <v>3.055</v>
      </c>
      <c r="G270" t="n">
        <v>3.007909</v>
      </c>
      <c r="H270" t="n">
        <v>0.4621</v>
      </c>
      <c r="I270" t="n">
        <v>-34.85170489512341</v>
      </c>
      <c r="J270" t="inlineStr">
        <is>
          <t>Taiwan|XMTW.L|2019</t>
        </is>
      </c>
      <c r="K270" t="inlineStr">
        <is>
          <t>Taiwan|2019</t>
        </is>
      </c>
      <c r="L270" t="inlineStr">
        <is>
          <t>GBp</t>
        </is>
      </c>
      <c r="M270" t="n">
        <v>31.44426413681187</v>
      </c>
      <c r="N270" t="n">
        <v>2.94386429390634</v>
      </c>
      <c r="O270" t="n">
        <v>35.31380489512341</v>
      </c>
      <c r="P270" t="n">
        <v>2.534098617670022</v>
      </c>
      <c r="Q270" t="n">
        <v>31.96956594867297</v>
      </c>
      <c r="R270" t="n">
        <v>613512000000</v>
      </c>
    </row>
    <row r="271">
      <c r="A271" t="inlineStr">
        <is>
          <t>Taiwan</t>
        </is>
      </c>
      <c r="B271" t="inlineStr">
        <is>
          <t>TWN</t>
        </is>
      </c>
      <c r="C271" t="inlineStr">
        <is>
          <t>XMTW.L</t>
        </is>
      </c>
      <c r="D271" t="n">
        <v>2020</v>
      </c>
      <c r="E271" t="n">
        <v>30.12880343475828</v>
      </c>
      <c r="F271" t="n">
        <v>3.42</v>
      </c>
      <c r="G271" t="n">
        <v>5.532042</v>
      </c>
      <c r="H271" t="n">
        <v>10.325633</v>
      </c>
      <c r="I271" t="n">
        <v>-23.41450285658255</v>
      </c>
      <c r="J271" t="inlineStr">
        <is>
          <t>Taiwan|XMTW.L|2020</t>
        </is>
      </c>
      <c r="K271" t="inlineStr">
        <is>
          <t>Taiwan|2020</t>
        </is>
      </c>
      <c r="L271" t="inlineStr">
        <is>
          <t>GBp</t>
        </is>
      </c>
      <c r="M271" t="n">
        <v>30.12880343475828</v>
      </c>
      <c r="N271" t="n">
        <v>2.775198362317122</v>
      </c>
      <c r="O271" t="n">
        <v>33.74013585658255</v>
      </c>
      <c r="P271" t="n">
        <v>-4.344948072819999</v>
      </c>
      <c r="Q271" t="n">
        <v>39.81502614038186</v>
      </c>
      <c r="R271" t="n">
        <v>676861000000</v>
      </c>
    </row>
    <row r="272">
      <c r="A272" t="inlineStr">
        <is>
          <t>Taiwan</t>
        </is>
      </c>
      <c r="B272" t="inlineStr">
        <is>
          <t>TWN</t>
        </is>
      </c>
      <c r="C272" t="inlineStr">
        <is>
          <t>XMTW.L</t>
        </is>
      </c>
      <c r="D272" t="n">
        <v>2021</v>
      </c>
      <c r="E272" t="n">
        <v>26.4060742407199</v>
      </c>
      <c r="F272" t="n">
        <v>6.72</v>
      </c>
      <c r="G272" t="n">
        <v>8.737318999999999</v>
      </c>
      <c r="H272" t="n">
        <v>14.789447</v>
      </c>
      <c r="I272" t="n">
        <v>-10.00214292852304</v>
      </c>
      <c r="J272" t="inlineStr">
        <is>
          <t>Taiwan|XMTW.L|2021</t>
        </is>
      </c>
      <c r="K272" t="inlineStr">
        <is>
          <t>Taiwan|2021</t>
        </is>
      </c>
      <c r="L272" t="inlineStr">
        <is>
          <t>GBp</t>
        </is>
      </c>
      <c r="M272" t="n">
        <v>26.4060742407199</v>
      </c>
      <c r="N272" t="n">
        <v>-1.277220514832489</v>
      </c>
      <c r="O272" t="n">
        <v>24.79158992852304</v>
      </c>
      <c r="P272" t="n">
        <v>-5.272373687150111</v>
      </c>
      <c r="Q272" t="n">
        <v>31.73727114873874</v>
      </c>
      <c r="R272" t="n">
        <v>776965000000</v>
      </c>
    </row>
    <row r="273">
      <c r="A273" t="inlineStr">
        <is>
          <t>Taiwan</t>
        </is>
      </c>
      <c r="B273" t="inlineStr">
        <is>
          <t>TWN</t>
        </is>
      </c>
      <c r="C273" t="inlineStr">
        <is>
          <t>XMTW.L</t>
        </is>
      </c>
      <c r="D273" t="n">
        <v>2022</v>
      </c>
      <c r="E273" t="n">
        <v>-22.55951081022057</v>
      </c>
      <c r="F273" t="n">
        <v>2.684</v>
      </c>
      <c r="G273" t="n">
        <v>4.809282</v>
      </c>
      <c r="H273" t="n">
        <v>-1.459654</v>
      </c>
      <c r="I273" t="n">
        <v>29.49521662599436</v>
      </c>
      <c r="J273" t="inlineStr">
        <is>
          <t>Taiwan|XMTW.L|2022</t>
        </is>
      </c>
      <c r="K273" t="inlineStr">
        <is>
          <t>Taiwan|2022</t>
        </is>
      </c>
      <c r="L273" t="inlineStr">
        <is>
          <t>GBp</t>
        </is>
      </c>
      <c r="M273" t="n">
        <v>-22.55951081022057</v>
      </c>
      <c r="N273" t="n">
        <v>-10.84104698150823</v>
      </c>
      <c r="O273" t="n">
        <v>-30.95487062599436</v>
      </c>
      <c r="P273" t="n">
        <v>6.361796279226861</v>
      </c>
      <c r="Q273" t="n">
        <v>-35.08465277067665</v>
      </c>
      <c r="R273" t="n">
        <v>765624000000</v>
      </c>
    </row>
    <row r="274">
      <c r="A274" t="inlineStr">
        <is>
          <t>Taiwan</t>
        </is>
      </c>
      <c r="B274" t="inlineStr">
        <is>
          <t>TWN</t>
        </is>
      </c>
      <c r="C274" t="inlineStr">
        <is>
          <t>XMTW.L</t>
        </is>
      </c>
      <c r="D274" t="n">
        <v>2023</v>
      </c>
      <c r="E274" t="n">
        <v>20.62071857961694</v>
      </c>
      <c r="F274" t="n">
        <v>1.122</v>
      </c>
      <c r="G274" t="n">
        <v>3.401794</v>
      </c>
      <c r="H274" t="n">
        <v>-1.082646</v>
      </c>
      <c r="I274" t="n">
        <v>-27.81042857463886</v>
      </c>
      <c r="J274" t="inlineStr">
        <is>
          <t>Taiwan|XMTW.L|2023</t>
        </is>
      </c>
      <c r="K274" t="inlineStr">
        <is>
          <t>Taiwan|2023</t>
        </is>
      </c>
      <c r="L274" t="inlineStr">
        <is>
          <t>GBp</t>
        </is>
      </c>
      <c r="M274" t="n">
        <v>20.62071857961694</v>
      </c>
      <c r="N274" t="n">
        <v>5.06303068571996</v>
      </c>
      <c r="O274" t="n">
        <v>26.72778257463886</v>
      </c>
      <c r="P274" t="n">
        <v>4.53352224225867</v>
      </c>
      <c r="Q274" t="n">
        <v>21.23171577529408</v>
      </c>
      <c r="R274" t="n">
        <v>757335000000</v>
      </c>
    </row>
    <row r="275">
      <c r="A275" t="inlineStr">
        <is>
          <t>Taiwan</t>
        </is>
      </c>
      <c r="B275" t="inlineStr">
        <is>
          <t>TWN</t>
        </is>
      </c>
      <c r="C275" t="inlineStr">
        <is>
          <t>XMTW.L</t>
        </is>
      </c>
      <c r="D275" t="n">
        <v>2024</v>
      </c>
      <c r="E275" t="n">
        <v>27.73207990599296</v>
      </c>
      <c r="F275" t="n">
        <v>4.837</v>
      </c>
      <c r="G275" t="n">
        <v>8.459306</v>
      </c>
      <c r="H275" t="n">
        <v>5.237973</v>
      </c>
      <c r="I275" t="n">
        <v>-20.67896568363836</v>
      </c>
      <c r="J275" t="inlineStr">
        <is>
          <t>Taiwan|XMTW.L|2024</t>
        </is>
      </c>
      <c r="K275" t="inlineStr">
        <is>
          <t>Taiwan|2024</t>
        </is>
      </c>
      <c r="L275" t="inlineStr">
        <is>
          <t>GBp</t>
        </is>
      </c>
      <c r="M275" t="n">
        <v>27.73207990599296</v>
      </c>
      <c r="N275" t="n">
        <v>-1.421053523664917</v>
      </c>
      <c r="O275" t="n">
        <v>25.91693868363836</v>
      </c>
      <c r="P275" t="n">
        <v>3.060999339921699</v>
      </c>
      <c r="Q275" t="n">
        <v>22.17709850486884</v>
      </c>
      <c r="R275" t="n">
        <v>797004000000</v>
      </c>
    </row>
    <row r="276">
      <c r="A276" t="inlineStr">
        <is>
          <t>Taiwan</t>
        </is>
      </c>
      <c r="B276" t="inlineStr">
        <is>
          <t>TWN</t>
        </is>
      </c>
      <c r="C276" t="inlineStr">
        <is>
          <t>XMTW.L</t>
        </is>
      </c>
      <c r="D276" t="n">
        <v>2025</v>
      </c>
      <c r="E276" t="n">
        <v>23.8012125665993</v>
      </c>
      <c r="F276" t="n">
        <v>3.674</v>
      </c>
      <c r="G276" t="n">
        <v>5.468292</v>
      </c>
      <c r="H276" t="n">
        <v>10.963935</v>
      </c>
      <c r="I276" t="n">
        <v>-22.21141817071263</v>
      </c>
      <c r="J276" t="inlineStr">
        <is>
          <t>Taiwan|XMTW.L|2025</t>
        </is>
      </c>
      <c r="K276" t="inlineStr">
        <is>
          <t>Taiwan|2025</t>
        </is>
      </c>
      <c r="L276" t="inlineStr">
        <is>
          <t>GBp</t>
        </is>
      </c>
      <c r="M276" t="n">
        <v>23.8012125665993</v>
      </c>
      <c r="N276" t="n">
        <v>7.571929555270285</v>
      </c>
      <c r="O276" t="n">
        <v>33.17535317071263</v>
      </c>
      <c r="P276" t="n">
        <v>-4.952638793883613</v>
      </c>
      <c r="Q276" t="n">
        <v>40.11472962612104</v>
      </c>
      <c r="R276" t="n">
        <v>884387000000</v>
      </c>
    </row>
    <row r="277">
      <c r="A277" t="inlineStr">
        <is>
          <t>Taiwan</t>
        </is>
      </c>
      <c r="B277" t="inlineStr">
        <is>
          <t>TWN</t>
        </is>
      </c>
      <c r="C277" t="inlineStr">
        <is>
          <t>XMTW.L</t>
        </is>
      </c>
      <c r="D277" t="n">
        <v>2026</v>
      </c>
      <c r="E277" t="n">
        <v>10.20423156038788</v>
      </c>
      <c r="F277" t="n">
        <v>2.113</v>
      </c>
      <c r="G277" t="n">
        <v>3.705991</v>
      </c>
      <c r="H277" t="n">
        <v>9.84422</v>
      </c>
      <c r="I277" t="n">
        <v>0.7526677848888017</v>
      </c>
      <c r="J277" t="inlineStr">
        <is>
          <t>Taiwan|XMTW.L|2026</t>
        </is>
      </c>
      <c r="K277" t="inlineStr">
        <is>
          <t>Taiwan|2026</t>
        </is>
      </c>
      <c r="L277" t="inlineStr">
        <is>
          <t>GBp</t>
        </is>
      </c>
      <c r="M277" t="n">
        <v>10.20423156038788</v>
      </c>
      <c r="N277" t="n">
        <v>-1.00965210638666</v>
      </c>
      <c r="O277" t="n">
        <v>9.091552215111198</v>
      </c>
      <c r="P277" t="n">
        <v>-5.588121498941478</v>
      </c>
      <c r="Q277" t="n">
        <v>15.54854531772514</v>
      </c>
      <c r="R277" t="n">
        <v>971448000000</v>
      </c>
    </row>
    <row r="278">
      <c r="A278" t="inlineStr">
        <is>
          <t>Thailand</t>
        </is>
      </c>
      <c r="B278" t="inlineStr">
        <is>
          <t>THA</t>
        </is>
      </c>
      <c r="C278" t="inlineStr">
        <is>
          <t>XCX4.L</t>
        </is>
      </c>
      <c r="D278" t="n">
        <v>2015</v>
      </c>
      <c r="E278" t="n">
        <v>-20.82937036332509</v>
      </c>
      <c r="F278" t="n">
        <v>3.134</v>
      </c>
      <c r="G278" t="inlineStr"/>
      <c r="H278" t="inlineStr"/>
      <c r="I278" t="inlineStr"/>
      <c r="J278" t="inlineStr">
        <is>
          <t>Thailand|XCX4.L|2015</t>
        </is>
      </c>
      <c r="K278" t="inlineStr">
        <is>
          <t>Thailand|2015</t>
        </is>
      </c>
      <c r="L278" t="inlineStr">
        <is>
          <t>GBp</t>
        </is>
      </c>
      <c r="M278" t="n">
        <v>-20.82937036332509</v>
      </c>
      <c r="N278" t="n">
        <v>-4.888855870697362</v>
      </c>
      <c r="O278" t="n">
        <v>-24.69990833818574</v>
      </c>
      <c r="P278" t="inlineStr"/>
      <c r="Q278" t="inlineStr"/>
      <c r="R278" t="n">
        <v>401296000000</v>
      </c>
    </row>
    <row r="279">
      <c r="A279" t="inlineStr">
        <is>
          <t>Thailand</t>
        </is>
      </c>
      <c r="B279" t="inlineStr">
        <is>
          <t>THA</t>
        </is>
      </c>
      <c r="C279" t="inlineStr">
        <is>
          <t>XCX4.L</t>
        </is>
      </c>
      <c r="D279" t="n">
        <v>2016</v>
      </c>
      <c r="E279" t="n">
        <v>56.73147920255968</v>
      </c>
      <c r="F279" t="n">
        <v>3.435</v>
      </c>
      <c r="G279" t="n">
        <v>6.161882</v>
      </c>
      <c r="H279" t="n">
        <v>3.007755</v>
      </c>
      <c r="I279" t="n">
        <v>-27.66600516983163</v>
      </c>
      <c r="J279" t="inlineStr">
        <is>
          <t>Thailand|XCX4.L|2016</t>
        </is>
      </c>
      <c r="K279" t="inlineStr">
        <is>
          <t>Thailand|2016</t>
        </is>
      </c>
      <c r="L279" t="inlineStr">
        <is>
          <t>GBp</t>
        </is>
      </c>
      <c r="M279" t="n">
        <v>56.73147920255968</v>
      </c>
      <c r="N279" t="n">
        <v>-16.62570861023462</v>
      </c>
      <c r="O279" t="n">
        <v>30.67376016983163</v>
      </c>
      <c r="P279" t="n">
        <v>3.062028661807448</v>
      </c>
      <c r="Q279" t="n">
        <v>26.7913720179433</v>
      </c>
      <c r="R279" t="n">
        <v>413366000000</v>
      </c>
    </row>
    <row r="280">
      <c r="A280" t="inlineStr">
        <is>
          <t>Thailand</t>
        </is>
      </c>
      <c r="B280" t="inlineStr">
        <is>
          <t>THA</t>
        </is>
      </c>
      <c r="C280" t="inlineStr">
        <is>
          <t>XCX4.L</t>
        </is>
      </c>
      <c r="D280" t="n">
        <v>2017</v>
      </c>
      <c r="E280" t="n">
        <v>21.08057464084947</v>
      </c>
      <c r="F280" t="n">
        <v>4.178</v>
      </c>
      <c r="G280" t="n">
        <v>6.157</v>
      </c>
      <c r="H280" t="n">
        <v>10.400226</v>
      </c>
      <c r="I280" t="n">
        <v>-21.38555212413836</v>
      </c>
      <c r="J280" t="inlineStr">
        <is>
          <t>Thailand|XCX4.L|2017</t>
        </is>
      </c>
      <c r="K280" t="inlineStr">
        <is>
          <t>Thailand|2017</t>
        </is>
      </c>
      <c r="L280" t="inlineStr">
        <is>
          <t>GBp</t>
        </is>
      </c>
      <c r="M280" t="n">
        <v>21.08057464084947</v>
      </c>
      <c r="N280" t="n">
        <v>8.841388071573641</v>
      </c>
      <c r="O280" t="n">
        <v>31.78577812413836</v>
      </c>
      <c r="P280" t="n">
        <v>-3.843494626091604</v>
      </c>
      <c r="Q280" t="n">
        <v>37.05341891501166</v>
      </c>
      <c r="R280" t="n">
        <v>456357000000</v>
      </c>
    </row>
    <row r="281">
      <c r="A281" t="inlineStr">
        <is>
          <t>Thailand</t>
        </is>
      </c>
      <c r="B281" t="inlineStr">
        <is>
          <t>THA</t>
        </is>
      </c>
      <c r="C281" t="inlineStr">
        <is>
          <t>XCX4.L</t>
        </is>
      </c>
      <c r="D281" t="n">
        <v>2018</v>
      </c>
      <c r="E281" t="n">
        <v>1.171347325591587</v>
      </c>
      <c r="F281" t="n">
        <v>4.223</v>
      </c>
      <c r="G281" t="n">
        <v>5.711784</v>
      </c>
      <c r="H281" t="n">
        <v>11.043328</v>
      </c>
      <c r="I281" t="n">
        <v>16.02856494733791</v>
      </c>
      <c r="J281" t="inlineStr">
        <is>
          <t>Thailand|XCX4.L|2018</t>
        </is>
      </c>
      <c r="K281" t="inlineStr">
        <is>
          <t>Thailand|2018</t>
        </is>
      </c>
      <c r="L281" t="inlineStr">
        <is>
          <t>GBp</t>
        </is>
      </c>
      <c r="M281" t="n">
        <v>1.171347325591587</v>
      </c>
      <c r="N281" t="n">
        <v>-6.085304224640065</v>
      </c>
      <c r="O281" t="n">
        <v>-4.985236947337912</v>
      </c>
      <c r="P281" t="n">
        <v>-4.801318754040396</v>
      </c>
      <c r="Q281" t="n">
        <v>-0.1931940557268197</v>
      </c>
      <c r="R281" t="n">
        <v>506754000000</v>
      </c>
    </row>
    <row r="282">
      <c r="A282" t="inlineStr">
        <is>
          <t>Thailand</t>
        </is>
      </c>
      <c r="B282" t="inlineStr">
        <is>
          <t>THA</t>
        </is>
      </c>
      <c r="C282" t="inlineStr">
        <is>
          <t>XCX4.L</t>
        </is>
      </c>
      <c r="D282" t="n">
        <v>2019</v>
      </c>
      <c r="E282" t="n">
        <v>1.099038341451242</v>
      </c>
      <c r="F282" t="n">
        <v>2.115</v>
      </c>
      <c r="G282" t="n">
        <v>3.150432</v>
      </c>
      <c r="H282" t="n">
        <v>7.345379</v>
      </c>
      <c r="I282" t="n">
        <v>3.270122167332105</v>
      </c>
      <c r="J282" t="inlineStr">
        <is>
          <t>Thailand|XCX4.L|2019</t>
        </is>
      </c>
      <c r="K282" t="inlineStr">
        <is>
          <t>Thailand|2019</t>
        </is>
      </c>
      <c r="L282" t="inlineStr">
        <is>
          <t>GBp</t>
        </is>
      </c>
      <c r="M282" t="n">
        <v>1.099038341451242</v>
      </c>
      <c r="N282" t="n">
        <v>2.94386429390634</v>
      </c>
      <c r="O282" t="n">
        <v>4.075256832667895</v>
      </c>
      <c r="P282" t="n">
        <v>-3.907897021095619</v>
      </c>
      <c r="Q282" t="n">
        <v>8.307814696818628</v>
      </c>
      <c r="R282" t="n">
        <v>543977000000</v>
      </c>
    </row>
    <row r="283">
      <c r="A283" t="inlineStr">
        <is>
          <t>Thailand</t>
        </is>
      </c>
      <c r="B283" t="inlineStr">
        <is>
          <t>THA</t>
        </is>
      </c>
      <c r="C283" t="inlineStr">
        <is>
          <t>XCX4.L</t>
        </is>
      </c>
      <c r="D283" t="n">
        <v>2020</v>
      </c>
      <c r="E283" t="n">
        <v>-15.33794442422036</v>
      </c>
      <c r="F283" t="n">
        <v>-6.05</v>
      </c>
      <c r="G283" t="n">
        <v>-7.270237</v>
      </c>
      <c r="H283" t="n">
        <v>-7.999419</v>
      </c>
      <c r="I283" t="n">
        <v>4.988985444377311</v>
      </c>
      <c r="J283" t="inlineStr">
        <is>
          <t>Thailand|XCX4.L|2020</t>
        </is>
      </c>
      <c r="K283" t="inlineStr">
        <is>
          <t>Thailand|2020</t>
        </is>
      </c>
      <c r="L283" t="inlineStr">
        <is>
          <t>GBp</t>
        </is>
      </c>
      <c r="M283" t="n">
        <v>-15.33794442422036</v>
      </c>
      <c r="N283" t="n">
        <v>2.775198362317122</v>
      </c>
      <c r="O283" t="n">
        <v>-12.98840444437731</v>
      </c>
      <c r="P283" t="n">
        <v>0.7925840799696271</v>
      </c>
      <c r="Q283" t="n">
        <v>-13.67262150299966</v>
      </c>
      <c r="R283" t="n">
        <v>500462000000</v>
      </c>
    </row>
    <row r="284">
      <c r="A284" t="inlineStr">
        <is>
          <t>Thailand</t>
        </is>
      </c>
      <c r="B284" t="inlineStr">
        <is>
          <t>THA</t>
        </is>
      </c>
      <c r="C284" t="inlineStr">
        <is>
          <t>XCX4.L</t>
        </is>
      </c>
      <c r="D284" t="n">
        <v>2021</v>
      </c>
      <c r="E284" t="n">
        <v>-1.188118811881189</v>
      </c>
      <c r="F284" t="n">
        <v>1.542</v>
      </c>
      <c r="G284" t="n">
        <v>3.354404</v>
      </c>
      <c r="H284" t="n">
        <v>1.145542</v>
      </c>
      <c r="I284" t="n">
        <v>3.595706429507751</v>
      </c>
      <c r="J284" t="inlineStr">
        <is>
          <t>Thailand|XCX4.L|2021</t>
        </is>
      </c>
      <c r="K284" t="inlineStr">
        <is>
          <t>Thailand|2021</t>
        </is>
      </c>
      <c r="L284" t="inlineStr">
        <is>
          <t>GBp</t>
        </is>
      </c>
      <c r="M284" t="n">
        <v>-1.188118811881189</v>
      </c>
      <c r="N284" t="n">
        <v>-1.277220514832489</v>
      </c>
      <c r="O284" t="n">
        <v>-2.450164429507751</v>
      </c>
      <c r="P284" t="n">
        <v>2.183845800341433</v>
      </c>
      <c r="Q284" t="n">
        <v>-4.534973403627463</v>
      </c>
      <c r="R284" t="n">
        <v>506195000000</v>
      </c>
    </row>
    <row r="285">
      <c r="A285" t="inlineStr">
        <is>
          <t>Thailand</t>
        </is>
      </c>
      <c r="B285" t="inlineStr">
        <is>
          <t>THA</t>
        </is>
      </c>
      <c r="C285" t="inlineStr">
        <is>
          <t>XCX4.L</t>
        </is>
      </c>
      <c r="D285" t="n">
        <v>2022</v>
      </c>
      <c r="E285" t="n">
        <v>16.5872672152447</v>
      </c>
      <c r="F285" t="n">
        <v>2.627</v>
      </c>
      <c r="G285" t="n">
        <v>7.360165</v>
      </c>
      <c r="H285" t="n">
        <v>-2.084177</v>
      </c>
      <c r="I285" t="n">
        <v>-6.032163801983494</v>
      </c>
      <c r="J285" t="inlineStr">
        <is>
          <t>Thailand|XCX4.L|2022</t>
        </is>
      </c>
      <c r="K285" t="inlineStr">
        <is>
          <t>Thailand|2022</t>
        </is>
      </c>
      <c r="L285" t="inlineStr">
        <is>
          <t>GBp</t>
        </is>
      </c>
      <c r="M285" t="n">
        <v>16.5872672152447</v>
      </c>
      <c r="N285" t="n">
        <v>-10.84104698150823</v>
      </c>
      <c r="O285" t="n">
        <v>3.947986801983494</v>
      </c>
      <c r="P285" t="n">
        <v>9.645368791998067</v>
      </c>
      <c r="Q285" t="n">
        <v>-5.196190274869473</v>
      </c>
      <c r="R285" t="n">
        <v>495645000000</v>
      </c>
    </row>
    <row r="286">
      <c r="A286" t="inlineStr">
        <is>
          <t>Thailand</t>
        </is>
      </c>
      <c r="B286" t="inlineStr">
        <is>
          <t>THA</t>
        </is>
      </c>
      <c r="C286" t="inlineStr">
        <is>
          <t>XCX4.L</t>
        </is>
      </c>
      <c r="D286" t="n">
        <v>2023</v>
      </c>
      <c r="E286" t="n">
        <v>-17.71567436208992</v>
      </c>
      <c r="F286" t="n">
        <v>2.009</v>
      </c>
      <c r="G286" t="n">
        <v>3.318397</v>
      </c>
      <c r="H286" t="n">
        <v>4.087805</v>
      </c>
      <c r="I286" t="n">
        <v>17.63739870550479</v>
      </c>
      <c r="J286" t="inlineStr">
        <is>
          <t>Thailand|XCX4.L|2023</t>
        </is>
      </c>
      <c r="K286" t="inlineStr">
        <is>
          <t>Thailand|2023</t>
        </is>
      </c>
      <c r="L286" t="inlineStr">
        <is>
          <t>GBp</t>
        </is>
      </c>
      <c r="M286" t="n">
        <v>-17.71567436208992</v>
      </c>
      <c r="N286" t="n">
        <v>5.06303068571996</v>
      </c>
      <c r="O286" t="n">
        <v>-13.54959370550479</v>
      </c>
      <c r="P286" t="n">
        <v>-0.7391907100238293</v>
      </c>
      <c r="Q286" t="n">
        <v>-12.90580148108324</v>
      </c>
      <c r="R286" t="n">
        <v>515906000000</v>
      </c>
    </row>
    <row r="287">
      <c r="A287" t="inlineStr">
        <is>
          <t>Thailand</t>
        </is>
      </c>
      <c r="B287" t="inlineStr">
        <is>
          <t>THA</t>
        </is>
      </c>
      <c r="C287" t="inlineStr">
        <is>
          <t>XCX4.L</t>
        </is>
      </c>
      <c r="D287" t="n">
        <v>2024</v>
      </c>
      <c r="E287" t="n">
        <v>0.02910360884749164</v>
      </c>
      <c r="F287" t="n">
        <v>2.54</v>
      </c>
      <c r="G287" t="n">
        <v>3.497714</v>
      </c>
      <c r="H287" t="n">
        <v>2.056964</v>
      </c>
      <c r="I287" t="n">
        <v>3.449327492676463</v>
      </c>
      <c r="J287" t="inlineStr">
        <is>
          <t>Thailand|XCX4.L|2024</t>
        </is>
      </c>
      <c r="K287" t="inlineStr">
        <is>
          <t>Thailand|2024</t>
        </is>
      </c>
      <c r="L287" t="inlineStr">
        <is>
          <t>GBp</t>
        </is>
      </c>
      <c r="M287" t="n">
        <v>0.02910360884749164</v>
      </c>
      <c r="N287" t="n">
        <v>-1.421053523664917</v>
      </c>
      <c r="O287" t="n">
        <v>-1.392363492676463</v>
      </c>
      <c r="P287" t="n">
        <v>1.411712081920236</v>
      </c>
      <c r="Q287" t="n">
        <v>-2.765041154547876</v>
      </c>
      <c r="R287" t="n">
        <v>526518000000</v>
      </c>
    </row>
    <row r="288">
      <c r="A288" t="inlineStr">
        <is>
          <t>Thailand</t>
        </is>
      </c>
      <c r="B288" t="inlineStr">
        <is>
          <t>THA</t>
        </is>
      </c>
      <c r="C288" t="inlineStr">
        <is>
          <t>XCX4.L</t>
        </is>
      </c>
      <c r="D288" t="n">
        <v>2025</v>
      </c>
      <c r="E288" t="n">
        <v>0.5687618492052016</v>
      </c>
      <c r="F288" t="n">
        <v>2</v>
      </c>
      <c r="G288" t="n">
        <v>2.200039</v>
      </c>
      <c r="H288" t="n">
        <v>6.088111</v>
      </c>
      <c r="I288" t="n">
        <v>-2.095646651034562</v>
      </c>
      <c r="J288" t="inlineStr">
        <is>
          <t>Thailand|XCX4.L|2025</t>
        </is>
      </c>
      <c r="K288" t="inlineStr">
        <is>
          <t>Thailand|2025</t>
        </is>
      </c>
      <c r="L288" t="inlineStr">
        <is>
          <t>GBp</t>
        </is>
      </c>
      <c r="M288" t="n">
        <v>0.5687618492052016</v>
      </c>
      <c r="N288" t="n">
        <v>7.571929555270285</v>
      </c>
      <c r="O288" t="n">
        <v>8.183757651034561</v>
      </c>
      <c r="P288" t="n">
        <v>-3.6649460177689</v>
      </c>
      <c r="Q288" t="n">
        <v>12.29947270387053</v>
      </c>
      <c r="R288" t="n">
        <v>558573000000</v>
      </c>
    </row>
    <row r="289">
      <c r="A289" t="inlineStr">
        <is>
          <t>Thailand</t>
        </is>
      </c>
      <c r="B289" t="inlineStr">
        <is>
          <t>THA</t>
        </is>
      </c>
      <c r="C289" t="inlineStr">
        <is>
          <t>XCX4.L</t>
        </is>
      </c>
      <c r="D289" t="n">
        <v>2026</v>
      </c>
      <c r="E289" t="n">
        <v>13.86966551326414</v>
      </c>
      <c r="F289" t="n">
        <v>1.6</v>
      </c>
      <c r="G289" t="n">
        <v>2.299587</v>
      </c>
      <c r="H289" t="n">
        <v>0.525625</v>
      </c>
      <c r="I289" t="n">
        <v>-12.19435303687401</v>
      </c>
      <c r="J289" t="inlineStr">
        <is>
          <t>Thailand|XCX4.L|2026</t>
        </is>
      </c>
      <c r="K289" t="inlineStr">
        <is>
          <t>Thailand|2026</t>
        </is>
      </c>
      <c r="L289" t="inlineStr">
        <is>
          <t>GBp</t>
        </is>
      </c>
      <c r="M289" t="n">
        <v>13.86966551326414</v>
      </c>
      <c r="N289" t="n">
        <v>-1.00965210638666</v>
      </c>
      <c r="O289" t="n">
        <v>12.71997803687401</v>
      </c>
      <c r="P289" t="n">
        <v>1.764686266418569</v>
      </c>
      <c r="Q289" t="n">
        <v>10.76531768768454</v>
      </c>
      <c r="R289" t="n">
        <v>561509000000</v>
      </c>
    </row>
    <row r="290">
      <c r="A290" t="inlineStr">
        <is>
          <t>Turkey</t>
        </is>
      </c>
      <c r="B290" t="inlineStr">
        <is>
          <t>TUR</t>
        </is>
      </c>
      <c r="C290" t="inlineStr">
        <is>
          <t>TURL.L</t>
        </is>
      </c>
      <c r="D290" t="n">
        <v>2015</v>
      </c>
      <c r="E290" t="n">
        <v>-25.52255900399854</v>
      </c>
      <c r="F290" t="n">
        <v>5.806</v>
      </c>
      <c r="G290" t="inlineStr"/>
      <c r="H290" t="inlineStr"/>
      <c r="I290" t="inlineStr"/>
      <c r="J290" t="inlineStr">
        <is>
          <t>Turkey|TURL.L|2015</t>
        </is>
      </c>
      <c r="K290" t="inlineStr">
        <is>
          <t>Turkey|2015</t>
        </is>
      </c>
      <c r="L290" t="inlineStr">
        <is>
          <t>GBp</t>
        </is>
      </c>
      <c r="M290" t="n">
        <v>-25.52255900399854</v>
      </c>
      <c r="N290" t="n">
        <v>-4.888855870697362</v>
      </c>
      <c r="O290" t="n">
        <v>-29.16365375047673</v>
      </c>
      <c r="P290" t="inlineStr"/>
      <c r="Q290" t="inlineStr"/>
      <c r="R290" t="n">
        <v>868204000000</v>
      </c>
    </row>
    <row r="291">
      <c r="A291" t="inlineStr">
        <is>
          <t>Turkey</t>
        </is>
      </c>
      <c r="B291" t="inlineStr">
        <is>
          <t>TUR</t>
        </is>
      </c>
      <c r="C291" t="inlineStr">
        <is>
          <t>TURL.L</t>
        </is>
      </c>
      <c r="D291" t="n">
        <v>2016</v>
      </c>
      <c r="E291" t="n">
        <v>-0.3158486147618378</v>
      </c>
      <c r="F291" t="n">
        <v>3.324</v>
      </c>
      <c r="G291" t="n">
        <v>11.721414</v>
      </c>
      <c r="H291" t="n">
        <v>0.24591</v>
      </c>
      <c r="I291" t="n">
        <v>17.1349551546567</v>
      </c>
      <c r="J291" t="inlineStr">
        <is>
          <t>Turkey|TURL.L|2016</t>
        </is>
      </c>
      <c r="K291" t="inlineStr">
        <is>
          <t>Turkey|2016</t>
        </is>
      </c>
      <c r="L291" t="inlineStr">
        <is>
          <t>GBp</t>
        </is>
      </c>
      <c r="M291" t="n">
        <v>-0.3158486147618378</v>
      </c>
      <c r="N291" t="n">
        <v>-16.62570861023462</v>
      </c>
      <c r="O291" t="n">
        <v>-16.8890451546567</v>
      </c>
      <c r="P291" t="n">
        <v>11.44735382007507</v>
      </c>
      <c r="Q291" t="n">
        <v>-25.42581587040563</v>
      </c>
      <c r="R291" t="n">
        <v>870339000000</v>
      </c>
    </row>
    <row r="292">
      <c r="A292" t="inlineStr">
        <is>
          <t>Turkey</t>
        </is>
      </c>
      <c r="B292" t="inlineStr">
        <is>
          <t>TUR</t>
        </is>
      </c>
      <c r="C292" t="inlineStr">
        <is>
          <t>TURL.L</t>
        </is>
      </c>
      <c r="D292" t="n">
        <v>2017</v>
      </c>
      <c r="E292" t="n">
        <v>23.70318302148371</v>
      </c>
      <c r="F292" t="n">
        <v>7.826</v>
      </c>
      <c r="G292" t="n">
        <v>19.830547</v>
      </c>
      <c r="H292" t="n">
        <v>-0.739137</v>
      </c>
      <c r="I292" t="n">
        <v>-35.37939848930208</v>
      </c>
      <c r="J292" t="inlineStr">
        <is>
          <t>Turkey|TURL.L|2017</t>
        </is>
      </c>
      <c r="K292" t="inlineStr">
        <is>
          <t>Turkey|2017</t>
        </is>
      </c>
      <c r="L292" t="inlineStr">
        <is>
          <t>GBp</t>
        </is>
      </c>
      <c r="M292" t="n">
        <v>23.70318302148371</v>
      </c>
      <c r="N292" t="n">
        <v>8.841388071573641</v>
      </c>
      <c r="O292" t="n">
        <v>34.64026148930208</v>
      </c>
      <c r="P292" t="n">
        <v>20.72285437594072</v>
      </c>
      <c r="Q292" t="n">
        <v>11.52839467332461</v>
      </c>
      <c r="R292" t="n">
        <v>863906000000</v>
      </c>
    </row>
    <row r="293">
      <c r="A293" t="inlineStr">
        <is>
          <t>Turkey</t>
        </is>
      </c>
      <c r="B293" t="inlineStr">
        <is>
          <t>TUR</t>
        </is>
      </c>
      <c r="C293" t="inlineStr">
        <is>
          <t>TURL.L</t>
        </is>
      </c>
      <c r="D293" t="n">
        <v>2018</v>
      </c>
      <c r="E293" t="n">
        <v>-41.33845213022326</v>
      </c>
      <c r="F293" t="n">
        <v>3.468</v>
      </c>
      <c r="G293" t="n">
        <v>20.781976</v>
      </c>
      <c r="H293" t="n">
        <v>-6.55025</v>
      </c>
      <c r="I293" t="n">
        <v>38.35793578098204</v>
      </c>
      <c r="J293" t="inlineStr">
        <is>
          <t>Turkey|TURL.L|2018</t>
        </is>
      </c>
      <c r="K293" t="inlineStr">
        <is>
          <t>Turkey|2018</t>
        </is>
      </c>
      <c r="L293" t="inlineStr">
        <is>
          <t>GBp</t>
        </is>
      </c>
      <c r="M293" t="n">
        <v>-41.33845213022326</v>
      </c>
      <c r="N293" t="n">
        <v>-6.085304224640065</v>
      </c>
      <c r="O293" t="n">
        <v>-44.90818578098204</v>
      </c>
      <c r="P293" t="n">
        <v>29.24804568575656</v>
      </c>
      <c r="Q293" t="n">
        <v>-57.37512785844064</v>
      </c>
      <c r="R293" t="n">
        <v>807318000000</v>
      </c>
    </row>
    <row r="294">
      <c r="A294" t="inlineStr">
        <is>
          <t>Turkey</t>
        </is>
      </c>
      <c r="B294" t="inlineStr">
        <is>
          <t>TUR</t>
        </is>
      </c>
      <c r="C294" t="inlineStr">
        <is>
          <t>TURL.L</t>
        </is>
      </c>
      <c r="D294" t="n">
        <v>2019</v>
      </c>
      <c r="E294" t="n">
        <v>-0.8868204404142599</v>
      </c>
      <c r="F294" t="n">
        <v>1.302</v>
      </c>
      <c r="G294" t="n">
        <v>15.646244</v>
      </c>
      <c r="H294" t="n">
        <v>-3.975509</v>
      </c>
      <c r="I294" t="n">
        <v>-6.006446063195659</v>
      </c>
      <c r="J294" t="inlineStr">
        <is>
          <t>Turkey|TURL.L|2019</t>
        </is>
      </c>
      <c r="K294" t="inlineStr">
        <is>
          <t>Turkey|2019</t>
        </is>
      </c>
      <c r="L294" t="inlineStr">
        <is>
          <t>GBp</t>
        </is>
      </c>
      <c r="M294" t="n">
        <v>-0.8868204404142599</v>
      </c>
      <c r="N294" t="n">
        <v>2.94386429390634</v>
      </c>
      <c r="O294" t="n">
        <v>2.030937063195659</v>
      </c>
      <c r="P294" t="n">
        <v>20.43411325529472</v>
      </c>
      <c r="Q294" t="n">
        <v>-15.28070053796821</v>
      </c>
      <c r="R294" t="n">
        <v>775223000000</v>
      </c>
    </row>
    <row r="295">
      <c r="A295" t="inlineStr">
        <is>
          <t>Turkey</t>
        </is>
      </c>
      <c r="B295" t="inlineStr">
        <is>
          <t>TUR</t>
        </is>
      </c>
      <c r="C295" t="inlineStr">
        <is>
          <t>TURL.L</t>
        </is>
      </c>
      <c r="D295" t="n">
        <v>2020</v>
      </c>
      <c r="E295" t="n">
        <v>-14.3073700427641</v>
      </c>
      <c r="F295" t="n">
        <v>1.803</v>
      </c>
      <c r="G295" t="n">
        <v>16.802649</v>
      </c>
      <c r="H295" t="n">
        <v>-5.789044</v>
      </c>
      <c r="I295" t="n">
        <v>6.140185579564416</v>
      </c>
      <c r="J295" t="inlineStr">
        <is>
          <t>Turkey|TURL.L|2020</t>
        </is>
      </c>
      <c r="K295" t="inlineStr">
        <is>
          <t>Turkey|2020</t>
        </is>
      </c>
      <c r="L295" t="inlineStr">
        <is>
          <t>GBp</t>
        </is>
      </c>
      <c r="M295" t="n">
        <v>-14.3073700427641</v>
      </c>
      <c r="N295" t="n">
        <v>2.775198362317122</v>
      </c>
      <c r="O295" t="n">
        <v>-11.92922957956442</v>
      </c>
      <c r="P295" t="n">
        <v>23.97989961492115</v>
      </c>
      <c r="Q295" t="n">
        <v>-28.96367016429158</v>
      </c>
      <c r="R295" t="n">
        <v>730345000000</v>
      </c>
    </row>
    <row r="296">
      <c r="A296" t="inlineStr">
        <is>
          <t>Turkey</t>
        </is>
      </c>
      <c r="B296" t="inlineStr">
        <is>
          <t>TUR</t>
        </is>
      </c>
      <c r="C296" t="inlineStr">
        <is>
          <t>TURL.L</t>
        </is>
      </c>
      <c r="D296" t="n">
        <v>2021</v>
      </c>
      <c r="E296" t="n">
        <v>-26.40840105068237</v>
      </c>
      <c r="F296" t="n">
        <v>11.811</v>
      </c>
      <c r="G296" t="n">
        <v>44.578332</v>
      </c>
      <c r="H296" t="n">
        <v>13.326305</v>
      </c>
      <c r="I296" t="n">
        <v>40.67463304965631</v>
      </c>
      <c r="J296" t="inlineStr">
        <is>
          <t>Turkey|TURL.L|2021</t>
        </is>
      </c>
      <c r="K296" t="inlineStr">
        <is>
          <t>Turkey|2021</t>
        </is>
      </c>
      <c r="L296" t="inlineStr">
        <is>
          <t>GBp</t>
        </is>
      </c>
      <c r="M296" t="n">
        <v>-26.40840105068237</v>
      </c>
      <c r="N296" t="n">
        <v>-1.277220514832489</v>
      </c>
      <c r="O296" t="n">
        <v>-27.34832804965631</v>
      </c>
      <c r="P296" t="n">
        <v>27.57702846858645</v>
      </c>
      <c r="Q296" t="n">
        <v>-43.05270092708512</v>
      </c>
      <c r="R296" t="n">
        <v>827673000000</v>
      </c>
    </row>
    <row r="297">
      <c r="A297" t="inlineStr">
        <is>
          <t>Turkey</t>
        </is>
      </c>
      <c r="B297" t="inlineStr">
        <is>
          <t>TUR</t>
        </is>
      </c>
      <c r="C297" t="inlineStr">
        <is>
          <t>TURL.L</t>
        </is>
      </c>
      <c r="D297" t="n">
        <v>2022</v>
      </c>
      <c r="E297" t="n">
        <v>109.6554391742339</v>
      </c>
      <c r="F297" t="n">
        <v>5.441</v>
      </c>
      <c r="G297" t="n">
        <v>106.164519</v>
      </c>
      <c r="H297" t="n">
        <v>11.729149</v>
      </c>
      <c r="I297" t="n">
        <v>-75.19744551406782</v>
      </c>
      <c r="J297" t="inlineStr">
        <is>
          <t>Turkey|TURL.L|2022</t>
        </is>
      </c>
      <c r="K297" t="inlineStr">
        <is>
          <t>Turkey|2022</t>
        </is>
      </c>
      <c r="L297" t="inlineStr">
        <is>
          <t>GBp</t>
        </is>
      </c>
      <c r="M297" t="n">
        <v>109.6554391742339</v>
      </c>
      <c r="N297" t="n">
        <v>-10.84104698150823</v>
      </c>
      <c r="O297" t="n">
        <v>86.92659451406782</v>
      </c>
      <c r="P297" t="n">
        <v>84.52169423245107</v>
      </c>
      <c r="Q297" t="n">
        <v>1.303315738358202</v>
      </c>
      <c r="R297" t="n">
        <v>924752000000</v>
      </c>
    </row>
    <row r="298">
      <c r="A298" t="inlineStr">
        <is>
          <t>Turkey</t>
        </is>
      </c>
      <c r="B298" t="inlineStr">
        <is>
          <t>TUR</t>
        </is>
      </c>
      <c r="C298" t="inlineStr">
        <is>
          <t>TURL.L</t>
        </is>
      </c>
      <c r="D298" t="n">
        <v>2023</v>
      </c>
      <c r="E298" t="n">
        <v>-19.83238917593529</v>
      </c>
      <c r="F298" t="n">
        <v>5.045</v>
      </c>
      <c r="G298" t="n">
        <v>76.769673</v>
      </c>
      <c r="H298" t="n">
        <v>24.713977</v>
      </c>
      <c r="I298" t="n">
        <v>40.48745543990434</v>
      </c>
      <c r="J298" t="inlineStr">
        <is>
          <t>Turkey|TURL.L|2023</t>
        </is>
      </c>
      <c r="K298" t="inlineStr">
        <is>
          <t>Turkey|2023</t>
        </is>
      </c>
      <c r="L298" t="inlineStr">
        <is>
          <t>GBp</t>
        </is>
      </c>
      <c r="M298" t="n">
        <v>-19.83238917593529</v>
      </c>
      <c r="N298" t="n">
        <v>5.06303068571996</v>
      </c>
      <c r="O298" t="n">
        <v>-15.77347843990434</v>
      </c>
      <c r="P298" t="n">
        <v>41.74006495945895</v>
      </c>
      <c r="Q298" t="n">
        <v>-40.5767722879297</v>
      </c>
      <c r="R298" t="n">
        <v>1153295000000</v>
      </c>
    </row>
    <row r="299">
      <c r="A299" t="inlineStr">
        <is>
          <t>Turkey</t>
        </is>
      </c>
      <c r="B299" t="inlineStr">
        <is>
          <t>TUR</t>
        </is>
      </c>
      <c r="C299" t="inlineStr">
        <is>
          <t>TURL.L</t>
        </is>
      </c>
      <c r="D299" t="n">
        <v>2024</v>
      </c>
      <c r="E299" t="n">
        <v>0</v>
      </c>
      <c r="F299" t="n">
        <v>3.328</v>
      </c>
      <c r="G299" t="n">
        <v>64.580319</v>
      </c>
      <c r="H299" t="n">
        <v>17.771342</v>
      </c>
      <c r="I299" t="n">
        <v>19.19239552366492</v>
      </c>
      <c r="J299" t="inlineStr">
        <is>
          <t>Turkey|TURL.L|2024</t>
        </is>
      </c>
      <c r="K299" t="inlineStr">
        <is>
          <t>Turkey|2024</t>
        </is>
      </c>
      <c r="L299" t="inlineStr">
        <is>
          <t>GBp</t>
        </is>
      </c>
      <c r="M299" t="n">
        <v>0</v>
      </c>
      <c r="N299" t="n">
        <v>-1.421053523664917</v>
      </c>
      <c r="O299" t="n">
        <v>-1.421053523664917</v>
      </c>
      <c r="P299" t="n">
        <v>39.74564242319418</v>
      </c>
      <c r="Q299" t="n">
        <v>-29.45830383905158</v>
      </c>
      <c r="R299" t="n">
        <v>1358251000000</v>
      </c>
    </row>
    <row r="300">
      <c r="A300" t="inlineStr">
        <is>
          <t>Turkey</t>
        </is>
      </c>
      <c r="B300" t="inlineStr">
        <is>
          <t>TUR</t>
        </is>
      </c>
      <c r="C300" t="inlineStr">
        <is>
          <t>TURL.L</t>
        </is>
      </c>
      <c r="D300" t="n">
        <v>2025</v>
      </c>
      <c r="E300" t="n">
        <v>0</v>
      </c>
      <c r="F300" t="n">
        <v>3.494</v>
      </c>
      <c r="G300" t="n">
        <v>39.453331</v>
      </c>
      <c r="H300" t="n">
        <v>15.256385</v>
      </c>
      <c r="I300" t="n">
        <v>7.684455444729715</v>
      </c>
      <c r="J300" t="inlineStr">
        <is>
          <t>Turkey|TURL.L|2025</t>
        </is>
      </c>
      <c r="K300" t="inlineStr">
        <is>
          <t>Turkey|2025</t>
        </is>
      </c>
      <c r="L300" t="inlineStr">
        <is>
          <t>GBp</t>
        </is>
      </c>
      <c r="M300" t="n">
        <v>0</v>
      </c>
      <c r="N300" t="n">
        <v>7.571929555270285</v>
      </c>
      <c r="O300" t="n">
        <v>7.571929555270285</v>
      </c>
      <c r="P300" t="n">
        <v>20.99401823360612</v>
      </c>
      <c r="Q300" t="n">
        <v>-11.09318367493298</v>
      </c>
      <c r="R300" t="n">
        <v>1565471000000</v>
      </c>
    </row>
    <row r="301">
      <c r="A301" t="inlineStr">
        <is>
          <t>Turkey</t>
        </is>
      </c>
      <c r="B301" t="inlineStr">
        <is>
          <t>TUR</t>
        </is>
      </c>
      <c r="C301" t="inlineStr">
        <is>
          <t>TURL.L</t>
        </is>
      </c>
      <c r="D301" t="n">
        <v>2026</v>
      </c>
      <c r="E301" t="n">
        <v>0</v>
      </c>
      <c r="F301" t="n">
        <v>3.693</v>
      </c>
      <c r="G301" t="n">
        <v>28.538319</v>
      </c>
      <c r="H301" t="n">
        <v>0.679604</v>
      </c>
      <c r="I301" t="n">
        <v>1.68925610638666</v>
      </c>
      <c r="J301" t="inlineStr">
        <is>
          <t>Turkey|TURL.L|2026</t>
        </is>
      </c>
      <c r="K301" t="inlineStr">
        <is>
          <t>Turkey|2026</t>
        </is>
      </c>
      <c r="L301" t="inlineStr">
        <is>
          <t>GBp</t>
        </is>
      </c>
      <c r="M301" t="n">
        <v>0</v>
      </c>
      <c r="N301" t="n">
        <v>-1.00965210638666</v>
      </c>
      <c r="O301" t="n">
        <v>-1.00965210638666</v>
      </c>
      <c r="P301" t="n">
        <v>27.67066410635637</v>
      </c>
      <c r="Q301" t="n">
        <v>-22.46429625277959</v>
      </c>
      <c r="R301" t="n">
        <v>1576110000000</v>
      </c>
    </row>
    <row r="302">
      <c r="A302" t="inlineStr">
        <is>
          <t>United Kingdom</t>
        </is>
      </c>
      <c r="B302" t="inlineStr">
        <is>
          <t>GBR</t>
        </is>
      </c>
      <c r="C302" t="inlineStr">
        <is>
          <t>CSUK.L</t>
        </is>
      </c>
      <c r="D302" t="n">
        <v>2015</v>
      </c>
      <c r="E302" t="n">
        <v>-2.0339794209141</v>
      </c>
      <c r="F302" t="n">
        <v>2.223</v>
      </c>
      <c r="G302" t="inlineStr"/>
      <c r="H302" t="inlineStr"/>
      <c r="I302" t="inlineStr"/>
      <c r="J302" t="inlineStr">
        <is>
          <t>United Kingdom|CSUK.L|2015</t>
        </is>
      </c>
      <c r="K302" t="inlineStr">
        <is>
          <t>United Kingdom|2015</t>
        </is>
      </c>
      <c r="L302" t="inlineStr">
        <is>
          <t>GBp</t>
        </is>
      </c>
      <c r="M302" t="n">
        <v>-2.0339794209141</v>
      </c>
      <c r="N302" t="n">
        <v>-4.888855870697362</v>
      </c>
      <c r="O302" t="n">
        <v>-6.823396969283325</v>
      </c>
      <c r="P302" t="inlineStr"/>
      <c r="Q302" t="inlineStr"/>
      <c r="R302" t="n">
        <v>2928558000000</v>
      </c>
    </row>
    <row r="303">
      <c r="A303" t="inlineStr">
        <is>
          <t>United Kingdom</t>
        </is>
      </c>
      <c r="B303" t="inlineStr">
        <is>
          <t>GBR</t>
        </is>
      </c>
      <c r="C303" t="inlineStr">
        <is>
          <t>CSUK.L</t>
        </is>
      </c>
      <c r="D303" t="n">
        <v>2016</v>
      </c>
      <c r="E303" t="n">
        <v>21.43933685003767</v>
      </c>
      <c r="F303" t="n">
        <v>1.922</v>
      </c>
      <c r="G303" t="n">
        <v>3.923607</v>
      </c>
      <c r="H303" t="n">
        <v>-7.835665</v>
      </c>
      <c r="I303" t="n">
        <v>-9.084851567149119</v>
      </c>
      <c r="J303" t="inlineStr">
        <is>
          <t>United Kingdom|CSUK.L|2016</t>
        </is>
      </c>
      <c r="K303" t="inlineStr">
        <is>
          <t>United Kingdom|2016</t>
        </is>
      </c>
      <c r="L303" t="inlineStr">
        <is>
          <t>GBp</t>
        </is>
      </c>
      <c r="M303" t="n">
        <v>21.43933685003767</v>
      </c>
      <c r="N303" t="n">
        <v>-16.62570861023462</v>
      </c>
      <c r="O303" t="n">
        <v>1.249186567149119</v>
      </c>
      <c r="P303" t="n">
        <v>12.7590265055878</v>
      </c>
      <c r="Q303" t="n">
        <v>-10.20746657285864</v>
      </c>
      <c r="R303" t="n">
        <v>2699086000000</v>
      </c>
    </row>
    <row r="304">
      <c r="A304" t="inlineStr">
        <is>
          <t>United Kingdom</t>
        </is>
      </c>
      <c r="B304" t="inlineStr">
        <is>
          <t>GBR</t>
        </is>
      </c>
      <c r="C304" t="inlineStr">
        <is>
          <t>CSUK.L</t>
        </is>
      </c>
      <c r="D304" t="n">
        <v>2017</v>
      </c>
      <c r="E304" t="n">
        <v>10.78797808611951</v>
      </c>
      <c r="F304" t="n">
        <v>2.657</v>
      </c>
      <c r="G304" t="n">
        <v>4.560903</v>
      </c>
      <c r="H304" t="n">
        <v>-0.618802</v>
      </c>
      <c r="I304" t="n">
        <v>-21.20197516536329</v>
      </c>
      <c r="J304" t="inlineStr">
        <is>
          <t>United Kingdom|CSUK.L|2017</t>
        </is>
      </c>
      <c r="K304" t="inlineStr">
        <is>
          <t>United Kingdom|2017</t>
        </is>
      </c>
      <c r="L304" t="inlineStr">
        <is>
          <t>GBp</t>
        </is>
      </c>
      <c r="M304" t="n">
        <v>10.78797808611951</v>
      </c>
      <c r="N304" t="n">
        <v>8.841388071573641</v>
      </c>
      <c r="O304" t="n">
        <v>20.58317316536329</v>
      </c>
      <c r="P304" t="n">
        <v>5.211956938907325</v>
      </c>
      <c r="Q304" t="n">
        <v>14.60976173590369</v>
      </c>
      <c r="R304" t="n">
        <v>2682384000000</v>
      </c>
    </row>
    <row r="305">
      <c r="A305" t="inlineStr">
        <is>
          <t>United Kingdom</t>
        </is>
      </c>
      <c r="B305" t="inlineStr">
        <is>
          <t>GBR</t>
        </is>
      </c>
      <c r="C305" t="inlineStr">
        <is>
          <t>CSUK.L</t>
        </is>
      </c>
      <c r="D305" t="n">
        <v>2018</v>
      </c>
      <c r="E305" t="n">
        <v>-8.762214983713356</v>
      </c>
      <c r="F305" t="n">
        <v>1.405</v>
      </c>
      <c r="G305" t="n">
        <v>3.352826</v>
      </c>
      <c r="H305" t="n">
        <v>7.181671</v>
      </c>
      <c r="I305" t="n">
        <v>21.49598276977746</v>
      </c>
      <c r="J305" t="inlineStr">
        <is>
          <t>United Kingdom|CSUK.L|2018</t>
        </is>
      </c>
      <c r="K305" t="inlineStr">
        <is>
          <t>United Kingdom|2018</t>
        </is>
      </c>
      <c r="L305" t="inlineStr">
        <is>
          <t>GBp</t>
        </is>
      </c>
      <c r="M305" t="n">
        <v>-8.762214983713356</v>
      </c>
      <c r="N305" t="n">
        <v>-6.085304224640065</v>
      </c>
      <c r="O305" t="n">
        <v>-14.31431176977746</v>
      </c>
      <c r="P305" t="n">
        <v>-3.572294672198728</v>
      </c>
      <c r="Q305" t="n">
        <v>-11.13996963949497</v>
      </c>
      <c r="R305" t="n">
        <v>2875024000000</v>
      </c>
    </row>
    <row r="306">
      <c r="A306" t="inlineStr">
        <is>
          <t>United Kingdom</t>
        </is>
      </c>
      <c r="B306" t="inlineStr">
        <is>
          <t>GBR</t>
        </is>
      </c>
      <c r="C306" t="inlineStr">
        <is>
          <t>CSUK.L</t>
        </is>
      </c>
      <c r="D306" t="n">
        <v>2019</v>
      </c>
      <c r="E306" t="n">
        <v>16.07315706352846</v>
      </c>
      <c r="F306" t="n">
        <v>1.624</v>
      </c>
      <c r="G306" t="n">
        <v>3.792076</v>
      </c>
      <c r="H306" t="n">
        <v>-0.763472</v>
      </c>
      <c r="I306" t="n">
        <v>-20.25366528913149</v>
      </c>
      <c r="J306" t="inlineStr">
        <is>
          <t>United Kingdom|CSUK.L|2019</t>
        </is>
      </c>
      <c r="K306" t="inlineStr">
        <is>
          <t>United Kingdom|2019</t>
        </is>
      </c>
      <c r="L306" t="inlineStr">
        <is>
          <t>GBp</t>
        </is>
      </c>
      <c r="M306" t="n">
        <v>16.07315706352846</v>
      </c>
      <c r="N306" t="n">
        <v>2.94386429390634</v>
      </c>
      <c r="O306" t="n">
        <v>19.49019328913149</v>
      </c>
      <c r="P306" t="n">
        <v>4.59059563527251</v>
      </c>
      <c r="Q306" t="n">
        <v>14.24563801684116</v>
      </c>
      <c r="R306" t="n">
        <v>2853074000000</v>
      </c>
    </row>
    <row r="307">
      <c r="A307" t="inlineStr">
        <is>
          <t>United Kingdom</t>
        </is>
      </c>
      <c r="B307" t="inlineStr">
        <is>
          <t>GBR</t>
        </is>
      </c>
      <c r="C307" t="inlineStr">
        <is>
          <t>CSUK.L</t>
        </is>
      </c>
      <c r="D307" t="n">
        <v>2020</v>
      </c>
      <c r="E307" t="n">
        <v>-13.76937815711548</v>
      </c>
      <c r="F307" t="n">
        <v>-10.297</v>
      </c>
      <c r="G307" t="n">
        <v>-5.838837</v>
      </c>
      <c r="H307" t="n">
        <v>-5.41062</v>
      </c>
      <c r="I307" t="n">
        <v>5.965687351915872</v>
      </c>
      <c r="J307" t="inlineStr">
        <is>
          <t>United Kingdom|CSUK.L|2020</t>
        </is>
      </c>
      <c r="K307" t="inlineStr">
        <is>
          <t>United Kingdom|2020</t>
        </is>
      </c>
      <c r="L307" t="inlineStr">
        <is>
          <t>GBp</t>
        </is>
      </c>
      <c r="M307" t="n">
        <v>-13.76937815711548</v>
      </c>
      <c r="N307" t="n">
        <v>2.775198362317122</v>
      </c>
      <c r="O307" t="n">
        <v>-11.37630735191587</v>
      </c>
      <c r="P307" t="n">
        <v>-0.4527109415704333</v>
      </c>
      <c r="Q307" t="n">
        <v>-10.97327362067469</v>
      </c>
      <c r="R307" t="n">
        <v>2698705000000</v>
      </c>
    </row>
    <row r="308">
      <c r="A308" t="inlineStr">
        <is>
          <t>United Kingdom</t>
        </is>
      </c>
      <c r="B308" t="inlineStr">
        <is>
          <t>GBR</t>
        </is>
      </c>
      <c r="C308" t="inlineStr">
        <is>
          <t>CSUK.L</t>
        </is>
      </c>
      <c r="D308" t="n">
        <v>2021</v>
      </c>
      <c r="E308" t="n">
        <v>16.31212723658053</v>
      </c>
      <c r="F308" t="n">
        <v>8.576000000000001</v>
      </c>
      <c r="G308" t="n">
        <v>8.648215</v>
      </c>
      <c r="H308" t="n">
        <v>16.503249</v>
      </c>
      <c r="I308" t="n">
        <v>1.676684113723152</v>
      </c>
      <c r="J308" t="inlineStr">
        <is>
          <t>United Kingdom|CSUK.L|2021</t>
        </is>
      </c>
      <c r="K308" t="inlineStr">
        <is>
          <t>United Kingdom|2021</t>
        </is>
      </c>
      <c r="L308" t="inlineStr">
        <is>
          <t>GBp</t>
        </is>
      </c>
      <c r="M308" t="n">
        <v>16.31212723658053</v>
      </c>
      <c r="N308" t="n">
        <v>-1.277220514832489</v>
      </c>
      <c r="O308" t="n">
        <v>14.82656488627685</v>
      </c>
      <c r="P308" t="n">
        <v>-6.742329910657796</v>
      </c>
      <c r="Q308" t="n">
        <v>23.12827971819511</v>
      </c>
      <c r="R308" t="n">
        <v>3144079000000</v>
      </c>
    </row>
    <row r="309">
      <c r="A309" t="inlineStr">
        <is>
          <t>United Kingdom</t>
        </is>
      </c>
      <c r="B309" t="inlineStr">
        <is>
          <t>GBR</t>
        </is>
      </c>
      <c r="C309" t="inlineStr">
        <is>
          <t>CSUK.L</t>
        </is>
      </c>
      <c r="D309" t="n">
        <v>2022</v>
      </c>
      <c r="E309" t="n">
        <v>5.392692146157074</v>
      </c>
      <c r="F309" t="n">
        <v>4.839</v>
      </c>
      <c r="G309" t="n">
        <v>10.546425</v>
      </c>
      <c r="H309" t="n">
        <v>-0.593974</v>
      </c>
      <c r="I309" t="n">
        <v>5.43900512448415</v>
      </c>
      <c r="J309" t="inlineStr">
        <is>
          <t>United Kingdom|CSUK.L|2022</t>
        </is>
      </c>
      <c r="K309" t="inlineStr">
        <is>
          <t>United Kingdom|2022</t>
        </is>
      </c>
      <c r="L309" t="inlineStr">
        <is>
          <t>GBp</t>
        </is>
      </c>
      <c r="M309" t="n">
        <v>5.392692146157074</v>
      </c>
      <c r="N309" t="n">
        <v>-10.84104698150823</v>
      </c>
      <c r="O309" t="n">
        <v>-6.03297912448415</v>
      </c>
      <c r="P309" t="n">
        <v>11.20696517543676</v>
      </c>
      <c r="Q309" t="n">
        <v>-15.50257600566987</v>
      </c>
      <c r="R309" t="n">
        <v>3125404000000</v>
      </c>
    </row>
    <row r="310">
      <c r="A310" t="inlineStr">
        <is>
          <t>United Kingdom</t>
        </is>
      </c>
      <c r="B310" t="inlineStr">
        <is>
          <t>GBR</t>
        </is>
      </c>
      <c r="C310" t="inlineStr">
        <is>
          <t>CSUK.L</t>
        </is>
      </c>
      <c r="D310" t="n">
        <v>2023</v>
      </c>
      <c r="E310" t="n">
        <v>5.633026077365488</v>
      </c>
      <c r="F310" t="n">
        <v>0.397</v>
      </c>
      <c r="G310" t="n">
        <v>7.312973</v>
      </c>
      <c r="H310" t="n">
        <v>7.861832</v>
      </c>
      <c r="I310" t="n">
        <v>-3.119426601917077</v>
      </c>
      <c r="J310" t="inlineStr">
        <is>
          <t>United Kingdom|CSUK.L|2023</t>
        </is>
      </c>
      <c r="K310" t="inlineStr">
        <is>
          <t>United Kingdom|2023</t>
        </is>
      </c>
      <c r="L310" t="inlineStr">
        <is>
          <t>GBp</t>
        </is>
      </c>
      <c r="M310" t="n">
        <v>5.633026077365488</v>
      </c>
      <c r="N310" t="n">
        <v>5.06303068571996</v>
      </c>
      <c r="O310" t="n">
        <v>10.98125860191708</v>
      </c>
      <c r="P310" t="n">
        <v>-0.5088533315019572</v>
      </c>
      <c r="Q310" t="n">
        <v>11.54887878788229</v>
      </c>
      <c r="R310" t="n">
        <v>3371118000000</v>
      </c>
    </row>
    <row r="311">
      <c r="A311" t="inlineStr">
        <is>
          <t>United Kingdom</t>
        </is>
      </c>
      <c r="B311" t="inlineStr">
        <is>
          <t>GBR</t>
        </is>
      </c>
      <c r="C311" t="inlineStr">
        <is>
          <t>CSUK.L</t>
        </is>
      </c>
      <c r="D311" t="n">
        <v>2024</v>
      </c>
      <c r="E311" t="n">
        <v>8.961349052380241</v>
      </c>
      <c r="F311" t="n">
        <v>1.101</v>
      </c>
      <c r="G311" t="n">
        <v>5.156564</v>
      </c>
      <c r="H311" t="n">
        <v>8.113569</v>
      </c>
      <c r="I311" t="n">
        <v>0.7006190377614425</v>
      </c>
      <c r="J311" t="inlineStr">
        <is>
          <t>United Kingdom|CSUK.L|2024</t>
        </is>
      </c>
      <c r="K311" t="inlineStr">
        <is>
          <t>United Kingdom|2024</t>
        </is>
      </c>
      <c r="L311" t="inlineStr">
        <is>
          <t>GBp</t>
        </is>
      </c>
      <c r="M311" t="n">
        <v>8.961349052380241</v>
      </c>
      <c r="N311" t="n">
        <v>-1.421053523664917</v>
      </c>
      <c r="O311" t="n">
        <v>7.412949962238558</v>
      </c>
      <c r="P311" t="n">
        <v>-2.735091514946997</v>
      </c>
      <c r="Q311" t="n">
        <v>10.43340464227656</v>
      </c>
      <c r="R311" t="n">
        <v>3644636000000</v>
      </c>
    </row>
    <row r="312">
      <c r="A312" t="inlineStr">
        <is>
          <t>United Kingdom</t>
        </is>
      </c>
      <c r="B312" t="inlineStr">
        <is>
          <t>GBR</t>
        </is>
      </c>
      <c r="C312" t="inlineStr">
        <is>
          <t>CSUK.L</t>
        </is>
      </c>
      <c r="D312" t="n">
        <v>2025</v>
      </c>
      <c r="E312" t="n">
        <v>23.79534380075798</v>
      </c>
      <c r="F312" t="n">
        <v>1.308</v>
      </c>
      <c r="G312" t="n">
        <v>4.886901</v>
      </c>
      <c r="H312" t="n">
        <v>8.619351999999999</v>
      </c>
      <c r="I312" t="n">
        <v>-24.54968802605603</v>
      </c>
      <c r="J312" t="inlineStr">
        <is>
          <t>United Kingdom|CSUK.L|2025</t>
        </is>
      </c>
      <c r="K312" t="inlineStr">
        <is>
          <t>United Kingdom|2025</t>
        </is>
      </c>
      <c r="L312" t="inlineStr">
        <is>
          <t>GBp</t>
        </is>
      </c>
      <c r="M312" t="n">
        <v>23.79534380075798</v>
      </c>
      <c r="N312" t="n">
        <v>7.571929555270285</v>
      </c>
      <c r="O312" t="n">
        <v>33.16904002605603</v>
      </c>
      <c r="P312" t="n">
        <v>-3.436267223503675</v>
      </c>
      <c r="Q312" t="n">
        <v>37.90792484615866</v>
      </c>
      <c r="R312" t="n">
        <v>3958780000000</v>
      </c>
    </row>
    <row r="313">
      <c r="A313" t="inlineStr">
        <is>
          <t>United Kingdom</t>
        </is>
      </c>
      <c r="B313" t="inlineStr">
        <is>
          <t>GBR</t>
        </is>
      </c>
      <c r="C313" t="inlineStr">
        <is>
          <t>CSUK.L</t>
        </is>
      </c>
      <c r="D313" t="n">
        <v>2026</v>
      </c>
      <c r="E313" t="n">
        <v>3.733854336263964</v>
      </c>
      <c r="F313" t="n">
        <v>1.264</v>
      </c>
      <c r="G313" t="n">
        <v>3.62701</v>
      </c>
      <c r="H313" t="n">
        <v>6.74094</v>
      </c>
      <c r="I313" t="n">
        <v>4.054436709078185</v>
      </c>
      <c r="J313" t="inlineStr">
        <is>
          <t>United Kingdom|CSUK.L|2026</t>
        </is>
      </c>
      <c r="K313" t="inlineStr">
        <is>
          <t>United Kingdom|2026</t>
        </is>
      </c>
      <c r="L313" t="inlineStr">
        <is>
          <t>GBp</t>
        </is>
      </c>
      <c r="M313" t="n">
        <v>3.733854336263964</v>
      </c>
      <c r="N313" t="n">
        <v>-1.00965210638666</v>
      </c>
      <c r="O313" t="n">
        <v>2.686503290921816</v>
      </c>
      <c r="P313" t="n">
        <v>-2.917278011347091</v>
      </c>
      <c r="Q313" t="n">
        <v>5.772171594986686</v>
      </c>
      <c r="R313" t="n">
        <v>4225639000000</v>
      </c>
    </row>
    <row r="314">
      <c r="A314" t="inlineStr">
        <is>
          <t>United Kingdom</t>
        </is>
      </c>
      <c r="B314" t="inlineStr">
        <is>
          <t>GBR</t>
        </is>
      </c>
      <c r="C314" t="inlineStr">
        <is>
          <t>CUKX.L</t>
        </is>
      </c>
      <c r="D314" t="n">
        <v>2015</v>
      </c>
      <c r="E314" t="n">
        <v>-1.165381319622971</v>
      </c>
      <c r="F314" t="n">
        <v>2.223</v>
      </c>
      <c r="G314" t="inlineStr"/>
      <c r="H314" t="inlineStr"/>
      <c r="I314" t="inlineStr"/>
      <c r="J314" t="inlineStr">
        <is>
          <t>United Kingdom|CUKX.L|2015</t>
        </is>
      </c>
      <c r="K314" t="inlineStr">
        <is>
          <t>United Kingdom|2015</t>
        </is>
      </c>
      <c r="L314" t="inlineStr">
        <is>
          <t>GBp</t>
        </is>
      </c>
      <c r="M314" t="n">
        <v>-1.165381319622971</v>
      </c>
      <c r="N314" t="n">
        <v>-4.888855870697362</v>
      </c>
      <c r="O314" t="n">
        <v>-5.997263377259932</v>
      </c>
      <c r="P314" t="inlineStr"/>
      <c r="Q314" t="inlineStr"/>
      <c r="R314" t="n">
        <v>2928558000000</v>
      </c>
    </row>
    <row r="315">
      <c r="A315" t="inlineStr">
        <is>
          <t>United Kingdom</t>
        </is>
      </c>
      <c r="B315" t="inlineStr">
        <is>
          <t>GBR</t>
        </is>
      </c>
      <c r="C315" t="inlineStr">
        <is>
          <t>CUKX.L</t>
        </is>
      </c>
      <c r="D315" t="n">
        <v>2016</v>
      </c>
      <c r="E315" t="n">
        <v>22.1086413883276</v>
      </c>
      <c r="F315" t="n">
        <v>1.922</v>
      </c>
      <c r="G315" t="n">
        <v>3.923607</v>
      </c>
      <c r="H315" t="n">
        <v>-7.835665</v>
      </c>
      <c r="I315" t="n">
        <v>-9.642879483187901</v>
      </c>
      <c r="J315" t="inlineStr">
        <is>
          <t>United Kingdom|CUKX.L|2016</t>
        </is>
      </c>
      <c r="K315" t="inlineStr">
        <is>
          <t>United Kingdom|2016</t>
        </is>
      </c>
      <c r="L315" t="inlineStr">
        <is>
          <t>GBp</t>
        </is>
      </c>
      <c r="M315" t="n">
        <v>22.1086413883276</v>
      </c>
      <c r="N315" t="n">
        <v>-16.62570861023462</v>
      </c>
      <c r="O315" t="n">
        <v>1.807214483187902</v>
      </c>
      <c r="P315" t="n">
        <v>12.7590265055878</v>
      </c>
      <c r="Q315" t="n">
        <v>-9.712581211276405</v>
      </c>
      <c r="R315" t="n">
        <v>2699086000000</v>
      </c>
    </row>
    <row r="316">
      <c r="A316" t="inlineStr">
        <is>
          <t>United Kingdom</t>
        </is>
      </c>
      <c r="B316" t="inlineStr">
        <is>
          <t>GBR</t>
        </is>
      </c>
      <c r="C316" t="inlineStr">
        <is>
          <t>CUKX.L</t>
        </is>
      </c>
      <c r="D316" t="n">
        <v>2017</v>
      </c>
      <c r="E316" t="n">
        <v>11.49447473821359</v>
      </c>
      <c r="F316" t="n">
        <v>2.657</v>
      </c>
      <c r="G316" t="n">
        <v>4.560903</v>
      </c>
      <c r="H316" t="n">
        <v>-0.618802</v>
      </c>
      <c r="I316" t="n">
        <v>-21.97093592818169</v>
      </c>
      <c r="J316" t="inlineStr">
        <is>
          <t>United Kingdom|CUKX.L|2017</t>
        </is>
      </c>
      <c r="K316" t="inlineStr">
        <is>
          <t>United Kingdom|2017</t>
        </is>
      </c>
      <c r="L316" t="inlineStr">
        <is>
          <t>GBp</t>
        </is>
      </c>
      <c r="M316" t="n">
        <v>11.49447473821359</v>
      </c>
      <c r="N316" t="n">
        <v>8.841388071573641</v>
      </c>
      <c r="O316" t="n">
        <v>21.35213392818169</v>
      </c>
      <c r="P316" t="n">
        <v>5.211956938907325</v>
      </c>
      <c r="Q316" t="n">
        <v>15.3406299615227</v>
      </c>
      <c r="R316" t="n">
        <v>2682384000000</v>
      </c>
    </row>
    <row r="317">
      <c r="A317" t="inlineStr">
        <is>
          <t>United Kingdom</t>
        </is>
      </c>
      <c r="B317" t="inlineStr">
        <is>
          <t>GBR</t>
        </is>
      </c>
      <c r="C317" t="inlineStr">
        <is>
          <t>CUKX.L</t>
        </is>
      </c>
      <c r="D317" t="n">
        <v>2018</v>
      </c>
      <c r="E317" t="n">
        <v>-8.379839553540302</v>
      </c>
      <c r="F317" t="n">
        <v>1.405</v>
      </c>
      <c r="G317" t="n">
        <v>3.352826</v>
      </c>
      <c r="H317" t="n">
        <v>7.181671</v>
      </c>
      <c r="I317" t="n">
        <v>21.13687604781072</v>
      </c>
      <c r="J317" t="inlineStr">
        <is>
          <t>United Kingdom|CUKX.L|2018</t>
        </is>
      </c>
      <c r="K317" t="inlineStr">
        <is>
          <t>United Kingdom|2018</t>
        </is>
      </c>
      <c r="L317" t="inlineStr">
        <is>
          <t>GBp</t>
        </is>
      </c>
      <c r="M317" t="n">
        <v>-8.379839553540302</v>
      </c>
      <c r="N317" t="n">
        <v>-6.085304224640065</v>
      </c>
      <c r="O317" t="n">
        <v>-13.95520504781071</v>
      </c>
      <c r="P317" t="n">
        <v>-3.572294672198728</v>
      </c>
      <c r="Q317" t="n">
        <v>-10.76755932365682</v>
      </c>
      <c r="R317" t="n">
        <v>2875024000000</v>
      </c>
    </row>
    <row r="318">
      <c r="A318" t="inlineStr">
        <is>
          <t>United Kingdom</t>
        </is>
      </c>
      <c r="B318" t="inlineStr">
        <is>
          <t>GBR</t>
        </is>
      </c>
      <c r="C318" t="inlineStr">
        <is>
          <t>CUKX.L</t>
        </is>
      </c>
      <c r="D318" t="n">
        <v>2019</v>
      </c>
      <c r="E318" t="n">
        <v>17.23776889396536</v>
      </c>
      <c r="F318" t="n">
        <v>1.624</v>
      </c>
      <c r="G318" t="n">
        <v>3.792076</v>
      </c>
      <c r="H318" t="n">
        <v>-0.763472</v>
      </c>
      <c r="I318" t="n">
        <v>-21.45256171140724</v>
      </c>
      <c r="J318" t="inlineStr">
        <is>
          <t>United Kingdom|CUKX.L|2019</t>
        </is>
      </c>
      <c r="K318" t="inlineStr">
        <is>
          <t>United Kingdom|2019</t>
        </is>
      </c>
      <c r="L318" t="inlineStr">
        <is>
          <t>GBp</t>
        </is>
      </c>
      <c r="M318" t="n">
        <v>17.23776889396536</v>
      </c>
      <c r="N318" t="n">
        <v>2.94386429390634</v>
      </c>
      <c r="O318" t="n">
        <v>20.68908971140724</v>
      </c>
      <c r="P318" t="n">
        <v>4.59059563527251</v>
      </c>
      <c r="Q318" t="n">
        <v>15.39191356388605</v>
      </c>
      <c r="R318" t="n">
        <v>2853074000000</v>
      </c>
    </row>
    <row r="319">
      <c r="A319" t="inlineStr">
        <is>
          <t>United Kingdom</t>
        </is>
      </c>
      <c r="B319" t="inlineStr">
        <is>
          <t>GBR</t>
        </is>
      </c>
      <c r="C319" t="inlineStr">
        <is>
          <t>CUKX.L</t>
        </is>
      </c>
      <c r="D319" t="n">
        <v>2020</v>
      </c>
      <c r="E319" t="n">
        <v>-12.13315108145051</v>
      </c>
      <c r="F319" t="n">
        <v>-10.297</v>
      </c>
      <c r="G319" t="n">
        <v>-5.838837</v>
      </c>
      <c r="H319" t="n">
        <v>-5.41062</v>
      </c>
      <c r="I319" t="n">
        <v>4.284051729243265</v>
      </c>
      <c r="J319" t="inlineStr">
        <is>
          <t>United Kingdom|CUKX.L|2020</t>
        </is>
      </c>
      <c r="K319" t="inlineStr">
        <is>
          <t>United Kingdom|2020</t>
        </is>
      </c>
      <c r="L319" t="inlineStr">
        <is>
          <t>GBp</t>
        </is>
      </c>
      <c r="M319" t="n">
        <v>-12.13315108145051</v>
      </c>
      <c r="N319" t="n">
        <v>2.775198362317122</v>
      </c>
      <c r="O319" t="n">
        <v>-9.694671729243264</v>
      </c>
      <c r="P319" t="n">
        <v>-0.4527109415704333</v>
      </c>
      <c r="Q319" t="n">
        <v>-9.283990428155441</v>
      </c>
      <c r="R319" t="n">
        <v>2698705000000</v>
      </c>
    </row>
    <row r="320">
      <c r="A320" t="inlineStr">
        <is>
          <t>United Kingdom</t>
        </is>
      </c>
      <c r="B320" t="inlineStr">
        <is>
          <t>GBR</t>
        </is>
      </c>
      <c r="C320" t="inlineStr">
        <is>
          <t>CUKX.L</t>
        </is>
      </c>
      <c r="D320" t="n">
        <v>2021</v>
      </c>
      <c r="E320" t="n">
        <v>15.65765765765765</v>
      </c>
      <c r="F320" t="n">
        <v>8.576000000000001</v>
      </c>
      <c r="G320" t="n">
        <v>8.648215</v>
      </c>
      <c r="H320" t="n">
        <v>16.503249</v>
      </c>
      <c r="I320" t="n">
        <v>2.322794672920672</v>
      </c>
      <c r="J320" t="inlineStr">
        <is>
          <t>United Kingdom|CUKX.L|2021</t>
        </is>
      </c>
      <c r="K320" t="inlineStr">
        <is>
          <t>United Kingdom|2021</t>
        </is>
      </c>
      <c r="L320" t="inlineStr">
        <is>
          <t>GBp</t>
        </is>
      </c>
      <c r="M320" t="n">
        <v>15.65765765765765</v>
      </c>
      <c r="N320" t="n">
        <v>-1.277220514832489</v>
      </c>
      <c r="O320" t="n">
        <v>14.18045432707933</v>
      </c>
      <c r="P320" t="n">
        <v>-6.742329910657796</v>
      </c>
      <c r="Q320" t="n">
        <v>22.43545674869722</v>
      </c>
      <c r="R320" t="n">
        <v>3144079000000</v>
      </c>
    </row>
    <row r="321">
      <c r="A321" t="inlineStr">
        <is>
          <t>United Kingdom</t>
        </is>
      </c>
      <c r="B321" t="inlineStr">
        <is>
          <t>GBR</t>
        </is>
      </c>
      <c r="C321" t="inlineStr">
        <is>
          <t>CUKX.L</t>
        </is>
      </c>
      <c r="D321" t="n">
        <v>2022</v>
      </c>
      <c r="E321" t="n">
        <v>3.343558282208581</v>
      </c>
      <c r="F321" t="n">
        <v>4.839</v>
      </c>
      <c r="G321" t="n">
        <v>10.546425</v>
      </c>
      <c r="H321" t="n">
        <v>-0.593974</v>
      </c>
      <c r="I321" t="n">
        <v>7.265991423527992</v>
      </c>
      <c r="J321" t="inlineStr">
        <is>
          <t>United Kingdom|CUKX.L|2022</t>
        </is>
      </c>
      <c r="K321" t="inlineStr">
        <is>
          <t>United Kingdom|2022</t>
        </is>
      </c>
      <c r="L321" t="inlineStr">
        <is>
          <t>GBp</t>
        </is>
      </c>
      <c r="M321" t="n">
        <v>3.343558282208581</v>
      </c>
      <c r="N321" t="n">
        <v>-10.84104698150823</v>
      </c>
      <c r="O321" t="n">
        <v>-7.859965423527992</v>
      </c>
      <c r="P321" t="n">
        <v>11.20696517543676</v>
      </c>
      <c r="Q321" t="n">
        <v>-17.14544639257563</v>
      </c>
      <c r="R321" t="n">
        <v>3125404000000</v>
      </c>
    </row>
    <row r="322">
      <c r="A322" t="inlineStr">
        <is>
          <t>United Kingdom</t>
        </is>
      </c>
      <c r="B322" t="inlineStr">
        <is>
          <t>GBR</t>
        </is>
      </c>
      <c r="C322" t="inlineStr">
        <is>
          <t>CUKX.L</t>
        </is>
      </c>
      <c r="D322" t="n">
        <v>2023</v>
      </c>
      <c r="E322" t="n">
        <v>6.578560939794431</v>
      </c>
      <c r="F322" t="n">
        <v>0.397</v>
      </c>
      <c r="G322" t="n">
        <v>7.312973</v>
      </c>
      <c r="H322" t="n">
        <v>7.861832</v>
      </c>
      <c r="I322" t="n">
        <v>-4.112834184574968</v>
      </c>
      <c r="J322" t="inlineStr">
        <is>
          <t>United Kingdom|CUKX.L|2023</t>
        </is>
      </c>
      <c r="K322" t="inlineStr">
        <is>
          <t>United Kingdom|2023</t>
        </is>
      </c>
      <c r="L322" t="inlineStr">
        <is>
          <t>GBp</t>
        </is>
      </c>
      <c r="M322" t="n">
        <v>6.578560939794431</v>
      </c>
      <c r="N322" t="n">
        <v>5.06303068571996</v>
      </c>
      <c r="O322" t="n">
        <v>11.97466618457497</v>
      </c>
      <c r="P322" t="n">
        <v>-0.5088533315019572</v>
      </c>
      <c r="Q322" t="n">
        <v>12.54736721215175</v>
      </c>
      <c r="R322" t="n">
        <v>3371118000000</v>
      </c>
    </row>
    <row r="323">
      <c r="A323" t="inlineStr">
        <is>
          <t>United Kingdom</t>
        </is>
      </c>
      <c r="B323" t="inlineStr">
        <is>
          <t>GBR</t>
        </is>
      </c>
      <c r="C323" t="inlineStr">
        <is>
          <t>CUKX.L</t>
        </is>
      </c>
      <c r="D323" t="n">
        <v>2024</v>
      </c>
      <c r="E323" t="n">
        <v>9.390512961941532</v>
      </c>
      <c r="F323" t="n">
        <v>1.101</v>
      </c>
      <c r="G323" t="n">
        <v>5.156564</v>
      </c>
      <c r="H323" t="n">
        <v>8.113569</v>
      </c>
      <c r="I323" t="n">
        <v>0.2775537770592713</v>
      </c>
      <c r="J323" t="inlineStr">
        <is>
          <t>United Kingdom|CUKX.L|2024</t>
        </is>
      </c>
      <c r="K323" t="inlineStr">
        <is>
          <t>United Kingdom|2024</t>
        </is>
      </c>
      <c r="L323" t="inlineStr">
        <is>
          <t>GBp</t>
        </is>
      </c>
      <c r="M323" t="n">
        <v>9.390512961941532</v>
      </c>
      <c r="N323" t="n">
        <v>-1.421053523664917</v>
      </c>
      <c r="O323" t="n">
        <v>7.836015222940729</v>
      </c>
      <c r="P323" t="n">
        <v>-2.735091514946997</v>
      </c>
      <c r="Q323" t="n">
        <v>10.86836650806311</v>
      </c>
      <c r="R323" t="n">
        <v>3644636000000</v>
      </c>
    </row>
    <row r="324">
      <c r="A324" t="inlineStr">
        <is>
          <t>United Kingdom</t>
        </is>
      </c>
      <c r="B324" t="inlineStr">
        <is>
          <t>GBR</t>
        </is>
      </c>
      <c r="C324" t="inlineStr">
        <is>
          <t>CUKX.L</t>
        </is>
      </c>
      <c r="D324" t="n">
        <v>2025</v>
      </c>
      <c r="E324" t="n">
        <v>24.46052139204191</v>
      </c>
      <c r="F324" t="n">
        <v>1.308</v>
      </c>
      <c r="G324" t="n">
        <v>4.886901</v>
      </c>
      <c r="H324" t="n">
        <v>8.619351999999999</v>
      </c>
      <c r="I324" t="n">
        <v>-25.26523239596942</v>
      </c>
      <c r="J324" t="inlineStr">
        <is>
          <t>United Kingdom|CUKX.L|2025</t>
        </is>
      </c>
      <c r="K324" t="inlineStr">
        <is>
          <t>United Kingdom|2025</t>
        </is>
      </c>
      <c r="L324" t="inlineStr">
        <is>
          <t>GBp</t>
        </is>
      </c>
      <c r="M324" t="n">
        <v>24.46052139204191</v>
      </c>
      <c r="N324" t="n">
        <v>7.571929555270285</v>
      </c>
      <c r="O324" t="n">
        <v>33.88458439596942</v>
      </c>
      <c r="P324" t="n">
        <v>-3.436267223503675</v>
      </c>
      <c r="Q324" t="n">
        <v>38.64893220921242</v>
      </c>
      <c r="R324" t="n">
        <v>3958780000000</v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CUKX.L</t>
        </is>
      </c>
      <c r="D325" t="n">
        <v>2026</v>
      </c>
      <c r="E325" t="n">
        <v>3.590127150336575</v>
      </c>
      <c r="F325" t="n">
        <v>1.264</v>
      </c>
      <c r="G325" t="n">
        <v>3.62701</v>
      </c>
      <c r="H325" t="n">
        <v>6.74094</v>
      </c>
      <c r="I325" t="n">
        <v>4.196712750445413</v>
      </c>
      <c r="J325" t="inlineStr">
        <is>
          <t>United Kingdom|CUKX.L|2026</t>
        </is>
      </c>
      <c r="K325" t="inlineStr">
        <is>
          <t>United Kingdom|2026</t>
        </is>
      </c>
      <c r="L325" t="inlineStr">
        <is>
          <t>GBp</t>
        </is>
      </c>
      <c r="M325" t="n">
        <v>3.590127150336575</v>
      </c>
      <c r="N325" t="n">
        <v>-1.00965210638666</v>
      </c>
      <c r="O325" t="n">
        <v>2.544227249554587</v>
      </c>
      <c r="P325" t="n">
        <v>-2.917278011347091</v>
      </c>
      <c r="Q325" t="n">
        <v>5.625620243260188</v>
      </c>
      <c r="R325" t="n">
        <v>4225639000000</v>
      </c>
    </row>
    <row r="326">
      <c r="A326" t="inlineStr">
        <is>
          <t>United States</t>
        </is>
      </c>
      <c r="B326" t="inlineStr">
        <is>
          <t>USA</t>
        </is>
      </c>
      <c r="C326" t="inlineStr">
        <is>
          <t>CSPX.L</t>
        </is>
      </c>
      <c r="D326" t="n">
        <v>2015</v>
      </c>
      <c r="E326" t="n">
        <v>2.070451140200924</v>
      </c>
      <c r="F326" t="n">
        <v>2.946</v>
      </c>
      <c r="G326" t="inlineStr"/>
      <c r="H326" t="inlineStr"/>
      <c r="I326" t="inlineStr"/>
      <c r="J326" t="inlineStr">
        <is>
          <t>United States|CSPX.L|2015</t>
        </is>
      </c>
      <c r="K326" t="inlineStr">
        <is>
          <t>United States|2015</t>
        </is>
      </c>
      <c r="L326" t="inlineStr">
        <is>
          <t>USD</t>
        </is>
      </c>
      <c r="M326" t="n">
        <v>2.070451140200924</v>
      </c>
      <c r="N326" t="n">
        <v>0</v>
      </c>
      <c r="O326" t="n">
        <v>2.070451140200924</v>
      </c>
      <c r="P326" t="inlineStr"/>
      <c r="Q326" t="inlineStr"/>
      <c r="R326" t="n">
        <v>18295000000000</v>
      </c>
    </row>
    <row r="327">
      <c r="A327" t="inlineStr">
        <is>
          <t>United States</t>
        </is>
      </c>
      <c r="B327" t="inlineStr">
        <is>
          <t>USA</t>
        </is>
      </c>
      <c r="C327" t="inlineStr">
        <is>
          <t>CSPX.L</t>
        </is>
      </c>
      <c r="D327" t="n">
        <v>2016</v>
      </c>
      <c r="E327" t="n">
        <v>15.09546206966357</v>
      </c>
      <c r="F327" t="n">
        <v>1.82</v>
      </c>
      <c r="G327" t="n">
        <v>2.7871</v>
      </c>
      <c r="H327" t="n">
        <v>2.7871</v>
      </c>
      <c r="I327" t="n">
        <v>-12.30836206966357</v>
      </c>
      <c r="J327" t="inlineStr">
        <is>
          <t>United States|CSPX.L|2016</t>
        </is>
      </c>
      <c r="K327" t="inlineStr">
        <is>
          <t>United States|2016</t>
        </is>
      </c>
      <c r="L327" t="inlineStr">
        <is>
          <t>USD</t>
        </is>
      </c>
      <c r="M327" t="n">
        <v>15.09546206966357</v>
      </c>
      <c r="N327" t="n">
        <v>0</v>
      </c>
      <c r="O327" t="n">
        <v>15.09546206966357</v>
      </c>
      <c r="P327" t="n">
        <v>0</v>
      </c>
      <c r="Q327" t="n">
        <v>15.09546206966357</v>
      </c>
      <c r="R327" t="n">
        <v>18804900000000</v>
      </c>
    </row>
    <row r="328">
      <c r="A328" t="inlineStr">
        <is>
          <t>United States</t>
        </is>
      </c>
      <c r="B328" t="inlineStr">
        <is>
          <t>USA</t>
        </is>
      </c>
      <c r="C328" t="inlineStr">
        <is>
          <t>CSPX.L</t>
        </is>
      </c>
      <c r="D328" t="n">
        <v>2017</v>
      </c>
      <c r="E328" t="n">
        <v>21.75331032463907</v>
      </c>
      <c r="F328" t="n">
        <v>2.458</v>
      </c>
      <c r="G328" t="n">
        <v>4.292498</v>
      </c>
      <c r="H328" t="n">
        <v>4.292498</v>
      </c>
      <c r="I328" t="n">
        <v>-17.46081232463907</v>
      </c>
      <c r="J328" t="inlineStr">
        <is>
          <t>United States|CSPX.L|2017</t>
        </is>
      </c>
      <c r="K328" t="inlineStr">
        <is>
          <t>United States|2017</t>
        </is>
      </c>
      <c r="L328" t="inlineStr">
        <is>
          <t>USD</t>
        </is>
      </c>
      <c r="M328" t="n">
        <v>21.75331032463907</v>
      </c>
      <c r="N328" t="n">
        <v>0</v>
      </c>
      <c r="O328" t="n">
        <v>21.75331032463907</v>
      </c>
      <c r="P328" t="n">
        <v>0</v>
      </c>
      <c r="Q328" t="n">
        <v>21.75331032463907</v>
      </c>
      <c r="R328" t="n">
        <v>19612100000000</v>
      </c>
    </row>
    <row r="329">
      <c r="A329" t="inlineStr">
        <is>
          <t>United States</t>
        </is>
      </c>
      <c r="B329" t="inlineStr">
        <is>
          <t>USA</t>
        </is>
      </c>
      <c r="C329" t="inlineStr">
        <is>
          <t>CSPX.L</t>
        </is>
      </c>
      <c r="D329" t="n">
        <v>2018</v>
      </c>
      <c r="E329" t="n">
        <v>-5.182610110960129</v>
      </c>
      <c r="F329" t="n">
        <v>2.967</v>
      </c>
      <c r="G329" t="n">
        <v>5.325411</v>
      </c>
      <c r="H329" t="n">
        <v>5.325411</v>
      </c>
      <c r="I329" t="n">
        <v>10.50802111096013</v>
      </c>
      <c r="J329" t="inlineStr">
        <is>
          <t>United States|CSPX.L|2018</t>
        </is>
      </c>
      <c r="K329" t="inlineStr">
        <is>
          <t>United States|2018</t>
        </is>
      </c>
      <c r="L329" t="inlineStr">
        <is>
          <t>USD</t>
        </is>
      </c>
      <c r="M329" t="n">
        <v>-5.182610110960129</v>
      </c>
      <c r="N329" t="n">
        <v>0</v>
      </c>
      <c r="O329" t="n">
        <v>-5.182610110960129</v>
      </c>
      <c r="P329" t="n">
        <v>0</v>
      </c>
      <c r="Q329" t="n">
        <v>-5.182610110960129</v>
      </c>
      <c r="R329" t="n">
        <v>20656525000000</v>
      </c>
    </row>
    <row r="330">
      <c r="A330" t="inlineStr">
        <is>
          <t>United States</t>
        </is>
      </c>
      <c r="B330" t="inlineStr">
        <is>
          <t>USA</t>
        </is>
      </c>
      <c r="C330" t="inlineStr">
        <is>
          <t>CSPX.L</t>
        </is>
      </c>
      <c r="D330" t="n">
        <v>2019</v>
      </c>
      <c r="E330" t="n">
        <v>30.78807504109404</v>
      </c>
      <c r="F330" t="n">
        <v>2.584</v>
      </c>
      <c r="G330" t="n">
        <v>4.276857</v>
      </c>
      <c r="H330" t="n">
        <v>4.276857</v>
      </c>
      <c r="I330" t="n">
        <v>-26.51121804109404</v>
      </c>
      <c r="J330" t="inlineStr">
        <is>
          <t>United States|CSPX.L|2019</t>
        </is>
      </c>
      <c r="K330" t="inlineStr">
        <is>
          <t>United States|2019</t>
        </is>
      </c>
      <c r="L330" t="inlineStr">
        <is>
          <t>USD</t>
        </is>
      </c>
      <c r="M330" t="n">
        <v>30.78807504109404</v>
      </c>
      <c r="N330" t="n">
        <v>0</v>
      </c>
      <c r="O330" t="n">
        <v>30.78807504109404</v>
      </c>
      <c r="P330" t="n">
        <v>0</v>
      </c>
      <c r="Q330" t="n">
        <v>30.78807504109404</v>
      </c>
      <c r="R330" t="n">
        <v>21539975000000</v>
      </c>
    </row>
    <row r="331">
      <c r="A331" t="inlineStr">
        <is>
          <t>United States</t>
        </is>
      </c>
      <c r="B331" t="inlineStr">
        <is>
          <t>USA</t>
        </is>
      </c>
      <c r="C331" t="inlineStr">
        <is>
          <t>CSPX.L</t>
        </is>
      </c>
      <c r="D331" t="n">
        <v>2020</v>
      </c>
      <c r="E331" t="n">
        <v>17.10129211912717</v>
      </c>
      <c r="F331" t="n">
        <v>-2.081</v>
      </c>
      <c r="G331" t="n">
        <v>-0.764625</v>
      </c>
      <c r="H331" t="n">
        <v>-0.764625</v>
      </c>
      <c r="I331" t="n">
        <v>-17.86591711912716</v>
      </c>
      <c r="J331" t="inlineStr">
        <is>
          <t>United States|CSPX.L|2020</t>
        </is>
      </c>
      <c r="K331" t="inlineStr">
        <is>
          <t>United States|2020</t>
        </is>
      </c>
      <c r="L331" t="inlineStr">
        <is>
          <t>USD</t>
        </is>
      </c>
      <c r="M331" t="n">
        <v>17.10129211912717</v>
      </c>
      <c r="N331" t="n">
        <v>0</v>
      </c>
      <c r="O331" t="n">
        <v>17.10129211912717</v>
      </c>
      <c r="P331" t="n">
        <v>0</v>
      </c>
      <c r="Q331" t="n">
        <v>17.10129211912717</v>
      </c>
      <c r="R331" t="n">
        <v>21375275000000</v>
      </c>
    </row>
    <row r="332">
      <c r="A332" t="inlineStr">
        <is>
          <t>United States</t>
        </is>
      </c>
      <c r="B332" t="inlineStr">
        <is>
          <t>USA</t>
        </is>
      </c>
      <c r="C332" t="inlineStr">
        <is>
          <t>CSPX.L</t>
        </is>
      </c>
      <c r="D332" t="n">
        <v>2021</v>
      </c>
      <c r="E332" t="n">
        <v>30.40325324854079</v>
      </c>
      <c r="F332" t="n">
        <v>6.152</v>
      </c>
      <c r="G332" t="n">
        <v>10.995765</v>
      </c>
      <c r="H332" t="n">
        <v>10.995765</v>
      </c>
      <c r="I332" t="n">
        <v>-19.40748824854079</v>
      </c>
      <c r="J332" t="inlineStr">
        <is>
          <t>United States|CSPX.L|2021</t>
        </is>
      </c>
      <c r="K332" t="inlineStr">
        <is>
          <t>United States|2021</t>
        </is>
      </c>
      <c r="L332" t="inlineStr">
        <is>
          <t>USD</t>
        </is>
      </c>
      <c r="M332" t="n">
        <v>30.40325324854079</v>
      </c>
      <c r="N332" t="n">
        <v>0</v>
      </c>
      <c r="O332" t="n">
        <v>30.40325324854079</v>
      </c>
      <c r="P332" t="n">
        <v>0</v>
      </c>
      <c r="Q332" t="n">
        <v>30.40325324854079</v>
      </c>
      <c r="R332" t="n">
        <v>23725650000000</v>
      </c>
    </row>
    <row r="333">
      <c r="A333" t="inlineStr">
        <is>
          <t>United States</t>
        </is>
      </c>
      <c r="B333" t="inlineStr">
        <is>
          <t>USA</t>
        </is>
      </c>
      <c r="C333" t="inlineStr">
        <is>
          <t>CSPX.L</t>
        </is>
      </c>
      <c r="D333" t="n">
        <v>2022</v>
      </c>
      <c r="E333" t="n">
        <v>-19.03146132154795</v>
      </c>
      <c r="F333" t="n">
        <v>2.524</v>
      </c>
      <c r="G333" t="n">
        <v>9.816169</v>
      </c>
      <c r="H333" t="n">
        <v>9.816169</v>
      </c>
      <c r="I333" t="n">
        <v>28.84763032154795</v>
      </c>
      <c r="J333" t="inlineStr">
        <is>
          <t>United States|CSPX.L|2022</t>
        </is>
      </c>
      <c r="K333" t="inlineStr">
        <is>
          <t>United States|2022</t>
        </is>
      </c>
      <c r="L333" t="inlineStr">
        <is>
          <t>USD</t>
        </is>
      </c>
      <c r="M333" t="n">
        <v>-19.03146132154795</v>
      </c>
      <c r="N333" t="n">
        <v>0</v>
      </c>
      <c r="O333" t="n">
        <v>-19.03146132154795</v>
      </c>
      <c r="P333" t="n">
        <v>0</v>
      </c>
      <c r="Q333" t="n">
        <v>-19.03146132154795</v>
      </c>
      <c r="R333" t="n">
        <v>26054600000000</v>
      </c>
    </row>
    <row r="334">
      <c r="A334" t="inlineStr">
        <is>
          <t>United States</t>
        </is>
      </c>
      <c r="B334" t="inlineStr">
        <is>
          <t>USA</t>
        </is>
      </c>
      <c r="C334" t="inlineStr">
        <is>
          <t>CSPX.L</t>
        </is>
      </c>
      <c r="D334" t="n">
        <v>2023</v>
      </c>
      <c r="E334" t="n">
        <v>27.32068620122947</v>
      </c>
      <c r="F334" t="n">
        <v>2.935</v>
      </c>
      <c r="G334" t="n">
        <v>6.743147</v>
      </c>
      <c r="H334" t="n">
        <v>6.743147</v>
      </c>
      <c r="I334" t="n">
        <v>-20.57753920122947</v>
      </c>
      <c r="J334" t="inlineStr">
        <is>
          <t>United States|CSPX.L|2023</t>
        </is>
      </c>
      <c r="K334" t="inlineStr">
        <is>
          <t>United States|2023</t>
        </is>
      </c>
      <c r="L334" t="inlineStr">
        <is>
          <t>USD</t>
        </is>
      </c>
      <c r="M334" t="n">
        <v>27.32068620122947</v>
      </c>
      <c r="N334" t="n">
        <v>0</v>
      </c>
      <c r="O334" t="n">
        <v>27.32068620122947</v>
      </c>
      <c r="P334" t="n">
        <v>0</v>
      </c>
      <c r="Q334" t="n">
        <v>27.32068620122947</v>
      </c>
      <c r="R334" t="n">
        <v>27811500000000</v>
      </c>
    </row>
    <row r="335">
      <c r="A335" t="inlineStr">
        <is>
          <t>United States</t>
        </is>
      </c>
      <c r="B335" t="inlineStr">
        <is>
          <t>USA</t>
        </is>
      </c>
      <c r="C335" t="inlineStr">
        <is>
          <t>CSPX.L</t>
        </is>
      </c>
      <c r="D335" t="n">
        <v>2024</v>
      </c>
      <c r="E335" t="n">
        <v>26.3650865018394</v>
      </c>
      <c r="F335" t="n">
        <v>2.793</v>
      </c>
      <c r="G335" t="n">
        <v>5.345001</v>
      </c>
      <c r="H335" t="n">
        <v>5.345001</v>
      </c>
      <c r="I335" t="n">
        <v>-21.0200855018394</v>
      </c>
      <c r="J335" t="inlineStr">
        <is>
          <t>United States|CSPX.L|2024</t>
        </is>
      </c>
      <c r="K335" t="inlineStr">
        <is>
          <t>United States|2024</t>
        </is>
      </c>
      <c r="L335" t="inlineStr">
        <is>
          <t>USD</t>
        </is>
      </c>
      <c r="M335" t="n">
        <v>26.3650865018394</v>
      </c>
      <c r="N335" t="n">
        <v>0</v>
      </c>
      <c r="O335" t="n">
        <v>26.3650865018394</v>
      </c>
      <c r="P335" t="n">
        <v>0</v>
      </c>
      <c r="Q335" t="n">
        <v>26.3650865018394</v>
      </c>
      <c r="R335" t="n">
        <v>29298025000000</v>
      </c>
    </row>
    <row r="336">
      <c r="A336" t="inlineStr">
        <is>
          <t>United States</t>
        </is>
      </c>
      <c r="B336" t="inlineStr">
        <is>
          <t>USA</t>
        </is>
      </c>
      <c r="C336" t="inlineStr">
        <is>
          <t>CSPX.L</t>
        </is>
      </c>
      <c r="D336" t="n">
        <v>2025</v>
      </c>
      <c r="E336" t="n">
        <v>18.0137493932327</v>
      </c>
      <c r="F336" t="n">
        <v>2.017</v>
      </c>
      <c r="G336" t="n">
        <v>4.497634</v>
      </c>
      <c r="H336" t="n">
        <v>4.497634</v>
      </c>
      <c r="I336" t="n">
        <v>-13.5161153932327</v>
      </c>
      <c r="J336" t="inlineStr">
        <is>
          <t>United States|CSPX.L|2025</t>
        </is>
      </c>
      <c r="K336" t="inlineStr">
        <is>
          <t>United States|2025</t>
        </is>
      </c>
      <c r="L336" t="inlineStr">
        <is>
          <t>USD</t>
        </is>
      </c>
      <c r="M336" t="n">
        <v>18.0137493932327</v>
      </c>
      <c r="N336" t="n">
        <v>0</v>
      </c>
      <c r="O336" t="n">
        <v>18.0137493932327</v>
      </c>
      <c r="P336" t="n">
        <v>0</v>
      </c>
      <c r="Q336" t="n">
        <v>18.0137493932327</v>
      </c>
      <c r="R336" t="n">
        <v>30615743000000</v>
      </c>
    </row>
    <row r="337">
      <c r="A337" t="inlineStr">
        <is>
          <t>United States</t>
        </is>
      </c>
      <c r="B337" t="inlineStr">
        <is>
          <t>USA</t>
        </is>
      </c>
      <c r="C337" t="inlineStr">
        <is>
          <t>CSPX.L</t>
        </is>
      </c>
      <c r="D337" t="n">
        <v>2026</v>
      </c>
      <c r="E337" t="n">
        <v>-1.195607385992603</v>
      </c>
      <c r="F337" t="n">
        <v>2.102</v>
      </c>
      <c r="G337" t="n">
        <v>3.93768</v>
      </c>
      <c r="H337" t="n">
        <v>3.93768</v>
      </c>
      <c r="I337" t="n">
        <v>5.133287385992602</v>
      </c>
      <c r="J337" t="inlineStr">
        <is>
          <t>United States|CSPX.L|2026</t>
        </is>
      </c>
      <c r="K337" t="inlineStr">
        <is>
          <t>United States|2026</t>
        </is>
      </c>
      <c r="L337" t="inlineStr">
        <is>
          <t>USD</t>
        </is>
      </c>
      <c r="M337" t="n">
        <v>-1.195607385992603</v>
      </c>
      <c r="N337" t="n">
        <v>0</v>
      </c>
      <c r="O337" t="n">
        <v>-1.195607385992603</v>
      </c>
      <c r="P337" t="n">
        <v>0</v>
      </c>
      <c r="Q337" t="n">
        <v>-1.195607385992603</v>
      </c>
      <c r="R337" t="n">
        <v>31821293000000</v>
      </c>
    </row>
    <row r="338">
      <c r="A338" t="inlineStr">
        <is>
          <t>United States</t>
        </is>
      </c>
      <c r="B338" t="inlineStr">
        <is>
          <t>USA</t>
        </is>
      </c>
      <c r="C338" t="inlineStr">
        <is>
          <t>CSUS.L</t>
        </is>
      </c>
      <c r="D338" t="n">
        <v>2015</v>
      </c>
      <c r="E338" t="n">
        <v>1.605275913034609</v>
      </c>
      <c r="F338" t="n">
        <v>2.946</v>
      </c>
      <c r="G338" t="inlineStr"/>
      <c r="H338" t="inlineStr"/>
      <c r="I338" t="inlineStr"/>
      <c r="J338" t="inlineStr">
        <is>
          <t>United States|CSUS.L|2015</t>
        </is>
      </c>
      <c r="K338" t="inlineStr">
        <is>
          <t>United States|2015</t>
        </is>
      </c>
      <c r="L338" t="inlineStr">
        <is>
          <t>USD</t>
        </is>
      </c>
      <c r="M338" t="n">
        <v>1.605275913034609</v>
      </c>
      <c r="N338" t="n">
        <v>0</v>
      </c>
      <c r="O338" t="n">
        <v>1.605275913034609</v>
      </c>
      <c r="P338" t="inlineStr"/>
      <c r="Q338" t="inlineStr"/>
      <c r="R338" t="n">
        <v>18295000000000</v>
      </c>
    </row>
    <row r="339">
      <c r="A339" t="inlineStr">
        <is>
          <t>United States</t>
        </is>
      </c>
      <c r="B339" t="inlineStr">
        <is>
          <t>USA</t>
        </is>
      </c>
      <c r="C339" t="inlineStr">
        <is>
          <t>CSUS.L</t>
        </is>
      </c>
      <c r="D339" t="n">
        <v>2016</v>
      </c>
      <c r="E339" t="n">
        <v>14.42537406556417</v>
      </c>
      <c r="F339" t="n">
        <v>1.82</v>
      </c>
      <c r="G339" t="n">
        <v>2.7871</v>
      </c>
      <c r="H339" t="n">
        <v>2.7871</v>
      </c>
      <c r="I339" t="n">
        <v>-11.63827406556417</v>
      </c>
      <c r="J339" t="inlineStr">
        <is>
          <t>United States|CSUS.L|2016</t>
        </is>
      </c>
      <c r="K339" t="inlineStr">
        <is>
          <t>United States|2016</t>
        </is>
      </c>
      <c r="L339" t="inlineStr">
        <is>
          <t>USD</t>
        </is>
      </c>
      <c r="M339" t="n">
        <v>14.42537406556417</v>
      </c>
      <c r="N339" t="n">
        <v>0</v>
      </c>
      <c r="O339" t="n">
        <v>14.42537406556417</v>
      </c>
      <c r="P339" t="n">
        <v>0</v>
      </c>
      <c r="Q339" t="n">
        <v>14.42537406556417</v>
      </c>
      <c r="R339" t="n">
        <v>18804900000000</v>
      </c>
    </row>
    <row r="340">
      <c r="A340" t="inlineStr">
        <is>
          <t>United States</t>
        </is>
      </c>
      <c r="B340" t="inlineStr">
        <is>
          <t>USA</t>
        </is>
      </c>
      <c r="C340" t="inlineStr">
        <is>
          <t>CSUS.L</t>
        </is>
      </c>
      <c r="D340" t="n">
        <v>2017</v>
      </c>
      <c r="E340" t="n">
        <v>21.5970017467853</v>
      </c>
      <c r="F340" t="n">
        <v>2.458</v>
      </c>
      <c r="G340" t="n">
        <v>4.292498</v>
      </c>
      <c r="H340" t="n">
        <v>4.292498</v>
      </c>
      <c r="I340" t="n">
        <v>-17.30450374678529</v>
      </c>
      <c r="J340" t="inlineStr">
        <is>
          <t>United States|CSUS.L|2017</t>
        </is>
      </c>
      <c r="K340" t="inlineStr">
        <is>
          <t>United States|2017</t>
        </is>
      </c>
      <c r="L340" t="inlineStr">
        <is>
          <t>USD</t>
        </is>
      </c>
      <c r="M340" t="n">
        <v>21.5970017467853</v>
      </c>
      <c r="N340" t="n">
        <v>0</v>
      </c>
      <c r="O340" t="n">
        <v>21.5970017467853</v>
      </c>
      <c r="P340" t="n">
        <v>0</v>
      </c>
      <c r="Q340" t="n">
        <v>21.5970017467853</v>
      </c>
      <c r="R340" t="n">
        <v>19612100000000</v>
      </c>
    </row>
    <row r="341">
      <c r="A341" t="inlineStr">
        <is>
          <t>United States</t>
        </is>
      </c>
      <c r="B341" t="inlineStr">
        <is>
          <t>USA</t>
        </is>
      </c>
      <c r="C341" t="inlineStr">
        <is>
          <t>CSUS.L</t>
        </is>
      </c>
      <c r="D341" t="n">
        <v>2018</v>
      </c>
      <c r="E341" t="n">
        <v>-5.524486620253488</v>
      </c>
      <c r="F341" t="n">
        <v>2.967</v>
      </c>
      <c r="G341" t="n">
        <v>5.325411</v>
      </c>
      <c r="H341" t="n">
        <v>5.325411</v>
      </c>
      <c r="I341" t="n">
        <v>10.84989762025349</v>
      </c>
      <c r="J341" t="inlineStr">
        <is>
          <t>United States|CSUS.L|2018</t>
        </is>
      </c>
      <c r="K341" t="inlineStr">
        <is>
          <t>United States|2018</t>
        </is>
      </c>
      <c r="L341" t="inlineStr">
        <is>
          <t>USD</t>
        </is>
      </c>
      <c r="M341" t="n">
        <v>-5.524486620253488</v>
      </c>
      <c r="N341" t="n">
        <v>0</v>
      </c>
      <c r="O341" t="n">
        <v>-5.524486620253488</v>
      </c>
      <c r="P341" t="n">
        <v>0</v>
      </c>
      <c r="Q341" t="n">
        <v>-5.524486620253488</v>
      </c>
      <c r="R341" t="n">
        <v>20656525000000</v>
      </c>
    </row>
    <row r="342">
      <c r="A342" t="inlineStr">
        <is>
          <t>United States</t>
        </is>
      </c>
      <c r="B342" t="inlineStr">
        <is>
          <t>USA</t>
        </is>
      </c>
      <c r="C342" t="inlineStr">
        <is>
          <t>CSUS.L</t>
        </is>
      </c>
      <c r="D342" t="n">
        <v>2019</v>
      </c>
      <c r="E342" t="n">
        <v>30.75400503868304</v>
      </c>
      <c r="F342" t="n">
        <v>2.584</v>
      </c>
      <c r="G342" t="n">
        <v>4.276857</v>
      </c>
      <c r="H342" t="n">
        <v>4.276857</v>
      </c>
      <c r="I342" t="n">
        <v>-26.47714803868304</v>
      </c>
      <c r="J342" t="inlineStr">
        <is>
          <t>United States|CSUS.L|2019</t>
        </is>
      </c>
      <c r="K342" t="inlineStr">
        <is>
          <t>United States|2019</t>
        </is>
      </c>
      <c r="L342" t="inlineStr">
        <is>
          <t>USD</t>
        </is>
      </c>
      <c r="M342" t="n">
        <v>30.75400503868304</v>
      </c>
      <c r="N342" t="n">
        <v>0</v>
      </c>
      <c r="O342" t="n">
        <v>30.75400503868304</v>
      </c>
      <c r="P342" t="n">
        <v>0</v>
      </c>
      <c r="Q342" t="n">
        <v>30.75400503868304</v>
      </c>
      <c r="R342" t="n">
        <v>21539975000000</v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CSUS.L</t>
        </is>
      </c>
      <c r="D343" t="n">
        <v>2020</v>
      </c>
      <c r="E343" t="n">
        <v>19.75704880856335</v>
      </c>
      <c r="F343" t="n">
        <v>-2.081</v>
      </c>
      <c r="G343" t="n">
        <v>-0.764625</v>
      </c>
      <c r="H343" t="n">
        <v>-0.764625</v>
      </c>
      <c r="I343" t="n">
        <v>-20.52167380856335</v>
      </c>
      <c r="J343" t="inlineStr">
        <is>
          <t>United States|CSUS.L|2020</t>
        </is>
      </c>
      <c r="K343" t="inlineStr">
        <is>
          <t>United States|2020</t>
        </is>
      </c>
      <c r="L343" t="inlineStr">
        <is>
          <t>USD</t>
        </is>
      </c>
      <c r="M343" t="n">
        <v>19.75704880856335</v>
      </c>
      <c r="N343" t="n">
        <v>0</v>
      </c>
      <c r="O343" t="n">
        <v>19.75704880856335</v>
      </c>
      <c r="P343" t="n">
        <v>0</v>
      </c>
      <c r="Q343" t="n">
        <v>19.75704880856335</v>
      </c>
      <c r="R343" t="n">
        <v>21375275000000</v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CSUS.L</t>
        </is>
      </c>
      <c r="D344" t="n">
        <v>2021</v>
      </c>
      <c r="E344" t="n">
        <v>28.30945813978041</v>
      </c>
      <c r="F344" t="n">
        <v>6.152</v>
      </c>
      <c r="G344" t="n">
        <v>10.995765</v>
      </c>
      <c r="H344" t="n">
        <v>10.995765</v>
      </c>
      <c r="I344" t="n">
        <v>-17.3136931397804</v>
      </c>
      <c r="J344" t="inlineStr">
        <is>
          <t>United States|CSUS.L|2021</t>
        </is>
      </c>
      <c r="K344" t="inlineStr">
        <is>
          <t>United States|2021</t>
        </is>
      </c>
      <c r="L344" t="inlineStr">
        <is>
          <t>USD</t>
        </is>
      </c>
      <c r="M344" t="n">
        <v>28.30945813978041</v>
      </c>
      <c r="N344" t="n">
        <v>0</v>
      </c>
      <c r="O344" t="n">
        <v>28.30945813978041</v>
      </c>
      <c r="P344" t="n">
        <v>0</v>
      </c>
      <c r="Q344" t="n">
        <v>28.30945813978041</v>
      </c>
      <c r="R344" t="n">
        <v>23725650000000</v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CSUS.L</t>
        </is>
      </c>
      <c r="D345" t="n">
        <v>2022</v>
      </c>
      <c r="E345" t="n">
        <v>-20.35076946152596</v>
      </c>
      <c r="F345" t="n">
        <v>2.524</v>
      </c>
      <c r="G345" t="n">
        <v>9.816169</v>
      </c>
      <c r="H345" t="n">
        <v>9.816169</v>
      </c>
      <c r="I345" t="n">
        <v>30.16693846152597</v>
      </c>
      <c r="J345" t="inlineStr">
        <is>
          <t>United States|CSUS.L|2022</t>
        </is>
      </c>
      <c r="K345" t="inlineStr">
        <is>
          <t>United States|2022</t>
        </is>
      </c>
      <c r="L345" t="inlineStr">
        <is>
          <t>USD</t>
        </is>
      </c>
      <c r="M345" t="n">
        <v>-20.35076946152596</v>
      </c>
      <c r="N345" t="n">
        <v>0</v>
      </c>
      <c r="O345" t="n">
        <v>-20.35076946152596</v>
      </c>
      <c r="P345" t="n">
        <v>0</v>
      </c>
      <c r="Q345" t="n">
        <v>-20.35076946152596</v>
      </c>
      <c r="R345" t="n">
        <v>26054600000000</v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CSUS.L</t>
        </is>
      </c>
      <c r="D346" t="n">
        <v>2023</v>
      </c>
      <c r="E346" t="n">
        <v>28.12120170617412</v>
      </c>
      <c r="F346" t="n">
        <v>2.935</v>
      </c>
      <c r="G346" t="n">
        <v>6.743147</v>
      </c>
      <c r="H346" t="n">
        <v>6.743147</v>
      </c>
      <c r="I346" t="n">
        <v>-21.37805470617412</v>
      </c>
      <c r="J346" t="inlineStr">
        <is>
          <t>United States|CSUS.L|2023</t>
        </is>
      </c>
      <c r="K346" t="inlineStr">
        <is>
          <t>United States|2023</t>
        </is>
      </c>
      <c r="L346" t="inlineStr">
        <is>
          <t>USD</t>
        </is>
      </c>
      <c r="M346" t="n">
        <v>28.12120170617412</v>
      </c>
      <c r="N346" t="n">
        <v>0</v>
      </c>
      <c r="O346" t="n">
        <v>28.12120170617412</v>
      </c>
      <c r="P346" t="n">
        <v>0</v>
      </c>
      <c r="Q346" t="n">
        <v>28.12120170617412</v>
      </c>
      <c r="R346" t="n">
        <v>27811500000000</v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CSUS.L</t>
        </is>
      </c>
      <c r="D347" t="n">
        <v>2024</v>
      </c>
      <c r="E347" t="n">
        <v>26.52359231096537</v>
      </c>
      <c r="F347" t="n">
        <v>2.793</v>
      </c>
      <c r="G347" t="n">
        <v>5.345001</v>
      </c>
      <c r="H347" t="n">
        <v>5.345001</v>
      </c>
      <c r="I347" t="n">
        <v>-21.17859131096537</v>
      </c>
      <c r="J347" t="inlineStr">
        <is>
          <t>United States|CSUS.L|2024</t>
        </is>
      </c>
      <c r="K347" t="inlineStr">
        <is>
          <t>United States|2024</t>
        </is>
      </c>
      <c r="L347" t="inlineStr">
        <is>
          <t>USD</t>
        </is>
      </c>
      <c r="M347" t="n">
        <v>26.52359231096537</v>
      </c>
      <c r="N347" t="n">
        <v>0</v>
      </c>
      <c r="O347" t="n">
        <v>26.52359231096537</v>
      </c>
      <c r="P347" t="n">
        <v>0</v>
      </c>
      <c r="Q347" t="n">
        <v>26.52359231096537</v>
      </c>
      <c r="R347" t="n">
        <v>29298025000000</v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CSUS.L</t>
        </is>
      </c>
      <c r="D348" t="n">
        <v>2025</v>
      </c>
      <c r="E348" t="n">
        <v>17.75908204481222</v>
      </c>
      <c r="F348" t="n">
        <v>2.017</v>
      </c>
      <c r="G348" t="n">
        <v>4.497634</v>
      </c>
      <c r="H348" t="n">
        <v>4.497634</v>
      </c>
      <c r="I348" t="n">
        <v>-13.26144804481222</v>
      </c>
      <c r="J348" t="inlineStr">
        <is>
          <t>United States|CSUS.L|2025</t>
        </is>
      </c>
      <c r="K348" t="inlineStr">
        <is>
          <t>United States|2025</t>
        </is>
      </c>
      <c r="L348" t="inlineStr">
        <is>
          <t>USD</t>
        </is>
      </c>
      <c r="M348" t="n">
        <v>17.75908204481222</v>
      </c>
      <c r="N348" t="n">
        <v>0</v>
      </c>
      <c r="O348" t="n">
        <v>17.75908204481222</v>
      </c>
      <c r="P348" t="n">
        <v>0</v>
      </c>
      <c r="Q348" t="n">
        <v>17.75908204481222</v>
      </c>
      <c r="R348" t="n">
        <v>30615743000000</v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CSUS.L</t>
        </is>
      </c>
      <c r="D349" t="n">
        <v>2026</v>
      </c>
      <c r="E349" t="n">
        <v>-1.512796888406454</v>
      </c>
      <c r="F349" t="n">
        <v>2.102</v>
      </c>
      <c r="G349" t="n">
        <v>3.93768</v>
      </c>
      <c r="H349" t="n">
        <v>3.93768</v>
      </c>
      <c r="I349" t="n">
        <v>5.450476888406453</v>
      </c>
      <c r="J349" t="inlineStr">
        <is>
          <t>United States|CSUS.L|2026</t>
        </is>
      </c>
      <c r="K349" t="inlineStr">
        <is>
          <t>United States|2026</t>
        </is>
      </c>
      <c r="L349" t="inlineStr">
        <is>
          <t>USD</t>
        </is>
      </c>
      <c r="M349" t="n">
        <v>-1.512796888406454</v>
      </c>
      <c r="N349" t="n">
        <v>0</v>
      </c>
      <c r="O349" t="n">
        <v>-1.512796888406454</v>
      </c>
      <c r="P349" t="n">
        <v>0</v>
      </c>
      <c r="Q349" t="n">
        <v>-1.512796888406454</v>
      </c>
      <c r="R349" t="n">
        <v>31821293000000</v>
      </c>
    </row>
    <row r="350">
      <c r="A350" t="inlineStr">
        <is>
          <t>Vietnam</t>
        </is>
      </c>
      <c r="B350" t="inlineStr">
        <is>
          <t>VNM</t>
        </is>
      </c>
      <c r="C350" t="inlineStr">
        <is>
          <t>XFVT.L</t>
        </is>
      </c>
      <c r="D350" t="n">
        <v>2015</v>
      </c>
      <c r="E350" t="n">
        <v>-13.48618627171746</v>
      </c>
      <c r="F350" t="n">
        <v>6.987</v>
      </c>
      <c r="G350" t="inlineStr"/>
      <c r="H350" t="inlineStr"/>
      <c r="I350" t="inlineStr"/>
      <c r="J350" t="inlineStr">
        <is>
          <t>Vietnam|XFVT.L|2015</t>
        </is>
      </c>
      <c r="K350" t="inlineStr">
        <is>
          <t>Vietnam|2015</t>
        </is>
      </c>
      <c r="L350" t="inlineStr">
        <is>
          <t>GBp</t>
        </is>
      </c>
      <c r="M350" t="n">
        <v>-13.48618627171746</v>
      </c>
      <c r="N350" t="n">
        <v>-4.888855870697362</v>
      </c>
      <c r="O350" t="n">
        <v>-17.71572193313678</v>
      </c>
      <c r="P350" t="inlineStr"/>
      <c r="Q350" t="inlineStr"/>
      <c r="R350" t="n">
        <v>236795000000</v>
      </c>
    </row>
    <row r="351">
      <c r="A351" t="inlineStr">
        <is>
          <t>Vietnam</t>
        </is>
      </c>
      <c r="B351" t="inlineStr">
        <is>
          <t>VNM</t>
        </is>
      </c>
      <c r="C351" t="inlineStr">
        <is>
          <t>XFVT.L</t>
        </is>
      </c>
      <c r="D351" t="n">
        <v>2016</v>
      </c>
      <c r="E351" t="n">
        <v>16.79276315789475</v>
      </c>
      <c r="F351" t="n">
        <v>6.69</v>
      </c>
      <c r="G351" t="n">
        <v>8.631271999999999</v>
      </c>
      <c r="H351" t="n">
        <v>6.482823</v>
      </c>
      <c r="I351" t="n">
        <v>9.107684322578287</v>
      </c>
      <c r="J351" t="inlineStr">
        <is>
          <t>Vietnam|XFVT.L|2016</t>
        </is>
      </c>
      <c r="K351" t="inlineStr">
        <is>
          <t>Vietnam|2016</t>
        </is>
      </c>
      <c r="L351" t="inlineStr">
        <is>
          <t>GBp</t>
        </is>
      </c>
      <c r="M351" t="n">
        <v>16.79276315789475</v>
      </c>
      <c r="N351" t="n">
        <v>-16.62570861023462</v>
      </c>
      <c r="O351" t="n">
        <v>-2.624861322578287</v>
      </c>
      <c r="P351" t="n">
        <v>2.017648688576834</v>
      </c>
      <c r="Q351" t="n">
        <v>-4.550693013252083</v>
      </c>
      <c r="R351" t="n">
        <v>252146000000</v>
      </c>
    </row>
    <row r="352">
      <c r="A352" t="inlineStr">
        <is>
          <t>Vietnam</t>
        </is>
      </c>
      <c r="B352" t="inlineStr">
        <is>
          <t>VNM</t>
        </is>
      </c>
      <c r="C352" t="inlineStr">
        <is>
          <t>XFVT.L</t>
        </is>
      </c>
      <c r="D352" t="n">
        <v>2017</v>
      </c>
      <c r="E352" t="n">
        <v>33.44334433443345</v>
      </c>
      <c r="F352" t="n">
        <v>6.94</v>
      </c>
      <c r="G352" t="n">
        <v>11.605905</v>
      </c>
      <c r="H352" t="n">
        <v>9.885146000000001</v>
      </c>
      <c r="I352" t="n">
        <v>-35.35644226272699</v>
      </c>
      <c r="J352" t="inlineStr">
        <is>
          <t>Vietnam|XFVT.L|2017</t>
        </is>
      </c>
      <c r="K352" t="inlineStr">
        <is>
          <t>Vietnam|2017</t>
        </is>
      </c>
      <c r="L352" t="inlineStr">
        <is>
          <t>GBp</t>
        </is>
      </c>
      <c r="M352" t="n">
        <v>33.44334433443345</v>
      </c>
      <c r="N352" t="n">
        <v>8.841388071573641</v>
      </c>
      <c r="O352" t="n">
        <v>45.24158826272699</v>
      </c>
      <c r="P352" t="n">
        <v>1.565961953829831</v>
      </c>
      <c r="Q352" t="n">
        <v>43.0022277825236</v>
      </c>
      <c r="R352" t="n">
        <v>277071000000</v>
      </c>
    </row>
    <row r="353">
      <c r="A353" t="inlineStr">
        <is>
          <t>Vietnam</t>
        </is>
      </c>
      <c r="B353" t="inlineStr">
        <is>
          <t>VNM</t>
        </is>
      </c>
      <c r="C353" t="inlineStr">
        <is>
          <t>XFVT.L</t>
        </is>
      </c>
      <c r="D353" t="n">
        <v>2018</v>
      </c>
      <c r="E353" t="n">
        <v>-7.244752394538412</v>
      </c>
      <c r="F353" t="n">
        <v>7.465</v>
      </c>
      <c r="G353" t="n">
        <v>11.362384</v>
      </c>
      <c r="H353" t="n">
        <v>9.888801000000001</v>
      </c>
      <c r="I353" t="n">
        <v>22.77799239564892</v>
      </c>
      <c r="J353" t="inlineStr">
        <is>
          <t>Vietnam|XFVT.L|2018</t>
        </is>
      </c>
      <c r="K353" t="inlineStr">
        <is>
          <t>Vietnam|2018</t>
        </is>
      </c>
      <c r="L353" t="inlineStr">
        <is>
          <t>GBp</t>
        </is>
      </c>
      <c r="M353" t="n">
        <v>-7.244752394538412</v>
      </c>
      <c r="N353" t="n">
        <v>-6.085304224640065</v>
      </c>
      <c r="O353" t="n">
        <v>-12.88919139564891</v>
      </c>
      <c r="P353" t="n">
        <v>1.340976101186331</v>
      </c>
      <c r="Q353" t="n">
        <v>-14.04186938423289</v>
      </c>
      <c r="R353" t="n">
        <v>304470000000</v>
      </c>
    </row>
    <row r="354">
      <c r="A354" t="inlineStr">
        <is>
          <t>Vietnam</t>
        </is>
      </c>
      <c r="B354" t="inlineStr">
        <is>
          <t>VNM</t>
        </is>
      </c>
      <c r="C354" t="inlineStr">
        <is>
          <t>XFVT.L</t>
        </is>
      </c>
      <c r="D354" t="n">
        <v>2019</v>
      </c>
      <c r="E354" t="n">
        <v>-1.198186528497414</v>
      </c>
      <c r="F354" t="n">
        <v>7.359</v>
      </c>
      <c r="G354" t="n">
        <v>9.960820999999999</v>
      </c>
      <c r="H354" t="n">
        <v>8.982165999999999</v>
      </c>
      <c r="I354" t="n">
        <v>7.271761219977909</v>
      </c>
      <c r="J354" t="inlineStr">
        <is>
          <t>Vietnam|XFVT.L|2019</t>
        </is>
      </c>
      <c r="K354" t="inlineStr">
        <is>
          <t>Vietnam|2019</t>
        </is>
      </c>
      <c r="L354" t="inlineStr">
        <is>
          <t>GBp</t>
        </is>
      </c>
      <c r="M354" t="n">
        <v>-1.198186528497414</v>
      </c>
      <c r="N354" t="n">
        <v>2.94386429390634</v>
      </c>
      <c r="O354" t="n">
        <v>1.71040478002209</v>
      </c>
      <c r="P354" t="n">
        <v>0.897996055312289</v>
      </c>
      <c r="Q354" t="n">
        <v>0.8051782557350728</v>
      </c>
      <c r="R354" t="n">
        <v>331818000000</v>
      </c>
    </row>
    <row r="355">
      <c r="A355" t="inlineStr">
        <is>
          <t>Vietnam</t>
        </is>
      </c>
      <c r="B355" t="inlineStr">
        <is>
          <t>VNM</t>
        </is>
      </c>
      <c r="C355" t="inlineStr">
        <is>
          <t>XFVT.L</t>
        </is>
      </c>
      <c r="D355" t="n">
        <v>2020</v>
      </c>
      <c r="E355" t="n">
        <v>12.24511813572122</v>
      </c>
      <c r="F355" t="n">
        <v>2.865</v>
      </c>
      <c r="G355" t="n">
        <v>4.374941</v>
      </c>
      <c r="H355" t="n">
        <v>4.367454</v>
      </c>
      <c r="I355" t="n">
        <v>-10.99268881600469</v>
      </c>
      <c r="J355" t="inlineStr">
        <is>
          <t>Vietnam|XFVT.L|2020</t>
        </is>
      </c>
      <c r="K355" t="inlineStr">
        <is>
          <t>Vietnam|2020</t>
        </is>
      </c>
      <c r="L355" t="inlineStr">
        <is>
          <t>GBp</t>
        </is>
      </c>
      <c r="M355" t="n">
        <v>12.24511813572122</v>
      </c>
      <c r="N355" t="n">
        <v>2.775198362317122</v>
      </c>
      <c r="O355" t="n">
        <v>15.36014281600469</v>
      </c>
      <c r="P355" t="n">
        <v>0.00717294682246461</v>
      </c>
      <c r="Q355" t="n">
        <v>15.35186868780498</v>
      </c>
      <c r="R355" t="n">
        <v>346310000000</v>
      </c>
    </row>
    <row r="356">
      <c r="A356" t="inlineStr">
        <is>
          <t>Vietnam</t>
        </is>
      </c>
      <c r="B356" t="inlineStr">
        <is>
          <t>VNM</t>
        </is>
      </c>
      <c r="C356" t="inlineStr">
        <is>
          <t>XFVT.L</t>
        </is>
      </c>
      <c r="D356" t="n">
        <v>2021</v>
      </c>
      <c r="E356" t="n">
        <v>31.4366729678639</v>
      </c>
      <c r="F356" t="n">
        <v>2.554</v>
      </c>
      <c r="G356" t="n">
        <v>5.508063</v>
      </c>
      <c r="H356" t="n">
        <v>6.862638</v>
      </c>
      <c r="I356" t="n">
        <v>-22.89529881670504</v>
      </c>
      <c r="J356" t="inlineStr">
        <is>
          <t>Vietnam|XFVT.L|2021</t>
        </is>
      </c>
      <c r="K356" t="inlineStr">
        <is>
          <t>Vietnam|2021</t>
        </is>
      </c>
      <c r="L356" t="inlineStr">
        <is>
          <t>GBp</t>
        </is>
      </c>
      <c r="M356" t="n">
        <v>31.4366729678639</v>
      </c>
      <c r="N356" t="n">
        <v>-1.277220514832489</v>
      </c>
      <c r="O356" t="n">
        <v>29.75793681670504</v>
      </c>
      <c r="P356" t="n">
        <v>-1.267584353936169</v>
      </c>
      <c r="Q356" t="n">
        <v>31.42384491215282</v>
      </c>
      <c r="R356" t="n">
        <v>370076000000</v>
      </c>
    </row>
    <row r="357">
      <c r="A357" t="inlineStr">
        <is>
          <t>Vietnam</t>
        </is>
      </c>
      <c r="B357" t="inlineStr">
        <is>
          <t>VNM</t>
        </is>
      </c>
      <c r="C357" t="inlineStr">
        <is>
          <t>XFVT.L</t>
        </is>
      </c>
      <c r="D357" t="n">
        <v>2022</v>
      </c>
      <c r="E357" t="n">
        <v>-39.70095025153717</v>
      </c>
      <c r="F357" t="n">
        <v>8.538</v>
      </c>
      <c r="G357" t="n">
        <v>13.35964</v>
      </c>
      <c r="H357" t="n">
        <v>11.076644</v>
      </c>
      <c r="I357" t="n">
        <v>57.31464256417105</v>
      </c>
      <c r="J357" t="inlineStr">
        <is>
          <t>Vietnam|XFVT.L|2022</t>
        </is>
      </c>
      <c r="K357" t="inlineStr">
        <is>
          <t>Vietnam|2022</t>
        </is>
      </c>
      <c r="L357" t="inlineStr">
        <is>
          <t>GBp</t>
        </is>
      </c>
      <c r="M357" t="n">
        <v>-39.70095025153717</v>
      </c>
      <c r="N357" t="n">
        <v>-10.84104698150823</v>
      </c>
      <c r="O357" t="n">
        <v>-46.23799856417104</v>
      </c>
      <c r="P357" t="n">
        <v>2.055334601984238</v>
      </c>
      <c r="Q357" t="n">
        <v>-47.32073375144892</v>
      </c>
      <c r="R357" t="n">
        <v>411068000000</v>
      </c>
    </row>
    <row r="358">
      <c r="A358" t="inlineStr">
        <is>
          <t>Vietnam</t>
        </is>
      </c>
      <c r="B358" t="inlineStr">
        <is>
          <t>VNM</t>
        </is>
      </c>
      <c r="C358" t="inlineStr">
        <is>
          <t>XFVT.L</t>
        </is>
      </c>
      <c r="D358" t="n">
        <v>2023</v>
      </c>
      <c r="E358" t="n">
        <v>-5.490410958904112</v>
      </c>
      <c r="F358" t="n">
        <v>5.065</v>
      </c>
      <c r="G358" t="n">
        <v>7.264446</v>
      </c>
      <c r="H358" t="n">
        <v>5.337316</v>
      </c>
      <c r="I358" t="n">
        <v>6.042677464805599</v>
      </c>
      <c r="J358" t="inlineStr">
        <is>
          <t>Vietnam|XFVT.L|2023</t>
        </is>
      </c>
      <c r="K358" t="inlineStr">
        <is>
          <t>Vietnam|2023</t>
        </is>
      </c>
      <c r="L358" t="inlineStr">
        <is>
          <t>GBp</t>
        </is>
      </c>
      <c r="M358" t="n">
        <v>-5.490410958904112</v>
      </c>
      <c r="N358" t="n">
        <v>5.06303068571996</v>
      </c>
      <c r="O358" t="n">
        <v>-0.7053614648055984</v>
      </c>
      <c r="P358" t="n">
        <v>1.829483787943009</v>
      </c>
      <c r="Q358" t="n">
        <v>-2.48930384251711</v>
      </c>
      <c r="R358" t="n">
        <v>433008000000</v>
      </c>
    </row>
    <row r="359">
      <c r="A359" t="inlineStr">
        <is>
          <t>Vietnam</t>
        </is>
      </c>
      <c r="B359" t="inlineStr">
        <is>
          <t>VNM</t>
        </is>
      </c>
      <c r="C359" t="inlineStr">
        <is>
          <t>XFVT.L</t>
        </is>
      </c>
      <c r="D359" t="n">
        <v>2024</v>
      </c>
      <c r="E359" t="n">
        <v>-8.879860708067334</v>
      </c>
      <c r="F359" t="n">
        <v>7.091</v>
      </c>
      <c r="G359" t="n">
        <v>11.545738</v>
      </c>
      <c r="H359" t="n">
        <v>6.111665</v>
      </c>
      <c r="I359" t="n">
        <v>16.28639165824373</v>
      </c>
      <c r="J359" t="inlineStr">
        <is>
          <t>Vietnam|XFVT.L|2024</t>
        </is>
      </c>
      <c r="K359" t="inlineStr">
        <is>
          <t>Vietnam|2024</t>
        </is>
      </c>
      <c r="L359" t="inlineStr">
        <is>
          <t>GBp</t>
        </is>
      </c>
      <c r="M359" t="n">
        <v>-8.879860708067334</v>
      </c>
      <c r="N359" t="n">
        <v>-1.421053523664917</v>
      </c>
      <c r="O359" t="n">
        <v>-10.17472665824373</v>
      </c>
      <c r="P359" t="n">
        <v>5.121088586406031</v>
      </c>
      <c r="Q359" t="n">
        <v>-14.55066290725967</v>
      </c>
      <c r="R359" t="n">
        <v>459472000000</v>
      </c>
    </row>
    <row r="360">
      <c r="A360" t="inlineStr">
        <is>
          <t>Vietnam</t>
        </is>
      </c>
      <c r="B360" t="inlineStr">
        <is>
          <t>VNM</t>
        </is>
      </c>
      <c r="C360" t="inlineStr">
        <is>
          <t>XFVT.L</t>
        </is>
      </c>
      <c r="D360" t="n">
        <v>2025</v>
      </c>
      <c r="E360" t="n">
        <v>55.06464164679304</v>
      </c>
      <c r="F360" t="n">
        <v>6.457</v>
      </c>
      <c r="G360" t="n">
        <v>9.991490000000001</v>
      </c>
      <c r="H360" t="n">
        <v>5.496309</v>
      </c>
      <c r="I360" t="n">
        <v>-61.30971807742051</v>
      </c>
      <c r="J360" t="inlineStr">
        <is>
          <t>Vietnam|XFVT.L|2025</t>
        </is>
      </c>
      <c r="K360" t="inlineStr">
        <is>
          <t>Vietnam|2025</t>
        </is>
      </c>
      <c r="L360" t="inlineStr">
        <is>
          <t>GBp</t>
        </is>
      </c>
      <c r="M360" t="n">
        <v>55.06464164679304</v>
      </c>
      <c r="N360" t="n">
        <v>7.571929555270285</v>
      </c>
      <c r="O360" t="n">
        <v>66.80602707742051</v>
      </c>
      <c r="P360" t="n">
        <v>4.260984277585145</v>
      </c>
      <c r="Q360" t="n">
        <v>59.9889241725505</v>
      </c>
      <c r="R360" t="n">
        <v>484726000000</v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n">
        <v>2026</v>
      </c>
      <c r="E361" t="n">
        <v>-7.895159993568091</v>
      </c>
      <c r="F361" t="n">
        <v>5.595</v>
      </c>
      <c r="G361" t="n">
        <v>9.35421</v>
      </c>
      <c r="H361" t="n">
        <v>5.432554</v>
      </c>
      <c r="I361" t="n">
        <v>14.25765245077709</v>
      </c>
      <c r="J361" t="inlineStr">
        <is>
          <t>Vietnam|XFVT.L|2026</t>
        </is>
      </c>
      <c r="K361" t="inlineStr">
        <is>
          <t>Vietnam|2026</t>
        </is>
      </c>
      <c r="L361" t="inlineStr">
        <is>
          <t>GBp</t>
        </is>
      </c>
      <c r="M361" t="n">
        <v>-7.895159993568091</v>
      </c>
      <c r="N361" t="n">
        <v>-1.00965210638666</v>
      </c>
      <c r="O361" t="n">
        <v>-8.825098450777091</v>
      </c>
      <c r="P361" t="n">
        <v>3.71958745904466</v>
      </c>
      <c r="Q361" t="n">
        <v>-12.09480891425182</v>
      </c>
      <c r="R361" t="n">
        <v>511059000000</v>
      </c>
    </row>
  </sheetData>
  <autoFilter ref="A1:R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inlineStr"/>
      <c r="K122" t="inlineStr">
        <is>
          <t>Saudi Arabia||1Y</t>
        </is>
      </c>
      <c r="L122" t="inlineStr">
        <is>
          <t>Saudi Arabia|1Y</t>
        </is>
      </c>
      <c r="M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inlineStr"/>
      <c r="K123" t="inlineStr">
        <is>
          <t>Saudi Arabia||3Y</t>
        </is>
      </c>
      <c r="L123" t="inlineStr">
        <is>
          <t>Saudi Arabia|3Y</t>
        </is>
      </c>
      <c r="M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inlineStr"/>
      <c r="K124" t="inlineStr">
        <is>
          <t>Saudi Arabia||5Y</t>
        </is>
      </c>
      <c r="L124" t="inlineStr">
        <is>
          <t>Saudi Arabia|5Y</t>
        </is>
      </c>
      <c r="M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inlineStr"/>
      <c r="K125" t="inlineStr">
        <is>
          <t>Saudi Arabia||10Y</t>
        </is>
      </c>
      <c r="L125" t="inlineStr">
        <is>
          <t>Saudi Arabia|10Y</t>
        </is>
      </c>
      <c r="M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8.399855514391408</v>
      </c>
      <c r="K126" t="inlineStr">
        <is>
          <t>Saudi Arabia|IKSA.L|1Y</t>
        </is>
      </c>
      <c r="L126" t="inlineStr">
        <is>
          <t>Saudi Arabia|1Y</t>
        </is>
      </c>
      <c r="M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-0.1027331289850109</v>
      </c>
      <c r="K127" t="inlineStr">
        <is>
          <t>Saudi Arabia|IKSA.L|3Y</t>
        </is>
      </c>
      <c r="L127" t="inlineStr">
        <is>
          <t>Saudi Arabia|3Y</t>
        </is>
      </c>
      <c r="M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4.463858590319392</v>
      </c>
      <c r="K128" t="inlineStr">
        <is>
          <t>Saudi Arabia|IKSA.L|5Y</t>
        </is>
      </c>
      <c r="L128" t="inlineStr">
        <is>
          <t>Saudi Arabia|5Y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inlineStr"/>
      <c r="K129" t="inlineStr">
        <is>
          <t>South Africa||1Y</t>
        </is>
      </c>
      <c r="L129" t="inlineStr">
        <is>
          <t>South Africa|1Y</t>
        </is>
      </c>
      <c r="M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inlineStr"/>
      <c r="K130" t="inlineStr">
        <is>
          <t>South Africa||3Y</t>
        </is>
      </c>
      <c r="L130" t="inlineStr">
        <is>
          <t>South Africa|3Y</t>
        </is>
      </c>
      <c r="M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inlineStr"/>
      <c r="K131" t="inlineStr">
        <is>
          <t>South Africa||5Y</t>
        </is>
      </c>
      <c r="L131" t="inlineStr">
        <is>
          <t>South Africa|5Y</t>
        </is>
      </c>
      <c r="M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inlineStr"/>
      <c r="K132" t="inlineStr">
        <is>
          <t>South Africa||10Y</t>
        </is>
      </c>
      <c r="L132" t="inlineStr">
        <is>
          <t>South Africa|10Y</t>
        </is>
      </c>
      <c r="M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-68.73357935161455</v>
      </c>
      <c r="K133" t="inlineStr">
        <is>
          <t>South Africa|IRSA.L|1Y</t>
        </is>
      </c>
      <c r="L133" t="inlineStr">
        <is>
          <t>South Africa|1Y</t>
        </is>
      </c>
      <c r="M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-21.93181920995706</v>
      </c>
      <c r="K134" t="inlineStr">
        <is>
          <t>South Africa|IRSA.L|3Y</t>
        </is>
      </c>
      <c r="L134" t="inlineStr">
        <is>
          <t>South Africa|3Y</t>
        </is>
      </c>
      <c r="M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-9.017466120046613</v>
      </c>
      <c r="K135" t="inlineStr">
        <is>
          <t>South Africa|IRSA.L|5Y</t>
        </is>
      </c>
      <c r="L135" t="inlineStr">
        <is>
          <t>South Africa|5Y</t>
        </is>
      </c>
      <c r="M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-7.595751669619033</v>
      </c>
      <c r="K136" t="inlineStr">
        <is>
          <t>South Africa|IRSA.L|10Y</t>
        </is>
      </c>
      <c r="L136" t="inlineStr">
        <is>
          <t>South Africa|10Y</t>
        </is>
      </c>
      <c r="M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-66.94068485797825</v>
      </c>
      <c r="K137" t="inlineStr">
        <is>
          <t>South Africa|SRSA.L|1Y</t>
        </is>
      </c>
      <c r="L137" t="inlineStr">
        <is>
          <t>South Africa|1Y</t>
        </is>
      </c>
      <c r="M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-21.62687016109632</v>
      </c>
      <c r="K138" t="inlineStr">
        <is>
          <t>South Africa|SRSA.L|3Y</t>
        </is>
      </c>
      <c r="L138" t="inlineStr">
        <is>
          <t>South Africa|3Y</t>
        </is>
      </c>
      <c r="M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-8.806270575509799</v>
      </c>
      <c r="K139" t="inlineStr">
        <is>
          <t>South Africa|SRSA.L|5Y</t>
        </is>
      </c>
      <c r="L139" t="inlineStr">
        <is>
          <t>South Africa|5Y</t>
        </is>
      </c>
      <c r="M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-7.193625657716729</v>
      </c>
      <c r="K140" t="inlineStr">
        <is>
          <t>South Africa|SRSA.L|10Y</t>
        </is>
      </c>
      <c r="L140" t="inlineStr">
        <is>
          <t>South Africa|10Y</t>
        </is>
      </c>
      <c r="M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inlineStr"/>
      <c r="K141" t="inlineStr">
        <is>
          <t>South Korea||1Y</t>
        </is>
      </c>
      <c r="L141" t="inlineStr">
        <is>
          <t>South Korea|1Y</t>
        </is>
      </c>
      <c r="M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inlineStr"/>
      <c r="K142" t="inlineStr">
        <is>
          <t>South Korea||3Y</t>
        </is>
      </c>
      <c r="L142" t="inlineStr">
        <is>
          <t>South Korea|3Y</t>
        </is>
      </c>
      <c r="M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inlineStr"/>
      <c r="K143" t="inlineStr">
        <is>
          <t>South Korea||5Y</t>
        </is>
      </c>
      <c r="L143" t="inlineStr">
        <is>
          <t>South Korea|5Y</t>
        </is>
      </c>
      <c r="M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inlineStr"/>
      <c r="K144" t="inlineStr">
        <is>
          <t>South Korea||10Y</t>
        </is>
      </c>
      <c r="L144" t="inlineStr">
        <is>
          <t>South Korea|10Y</t>
        </is>
      </c>
      <c r="M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-100.1501690374899</v>
      </c>
      <c r="K145" t="inlineStr">
        <is>
          <t>South Korea|CSKR.L|1Y</t>
        </is>
      </c>
      <c r="L145" t="inlineStr">
        <is>
          <t>South Korea|1Y</t>
        </is>
      </c>
      <c r="M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-22.71684156823588</v>
      </c>
      <c r="K146" t="inlineStr">
        <is>
          <t>South Korea|CSKR.L|3Y</t>
        </is>
      </c>
      <c r="L146" t="inlineStr">
        <is>
          <t>South Korea|3Y</t>
        </is>
      </c>
      <c r="M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-2.135146959864387</v>
      </c>
      <c r="K147" t="inlineStr">
        <is>
          <t>South Korea|CSKR.L|5Y</t>
        </is>
      </c>
      <c r="L147" t="inlineStr">
        <is>
          <t>South Korea|5Y</t>
        </is>
      </c>
      <c r="M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-7.883490288739492</v>
      </c>
      <c r="K148" t="inlineStr">
        <is>
          <t>South Korea|CSKR.L|10Y</t>
        </is>
      </c>
      <c r="L148" t="inlineStr">
        <is>
          <t>South Korea|10Y</t>
        </is>
      </c>
      <c r="M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inlineStr"/>
      <c r="K149" t="inlineStr">
        <is>
          <t>Switzerland||1Y</t>
        </is>
      </c>
      <c r="L149" t="inlineStr">
        <is>
          <t>Switzerland|1Y</t>
        </is>
      </c>
      <c r="M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inlineStr"/>
      <c r="K150" t="inlineStr">
        <is>
          <t>Switzerland||3Y</t>
        </is>
      </c>
      <c r="L150" t="inlineStr">
        <is>
          <t>Switzerland|3Y</t>
        </is>
      </c>
      <c r="M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inlineStr"/>
      <c r="K151" t="inlineStr">
        <is>
          <t>Switzerland||5Y</t>
        </is>
      </c>
      <c r="L151" t="inlineStr">
        <is>
          <t>Switzerland|5Y</t>
        </is>
      </c>
      <c r="M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inlineStr"/>
      <c r="K152" t="inlineStr">
        <is>
          <t>Switzerland||10Y</t>
        </is>
      </c>
      <c r="L152" t="inlineStr">
        <is>
          <t>Switzerland|10Y</t>
        </is>
      </c>
      <c r="M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-24.66216392077509</v>
      </c>
      <c r="K153" t="inlineStr">
        <is>
          <t>Switzerland|CSW.PA|1Y</t>
        </is>
      </c>
      <c r="L153" t="inlineStr">
        <is>
          <t>Switzerland|1Y</t>
        </is>
      </c>
      <c r="M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-7.446240169426943</v>
      </c>
      <c r="K154" t="inlineStr">
        <is>
          <t>Switzerland|CSW.PA|3Y</t>
        </is>
      </c>
      <c r="L154" t="inlineStr">
        <is>
          <t>Switzerland|3Y</t>
        </is>
      </c>
      <c r="M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-1.542553614004549</v>
      </c>
      <c r="K155" t="inlineStr">
        <is>
          <t>Switzerland|CSW.PA|5Y</t>
        </is>
      </c>
      <c r="L155" t="inlineStr">
        <is>
          <t>Switzerland|5Y</t>
        </is>
      </c>
      <c r="M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28.62184124762392</v>
      </c>
      <c r="K156" t="inlineStr">
        <is>
          <t>Switzerland|CSW.PA|10Y</t>
        </is>
      </c>
      <c r="L156" t="inlineStr">
        <is>
          <t>Switzerland|10Y</t>
        </is>
      </c>
      <c r="M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-24.52226992904705</v>
      </c>
      <c r="K157" t="inlineStr">
        <is>
          <t>Switzerland|CSWG.L|1Y</t>
        </is>
      </c>
      <c r="L157" t="inlineStr">
        <is>
          <t>Switzerland|1Y</t>
        </is>
      </c>
      <c r="M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-7.291486578247053</v>
      </c>
      <c r="K158" t="inlineStr">
        <is>
          <t>Switzerland|CSWG.L|3Y</t>
        </is>
      </c>
      <c r="L158" t="inlineStr">
        <is>
          <t>Switzerland|3Y</t>
        </is>
      </c>
      <c r="M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54.84998690691517</v>
      </c>
      <c r="K159" t="inlineStr">
        <is>
          <t>Switzerland|CSWG.L|5Y</t>
        </is>
      </c>
      <c r="L159" t="inlineStr">
        <is>
          <t>Switzerland|5Y</t>
        </is>
      </c>
      <c r="M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-0.4189801284866901</v>
      </c>
      <c r="K160" t="inlineStr">
        <is>
          <t>Switzerland|CSWG.L|10Y</t>
        </is>
      </c>
      <c r="L160" t="inlineStr">
        <is>
          <t>Switzerland|10Y</t>
        </is>
      </c>
      <c r="M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inlineStr"/>
      <c r="K161" t="inlineStr">
        <is>
          <t>Taiwan||1Y</t>
        </is>
      </c>
      <c r="L161" t="inlineStr">
        <is>
          <t>Taiwan|1Y</t>
        </is>
      </c>
      <c r="M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inlineStr"/>
      <c r="K162" t="inlineStr">
        <is>
          <t>Taiwan||3Y</t>
        </is>
      </c>
      <c r="L162" t="inlineStr">
        <is>
          <t>Taiwan|3Y</t>
        </is>
      </c>
      <c r="M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inlineStr"/>
      <c r="K163" t="inlineStr">
        <is>
          <t>Taiwan||5Y</t>
        </is>
      </c>
      <c r="L163" t="inlineStr">
        <is>
          <t>Taiwan|5Y</t>
        </is>
      </c>
      <c r="M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inlineStr"/>
      <c r="K164" t="inlineStr">
        <is>
          <t>Taiwan||10Y</t>
        </is>
      </c>
      <c r="L164" t="inlineStr">
        <is>
          <t>Taiwan|10Y</t>
        </is>
      </c>
      <c r="M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-22.21141817071263</v>
      </c>
      <c r="K165" t="inlineStr">
        <is>
          <t>Taiwan|XMTW.L|1Y</t>
        </is>
      </c>
      <c r="L165" t="inlineStr">
        <is>
          <t>Taiwan|1Y</t>
        </is>
      </c>
      <c r="M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-23.11591935918622</v>
      </c>
      <c r="K166" t="inlineStr">
        <is>
          <t>Taiwan|XMTW.L|3Y</t>
        </is>
      </c>
      <c r="L166" t="inlineStr">
        <is>
          <t>Taiwan|3Y</t>
        </is>
      </c>
      <c r="M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-7.699794032358564</v>
      </c>
      <c r="K167" t="inlineStr">
        <is>
          <t>Taiwan|XMTW.L|5Y</t>
        </is>
      </c>
      <c r="L167" t="inlineStr">
        <is>
          <t>Taiwan|5Y</t>
        </is>
      </c>
      <c r="M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-11.93351171800876</v>
      </c>
      <c r="K168" t="inlineStr">
        <is>
          <t>Taiwan|XMTW.L|10Y</t>
        </is>
      </c>
      <c r="L168" t="inlineStr">
        <is>
          <t>Taiwan|10Y</t>
        </is>
      </c>
      <c r="M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inlineStr"/>
      <c r="K169" t="inlineStr">
        <is>
          <t>Thailand||1Y</t>
        </is>
      </c>
      <c r="L169" t="inlineStr">
        <is>
          <t>Thailand|1Y</t>
        </is>
      </c>
      <c r="M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inlineStr"/>
      <c r="K170" t="inlineStr">
        <is>
          <t>Thailand||3Y</t>
        </is>
      </c>
      <c r="L170" t="inlineStr">
        <is>
          <t>Thailand|3Y</t>
        </is>
      </c>
      <c r="M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inlineStr"/>
      <c r="K171" t="inlineStr">
        <is>
          <t>Thailand||5Y</t>
        </is>
      </c>
      <c r="L171" t="inlineStr">
        <is>
          <t>Thailand|5Y</t>
        </is>
      </c>
      <c r="M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inlineStr"/>
      <c r="K172" t="inlineStr">
        <is>
          <t>Thailand||10Y</t>
        </is>
      </c>
      <c r="L172" t="inlineStr">
        <is>
          <t>Thailand|10Y</t>
        </is>
      </c>
      <c r="M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-2.095646651034565</v>
      </c>
      <c r="K173" t="inlineStr">
        <is>
          <t>Thailand|XCX4.L|1Y</t>
        </is>
      </c>
      <c r="L173" t="inlineStr">
        <is>
          <t>Thailand|1Y</t>
        </is>
      </c>
      <c r="M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6.331103445450292</v>
      </c>
      <c r="K174" t="inlineStr">
        <is>
          <t>Thailand|XCX4.L|3Y</t>
        </is>
      </c>
      <c r="L174" t="inlineStr">
        <is>
          <t>Thailand|3Y</t>
        </is>
      </c>
      <c r="M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3.106555250730536</v>
      </c>
      <c r="K175" t="inlineStr">
        <is>
          <t>Thailand|XCX4.L|5Y</t>
        </is>
      </c>
      <c r="L175" t="inlineStr">
        <is>
          <t>Thailand|5Y</t>
        </is>
      </c>
      <c r="M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-0.7811804977869929</v>
      </c>
      <c r="K176" t="inlineStr">
        <is>
          <t>Thailand|XCX4.L|10Y</t>
        </is>
      </c>
      <c r="L176" t="inlineStr">
        <is>
          <t>Thailand|10Y</t>
        </is>
      </c>
      <c r="M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inlineStr"/>
      <c r="K177" t="inlineStr">
        <is>
          <t>Turkey||1Y</t>
        </is>
      </c>
      <c r="L177" t="inlineStr">
        <is>
          <t>Turkey|1Y</t>
        </is>
      </c>
      <c r="M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inlineStr"/>
      <c r="K178" t="inlineStr">
        <is>
          <t>Turkey||3Y</t>
        </is>
      </c>
      <c r="L178" t="inlineStr">
        <is>
          <t>Turkey|3Y</t>
        </is>
      </c>
      <c r="M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inlineStr"/>
      <c r="K179" t="inlineStr">
        <is>
          <t>Turkey||5Y</t>
        </is>
      </c>
      <c r="L179" t="inlineStr">
        <is>
          <t>Turkey|5Y</t>
        </is>
      </c>
      <c r="M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inlineStr"/>
      <c r="K180" t="inlineStr">
        <is>
          <t>Turkey||10Y</t>
        </is>
      </c>
      <c r="L180" t="inlineStr">
        <is>
          <t>Turkey|10Y</t>
        </is>
      </c>
      <c r="M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7.68445544472971</v>
      </c>
      <c r="K181" t="inlineStr">
        <is>
          <t>Turkey|TURL.L|1Y</t>
        </is>
      </c>
      <c r="L181" t="inlineStr">
        <is>
          <t>Turkey|1Y</t>
        </is>
      </c>
      <c r="M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22.87695097719232</v>
      </c>
      <c r="K182" t="inlineStr">
        <is>
          <t>Turkey|TURL.L|3Y</t>
        </is>
      </c>
      <c r="L182" t="inlineStr">
        <is>
          <t>Turkey|3Y</t>
        </is>
      </c>
      <c r="M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11.86880555580283</v>
      </c>
      <c r="K183" t="inlineStr">
        <is>
          <t>Turkey|TURL.L|5Y</t>
        </is>
      </c>
      <c r="L183" t="inlineStr">
        <is>
          <t>Turkey|5Y</t>
        </is>
      </c>
      <c r="M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9.76468621369866</v>
      </c>
      <c r="K184" t="inlineStr">
        <is>
          <t>Turkey|TURL.L|10Y</t>
        </is>
      </c>
      <c r="L184" t="inlineStr">
        <is>
          <t>Turkey|10Y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inlineStr"/>
      <c r="K185" t="inlineStr">
        <is>
          <t>United Kingdom||1Y</t>
        </is>
      </c>
      <c r="L185" t="inlineStr">
        <is>
          <t>United Kingdom|1Y</t>
        </is>
      </c>
      <c r="M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inlineStr"/>
      <c r="K186" t="inlineStr">
        <is>
          <t>United Kingdom||3Y</t>
        </is>
      </c>
      <c r="L186" t="inlineStr">
        <is>
          <t>United Kingdom|3Y</t>
        </is>
      </c>
      <c r="M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inlineStr"/>
      <c r="K187" t="inlineStr">
        <is>
          <t>United Kingdom||5Y</t>
        </is>
      </c>
      <c r="L187" t="inlineStr">
        <is>
          <t>United Kingdom|5Y</t>
        </is>
      </c>
      <c r="M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inlineStr"/>
      <c r="K188" t="inlineStr">
        <is>
          <t>United Kingdom||10Y</t>
        </is>
      </c>
      <c r="L188" t="inlineStr">
        <is>
          <t>United Kingdom|10Y</t>
        </is>
      </c>
      <c r="M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-24.54968802605604</v>
      </c>
      <c r="K189" t="inlineStr">
        <is>
          <t>United Kingdom|CSUK.L|1Y</t>
        </is>
      </c>
      <c r="L189" t="inlineStr">
        <is>
          <t>United Kingdom|1Y</t>
        </is>
      </c>
      <c r="M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-8.898547721792461</v>
      </c>
      <c r="K190" t="inlineStr">
        <is>
          <t>United Kingdom|CSUK.L|3Y</t>
        </is>
      </c>
      <c r="L190" t="inlineStr">
        <is>
          <t>United Kingdom|3Y</t>
        </is>
      </c>
      <c r="M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-4.298208415272132</v>
      </c>
      <c r="K191" t="inlineStr">
        <is>
          <t>United Kingdom|CSUK.L|5Y</t>
        </is>
      </c>
      <c r="L191" t="inlineStr">
        <is>
          <t>United Kingdom|5Y</t>
        </is>
      </c>
      <c r="M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-4.284477692668376</v>
      </c>
      <c r="K192" t="inlineStr">
        <is>
          <t>United Kingdom|CSUK.L|10Y</t>
        </is>
      </c>
      <c r="L192" t="inlineStr">
        <is>
          <t>United Kingdom|10Y</t>
        </is>
      </c>
      <c r="M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-25.26523239596943</v>
      </c>
      <c r="K193" t="inlineStr">
        <is>
          <t>United Kingdom|CUKX.L|1Y</t>
        </is>
      </c>
      <c r="L193" t="inlineStr">
        <is>
          <t>United Kingdom|1Y</t>
        </is>
      </c>
      <c r="M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-9.547389867408285</v>
      </c>
      <c r="K194" t="inlineStr">
        <is>
          <t>United Kingdom|CUKX.L|3Y</t>
        </is>
      </c>
      <c r="L194" t="inlineStr">
        <is>
          <t>United Kingdom|3Y</t>
        </is>
      </c>
      <c r="M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-4.044514486008332</v>
      </c>
      <c r="K195" t="inlineStr">
        <is>
          <t>United Kingdom|CUKX.L|5Y</t>
        </is>
      </c>
      <c r="L195" t="inlineStr">
        <is>
          <t>United Kingdom|5Y</t>
        </is>
      </c>
      <c r="M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-4.628187586746102</v>
      </c>
      <c r="K196" t="inlineStr">
        <is>
          <t>United Kingdom|CUKX.L|10Y</t>
        </is>
      </c>
      <c r="L196" t="inlineStr">
        <is>
          <t>United Kingdom|10Y</t>
        </is>
      </c>
      <c r="M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inlineStr"/>
      <c r="K197" t="inlineStr">
        <is>
          <t>United States||1Y</t>
        </is>
      </c>
      <c r="L197" t="inlineStr">
        <is>
          <t>United States|1Y</t>
        </is>
      </c>
      <c r="M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inlineStr"/>
      <c r="K198" t="inlineStr">
        <is>
          <t>United States||3Y</t>
        </is>
      </c>
      <c r="L198" t="inlineStr">
        <is>
          <t>United States|3Y</t>
        </is>
      </c>
      <c r="M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inlineStr"/>
      <c r="K199" t="inlineStr">
        <is>
          <t>United States||5Y</t>
        </is>
      </c>
      <c r="L199" t="inlineStr">
        <is>
          <t>United States|5Y</t>
        </is>
      </c>
      <c r="M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inlineStr"/>
      <c r="K200" t="inlineStr">
        <is>
          <t>United States||10Y</t>
        </is>
      </c>
      <c r="L200" t="inlineStr">
        <is>
          <t>United States|10Y</t>
        </is>
      </c>
      <c r="M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-13.5161153932327</v>
      </c>
      <c r="K201" t="inlineStr">
        <is>
          <t>United States|CSPX.L|1Y</t>
        </is>
      </c>
      <c r="L201" t="inlineStr">
        <is>
          <t>United States|1Y</t>
        </is>
      </c>
      <c r="M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-17.74463063728735</v>
      </c>
      <c r="K202" t="inlineStr">
        <is>
          <t>United States|CSPX.L|3Y</t>
        </is>
      </c>
      <c r="L202" t="inlineStr">
        <is>
          <t>United States|3Y</t>
        </is>
      </c>
      <c r="M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-7.145220402365649</v>
      </c>
      <c r="K203" t="inlineStr">
        <is>
          <t>United States|CSPX.L|5Y</t>
        </is>
      </c>
      <c r="L203" t="inlineStr">
        <is>
          <t>United States|5Y</t>
        </is>
      </c>
      <c r="M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-9.537231979190118</v>
      </c>
      <c r="K204" t="inlineStr">
        <is>
          <t>United States|CSPX.L|10Y</t>
        </is>
      </c>
      <c r="L204" t="inlineStr">
        <is>
          <t>United States|10Y</t>
        </is>
      </c>
      <c r="M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-13.26144804481222</v>
      </c>
      <c r="K205" t="inlineStr">
        <is>
          <t>United States|CSUS.L|1Y</t>
        </is>
      </c>
      <c r="L205" t="inlineStr">
        <is>
          <t>United States|1Y</t>
        </is>
      </c>
      <c r="M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-17.93308827354765</v>
      </c>
      <c r="K206" t="inlineStr">
        <is>
          <t>United States|CSUS.L|3Y</t>
        </is>
      </c>
      <c r="L206" t="inlineStr">
        <is>
          <t>United States|3Y</t>
        </is>
      </c>
      <c r="M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-6.508205348055406</v>
      </c>
      <c r="K207" t="inlineStr">
        <is>
          <t>United States|CSUS.L|5Y</t>
        </is>
      </c>
      <c r="L207" t="inlineStr">
        <is>
          <t>United States|5Y</t>
        </is>
      </c>
      <c r="M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-9.311900323114752</v>
      </c>
      <c r="K208" t="inlineStr">
        <is>
          <t>United States|CSUS.L|10Y</t>
        </is>
      </c>
      <c r="L208" t="inlineStr">
        <is>
          <t>United States|10Y</t>
        </is>
      </c>
      <c r="M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inlineStr"/>
      <c r="K209" t="inlineStr">
        <is>
          <t>Vietnam||1Y</t>
        </is>
      </c>
      <c r="L209" t="inlineStr">
        <is>
          <t>Vietnam|1Y</t>
        </is>
      </c>
      <c r="M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inlineStr"/>
      <c r="K210" t="inlineStr">
        <is>
          <t>Vietnam||3Y</t>
        </is>
      </c>
      <c r="L210" t="inlineStr">
        <is>
          <t>Vietnam|3Y</t>
        </is>
      </c>
      <c r="M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inlineStr"/>
      <c r="K211" t="inlineStr">
        <is>
          <t>Vietnam||5Y</t>
        </is>
      </c>
      <c r="L211" t="inlineStr">
        <is>
          <t>Vietnam|5Y</t>
        </is>
      </c>
      <c r="M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inlineStr"/>
      <c r="K212" t="inlineStr">
        <is>
          <t>Vietnam||10Y</t>
        </is>
      </c>
      <c r="L212" t="inlineStr">
        <is>
          <t>Vietnam|10Y</t>
        </is>
      </c>
      <c r="M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-61.3097180774205</v>
      </c>
      <c r="K213" t="inlineStr">
        <is>
          <t>Vietnam|XFVT.L|1Y</t>
        </is>
      </c>
      <c r="L213" t="inlineStr">
        <is>
          <t>Vietnam|1Y</t>
        </is>
      </c>
      <c r="M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-9.036033998585346</v>
      </c>
      <c r="K214" t="inlineStr">
        <is>
          <t>Vietnam|XFVT.L|3Y</t>
        </is>
      </c>
      <c r="L214" t="inlineStr">
        <is>
          <t>Vietnam|3Y</t>
        </is>
      </c>
      <c r="M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4.209670885544292</v>
      </c>
      <c r="K215" t="inlineStr">
        <is>
          <t>Vietnam|XFVT.L|5Y</t>
        </is>
      </c>
      <c r="L215" t="inlineStr">
        <is>
          <t>Vietnam|5Y</t>
        </is>
      </c>
      <c r="M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1.392331938082991</v>
      </c>
      <c r="K216" t="inlineStr">
        <is>
          <t>Vietnam|XFVT.L|10Y</t>
        </is>
      </c>
      <c r="L216" t="inlineStr">
        <is>
          <t>Vietnam|10Y</t>
        </is>
      </c>
      <c r="M216" t="inlineStr">
        <is>
          <t>GBp</t>
        </is>
      </c>
    </row>
  </sheetData>
  <autoFilter ref="A1:M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18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IFERROR(INDEX(Lists!$E$2:$E$31, MATCH($A6, Lists!$A$2:$A$31, 0)), "")</f>
        <v/>
      </c>
      <c r="H6">
        <f>IFERROR(INDEX(Lists!$J$2:$J$31, MATCH($B6, Lists!$I$2:$I$31, 0)),"")</f>
        <v/>
      </c>
      <c r="I6">
        <f>IFERROR(INDEX(Lists!$K$2:$K$31, MATCH($B6, Lists!$I$2:$I$31,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IFERROR(INDEX(Lists!$E$2:$E$31, MATCH($A7, Lists!$A$2:$A$31, 0)), "")</f>
        <v/>
      </c>
      <c r="H7">
        <f>IFERROR(INDEX(Lists!$J$2:$J$31, MATCH($B7, Lists!$I$2:$I$31, 0)),"")</f>
        <v/>
      </c>
      <c r="I7">
        <f>IFERROR(INDEX(Lists!$K$2:$K$31, MATCH($B7, Lists!$I$2:$I$31,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EXS1.DE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IFERROR(INDEX(Lists!$E$2:$E$31, MATCH($A8, Lists!$A$2:$A$31, 0)), "")</f>
        <v/>
      </c>
      <c r="H8">
        <f>IFERROR(INDEX(Lists!$J$2:$J$31, MATCH($B8, Lists!$I$2:$I$31, 0)),"")</f>
        <v/>
      </c>
      <c r="I8">
        <f>IFERROR(INDEX(Lists!$K$2:$K$31, MATCH($B8, Lists!$I$2:$I$31,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LYINR.SW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IFERROR(INDEX(Lists!$E$2:$E$31, MATCH($A9, Lists!$A$2:$A$31, 0)), "")</f>
        <v/>
      </c>
      <c r="H9">
        <f>IFERROR(INDEX(Lists!$J$2:$J$31, MATCH($B9, Lists!$I$2:$I$31, 0)),"")</f>
        <v/>
      </c>
      <c r="I9">
        <f>IFERROR(INDEX(Lists!$K$2:$K$31, MATCH($B9, Lists!$I$2:$I$31,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IFERROR(INDEX(Lists!$E$2:$E$31, MATCH($A10, Lists!$A$2:$A$31, 0)), "")</f>
        <v/>
      </c>
      <c r="H10">
        <f>IFERROR(INDEX(Lists!$J$2:$J$31, MATCH($B10, Lists!$I$2:$I$31, 0)),"")</f>
        <v/>
      </c>
      <c r="I10">
        <f>IFERROR(INDEX(Lists!$K$2:$K$31, MATCH($B10, Lists!$I$2:$I$31,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IFERROR(INDEX(Lists!$E$2:$E$31, MATCH($A11, Lists!$A$2:$A$31, 0)), "")</f>
        <v/>
      </c>
      <c r="H11">
        <f>IFERROR(INDEX(Lists!$J$2:$J$31, MATCH($B11, Lists!$I$2:$I$31, 0)),"")</f>
        <v/>
      </c>
      <c r="I11">
        <f>IFERROR(INDEX(Lists!$K$2:$K$31, MATCH($B11, Lists!$I$2:$I$31,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IFERROR(INDEX(Lists!$E$2:$E$31, MATCH($A12, Lists!$A$2:$A$31, 0)), "")</f>
        <v/>
      </c>
      <c r="H12">
        <f>IFERROR(INDEX(Lists!$J$2:$J$31, MATCH($B12, Lists!$I$2:$I$31, 0)),"")</f>
        <v/>
      </c>
      <c r="I12">
        <f>IFERROR(INDEX(Lists!$K$2:$K$31, MATCH($B12, Lists!$I$2:$I$31,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IFERROR(INDEX(Lists!$E$2:$E$31, MATCH($A13, Lists!$A$2:$A$31, 0)), "")</f>
        <v/>
      </c>
      <c r="H13">
        <f>IFERROR(INDEX(Lists!$J$2:$J$31, MATCH($B13, Lists!$I$2:$I$31, 0)),"")</f>
        <v/>
      </c>
      <c r="I13">
        <f>IFERROR(INDEX(Lists!$K$2:$K$31, MATCH($B13, Lists!$I$2:$I$31,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IFERROR(INDEX(Lists!$E$2:$E$31, MATCH($A14, Lists!$A$2:$A$31, 0)), "")</f>
        <v/>
      </c>
      <c r="H14">
        <f>IFERROR(INDEX(Lists!$J$2:$J$31, MATCH($B14, Lists!$I$2:$I$31, 0)),"")</f>
        <v/>
      </c>
      <c r="I14">
        <f>IFERROR(INDEX(Lists!$K$2:$K$31, MATCH($B14, Lists!$I$2:$I$31,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IFERROR(INDEX(Lists!$E$2:$E$31, MATCH($A15, Lists!$A$2:$A$31, 0)), "")</f>
        <v/>
      </c>
      <c r="H15">
        <f>IFERROR(INDEX(Lists!$J$2:$J$31, MATCH($B15, Lists!$I$2:$I$31, 0)),"")</f>
        <v/>
      </c>
      <c r="I15">
        <f>IFERROR(INDEX(Lists!$K$2:$K$31, MATCH($B15, Lists!$I$2:$I$31,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IFERROR(INDEX(Lists!$E$2:$E$31, MATCH($A16, Lists!$A$2:$A$31, 0)), "")</f>
        <v/>
      </c>
      <c r="H16">
        <f>IFERROR(INDEX(Lists!$J$2:$J$31, MATCH($B16, Lists!$I$2:$I$31, 0)),"")</f>
        <v/>
      </c>
      <c r="I16">
        <f>IFERROR(INDEX(Lists!$K$2:$K$31, MATCH($B16, Lists!$I$2:$I$31,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IFERROR(INDEX(Lists!$E$2:$E$31, MATCH($A17, Lists!$A$2:$A$31, 0)), "")</f>
        <v/>
      </c>
      <c r="H17">
        <f>IFERROR(INDEX(Lists!$J$2:$J$31, MATCH($B17, Lists!$I$2:$I$31, 0)),"")</f>
        <v/>
      </c>
      <c r="I17">
        <f>IFERROR(INDEX(Lists!$K$2:$K$31, MATCH($B17, Lists!$I$2:$I$31,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Turkey</t>
        </is>
      </c>
      <c r="B18" t="inlineStr">
        <is>
          <t>TURL.L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IFERROR(INDEX(Lists!$E$2:$E$31, MATCH($A18, Lists!$A$2:$A$31, 0)), "")</f>
        <v/>
      </c>
      <c r="H18">
        <f>IFERROR(INDEX(Lists!$J$2:$J$31, MATCH($B18, Lists!$I$2:$I$31, 0)),"")</f>
        <v/>
      </c>
      <c r="I18">
        <f>IFERROR(INDEX(Lists!$K$2:$K$31, MATCH($B18, Lists!$I$2:$I$31,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Indonesia</t>
        </is>
      </c>
      <c r="B19" t="inlineStr">
        <is>
          <t>INDO.PA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IFERROR(INDEX(Lists!$E$2:$E$31, MATCH($A19, Lists!$A$2:$A$31, 0)), "")</f>
        <v/>
      </c>
      <c r="H19">
        <f>IFERROR(INDEX(Lists!$J$2:$J$31, MATCH($B19, Lists!$I$2:$I$31, 0)),"")</f>
        <v/>
      </c>
      <c r="I19">
        <f>IFERROR(INDEX(Lists!$K$2:$K$31, MATCH($B19, Lists!$I$2:$I$31,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IFERROR(INDEX(Lists!$E$2:$E$31, MATCH($A20, Lists!$A$2:$A$31, 0)), "")</f>
        <v/>
      </c>
      <c r="H20">
        <f>IFERROR(INDEX(Lists!$J$2:$J$31, MATCH($B20, Lists!$I$2:$I$31, 0)),"")</f>
        <v/>
      </c>
      <c r="I20">
        <f>IFERROR(INDEX(Lists!$K$2:$K$31, MATCH($B20, Lists!$I$2:$I$31,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Poland</t>
        </is>
      </c>
      <c r="B21" t="inlineStr">
        <is>
          <t>IPOL.L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IFERROR(INDEX(Lists!$E$2:$E$31, MATCH($A21, Lists!$A$2:$A$31, 0)), "")</f>
        <v/>
      </c>
      <c r="H21">
        <f>IFERROR(INDEX(Lists!$J$2:$J$31, MATCH($B21, Lists!$I$2:$I$31, 0)),"")</f>
        <v/>
      </c>
      <c r="I21">
        <f>IFERROR(INDEX(Lists!$K$2:$K$31, MATCH($B21, Lists!$I$2:$I$31,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IFERROR(INDEX(Lists!$E$2:$E$31, MATCH($A22, Lists!$A$2:$A$31, 0)), "")</f>
        <v/>
      </c>
      <c r="H22">
        <f>IFERROR(INDEX(Lists!$J$2:$J$31, MATCH($B22, Lists!$I$2:$I$31, 0)),"")</f>
        <v/>
      </c>
      <c r="I22">
        <f>IFERROR(INDEX(Lists!$K$2:$K$31, MATCH($B22, Lists!$I$2:$I$31,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Taiwan</t>
        </is>
      </c>
      <c r="B23" t="inlineStr">
        <is>
          <t>XMTW.L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IFERROR(INDEX(Lists!$E$2:$E$31, MATCH($A23, Lists!$A$2:$A$31, 0)), "")</f>
        <v/>
      </c>
      <c r="H23">
        <f>IFERROR(INDEX(Lists!$J$2:$J$31, MATCH($B23, Lists!$I$2:$I$31, 0)),"")</f>
        <v/>
      </c>
      <c r="I23">
        <f>IFERROR(INDEX(Lists!$K$2:$K$31, MATCH($B23, Lists!$I$2:$I$31,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Thailand</t>
        </is>
      </c>
      <c r="B24" t="inlineStr">
        <is>
          <t>XCX4.L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IFERROR(INDEX(Lists!$E$2:$E$31, MATCH($A24, Lists!$A$2:$A$31, 0)), "")</f>
        <v/>
      </c>
      <c r="H24">
        <f>IFERROR(INDEX(Lists!$J$2:$J$31, MATCH($B24, Lists!$I$2:$I$31, 0)),"")</f>
        <v/>
      </c>
      <c r="I24">
        <f>IFERROR(INDEX(Lists!$K$2:$K$31, MATCH($B24, Lists!$I$2:$I$31,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Philippines</t>
        </is>
      </c>
      <c r="B25" t="inlineStr">
        <is>
          <t>XPHG.L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IFERROR(INDEX(Lists!$E$2:$E$31, MATCH($A25, Lists!$A$2:$A$31, 0)), "")</f>
        <v/>
      </c>
      <c r="H25">
        <f>IFERROR(INDEX(Lists!$J$2:$J$31, MATCH($B25, Lists!$I$2:$I$31, 0)),"")</f>
        <v/>
      </c>
      <c r="I25">
        <f>IFERROR(INDEX(Lists!$K$2:$K$31, MATCH($B25, Lists!$I$2:$I$31,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Vietnam</t>
        </is>
      </c>
      <c r="B26" t="inlineStr">
        <is>
          <t>XFVT.L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IFERROR(INDEX(Lists!$E$2:$E$31, MATCH($A26, Lists!$A$2:$A$31, 0)), "")</f>
        <v/>
      </c>
      <c r="H26">
        <f>IFERROR(INDEX(Lists!$J$2:$J$31, MATCH($B26, Lists!$I$2:$I$31, 0)),"")</f>
        <v/>
      </c>
      <c r="I26">
        <f>IFERROR(INDEX(Lists!$K$2:$K$31, MATCH($B26, Lists!$I$2:$I$31,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Malaysia</t>
        </is>
      </c>
      <c r="B27" t="inlineStr">
        <is>
          <t>XCX3.L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IFERROR(INDEX(Lists!$E$2:$E$31, MATCH($A27, Lists!$A$2:$A$31, 0)), "")</f>
        <v/>
      </c>
      <c r="H27">
        <f>IFERROR(INDEX(Lists!$J$2:$J$31, MATCH($B27, Lists!$I$2:$I$31, 0)),"")</f>
        <v/>
      </c>
      <c r="I27">
        <f>IFERROR(INDEX(Lists!$K$2:$K$31, MATCH($B27, Lists!$I$2:$I$31,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t="inlineStr"/>
      <c r="G28">
        <f>IFERROR(INDEX(Lists!$E$2:$E$31, MATCH($A28, Lists!$A$2:$A$31, 0)), "")</f>
        <v/>
      </c>
      <c r="H28">
        <f>IFERROR(INDEX(Lists!$J$2:$J$31, MATCH($B28, Lists!$I$2:$I$31, 0)),"")</f>
        <v/>
      </c>
      <c r="I28">
        <f>IFERROR(INDEX(Lists!$K$2:$K$31, MATCH($B28, Lists!$I$2:$I$31, 0)),"")</f>
        <v/>
      </c>
      <c r="J28" s="4">
        <f>IFERROR(1*INDEX(CAGR!$G:$G, MATCH($A28&amp;"|"&amp;$B$2, CAGR!$L:$L, 0)), NA())</f>
        <v/>
      </c>
      <c r="K28" s="4">
        <f>IFERROR(1*INDEX(CAGR!$H:$H, MATCH($A28&amp;"|"&amp;$B$2, CAGR!$L:$L, 0)), NA())</f>
        <v/>
      </c>
    </row>
    <row r="29">
      <c r="A29" t="inlineStr">
        <is>
          <t>Pakistan</t>
        </is>
      </c>
      <c r="B29" t="inlineStr">
        <is>
          <t>XBAK.L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t="inlineStr"/>
      <c r="G29">
        <f>IFERROR(INDEX(Lists!$E$2:$E$31, MATCH($A29, Lists!$A$2:$A$31, 0)), "")</f>
        <v/>
      </c>
      <c r="H29">
        <f>IFERROR(INDEX(Lists!$J$2:$J$31, MATCH($B29, Lists!$I$2:$I$31, 0)),"")</f>
        <v/>
      </c>
      <c r="I29">
        <f>IFERROR(INDEX(Lists!$K$2:$K$31, MATCH($B29, Lists!$I$2:$I$31, 0)),"")</f>
        <v/>
      </c>
      <c r="J29" s="4">
        <f>IFERROR(1*INDEX(CAGR!$G:$G, MATCH($A29&amp;"|"&amp;$B$2, CAGR!$L:$L, 0)), NA())</f>
        <v/>
      </c>
      <c r="K29" s="4">
        <f>IFERROR(1*INDEX(CAGR!$H:$H, MATCH($A29&amp;"|"&amp;$B$2, CAGR!$L:$L, 0)), NA())</f>
        <v/>
      </c>
    </row>
    <row r="32">
      <c r="A32" s="2" t="inlineStr">
        <is>
          <t>Country Focus Dashboard</t>
        </is>
      </c>
    </row>
    <row r="33">
      <c r="A33" t="inlineStr">
        <is>
          <t>Country</t>
        </is>
      </c>
      <c r="B33" t="inlineStr">
        <is>
          <t>Australia</t>
        </is>
      </c>
    </row>
    <row r="34">
      <c r="A34" t="inlineStr">
        <is>
          <t>Ticker</t>
        </is>
      </c>
      <c r="B34">
        <f>IFERROR(INDEX(Lists!$D:$D, MATCH($B$33, Lists!$C:$C, 0)),"")</f>
        <v/>
      </c>
    </row>
    <row r="35">
      <c r="A35" t="inlineStr">
        <is>
          <t>As-of Date</t>
        </is>
      </c>
      <c r="B35" s="5">
        <f>IFERROR(INDEX(ETF_Timeframes!$F:$F, MATCH($B$33&amp;"|"&amp;$B$34&amp;"|MAX", ETF_Timeframes!$I:$I, 0)),"")</f>
        <v/>
      </c>
    </row>
    <row r="36">
      <c r="A36" t="inlineStr">
        <is>
          <t>Ticker Currency</t>
        </is>
      </c>
      <c r="B36">
        <f>IFERROR(INDEX(Lists!$K$2:$K$31, MATCH($B$34, Lists!$I$2:$I$31, 0)),"")</f>
        <v/>
      </c>
    </row>
    <row r="37">
      <c r="A37" t="inlineStr">
        <is>
          <t>Ticker Exchange</t>
        </is>
      </c>
      <c r="B37">
        <f>IFERROR(INDEX(Lists!$J$2:$J$31, MATCH($B$34, Lists!$I$2:$I$31, 0)),"")</f>
        <v/>
      </c>
    </row>
    <row r="39">
      <c r="A39" s="3" t="inlineStr">
        <is>
          <t>ETF Cumulative returns</t>
        </is>
      </c>
    </row>
    <row r="40">
      <c r="A40" s="3" t="inlineStr">
        <is>
          <t>Timeframe</t>
        </is>
      </c>
      <c r="B40" s="3" t="inlineStr">
        <is>
          <t>ETF Return (USD) %</t>
        </is>
      </c>
      <c r="C40" s="3">
        <f>IF($B$36&lt;&gt;"USD","ETF Return (" &amp; $B$36 &amp; ") %","")</f>
        <v/>
      </c>
      <c r="D40" s="3" t="inlineStr">
        <is>
          <t>Start Date</t>
        </is>
      </c>
    </row>
    <row r="41">
      <c r="A41" t="inlineStr">
        <is>
          <t>YTD</t>
        </is>
      </c>
      <c r="B41" s="4">
        <f>IFERROR(INDEX(ETF_Timeframes!$H:$H, MATCH($B$33&amp;"|"&amp;$B$34&amp;"|"&amp;$A41, ETF_Timeframes!$I:$I, 0)), "")</f>
        <v/>
      </c>
      <c r="C41" s="4">
        <f>IF($B$36&lt;&gt;"USD", IFERROR(INDEX(ETF_Timeframes!$G:$G, MATCH($B$33&amp;"|"&amp;$B$34&amp;"|"&amp;$A41, ETF_Timeframes!$I:$I, 0)), ""), "")</f>
        <v/>
      </c>
      <c r="D41" s="5">
        <f>IFERROR(INDEX(ETF_Timeframes!$E:$E, MATCH($B$33&amp;"|"&amp;$B$34&amp;"|"&amp;$A41, ETF_Timeframes!$I:$I, 0)),"")</f>
        <v/>
      </c>
    </row>
    <row r="42">
      <c r="A42" t="inlineStr">
        <is>
          <t>1 Month</t>
        </is>
      </c>
      <c r="B42" s="4">
        <f>IFERROR(INDEX(ETF_Timeframes!$H:$H, MATCH($B$33&amp;"|"&amp;$B$34&amp;"|"&amp;$A42, ETF_Timeframes!$I:$I, 0)), "")</f>
        <v/>
      </c>
      <c r="C42" s="4">
        <f>IF($B$36&lt;&gt;"USD", IFERROR(INDEX(ETF_Timeframes!$G:$G, MATCH($B$33&amp;"|"&amp;$B$34&amp;"|"&amp;$A42, ETF_Timeframes!$I:$I, 0)), ""), "")</f>
        <v/>
      </c>
      <c r="D42" s="5">
        <f>IFERROR(INDEX(ETF_Timeframes!$E:$E, MATCH($B$33&amp;"|"&amp;$B$34&amp;"|"&amp;$A42, ETF_Timeframes!$I:$I, 0)),"")</f>
        <v/>
      </c>
    </row>
    <row r="43">
      <c r="A43" t="inlineStr">
        <is>
          <t>3 Months</t>
        </is>
      </c>
      <c r="B43" s="4">
        <f>IFERROR(INDEX(ETF_Timeframes!$H:$H, MATCH($B$33&amp;"|"&amp;$B$34&amp;"|"&amp;$A43, ETF_Timeframes!$I:$I, 0)), "")</f>
        <v/>
      </c>
      <c r="C43" s="4">
        <f>IF($B$36&lt;&gt;"USD", IFERROR(INDEX(ETF_Timeframes!$G:$G, MATCH($B$33&amp;"|"&amp;$B$34&amp;"|"&amp;$A43, ETF_Timeframes!$I:$I, 0)), ""), "")</f>
        <v/>
      </c>
      <c r="D43" s="5">
        <f>IFERROR(INDEX(ETF_Timeframes!$E:$E, MATCH($B$33&amp;"|"&amp;$B$34&amp;"|"&amp;$A43, ETF_Timeframes!$I:$I, 0)),"")</f>
        <v/>
      </c>
    </row>
    <row r="44">
      <c r="A44" t="inlineStr">
        <is>
          <t>6 Months</t>
        </is>
      </c>
      <c r="B44" s="4">
        <f>IFERROR(INDEX(ETF_Timeframes!$H:$H, MATCH($B$33&amp;"|"&amp;$B$34&amp;"|"&amp;$A44, ETF_Timeframes!$I:$I, 0)), "")</f>
        <v/>
      </c>
      <c r="C44" s="4">
        <f>IF($B$36&lt;&gt;"USD", IFERROR(INDEX(ETF_Timeframes!$G:$G, MATCH($B$33&amp;"|"&amp;$B$34&amp;"|"&amp;$A44, ETF_Timeframes!$I:$I, 0)), ""), "")</f>
        <v/>
      </c>
      <c r="D44" s="5">
        <f>IFERROR(INDEX(ETF_Timeframes!$E:$E, MATCH($B$33&amp;"|"&amp;$B$34&amp;"|"&amp;$A44, ETF_Timeframes!$I:$I, 0)),"")</f>
        <v/>
      </c>
    </row>
    <row r="45">
      <c r="A45" t="inlineStr">
        <is>
          <t>1 Year</t>
        </is>
      </c>
      <c r="B45" s="4">
        <f>IFERROR(INDEX(ETF_Timeframes!$H:$H, MATCH($B$33&amp;"|"&amp;$B$34&amp;"|"&amp;$A45, ETF_Timeframes!$I:$I, 0)), "")</f>
        <v/>
      </c>
      <c r="C45" s="4">
        <f>IF($B$36&lt;&gt;"USD", IFERROR(INDEX(ETF_Timeframes!$G:$G, MATCH($B$33&amp;"|"&amp;$B$34&amp;"|"&amp;$A45, ETF_Timeframes!$I:$I, 0)), ""), "")</f>
        <v/>
      </c>
      <c r="D45" s="5">
        <f>IFERROR(INDEX(ETF_Timeframes!$E:$E, MATCH($B$33&amp;"|"&amp;$B$34&amp;"|"&amp;$A45, ETF_Timeframes!$I:$I, 0)),"")</f>
        <v/>
      </c>
    </row>
    <row r="46">
      <c r="A46" t="inlineStr">
        <is>
          <t>3 Years</t>
        </is>
      </c>
      <c r="B46" s="4">
        <f>IFERROR(INDEX(ETF_Timeframes!$H:$H, MATCH($B$33&amp;"|"&amp;$B$34&amp;"|"&amp;$A46, ETF_Timeframes!$I:$I, 0)), "")</f>
        <v/>
      </c>
      <c r="C46" s="4">
        <f>IF($B$36&lt;&gt;"USD", IFERROR(INDEX(ETF_Timeframes!$G:$G, MATCH($B$33&amp;"|"&amp;$B$34&amp;"|"&amp;$A46, ETF_Timeframes!$I:$I, 0)), ""), "")</f>
        <v/>
      </c>
      <c r="D46" s="5">
        <f>IFERROR(INDEX(ETF_Timeframes!$E:$E, MATCH($B$33&amp;"|"&amp;$B$34&amp;"|"&amp;$A46, ETF_Timeframes!$I:$I, 0)),"")</f>
        <v/>
      </c>
    </row>
    <row r="47">
      <c r="A47" t="inlineStr">
        <is>
          <t>5 Years</t>
        </is>
      </c>
      <c r="B47" s="4">
        <f>IFERROR(INDEX(ETF_Timeframes!$H:$H, MATCH($B$33&amp;"|"&amp;$B$34&amp;"|"&amp;$A47, ETF_Timeframes!$I:$I, 0)), "")</f>
        <v/>
      </c>
      <c r="C47" s="4">
        <f>IF($B$36&lt;&gt;"USD", IFERROR(INDEX(ETF_Timeframes!$G:$G, MATCH($B$33&amp;"|"&amp;$B$34&amp;"|"&amp;$A47, ETF_Timeframes!$I:$I, 0)), ""), "")</f>
        <v/>
      </c>
      <c r="D47" s="5">
        <f>IFERROR(INDEX(ETF_Timeframes!$E:$E, MATCH($B$33&amp;"|"&amp;$B$34&amp;"|"&amp;$A47, ETF_Timeframes!$I:$I, 0)),"")</f>
        <v/>
      </c>
    </row>
    <row r="48">
      <c r="A48" t="inlineStr">
        <is>
          <t>10 Years</t>
        </is>
      </c>
      <c r="B48" s="4">
        <f>IFERROR(INDEX(ETF_Timeframes!$H:$H, MATCH($B$33&amp;"|"&amp;$B$34&amp;"|"&amp;$A48, ETF_Timeframes!$I:$I, 0)), "")</f>
        <v/>
      </c>
      <c r="C48" s="4">
        <f>IF($B$36&lt;&gt;"USD", IFERROR(INDEX(ETF_Timeframes!$G:$G, MATCH($B$33&amp;"|"&amp;$B$34&amp;"|"&amp;$A48, ETF_Timeframes!$I:$I, 0)), ""), "")</f>
        <v/>
      </c>
      <c r="D48" s="5">
        <f>IFERROR(INDEX(ETF_Timeframes!$E:$E, MATCH($B$33&amp;"|"&amp;$B$34&amp;"|"&amp;$A48, ETF_Timeframes!$I:$I, 0)),"")</f>
        <v/>
      </c>
    </row>
    <row r="49">
      <c r="A49" t="inlineStr">
        <is>
          <t>MAX</t>
        </is>
      </c>
      <c r="B49" s="4">
        <f>IFERROR(INDEX(ETF_Timeframes!$H:$H, MATCH($B$33&amp;"|"&amp;$B$34&amp;"|"&amp;$A49, ETF_Timeframes!$I:$I, 0)), "")</f>
        <v/>
      </c>
      <c r="C49" s="4">
        <f>IF($B$36&lt;&gt;"USD", IFERROR(INDEX(ETF_Timeframes!$G:$G, MATCH($B$33&amp;"|"&amp;$B$34&amp;"|"&amp;$A49, ETF_Timeframes!$I:$I, 0)), ""), "")</f>
        <v/>
      </c>
      <c r="D49" s="5">
        <f>IFERROR(INDEX(ETF_Timeframes!$E:$E, MATCH($B$33&amp;"|"&amp;$B$34&amp;"|"&amp;$A49, ETF_Timeframes!$I:$I, 0)),"")</f>
        <v/>
      </c>
    </row>
    <row r="53">
      <c r="A53" s="3" t="inlineStr">
        <is>
          <t>Annual ETF vs GDP + FX Decomposition (Last 10 Years, %)</t>
        </is>
      </c>
    </row>
    <row r="54">
      <c r="A54" s="3" t="inlineStr">
        <is>
          <t>Year</t>
        </is>
      </c>
      <c r="B54" s="3" t="inlineStr">
        <is>
          <t>Nominal GDP Growth (USD) %</t>
        </is>
      </c>
      <c r="C54" s="3" t="inlineStr">
        <is>
          <t>ETF Return (USD) %</t>
        </is>
      </c>
      <c r="D54" s="3" t="inlineStr">
        <is>
          <t>Macro Disconnect %</t>
        </is>
      </c>
      <c r="E54" s="3" t="inlineStr"/>
      <c r="F54" s="3" t="inlineStr">
        <is>
          <t>Real GDP Growth %</t>
        </is>
      </c>
      <c r="G54" s="3" t="inlineStr">
        <is>
          <t>Nominal GDP Growth (LCU) %</t>
        </is>
      </c>
      <c r="H54" s="3">
        <f>IF($B$36&lt;&gt;"USD","ETF Return (" &amp; $B$36 &amp; ") %","")</f>
        <v/>
      </c>
      <c r="I54" s="3">
        <f>IF($B$36&lt;&gt;"USD","FX Change (vs USD) %","")</f>
        <v/>
      </c>
      <c r="J54" s="3" t="inlineStr">
        <is>
          <t>WEO LCU vs USD %</t>
        </is>
      </c>
    </row>
    <row r="55">
      <c r="A55" t="n">
        <v>2016</v>
      </c>
      <c r="B55" s="4">
        <f>IFERROR(1*INDEX(Annual!$H:$H, MATCH($B$33&amp;"|"&amp;$A55, Annual!$K:$K, 0)), NA())</f>
        <v/>
      </c>
      <c r="C55" s="4">
        <f>IFERROR(1*INDEX(Annual!$O:$O, MATCH($B$33&amp;"|"&amp;$B$34&amp;"|"&amp;$A55,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MATCH($B$33&amp;"|"&amp;$A55, Annual!$K:$K, 0)), NA())</f>
        <v/>
      </c>
      <c r="G55" s="4">
        <f>IFERROR(1*INDEX(Annual!$G:$G, MATCH($B$33&amp;"|"&amp;$A55, Annual!$K:$K, 0)), NA())</f>
        <v/>
      </c>
      <c r="H55" s="4">
        <f>IF($B$36&lt;&gt;"USD",IFERROR(1*INDEX(Annual!$E:$E, MATCH($B$33&amp;"|"&amp;$B$34&amp;"|"&amp;$A55, Annual!$J:$J, 0)), NA()),"")</f>
        <v/>
      </c>
      <c r="I55" s="4">
        <f>IF($B$36&lt;&gt;"USD",IFERROR(1*INDEX(Annual!$N:$N, MATCH($B$33&amp;"|"&amp;$B$34&amp;"|"&amp;$A55, Annual!$J:$J, 0)), NA()),"")</f>
        <v/>
      </c>
      <c r="J55" s="4">
        <f>IFERROR(1*INDEX(Annual!$P:$P, MATCH($B$33&amp;"|"&amp;$A55, Annual!$K:$K, 0)), NA())</f>
        <v/>
      </c>
    </row>
    <row r="56">
      <c r="A56" t="n">
        <v>2017</v>
      </c>
      <c r="B56" s="4">
        <f>IFERROR(1*INDEX(Annual!$H:$H, MATCH($B$33&amp;"|"&amp;$A56, Annual!$K:$K, 0)), NA())</f>
        <v/>
      </c>
      <c r="C56" s="4">
        <f>IFERROR(1*INDEX(Annual!$O:$O, MATCH($B$33&amp;"|"&amp;$B$34&amp;"|"&amp;$A56,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MATCH($B$33&amp;"|"&amp;$A56, Annual!$K:$K, 0)), NA())</f>
        <v/>
      </c>
      <c r="G56" s="4">
        <f>IFERROR(1*INDEX(Annual!$G:$G, MATCH($B$33&amp;"|"&amp;$A56, Annual!$K:$K, 0)), NA())</f>
        <v/>
      </c>
      <c r="H56" s="4">
        <f>IF($B$36&lt;&gt;"USD",IFERROR(1*INDEX(Annual!$E:$E, MATCH($B$33&amp;"|"&amp;$B$34&amp;"|"&amp;$A56, Annual!$J:$J, 0)), NA()),"")</f>
        <v/>
      </c>
      <c r="I56" s="4">
        <f>IF($B$36&lt;&gt;"USD",IFERROR(1*INDEX(Annual!$N:$N, MATCH($B$33&amp;"|"&amp;$B$34&amp;"|"&amp;$A56, Annual!$J:$J, 0)), NA()),"")</f>
        <v/>
      </c>
      <c r="J56" s="4">
        <f>IFERROR(1*INDEX(Annual!$P:$P, MATCH($B$33&amp;"|"&amp;$A56, Annual!$K:$K, 0)), NA())</f>
        <v/>
      </c>
    </row>
    <row r="57">
      <c r="A57" t="n">
        <v>2018</v>
      </c>
      <c r="B57" s="4">
        <f>IFERROR(1*INDEX(Annual!$H:$H, MATCH($B$33&amp;"|"&amp;$A57, Annual!$K:$K, 0)), NA())</f>
        <v/>
      </c>
      <c r="C57" s="4">
        <f>IFERROR(1*INDEX(Annual!$O:$O, MATCH($B$33&amp;"|"&amp;$B$34&amp;"|"&amp;$A57,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MATCH($B$33&amp;"|"&amp;$A57, Annual!$K:$K, 0)), NA())</f>
        <v/>
      </c>
      <c r="G57" s="4">
        <f>IFERROR(1*INDEX(Annual!$G:$G, MATCH($B$33&amp;"|"&amp;$A57, Annual!$K:$K, 0)), NA())</f>
        <v/>
      </c>
      <c r="H57" s="4">
        <f>IF($B$36&lt;&gt;"USD",IFERROR(1*INDEX(Annual!$E:$E, MATCH($B$33&amp;"|"&amp;$B$34&amp;"|"&amp;$A57, Annual!$J:$J, 0)), NA()),"")</f>
        <v/>
      </c>
      <c r="I57" s="4">
        <f>IF($B$36&lt;&gt;"USD",IFERROR(1*INDEX(Annual!$N:$N, MATCH($B$33&amp;"|"&amp;$B$34&amp;"|"&amp;$A57, Annual!$J:$J, 0)), NA()),"")</f>
        <v/>
      </c>
      <c r="J57" s="4">
        <f>IFERROR(1*INDEX(Annual!$P:$P, MATCH($B$33&amp;"|"&amp;$A57, Annual!$K:$K, 0)), NA())</f>
        <v/>
      </c>
    </row>
    <row r="58">
      <c r="A58" t="n">
        <v>2019</v>
      </c>
      <c r="B58" s="4">
        <f>IFERROR(1*INDEX(Annual!$H:$H, MATCH($B$33&amp;"|"&amp;$A58, Annual!$K:$K, 0)), NA())</f>
        <v/>
      </c>
      <c r="C58" s="4">
        <f>IFERROR(1*INDEX(Annual!$O:$O, MATCH($B$33&amp;"|"&amp;$B$34&amp;"|"&amp;$A58,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MATCH($B$33&amp;"|"&amp;$A58, Annual!$K:$K, 0)), NA())</f>
        <v/>
      </c>
      <c r="G58" s="4">
        <f>IFERROR(1*INDEX(Annual!$G:$G, MATCH($B$33&amp;"|"&amp;$A58, Annual!$K:$K, 0)), NA())</f>
        <v/>
      </c>
      <c r="H58" s="4">
        <f>IF($B$36&lt;&gt;"USD",IFERROR(1*INDEX(Annual!$E:$E, MATCH($B$33&amp;"|"&amp;$B$34&amp;"|"&amp;$A58, Annual!$J:$J, 0)), NA()),"")</f>
        <v/>
      </c>
      <c r="I58" s="4">
        <f>IF($B$36&lt;&gt;"USD",IFERROR(1*INDEX(Annual!$N:$N, MATCH($B$33&amp;"|"&amp;$B$34&amp;"|"&amp;$A58, Annual!$J:$J, 0)), NA()),"")</f>
        <v/>
      </c>
      <c r="J58" s="4">
        <f>IFERROR(1*INDEX(Annual!$P:$P, MATCH($B$33&amp;"|"&amp;$A58, Annual!$K:$K, 0)), NA())</f>
        <v/>
      </c>
    </row>
    <row r="59">
      <c r="A59" t="n">
        <v>2020</v>
      </c>
      <c r="B59" s="4">
        <f>IFERROR(1*INDEX(Annual!$H:$H, MATCH($B$33&amp;"|"&amp;$A59, Annual!$K:$K, 0)), NA())</f>
        <v/>
      </c>
      <c r="C59" s="4">
        <f>IFERROR(1*INDEX(Annual!$O:$O, MATCH($B$33&amp;"|"&amp;$B$34&amp;"|"&amp;$A59,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MATCH($B$33&amp;"|"&amp;$A59, Annual!$K:$K, 0)), NA())</f>
        <v/>
      </c>
      <c r="G59" s="4">
        <f>IFERROR(1*INDEX(Annual!$G:$G, MATCH($B$33&amp;"|"&amp;$A59, Annual!$K:$K, 0)), NA())</f>
        <v/>
      </c>
      <c r="H59" s="4">
        <f>IF($B$36&lt;&gt;"USD",IFERROR(1*INDEX(Annual!$E:$E, MATCH($B$33&amp;"|"&amp;$B$34&amp;"|"&amp;$A59, Annual!$J:$J, 0)), NA()),"")</f>
        <v/>
      </c>
      <c r="I59" s="4">
        <f>IF($B$36&lt;&gt;"USD",IFERROR(1*INDEX(Annual!$N:$N, MATCH($B$33&amp;"|"&amp;$B$34&amp;"|"&amp;$A59, Annual!$J:$J, 0)), NA()),"")</f>
        <v/>
      </c>
      <c r="J59" s="4">
        <f>IFERROR(1*INDEX(Annual!$P:$P, MATCH($B$33&amp;"|"&amp;$A59, Annual!$K:$K, 0)), NA())</f>
        <v/>
      </c>
    </row>
    <row r="60">
      <c r="A60" t="n">
        <v>2021</v>
      </c>
      <c r="B60" s="4">
        <f>IFERROR(1*INDEX(Annual!$H:$H, MATCH($B$33&amp;"|"&amp;$A60, Annual!$K:$K, 0)), NA())</f>
        <v/>
      </c>
      <c r="C60" s="4">
        <f>IFERROR(1*INDEX(Annual!$O:$O, MATCH($B$33&amp;"|"&amp;$B$34&amp;"|"&amp;$A60,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MATCH($B$33&amp;"|"&amp;$A60, Annual!$K:$K, 0)), NA())</f>
        <v/>
      </c>
      <c r="G60" s="4">
        <f>IFERROR(1*INDEX(Annual!$G:$G, MATCH($B$33&amp;"|"&amp;$A60, Annual!$K:$K, 0)), NA())</f>
        <v/>
      </c>
      <c r="H60" s="4">
        <f>IF($B$36&lt;&gt;"USD",IFERROR(1*INDEX(Annual!$E:$E, MATCH($B$33&amp;"|"&amp;$B$34&amp;"|"&amp;$A60, Annual!$J:$J, 0)), NA()),"")</f>
        <v/>
      </c>
      <c r="I60" s="4">
        <f>IF($B$36&lt;&gt;"USD",IFERROR(1*INDEX(Annual!$N:$N, MATCH($B$33&amp;"|"&amp;$B$34&amp;"|"&amp;$A60, Annual!$J:$J, 0)), NA()),"")</f>
        <v/>
      </c>
      <c r="J60" s="4">
        <f>IFERROR(1*INDEX(Annual!$P:$P, MATCH($B$33&amp;"|"&amp;$A60, Annual!$K:$K, 0)), NA())</f>
        <v/>
      </c>
    </row>
    <row r="61">
      <c r="A61" t="n">
        <v>2022</v>
      </c>
      <c r="B61" s="4">
        <f>IFERROR(1*INDEX(Annual!$H:$H, MATCH($B$33&amp;"|"&amp;$A61, Annual!$K:$K, 0)), NA())</f>
        <v/>
      </c>
      <c r="C61" s="4">
        <f>IFERROR(1*INDEX(Annual!$O:$O, MATCH($B$33&amp;"|"&amp;$B$34&amp;"|"&amp;$A61,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MATCH($B$33&amp;"|"&amp;$A61, Annual!$K:$K, 0)), NA())</f>
        <v/>
      </c>
      <c r="G61" s="4">
        <f>IFERROR(1*INDEX(Annual!$G:$G, MATCH($B$33&amp;"|"&amp;$A61, Annual!$K:$K, 0)), NA())</f>
        <v/>
      </c>
      <c r="H61" s="4">
        <f>IF($B$36&lt;&gt;"USD",IFERROR(1*INDEX(Annual!$E:$E, MATCH($B$33&amp;"|"&amp;$B$34&amp;"|"&amp;$A61, Annual!$J:$J, 0)), NA()),"")</f>
        <v/>
      </c>
      <c r="I61" s="4">
        <f>IF($B$36&lt;&gt;"USD",IFERROR(1*INDEX(Annual!$N:$N, MATCH($B$33&amp;"|"&amp;$B$34&amp;"|"&amp;$A61, Annual!$J:$J, 0)), NA()),"")</f>
        <v/>
      </c>
      <c r="J61" s="4">
        <f>IFERROR(1*INDEX(Annual!$P:$P, MATCH($B$33&amp;"|"&amp;$A61, Annual!$K:$K, 0)), NA())</f>
        <v/>
      </c>
    </row>
    <row r="62">
      <c r="A62" t="n">
        <v>2023</v>
      </c>
      <c r="B62" s="4">
        <f>IFERROR(1*INDEX(Annual!$H:$H, MATCH($B$33&amp;"|"&amp;$A62, Annual!$K:$K, 0)), NA())</f>
        <v/>
      </c>
      <c r="C62" s="4">
        <f>IFERROR(1*INDEX(Annual!$O:$O, MATCH($B$33&amp;"|"&amp;$B$34&amp;"|"&amp;$A62,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MATCH($B$33&amp;"|"&amp;$A62, Annual!$K:$K, 0)), NA())</f>
        <v/>
      </c>
      <c r="G62" s="4">
        <f>IFERROR(1*INDEX(Annual!$G:$G, MATCH($B$33&amp;"|"&amp;$A62, Annual!$K:$K, 0)), NA())</f>
        <v/>
      </c>
      <c r="H62" s="4">
        <f>IF($B$36&lt;&gt;"USD",IFERROR(1*INDEX(Annual!$E:$E, MATCH($B$33&amp;"|"&amp;$B$34&amp;"|"&amp;$A62, Annual!$J:$J, 0)), NA()),"")</f>
        <v/>
      </c>
      <c r="I62" s="4">
        <f>IF($B$36&lt;&gt;"USD",IFERROR(1*INDEX(Annual!$N:$N, MATCH($B$33&amp;"|"&amp;$B$34&amp;"|"&amp;$A62, Annual!$J:$J, 0)), NA()),"")</f>
        <v/>
      </c>
      <c r="J62" s="4">
        <f>IFERROR(1*INDEX(Annual!$P:$P, MATCH($B$33&amp;"|"&amp;$A62, Annual!$K:$K, 0)), NA())</f>
        <v/>
      </c>
    </row>
    <row r="63">
      <c r="A63" t="n">
        <v>2024</v>
      </c>
      <c r="B63" s="4">
        <f>IFERROR(1*INDEX(Annual!$H:$H, MATCH($B$33&amp;"|"&amp;$A63, Annual!$K:$K, 0)), NA())</f>
        <v/>
      </c>
      <c r="C63" s="4">
        <f>IFERROR(1*INDEX(Annual!$O:$O, MATCH($B$33&amp;"|"&amp;$B$34&amp;"|"&amp;$A63, Annual!$J:$J, 0)), NA())</f>
        <v/>
      </c>
      <c r="D63" s="4">
        <f>IF(AND(ISNUMBER(B63),ISNUMBER(C63),C63&lt;&gt;0),B63-C63,NA())</f>
        <v/>
      </c>
      <c r="E63" t="inlineStr"/>
      <c r="F63" s="4">
        <f>IFERROR(1*INDEX(Annual!$F:$F, MATCH($B$33&amp;"|"&amp;$A63, Annual!$K:$K, 0)), NA())</f>
        <v/>
      </c>
      <c r="G63" s="4">
        <f>IFERROR(1*INDEX(Annual!$G:$G, MATCH($B$33&amp;"|"&amp;$A63, Annual!$K:$K, 0)), NA())</f>
        <v/>
      </c>
      <c r="H63" s="4">
        <f>IF($B$36&lt;&gt;"USD",IFERROR(1*INDEX(Annual!$E:$E, MATCH($B$33&amp;"|"&amp;$B$34&amp;"|"&amp;$A63, Annual!$J:$J, 0)), NA()),"")</f>
        <v/>
      </c>
      <c r="I63" s="4">
        <f>IF($B$36&lt;&gt;"USD",IFERROR(1*INDEX(Annual!$N:$N, MATCH($B$33&amp;"|"&amp;$B$34&amp;"|"&amp;$A63, Annual!$J:$J, 0)), NA()),"")</f>
        <v/>
      </c>
      <c r="J63" s="4">
        <f>IFERROR(1*INDEX(Annual!$P:$P, MATCH($B$33&amp;"|"&amp;$A63, Annual!$K:$K, 0)), NA())</f>
        <v/>
      </c>
    </row>
    <row r="64">
      <c r="A64" t="n">
        <v>2025</v>
      </c>
      <c r="B64" s="4">
        <f>IFERROR(1*INDEX(Annual!$H:$H, MATCH($B$33&amp;"|"&amp;$A64, Annual!$K:$K, 0)), NA())</f>
        <v/>
      </c>
      <c r="C64" s="4">
        <f>IFERROR(1*INDEX(Annual!$O:$O, MATCH($B$33&amp;"|"&amp;$B$34&amp;"|"&amp;$A64, Annual!$J:$J, 0)), NA())</f>
        <v/>
      </c>
      <c r="D64" s="4">
        <f>IF(AND(ISNUMBER(B64),ISNUMBER(C64),C64&lt;&gt;0),B64-C64,NA())</f>
        <v/>
      </c>
      <c r="E64" t="inlineStr"/>
      <c r="F64" s="4">
        <f>IFERROR(1*INDEX(Annual!$F:$F, MATCH($B$33&amp;"|"&amp;$A64, Annual!$K:$K, 0)), NA())</f>
        <v/>
      </c>
      <c r="G64" s="4">
        <f>IFERROR(1*INDEX(Annual!$G:$G, MATCH($B$33&amp;"|"&amp;$A64, Annual!$K:$K, 0)), NA())</f>
        <v/>
      </c>
      <c r="H64" s="4">
        <f>IF($B$36&lt;&gt;"USD",IFERROR(1*INDEX(Annual!$E:$E, MATCH($B$33&amp;"|"&amp;$B$34&amp;"|"&amp;$A64, Annual!$J:$J, 0)), NA()),"")</f>
        <v/>
      </c>
      <c r="I64" s="4">
        <f>IF($B$36&lt;&gt;"USD",IFERROR(1*INDEX(Annual!$N:$N, MATCH($B$33&amp;"|"&amp;$B$34&amp;"|"&amp;$A64, Annual!$J:$J, 0)), NA()),"")</f>
        <v/>
      </c>
      <c r="J64" s="4">
        <f>IFERROR(1*INDEX(Annual!$P:$P, MATCH($B$33&amp;"|"&amp;$A64, Annual!$K:$K, 0)), NA())</f>
        <v/>
      </c>
    </row>
    <row r="65">
      <c r="A65" t="inlineStr">
        <is>
          <t>2026 (Proj GDP / ETF YTD)</t>
        </is>
      </c>
      <c r="B65" s="4">
        <f>IFERROR(1*INDEX(Annual!$H:$H, MATCH($B$33&amp;"|"&amp;2026, Annual!$K:$K, 0)), NA())</f>
        <v/>
      </c>
      <c r="C65" s="4">
        <f>IFERROR(1*INDEX(ETF_Timeframes!$H:$H, MATCH($B$33&amp;"|"&amp;$B$34&amp;"|YTD", ETF_Timeframes!$I:$I, 0)), NA())</f>
        <v/>
      </c>
      <c r="D65" s="4">
        <f>IF(AND(ISNUMBER(B65),ISNUMBER(C65),C65&lt;&gt;0),B65-C65,NA())</f>
        <v/>
      </c>
      <c r="E65" t="inlineStr"/>
      <c r="F65" s="4">
        <f>IFERROR(1*INDEX(Annual!$F:$F, MATCH($B$33&amp;"|"&amp;2026, Annual!$K:$K, 0)), NA())</f>
        <v/>
      </c>
      <c r="G65" s="4">
        <f>IFERROR(1*INDEX(Annual!$G:$G, MATCH($B$33&amp;"|"&amp;2026, Annual!$K:$K, 0)), NA())</f>
        <v/>
      </c>
      <c r="H65" s="4">
        <f>IF($B$36&lt;&gt;"USD",IFERROR(1*INDEX(Annual!$E:$E, MATCH($B$33&amp;"|"&amp;$B$34&amp;"|"&amp;2026, Annual!$J:$J, 0)), NA()),"")</f>
        <v/>
      </c>
      <c r="I65" s="4">
        <f>IF($B$36&lt;&gt;"USD",IFERROR(1*INDEX(Annual!$N:$N, MATCH($B$33&amp;"|"&amp;$B$34&amp;"|"&amp;2026, Annual!$J:$J, 0)), NA()),"")</f>
        <v/>
      </c>
      <c r="J65" s="4">
        <f>IFERROR(1*INDEX(Annual!$P:$P, MATCH($B$33&amp;"|"&amp;2026, Annual!$K:$K, 0)), NA())</f>
        <v/>
      </c>
    </row>
    <row r="66">
      <c r="A66" t="inlineStr">
        <is>
          <t>* 2026 row: GDP is IMF projection; ETF is YTD return (USD).</t>
        </is>
      </c>
    </row>
    <row r="68">
      <c r="A68" s="3" t="inlineStr">
        <is>
          <t>CAGR Comparison (%)</t>
        </is>
      </c>
    </row>
    <row r="69">
      <c r="A69" s="3" t="inlineStr">
        <is>
          <t>Horizon</t>
        </is>
      </c>
      <c r="B69" s="3" t="inlineStr">
        <is>
          <t>Nominal GDP CAGR % (USD)</t>
        </is>
      </c>
      <c r="C69" s="3" t="inlineStr">
        <is>
          <t>ETF CAGR % (USD)</t>
        </is>
      </c>
      <c r="D69" s="3" t="inlineStr"/>
      <c r="E69" s="3" t="inlineStr"/>
      <c r="F69" s="3" t="inlineStr">
        <is>
          <t>Real GDP CAGR %</t>
        </is>
      </c>
      <c r="G69" s="3" t="inlineStr">
        <is>
          <t>Nominal GDP CAGR % (LCU)</t>
        </is>
      </c>
    </row>
    <row r="70">
      <c r="A70" t="inlineStr">
        <is>
          <t>3Y</t>
        </is>
      </c>
      <c r="B70" s="4">
        <f>IFERROR(1*INDEX(CAGR!$I:$I, MATCH($B$33&amp;"|"&amp;$A70, CAGR!$L:$L, 0)), NA())</f>
        <v/>
      </c>
      <c r="C70" s="4">
        <f>IFERROR(1*INDEX(CAGR!$F:$F, MATCH($B$33&amp;"|"&amp;$B$34&amp;"|"&amp;$A70, CAGR!$K:$K, 0)), NA())</f>
        <v/>
      </c>
      <c r="D70" t="inlineStr"/>
      <c r="E70" t="inlineStr"/>
      <c r="F70" s="4">
        <f>IFERROR(1*INDEX(CAGR!$G:$G, MATCH($B$33&amp;"|"&amp;$A70, CAGR!$L:$L, 0)), NA())</f>
        <v/>
      </c>
      <c r="G70" s="4">
        <f>IFERROR(1*INDEX(CAGR!$H:$H, MATCH($B$33&amp;"|"&amp;$A70, CAGR!$L:$L, 0)), NA())</f>
        <v/>
      </c>
    </row>
    <row r="71">
      <c r="A71" t="inlineStr">
        <is>
          <t>5Y</t>
        </is>
      </c>
      <c r="B71" s="4">
        <f>IFERROR(1*INDEX(CAGR!$I:$I, MATCH($B$33&amp;"|"&amp;$A71, CAGR!$L:$L, 0)), NA())</f>
        <v/>
      </c>
      <c r="C71" s="4">
        <f>IFERROR(1*INDEX(CAGR!$F:$F, MATCH($B$33&amp;"|"&amp;$B$34&amp;"|"&amp;$A71, CAGR!$K:$K, 0)), NA())</f>
        <v/>
      </c>
      <c r="D71" t="inlineStr"/>
      <c r="E71" t="inlineStr"/>
      <c r="F71" s="4">
        <f>IFERROR(1*INDEX(CAGR!$G:$G, MATCH($B$33&amp;"|"&amp;$A71, CAGR!$L:$L, 0)), NA())</f>
        <v/>
      </c>
      <c r="G71" s="4">
        <f>IFERROR(1*INDEX(CAGR!$H:$H, MATCH($B$33&amp;"|"&amp;$A71, CAGR!$L:$L, 0)), NA())</f>
        <v/>
      </c>
    </row>
    <row r="72">
      <c r="A72" t="inlineStr">
        <is>
          <t>10Y</t>
        </is>
      </c>
      <c r="B72" s="4">
        <f>IFERROR(1*INDEX(CAGR!$I:$I, MATCH($B$33&amp;"|"&amp;$A72, CAGR!$L:$L, 0)), NA())</f>
        <v/>
      </c>
      <c r="C72" s="4">
        <f>IFERROR(1*INDEX(CAGR!$F:$F, MATCH($B$33&amp;"|"&amp;$B$34&amp;"|"&amp;$A72, CAGR!$K:$K, 0)), NA())</f>
        <v/>
      </c>
      <c r="D72" t="inlineStr"/>
      <c r="E72" t="inlineStr"/>
      <c r="F72" s="4">
        <f>IFERROR(1*INDEX(CAGR!$G:$G, MATCH($B$33&amp;"|"&amp;$A72, CAGR!$L:$L, 0)), NA())</f>
        <v/>
      </c>
      <c r="G72" s="4">
        <f>IFERROR(1*INDEX(CAGR!$H:$H, MATCH($B$33&amp;"|"&amp;$A72, CAGR!$L:$L, 0)), NA())</f>
        <v/>
      </c>
    </row>
  </sheetData>
  <autoFilter ref="A5:K29"/>
  <conditionalFormatting sqref="C6:E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41:C4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5:D65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55:J65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70:C72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70:G72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33" showDropDown="0" showInputMessage="0" showErrorMessage="0" allowBlank="0" type="list">
      <formula1>=Lists!$A$2:$A$31</formula1>
    </dataValidation>
    <dataValidation sqref="B34" showDropDown="0" showInputMessage="0" showErrorMessage="0" allowBlank="0" type="list">
      <formula1>=OFFSET(Lists!$G$2,IFERROR(MATCH($B$33,Lists!$F$2:$F$31,0)-1,0),0,COUNTIF(Lists!$F$2:$F$31,$B$33),1)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2026-03-09T07:44:08Z</dcterms:created>
  <dcterms:modified xsi:type="dcterms:W3CDTF">2026-03-09T07:44:09Z</dcterms:modified>
</cp:coreProperties>
</file>