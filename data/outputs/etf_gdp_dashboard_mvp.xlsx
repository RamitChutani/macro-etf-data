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name="Crude_Oil_Impact" sheetId="1" state="visible" r:id="rId1"/>
    <sheet name="ETF_Timeframes" sheetId="2" state="visible" r:id="rId2"/>
    <sheet name="Annual" sheetId="3" state="visible" r:id="rId3"/>
    <sheet name="CAGR" sheetId="4" state="visible" r:id="rId4"/>
    <sheet name="REER_Data" sheetId="5" state="visible" r:id="rId5"/>
    <sheet name="Lists" sheetId="6" state="visible" r:id="rId6"/>
    <sheet name="Comparing Countries" sheetId="7" state="visible" r:id="rId7"/>
    <sheet name="Country Focus" sheetId="8" state="visible" r:id="rId8"/>
    <sheet name="MSCI" sheetId="9" state="hidden" r:id="rId9"/>
  </sheets>
  <definedNames>
    <definedName name="_xlnm._FilterDatabase" localSheetId="1" hidden="1">'ETF_Timeframes'!$A$1:$J$369</definedName>
    <definedName name="_xlnm._FilterDatabase" localSheetId="2" hidden="1">'Annual'!$A$1:$V$616</definedName>
    <definedName name="_xlnm._FilterDatabase" localSheetId="3" hidden="1">'CAGR'!$A$1:$R$296</definedName>
    <definedName name="_xlnm._FilterDatabase" localSheetId="6" hidden="1">'Comparing Countries'!$A$4:$AD$37</definedName>
  </definedNames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.000"/>
    <numFmt numFmtId="167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2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A9D08E"/>
          <bgColor rgb="00A9D08E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E2F0D9"/>
          <bgColor rgb="00E2F0D9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F8CBAD"/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" customWidth="1" min="2" max="2"/>
    <col width="16" customWidth="1" min="3" max="3"/>
    <col width="22" customWidth="1" min="4" max="4"/>
    <col width="16" customWidth="1" min="5" max="5"/>
    <col width="24" customWidth="1" min="6" max="6"/>
    <col width="17" customWidth="1" min="7" max="7"/>
    <col width="17" customWidth="1" min="8" max="8"/>
    <col width="11" customWidth="1" min="9" max="9"/>
  </cols>
  <sheetData>
    <row r="1">
      <c r="A1" t="inlineStr">
        <is>
          <t>Country</t>
        </is>
      </c>
      <c r="B1" t="inlineStr">
        <is>
          <t>ISO3</t>
        </is>
      </c>
      <c r="C1" t="inlineStr">
        <is>
          <t>Crude Oil (Mbbl)</t>
        </is>
      </c>
      <c r="D1" t="inlineStr">
        <is>
          <t>Natural Gas (Mbbl BOE)</t>
        </is>
      </c>
      <c r="E1" t="inlineStr">
        <is>
          <t>Total BOE (Mbbl)</t>
        </is>
      </c>
      <c r="F1" t="inlineStr">
        <is>
          <t>Value @ $10 Change (USD)</t>
        </is>
      </c>
      <c r="G1" t="inlineStr">
        <is>
          <t>Nominal GDP (USD)</t>
        </is>
      </c>
      <c r="H1" t="inlineStr">
        <is>
          <t>Impact (% of GDP)</t>
        </is>
      </c>
      <c r="I1" t="inlineStr">
        <is>
          <t>Data Source</t>
        </is>
      </c>
    </row>
    <row r="2">
      <c r="A2" t="inlineStr">
        <is>
          <t>Australia</t>
        </is>
      </c>
      <c r="B2" t="inlineStr">
        <is>
          <t>AUS</t>
        </is>
      </c>
      <c r="C2" t="n">
        <v>67.44759999999999</v>
      </c>
      <c r="D2" t="n">
        <v>0</v>
      </c>
      <c r="E2" t="n">
        <v>67.44759999999999</v>
      </c>
      <c r="F2" t="n">
        <v>674475814</v>
      </c>
      <c r="G2" t="n">
        <v>1795492000000</v>
      </c>
      <c r="H2" t="n">
        <v>0.037565</v>
      </c>
      <c r="I2" s="1" t="inlineStr">
        <is>
          <t>WITS</t>
        </is>
      </c>
    </row>
    <row r="3">
      <c r="A3" t="inlineStr">
        <is>
          <t>Austria</t>
        </is>
      </c>
      <c r="B3" t="inlineStr">
        <is>
          <t>AUT</t>
        </is>
      </c>
      <c r="C3" t="n">
        <v>56.2123</v>
      </c>
      <c r="D3" t="n">
        <v>0.0257</v>
      </c>
      <c r="E3" t="n">
        <v>56.238</v>
      </c>
      <c r="F3" t="n">
        <v>562380387</v>
      </c>
      <c r="G3" t="n">
        <v>523956000000</v>
      </c>
      <c r="H3" t="n">
        <v>0.107334</v>
      </c>
      <c r="I3" s="1" t="inlineStr">
        <is>
          <t>WITS</t>
        </is>
      </c>
    </row>
    <row r="4">
      <c r="A4" t="inlineStr">
        <is>
          <t>Bulgaria</t>
        </is>
      </c>
      <c r="B4" t="inlineStr">
        <is>
          <t>BGR</t>
        </is>
      </c>
      <c r="C4" t="n">
        <v>48.5981</v>
      </c>
      <c r="D4" t="n">
        <v>0.0019</v>
      </c>
      <c r="E4" t="n">
        <v>48.6</v>
      </c>
      <c r="F4" t="n">
        <v>485999961</v>
      </c>
      <c r="G4" t="n">
        <v>112232000000</v>
      </c>
      <c r="H4" t="n">
        <v>0.433032</v>
      </c>
      <c r="I4" s="1" t="inlineStr">
        <is>
          <t>WITS</t>
        </is>
      </c>
    </row>
    <row r="5">
      <c r="A5" t="inlineStr">
        <is>
          <t>Canada</t>
        </is>
      </c>
      <c r="B5" t="inlineStr">
        <is>
          <t>CAN</t>
        </is>
      </c>
      <c r="C5" t="n">
        <v>170.6321</v>
      </c>
      <c r="D5" t="n">
        <v>5.7523</v>
      </c>
      <c r="E5" t="n">
        <v>176.3844</v>
      </c>
      <c r="F5" t="n">
        <v>1763844244</v>
      </c>
      <c r="G5" t="n">
        <v>2243637000000</v>
      </c>
      <c r="H5" t="n">
        <v>0.078615</v>
      </c>
      <c r="I5" s="1" t="inlineStr">
        <is>
          <t>WITS</t>
        </is>
      </c>
    </row>
    <row r="6">
      <c r="A6" t="inlineStr">
        <is>
          <t>Switzerland</t>
        </is>
      </c>
      <c r="B6" t="inlineStr">
        <is>
          <t>CHE</t>
        </is>
      </c>
      <c r="C6" t="n">
        <v>18.9607</v>
      </c>
      <c r="D6" t="n">
        <v>0.0326</v>
      </c>
      <c r="E6" t="n">
        <v>18.9932</v>
      </c>
      <c r="F6" t="n">
        <v>189932153</v>
      </c>
      <c r="G6" t="n">
        <v>938153000000</v>
      </c>
      <c r="H6" t="n">
        <v>0.020245</v>
      </c>
      <c r="I6" s="1" t="inlineStr">
        <is>
          <t>WITS</t>
        </is>
      </c>
    </row>
    <row r="7">
      <c r="A7" t="inlineStr">
        <is>
          <t>China</t>
        </is>
      </c>
      <c r="B7" t="inlineStr">
        <is>
          <t>CHN</t>
        </is>
      </c>
      <c r="C7" t="n">
        <v>4055.1906</v>
      </c>
      <c r="D7" t="n">
        <v>643.2056</v>
      </c>
      <c r="E7" t="n">
        <v>4698.3962</v>
      </c>
      <c r="F7" t="n">
        <v>46983962000</v>
      </c>
      <c r="G7" t="n">
        <v>18749759000000</v>
      </c>
      <c r="H7" t="n">
        <v>0.250584</v>
      </c>
      <c r="I7" s="1" t="inlineStr">
        <is>
          <t>WITS</t>
        </is>
      </c>
    </row>
    <row r="8">
      <c r="A8" t="inlineStr">
        <is>
          <t>Germany</t>
        </is>
      </c>
      <c r="B8" t="inlineStr">
        <is>
          <t>DEU</t>
        </is>
      </c>
      <c r="C8" t="n">
        <v>575.6762</v>
      </c>
      <c r="D8" t="n">
        <v>40.2336</v>
      </c>
      <c r="E8" t="n">
        <v>615.9098</v>
      </c>
      <c r="F8" t="n">
        <v>6159097740</v>
      </c>
      <c r="G8" t="n">
        <v>4684182000000</v>
      </c>
      <c r="H8" t="n">
        <v>0.131487</v>
      </c>
      <c r="I8" s="1" t="inlineStr">
        <is>
          <t>WITS</t>
        </is>
      </c>
    </row>
    <row r="9">
      <c r="A9" t="inlineStr">
        <is>
          <t>France</t>
        </is>
      </c>
      <c r="B9" t="inlineStr">
        <is>
          <t>FRA</t>
        </is>
      </c>
      <c r="C9" t="n">
        <v>344.6573</v>
      </c>
      <c r="D9" t="n">
        <v>173.7473</v>
      </c>
      <c r="E9" t="n">
        <v>518.4046</v>
      </c>
      <c r="F9" t="n">
        <v>5184046130</v>
      </c>
      <c r="G9" t="n">
        <v>3160902000000</v>
      </c>
      <c r="H9" t="n">
        <v>0.164005</v>
      </c>
      <c r="I9" s="1" t="inlineStr">
        <is>
          <t>WITS</t>
        </is>
      </c>
    </row>
    <row r="10">
      <c r="A10" t="inlineStr">
        <is>
          <t>India</t>
        </is>
      </c>
      <c r="B10" t="inlineStr">
        <is>
          <t>IND</t>
        </is>
      </c>
      <c r="C10" t="n">
        <v>1772.0275</v>
      </c>
      <c r="D10" t="n">
        <v>233.4688</v>
      </c>
      <c r="E10" t="n">
        <v>2005.4963</v>
      </c>
      <c r="F10" t="n">
        <v>20054962600</v>
      </c>
      <c r="G10" t="n">
        <v>3909892000000</v>
      </c>
      <c r="H10" t="n">
        <v>0.512929</v>
      </c>
      <c r="I10" s="1" t="inlineStr">
        <is>
          <t>WITS</t>
        </is>
      </c>
    </row>
    <row r="11">
      <c r="A11" t="inlineStr">
        <is>
          <t>Italy</t>
        </is>
      </c>
      <c r="B11" t="inlineStr">
        <is>
          <t>ITA</t>
        </is>
      </c>
      <c r="C11" t="n">
        <v>399.8141</v>
      </c>
      <c r="D11" t="n">
        <v>88.9132</v>
      </c>
      <c r="E11" t="n">
        <v>488.7273</v>
      </c>
      <c r="F11" t="n">
        <v>4887272770</v>
      </c>
      <c r="G11" t="n">
        <v>2372059000000</v>
      </c>
      <c r="H11" t="n">
        <v>0.206035</v>
      </c>
      <c r="I11" s="1" t="inlineStr">
        <is>
          <t>WITS</t>
        </is>
      </c>
    </row>
    <row r="12">
      <c r="A12" t="inlineStr">
        <is>
          <t>Japan</t>
        </is>
      </c>
      <c r="B12" t="inlineStr">
        <is>
          <t>JPN</t>
        </is>
      </c>
      <c r="C12" t="n">
        <v>842.6495</v>
      </c>
      <c r="D12" t="n">
        <v>553.4819</v>
      </c>
      <c r="E12" t="n">
        <v>1396.1314</v>
      </c>
      <c r="F12" t="n">
        <v>13961313500</v>
      </c>
      <c r="G12" t="n">
        <v>4019382000000</v>
      </c>
      <c r="H12" t="n">
        <v>0.34735</v>
      </c>
      <c r="I12" s="1" t="inlineStr">
        <is>
          <t>WITS</t>
        </is>
      </c>
    </row>
    <row r="13">
      <c r="A13" t="inlineStr">
        <is>
          <t>South Korea</t>
        </is>
      </c>
      <c r="B13" t="inlineStr">
        <is>
          <t>KOR</t>
        </is>
      </c>
      <c r="C13" t="n">
        <v>1005.5294</v>
      </c>
      <c r="D13" t="n">
        <v>389.0704</v>
      </c>
      <c r="E13" t="n">
        <v>1394.5998</v>
      </c>
      <c r="F13" t="n">
        <v>13945997600</v>
      </c>
      <c r="G13" t="n">
        <v>1875388000000</v>
      </c>
      <c r="H13" t="n">
        <v>0.743633</v>
      </c>
      <c r="I13" s="1" t="inlineStr">
        <is>
          <t>WITS</t>
        </is>
      </c>
    </row>
    <row r="14">
      <c r="A14" t="inlineStr">
        <is>
          <t>Malaysia</t>
        </is>
      </c>
      <c r="B14" t="inlineStr">
        <is>
          <t>MYS</t>
        </is>
      </c>
      <c r="C14" t="n">
        <v>162.1594</v>
      </c>
      <c r="D14" t="n">
        <v>27.2623</v>
      </c>
      <c r="E14" t="n">
        <v>189.4217</v>
      </c>
      <c r="F14" t="n">
        <v>1894216750</v>
      </c>
      <c r="G14" t="n">
        <v>422227000000</v>
      </c>
      <c r="H14" t="n">
        <v>0.448625</v>
      </c>
      <c r="I14" s="1" t="inlineStr">
        <is>
          <t>WITS</t>
        </is>
      </c>
    </row>
    <row r="15">
      <c r="A15" t="inlineStr">
        <is>
          <t>Netherlands</t>
        </is>
      </c>
      <c r="B15" t="inlineStr">
        <is>
          <t>NLD</t>
        </is>
      </c>
      <c r="C15" t="n">
        <v>580.6672</v>
      </c>
      <c r="D15" t="n">
        <v>112.8994</v>
      </c>
      <c r="E15" t="n">
        <v>693.5666</v>
      </c>
      <c r="F15" t="n">
        <v>6935665670</v>
      </c>
      <c r="G15" t="n">
        <v>1214562000000</v>
      </c>
      <c r="H15" t="n">
        <v>0.571043</v>
      </c>
      <c r="I15" s="1" t="inlineStr">
        <is>
          <t>WITS</t>
        </is>
      </c>
    </row>
    <row r="16">
      <c r="A16" t="inlineStr">
        <is>
          <t>Pakistan</t>
        </is>
      </c>
      <c r="B16" t="inlineStr">
        <is>
          <t>PAK</t>
        </is>
      </c>
      <c r="C16" t="n">
        <v>71.4547</v>
      </c>
      <c r="D16" t="n">
        <v>63.3777</v>
      </c>
      <c r="E16" t="n">
        <v>134.8323</v>
      </c>
      <c r="F16" t="n">
        <v>1348323365</v>
      </c>
      <c r="G16" t="n">
        <v>371408000000</v>
      </c>
      <c r="H16" t="n">
        <v>0.36303</v>
      </c>
      <c r="I16" s="1" t="inlineStr">
        <is>
          <t>WITS</t>
        </is>
      </c>
    </row>
    <row r="17">
      <c r="A17" t="inlineStr">
        <is>
          <t>Poland</t>
        </is>
      </c>
      <c r="B17" t="inlineStr">
        <is>
          <t>POL</t>
        </is>
      </c>
      <c r="C17" t="n">
        <v>183.0821</v>
      </c>
      <c r="D17" t="n">
        <v>0</v>
      </c>
      <c r="E17" t="n">
        <v>183.0821</v>
      </c>
      <c r="F17" t="n">
        <v>1830821430</v>
      </c>
      <c r="G17" t="n">
        <v>914553000000</v>
      </c>
      <c r="H17" t="n">
        <v>0.200188</v>
      </c>
      <c r="I17" s="1" t="inlineStr">
        <is>
          <t>WITS</t>
        </is>
      </c>
    </row>
    <row r="18">
      <c r="A18" t="inlineStr">
        <is>
          <t>Singapore</t>
        </is>
      </c>
      <c r="B18" t="inlineStr">
        <is>
          <t>SGP</t>
        </is>
      </c>
      <c r="C18" t="n">
        <v>318.8931</v>
      </c>
      <c r="D18" t="n">
        <v>56.9629</v>
      </c>
      <c r="E18" t="n">
        <v>375.856</v>
      </c>
      <c r="F18" t="n">
        <v>3758560360</v>
      </c>
      <c r="G18" t="n">
        <v>547387000000</v>
      </c>
      <c r="H18" t="n">
        <v>0.6866370000000001</v>
      </c>
      <c r="I18" s="1" t="inlineStr">
        <is>
          <t>WITS</t>
        </is>
      </c>
    </row>
    <row r="19">
      <c r="A19" t="inlineStr">
        <is>
          <t>Sweden</t>
        </is>
      </c>
      <c r="B19" t="inlineStr">
        <is>
          <t>SWE</t>
        </is>
      </c>
      <c r="C19" t="n">
        <v>130.0349</v>
      </c>
      <c r="D19" t="n">
        <v>3.1453</v>
      </c>
      <c r="E19" t="n">
        <v>133.1803</v>
      </c>
      <c r="F19" t="n">
        <v>1331802710</v>
      </c>
      <c r="G19" t="n">
        <v>603715000000</v>
      </c>
      <c r="H19" t="n">
        <v>0.220601</v>
      </c>
      <c r="I19" s="1" t="inlineStr">
        <is>
          <t>WITS</t>
        </is>
      </c>
    </row>
    <row r="20">
      <c r="A20" t="inlineStr">
        <is>
          <t>Thailand</t>
        </is>
      </c>
      <c r="B20" t="inlineStr">
        <is>
          <t>THA</t>
        </is>
      </c>
      <c r="C20" t="n">
        <v>1302.9955</v>
      </c>
      <c r="D20" t="n">
        <v>95.9062</v>
      </c>
      <c r="E20" t="n">
        <v>1398.9016</v>
      </c>
      <c r="F20" t="n">
        <v>13989016200</v>
      </c>
      <c r="G20" t="n">
        <v>526518000000</v>
      </c>
      <c r="H20" t="n">
        <v>2.656892</v>
      </c>
      <c r="I20" s="1" t="inlineStr">
        <is>
          <t>WITS</t>
        </is>
      </c>
    </row>
    <row r="21">
      <c r="A21" t="inlineStr">
        <is>
          <t>United States</t>
        </is>
      </c>
      <c r="B21" t="inlineStr">
        <is>
          <t>USA</t>
        </is>
      </c>
      <c r="C21" t="n">
        <v>2753.5658</v>
      </c>
      <c r="D21" t="n">
        <v>15.7336</v>
      </c>
      <c r="E21" t="n">
        <v>2769.2994</v>
      </c>
      <c r="F21" t="n">
        <v>27692994300</v>
      </c>
      <c r="G21" t="n">
        <v>29298025000000</v>
      </c>
      <c r="H21" t="n">
        <v>0.09452199999999999</v>
      </c>
      <c r="I21" s="1" t="inlineStr">
        <is>
          <t>WITS</t>
        </is>
      </c>
    </row>
    <row r="22">
      <c r="A22" t="inlineStr">
        <is>
          <t>South Africa</t>
        </is>
      </c>
      <c r="B22" t="inlineStr">
        <is>
          <t>ZAF</t>
        </is>
      </c>
      <c r="C22" t="n">
        <v>59.9706</v>
      </c>
      <c r="D22" t="n">
        <v>24.807</v>
      </c>
      <c r="E22" t="n">
        <v>84.7777</v>
      </c>
      <c r="F22" t="n">
        <v>847776629</v>
      </c>
      <c r="G22" t="n">
        <v>401076000000</v>
      </c>
      <c r="H22" t="n">
        <v>0.211376</v>
      </c>
      <c r="I22" s="1" t="inlineStr">
        <is>
          <t>WITS</t>
        </is>
      </c>
    </row>
    <row r="23">
      <c r="A23" t="inlineStr">
        <is>
          <t>Brazil</t>
        </is>
      </c>
      <c r="B23" t="inlineStr">
        <is>
          <t>BRA</t>
        </is>
      </c>
      <c r="C23" t="n">
        <v>97.10809999999999</v>
      </c>
      <c r="D23" t="n">
        <v>0</v>
      </c>
      <c r="E23" t="n">
        <v>97.10809999999999</v>
      </c>
      <c r="F23" t="n">
        <v>971081450</v>
      </c>
      <c r="G23" t="n">
        <v>2179413000000</v>
      </c>
      <c r="H23" t="n">
        <v>0.044557</v>
      </c>
      <c r="I23" s="1" t="inlineStr">
        <is>
          <t>UN</t>
        </is>
      </c>
    </row>
    <row r="24">
      <c r="A24" t="inlineStr">
        <is>
          <t>Spain</t>
        </is>
      </c>
      <c r="B24" t="inlineStr">
        <is>
          <t>ESP</t>
        </is>
      </c>
      <c r="C24" t="n">
        <v>486.3488</v>
      </c>
      <c r="D24" t="n">
        <v>0</v>
      </c>
      <c r="E24" t="n">
        <v>486.3488</v>
      </c>
      <c r="F24" t="n">
        <v>4863487921</v>
      </c>
      <c r="G24" t="n">
        <v>1725152000000</v>
      </c>
      <c r="H24" t="n">
        <v>0.281916</v>
      </c>
      <c r="I24" s="1" t="inlineStr">
        <is>
          <t>UN</t>
        </is>
      </c>
    </row>
    <row r="25">
      <c r="A25" t="inlineStr">
        <is>
          <t>United Kingdom</t>
        </is>
      </c>
      <c r="B25" t="inlineStr">
        <is>
          <t>GBR</t>
        </is>
      </c>
      <c r="C25" t="n">
        <v>311.5914</v>
      </c>
      <c r="D25" t="n">
        <v>0</v>
      </c>
      <c r="E25" t="n">
        <v>311.5914</v>
      </c>
      <c r="F25" t="n">
        <v>3115914000</v>
      </c>
      <c r="G25" t="n">
        <v>3644636000000</v>
      </c>
      <c r="H25" t="n">
        <v>0.085493</v>
      </c>
      <c r="I25" s="1" t="inlineStr">
        <is>
          <t>UN</t>
        </is>
      </c>
    </row>
    <row r="26">
      <c r="A26" t="inlineStr">
        <is>
          <t>Indonesia</t>
        </is>
      </c>
      <c r="B26" t="inlineStr">
        <is>
          <t>IDN</t>
        </is>
      </c>
      <c r="C26" t="n">
        <v>128.2284</v>
      </c>
      <c r="D26" t="n">
        <v>0</v>
      </c>
      <c r="E26" t="n">
        <v>128.2284</v>
      </c>
      <c r="F26" t="n">
        <v>1282283700</v>
      </c>
      <c r="G26" t="n">
        <v>1396300000000</v>
      </c>
      <c r="H26" t="n">
        <v>0.091834</v>
      </c>
      <c r="I26" s="1" t="inlineStr">
        <is>
          <t>UN</t>
        </is>
      </c>
    </row>
    <row r="27">
      <c r="A27" t="inlineStr">
        <is>
          <t>Mexico</t>
        </is>
      </c>
      <c r="B27" t="inlineStr">
        <is>
          <t>MEX</t>
        </is>
      </c>
      <c r="C27" t="n">
        <v>1.4458</v>
      </c>
      <c r="D27" t="n">
        <v>0</v>
      </c>
      <c r="E27" t="n">
        <v>1.4458</v>
      </c>
      <c r="F27" t="n">
        <v>14457600</v>
      </c>
      <c r="G27" t="n">
        <v>1856366000000</v>
      </c>
      <c r="H27" t="n">
        <v>0.000779</v>
      </c>
      <c r="I27" s="1" t="inlineStr">
        <is>
          <t>UN</t>
        </is>
      </c>
    </row>
    <row r="28">
      <c r="A28" t="inlineStr">
        <is>
          <t>Philippines</t>
        </is>
      </c>
      <c r="B28" t="inlineStr">
        <is>
          <t>PHL</t>
        </is>
      </c>
      <c r="C28" t="n">
        <v>48.8433</v>
      </c>
      <c r="D28" t="n">
        <v>0</v>
      </c>
      <c r="E28" t="n">
        <v>48.8433</v>
      </c>
      <c r="F28" t="n">
        <v>488433450</v>
      </c>
      <c r="G28" t="n">
        <v>461617000000</v>
      </c>
      <c r="H28" t="n">
        <v>0.105809</v>
      </c>
      <c r="I28" s="1" t="inlineStr">
        <is>
          <t>UN</t>
        </is>
      </c>
    </row>
    <row r="29">
      <c r="A29" t="inlineStr">
        <is>
          <t>Turkey</t>
        </is>
      </c>
      <c r="B29" t="inlineStr">
        <is>
          <t>TUR</t>
        </is>
      </c>
      <c r="C29" t="n">
        <v>226.0853</v>
      </c>
      <c r="D29" t="n">
        <v>0</v>
      </c>
      <c r="E29" t="n">
        <v>226.0853</v>
      </c>
      <c r="F29" t="n">
        <v>2260853058</v>
      </c>
      <c r="G29" t="n">
        <v>1358251000000</v>
      </c>
      <c r="H29" t="n">
        <v>0.166453</v>
      </c>
      <c r="I29" s="1" t="inlineStr">
        <is>
          <t>UN</t>
        </is>
      </c>
    </row>
    <row r="30">
      <c r="A30" t="inlineStr">
        <is>
          <t>Vietnam</t>
        </is>
      </c>
      <c r="B30" t="inlineStr">
        <is>
          <t>VNM</t>
        </is>
      </c>
      <c r="C30" t="n">
        <v>101.2107</v>
      </c>
      <c r="D30" t="n">
        <v>0</v>
      </c>
      <c r="E30" t="n">
        <v>101.2107</v>
      </c>
      <c r="F30" t="n">
        <v>1012107300</v>
      </c>
      <c r="G30" t="n">
        <v>459472000000</v>
      </c>
      <c r="H30" t="n">
        <v>0.220276</v>
      </c>
      <c r="I30" s="1" t="inlineStr">
        <is>
          <t>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country_code</t>
        </is>
      </c>
      <c r="C1" t="inlineStr">
        <is>
          <t>ticker</t>
        </is>
      </c>
      <c r="D1" t="inlineStr">
        <is>
          <t>timeframe</t>
        </is>
      </c>
      <c r="E1" t="inlineStr">
        <is>
          <t>start_date</t>
        </is>
      </c>
      <c r="F1" t="inlineStr">
        <is>
          <t>end_date</t>
        </is>
      </c>
      <c r="G1" t="inlineStr">
        <is>
          <t>etf_return_pct</t>
        </is>
      </c>
      <c r="H1" t="inlineStr">
        <is>
          <t>etf_return_usd_pct</t>
        </is>
      </c>
      <c r="I1" t="inlineStr">
        <is>
          <t>lookup_key</t>
        </is>
      </c>
      <c r="J1" t="inlineStr">
        <is>
          <t>etf_currency</t>
        </is>
      </c>
    </row>
    <row r="2">
      <c r="A2" t="inlineStr">
        <is>
          <t>Australia</t>
        </is>
      </c>
      <c r="B2" t="inlineStr">
        <is>
          <t>AUS</t>
        </is>
      </c>
      <c r="C2" t="inlineStr">
        <is>
          <t>SAUS.L</t>
        </is>
      </c>
      <c r="D2" t="inlineStr">
        <is>
          <t>YTD</t>
        </is>
      </c>
      <c r="E2" s="2" t="n">
        <v>46022</v>
      </c>
      <c r="F2" s="2" t="n">
        <v>46098</v>
      </c>
      <c r="G2" t="n">
        <v>9.926208045703412</v>
      </c>
      <c r="H2" t="n">
        <v>8.67848847037822</v>
      </c>
      <c r="I2" t="inlineStr">
        <is>
          <t>Australia|SAUS.L|YTD</t>
        </is>
      </c>
      <c r="J2" t="inlineStr">
        <is>
          <t>GBp</t>
        </is>
      </c>
    </row>
    <row r="3">
      <c r="A3" t="inlineStr">
        <is>
          <t>Australia</t>
        </is>
      </c>
      <c r="B3" t="inlineStr">
        <is>
          <t>AUS</t>
        </is>
      </c>
      <c r="C3" t="inlineStr">
        <is>
          <t>SAUS.L</t>
        </is>
      </c>
      <c r="D3" t="inlineStr">
        <is>
          <t>1 Month</t>
        </is>
      </c>
      <c r="E3" s="2" t="n">
        <v>46070</v>
      </c>
      <c r="F3" s="2" t="n">
        <v>46098</v>
      </c>
      <c r="G3" t="n">
        <v>-0.1297577854671328</v>
      </c>
      <c r="H3" t="n">
        <v>-2.426162449510472</v>
      </c>
      <c r="I3" t="inlineStr">
        <is>
          <t>Australia|SAUS.L|1 Month</t>
        </is>
      </c>
      <c r="J3" t="inlineStr">
        <is>
          <t>GBp</t>
        </is>
      </c>
    </row>
    <row r="4">
      <c r="A4" t="inlineStr">
        <is>
          <t>Australia</t>
        </is>
      </c>
      <c r="B4" t="inlineStr">
        <is>
          <t>AUS</t>
        </is>
      </c>
      <c r="C4" t="inlineStr">
        <is>
          <t>SAUS.L</t>
        </is>
      </c>
      <c r="D4" t="inlineStr">
        <is>
          <t>3 Months</t>
        </is>
      </c>
      <c r="E4" s="2" t="n">
        <v>46008</v>
      </c>
      <c r="F4" s="2" t="n">
        <v>46098</v>
      </c>
      <c r="G4" t="n">
        <v>12.27814247507901</v>
      </c>
      <c r="H4" t="n">
        <v>11.35264605266171</v>
      </c>
      <c r="I4" t="inlineStr">
        <is>
          <t>Australia|SAUS.L|3 Months</t>
        </is>
      </c>
      <c r="J4" t="inlineStr">
        <is>
          <t>GBp</t>
        </is>
      </c>
    </row>
    <row r="5">
      <c r="A5" t="inlineStr">
        <is>
          <t>Australia</t>
        </is>
      </c>
      <c r="B5" t="inlineStr">
        <is>
          <t>AUS</t>
        </is>
      </c>
      <c r="C5" t="inlineStr">
        <is>
          <t>SAUS.L</t>
        </is>
      </c>
      <c r="D5" t="inlineStr">
        <is>
          <t>6 Months</t>
        </is>
      </c>
      <c r="E5" s="2" t="n">
        <v>45917</v>
      </c>
      <c r="F5" s="2" t="n">
        <v>46098</v>
      </c>
      <c r="G5" t="n">
        <v>10.03097450559924</v>
      </c>
      <c r="H5" t="n">
        <v>7.294366201814273</v>
      </c>
      <c r="I5" t="inlineStr">
        <is>
          <t>Australia|SAUS.L|6 Months</t>
        </is>
      </c>
      <c r="J5" t="inlineStr">
        <is>
          <t>GBp</t>
        </is>
      </c>
    </row>
    <row r="6">
      <c r="A6" t="inlineStr">
        <is>
          <t>Australia</t>
        </is>
      </c>
      <c r="B6" t="inlineStr">
        <is>
          <t>AUS</t>
        </is>
      </c>
      <c r="C6" t="inlineStr">
        <is>
          <t>SAUS.L</t>
        </is>
      </c>
      <c r="D6" t="inlineStr">
        <is>
          <t>1 Year</t>
        </is>
      </c>
      <c r="E6" s="2" t="n">
        <v>45733</v>
      </c>
      <c r="F6" s="2" t="n">
        <v>46098</v>
      </c>
      <c r="G6" t="n">
        <v>21.78270042194093</v>
      </c>
      <c r="H6" t="n">
        <v>25.39692027721361</v>
      </c>
      <c r="I6" t="inlineStr">
        <is>
          <t>Australia|SAUS.L|1 Year</t>
        </is>
      </c>
      <c r="J6" t="inlineStr">
        <is>
          <t>GBp</t>
        </is>
      </c>
    </row>
    <row r="7">
      <c r="A7" t="inlineStr">
        <is>
          <t>Australia</t>
        </is>
      </c>
      <c r="B7" t="inlineStr">
        <is>
          <t>AUS</t>
        </is>
      </c>
      <c r="C7" t="inlineStr">
        <is>
          <t>SAUS.L</t>
        </is>
      </c>
      <c r="D7" t="inlineStr">
        <is>
          <t>3 Years</t>
        </is>
      </c>
      <c r="E7" s="2" t="n">
        <v>45002</v>
      </c>
      <c r="F7" s="2" t="n">
        <v>46098</v>
      </c>
      <c r="G7" t="n">
        <v>8.812441093308209</v>
      </c>
      <c r="H7" t="n">
        <v>19.62892698591634</v>
      </c>
      <c r="I7" t="inlineStr">
        <is>
          <t>Australia|SAUS.L|3 Years</t>
        </is>
      </c>
      <c r="J7" t="inlineStr">
        <is>
          <t>GBp</t>
        </is>
      </c>
    </row>
    <row r="8">
      <c r="A8" t="inlineStr">
        <is>
          <t>Australia</t>
        </is>
      </c>
      <c r="B8" t="inlineStr">
        <is>
          <t>AUS</t>
        </is>
      </c>
      <c r="C8" t="inlineStr">
        <is>
          <t>SAUS.L</t>
        </is>
      </c>
      <c r="D8" t="inlineStr">
        <is>
          <t>5 Years</t>
        </is>
      </c>
      <c r="E8" s="2" t="n">
        <v>44272</v>
      </c>
      <c r="F8" s="2" t="n">
        <v>46098</v>
      </c>
      <c r="G8" t="n">
        <v>46.8129073279288</v>
      </c>
      <c r="H8" t="n">
        <v>40.60471655342828</v>
      </c>
      <c r="I8" t="inlineStr">
        <is>
          <t>Australia|SAUS.L|5 Years</t>
        </is>
      </c>
      <c r="J8" t="inlineStr">
        <is>
          <t>GBp</t>
        </is>
      </c>
    </row>
    <row r="9">
      <c r="A9" t="inlineStr">
        <is>
          <t>Australia</t>
        </is>
      </c>
      <c r="B9" t="inlineStr">
        <is>
          <t>AUS</t>
        </is>
      </c>
      <c r="C9" t="inlineStr">
        <is>
          <t>SAUS.L</t>
        </is>
      </c>
      <c r="D9" t="inlineStr">
        <is>
          <t>10 Years</t>
        </is>
      </c>
      <c r="E9" s="2" t="n">
        <v>42446</v>
      </c>
      <c r="F9" s="2" t="n">
        <v>46098</v>
      </c>
      <c r="G9" t="n">
        <v>138.4714691453654</v>
      </c>
      <c r="H9" t="n">
        <v>122.7325449435836</v>
      </c>
      <c r="I9" t="inlineStr">
        <is>
          <t>Australia|SAUS.L|10 Years</t>
        </is>
      </c>
      <c r="J9" t="inlineStr">
        <is>
          <t>GBp</t>
        </is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SAUS.L</t>
        </is>
      </c>
      <c r="D10" t="inlineStr">
        <is>
          <t>MAX</t>
        </is>
      </c>
      <c r="E10" s="2" t="n">
        <v>40203</v>
      </c>
      <c r="F10" s="2" t="n">
        <v>46098</v>
      </c>
      <c r="G10" t="n">
        <v>214.6934242110258</v>
      </c>
      <c r="H10" t="n">
        <v>157.8401956799129</v>
      </c>
      <c r="I10" t="inlineStr">
        <is>
          <t>Australia|SAUS.L|MAX</t>
        </is>
      </c>
      <c r="J10" t="inlineStr">
        <is>
          <t>GBp</t>
        </is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EWO</t>
        </is>
      </c>
      <c r="D11" t="inlineStr">
        <is>
          <t>YTD</t>
        </is>
      </c>
      <c r="E11" s="2" t="n">
        <v>46022</v>
      </c>
      <c r="F11" s="2" t="n">
        <v>46098</v>
      </c>
      <c r="G11" t="n">
        <v>-1.691576735746347</v>
      </c>
      <c r="H11" t="n">
        <v>-1.691576735746347</v>
      </c>
      <c r="I11" t="inlineStr">
        <is>
          <t>Austria|EWO|YTD</t>
        </is>
      </c>
      <c r="J11" t="inlineStr">
        <is>
          <t>USD</t>
        </is>
      </c>
    </row>
    <row r="12">
      <c r="A12" t="inlineStr">
        <is>
          <t>Austria</t>
        </is>
      </c>
      <c r="B12" t="inlineStr">
        <is>
          <t>AUT</t>
        </is>
      </c>
      <c r="C12" t="inlineStr">
        <is>
          <t>EWO</t>
        </is>
      </c>
      <c r="D12" t="inlineStr">
        <is>
          <t>1 Month</t>
        </is>
      </c>
      <c r="E12" s="2" t="n">
        <v>46070</v>
      </c>
      <c r="F12" s="2" t="n">
        <v>46098</v>
      </c>
      <c r="G12" t="n">
        <v>-9.639806182933263</v>
      </c>
      <c r="H12" t="n">
        <v>-9.639806182933263</v>
      </c>
      <c r="I12" t="inlineStr">
        <is>
          <t>Austria|EWO|1 Month</t>
        </is>
      </c>
      <c r="J12" t="inlineStr">
        <is>
          <t>USD</t>
        </is>
      </c>
    </row>
    <row r="13">
      <c r="A13" t="inlineStr">
        <is>
          <t>Austria</t>
        </is>
      </c>
      <c r="B13" t="inlineStr">
        <is>
          <t>AUT</t>
        </is>
      </c>
      <c r="C13" t="inlineStr">
        <is>
          <t>EWO</t>
        </is>
      </c>
      <c r="D13" t="inlineStr">
        <is>
          <t>3 Months</t>
        </is>
      </c>
      <c r="E13" s="2" t="n">
        <v>46008</v>
      </c>
      <c r="F13" s="2" t="n">
        <v>46098</v>
      </c>
      <c r="G13" t="n">
        <v>0.8969836408436072</v>
      </c>
      <c r="H13" t="n">
        <v>0.8969836408436072</v>
      </c>
      <c r="I13" t="inlineStr">
        <is>
          <t>Austria|EWO|3 Months</t>
        </is>
      </c>
      <c r="J13" t="inlineStr">
        <is>
          <t>USD</t>
        </is>
      </c>
    </row>
    <row r="14">
      <c r="A14" t="inlineStr">
        <is>
          <t>Austria</t>
        </is>
      </c>
      <c r="B14" t="inlineStr">
        <is>
          <t>AUT</t>
        </is>
      </c>
      <c r="C14" t="inlineStr">
        <is>
          <t>EWO</t>
        </is>
      </c>
      <c r="D14" t="inlineStr">
        <is>
          <t>6 Months</t>
        </is>
      </c>
      <c r="E14" s="2" t="n">
        <v>45917</v>
      </c>
      <c r="F14" s="2" t="n">
        <v>46098</v>
      </c>
      <c r="G14" t="n">
        <v>13.54607610364749</v>
      </c>
      <c r="H14" t="n">
        <v>13.54607610364749</v>
      </c>
      <c r="I14" t="inlineStr">
        <is>
          <t>Austria|EWO|6 Months</t>
        </is>
      </c>
      <c r="J14" t="inlineStr">
        <is>
          <t>USD</t>
        </is>
      </c>
    </row>
    <row r="15">
      <c r="A15" t="inlineStr">
        <is>
          <t>Austria</t>
        </is>
      </c>
      <c r="B15" t="inlineStr">
        <is>
          <t>AUT</t>
        </is>
      </c>
      <c r="C15" t="inlineStr">
        <is>
          <t>EWO</t>
        </is>
      </c>
      <c r="D15" t="inlineStr">
        <is>
          <t>1 Year</t>
        </is>
      </c>
      <c r="E15" s="2" t="n">
        <v>45733</v>
      </c>
      <c r="F15" s="2" t="n">
        <v>46098</v>
      </c>
      <c r="G15" t="n">
        <v>34.69911837348904</v>
      </c>
      <c r="H15" t="n">
        <v>34.69911837348904</v>
      </c>
      <c r="I15" t="inlineStr">
        <is>
          <t>Austria|EWO|1 Year</t>
        </is>
      </c>
      <c r="J15" t="inlineStr">
        <is>
          <t>USD</t>
        </is>
      </c>
    </row>
    <row r="16">
      <c r="A16" t="inlineStr">
        <is>
          <t>Austria</t>
        </is>
      </c>
      <c r="B16" t="inlineStr">
        <is>
          <t>AUT</t>
        </is>
      </c>
      <c r="C16" t="inlineStr">
        <is>
          <t>EWO</t>
        </is>
      </c>
      <c r="D16" t="inlineStr">
        <is>
          <t>3 Years</t>
        </is>
      </c>
      <c r="E16" s="2" t="n">
        <v>45002</v>
      </c>
      <c r="F16" s="2" t="n">
        <v>46098</v>
      </c>
      <c r="G16" t="n">
        <v>112.0553308794105</v>
      </c>
      <c r="H16" t="n">
        <v>112.0553308794105</v>
      </c>
      <c r="I16" t="inlineStr">
        <is>
          <t>Austria|EWO|3 Years</t>
        </is>
      </c>
      <c r="J16" t="inlineStr">
        <is>
          <t>USD</t>
        </is>
      </c>
    </row>
    <row r="17">
      <c r="A17" t="inlineStr">
        <is>
          <t>Austria</t>
        </is>
      </c>
      <c r="B17" t="inlineStr">
        <is>
          <t>AUT</t>
        </is>
      </c>
      <c r="C17" t="inlineStr">
        <is>
          <t>EWO</t>
        </is>
      </c>
      <c r="D17" t="inlineStr">
        <is>
          <t>5 Years</t>
        </is>
      </c>
      <c r="E17" s="2" t="n">
        <v>44272</v>
      </c>
      <c r="F17" s="2" t="n">
        <v>46098</v>
      </c>
      <c r="G17" t="n">
        <v>96.72561609373484</v>
      </c>
      <c r="H17" t="n">
        <v>96.72561609373484</v>
      </c>
      <c r="I17" t="inlineStr">
        <is>
          <t>Austria|EWO|5 Years</t>
        </is>
      </c>
      <c r="J17" t="inlineStr">
        <is>
          <t>USD</t>
        </is>
      </c>
    </row>
    <row r="18">
      <c r="A18" t="inlineStr">
        <is>
          <t>Austria</t>
        </is>
      </c>
      <c r="B18" t="inlineStr">
        <is>
          <t>AUT</t>
        </is>
      </c>
      <c r="C18" t="inlineStr">
        <is>
          <t>EWO</t>
        </is>
      </c>
      <c r="D18" t="inlineStr">
        <is>
          <t>10 Years</t>
        </is>
      </c>
      <c r="E18" s="2" t="n">
        <v>42446</v>
      </c>
      <c r="F18" s="2" t="n">
        <v>46098</v>
      </c>
      <c r="G18" t="n">
        <v>214.0690549439373</v>
      </c>
      <c r="H18" t="n">
        <v>214.0690549439373</v>
      </c>
      <c r="I18" t="inlineStr">
        <is>
          <t>Austria|EWO|10 Years</t>
        </is>
      </c>
      <c r="J18" t="inlineStr">
        <is>
          <t>USD</t>
        </is>
      </c>
    </row>
    <row r="19">
      <c r="A19" t="inlineStr">
        <is>
          <t>Austria</t>
        </is>
      </c>
      <c r="B19" t="inlineStr">
        <is>
          <t>AUT</t>
        </is>
      </c>
      <c r="C19" t="inlineStr">
        <is>
          <t>EWO</t>
        </is>
      </c>
      <c r="D19" t="inlineStr">
        <is>
          <t>MAX</t>
        </is>
      </c>
      <c r="E19" s="2" t="n">
        <v>35143</v>
      </c>
      <c r="F19" s="2" t="n">
        <v>46098</v>
      </c>
      <c r="G19" t="n">
        <v>624.4409106786541</v>
      </c>
      <c r="H19" t="n">
        <v>624.4409106786541</v>
      </c>
      <c r="I19" t="inlineStr">
        <is>
          <t>Austria|EWO|MAX</t>
        </is>
      </c>
      <c r="J19" t="inlineStr">
        <is>
          <t>USD</t>
        </is>
      </c>
    </row>
    <row r="20">
      <c r="A20" t="inlineStr">
        <is>
          <t>Belgium</t>
        </is>
      </c>
      <c r="B20" t="inlineStr">
        <is>
          <t>BEL</t>
        </is>
      </c>
      <c r="C20" t="inlineStr">
        <is>
          <t>EWK</t>
        </is>
      </c>
      <c r="D20" t="inlineStr">
        <is>
          <t>YTD</t>
        </is>
      </c>
      <c r="E20" s="2" t="n">
        <v>46022</v>
      </c>
      <c r="F20" s="2" t="n">
        <v>46098</v>
      </c>
      <c r="G20" t="n">
        <v>1.646096865998481</v>
      </c>
      <c r="H20" t="n">
        <v>1.646096865998481</v>
      </c>
      <c r="I20" t="inlineStr">
        <is>
          <t>Belgium|EWK|YTD</t>
        </is>
      </c>
      <c r="J20" t="inlineStr">
        <is>
          <t>USD</t>
        </is>
      </c>
    </row>
    <row r="21">
      <c r="A21" t="inlineStr">
        <is>
          <t>Belgium</t>
        </is>
      </c>
      <c r="B21" t="inlineStr">
        <is>
          <t>BEL</t>
        </is>
      </c>
      <c r="C21" t="inlineStr">
        <is>
          <t>EWK</t>
        </is>
      </c>
      <c r="D21" t="inlineStr">
        <is>
          <t>1 Month</t>
        </is>
      </c>
      <c r="E21" s="2" t="n">
        <v>46070</v>
      </c>
      <c r="F21" s="2" t="n">
        <v>46098</v>
      </c>
      <c r="G21" t="n">
        <v>-10.1164440524246</v>
      </c>
      <c r="H21" t="n">
        <v>-10.1164440524246</v>
      </c>
      <c r="I21" t="inlineStr">
        <is>
          <t>Belgium|EWK|1 Month</t>
        </is>
      </c>
      <c r="J21" t="inlineStr">
        <is>
          <t>USD</t>
        </is>
      </c>
    </row>
    <row r="22">
      <c r="A22" t="inlineStr">
        <is>
          <t>Belgium</t>
        </is>
      </c>
      <c r="B22" t="inlineStr">
        <is>
          <t>BEL</t>
        </is>
      </c>
      <c r="C22" t="inlineStr">
        <is>
          <t>EWK</t>
        </is>
      </c>
      <c r="D22" t="inlineStr">
        <is>
          <t>3 Months</t>
        </is>
      </c>
      <c r="E22" s="2" t="n">
        <v>46008</v>
      </c>
      <c r="F22" s="2" t="n">
        <v>46098</v>
      </c>
      <c r="G22" t="n">
        <v>2.066115637342092</v>
      </c>
      <c r="H22" t="n">
        <v>2.066115637342092</v>
      </c>
      <c r="I22" t="inlineStr">
        <is>
          <t>Belgium|EWK|3 Months</t>
        </is>
      </c>
      <c r="J22" t="inlineStr">
        <is>
          <t>USD</t>
        </is>
      </c>
    </row>
    <row r="23">
      <c r="A23" t="inlineStr">
        <is>
          <t>Belgium</t>
        </is>
      </c>
      <c r="B23" t="inlineStr">
        <is>
          <t>BEL</t>
        </is>
      </c>
      <c r="C23" t="inlineStr">
        <is>
          <t>EWK</t>
        </is>
      </c>
      <c r="D23" t="inlineStr">
        <is>
          <t>6 Months</t>
        </is>
      </c>
      <c r="E23" s="2" t="n">
        <v>45917</v>
      </c>
      <c r="F23" s="2" t="n">
        <v>46098</v>
      </c>
      <c r="G23" t="n">
        <v>8.722681355884099</v>
      </c>
      <c r="H23" t="n">
        <v>8.722681355884099</v>
      </c>
      <c r="I23" t="inlineStr">
        <is>
          <t>Belgium|EWK|6 Months</t>
        </is>
      </c>
      <c r="J23" t="inlineStr">
        <is>
          <t>USD</t>
        </is>
      </c>
    </row>
    <row r="24">
      <c r="A24" t="inlineStr">
        <is>
          <t>Belgium</t>
        </is>
      </c>
      <c r="B24" t="inlineStr">
        <is>
          <t>BEL</t>
        </is>
      </c>
      <c r="C24" t="inlineStr">
        <is>
          <t>EWK</t>
        </is>
      </c>
      <c r="D24" t="inlineStr">
        <is>
          <t>1 Year</t>
        </is>
      </c>
      <c r="E24" s="2" t="n">
        <v>45733</v>
      </c>
      <c r="F24" s="2" t="n">
        <v>46098</v>
      </c>
      <c r="G24" t="n">
        <v>22.55504840246778</v>
      </c>
      <c r="H24" t="n">
        <v>22.55504840246778</v>
      </c>
      <c r="I24" t="inlineStr">
        <is>
          <t>Belgium|EWK|1 Year</t>
        </is>
      </c>
      <c r="J24" t="inlineStr">
        <is>
          <t>USD</t>
        </is>
      </c>
    </row>
    <row r="25">
      <c r="A25" t="inlineStr">
        <is>
          <t>Belgium</t>
        </is>
      </c>
      <c r="B25" t="inlineStr">
        <is>
          <t>BEL</t>
        </is>
      </c>
      <c r="C25" t="inlineStr">
        <is>
          <t>EWK</t>
        </is>
      </c>
      <c r="D25" t="inlineStr">
        <is>
          <t>3 Years</t>
        </is>
      </c>
      <c r="E25" s="2" t="n">
        <v>45002</v>
      </c>
      <c r="F25" s="2" t="n">
        <v>46098</v>
      </c>
      <c r="G25" t="n">
        <v>50.77608868626933</v>
      </c>
      <c r="H25" t="n">
        <v>50.77608868626933</v>
      </c>
      <c r="I25" t="inlineStr">
        <is>
          <t>Belgium|EWK|3 Years</t>
        </is>
      </c>
      <c r="J25" t="inlineStr">
        <is>
          <t>USD</t>
        </is>
      </c>
    </row>
    <row r="26">
      <c r="A26" t="inlineStr">
        <is>
          <t>Belgium</t>
        </is>
      </c>
      <c r="B26" t="inlineStr">
        <is>
          <t>BEL</t>
        </is>
      </c>
      <c r="C26" t="inlineStr">
        <is>
          <t>EWK</t>
        </is>
      </c>
      <c r="D26" t="inlineStr">
        <is>
          <t>5 Years</t>
        </is>
      </c>
      <c r="E26" s="2" t="n">
        <v>44272</v>
      </c>
      <c r="F26" s="2" t="n">
        <v>46098</v>
      </c>
      <c r="G26" t="n">
        <v>35.92623533364547</v>
      </c>
      <c r="H26" t="n">
        <v>35.92623533364547</v>
      </c>
      <c r="I26" t="inlineStr">
        <is>
          <t>Belgium|EWK|5 Years</t>
        </is>
      </c>
      <c r="J26" t="inlineStr">
        <is>
          <t>USD</t>
        </is>
      </c>
    </row>
    <row r="27">
      <c r="A27" t="inlineStr">
        <is>
          <t>Belgium</t>
        </is>
      </c>
      <c r="B27" t="inlineStr">
        <is>
          <t>BEL</t>
        </is>
      </c>
      <c r="C27" t="inlineStr">
        <is>
          <t>EWK</t>
        </is>
      </c>
      <c r="D27" t="inlineStr">
        <is>
          <t>10 Years</t>
        </is>
      </c>
      <c r="E27" s="2" t="n">
        <v>42446</v>
      </c>
      <c r="F27" s="2" t="n">
        <v>46098</v>
      </c>
      <c r="G27" t="n">
        <v>82.74714386896196</v>
      </c>
      <c r="H27" t="n">
        <v>82.74714386896196</v>
      </c>
      <c r="I27" t="inlineStr">
        <is>
          <t>Belgium|EWK|10 Years</t>
        </is>
      </c>
      <c r="J27" t="inlineStr">
        <is>
          <t>USD</t>
        </is>
      </c>
    </row>
    <row r="28">
      <c r="A28" t="inlineStr">
        <is>
          <t>Belgium</t>
        </is>
      </c>
      <c r="B28" t="inlineStr">
        <is>
          <t>BEL</t>
        </is>
      </c>
      <c r="C28" t="inlineStr">
        <is>
          <t>EWK</t>
        </is>
      </c>
      <c r="D28" t="inlineStr">
        <is>
          <t>MAX</t>
        </is>
      </c>
      <c r="E28" s="2" t="n">
        <v>35143</v>
      </c>
      <c r="F28" s="2" t="n">
        <v>46098</v>
      </c>
      <c r="G28" t="n">
        <v>472.1375343823253</v>
      </c>
      <c r="H28" t="n">
        <v>472.1375343823253</v>
      </c>
      <c r="I28" t="inlineStr">
        <is>
          <t>Belgium|EWK|MAX</t>
        </is>
      </c>
      <c r="J28" t="inlineStr">
        <is>
          <t>USD</t>
        </is>
      </c>
    </row>
    <row r="29">
      <c r="A29" t="inlineStr">
        <is>
          <t>Brazil</t>
        </is>
      </c>
      <c r="B29" t="inlineStr">
        <is>
          <t>BRA</t>
        </is>
      </c>
      <c r="C29" t="inlineStr">
        <is>
          <t>XMBR.L</t>
        </is>
      </c>
      <c r="D29" t="inlineStr">
        <is>
          <t>YTD</t>
        </is>
      </c>
      <c r="E29" s="2" t="n">
        <v>46022</v>
      </c>
      <c r="F29" s="2" t="n">
        <v>46098</v>
      </c>
      <c r="G29" t="n">
        <v>16.8684422921711</v>
      </c>
      <c r="H29" t="n">
        <v>15.54192475119418</v>
      </c>
      <c r="I29" t="inlineStr">
        <is>
          <t>Brazil|XMBR.L|YTD</t>
        </is>
      </c>
      <c r="J29" t="inlineStr">
        <is>
          <t>GBp</t>
        </is>
      </c>
    </row>
    <row r="30">
      <c r="A30" t="inlineStr">
        <is>
          <t>Brazil</t>
        </is>
      </c>
      <c r="B30" t="inlineStr">
        <is>
          <t>BRA</t>
        </is>
      </c>
      <c r="C30" t="inlineStr">
        <is>
          <t>XMBR.L</t>
        </is>
      </c>
      <c r="D30" t="inlineStr">
        <is>
          <t>1 Month</t>
        </is>
      </c>
      <c r="E30" s="2" t="n">
        <v>46070</v>
      </c>
      <c r="F30" s="2" t="n">
        <v>46098</v>
      </c>
      <c r="G30" t="n">
        <v>-0.5884660651235718</v>
      </c>
      <c r="H30" t="n">
        <v>-2.874323244656196</v>
      </c>
      <c r="I30" t="inlineStr">
        <is>
          <t>Brazil|XMBR.L|1 Month</t>
        </is>
      </c>
      <c r="J30" t="inlineStr">
        <is>
          <t>GBp</t>
        </is>
      </c>
    </row>
    <row r="31">
      <c r="A31" t="inlineStr">
        <is>
          <t>Brazil</t>
        </is>
      </c>
      <c r="B31" t="inlineStr">
        <is>
          <t>BRA</t>
        </is>
      </c>
      <c r="C31" t="inlineStr">
        <is>
          <t>XMBR.L</t>
        </is>
      </c>
      <c r="D31" t="inlineStr">
        <is>
          <t>3 Months</t>
        </is>
      </c>
      <c r="E31" s="2" t="n">
        <v>46008</v>
      </c>
      <c r="F31" s="2" t="n">
        <v>46098</v>
      </c>
      <c r="G31" t="n">
        <v>21.12810707456978</v>
      </c>
      <c r="H31" t="n">
        <v>20.12966136394025</v>
      </c>
      <c r="I31" t="inlineStr">
        <is>
          <t>Brazil|XMBR.L|3 Months</t>
        </is>
      </c>
      <c r="J31" t="inlineStr">
        <is>
          <t>GBp</t>
        </is>
      </c>
    </row>
    <row r="32">
      <c r="A32" t="inlineStr">
        <is>
          <t>Brazil</t>
        </is>
      </c>
      <c r="B32" t="inlineStr">
        <is>
          <t>BRA</t>
        </is>
      </c>
      <c r="C32" t="inlineStr">
        <is>
          <t>XMBR.L</t>
        </is>
      </c>
      <c r="D32" t="inlineStr">
        <is>
          <t>6 Months</t>
        </is>
      </c>
      <c r="E32" s="2" t="n">
        <v>45917</v>
      </c>
      <c r="F32" s="2" t="n">
        <v>46098</v>
      </c>
      <c r="G32" t="n">
        <v>27.33668341708544</v>
      </c>
      <c r="H32" t="n">
        <v>24.16966043304469</v>
      </c>
      <c r="I32" t="inlineStr">
        <is>
          <t>Brazil|XMBR.L|6 Months</t>
        </is>
      </c>
      <c r="J32" t="inlineStr">
        <is>
          <t>GBp</t>
        </is>
      </c>
    </row>
    <row r="33">
      <c r="A33" t="inlineStr">
        <is>
          <t>Brazil</t>
        </is>
      </c>
      <c r="B33" t="inlineStr">
        <is>
          <t>BRA</t>
        </is>
      </c>
      <c r="C33" t="inlineStr">
        <is>
          <t>XMBR.L</t>
        </is>
      </c>
      <c r="D33" t="inlineStr">
        <is>
          <t>1 Year</t>
        </is>
      </c>
      <c r="E33" s="2" t="n">
        <v>45733</v>
      </c>
      <c r="F33" s="2" t="n">
        <v>46098</v>
      </c>
      <c r="G33" t="n">
        <v>43.91594490983955</v>
      </c>
      <c r="H33" t="n">
        <v>48.187026629832</v>
      </c>
      <c r="I33" t="inlineStr">
        <is>
          <t>Brazil|XMBR.L|1 Year</t>
        </is>
      </c>
      <c r="J33" t="inlineStr">
        <is>
          <t>GBp</t>
        </is>
      </c>
    </row>
    <row r="34">
      <c r="A34" t="inlineStr">
        <is>
          <t>Brazil</t>
        </is>
      </c>
      <c r="B34" t="inlineStr">
        <is>
          <t>BRA</t>
        </is>
      </c>
      <c r="C34" t="inlineStr">
        <is>
          <t>XMBR.L</t>
        </is>
      </c>
      <c r="D34" t="inlineStr">
        <is>
          <t>3 Years</t>
        </is>
      </c>
      <c r="E34" s="2" t="n">
        <v>45002</v>
      </c>
      <c r="F34" s="2" t="n">
        <v>46098</v>
      </c>
      <c r="G34" t="n">
        <v>55.89049523223623</v>
      </c>
      <c r="H34" t="n">
        <v>71.38676868708178</v>
      </c>
      <c r="I34" t="inlineStr">
        <is>
          <t>Brazil|XMBR.L|3 Years</t>
        </is>
      </c>
      <c r="J34" t="inlineStr">
        <is>
          <t>GBp</t>
        </is>
      </c>
    </row>
    <row r="35">
      <c r="A35" t="inlineStr">
        <is>
          <t>Brazil</t>
        </is>
      </c>
      <c r="B35" t="inlineStr">
        <is>
          <t>BRA</t>
        </is>
      </c>
      <c r="C35" t="inlineStr">
        <is>
          <t>XMBR.L</t>
        </is>
      </c>
      <c r="D35" t="inlineStr">
        <is>
          <t>5 Years</t>
        </is>
      </c>
      <c r="E35" s="2" t="n">
        <v>44272</v>
      </c>
      <c r="F35" s="2" t="n">
        <v>46098</v>
      </c>
      <c r="G35" t="n">
        <v>73.59136838499742</v>
      </c>
      <c r="H35" t="n">
        <v>66.25081263036283</v>
      </c>
      <c r="I35" t="inlineStr">
        <is>
          <t>Brazil|XMBR.L|5 Years</t>
        </is>
      </c>
      <c r="J35" t="inlineStr">
        <is>
          <t>GBp</t>
        </is>
      </c>
    </row>
    <row r="36">
      <c r="A36" t="inlineStr">
        <is>
          <t>Brazil</t>
        </is>
      </c>
      <c r="B36" t="inlineStr">
        <is>
          <t>BRA</t>
        </is>
      </c>
      <c r="C36" t="inlineStr">
        <is>
          <t>XMBR.L</t>
        </is>
      </c>
      <c r="D36" t="inlineStr">
        <is>
          <t>10 Years</t>
        </is>
      </c>
      <c r="E36" s="2" t="n">
        <v>42446</v>
      </c>
      <c r="F36" s="2" t="n">
        <v>46098</v>
      </c>
      <c r="G36" t="n">
        <v>155.9272819088499</v>
      </c>
      <c r="H36" t="n">
        <v>139.0362881746013</v>
      </c>
      <c r="I36" t="inlineStr">
        <is>
          <t>Brazil|XMBR.L|10 Years</t>
        </is>
      </c>
      <c r="J36" t="inlineStr">
        <is>
          <t>GBp</t>
        </is>
      </c>
    </row>
    <row r="37">
      <c r="A37" t="inlineStr">
        <is>
          <t>Brazil</t>
        </is>
      </c>
      <c r="B37" t="inlineStr">
        <is>
          <t>BRA</t>
        </is>
      </c>
      <c r="C37" t="inlineStr">
        <is>
          <t>XMBR.L</t>
        </is>
      </c>
      <c r="D37" t="inlineStr">
        <is>
          <t>MAX</t>
        </is>
      </c>
      <c r="E37" s="2" t="n">
        <v>39818</v>
      </c>
      <c r="F37" s="2" t="n">
        <v>46098</v>
      </c>
      <c r="G37" t="n">
        <v>121.6652813383894</v>
      </c>
      <c r="H37" t="n">
        <v>100.5514941427254</v>
      </c>
      <c r="I37" t="inlineStr">
        <is>
          <t>Brazil|XMBR.L|MAX</t>
        </is>
      </c>
      <c r="J37" t="inlineStr">
        <is>
          <t>GBp</t>
        </is>
      </c>
    </row>
    <row r="38">
      <c r="A38" t="inlineStr">
        <is>
          <t>Canada</t>
        </is>
      </c>
      <c r="B38" t="inlineStr">
        <is>
          <t>CAN</t>
        </is>
      </c>
      <c r="C38" t="inlineStr">
        <is>
          <t>CSCA.L</t>
        </is>
      </c>
      <c r="D38" t="inlineStr">
        <is>
          <t>YTD</t>
        </is>
      </c>
      <c r="E38" s="2" t="n">
        <v>46022</v>
      </c>
      <c r="F38" s="2" t="n">
        <v>46098</v>
      </c>
      <c r="G38" t="n">
        <v>4.289421829192097</v>
      </c>
      <c r="H38" t="n">
        <v>3.105682706111201</v>
      </c>
      <c r="I38" t="inlineStr">
        <is>
          <t>Canada|CSCA.L|YTD</t>
        </is>
      </c>
      <c r="J38" t="inlineStr">
        <is>
          <t>GBp</t>
        </is>
      </c>
    </row>
    <row r="39">
      <c r="A39" t="inlineStr">
        <is>
          <t>Canada</t>
        </is>
      </c>
      <c r="B39" t="inlineStr">
        <is>
          <t>CAN</t>
        </is>
      </c>
      <c r="C39" t="inlineStr">
        <is>
          <t>CSCA.L</t>
        </is>
      </c>
      <c r="D39" t="inlineStr">
        <is>
          <t>1 Month</t>
        </is>
      </c>
      <c r="E39" s="2" t="n">
        <v>46070</v>
      </c>
      <c r="F39" s="2" t="n">
        <v>46098</v>
      </c>
      <c r="G39" t="n">
        <v>2.014479808189562</v>
      </c>
      <c r="H39" t="n">
        <v>-0.3312292041932174</v>
      </c>
      <c r="I39" t="inlineStr">
        <is>
          <t>Canada|CSCA.L|1 Month</t>
        </is>
      </c>
      <c r="J39" t="inlineStr">
        <is>
          <t>GBp</t>
        </is>
      </c>
    </row>
    <row r="40">
      <c r="A40" t="inlineStr">
        <is>
          <t>Canada</t>
        </is>
      </c>
      <c r="B40" t="inlineStr">
        <is>
          <t>CAN</t>
        </is>
      </c>
      <c r="C40" t="inlineStr">
        <is>
          <t>CSCA.L</t>
        </is>
      </c>
      <c r="D40" t="inlineStr">
        <is>
          <t>3 Months</t>
        </is>
      </c>
      <c r="E40" s="2" t="n">
        <v>46008</v>
      </c>
      <c r="F40" s="2" t="n">
        <v>46098</v>
      </c>
      <c r="G40" t="n">
        <v>6.720601977081597</v>
      </c>
      <c r="H40" t="n">
        <v>5.840915751866982</v>
      </c>
      <c r="I40" t="inlineStr">
        <is>
          <t>Canada|CSCA.L|3 Months</t>
        </is>
      </c>
      <c r="J40" t="inlineStr">
        <is>
          <t>GBp</t>
        </is>
      </c>
    </row>
    <row r="41">
      <c r="A41" t="inlineStr">
        <is>
          <t>Canada</t>
        </is>
      </c>
      <c r="B41" t="inlineStr">
        <is>
          <t>CAN</t>
        </is>
      </c>
      <c r="C41" t="inlineStr">
        <is>
          <t>CSCA.L</t>
        </is>
      </c>
      <c r="D41" t="inlineStr">
        <is>
          <t>6 Months</t>
        </is>
      </c>
      <c r="E41" s="2" t="n">
        <v>45917</v>
      </c>
      <c r="F41" s="2" t="n">
        <v>46098</v>
      </c>
      <c r="G41" t="n">
        <v>15.35231108630359</v>
      </c>
      <c r="H41" t="n">
        <v>12.48335446933297</v>
      </c>
      <c r="I41" t="inlineStr">
        <is>
          <t>Canada|CSCA.L|6 Months</t>
        </is>
      </c>
      <c r="J41" t="inlineStr">
        <is>
          <t>GBp</t>
        </is>
      </c>
    </row>
    <row r="42">
      <c r="A42" t="inlineStr">
        <is>
          <t>Canada</t>
        </is>
      </c>
      <c r="B42" t="inlineStr">
        <is>
          <t>CAN</t>
        </is>
      </c>
      <c r="C42" t="inlineStr">
        <is>
          <t>CSCA.L</t>
        </is>
      </c>
      <c r="D42" t="inlineStr">
        <is>
          <t>1 Year</t>
        </is>
      </c>
      <c r="E42" s="2" t="n">
        <v>45733</v>
      </c>
      <c r="F42" s="2" t="n">
        <v>46098</v>
      </c>
      <c r="G42" t="n">
        <v>36.44909765453059</v>
      </c>
      <c r="H42" t="n">
        <v>40.49858117122387</v>
      </c>
      <c r="I42" t="inlineStr">
        <is>
          <t>Canada|CSCA.L|1 Year</t>
        </is>
      </c>
      <c r="J42" t="inlineStr">
        <is>
          <t>GBp</t>
        </is>
      </c>
    </row>
    <row r="43">
      <c r="A43" t="inlineStr">
        <is>
          <t>Canada</t>
        </is>
      </c>
      <c r="B43" t="inlineStr">
        <is>
          <t>CAN</t>
        </is>
      </c>
      <c r="C43" t="inlineStr">
        <is>
          <t>CSCA.L</t>
        </is>
      </c>
      <c r="D43" t="inlineStr">
        <is>
          <t>3 Years</t>
        </is>
      </c>
      <c r="E43" s="2" t="n">
        <v>45002</v>
      </c>
      <c r="F43" s="2" t="n">
        <v>46098</v>
      </c>
      <c r="G43" t="n">
        <v>67.26018422168265</v>
      </c>
      <c r="H43" t="n">
        <v>83.88666006259756</v>
      </c>
      <c r="I43" t="inlineStr">
        <is>
          <t>Canada|CSCA.L|3 Years</t>
        </is>
      </c>
      <c r="J43" t="inlineStr">
        <is>
          <t>GBp</t>
        </is>
      </c>
    </row>
    <row r="44">
      <c r="A44" t="inlineStr">
        <is>
          <t>Canada</t>
        </is>
      </c>
      <c r="B44" t="inlineStr">
        <is>
          <t>CAN</t>
        </is>
      </c>
      <c r="C44" t="inlineStr">
        <is>
          <t>CSCA.L</t>
        </is>
      </c>
      <c r="D44" t="inlineStr">
        <is>
          <t>5 Years</t>
        </is>
      </c>
      <c r="E44" s="2" t="n">
        <v>44272</v>
      </c>
      <c r="F44" s="2" t="n">
        <v>46098</v>
      </c>
      <c r="G44" t="n">
        <v>85.14141888144704</v>
      </c>
      <c r="H44" t="n">
        <v>77.31245295741971</v>
      </c>
      <c r="I44" t="inlineStr">
        <is>
          <t>Canada|CSCA.L|5 Years</t>
        </is>
      </c>
      <c r="J44" t="inlineStr">
        <is>
          <t>GBp</t>
        </is>
      </c>
    </row>
    <row r="45">
      <c r="A45" t="inlineStr">
        <is>
          <t>Canada</t>
        </is>
      </c>
      <c r="B45" t="inlineStr">
        <is>
          <t>CAN</t>
        </is>
      </c>
      <c r="C45" t="inlineStr">
        <is>
          <t>CSCA.L</t>
        </is>
      </c>
      <c r="D45" t="inlineStr">
        <is>
          <t>10 Years</t>
        </is>
      </c>
      <c r="E45" s="2" t="n">
        <v>42446</v>
      </c>
      <c r="F45" s="2" t="n">
        <v>46098</v>
      </c>
      <c r="G45" t="n">
        <v>204.1914908530175</v>
      </c>
      <c r="H45" t="n">
        <v>184.1150983414914</v>
      </c>
      <c r="I45" t="inlineStr">
        <is>
          <t>Canada|CSCA.L|10 Years</t>
        </is>
      </c>
      <c r="J45" t="inlineStr">
        <is>
          <t>GBp</t>
        </is>
      </c>
    </row>
    <row r="46">
      <c r="A46" t="inlineStr">
        <is>
          <t>Canada</t>
        </is>
      </c>
      <c r="B46" t="inlineStr">
        <is>
          <t>CAN</t>
        </is>
      </c>
      <c r="C46" t="inlineStr">
        <is>
          <t>CSCA.L</t>
        </is>
      </c>
      <c r="D46" t="inlineStr">
        <is>
          <t>MAX</t>
        </is>
      </c>
      <c r="E46" s="2" t="n">
        <v>40192</v>
      </c>
      <c r="F46" s="2" t="n">
        <v>46098</v>
      </c>
      <c r="G46" t="n">
        <v>112.7785764052875</v>
      </c>
      <c r="H46" t="n">
        <v>73.44227368257137</v>
      </c>
      <c r="I46" t="inlineStr">
        <is>
          <t>Canada|CSCA.L|MAX</t>
        </is>
      </c>
      <c r="J46" t="inlineStr">
        <is>
          <t>GBp</t>
        </is>
      </c>
    </row>
    <row r="47">
      <c r="A47" t="inlineStr">
        <is>
          <t>China</t>
        </is>
      </c>
      <c r="B47" t="inlineStr">
        <is>
          <t>CHN</t>
        </is>
      </c>
      <c r="C47" t="inlineStr">
        <is>
          <t>IASH.L</t>
        </is>
      </c>
      <c r="D47" t="inlineStr">
        <is>
          <t>YTD</t>
        </is>
      </c>
      <c r="E47" s="2" t="n">
        <v>46022</v>
      </c>
      <c r="F47" s="2" t="n">
        <v>46098</v>
      </c>
      <c r="G47" t="n">
        <v>3.451496905753793</v>
      </c>
      <c r="H47" t="n">
        <v>2.277268665911891</v>
      </c>
      <c r="I47" t="inlineStr">
        <is>
          <t>China|IASH.L|YTD</t>
        </is>
      </c>
      <c r="J47" t="inlineStr">
        <is>
          <t>GBp</t>
        </is>
      </c>
    </row>
    <row r="48">
      <c r="A48" t="inlineStr">
        <is>
          <t>China</t>
        </is>
      </c>
      <c r="B48" t="inlineStr">
        <is>
          <t>CHN</t>
        </is>
      </c>
      <c r="C48" t="inlineStr">
        <is>
          <t>IASH.L</t>
        </is>
      </c>
      <c r="D48" t="inlineStr">
        <is>
          <t>1 Month</t>
        </is>
      </c>
      <c r="E48" s="2" t="n">
        <v>46070</v>
      </c>
      <c r="F48" s="2" t="n">
        <v>46098</v>
      </c>
      <c r="G48" t="n">
        <v>0.5895705450148725</v>
      </c>
      <c r="H48" t="n">
        <v>-1.723374270493694</v>
      </c>
      <c r="I48" t="inlineStr">
        <is>
          <t>China|IASH.L|1 Month</t>
        </is>
      </c>
      <c r="J48" t="inlineStr">
        <is>
          <t>GBp</t>
        </is>
      </c>
    </row>
    <row r="49">
      <c r="A49" t="inlineStr">
        <is>
          <t>China</t>
        </is>
      </c>
      <c r="B49" t="inlineStr">
        <is>
          <t>CHN</t>
        </is>
      </c>
      <c r="C49" t="inlineStr">
        <is>
          <t>IASH.L</t>
        </is>
      </c>
      <c r="D49" t="inlineStr">
        <is>
          <t>3 Months</t>
        </is>
      </c>
      <c r="E49" s="2" t="n">
        <v>46008</v>
      </c>
      <c r="F49" s="2" t="n">
        <v>46098</v>
      </c>
      <c r="G49" t="n">
        <v>5.644203989408458</v>
      </c>
      <c r="H49" t="n">
        <v>4.773390394829957</v>
      </c>
      <c r="I49" t="inlineStr">
        <is>
          <t>China|IASH.L|3 Months</t>
        </is>
      </c>
      <c r="J49" t="inlineStr">
        <is>
          <t>GBp</t>
        </is>
      </c>
    </row>
    <row r="50">
      <c r="A50" t="inlineStr">
        <is>
          <t>China</t>
        </is>
      </c>
      <c r="B50" t="inlineStr">
        <is>
          <t>CHN</t>
        </is>
      </c>
      <c r="C50" t="inlineStr">
        <is>
          <t>IASH.L</t>
        </is>
      </c>
      <c r="D50" t="inlineStr">
        <is>
          <t>6 Months</t>
        </is>
      </c>
      <c r="E50" s="2" t="n">
        <v>45917</v>
      </c>
      <c r="F50" s="2" t="n">
        <v>46098</v>
      </c>
      <c r="G50" t="n">
        <v>8.287565656746999</v>
      </c>
      <c r="H50" t="n">
        <v>5.594318117093211</v>
      </c>
      <c r="I50" t="inlineStr">
        <is>
          <t>China|IASH.L|6 Months</t>
        </is>
      </c>
      <c r="J50" t="inlineStr">
        <is>
          <t>GBp</t>
        </is>
      </c>
    </row>
    <row r="51">
      <c r="A51" t="inlineStr">
        <is>
          <t>China</t>
        </is>
      </c>
      <c r="B51" t="inlineStr">
        <is>
          <t>CHN</t>
        </is>
      </c>
      <c r="C51" t="inlineStr">
        <is>
          <t>IASH.L</t>
        </is>
      </c>
      <c r="D51" t="inlineStr">
        <is>
          <t>1 Year</t>
        </is>
      </c>
      <c r="E51" s="2" t="n">
        <v>45733</v>
      </c>
      <c r="F51" s="2" t="n">
        <v>46098</v>
      </c>
      <c r="G51" t="n">
        <v>20.70748465401786</v>
      </c>
      <c r="H51" t="n">
        <v>24.28979467182046</v>
      </c>
      <c r="I51" t="inlineStr">
        <is>
          <t>China|IASH.L|1 Year</t>
        </is>
      </c>
      <c r="J51" t="inlineStr">
        <is>
          <t>GBp</t>
        </is>
      </c>
    </row>
    <row r="52">
      <c r="A52" t="inlineStr">
        <is>
          <t>China</t>
        </is>
      </c>
      <c r="B52" t="inlineStr">
        <is>
          <t>CHN</t>
        </is>
      </c>
      <c r="C52" t="inlineStr">
        <is>
          <t>IASH.L</t>
        </is>
      </c>
      <c r="D52" t="inlineStr">
        <is>
          <t>3 Years</t>
        </is>
      </c>
      <c r="E52" s="2" t="n">
        <v>45002</v>
      </c>
      <c r="F52" s="2" t="n">
        <v>46098</v>
      </c>
      <c r="G52" t="n">
        <v>11.4013039941546</v>
      </c>
      <c r="H52" t="n">
        <v>22.47513545096056</v>
      </c>
      <c r="I52" t="inlineStr">
        <is>
          <t>China|IASH.L|3 Years</t>
        </is>
      </c>
      <c r="J52" t="inlineStr">
        <is>
          <t>GBp</t>
        </is>
      </c>
    </row>
    <row r="53">
      <c r="A53" t="inlineStr">
        <is>
          <t>China</t>
        </is>
      </c>
      <c r="B53" t="inlineStr">
        <is>
          <t>CHN</t>
        </is>
      </c>
      <c r="C53" t="inlineStr">
        <is>
          <t>IASH.L</t>
        </is>
      </c>
      <c r="D53" t="inlineStr">
        <is>
          <t>5 Years</t>
        </is>
      </c>
      <c r="E53" s="2" t="n">
        <v>44272</v>
      </c>
      <c r="F53" s="2" t="n">
        <v>46098</v>
      </c>
      <c r="G53" t="n">
        <v>1.487073875368616</v>
      </c>
      <c r="H53" t="n">
        <v>-2.804450127741021</v>
      </c>
      <c r="I53" t="inlineStr">
        <is>
          <t>China|IASH.L|5 Years</t>
        </is>
      </c>
      <c r="J53" t="inlineStr">
        <is>
          <t>GBp</t>
        </is>
      </c>
    </row>
    <row r="54">
      <c r="A54" t="inlineStr">
        <is>
          <t>China</t>
        </is>
      </c>
      <c r="B54" t="inlineStr">
        <is>
          <t>CHN</t>
        </is>
      </c>
      <c r="C54" t="inlineStr">
        <is>
          <t>IASH.L</t>
        </is>
      </c>
      <c r="D54" t="inlineStr">
        <is>
          <t>10 Years</t>
        </is>
      </c>
      <c r="E54" s="2" t="n">
        <v>42446</v>
      </c>
      <c r="F54" s="2" t="n">
        <v>46098</v>
      </c>
      <c r="G54" t="n">
        <v>83.23006812062776</v>
      </c>
      <c r="H54" t="n">
        <v>71.13703173362096</v>
      </c>
      <c r="I54" t="inlineStr">
        <is>
          <t>China|IASH.L|10 Years</t>
        </is>
      </c>
      <c r="J54" t="inlineStr">
        <is>
          <t>GBp</t>
        </is>
      </c>
    </row>
    <row r="55">
      <c r="A55" t="inlineStr">
        <is>
          <t>China</t>
        </is>
      </c>
      <c r="B55" t="inlineStr">
        <is>
          <t>CHN</t>
        </is>
      </c>
      <c r="C55" t="inlineStr">
        <is>
          <t>IASH.L</t>
        </is>
      </c>
      <c r="D55" t="inlineStr">
        <is>
          <t>MAX</t>
        </is>
      </c>
      <c r="E55" s="2" t="n">
        <v>42103</v>
      </c>
      <c r="F55" s="2" t="n">
        <v>46098</v>
      </c>
      <c r="G55" t="n">
        <v>-13.18982268032962</v>
      </c>
      <c r="H55" t="n">
        <v>-22.31617696609898</v>
      </c>
      <c r="I55" t="inlineStr">
        <is>
          <t>China|IASH.L|MAX</t>
        </is>
      </c>
      <c r="J55" t="inlineStr">
        <is>
          <t>GBp</t>
        </is>
      </c>
    </row>
    <row r="56">
      <c r="A56" t="inlineStr">
        <is>
          <t>France</t>
        </is>
      </c>
      <c r="B56" t="inlineStr">
        <is>
          <t>FRA</t>
        </is>
      </c>
      <c r="C56" t="inlineStr">
        <is>
          <t>ISFR.L</t>
        </is>
      </c>
      <c r="D56" t="inlineStr">
        <is>
          <t>YTD</t>
        </is>
      </c>
      <c r="E56" s="2" t="n">
        <v>46022</v>
      </c>
      <c r="F56" s="2" t="n">
        <v>46098</v>
      </c>
      <c r="G56" t="n">
        <v>-2.203171091445433</v>
      </c>
      <c r="H56" t="n">
        <v>-3.313215911541467</v>
      </c>
      <c r="I56" t="inlineStr">
        <is>
          <t>France|ISFR.L|YTD</t>
        </is>
      </c>
      <c r="J56" t="inlineStr">
        <is>
          <t>GBp</t>
        </is>
      </c>
    </row>
    <row r="57">
      <c r="A57" t="inlineStr">
        <is>
          <t>France</t>
        </is>
      </c>
      <c r="B57" t="inlineStr">
        <is>
          <t>FRA</t>
        </is>
      </c>
      <c r="C57" t="inlineStr">
        <is>
          <t>ISFR.L</t>
        </is>
      </c>
      <c r="D57" t="inlineStr">
        <is>
          <t>1 Month</t>
        </is>
      </c>
      <c r="E57" s="2" t="n">
        <v>46070</v>
      </c>
      <c r="F57" s="2" t="n">
        <v>46098</v>
      </c>
      <c r="G57" t="n">
        <v>-5.580277678889278</v>
      </c>
      <c r="H57" t="n">
        <v>-7.751353726247889</v>
      </c>
      <c r="I57" t="inlineStr">
        <is>
          <t>France|ISFR.L|1 Month</t>
        </is>
      </c>
      <c r="J57" t="inlineStr">
        <is>
          <t>GBp</t>
        </is>
      </c>
    </row>
    <row r="58">
      <c r="A58" t="inlineStr">
        <is>
          <t>France</t>
        </is>
      </c>
      <c r="B58" t="inlineStr">
        <is>
          <t>FRA</t>
        </is>
      </c>
      <c r="C58" t="inlineStr">
        <is>
          <t>ISFR.L</t>
        </is>
      </c>
      <c r="D58" t="inlineStr">
        <is>
          <t>3 Months</t>
        </is>
      </c>
      <c r="E58" s="2" t="n">
        <v>46008</v>
      </c>
      <c r="F58" s="2" t="n">
        <v>46098</v>
      </c>
      <c r="G58" t="n">
        <v>-2.013484806502253</v>
      </c>
      <c r="H58" t="n">
        <v>-2.82117691164061</v>
      </c>
      <c r="I58" t="inlineStr">
        <is>
          <t>France|ISFR.L|3 Months</t>
        </is>
      </c>
      <c r="J58" t="inlineStr">
        <is>
          <t>GBp</t>
        </is>
      </c>
    </row>
    <row r="59">
      <c r="A59" t="inlineStr">
        <is>
          <t>France</t>
        </is>
      </c>
      <c r="B59" t="inlineStr">
        <is>
          <t>FRA</t>
        </is>
      </c>
      <c r="C59" t="inlineStr">
        <is>
          <t>ISFR.L</t>
        </is>
      </c>
      <c r="D59" t="inlineStr">
        <is>
          <t>6 Months</t>
        </is>
      </c>
      <c r="E59" s="2" t="n">
        <v>45917</v>
      </c>
      <c r="F59" s="2" t="n">
        <v>46098</v>
      </c>
      <c r="G59" t="n">
        <v>3.100097181729833</v>
      </c>
      <c r="H59" t="n">
        <v>0.5358684876160646</v>
      </c>
      <c r="I59" t="inlineStr">
        <is>
          <t>France|ISFR.L|6 Months</t>
        </is>
      </c>
      <c r="J59" t="inlineStr">
        <is>
          <t>GBp</t>
        </is>
      </c>
    </row>
    <row r="60">
      <c r="A60" t="inlineStr">
        <is>
          <t>France</t>
        </is>
      </c>
      <c r="B60" t="inlineStr">
        <is>
          <t>FRA</t>
        </is>
      </c>
      <c r="C60" t="inlineStr">
        <is>
          <t>ISFR.L</t>
        </is>
      </c>
      <c r="D60" t="inlineStr">
        <is>
          <t>1 Year</t>
        </is>
      </c>
      <c r="E60" s="2" t="n">
        <v>45733</v>
      </c>
      <c r="F60" s="2" t="n">
        <v>46098</v>
      </c>
      <c r="G60" t="n">
        <v>5.331612390786344</v>
      </c>
      <c r="H60" t="n">
        <v>8.457603221763833</v>
      </c>
      <c r="I60" t="inlineStr">
        <is>
          <t>France|ISFR.L|1 Year</t>
        </is>
      </c>
      <c r="J60" t="inlineStr">
        <is>
          <t>GBp</t>
        </is>
      </c>
    </row>
    <row r="61">
      <c r="A61" t="inlineStr">
        <is>
          <t>France</t>
        </is>
      </c>
      <c r="B61" t="inlineStr">
        <is>
          <t>FRA</t>
        </is>
      </c>
      <c r="C61" t="inlineStr">
        <is>
          <t>ISFR.L</t>
        </is>
      </c>
      <c r="D61" t="inlineStr">
        <is>
          <t>3 Years</t>
        </is>
      </c>
      <c r="E61" s="2" t="n">
        <v>45002</v>
      </c>
      <c r="F61" s="2" t="n">
        <v>46098</v>
      </c>
      <c r="G61" t="n">
        <v>23.73454630277585</v>
      </c>
      <c r="H61" t="n">
        <v>36.03436203216075</v>
      </c>
      <c r="I61" t="inlineStr">
        <is>
          <t>France|ISFR.L|3 Years</t>
        </is>
      </c>
      <c r="J61" t="inlineStr">
        <is>
          <t>GBp</t>
        </is>
      </c>
    </row>
    <row r="62">
      <c r="A62" t="inlineStr">
        <is>
          <t>France</t>
        </is>
      </c>
      <c r="B62" t="inlineStr">
        <is>
          <t>FRA</t>
        </is>
      </c>
      <c r="C62" t="inlineStr">
        <is>
          <t>ISFR.L</t>
        </is>
      </c>
      <c r="D62" t="inlineStr">
        <is>
          <t>5 Years</t>
        </is>
      </c>
      <c r="E62" s="2" t="n">
        <v>44272</v>
      </c>
      <c r="F62" s="2" t="n">
        <v>46098</v>
      </c>
      <c r="G62" t="n">
        <v>49.17041619797524</v>
      </c>
      <c r="H62" t="n">
        <v>42.86253483710731</v>
      </c>
      <c r="I62" t="inlineStr">
        <is>
          <t>France|ISFR.L|5 Years</t>
        </is>
      </c>
      <c r="J62" t="inlineStr">
        <is>
          <t>GBp</t>
        </is>
      </c>
    </row>
    <row r="63">
      <c r="A63" t="inlineStr">
        <is>
          <t>France</t>
        </is>
      </c>
      <c r="B63" t="inlineStr">
        <is>
          <t>FRA</t>
        </is>
      </c>
      <c r="C63" t="inlineStr">
        <is>
          <t>ISFR.L</t>
        </is>
      </c>
      <c r="D63" t="inlineStr">
        <is>
          <t>10 Years</t>
        </is>
      </c>
      <c r="E63" s="2" t="n">
        <v>42446</v>
      </c>
      <c r="F63" s="2" t="n">
        <v>46098</v>
      </c>
      <c r="G63" t="n">
        <v>160.9840098400984</v>
      </c>
      <c r="H63" t="n">
        <v>143.7592761498535</v>
      </c>
      <c r="I63" t="inlineStr">
        <is>
          <t>France|ISFR.L|10 Years</t>
        </is>
      </c>
      <c r="J63" t="inlineStr">
        <is>
          <t>GBp</t>
        </is>
      </c>
    </row>
    <row r="64">
      <c r="A64" t="inlineStr">
        <is>
          <t>France</t>
        </is>
      </c>
      <c r="B64" t="inlineStr">
        <is>
          <t>FRA</t>
        </is>
      </c>
      <c r="C64" t="inlineStr">
        <is>
          <t>ISFR.L</t>
        </is>
      </c>
      <c r="D64" t="inlineStr">
        <is>
          <t>MAX</t>
        </is>
      </c>
      <c r="E64" s="2" t="n">
        <v>41890</v>
      </c>
      <c r="F64" s="2" t="n">
        <v>46098</v>
      </c>
      <c r="G64" t="n">
        <v>113.038979824119</v>
      </c>
      <c r="H64" t="n">
        <v>74.95648700414834</v>
      </c>
      <c r="I64" t="inlineStr">
        <is>
          <t>France|ISFR.L|MAX</t>
        </is>
      </c>
      <c r="J64" t="inlineStr">
        <is>
          <t>GBp</t>
        </is>
      </c>
    </row>
    <row r="65">
      <c r="A65" t="inlineStr">
        <is>
          <t>Germany</t>
        </is>
      </c>
      <c r="B65" t="inlineStr">
        <is>
          <t>DEU</t>
        </is>
      </c>
      <c r="C65" t="inlineStr">
        <is>
          <t>EXS1.DE</t>
        </is>
      </c>
      <c r="D65" t="inlineStr">
        <is>
          <t>YTD</t>
        </is>
      </c>
      <c r="E65" s="2" t="n">
        <v>46021</v>
      </c>
      <c r="F65" s="2" t="n">
        <v>46098</v>
      </c>
      <c r="G65" t="n">
        <v>-3.324304308569459</v>
      </c>
      <c r="H65" t="n">
        <v>-5.568886704393671</v>
      </c>
      <c r="I65" t="inlineStr">
        <is>
          <t>Germany|EXS1.DE|YTD</t>
        </is>
      </c>
      <c r="J65" t="inlineStr">
        <is>
          <t>EUR</t>
        </is>
      </c>
    </row>
    <row r="66">
      <c r="A66" t="inlineStr">
        <is>
          <t>Germany</t>
        </is>
      </c>
      <c r="B66" t="inlineStr">
        <is>
          <t>DEU</t>
        </is>
      </c>
      <c r="C66" t="inlineStr">
        <is>
          <t>EXS1.DE</t>
        </is>
      </c>
      <c r="D66" t="inlineStr">
        <is>
          <t>1 Month</t>
        </is>
      </c>
      <c r="E66" s="2" t="n">
        <v>46070</v>
      </c>
      <c r="F66" s="2" t="n">
        <v>46098</v>
      </c>
      <c r="G66" t="n">
        <v>-5.146167699218629</v>
      </c>
      <c r="H66" t="n">
        <v>-7.950549455604882</v>
      </c>
      <c r="I66" t="inlineStr">
        <is>
          <t>Germany|EXS1.DE|1 Month</t>
        </is>
      </c>
      <c r="J66" t="inlineStr">
        <is>
          <t>EUR</t>
        </is>
      </c>
    </row>
    <row r="67">
      <c r="A67" t="inlineStr">
        <is>
          <t>Germany</t>
        </is>
      </c>
      <c r="B67" t="inlineStr">
        <is>
          <t>DEU</t>
        </is>
      </c>
      <c r="C67" t="inlineStr">
        <is>
          <t>EXS1.DE</t>
        </is>
      </c>
      <c r="D67" t="inlineStr">
        <is>
          <t>3 Months</t>
        </is>
      </c>
      <c r="E67" s="2" t="n">
        <v>46008</v>
      </c>
      <c r="F67" s="2" t="n">
        <v>46098</v>
      </c>
      <c r="G67" t="n">
        <v>-0.9985857069441328</v>
      </c>
      <c r="H67" t="n">
        <v>-3.104754928616038</v>
      </c>
      <c r="I67" t="inlineStr">
        <is>
          <t>Germany|EXS1.DE|3 Months</t>
        </is>
      </c>
      <c r="J67" t="inlineStr">
        <is>
          <t>EUR</t>
        </is>
      </c>
    </row>
    <row r="68">
      <c r="A68" t="inlineStr">
        <is>
          <t>Germany</t>
        </is>
      </c>
      <c r="B68" t="inlineStr">
        <is>
          <t>DEU</t>
        </is>
      </c>
      <c r="C68" t="inlineStr">
        <is>
          <t>EXS1.DE</t>
        </is>
      </c>
      <c r="D68" t="inlineStr">
        <is>
          <t>6 Months</t>
        </is>
      </c>
      <c r="E68" s="2" t="n">
        <v>45917</v>
      </c>
      <c r="F68" s="2" t="n">
        <v>46098</v>
      </c>
      <c r="G68" t="n">
        <v>1.405104450343475</v>
      </c>
      <c r="H68" t="n">
        <v>-1.771382666073518</v>
      </c>
      <c r="I68" t="inlineStr">
        <is>
          <t>Germany|EXS1.DE|6 Months</t>
        </is>
      </c>
      <c r="J68" t="inlineStr">
        <is>
          <t>EUR</t>
        </is>
      </c>
    </row>
    <row r="69">
      <c r="A69" t="inlineStr">
        <is>
          <t>Germany</t>
        </is>
      </c>
      <c r="B69" t="inlineStr">
        <is>
          <t>DEU</t>
        </is>
      </c>
      <c r="C69" t="inlineStr">
        <is>
          <t>EXS1.DE</t>
        </is>
      </c>
      <c r="D69" t="inlineStr">
        <is>
          <t>1 Year</t>
        </is>
      </c>
      <c r="E69" s="2" t="n">
        <v>45733</v>
      </c>
      <c r="F69" s="2" t="n">
        <v>46098</v>
      </c>
      <c r="G69" t="n">
        <v>1.931665378197778</v>
      </c>
      <c r="H69" t="n">
        <v>7.723334859694586</v>
      </c>
      <c r="I69" t="inlineStr">
        <is>
          <t>Germany|EXS1.DE|1 Year</t>
        </is>
      </c>
      <c r="J69" t="inlineStr">
        <is>
          <t>EUR</t>
        </is>
      </c>
    </row>
    <row r="70">
      <c r="A70" t="inlineStr">
        <is>
          <t>Germany</t>
        </is>
      </c>
      <c r="B70" t="inlineStr">
        <is>
          <t>DEU</t>
        </is>
      </c>
      <c r="C70" t="inlineStr">
        <is>
          <t>EXS1.DE</t>
        </is>
      </c>
      <c r="D70" t="inlineStr">
        <is>
          <t>3 Years</t>
        </is>
      </c>
      <c r="E70" s="2" t="n">
        <v>45002</v>
      </c>
      <c r="F70" s="2" t="n">
        <v>46098</v>
      </c>
      <c r="G70" t="n">
        <v>57.82280703207163</v>
      </c>
      <c r="H70" t="n">
        <v>70.98800607644891</v>
      </c>
      <c r="I70" t="inlineStr">
        <is>
          <t>Germany|EXS1.DE|3 Years</t>
        </is>
      </c>
      <c r="J70" t="inlineStr">
        <is>
          <t>EUR</t>
        </is>
      </c>
    </row>
    <row r="71">
      <c r="A71" t="inlineStr">
        <is>
          <t>Germany</t>
        </is>
      </c>
      <c r="B71" t="inlineStr">
        <is>
          <t>DEU</t>
        </is>
      </c>
      <c r="C71" t="inlineStr">
        <is>
          <t>EXS1.DE</t>
        </is>
      </c>
      <c r="D71" t="inlineStr">
        <is>
          <t>5 Years</t>
        </is>
      </c>
      <c r="E71" s="2" t="n">
        <v>44272</v>
      </c>
      <c r="F71" s="2" t="n">
        <v>46098</v>
      </c>
      <c r="G71" t="n">
        <v>58.12792332599812</v>
      </c>
      <c r="H71" t="n">
        <v>52.78545255077054</v>
      </c>
      <c r="I71" t="inlineStr">
        <is>
          <t>Germany|EXS1.DE|5 Years</t>
        </is>
      </c>
      <c r="J71" t="inlineStr">
        <is>
          <t>EUR</t>
        </is>
      </c>
    </row>
    <row r="72">
      <c r="A72" t="inlineStr">
        <is>
          <t>Germany</t>
        </is>
      </c>
      <c r="B72" t="inlineStr">
        <is>
          <t>DEU</t>
        </is>
      </c>
      <c r="C72" t="inlineStr">
        <is>
          <t>EXS1.DE</t>
        </is>
      </c>
      <c r="D72" t="inlineStr">
        <is>
          <t>10 Years</t>
        </is>
      </c>
      <c r="E72" s="2" t="n">
        <v>42446</v>
      </c>
      <c r="F72" s="2" t="n">
        <v>46098</v>
      </c>
      <c r="G72" t="n">
        <v>124.8568112138288</v>
      </c>
      <c r="H72" t="n">
        <v>130.4808077197072</v>
      </c>
      <c r="I72" t="inlineStr">
        <is>
          <t>Germany|EXS1.DE|10 Years</t>
        </is>
      </c>
      <c r="J72" t="inlineStr">
        <is>
          <t>EUR</t>
        </is>
      </c>
    </row>
    <row r="73">
      <c r="A73" t="inlineStr">
        <is>
          <t>Germany</t>
        </is>
      </c>
      <c r="B73" t="inlineStr">
        <is>
          <t>DEU</t>
        </is>
      </c>
      <c r="C73" t="inlineStr">
        <is>
          <t>EXS1.DE</t>
        </is>
      </c>
      <c r="D73" t="inlineStr">
        <is>
          <t>MAX</t>
        </is>
      </c>
      <c r="E73" s="2" t="n">
        <v>39450</v>
      </c>
      <c r="F73" s="2" t="n">
        <v>46098</v>
      </c>
      <c r="G73" t="n">
        <v>160.5175939309102</v>
      </c>
      <c r="H73" t="n">
        <v>103.1773613207131</v>
      </c>
      <c r="I73" t="inlineStr">
        <is>
          <t>Germany|EXS1.DE|MAX</t>
        </is>
      </c>
      <c r="J73" t="inlineStr">
        <is>
          <t>EUR</t>
        </is>
      </c>
    </row>
    <row r="74">
      <c r="A74" t="inlineStr">
        <is>
          <t>Germany</t>
        </is>
      </c>
      <c r="B74" t="inlineStr">
        <is>
          <t>DEU</t>
        </is>
      </c>
      <c r="C74" t="inlineStr">
        <is>
          <t>XDAX.L</t>
        </is>
      </c>
      <c r="D74" t="inlineStr">
        <is>
          <t>YTD</t>
        </is>
      </c>
      <c r="E74" s="2" t="n">
        <v>46022</v>
      </c>
      <c r="F74" s="2" t="n">
        <v>46098</v>
      </c>
      <c r="G74" t="n">
        <v>-4.379671150971598</v>
      </c>
      <c r="H74" t="n">
        <v>-5.465011564554867</v>
      </c>
      <c r="I74" t="inlineStr">
        <is>
          <t>Germany|XDAX.L|YTD</t>
        </is>
      </c>
      <c r="J74" t="inlineStr">
        <is>
          <t>GBp</t>
        </is>
      </c>
    </row>
    <row r="75">
      <c r="A75" t="inlineStr">
        <is>
          <t>Germany</t>
        </is>
      </c>
      <c r="B75" t="inlineStr">
        <is>
          <t>DEU</t>
        </is>
      </c>
      <c r="C75" t="inlineStr">
        <is>
          <t>XDAX.L</t>
        </is>
      </c>
      <c r="D75" t="inlineStr">
        <is>
          <t>1 Month</t>
        </is>
      </c>
      <c r="E75" s="2" t="n">
        <v>46070</v>
      </c>
      <c r="F75" s="2" t="n">
        <v>46098</v>
      </c>
      <c r="G75" t="n">
        <v>-6.225262643537754</v>
      </c>
      <c r="H75" t="n">
        <v>-8.381507982086479</v>
      </c>
      <c r="I75" t="inlineStr">
        <is>
          <t>Germany|XDAX.L|1 Month</t>
        </is>
      </c>
      <c r="J75" t="inlineStr">
        <is>
          <t>GBp</t>
        </is>
      </c>
    </row>
    <row r="76">
      <c r="A76" t="inlineStr">
        <is>
          <t>Germany</t>
        </is>
      </c>
      <c r="B76" t="inlineStr">
        <is>
          <t>DEU</t>
        </is>
      </c>
      <c r="C76" t="inlineStr">
        <is>
          <t>XDAX.L</t>
        </is>
      </c>
      <c r="D76" t="inlineStr">
        <is>
          <t>3 Months</t>
        </is>
      </c>
      <c r="E76" s="2" t="n">
        <v>46008</v>
      </c>
      <c r="F76" s="2" t="n">
        <v>46098</v>
      </c>
      <c r="G76" t="n">
        <v>-2.554077383974818</v>
      </c>
      <c r="H76" t="n">
        <v>-3.357313443747556</v>
      </c>
      <c r="I76" t="inlineStr">
        <is>
          <t>Germany|XDAX.L|3 Months</t>
        </is>
      </c>
      <c r="J76" t="inlineStr">
        <is>
          <t>GBp</t>
        </is>
      </c>
    </row>
    <row r="77">
      <c r="A77" t="inlineStr">
        <is>
          <t>Germany</t>
        </is>
      </c>
      <c r="B77" t="inlineStr">
        <is>
          <t>DEU</t>
        </is>
      </c>
      <c r="C77" t="inlineStr">
        <is>
          <t>XDAX.L</t>
        </is>
      </c>
      <c r="D77" t="inlineStr">
        <is>
          <t>6 Months</t>
        </is>
      </c>
      <c r="E77" s="2" t="n">
        <v>45917</v>
      </c>
      <c r="F77" s="2" t="n">
        <v>46098</v>
      </c>
      <c r="G77" t="n">
        <v>1.122352197281051</v>
      </c>
      <c r="H77" t="n">
        <v>-1.392687499175194</v>
      </c>
      <c r="I77" t="inlineStr">
        <is>
          <t>Germany|XDAX.L|6 Months</t>
        </is>
      </c>
      <c r="J77" t="inlineStr">
        <is>
          <t>GBp</t>
        </is>
      </c>
    </row>
    <row r="78">
      <c r="A78" t="inlineStr">
        <is>
          <t>Germany</t>
        </is>
      </c>
      <c r="B78" t="inlineStr">
        <is>
          <t>DEU</t>
        </is>
      </c>
      <c r="C78" t="inlineStr">
        <is>
          <t>XDAX.L</t>
        </is>
      </c>
      <c r="D78" t="inlineStr">
        <is>
          <t>1 Year</t>
        </is>
      </c>
      <c r="E78" s="2" t="n">
        <v>45733</v>
      </c>
      <c r="F78" s="2" t="n">
        <v>46098</v>
      </c>
      <c r="G78" t="n">
        <v>4.903246966218422</v>
      </c>
      <c r="H78" t="n">
        <v>8.016524933895774</v>
      </c>
      <c r="I78" t="inlineStr">
        <is>
          <t>Germany|XDAX.L|1 Year</t>
        </is>
      </c>
      <c r="J78" t="inlineStr">
        <is>
          <t>GBp</t>
        </is>
      </c>
    </row>
    <row r="79">
      <c r="A79" t="inlineStr">
        <is>
          <t>Germany</t>
        </is>
      </c>
      <c r="B79" t="inlineStr">
        <is>
          <t>DEU</t>
        </is>
      </c>
      <c r="C79" t="inlineStr">
        <is>
          <t>XDAX.L</t>
        </is>
      </c>
      <c r="D79" t="inlineStr">
        <is>
          <t>3 Years</t>
        </is>
      </c>
      <c r="E79" s="2" t="n">
        <v>45002</v>
      </c>
      <c r="F79" s="2" t="n">
        <v>46098</v>
      </c>
      <c r="G79" t="n">
        <v>55.99902454885384</v>
      </c>
      <c r="H79" t="n">
        <v>71.50608634564205</v>
      </c>
      <c r="I79" t="inlineStr">
        <is>
          <t>Germany|XDAX.L|3 Years</t>
        </is>
      </c>
      <c r="J79" t="inlineStr">
        <is>
          <t>GBp</t>
        </is>
      </c>
    </row>
    <row r="80">
      <c r="A80" t="inlineStr">
        <is>
          <t>Germany</t>
        </is>
      </c>
      <c r="B80" t="inlineStr">
        <is>
          <t>DEU</t>
        </is>
      </c>
      <c r="C80" t="inlineStr">
        <is>
          <t>XDAX.L</t>
        </is>
      </c>
      <c r="D80" t="inlineStr">
        <is>
          <t>5 Years</t>
        </is>
      </c>
      <c r="E80" s="2" t="n">
        <v>44272</v>
      </c>
      <c r="F80" s="2" t="n">
        <v>46098</v>
      </c>
      <c r="G80" t="n">
        <v>59.72534332084894</v>
      </c>
      <c r="H80" t="n">
        <v>52.97113198544145</v>
      </c>
      <c r="I80" t="inlineStr">
        <is>
          <t>Germany|XDAX.L|5 Years</t>
        </is>
      </c>
      <c r="J80" t="inlineStr">
        <is>
          <t>GBp</t>
        </is>
      </c>
    </row>
    <row r="81">
      <c r="A81" t="inlineStr">
        <is>
          <t>Germany</t>
        </is>
      </c>
      <c r="B81" t="inlineStr">
        <is>
          <t>DEU</t>
        </is>
      </c>
      <c r="C81" t="inlineStr">
        <is>
          <t>XDAX.L</t>
        </is>
      </c>
      <c r="D81" t="inlineStr">
        <is>
          <t>10 Years</t>
        </is>
      </c>
      <c r="E81" s="2" t="n">
        <v>42446</v>
      </c>
      <c r="F81" s="2" t="n">
        <v>46098</v>
      </c>
      <c r="G81" t="n">
        <v>97.59154814726855</v>
      </c>
      <c r="H81" t="n">
        <v>84.55066568720839</v>
      </c>
      <c r="I81" t="inlineStr">
        <is>
          <t>Germany|XDAX.L|10 Years</t>
        </is>
      </c>
      <c r="J81" t="inlineStr">
        <is>
          <t>GBp</t>
        </is>
      </c>
    </row>
    <row r="82">
      <c r="A82" t="inlineStr">
        <is>
          <t>Germany</t>
        </is>
      </c>
      <c r="B82" t="inlineStr">
        <is>
          <t>DEU</t>
        </is>
      </c>
      <c r="C82" t="inlineStr">
        <is>
          <t>XDAX.L</t>
        </is>
      </c>
      <c r="D82" t="inlineStr">
        <is>
          <t>MAX</t>
        </is>
      </c>
      <c r="E82" s="2" t="n">
        <v>39818</v>
      </c>
      <c r="F82" s="2" t="n">
        <v>46098</v>
      </c>
      <c r="G82" t="n">
        <v>285.6983585392572</v>
      </c>
      <c r="H82" t="n">
        <v>248.9602955699687</v>
      </c>
      <c r="I82" t="inlineStr">
        <is>
          <t>Germany|XDAX.L|MAX</t>
        </is>
      </c>
      <c r="J82" t="inlineStr">
        <is>
          <t>GBp</t>
        </is>
      </c>
    </row>
    <row r="83">
      <c r="A83" t="inlineStr">
        <is>
          <t>Greece</t>
        </is>
      </c>
      <c r="B83" t="inlineStr">
        <is>
          <t>GRC</t>
        </is>
      </c>
      <c r="C83" t="inlineStr">
        <is>
          <t>GREK</t>
        </is>
      </c>
      <c r="D83" t="inlineStr">
        <is>
          <t>YTD</t>
        </is>
      </c>
      <c r="E83" s="2" t="n">
        <v>46022</v>
      </c>
      <c r="F83" s="2" t="n">
        <v>46098</v>
      </c>
      <c r="G83" t="n">
        <v>-2.366871645138602</v>
      </c>
      <c r="H83" t="n">
        <v>-2.366871645138602</v>
      </c>
      <c r="I83" t="inlineStr">
        <is>
          <t>Greece|GREK|YTD</t>
        </is>
      </c>
      <c r="J83" t="inlineStr">
        <is>
          <t>USD</t>
        </is>
      </c>
    </row>
    <row r="84">
      <c r="A84" t="inlineStr">
        <is>
          <t>Greece</t>
        </is>
      </c>
      <c r="B84" t="inlineStr">
        <is>
          <t>GRC</t>
        </is>
      </c>
      <c r="C84" t="inlineStr">
        <is>
          <t>GREK</t>
        </is>
      </c>
      <c r="D84" t="inlineStr">
        <is>
          <t>1 Month</t>
        </is>
      </c>
      <c r="E84" s="2" t="n">
        <v>46070</v>
      </c>
      <c r="F84" s="2" t="n">
        <v>46098</v>
      </c>
      <c r="G84" t="n">
        <v>-8.930094623490593</v>
      </c>
      <c r="H84" t="n">
        <v>-8.930094623490593</v>
      </c>
      <c r="I84" t="inlineStr">
        <is>
          <t>Greece|GREK|1 Month</t>
        </is>
      </c>
      <c r="J84" t="inlineStr">
        <is>
          <t>USD</t>
        </is>
      </c>
    </row>
    <row r="85">
      <c r="A85" t="inlineStr">
        <is>
          <t>Greece</t>
        </is>
      </c>
      <c r="B85" t="inlineStr">
        <is>
          <t>GRC</t>
        </is>
      </c>
      <c r="C85" t="inlineStr">
        <is>
          <t>GREK</t>
        </is>
      </c>
      <c r="D85" t="inlineStr">
        <is>
          <t>3 Months</t>
        </is>
      </c>
      <c r="E85" s="2" t="n">
        <v>46008</v>
      </c>
      <c r="F85" s="2" t="n">
        <v>46098</v>
      </c>
      <c r="G85" t="n">
        <v>-0.8246229634878199</v>
      </c>
      <c r="H85" t="n">
        <v>-0.8246229634878199</v>
      </c>
      <c r="I85" t="inlineStr">
        <is>
          <t>Greece|GREK|3 Months</t>
        </is>
      </c>
      <c r="J85" t="inlineStr">
        <is>
          <t>USD</t>
        </is>
      </c>
    </row>
    <row r="86">
      <c r="A86" t="inlineStr">
        <is>
          <t>Greece</t>
        </is>
      </c>
      <c r="B86" t="inlineStr">
        <is>
          <t>GRC</t>
        </is>
      </c>
      <c r="C86" t="inlineStr">
        <is>
          <t>GREK</t>
        </is>
      </c>
      <c r="D86" t="inlineStr">
        <is>
          <t>6 Months</t>
        </is>
      </c>
      <c r="E86" s="2" t="n">
        <v>45917</v>
      </c>
      <c r="F86" s="2" t="n">
        <v>46098</v>
      </c>
      <c r="G86" t="n">
        <v>2.501854807886872</v>
      </c>
      <c r="H86" t="n">
        <v>2.501854807886872</v>
      </c>
      <c r="I86" t="inlineStr">
        <is>
          <t>Greece|GREK|6 Months</t>
        </is>
      </c>
      <c r="J86" t="inlineStr">
        <is>
          <t>USD</t>
        </is>
      </c>
    </row>
    <row r="87">
      <c r="A87" t="inlineStr">
        <is>
          <t>Greece</t>
        </is>
      </c>
      <c r="B87" t="inlineStr">
        <is>
          <t>GRC</t>
        </is>
      </c>
      <c r="C87" t="inlineStr">
        <is>
          <t>GREK</t>
        </is>
      </c>
      <c r="D87" t="inlineStr">
        <is>
          <t>1 Year</t>
        </is>
      </c>
      <c r="E87" s="2" t="n">
        <v>45733</v>
      </c>
      <c r="F87" s="2" t="n">
        <v>46098</v>
      </c>
      <c r="G87" t="n">
        <v>37.26416802359298</v>
      </c>
      <c r="H87" t="n">
        <v>37.26416802359298</v>
      </c>
      <c r="I87" t="inlineStr">
        <is>
          <t>Greece|GREK|1 Year</t>
        </is>
      </c>
      <c r="J87" t="inlineStr">
        <is>
          <t>USD</t>
        </is>
      </c>
    </row>
    <row r="88">
      <c r="A88" t="inlineStr">
        <is>
          <t>Greece</t>
        </is>
      </c>
      <c r="B88" t="inlineStr">
        <is>
          <t>GRC</t>
        </is>
      </c>
      <c r="C88" t="inlineStr">
        <is>
          <t>GREK</t>
        </is>
      </c>
      <c r="D88" t="inlineStr">
        <is>
          <t>3 Years</t>
        </is>
      </c>
      <c r="E88" s="2" t="n">
        <v>45002</v>
      </c>
      <c r="F88" s="2" t="n">
        <v>46098</v>
      </c>
      <c r="G88" t="n">
        <v>148.3719523614892</v>
      </c>
      <c r="H88" t="n">
        <v>148.3719523614892</v>
      </c>
      <c r="I88" t="inlineStr">
        <is>
          <t>Greece|GREK|3 Years</t>
        </is>
      </c>
      <c r="J88" t="inlineStr">
        <is>
          <t>USD</t>
        </is>
      </c>
    </row>
    <row r="89">
      <c r="A89" t="inlineStr">
        <is>
          <t>Greece</t>
        </is>
      </c>
      <c r="B89" t="inlineStr">
        <is>
          <t>GRC</t>
        </is>
      </c>
      <c r="C89" t="inlineStr">
        <is>
          <t>GREK</t>
        </is>
      </c>
      <c r="D89" t="inlineStr">
        <is>
          <t>5 Years</t>
        </is>
      </c>
      <c r="E89" s="2" t="n">
        <v>44272</v>
      </c>
      <c r="F89" s="2" t="n">
        <v>46098</v>
      </c>
      <c r="G89" t="n">
        <v>179.6290436183398</v>
      </c>
      <c r="H89" t="n">
        <v>179.6290436183398</v>
      </c>
      <c r="I89" t="inlineStr">
        <is>
          <t>Greece|GREK|5 Years</t>
        </is>
      </c>
      <c r="J89" t="inlineStr">
        <is>
          <t>USD</t>
        </is>
      </c>
    </row>
    <row r="90">
      <c r="A90" t="inlineStr">
        <is>
          <t>Greece</t>
        </is>
      </c>
      <c r="B90" t="inlineStr">
        <is>
          <t>GRC</t>
        </is>
      </c>
      <c r="C90" t="inlineStr">
        <is>
          <t>GREK</t>
        </is>
      </c>
      <c r="D90" t="inlineStr">
        <is>
          <t>10 Years</t>
        </is>
      </c>
      <c r="E90" s="2" t="n">
        <v>42446</v>
      </c>
      <c r="F90" s="2" t="n">
        <v>46098</v>
      </c>
      <c r="G90" t="n">
        <v>276.3096019930685</v>
      </c>
      <c r="H90" t="n">
        <v>276.3096019930685</v>
      </c>
      <c r="I90" t="inlineStr">
        <is>
          <t>Greece|GREK|10 Years</t>
        </is>
      </c>
      <c r="J90" t="inlineStr">
        <is>
          <t>USD</t>
        </is>
      </c>
    </row>
    <row r="91">
      <c r="A91" t="inlineStr">
        <is>
          <t>Greece</t>
        </is>
      </c>
      <c r="B91" t="inlineStr">
        <is>
          <t>GRC</t>
        </is>
      </c>
      <c r="C91" t="inlineStr">
        <is>
          <t>GREK</t>
        </is>
      </c>
      <c r="D91" t="inlineStr">
        <is>
          <t>MAX</t>
        </is>
      </c>
      <c r="E91" s="2" t="n">
        <v>40886</v>
      </c>
      <c r="F91" s="2" t="n">
        <v>46098</v>
      </c>
      <c r="G91" t="n">
        <v>95.82596957790011</v>
      </c>
      <c r="H91" t="n">
        <v>95.82596957790011</v>
      </c>
      <c r="I91" t="inlineStr">
        <is>
          <t>Greece|GREK|MAX</t>
        </is>
      </c>
      <c r="J91" t="inlineStr">
        <is>
          <t>USD</t>
        </is>
      </c>
    </row>
    <row r="92">
      <c r="A92" t="inlineStr">
        <is>
          <t>Hong Kong</t>
        </is>
      </c>
      <c r="B92" t="inlineStr">
        <is>
          <t>HKG</t>
        </is>
      </c>
      <c r="C92" t="inlineStr">
        <is>
          <t>EWH</t>
        </is>
      </c>
      <c r="D92" t="inlineStr">
        <is>
          <t>YTD</t>
        </is>
      </c>
      <c r="E92" s="2" t="n">
        <v>46022</v>
      </c>
      <c r="F92" s="2" t="n">
        <v>46098</v>
      </c>
      <c r="G92" t="n">
        <v>8.188234217026658</v>
      </c>
      <c r="H92" t="n">
        <v>8.188234217026658</v>
      </c>
      <c r="I92" t="inlineStr">
        <is>
          <t>Hong Kong|EWH|YTD</t>
        </is>
      </c>
      <c r="J92" t="inlineStr">
        <is>
          <t>USD</t>
        </is>
      </c>
    </row>
    <row r="93">
      <c r="A93" t="inlineStr">
        <is>
          <t>Hong Kong</t>
        </is>
      </c>
      <c r="B93" t="inlineStr">
        <is>
          <t>HKG</t>
        </is>
      </c>
      <c r="C93" t="inlineStr">
        <is>
          <t>EWH</t>
        </is>
      </c>
      <c r="D93" t="inlineStr">
        <is>
          <t>1 Month</t>
        </is>
      </c>
      <c r="E93" s="2" t="n">
        <v>46070</v>
      </c>
      <c r="F93" s="2" t="n">
        <v>46098</v>
      </c>
      <c r="G93" t="n">
        <v>-1.877936527215573</v>
      </c>
      <c r="H93" t="n">
        <v>-1.877936527215573</v>
      </c>
      <c r="I93" t="inlineStr">
        <is>
          <t>Hong Kong|EWH|1 Month</t>
        </is>
      </c>
      <c r="J93" t="inlineStr">
        <is>
          <t>USD</t>
        </is>
      </c>
    </row>
    <row r="94">
      <c r="A94" t="inlineStr">
        <is>
          <t>Hong Kong</t>
        </is>
      </c>
      <c r="B94" t="inlineStr">
        <is>
          <t>HKG</t>
        </is>
      </c>
      <c r="C94" t="inlineStr">
        <is>
          <t>EWH</t>
        </is>
      </c>
      <c r="D94" t="inlineStr">
        <is>
          <t>3 Months</t>
        </is>
      </c>
      <c r="E94" s="2" t="n">
        <v>46008</v>
      </c>
      <c r="F94" s="2" t="n">
        <v>46098</v>
      </c>
      <c r="G94" t="n">
        <v>9.112482696264991</v>
      </c>
      <c r="H94" t="n">
        <v>9.112482696264991</v>
      </c>
      <c r="I94" t="inlineStr">
        <is>
          <t>Hong Kong|EWH|3 Months</t>
        </is>
      </c>
      <c r="J94" t="inlineStr">
        <is>
          <t>USD</t>
        </is>
      </c>
    </row>
    <row r="95">
      <c r="A95" t="inlineStr">
        <is>
          <t>Hong Kong</t>
        </is>
      </c>
      <c r="B95" t="inlineStr">
        <is>
          <t>HKG</t>
        </is>
      </c>
      <c r="C95" t="inlineStr">
        <is>
          <t>EWH</t>
        </is>
      </c>
      <c r="D95" t="inlineStr">
        <is>
          <t>6 Months</t>
        </is>
      </c>
      <c r="E95" s="2" t="n">
        <v>45917</v>
      </c>
      <c r="F95" s="2" t="n">
        <v>46098</v>
      </c>
      <c r="G95" t="n">
        <v>8.844665700854693</v>
      </c>
      <c r="H95" t="n">
        <v>8.844665700854693</v>
      </c>
      <c r="I95" t="inlineStr">
        <is>
          <t>Hong Kong|EWH|6 Months</t>
        </is>
      </c>
      <c r="J95" t="inlineStr">
        <is>
          <t>USD</t>
        </is>
      </c>
    </row>
    <row r="96">
      <c r="A96" t="inlineStr">
        <is>
          <t>Hong Kong</t>
        </is>
      </c>
      <c r="B96" t="inlineStr">
        <is>
          <t>HKG</t>
        </is>
      </c>
      <c r="C96" t="inlineStr">
        <is>
          <t>EWH</t>
        </is>
      </c>
      <c r="D96" t="inlineStr">
        <is>
          <t>1 Year</t>
        </is>
      </c>
      <c r="E96" s="2" t="n">
        <v>45733</v>
      </c>
      <c r="F96" s="2" t="n">
        <v>46098</v>
      </c>
      <c r="G96" t="n">
        <v>31.82406675054377</v>
      </c>
      <c r="H96" t="n">
        <v>31.82406675054377</v>
      </c>
      <c r="I96" t="inlineStr">
        <is>
          <t>Hong Kong|EWH|1 Year</t>
        </is>
      </c>
      <c r="J96" t="inlineStr">
        <is>
          <t>USD</t>
        </is>
      </c>
    </row>
    <row r="97">
      <c r="A97" t="inlineStr">
        <is>
          <t>Hong Kong</t>
        </is>
      </c>
      <c r="B97" t="inlineStr">
        <is>
          <t>HKG</t>
        </is>
      </c>
      <c r="C97" t="inlineStr">
        <is>
          <t>EWH</t>
        </is>
      </c>
      <c r="D97" t="inlineStr">
        <is>
          <t>3 Years</t>
        </is>
      </c>
      <c r="E97" s="2" t="n">
        <v>45002</v>
      </c>
      <c r="F97" s="2" t="n">
        <v>46098</v>
      </c>
      <c r="G97" t="n">
        <v>31.73291228513475</v>
      </c>
      <c r="H97" t="n">
        <v>31.73291228513475</v>
      </c>
      <c r="I97" t="inlineStr">
        <is>
          <t>Hong Kong|EWH|3 Years</t>
        </is>
      </c>
      <c r="J97" t="inlineStr">
        <is>
          <t>USD</t>
        </is>
      </c>
    </row>
    <row r="98">
      <c r="A98" t="inlineStr">
        <is>
          <t>Hong Kong</t>
        </is>
      </c>
      <c r="B98" t="inlineStr">
        <is>
          <t>HKG</t>
        </is>
      </c>
      <c r="C98" t="inlineStr">
        <is>
          <t>EWH</t>
        </is>
      </c>
      <c r="D98" t="inlineStr">
        <is>
          <t>5 Years</t>
        </is>
      </c>
      <c r="E98" s="2" t="n">
        <v>44272</v>
      </c>
      <c r="F98" s="2" t="n">
        <v>46098</v>
      </c>
      <c r="G98" t="n">
        <v>2.795377910531882</v>
      </c>
      <c r="H98" t="n">
        <v>2.795377910531882</v>
      </c>
      <c r="I98" t="inlineStr">
        <is>
          <t>Hong Kong|EWH|5 Years</t>
        </is>
      </c>
      <c r="J98" t="inlineStr">
        <is>
          <t>USD</t>
        </is>
      </c>
    </row>
    <row r="99">
      <c r="A99" t="inlineStr">
        <is>
          <t>Hong Kong</t>
        </is>
      </c>
      <c r="B99" t="inlineStr">
        <is>
          <t>HKG</t>
        </is>
      </c>
      <c r="C99" t="inlineStr">
        <is>
          <t>EWH</t>
        </is>
      </c>
      <c r="D99" t="inlineStr">
        <is>
          <t>10 Years</t>
        </is>
      </c>
      <c r="E99" s="2" t="n">
        <v>42446</v>
      </c>
      <c r="F99" s="2" t="n">
        <v>46098</v>
      </c>
      <c r="G99" t="n">
        <v>68.07529334333135</v>
      </c>
      <c r="H99" t="n">
        <v>68.07529334333135</v>
      </c>
      <c r="I99" t="inlineStr">
        <is>
          <t>Hong Kong|EWH|10 Years</t>
        </is>
      </c>
      <c r="J99" t="inlineStr">
        <is>
          <t>USD</t>
        </is>
      </c>
    </row>
    <row r="100">
      <c r="A100" t="inlineStr">
        <is>
          <t>Hong Kong</t>
        </is>
      </c>
      <c r="B100" t="inlineStr">
        <is>
          <t>HKG</t>
        </is>
      </c>
      <c r="C100" t="inlineStr">
        <is>
          <t>EWH</t>
        </is>
      </c>
      <c r="D100" t="inlineStr">
        <is>
          <t>MAX</t>
        </is>
      </c>
      <c r="E100" s="2" t="n">
        <v>35143</v>
      </c>
      <c r="F100" s="2" t="n">
        <v>46098</v>
      </c>
      <c r="G100" t="n">
        <v>339.411521419313</v>
      </c>
      <c r="H100" t="n">
        <v>339.411521419313</v>
      </c>
      <c r="I100" t="inlineStr">
        <is>
          <t>Hong Kong|EWH|MAX</t>
        </is>
      </c>
      <c r="J100" t="inlineStr">
        <is>
          <t>USD</t>
        </is>
      </c>
    </row>
    <row r="101">
      <c r="A101" t="inlineStr">
        <is>
          <t>India</t>
        </is>
      </c>
      <c r="B101" t="inlineStr">
        <is>
          <t>IND</t>
        </is>
      </c>
      <c r="C101" t="inlineStr">
        <is>
          <t>LYINR.SW</t>
        </is>
      </c>
      <c r="D101" t="inlineStr">
        <is>
          <t>YTD</t>
        </is>
      </c>
      <c r="E101" s="2" t="n">
        <v>46021</v>
      </c>
      <c r="F101" s="2" t="n">
        <v>46098</v>
      </c>
      <c r="G101" t="n">
        <v>-10.97013250687655</v>
      </c>
      <c r="H101" t="n">
        <v>-10.97013250687655</v>
      </c>
      <c r="I101" t="inlineStr">
        <is>
          <t>India|LYINR.SW|YTD</t>
        </is>
      </c>
      <c r="J101" t="inlineStr">
        <is>
          <t>USD</t>
        </is>
      </c>
    </row>
    <row r="102">
      <c r="A102" t="inlineStr">
        <is>
          <t>India</t>
        </is>
      </c>
      <c r="B102" t="inlineStr">
        <is>
          <t>IND</t>
        </is>
      </c>
      <c r="C102" t="inlineStr">
        <is>
          <t>LYINR.SW</t>
        </is>
      </c>
      <c r="D102" t="inlineStr">
        <is>
          <t>1 Month</t>
        </is>
      </c>
      <c r="E102" s="2" t="n">
        <v>46070</v>
      </c>
      <c r="F102" s="2" t="n">
        <v>46098</v>
      </c>
      <c r="G102" t="n">
        <v>-9.385825329878195</v>
      </c>
      <c r="H102" t="n">
        <v>-9.385825329878195</v>
      </c>
      <c r="I102" t="inlineStr">
        <is>
          <t>India|LYINR.SW|1 Month</t>
        </is>
      </c>
      <c r="J102" t="inlineStr">
        <is>
          <t>USD</t>
        </is>
      </c>
    </row>
    <row r="103">
      <c r="A103" t="inlineStr">
        <is>
          <t>India</t>
        </is>
      </c>
      <c r="B103" t="inlineStr">
        <is>
          <t>IND</t>
        </is>
      </c>
      <c r="C103" t="inlineStr">
        <is>
          <t>LYINR.SW</t>
        </is>
      </c>
      <c r="D103" t="inlineStr">
        <is>
          <t>3 Months</t>
        </is>
      </c>
      <c r="E103" s="2" t="n">
        <v>46008</v>
      </c>
      <c r="F103" s="2" t="n">
        <v>46098</v>
      </c>
      <c r="G103" t="n">
        <v>-9.599372292029484</v>
      </c>
      <c r="H103" t="n">
        <v>-9.599372292029484</v>
      </c>
      <c r="I103" t="inlineStr">
        <is>
          <t>India|LYINR.SW|3 Months</t>
        </is>
      </c>
      <c r="J103" t="inlineStr">
        <is>
          <t>USD</t>
        </is>
      </c>
    </row>
    <row r="104">
      <c r="A104" t="inlineStr">
        <is>
          <t>India</t>
        </is>
      </c>
      <c r="B104" t="inlineStr">
        <is>
          <t>IND</t>
        </is>
      </c>
      <c r="C104" t="inlineStr">
        <is>
          <t>LYINR.SW</t>
        </is>
      </c>
      <c r="D104" t="inlineStr">
        <is>
          <t>6 Months</t>
        </is>
      </c>
      <c r="E104" s="2" t="n">
        <v>45917</v>
      </c>
      <c r="F104" s="2" t="n">
        <v>46098</v>
      </c>
      <c r="G104" t="n">
        <v>-11.58574170772292</v>
      </c>
      <c r="H104" t="n">
        <v>-11.58574170772292</v>
      </c>
      <c r="I104" t="inlineStr">
        <is>
          <t>India|LYINR.SW|6 Months</t>
        </is>
      </c>
      <c r="J104" t="inlineStr">
        <is>
          <t>USD</t>
        </is>
      </c>
    </row>
    <row r="105">
      <c r="A105" t="inlineStr">
        <is>
          <t>India</t>
        </is>
      </c>
      <c r="B105" t="inlineStr">
        <is>
          <t>IND</t>
        </is>
      </c>
      <c r="C105" t="inlineStr">
        <is>
          <t>LYINR.SW</t>
        </is>
      </c>
      <c r="D105" t="inlineStr">
        <is>
          <t>1 Year</t>
        </is>
      </c>
      <c r="E105" s="2" t="n">
        <v>45733</v>
      </c>
      <c r="F105" s="2" t="n">
        <v>46098</v>
      </c>
      <c r="G105" t="n">
        <v>-1.607384805176137</v>
      </c>
      <c r="H105" t="n">
        <v>-1.607384805176137</v>
      </c>
      <c r="I105" t="inlineStr">
        <is>
          <t>India|LYINR.SW|1 Year</t>
        </is>
      </c>
      <c r="J105" t="inlineStr">
        <is>
          <t>USD</t>
        </is>
      </c>
    </row>
    <row r="106">
      <c r="A106" t="inlineStr">
        <is>
          <t>India</t>
        </is>
      </c>
      <c r="B106" t="inlineStr">
        <is>
          <t>IND</t>
        </is>
      </c>
      <c r="C106" t="inlineStr">
        <is>
          <t>LYINR.SW</t>
        </is>
      </c>
      <c r="D106" t="inlineStr">
        <is>
          <t>3 Years</t>
        </is>
      </c>
      <c r="E106" s="2" t="n">
        <v>45002</v>
      </c>
      <c r="F106" s="2" t="n">
        <v>46098</v>
      </c>
      <c r="G106" t="n">
        <v>27.16022301773999</v>
      </c>
      <c r="H106" t="n">
        <v>27.16022301773999</v>
      </c>
      <c r="I106" t="inlineStr">
        <is>
          <t>India|LYINR.SW|3 Years</t>
        </is>
      </c>
      <c r="J106" t="inlineStr">
        <is>
          <t>USD</t>
        </is>
      </c>
    </row>
    <row r="107">
      <c r="A107" t="inlineStr">
        <is>
          <t>India</t>
        </is>
      </c>
      <c r="B107" t="inlineStr">
        <is>
          <t>IND</t>
        </is>
      </c>
      <c r="C107" t="inlineStr">
        <is>
          <t>LYINR.SW</t>
        </is>
      </c>
      <c r="D107" t="inlineStr">
        <is>
          <t>5 Years</t>
        </is>
      </c>
      <c r="E107" s="2" t="n">
        <v>44272</v>
      </c>
      <c r="F107" s="2" t="n">
        <v>46098</v>
      </c>
      <c r="G107" t="n">
        <v>24.68038789394498</v>
      </c>
      <c r="H107" t="n">
        <v>24.68038789394498</v>
      </c>
      <c r="I107" t="inlineStr">
        <is>
          <t>India|LYINR.SW|5 Years</t>
        </is>
      </c>
      <c r="J107" t="inlineStr">
        <is>
          <t>USD</t>
        </is>
      </c>
    </row>
    <row r="108">
      <c r="A108" t="inlineStr">
        <is>
          <t>India</t>
        </is>
      </c>
      <c r="B108" t="inlineStr">
        <is>
          <t>IND</t>
        </is>
      </c>
      <c r="C108" t="inlineStr">
        <is>
          <t>LYINR.SW</t>
        </is>
      </c>
      <c r="D108" t="inlineStr">
        <is>
          <t>10 Years</t>
        </is>
      </c>
      <c r="E108" s="2" t="n">
        <v>42446</v>
      </c>
      <c r="F108" s="2" t="n">
        <v>46098</v>
      </c>
      <c r="G108" t="n">
        <v>101.1888117064788</v>
      </c>
      <c r="H108" t="n">
        <v>101.1888117064788</v>
      </c>
      <c r="I108" t="inlineStr">
        <is>
          <t>India|LYINR.SW|10 Years</t>
        </is>
      </c>
      <c r="J108" t="inlineStr">
        <is>
          <t>USD</t>
        </is>
      </c>
    </row>
    <row r="109">
      <c r="A109" t="inlineStr">
        <is>
          <t>India</t>
        </is>
      </c>
      <c r="B109" t="inlineStr">
        <is>
          <t>IND</t>
        </is>
      </c>
      <c r="C109" t="inlineStr">
        <is>
          <t>LYINR.SW</t>
        </is>
      </c>
      <c r="D109" t="inlineStr">
        <is>
          <t>MAX</t>
        </is>
      </c>
      <c r="E109" s="2" t="n">
        <v>39819</v>
      </c>
      <c r="F109" s="2" t="n">
        <v>46098</v>
      </c>
      <c r="G109" t="n">
        <v>240.4733858836109</v>
      </c>
      <c r="H109" t="n">
        <v>240.4733858836109</v>
      </c>
      <c r="I109" t="inlineStr">
        <is>
          <t>India|LYINR.SW|MAX</t>
        </is>
      </c>
      <c r="J109" t="inlineStr">
        <is>
          <t>USD</t>
        </is>
      </c>
    </row>
    <row r="110">
      <c r="A110" t="inlineStr">
        <is>
          <t>Indonesia</t>
        </is>
      </c>
      <c r="B110" t="inlineStr">
        <is>
          <t>IDN</t>
        </is>
      </c>
      <c r="C110" t="inlineStr">
        <is>
          <t>INDO.PA</t>
        </is>
      </c>
      <c r="D110" t="inlineStr">
        <is>
          <t>YTD</t>
        </is>
      </c>
      <c r="E110" s="2" t="n">
        <v>46022</v>
      </c>
      <c r="F110" s="2" t="n">
        <v>46098</v>
      </c>
      <c r="G110" t="n">
        <v>-19.21357166697509</v>
      </c>
      <c r="H110" t="n">
        <v>-20.91737306707378</v>
      </c>
      <c r="I110" t="inlineStr">
        <is>
          <t>Indonesia|INDO.PA|YTD</t>
        </is>
      </c>
      <c r="J110" t="inlineStr">
        <is>
          <t>EUR</t>
        </is>
      </c>
    </row>
    <row r="111">
      <c r="A111" t="inlineStr">
        <is>
          <t>Indonesia</t>
        </is>
      </c>
      <c r="B111" t="inlineStr">
        <is>
          <t>IDN</t>
        </is>
      </c>
      <c r="C111" t="inlineStr">
        <is>
          <t>INDO.PA</t>
        </is>
      </c>
      <c r="D111" t="inlineStr">
        <is>
          <t>1 Month</t>
        </is>
      </c>
      <c r="E111" s="2" t="n">
        <v>46070</v>
      </c>
      <c r="F111" s="2" t="n">
        <v>46098</v>
      </c>
      <c r="G111" t="n">
        <v>-13.16003767362027</v>
      </c>
      <c r="H111" t="n">
        <v>-15.72748698132065</v>
      </c>
      <c r="I111" t="inlineStr">
        <is>
          <t>Indonesia|INDO.PA|1 Month</t>
        </is>
      </c>
      <c r="J111" t="inlineStr">
        <is>
          <t>EUR</t>
        </is>
      </c>
    </row>
    <row r="112">
      <c r="A112" t="inlineStr">
        <is>
          <t>Indonesia</t>
        </is>
      </c>
      <c r="B112" t="inlineStr">
        <is>
          <t>IDN</t>
        </is>
      </c>
      <c r="C112" t="inlineStr">
        <is>
          <t>INDO.PA</t>
        </is>
      </c>
      <c r="D112" t="inlineStr">
        <is>
          <t>3 Months</t>
        </is>
      </c>
      <c r="E112" s="2" t="n">
        <v>46008</v>
      </c>
      <c r="F112" s="2" t="n">
        <v>46098</v>
      </c>
      <c r="G112" t="n">
        <v>-18.39216357023108</v>
      </c>
      <c r="H112" t="n">
        <v>-20.12829950892413</v>
      </c>
      <c r="I112" t="inlineStr">
        <is>
          <t>Indonesia|INDO.PA|3 Months</t>
        </is>
      </c>
      <c r="J112" t="inlineStr">
        <is>
          <t>EUR</t>
        </is>
      </c>
    </row>
    <row r="113">
      <c r="A113" t="inlineStr">
        <is>
          <t>Indonesia</t>
        </is>
      </c>
      <c r="B113" t="inlineStr">
        <is>
          <t>IDN</t>
        </is>
      </c>
      <c r="C113" t="inlineStr">
        <is>
          <t>INDO.PA</t>
        </is>
      </c>
      <c r="D113" t="inlineStr">
        <is>
          <t>6 Months</t>
        </is>
      </c>
      <c r="E113" s="2" t="n">
        <v>45917</v>
      </c>
      <c r="F113" s="2" t="n">
        <v>46098</v>
      </c>
      <c r="G113" t="n">
        <v>-17.87967178685255</v>
      </c>
      <c r="H113" t="n">
        <v>-20.45206857081065</v>
      </c>
      <c r="I113" t="inlineStr">
        <is>
          <t>Indonesia|INDO.PA|6 Months</t>
        </is>
      </c>
      <c r="J113" t="inlineStr">
        <is>
          <t>EUR</t>
        </is>
      </c>
    </row>
    <row r="114">
      <c r="A114" t="inlineStr">
        <is>
          <t>Indonesia</t>
        </is>
      </c>
      <c r="B114" t="inlineStr">
        <is>
          <t>IDN</t>
        </is>
      </c>
      <c r="C114" t="inlineStr">
        <is>
          <t>INDO.PA</t>
        </is>
      </c>
      <c r="D114" t="inlineStr">
        <is>
          <t>1 Year</t>
        </is>
      </c>
      <c r="E114" s="2" t="n">
        <v>45733</v>
      </c>
      <c r="F114" s="2" t="n">
        <v>46098</v>
      </c>
      <c r="G114" t="n">
        <v>-16.86793184669081</v>
      </c>
      <c r="H114" t="n">
        <v>-12.14443929635506</v>
      </c>
      <c r="I114" t="inlineStr">
        <is>
          <t>Indonesia|INDO.PA|1 Year</t>
        </is>
      </c>
      <c r="J114" t="inlineStr">
        <is>
          <t>EUR</t>
        </is>
      </c>
    </row>
    <row r="115">
      <c r="A115" t="inlineStr">
        <is>
          <t>Indonesia</t>
        </is>
      </c>
      <c r="B115" t="inlineStr">
        <is>
          <t>IDN</t>
        </is>
      </c>
      <c r="C115" t="inlineStr">
        <is>
          <t>INDO.PA</t>
        </is>
      </c>
      <c r="D115" t="inlineStr">
        <is>
          <t>3 Years</t>
        </is>
      </c>
      <c r="E115" s="2" t="n">
        <v>45002</v>
      </c>
      <c r="F115" s="2" t="n">
        <v>46098</v>
      </c>
      <c r="G115" t="n">
        <v>-32.96203166125391</v>
      </c>
      <c r="H115" t="n">
        <v>-27.36988554937475</v>
      </c>
      <c r="I115" t="inlineStr">
        <is>
          <t>Indonesia|INDO.PA|3 Years</t>
        </is>
      </c>
      <c r="J115" t="inlineStr">
        <is>
          <t>EUR</t>
        </is>
      </c>
    </row>
    <row r="116">
      <c r="A116" t="inlineStr">
        <is>
          <t>Indonesia</t>
        </is>
      </c>
      <c r="B116" t="inlineStr">
        <is>
          <t>IDN</t>
        </is>
      </c>
      <c r="C116" t="inlineStr">
        <is>
          <t>INDO.PA</t>
        </is>
      </c>
      <c r="D116" t="inlineStr">
        <is>
          <t>5 Years</t>
        </is>
      </c>
      <c r="E116" s="2" t="n">
        <v>44272</v>
      </c>
      <c r="F116" s="2" t="n">
        <v>46098</v>
      </c>
      <c r="G116" t="n">
        <v>-20.26210483052505</v>
      </c>
      <c r="H116" t="n">
        <v>-22.95610956834002</v>
      </c>
      <c r="I116" t="inlineStr">
        <is>
          <t>Indonesia|INDO.PA|5 Years</t>
        </is>
      </c>
      <c r="J116" t="inlineStr">
        <is>
          <t>EUR</t>
        </is>
      </c>
    </row>
    <row r="117">
      <c r="A117" t="inlineStr">
        <is>
          <t>Indonesia</t>
        </is>
      </c>
      <c r="B117" t="inlineStr">
        <is>
          <t>IDN</t>
        </is>
      </c>
      <c r="C117" t="inlineStr">
        <is>
          <t>INDO.PA</t>
        </is>
      </c>
      <c r="D117" t="inlineStr">
        <is>
          <t>10 Years</t>
        </is>
      </c>
      <c r="E117" s="2" t="n">
        <v>42446</v>
      </c>
      <c r="F117" s="2" t="n">
        <v>46098</v>
      </c>
      <c r="G117" t="n">
        <v>-16.25707809651679</v>
      </c>
      <c r="H117" t="n">
        <v>-14.16254559098654</v>
      </c>
      <c r="I117" t="inlineStr">
        <is>
          <t>Indonesia|INDO.PA|10 Years</t>
        </is>
      </c>
      <c r="J117" t="inlineStr">
        <is>
          <t>EUR</t>
        </is>
      </c>
    </row>
    <row r="118">
      <c r="A118" t="inlineStr">
        <is>
          <t>Indonesia</t>
        </is>
      </c>
      <c r="B118" t="inlineStr">
        <is>
          <t>IDN</t>
        </is>
      </c>
      <c r="C118" t="inlineStr">
        <is>
          <t>INDO.PA</t>
        </is>
      </c>
      <c r="D118" t="inlineStr">
        <is>
          <t>MAX</t>
        </is>
      </c>
      <c r="E118" s="2" t="n">
        <v>40729</v>
      </c>
      <c r="F118" s="2" t="n">
        <v>46098</v>
      </c>
      <c r="G118" t="n">
        <v>-10.62191155879808</v>
      </c>
      <c r="H118" t="n">
        <v>-29.37527772245127</v>
      </c>
      <c r="I118" t="inlineStr">
        <is>
          <t>Indonesia|INDO.PA|MAX</t>
        </is>
      </c>
      <c r="J118" t="inlineStr">
        <is>
          <t>EUR</t>
        </is>
      </c>
    </row>
    <row r="119">
      <c r="A119" t="inlineStr">
        <is>
          <t>Italy</t>
        </is>
      </c>
      <c r="B119" t="inlineStr">
        <is>
          <t>ITA</t>
        </is>
      </c>
      <c r="C119" t="inlineStr">
        <is>
          <t>EWI</t>
        </is>
      </c>
      <c r="D119" t="inlineStr">
        <is>
          <t>YTD</t>
        </is>
      </c>
      <c r="E119" s="2" t="n">
        <v>46022</v>
      </c>
      <c r="F119" s="2" t="n">
        <v>46098</v>
      </c>
      <c r="G119" t="n">
        <v>-1.766984845969932</v>
      </c>
      <c r="H119" t="n">
        <v>-1.766984845969932</v>
      </c>
      <c r="I119" t="inlineStr">
        <is>
          <t>Italy|EWI|YTD</t>
        </is>
      </c>
      <c r="J119" t="inlineStr">
        <is>
          <t>USD</t>
        </is>
      </c>
    </row>
    <row r="120">
      <c r="A120" t="inlineStr">
        <is>
          <t>Italy</t>
        </is>
      </c>
      <c r="B120" t="inlineStr">
        <is>
          <t>ITA</t>
        </is>
      </c>
      <c r="C120" t="inlineStr">
        <is>
          <t>EWI</t>
        </is>
      </c>
      <c r="D120" t="inlineStr">
        <is>
          <t>1 Month</t>
        </is>
      </c>
      <c r="E120" s="2" t="n">
        <v>46070</v>
      </c>
      <c r="F120" s="2" t="n">
        <v>46098</v>
      </c>
      <c r="G120" t="n">
        <v>-4.730456094652979</v>
      </c>
      <c r="H120" t="n">
        <v>-4.730456094652979</v>
      </c>
      <c r="I120" t="inlineStr">
        <is>
          <t>Italy|EWI|1 Month</t>
        </is>
      </c>
      <c r="J120" t="inlineStr">
        <is>
          <t>USD</t>
        </is>
      </c>
    </row>
    <row r="121">
      <c r="A121" t="inlineStr">
        <is>
          <t>Italy</t>
        </is>
      </c>
      <c r="B121" t="inlineStr">
        <is>
          <t>ITA</t>
        </is>
      </c>
      <c r="C121" t="inlineStr">
        <is>
          <t>EWI</t>
        </is>
      </c>
      <c r="D121" t="inlineStr">
        <is>
          <t>3 Months</t>
        </is>
      </c>
      <c r="E121" s="2" t="n">
        <v>46008</v>
      </c>
      <c r="F121" s="2" t="n">
        <v>46098</v>
      </c>
      <c r="G121" t="n">
        <v>-0.2616322071385624</v>
      </c>
      <c r="H121" t="n">
        <v>-0.2616322071385624</v>
      </c>
      <c r="I121" t="inlineStr">
        <is>
          <t>Italy|EWI|3 Months</t>
        </is>
      </c>
      <c r="J121" t="inlineStr">
        <is>
          <t>USD</t>
        </is>
      </c>
    </row>
    <row r="122">
      <c r="A122" t="inlineStr">
        <is>
          <t>Italy</t>
        </is>
      </c>
      <c r="B122" t="inlineStr">
        <is>
          <t>ITA</t>
        </is>
      </c>
      <c r="C122" t="inlineStr">
        <is>
          <t>EWI</t>
        </is>
      </c>
      <c r="D122" t="inlineStr">
        <is>
          <t>6 Months</t>
        </is>
      </c>
      <c r="E122" s="2" t="n">
        <v>45917</v>
      </c>
      <c r="F122" s="2" t="n">
        <v>46098</v>
      </c>
      <c r="G122" t="n">
        <v>5.334807804185093</v>
      </c>
      <c r="H122" t="n">
        <v>5.334807804185093</v>
      </c>
      <c r="I122" t="inlineStr">
        <is>
          <t>Italy|EWI|6 Months</t>
        </is>
      </c>
      <c r="J122" t="inlineStr">
        <is>
          <t>USD</t>
        </is>
      </c>
    </row>
    <row r="123">
      <c r="A123" t="inlineStr">
        <is>
          <t>Italy</t>
        </is>
      </c>
      <c r="B123" t="inlineStr">
        <is>
          <t>ITA</t>
        </is>
      </c>
      <c r="C123" t="inlineStr">
        <is>
          <t>EWI</t>
        </is>
      </c>
      <c r="D123" t="inlineStr">
        <is>
          <t>1 Year</t>
        </is>
      </c>
      <c r="E123" s="2" t="n">
        <v>45733</v>
      </c>
      <c r="F123" s="2" t="n">
        <v>46098</v>
      </c>
      <c r="G123" t="n">
        <v>26.40003924640755</v>
      </c>
      <c r="H123" t="n">
        <v>26.40003924640755</v>
      </c>
      <c r="I123" t="inlineStr">
        <is>
          <t>Italy|EWI|1 Year</t>
        </is>
      </c>
      <c r="J123" t="inlineStr">
        <is>
          <t>USD</t>
        </is>
      </c>
    </row>
    <row r="124">
      <c r="A124" t="inlineStr">
        <is>
          <t>Italy</t>
        </is>
      </c>
      <c r="B124" t="inlineStr">
        <is>
          <t>ITA</t>
        </is>
      </c>
      <c r="C124" t="inlineStr">
        <is>
          <t>EWI</t>
        </is>
      </c>
      <c r="D124" t="inlineStr">
        <is>
          <t>3 Years</t>
        </is>
      </c>
      <c r="E124" s="2" t="n">
        <v>45002</v>
      </c>
      <c r="F124" s="2" t="n">
        <v>46098</v>
      </c>
      <c r="G124" t="n">
        <v>111.2425064351347</v>
      </c>
      <c r="H124" t="n">
        <v>111.2425064351347</v>
      </c>
      <c r="I124" t="inlineStr">
        <is>
          <t>Italy|EWI|3 Years</t>
        </is>
      </c>
      <c r="J124" t="inlineStr">
        <is>
          <t>USD</t>
        </is>
      </c>
    </row>
    <row r="125">
      <c r="A125" t="inlineStr">
        <is>
          <t>Italy</t>
        </is>
      </c>
      <c r="B125" t="inlineStr">
        <is>
          <t>ITA</t>
        </is>
      </c>
      <c r="C125" t="inlineStr">
        <is>
          <t>EWI</t>
        </is>
      </c>
      <c r="D125" t="inlineStr">
        <is>
          <t>5 Years</t>
        </is>
      </c>
      <c r="E125" s="2" t="n">
        <v>44272</v>
      </c>
      <c r="F125" s="2" t="n">
        <v>46098</v>
      </c>
      <c r="G125" t="n">
        <v>100.9772747808346</v>
      </c>
      <c r="H125" t="n">
        <v>100.9772747808346</v>
      </c>
      <c r="I125" t="inlineStr">
        <is>
          <t>Italy|EWI|5 Years</t>
        </is>
      </c>
      <c r="J125" t="inlineStr">
        <is>
          <t>USD</t>
        </is>
      </c>
    </row>
    <row r="126">
      <c r="A126" t="inlineStr">
        <is>
          <t>Italy</t>
        </is>
      </c>
      <c r="B126" t="inlineStr">
        <is>
          <t>ITA</t>
        </is>
      </c>
      <c r="C126" t="inlineStr">
        <is>
          <t>EWI</t>
        </is>
      </c>
      <c r="D126" t="inlineStr">
        <is>
          <t>10 Years</t>
        </is>
      </c>
      <c r="E126" s="2" t="n">
        <v>42446</v>
      </c>
      <c r="F126" s="2" t="n">
        <v>46098</v>
      </c>
      <c r="G126" t="n">
        <v>198.4444464828112</v>
      </c>
      <c r="H126" t="n">
        <v>198.4444464828112</v>
      </c>
      <c r="I126" t="inlineStr">
        <is>
          <t>Italy|EWI|10 Years</t>
        </is>
      </c>
      <c r="J126" t="inlineStr">
        <is>
          <t>USD</t>
        </is>
      </c>
    </row>
    <row r="127">
      <c r="A127" t="inlineStr">
        <is>
          <t>Italy</t>
        </is>
      </c>
      <c r="B127" t="inlineStr">
        <is>
          <t>ITA</t>
        </is>
      </c>
      <c r="C127" t="inlineStr">
        <is>
          <t>EWI</t>
        </is>
      </c>
      <c r="D127" t="inlineStr">
        <is>
          <t>MAX</t>
        </is>
      </c>
      <c r="E127" s="2" t="n">
        <v>35143</v>
      </c>
      <c r="F127" s="2" t="n">
        <v>46098</v>
      </c>
      <c r="G127" t="n">
        <v>571.2538025470881</v>
      </c>
      <c r="H127" t="n">
        <v>571.2538025470881</v>
      </c>
      <c r="I127" t="inlineStr">
        <is>
          <t>Italy|EWI|MAX</t>
        </is>
      </c>
      <c r="J127" t="inlineStr">
        <is>
          <t>USD</t>
        </is>
      </c>
    </row>
    <row r="128">
      <c r="A128" t="inlineStr">
        <is>
          <t>Japan</t>
        </is>
      </c>
      <c r="B128" t="inlineStr">
        <is>
          <t>JPN</t>
        </is>
      </c>
      <c r="C128" t="inlineStr">
        <is>
          <t>CJPU.L</t>
        </is>
      </c>
      <c r="D128" t="inlineStr">
        <is>
          <t>YTD</t>
        </is>
      </c>
      <c r="E128" s="2" t="n">
        <v>46022</v>
      </c>
      <c r="F128" s="2" t="n">
        <v>46098</v>
      </c>
      <c r="G128" t="n">
        <v>5.351277956174183</v>
      </c>
      <c r="H128" t="n">
        <v>5.351277956174183</v>
      </c>
      <c r="I128" t="inlineStr">
        <is>
          <t>Japan|CJPU.L|YTD</t>
        </is>
      </c>
      <c r="J128" t="inlineStr">
        <is>
          <t>USD</t>
        </is>
      </c>
    </row>
    <row r="129">
      <c r="A129" t="inlineStr">
        <is>
          <t>Japan</t>
        </is>
      </c>
      <c r="B129" t="inlineStr">
        <is>
          <t>JPN</t>
        </is>
      </c>
      <c r="C129" t="inlineStr">
        <is>
          <t>CJPU.L</t>
        </is>
      </c>
      <c r="D129" t="inlineStr">
        <is>
          <t>1 Month</t>
        </is>
      </c>
      <c r="E129" s="2" t="n">
        <v>46070</v>
      </c>
      <c r="F129" s="2" t="n">
        <v>46098</v>
      </c>
      <c r="G129" t="n">
        <v>-7.022847801294807</v>
      </c>
      <c r="H129" t="n">
        <v>-7.022847801294807</v>
      </c>
      <c r="I129" t="inlineStr">
        <is>
          <t>Japan|CJPU.L|1 Month</t>
        </is>
      </c>
      <c r="J129" t="inlineStr">
        <is>
          <t>USD</t>
        </is>
      </c>
    </row>
    <row r="130">
      <c r="A130" t="inlineStr">
        <is>
          <t>Japan</t>
        </is>
      </c>
      <c r="B130" t="inlineStr">
        <is>
          <t>JPN</t>
        </is>
      </c>
      <c r="C130" t="inlineStr">
        <is>
          <t>CJPU.L</t>
        </is>
      </c>
      <c r="D130" t="inlineStr">
        <is>
          <t>3 Months</t>
        </is>
      </c>
      <c r="E130" s="2" t="n">
        <v>46008</v>
      </c>
      <c r="F130" s="2" t="n">
        <v>46098</v>
      </c>
      <c r="G130" t="n">
        <v>6.156713508311018</v>
      </c>
      <c r="H130" t="n">
        <v>6.156713508311018</v>
      </c>
      <c r="I130" t="inlineStr">
        <is>
          <t>Japan|CJPU.L|3 Months</t>
        </is>
      </c>
      <c r="J130" t="inlineStr">
        <is>
          <t>USD</t>
        </is>
      </c>
    </row>
    <row r="131">
      <c r="A131" t="inlineStr">
        <is>
          <t>Japan</t>
        </is>
      </c>
      <c r="B131" t="inlineStr">
        <is>
          <t>JPN</t>
        </is>
      </c>
      <c r="C131" t="inlineStr">
        <is>
          <t>CJPU.L</t>
        </is>
      </c>
      <c r="D131" t="inlineStr">
        <is>
          <t>6 Months</t>
        </is>
      </c>
      <c r="E131" s="2" t="n">
        <v>45917</v>
      </c>
      <c r="F131" s="2" t="n">
        <v>46098</v>
      </c>
      <c r="G131" t="n">
        <v>8.605805076504147</v>
      </c>
      <c r="H131" t="n">
        <v>8.605805076504147</v>
      </c>
      <c r="I131" t="inlineStr">
        <is>
          <t>Japan|CJPU.L|6 Months</t>
        </is>
      </c>
      <c r="J131" t="inlineStr">
        <is>
          <t>USD</t>
        </is>
      </c>
    </row>
    <row r="132">
      <c r="A132" t="inlineStr">
        <is>
          <t>Japan</t>
        </is>
      </c>
      <c r="B132" t="inlineStr">
        <is>
          <t>JPN</t>
        </is>
      </c>
      <c r="C132" t="inlineStr">
        <is>
          <t>CJPU.L</t>
        </is>
      </c>
      <c r="D132" t="inlineStr">
        <is>
          <t>1 Year</t>
        </is>
      </c>
      <c r="E132" s="2" t="n">
        <v>45733</v>
      </c>
      <c r="F132" s="2" t="n">
        <v>46098</v>
      </c>
      <c r="G132" t="n">
        <v>25.76095626876878</v>
      </c>
      <c r="H132" t="n">
        <v>25.76095626876878</v>
      </c>
      <c r="I132" t="inlineStr">
        <is>
          <t>Japan|CJPU.L|1 Year</t>
        </is>
      </c>
      <c r="J132" t="inlineStr">
        <is>
          <t>USD</t>
        </is>
      </c>
    </row>
    <row r="133">
      <c r="A133" t="inlineStr">
        <is>
          <t>Japan</t>
        </is>
      </c>
      <c r="B133" t="inlineStr">
        <is>
          <t>JPN</t>
        </is>
      </c>
      <c r="C133" t="inlineStr">
        <is>
          <t>CJPU.L</t>
        </is>
      </c>
      <c r="D133" t="inlineStr">
        <is>
          <t>3 Years</t>
        </is>
      </c>
      <c r="E133" s="2" t="n">
        <v>45002</v>
      </c>
      <c r="F133" s="2" t="n">
        <v>46098</v>
      </c>
      <c r="G133" t="n">
        <v>67.49751464288146</v>
      </c>
      <c r="H133" t="n">
        <v>67.49751464288146</v>
      </c>
      <c r="I133" t="inlineStr">
        <is>
          <t>Japan|CJPU.L|3 Years</t>
        </is>
      </c>
      <c r="J133" t="inlineStr">
        <is>
          <t>USD</t>
        </is>
      </c>
    </row>
    <row r="134">
      <c r="A134" t="inlineStr">
        <is>
          <t>Japan</t>
        </is>
      </c>
      <c r="B134" t="inlineStr">
        <is>
          <t>JPN</t>
        </is>
      </c>
      <c r="C134" t="inlineStr">
        <is>
          <t>CJPU.L</t>
        </is>
      </c>
      <c r="D134" t="inlineStr">
        <is>
          <t>5 Years</t>
        </is>
      </c>
      <c r="E134" s="2" t="n">
        <v>44272</v>
      </c>
      <c r="F134" s="2" t="n">
        <v>46098</v>
      </c>
      <c r="G134" t="n">
        <v>38.75105549260191</v>
      </c>
      <c r="H134" t="n">
        <v>38.75105549260191</v>
      </c>
      <c r="I134" t="inlineStr">
        <is>
          <t>Japan|CJPU.L|5 Years</t>
        </is>
      </c>
      <c r="J134" t="inlineStr">
        <is>
          <t>USD</t>
        </is>
      </c>
    </row>
    <row r="135">
      <c r="A135" t="inlineStr">
        <is>
          <t>Japan</t>
        </is>
      </c>
      <c r="B135" t="inlineStr">
        <is>
          <t>JPN</t>
        </is>
      </c>
      <c r="C135" t="inlineStr">
        <is>
          <t>CJPU.L</t>
        </is>
      </c>
      <c r="D135" t="inlineStr">
        <is>
          <t>10 Years</t>
        </is>
      </c>
      <c r="E135" s="2" t="n">
        <v>42446</v>
      </c>
      <c r="F135" s="2" t="n">
        <v>46098</v>
      </c>
      <c r="G135" t="n">
        <v>128.3944098773099</v>
      </c>
      <c r="H135" t="n">
        <v>128.3944098773099</v>
      </c>
      <c r="I135" t="inlineStr">
        <is>
          <t>Japan|CJPU.L|10 Years</t>
        </is>
      </c>
      <c r="J135" t="inlineStr">
        <is>
          <t>USD</t>
        </is>
      </c>
    </row>
    <row r="136">
      <c r="A136" t="inlineStr">
        <is>
          <t>Japan</t>
        </is>
      </c>
      <c r="B136" t="inlineStr">
        <is>
          <t>JPN</t>
        </is>
      </c>
      <c r="C136" t="inlineStr">
        <is>
          <t>CJPU.L</t>
        </is>
      </c>
      <c r="D136" t="inlineStr">
        <is>
          <t>MAX</t>
        </is>
      </c>
      <c r="E136" s="2" t="n">
        <v>40190</v>
      </c>
      <c r="F136" s="2" t="n">
        <v>46098</v>
      </c>
      <c r="G136" t="n">
        <v>141.2127776993034</v>
      </c>
      <c r="H136" t="n">
        <v>141.2127776993034</v>
      </c>
      <c r="I136" t="inlineStr">
        <is>
          <t>Japan|CJPU.L|MAX</t>
        </is>
      </c>
      <c r="J136" t="inlineStr">
        <is>
          <t>USD</t>
        </is>
      </c>
    </row>
    <row r="137">
      <c r="A137" t="inlineStr">
        <is>
          <t>Malaysia</t>
        </is>
      </c>
      <c r="B137" t="inlineStr">
        <is>
          <t>MYS</t>
        </is>
      </c>
      <c r="C137" t="inlineStr">
        <is>
          <t>XCX3.L</t>
        </is>
      </c>
      <c r="D137" t="inlineStr">
        <is>
          <t>YTD</t>
        </is>
      </c>
      <c r="E137" s="2" t="n">
        <v>46022</v>
      </c>
      <c r="F137" s="2" t="n">
        <v>46098</v>
      </c>
      <c r="G137" t="n">
        <v>8.017282765242451</v>
      </c>
      <c r="H137" t="n">
        <v>6.791230483664656</v>
      </c>
      <c r="I137" t="inlineStr">
        <is>
          <t>Malaysia|XCX3.L|YTD</t>
        </is>
      </c>
      <c r="J137" t="inlineStr">
        <is>
          <t>GBp</t>
        </is>
      </c>
    </row>
    <row r="138">
      <c r="A138" t="inlineStr">
        <is>
          <t>Malaysia</t>
        </is>
      </c>
      <c r="B138" t="inlineStr">
        <is>
          <t>MYS</t>
        </is>
      </c>
      <c r="C138" t="inlineStr">
        <is>
          <t>XCX3.L</t>
        </is>
      </c>
      <c r="D138" t="inlineStr">
        <is>
          <t>1 Month</t>
        </is>
      </c>
      <c r="E138" s="2" t="n">
        <v>46070</v>
      </c>
      <c r="F138" s="2" t="n">
        <v>46098</v>
      </c>
      <c r="G138" t="n">
        <v>0.3344481605351168</v>
      </c>
      <c r="H138" t="n">
        <v>-1.972630400715625</v>
      </c>
      <c r="I138" t="inlineStr">
        <is>
          <t>Malaysia|XCX3.L|1 Month</t>
        </is>
      </c>
      <c r="J138" t="inlineStr">
        <is>
          <t>GBp</t>
        </is>
      </c>
    </row>
    <row r="139">
      <c r="A139" t="inlineStr">
        <is>
          <t>Malaysia</t>
        </is>
      </c>
      <c r="B139" t="inlineStr">
        <is>
          <t>MYS</t>
        </is>
      </c>
      <c r="C139" t="inlineStr">
        <is>
          <t>XCX3.L</t>
        </is>
      </c>
      <c r="D139" t="inlineStr">
        <is>
          <t>3 Months</t>
        </is>
      </c>
      <c r="E139" s="2" t="n">
        <v>46008</v>
      </c>
      <c r="F139" s="2" t="n">
        <v>46098</v>
      </c>
      <c r="G139" t="n">
        <v>11.27596439169141</v>
      </c>
      <c r="H139" t="n">
        <v>10.3587288133739</v>
      </c>
      <c r="I139" t="inlineStr">
        <is>
          <t>Malaysia|XCX3.L|3 Months</t>
        </is>
      </c>
      <c r="J139" t="inlineStr">
        <is>
          <t>GBp</t>
        </is>
      </c>
    </row>
    <row r="140">
      <c r="A140" t="inlineStr">
        <is>
          <t>Malaysia</t>
        </is>
      </c>
      <c r="B140" t="inlineStr">
        <is>
          <t>MYS</t>
        </is>
      </c>
      <c r="C140" t="inlineStr">
        <is>
          <t>XCX3.L</t>
        </is>
      </c>
      <c r="D140" t="inlineStr">
        <is>
          <t>6 Months</t>
        </is>
      </c>
      <c r="E140" s="2" t="n">
        <v>45917</v>
      </c>
      <c r="F140" s="2" t="n">
        <v>46098</v>
      </c>
      <c r="G140" t="n">
        <v>17.49347258485641</v>
      </c>
      <c r="H140" t="n">
        <v>14.57126259661454</v>
      </c>
      <c r="I140" t="inlineStr">
        <is>
          <t>Malaysia|XCX3.L|6 Months</t>
        </is>
      </c>
      <c r="J140" t="inlineStr">
        <is>
          <t>GBp</t>
        </is>
      </c>
    </row>
    <row r="141">
      <c r="A141" t="inlineStr">
        <is>
          <t>Malaysia</t>
        </is>
      </c>
      <c r="B141" t="inlineStr">
        <is>
          <t>MYS</t>
        </is>
      </c>
      <c r="C141" t="inlineStr">
        <is>
          <t>XCX3.L</t>
        </is>
      </c>
      <c r="D141" t="inlineStr">
        <is>
          <t>1 Year</t>
        </is>
      </c>
      <c r="E141" s="2" t="n">
        <v>45733</v>
      </c>
      <c r="F141" s="2" t="n">
        <v>46098</v>
      </c>
      <c r="G141" t="n">
        <v>26.83201803833144</v>
      </c>
      <c r="H141" t="n">
        <v>30.59608958782265</v>
      </c>
      <c r="I141" t="inlineStr">
        <is>
          <t>Malaysia|XCX3.L|1 Year</t>
        </is>
      </c>
      <c r="J141" t="inlineStr">
        <is>
          <t>GBp</t>
        </is>
      </c>
    </row>
    <row r="142">
      <c r="A142" t="inlineStr">
        <is>
          <t>Malaysia</t>
        </is>
      </c>
      <c r="B142" t="inlineStr">
        <is>
          <t>MYS</t>
        </is>
      </c>
      <c r="C142" t="inlineStr">
        <is>
          <t>XCX3.L</t>
        </is>
      </c>
      <c r="D142" t="inlineStr">
        <is>
          <t>3 Years</t>
        </is>
      </c>
      <c r="E142" s="2" t="n">
        <v>45002</v>
      </c>
      <c r="F142" s="2" t="n">
        <v>46098</v>
      </c>
      <c r="G142" t="n">
        <v>38.88888888888889</v>
      </c>
      <c r="H142" t="n">
        <v>52.69511997985805</v>
      </c>
      <c r="I142" t="inlineStr">
        <is>
          <t>Malaysia|XCX3.L|3 Years</t>
        </is>
      </c>
      <c r="J142" t="inlineStr">
        <is>
          <t>GBp</t>
        </is>
      </c>
    </row>
    <row r="143">
      <c r="A143" t="inlineStr">
        <is>
          <t>Malaysia</t>
        </is>
      </c>
      <c r="B143" t="inlineStr">
        <is>
          <t>MYS</t>
        </is>
      </c>
      <c r="C143" t="inlineStr">
        <is>
          <t>XCX3.L</t>
        </is>
      </c>
      <c r="D143" t="inlineStr">
        <is>
          <t>5 Years</t>
        </is>
      </c>
      <c r="E143" s="2" t="n">
        <v>44272</v>
      </c>
      <c r="F143" s="2" t="n">
        <v>46098</v>
      </c>
      <c r="G143" t="n">
        <v>33.19520497262096</v>
      </c>
      <c r="H143" t="n">
        <v>27.56285794149975</v>
      </c>
      <c r="I143" t="inlineStr">
        <is>
          <t>Malaysia|XCX3.L|5 Years</t>
        </is>
      </c>
      <c r="J143" t="inlineStr">
        <is>
          <t>GBp</t>
        </is>
      </c>
    </row>
    <row r="144">
      <c r="A144" t="inlineStr">
        <is>
          <t>Malaysia</t>
        </is>
      </c>
      <c r="B144" t="inlineStr">
        <is>
          <t>MYS</t>
        </is>
      </c>
      <c r="C144" t="inlineStr">
        <is>
          <t>XCX3.L</t>
        </is>
      </c>
      <c r="D144" t="inlineStr">
        <is>
          <t>10 Years</t>
        </is>
      </c>
      <c r="E144" s="2" t="n">
        <v>42446</v>
      </c>
      <c r="F144" s="2" t="n">
        <v>46098</v>
      </c>
      <c r="G144" t="n">
        <v>38.46153846153846</v>
      </c>
      <c r="H144" t="n">
        <v>29.32318884462959</v>
      </c>
      <c r="I144" t="inlineStr">
        <is>
          <t>Malaysia|XCX3.L|10 Years</t>
        </is>
      </c>
      <c r="J144" t="inlineStr">
        <is>
          <t>GBp</t>
        </is>
      </c>
    </row>
    <row r="145">
      <c r="A145" t="inlineStr">
        <is>
          <t>Malaysia</t>
        </is>
      </c>
      <c r="B145" t="inlineStr">
        <is>
          <t>MYS</t>
        </is>
      </c>
      <c r="C145" t="inlineStr">
        <is>
          <t>XCX3.L</t>
        </is>
      </c>
      <c r="D145" t="inlineStr">
        <is>
          <t>MAX</t>
        </is>
      </c>
      <c r="E145" s="2" t="n">
        <v>40354</v>
      </c>
      <c r="F145" s="2" t="n">
        <v>46098</v>
      </c>
      <c r="G145" t="n">
        <v>10.75887374954603</v>
      </c>
      <c r="H145" t="n">
        <v>-2.13131708541664</v>
      </c>
      <c r="I145" t="inlineStr">
        <is>
          <t>Malaysia|XCX3.L|MAX</t>
        </is>
      </c>
      <c r="J145" t="inlineStr">
        <is>
          <t>GBp</t>
        </is>
      </c>
    </row>
    <row r="146">
      <c r="A146" t="inlineStr">
        <is>
          <t>Mexico</t>
        </is>
      </c>
      <c r="B146" t="inlineStr">
        <is>
          <t>MEX</t>
        </is>
      </c>
      <c r="C146" t="inlineStr">
        <is>
          <t>XMEX.L</t>
        </is>
      </c>
      <c r="D146" t="inlineStr">
        <is>
          <t>YTD</t>
        </is>
      </c>
      <c r="E146" s="2" t="n">
        <v>46022</v>
      </c>
      <c r="F146" s="2" t="n">
        <v>46098</v>
      </c>
      <c r="G146" t="n">
        <v>6.004098360655741</v>
      </c>
      <c r="H146" t="n">
        <v>4.800896768053753</v>
      </c>
      <c r="I146" t="inlineStr">
        <is>
          <t>Mexico|XMEX.L|YTD</t>
        </is>
      </c>
      <c r="J146" t="inlineStr">
        <is>
          <t>GBp</t>
        </is>
      </c>
    </row>
    <row r="147">
      <c r="A147" t="inlineStr">
        <is>
          <t>Mexico</t>
        </is>
      </c>
      <c r="B147" t="inlineStr">
        <is>
          <t>MEX</t>
        </is>
      </c>
      <c r="C147" t="inlineStr">
        <is>
          <t>XMEX.L</t>
        </is>
      </c>
      <c r="D147" t="inlineStr">
        <is>
          <t>1 Month</t>
        </is>
      </c>
      <c r="E147" s="2" t="n">
        <v>46070</v>
      </c>
      <c r="F147" s="2" t="n">
        <v>46098</v>
      </c>
      <c r="G147" t="n">
        <v>-8.117229129662517</v>
      </c>
      <c r="H147" t="n">
        <v>-10.22997081220111</v>
      </c>
      <c r="I147" t="inlineStr">
        <is>
          <t>Mexico|XMEX.L|1 Month</t>
        </is>
      </c>
      <c r="J147" t="inlineStr">
        <is>
          <t>GBp</t>
        </is>
      </c>
    </row>
    <row r="148">
      <c r="A148" t="inlineStr">
        <is>
          <t>Mexico</t>
        </is>
      </c>
      <c r="B148" t="inlineStr">
        <is>
          <t>MEX</t>
        </is>
      </c>
      <c r="C148" t="inlineStr">
        <is>
          <t>XMEX.L</t>
        </is>
      </c>
      <c r="D148" t="inlineStr">
        <is>
          <t>3 Months</t>
        </is>
      </c>
      <c r="E148" s="2" t="n">
        <v>46008</v>
      </c>
      <c r="F148" s="2" t="n">
        <v>46098</v>
      </c>
      <c r="G148" t="n">
        <v>8.086084412870886</v>
      </c>
      <c r="H148" t="n">
        <v>7.195142665598842</v>
      </c>
      <c r="I148" t="inlineStr">
        <is>
          <t>Mexico|XMEX.L|3 Months</t>
        </is>
      </c>
      <c r="J148" t="inlineStr">
        <is>
          <t>GBp</t>
        </is>
      </c>
    </row>
    <row r="149">
      <c r="A149" t="inlineStr">
        <is>
          <t>Mexico</t>
        </is>
      </c>
      <c r="B149" t="inlineStr">
        <is>
          <t>MEX</t>
        </is>
      </c>
      <c r="C149" t="inlineStr">
        <is>
          <t>XMEX.L</t>
        </is>
      </c>
      <c r="D149" t="inlineStr">
        <is>
          <t>6 Months</t>
        </is>
      </c>
      <c r="E149" s="2" t="n">
        <v>45917</v>
      </c>
      <c r="F149" s="2" t="n">
        <v>46098</v>
      </c>
      <c r="G149" t="n">
        <v>16.03858232391209</v>
      </c>
      <c r="H149" t="n">
        <v>13.15255728074669</v>
      </c>
      <c r="I149" t="inlineStr">
        <is>
          <t>Mexico|XMEX.L|6 Months</t>
        </is>
      </c>
      <c r="J149" t="inlineStr">
        <is>
          <t>GBp</t>
        </is>
      </c>
    </row>
    <row r="150">
      <c r="A150" t="inlineStr">
        <is>
          <t>Mexico</t>
        </is>
      </c>
      <c r="B150" t="inlineStr">
        <is>
          <t>MEX</t>
        </is>
      </c>
      <c r="C150" t="inlineStr">
        <is>
          <t>XMEX.L</t>
        </is>
      </c>
      <c r="D150" t="inlineStr">
        <is>
          <t>1 Year</t>
        </is>
      </c>
      <c r="E150" s="2" t="n">
        <v>45733</v>
      </c>
      <c r="F150" s="2" t="n">
        <v>46098</v>
      </c>
      <c r="G150" t="n">
        <v>41.86595377745093</v>
      </c>
      <c r="H150" t="n">
        <v>46.07619665392833</v>
      </c>
      <c r="I150" t="inlineStr">
        <is>
          <t>Mexico|XMEX.L|1 Year</t>
        </is>
      </c>
      <c r="J150" t="inlineStr">
        <is>
          <t>GBp</t>
        </is>
      </c>
    </row>
    <row r="151">
      <c r="A151" t="inlineStr">
        <is>
          <t>Mexico</t>
        </is>
      </c>
      <c r="B151" t="inlineStr">
        <is>
          <t>MEX</t>
        </is>
      </c>
      <c r="C151" t="inlineStr">
        <is>
          <t>XMEX.L</t>
        </is>
      </c>
      <c r="D151" t="inlineStr">
        <is>
          <t>3 Years</t>
        </is>
      </c>
      <c r="E151" s="2" t="n">
        <v>45002</v>
      </c>
      <c r="F151" s="2" t="n">
        <v>46098</v>
      </c>
      <c r="G151" t="n">
        <v>35.48978522786801</v>
      </c>
      <c r="H151" t="n">
        <v>48.95812888218445</v>
      </c>
      <c r="I151" t="inlineStr">
        <is>
          <t>Mexico|XMEX.L|3 Years</t>
        </is>
      </c>
      <c r="J151" t="inlineStr">
        <is>
          <t>GBp</t>
        </is>
      </c>
    </row>
    <row r="152">
      <c r="A152" t="inlineStr">
        <is>
          <t>Mexico</t>
        </is>
      </c>
      <c r="B152" t="inlineStr">
        <is>
          <t>MEX</t>
        </is>
      </c>
      <c r="C152" t="inlineStr">
        <is>
          <t>XMEX.L</t>
        </is>
      </c>
      <c r="D152" t="inlineStr">
        <is>
          <t>5 Years</t>
        </is>
      </c>
      <c r="E152" s="2" t="n">
        <v>44272</v>
      </c>
      <c r="F152" s="2" t="n">
        <v>46098</v>
      </c>
      <c r="G152" t="n">
        <v>96.63219948259784</v>
      </c>
      <c r="H152" t="n">
        <v>88.31732970026374</v>
      </c>
      <c r="I152" t="inlineStr">
        <is>
          <t>Mexico|XMEX.L|5 Years</t>
        </is>
      </c>
      <c r="J152" t="inlineStr">
        <is>
          <t>GBp</t>
        </is>
      </c>
    </row>
    <row r="153">
      <c r="A153" t="inlineStr">
        <is>
          <t>Mexico</t>
        </is>
      </c>
      <c r="B153" t="inlineStr">
        <is>
          <t>MEX</t>
        </is>
      </c>
      <c r="C153" t="inlineStr">
        <is>
          <t>XMEX.L</t>
        </is>
      </c>
      <c r="D153" t="inlineStr">
        <is>
          <t>10 Years</t>
        </is>
      </c>
      <c r="E153" s="2" t="n">
        <v>42446</v>
      </c>
      <c r="F153" s="2" t="n">
        <v>46098</v>
      </c>
      <c r="G153" t="n">
        <v>91.96229428040712</v>
      </c>
      <c r="H153" t="n">
        <v>79.29293802530823</v>
      </c>
      <c r="I153" t="inlineStr">
        <is>
          <t>Mexico|XMEX.L|10 Years</t>
        </is>
      </c>
      <c r="J153" t="inlineStr">
        <is>
          <t>GBp</t>
        </is>
      </c>
    </row>
    <row r="154">
      <c r="A154" t="inlineStr">
        <is>
          <t>Mexico</t>
        </is>
      </c>
      <c r="B154" t="inlineStr">
        <is>
          <t>MEX</t>
        </is>
      </c>
      <c r="C154" t="inlineStr">
        <is>
          <t>XMEX.L</t>
        </is>
      </c>
      <c r="D154" t="inlineStr">
        <is>
          <t>MAX</t>
        </is>
      </c>
      <c r="E154" s="2" t="n">
        <v>40266</v>
      </c>
      <c r="F154" s="2" t="n">
        <v>46098</v>
      </c>
      <c r="G154" t="n">
        <v>41.31562754729985</v>
      </c>
      <c r="H154" t="n">
        <v>25.58608027598666</v>
      </c>
      <c r="I154" t="inlineStr">
        <is>
          <t>Mexico|XMEX.L|MAX</t>
        </is>
      </c>
      <c r="J154" t="inlineStr">
        <is>
          <t>GBp</t>
        </is>
      </c>
    </row>
    <row r="155">
      <c r="A155" t="inlineStr">
        <is>
          <t>Netherlands</t>
        </is>
      </c>
      <c r="B155" t="inlineStr">
        <is>
          <t>NLD</t>
        </is>
      </c>
      <c r="C155" t="inlineStr">
        <is>
          <t>EWN</t>
        </is>
      </c>
      <c r="D155" t="inlineStr">
        <is>
          <t>YTD</t>
        </is>
      </c>
      <c r="E155" s="2" t="n">
        <v>46022</v>
      </c>
      <c r="F155" s="2" t="n">
        <v>46098</v>
      </c>
      <c r="G155" t="n">
        <v>4.506399701620145</v>
      </c>
      <c r="H155" t="n">
        <v>4.506399701620145</v>
      </c>
      <c r="I155" t="inlineStr">
        <is>
          <t>Netherlands|EWN|YTD</t>
        </is>
      </c>
      <c r="J155" t="inlineStr">
        <is>
          <t>USD</t>
        </is>
      </c>
    </row>
    <row r="156">
      <c r="A156" t="inlineStr">
        <is>
          <t>Netherlands</t>
        </is>
      </c>
      <c r="B156" t="inlineStr">
        <is>
          <t>NLD</t>
        </is>
      </c>
      <c r="C156" t="inlineStr">
        <is>
          <t>EWN</t>
        </is>
      </c>
      <c r="D156" t="inlineStr">
        <is>
          <t>1 Month</t>
        </is>
      </c>
      <c r="E156" s="2" t="n">
        <v>46070</v>
      </c>
      <c r="F156" s="2" t="n">
        <v>46098</v>
      </c>
      <c r="G156" t="n">
        <v>-4.226259179594283</v>
      </c>
      <c r="H156" t="n">
        <v>-4.226259179594283</v>
      </c>
      <c r="I156" t="inlineStr">
        <is>
          <t>Netherlands|EWN|1 Month</t>
        </is>
      </c>
      <c r="J156" t="inlineStr">
        <is>
          <t>USD</t>
        </is>
      </c>
    </row>
    <row r="157">
      <c r="A157" t="inlineStr">
        <is>
          <t>Netherlands</t>
        </is>
      </c>
      <c r="B157" t="inlineStr">
        <is>
          <t>NLD</t>
        </is>
      </c>
      <c r="C157" t="inlineStr">
        <is>
          <t>EWN</t>
        </is>
      </c>
      <c r="D157" t="inlineStr">
        <is>
          <t>3 Months</t>
        </is>
      </c>
      <c r="E157" s="2" t="n">
        <v>46008</v>
      </c>
      <c r="F157" s="2" t="n">
        <v>46098</v>
      </c>
      <c r="G157" t="n">
        <v>7.252112293375124</v>
      </c>
      <c r="H157" t="n">
        <v>7.252112293375124</v>
      </c>
      <c r="I157" t="inlineStr">
        <is>
          <t>Netherlands|EWN|3 Months</t>
        </is>
      </c>
      <c r="J157" t="inlineStr">
        <is>
          <t>USD</t>
        </is>
      </c>
    </row>
    <row r="158">
      <c r="A158" t="inlineStr">
        <is>
          <t>Netherlands</t>
        </is>
      </c>
      <c r="B158" t="inlineStr">
        <is>
          <t>NLD</t>
        </is>
      </c>
      <c r="C158" t="inlineStr">
        <is>
          <t>EWN</t>
        </is>
      </c>
      <c r="D158" t="inlineStr">
        <is>
          <t>6 Months</t>
        </is>
      </c>
      <c r="E158" s="2" t="n">
        <v>45917</v>
      </c>
      <c r="F158" s="2" t="n">
        <v>46098</v>
      </c>
      <c r="G158" t="n">
        <v>10.72938329237265</v>
      </c>
      <c r="H158" t="n">
        <v>10.72938329237265</v>
      </c>
      <c r="I158" t="inlineStr">
        <is>
          <t>Netherlands|EWN|6 Months</t>
        </is>
      </c>
      <c r="J158" t="inlineStr">
        <is>
          <t>USD</t>
        </is>
      </c>
    </row>
    <row r="159">
      <c r="A159" t="inlineStr">
        <is>
          <t>Netherlands</t>
        </is>
      </c>
      <c r="B159" t="inlineStr">
        <is>
          <t>NLD</t>
        </is>
      </c>
      <c r="C159" t="inlineStr">
        <is>
          <t>EWN</t>
        </is>
      </c>
      <c r="D159" t="inlineStr">
        <is>
          <t>1 Year</t>
        </is>
      </c>
      <c r="E159" s="2" t="n">
        <v>45733</v>
      </c>
      <c r="F159" s="2" t="n">
        <v>46098</v>
      </c>
      <c r="G159" t="n">
        <v>27.42524020612771</v>
      </c>
      <c r="H159" t="n">
        <v>27.42524020612771</v>
      </c>
      <c r="I159" t="inlineStr">
        <is>
          <t>Netherlands|EWN|1 Year</t>
        </is>
      </c>
      <c r="J159" t="inlineStr">
        <is>
          <t>USD</t>
        </is>
      </c>
    </row>
    <row r="160">
      <c r="A160" t="inlineStr">
        <is>
          <t>Netherlands</t>
        </is>
      </c>
      <c r="B160" t="inlineStr">
        <is>
          <t>NLD</t>
        </is>
      </c>
      <c r="C160" t="inlineStr">
        <is>
          <t>EWN</t>
        </is>
      </c>
      <c r="D160" t="inlineStr">
        <is>
          <t>3 Years</t>
        </is>
      </c>
      <c r="E160" s="2" t="n">
        <v>45002</v>
      </c>
      <c r="F160" s="2" t="n">
        <v>46098</v>
      </c>
      <c r="G160" t="n">
        <v>64.93629637261765</v>
      </c>
      <c r="H160" t="n">
        <v>64.93629637261765</v>
      </c>
      <c r="I160" t="inlineStr">
        <is>
          <t>Netherlands|EWN|3 Years</t>
        </is>
      </c>
      <c r="J160" t="inlineStr">
        <is>
          <t>USD</t>
        </is>
      </c>
    </row>
    <row r="161">
      <c r="A161" t="inlineStr">
        <is>
          <t>Netherlands</t>
        </is>
      </c>
      <c r="B161" t="inlineStr">
        <is>
          <t>NLD</t>
        </is>
      </c>
      <c r="C161" t="inlineStr">
        <is>
          <t>EWN</t>
        </is>
      </c>
      <c r="D161" t="inlineStr">
        <is>
          <t>5 Years</t>
        </is>
      </c>
      <c r="E161" s="2" t="n">
        <v>44272</v>
      </c>
      <c r="F161" s="2" t="n">
        <v>46098</v>
      </c>
      <c r="G161" t="n">
        <v>48.12168483751844</v>
      </c>
      <c r="H161" t="n">
        <v>48.12168483751844</v>
      </c>
      <c r="I161" t="inlineStr">
        <is>
          <t>Netherlands|EWN|5 Years</t>
        </is>
      </c>
      <c r="J161" t="inlineStr">
        <is>
          <t>USD</t>
        </is>
      </c>
    </row>
    <row r="162">
      <c r="A162" t="inlineStr">
        <is>
          <t>Netherlands</t>
        </is>
      </c>
      <c r="B162" t="inlineStr">
        <is>
          <t>NLD</t>
        </is>
      </c>
      <c r="C162" t="inlineStr">
        <is>
          <t>EWN</t>
        </is>
      </c>
      <c r="D162" t="inlineStr">
        <is>
          <t>10 Years</t>
        </is>
      </c>
      <c r="E162" s="2" t="n">
        <v>42446</v>
      </c>
      <c r="F162" s="2" t="n">
        <v>46098</v>
      </c>
      <c r="G162" t="n">
        <v>202.5104028126269</v>
      </c>
      <c r="H162" t="n">
        <v>202.5104028126269</v>
      </c>
      <c r="I162" t="inlineStr">
        <is>
          <t>Netherlands|EWN|10 Years</t>
        </is>
      </c>
      <c r="J162" t="inlineStr">
        <is>
          <t>USD</t>
        </is>
      </c>
    </row>
    <row r="163">
      <c r="A163" t="inlineStr">
        <is>
          <t>Netherlands</t>
        </is>
      </c>
      <c r="B163" t="inlineStr">
        <is>
          <t>NLD</t>
        </is>
      </c>
      <c r="C163" t="inlineStr">
        <is>
          <t>EWN</t>
        </is>
      </c>
      <c r="D163" t="inlineStr">
        <is>
          <t>MAX</t>
        </is>
      </c>
      <c r="E163" s="2" t="n">
        <v>35143</v>
      </c>
      <c r="F163" s="2" t="n">
        <v>46098</v>
      </c>
      <c r="G163" t="n">
        <v>730.4452470345311</v>
      </c>
      <c r="H163" t="n">
        <v>730.4452470345311</v>
      </c>
      <c r="I163" t="inlineStr">
        <is>
          <t>Netherlands|EWN|MAX</t>
        </is>
      </c>
      <c r="J163" t="inlineStr">
        <is>
          <t>USD</t>
        </is>
      </c>
    </row>
    <row r="164">
      <c r="A164" t="inlineStr">
        <is>
          <t>Pakistan</t>
        </is>
      </c>
      <c r="B164" t="inlineStr">
        <is>
          <t>PAK</t>
        </is>
      </c>
      <c r="C164" t="inlineStr">
        <is>
          <t>XBAK.L</t>
        </is>
      </c>
      <c r="D164" t="inlineStr">
        <is>
          <t>YTD</t>
        </is>
      </c>
      <c r="E164" s="2" t="n">
        <v>46022</v>
      </c>
      <c r="F164" s="2" t="n">
        <v>46098</v>
      </c>
      <c r="G164" t="n">
        <v>-16.03433914147655</v>
      </c>
      <c r="H164" t="n">
        <v>-16.03433914147655</v>
      </c>
      <c r="I164" t="inlineStr">
        <is>
          <t>Pakistan|XBAK.L|YTD</t>
        </is>
      </c>
      <c r="J164" t="inlineStr">
        <is>
          <t>USD</t>
        </is>
      </c>
    </row>
    <row r="165">
      <c r="A165" t="inlineStr">
        <is>
          <t>Pakistan</t>
        </is>
      </c>
      <c r="B165" t="inlineStr">
        <is>
          <t>PAK</t>
        </is>
      </c>
      <c r="C165" t="inlineStr">
        <is>
          <t>XBAK.L</t>
        </is>
      </c>
      <c r="D165" t="inlineStr">
        <is>
          <t>1 Month</t>
        </is>
      </c>
      <c r="E165" s="2" t="n">
        <v>46070</v>
      </c>
      <c r="F165" s="2" t="n">
        <v>46098</v>
      </c>
      <c r="G165" t="n">
        <v>-14.03458725599612</v>
      </c>
      <c r="H165" t="n">
        <v>-14.03458725599612</v>
      </c>
      <c r="I165" t="inlineStr">
        <is>
          <t>Pakistan|XBAK.L|1 Month</t>
        </is>
      </c>
      <c r="J165" t="inlineStr">
        <is>
          <t>USD</t>
        </is>
      </c>
    </row>
    <row r="166">
      <c r="A166" t="inlineStr">
        <is>
          <t>Pakistan</t>
        </is>
      </c>
      <c r="B166" t="inlineStr">
        <is>
          <t>PAK</t>
        </is>
      </c>
      <c r="C166" t="inlineStr">
        <is>
          <t>XBAK.L</t>
        </is>
      </c>
      <c r="D166" t="inlineStr">
        <is>
          <t>3 Months</t>
        </is>
      </c>
      <c r="E166" s="2" t="n">
        <v>46008</v>
      </c>
      <c r="F166" s="2" t="n">
        <v>46098</v>
      </c>
      <c r="G166" t="n">
        <v>-14.97475945530916</v>
      </c>
      <c r="H166" t="n">
        <v>-14.97475945530916</v>
      </c>
      <c r="I166" t="inlineStr">
        <is>
          <t>Pakistan|XBAK.L|3 Months</t>
        </is>
      </c>
      <c r="J166" t="inlineStr">
        <is>
          <t>USD</t>
        </is>
      </c>
    </row>
    <row r="167">
      <c r="A167" t="inlineStr">
        <is>
          <t>Pakistan</t>
        </is>
      </c>
      <c r="B167" t="inlineStr">
        <is>
          <t>PAK</t>
        </is>
      </c>
      <c r="C167" t="inlineStr">
        <is>
          <t>XBAK.L</t>
        </is>
      </c>
      <c r="D167" t="inlineStr">
        <is>
          <t>6 Months</t>
        </is>
      </c>
      <c r="E167" s="2" t="n">
        <v>45917</v>
      </c>
      <c r="F167" s="2" t="n">
        <v>46098</v>
      </c>
      <c r="G167" t="n">
        <v>-7.419848044014032</v>
      </c>
      <c r="H167" t="n">
        <v>-7.419848044014032</v>
      </c>
      <c r="I167" t="inlineStr">
        <is>
          <t>Pakistan|XBAK.L|6 Months</t>
        </is>
      </c>
      <c r="J167" t="inlineStr">
        <is>
          <t>USD</t>
        </is>
      </c>
    </row>
    <row r="168">
      <c r="A168" t="inlineStr">
        <is>
          <t>Pakistan</t>
        </is>
      </c>
      <c r="B168" t="inlineStr">
        <is>
          <t>PAK</t>
        </is>
      </c>
      <c r="C168" t="inlineStr">
        <is>
          <t>XBAK.L</t>
        </is>
      </c>
      <c r="D168" t="inlineStr">
        <is>
          <t>1 Year</t>
        </is>
      </c>
      <c r="E168" s="2" t="n">
        <v>45733</v>
      </c>
      <c r="F168" s="2" t="n">
        <v>46098</v>
      </c>
      <c r="G168" t="n">
        <v>13.64318157263862</v>
      </c>
      <c r="H168" t="n">
        <v>13.64318157263862</v>
      </c>
      <c r="I168" t="inlineStr">
        <is>
          <t>Pakistan|XBAK.L|1 Year</t>
        </is>
      </c>
      <c r="J168" t="inlineStr">
        <is>
          <t>USD</t>
        </is>
      </c>
    </row>
    <row r="169">
      <c r="A169" t="inlineStr">
        <is>
          <t>Pakistan</t>
        </is>
      </c>
      <c r="B169" t="inlineStr">
        <is>
          <t>PAK</t>
        </is>
      </c>
      <c r="C169" t="inlineStr">
        <is>
          <t>XBAK.L</t>
        </is>
      </c>
      <c r="D169" t="inlineStr">
        <is>
          <t>3 Years</t>
        </is>
      </c>
      <c r="E169" s="2" t="n">
        <v>45002</v>
      </c>
      <c r="F169" s="2" t="n">
        <v>46098</v>
      </c>
      <c r="G169" t="n">
        <v>165.9649213067053</v>
      </c>
      <c r="H169" t="n">
        <v>165.9649213067053</v>
      </c>
      <c r="I169" t="inlineStr">
        <is>
          <t>Pakistan|XBAK.L|3 Years</t>
        </is>
      </c>
      <c r="J169" t="inlineStr">
        <is>
          <t>USD</t>
        </is>
      </c>
    </row>
    <row r="170">
      <c r="A170" t="inlineStr">
        <is>
          <t>Pakistan</t>
        </is>
      </c>
      <c r="B170" t="inlineStr">
        <is>
          <t>PAK</t>
        </is>
      </c>
      <c r="C170" t="inlineStr">
        <is>
          <t>XBAK.L</t>
        </is>
      </c>
      <c r="D170" t="inlineStr">
        <is>
          <t>5 Years</t>
        </is>
      </c>
      <c r="E170" s="2" t="n">
        <v>44272</v>
      </c>
      <c r="F170" s="2" t="n">
        <v>46098</v>
      </c>
      <c r="G170" t="n">
        <v>29.57265709670758</v>
      </c>
      <c r="H170" t="n">
        <v>29.57265709670758</v>
      </c>
      <c r="I170" t="inlineStr">
        <is>
          <t>Pakistan|XBAK.L|5 Years</t>
        </is>
      </c>
      <c r="J170" t="inlineStr">
        <is>
          <t>USD</t>
        </is>
      </c>
    </row>
    <row r="171">
      <c r="A171" t="inlineStr">
        <is>
          <t>Pakistan</t>
        </is>
      </c>
      <c r="B171" t="inlineStr">
        <is>
          <t>PAK</t>
        </is>
      </c>
      <c r="C171" t="inlineStr">
        <is>
          <t>XBAK.L</t>
        </is>
      </c>
      <c r="D171" t="inlineStr">
        <is>
          <t>10 Years</t>
        </is>
      </c>
      <c r="E171" s="2" t="n">
        <v>42446</v>
      </c>
      <c r="F171" s="2" t="n">
        <v>46098</v>
      </c>
      <c r="G171" t="n">
        <v>-14.83145748360437</v>
      </c>
      <c r="H171" t="n">
        <v>-14.83145748360437</v>
      </c>
      <c r="I171" t="inlineStr">
        <is>
          <t>Pakistan|XBAK.L|10 Years</t>
        </is>
      </c>
      <c r="J171" t="inlineStr">
        <is>
          <t>USD</t>
        </is>
      </c>
    </row>
    <row r="172">
      <c r="A172" t="inlineStr">
        <is>
          <t>Pakistan</t>
        </is>
      </c>
      <c r="B172" t="inlineStr">
        <is>
          <t>PAK</t>
        </is>
      </c>
      <c r="C172" t="inlineStr">
        <is>
          <t>XBAK.L</t>
        </is>
      </c>
      <c r="D172" t="inlineStr">
        <is>
          <t>MAX</t>
        </is>
      </c>
      <c r="E172" s="2" t="n">
        <v>41095</v>
      </c>
      <c r="F172" s="2" t="n">
        <v>46098</v>
      </c>
      <c r="G172" t="n">
        <v>31.82609250910577</v>
      </c>
      <c r="H172" t="n">
        <v>31.82609250910577</v>
      </c>
      <c r="I172" t="inlineStr">
        <is>
          <t>Pakistan|XBAK.L|MAX</t>
        </is>
      </c>
      <c r="J172" t="inlineStr">
        <is>
          <t>USD</t>
        </is>
      </c>
    </row>
    <row r="173">
      <c r="A173" t="inlineStr">
        <is>
          <t>Philippines</t>
        </is>
      </c>
      <c r="B173" t="inlineStr">
        <is>
          <t>PHL</t>
        </is>
      </c>
      <c r="C173" t="inlineStr">
        <is>
          <t>XPHG.L</t>
        </is>
      </c>
      <c r="D173" t="inlineStr">
        <is>
          <t>YTD</t>
        </is>
      </c>
      <c r="E173" s="2" t="n">
        <v>46022</v>
      </c>
      <c r="F173" s="2" t="n">
        <v>46098</v>
      </c>
      <c r="G173" t="n">
        <v>-0.5764980273870624</v>
      </c>
      <c r="H173" t="n">
        <v>-1.705006431925449</v>
      </c>
      <c r="I173" t="inlineStr">
        <is>
          <t>Philippines|XPHG.L|YTD</t>
        </is>
      </c>
      <c r="J173" t="inlineStr">
        <is>
          <t>GBp</t>
        </is>
      </c>
    </row>
    <row r="174">
      <c r="A174" t="inlineStr">
        <is>
          <t>Philippines</t>
        </is>
      </c>
      <c r="B174" t="inlineStr">
        <is>
          <t>PHL</t>
        </is>
      </c>
      <c r="C174" t="inlineStr">
        <is>
          <t>XPHG.L</t>
        </is>
      </c>
      <c r="D174" t="inlineStr">
        <is>
          <t>1 Month</t>
        </is>
      </c>
      <c r="E174" s="2" t="n">
        <v>46070</v>
      </c>
      <c r="F174" s="2" t="n">
        <v>46098</v>
      </c>
      <c r="G174" t="n">
        <v>-6.505423646783104</v>
      </c>
      <c r="H174" t="n">
        <v>-8.655226996003783</v>
      </c>
      <c r="I174" t="inlineStr">
        <is>
          <t>Philippines|XPHG.L|1 Month</t>
        </is>
      </c>
      <c r="J174" t="inlineStr">
        <is>
          <t>GBp</t>
        </is>
      </c>
    </row>
    <row r="175">
      <c r="A175" t="inlineStr">
        <is>
          <t>Philippines</t>
        </is>
      </c>
      <c r="B175" t="inlineStr">
        <is>
          <t>PHL</t>
        </is>
      </c>
      <c r="C175" t="inlineStr">
        <is>
          <t>XPHG.L</t>
        </is>
      </c>
      <c r="D175" t="inlineStr">
        <is>
          <t>3 Months</t>
        </is>
      </c>
      <c r="E175" s="2" t="n">
        <v>46008</v>
      </c>
      <c r="F175" s="2" t="n">
        <v>46098</v>
      </c>
      <c r="G175" t="n">
        <v>-1.838877872363587</v>
      </c>
      <c r="H175" t="n">
        <v>-2.648009243322635</v>
      </c>
      <c r="I175" t="inlineStr">
        <is>
          <t>Philippines|XPHG.L|3 Months</t>
        </is>
      </c>
      <c r="J175" t="inlineStr">
        <is>
          <t>GBp</t>
        </is>
      </c>
    </row>
    <row r="176">
      <c r="A176" t="inlineStr">
        <is>
          <t>Philippines</t>
        </is>
      </c>
      <c r="B176" t="inlineStr">
        <is>
          <t>PHL</t>
        </is>
      </c>
      <c r="C176" t="inlineStr">
        <is>
          <t>XPHG.L</t>
        </is>
      </c>
      <c r="D176" t="inlineStr">
        <is>
          <t>6 Months</t>
        </is>
      </c>
      <c r="E176" s="2" t="n">
        <v>45917</v>
      </c>
      <c r="F176" s="2" t="n">
        <v>46098</v>
      </c>
      <c r="G176" t="n">
        <v>-4.757857790415798</v>
      </c>
      <c r="H176" t="n">
        <v>-7.12664929128316</v>
      </c>
      <c r="I176" t="inlineStr">
        <is>
          <t>Philippines|XPHG.L|6 Months</t>
        </is>
      </c>
      <c r="J176" t="inlineStr">
        <is>
          <t>GBp</t>
        </is>
      </c>
    </row>
    <row r="177">
      <c r="A177" t="inlineStr">
        <is>
          <t>Philippines</t>
        </is>
      </c>
      <c r="B177" t="inlineStr">
        <is>
          <t>PHL</t>
        </is>
      </c>
      <c r="C177" t="inlineStr">
        <is>
          <t>XPHG.L</t>
        </is>
      </c>
      <c r="D177" t="inlineStr">
        <is>
          <t>1 Year</t>
        </is>
      </c>
      <c r="E177" s="2" t="n">
        <v>45733</v>
      </c>
      <c r="F177" s="2" t="n">
        <v>46098</v>
      </c>
      <c r="G177" t="n">
        <v>-6.349205236327037</v>
      </c>
      <c r="H177" t="n">
        <v>-3.569873190607742</v>
      </c>
      <c r="I177" t="inlineStr">
        <is>
          <t>Philippines|XPHG.L|1 Year</t>
        </is>
      </c>
      <c r="J177" t="inlineStr">
        <is>
          <t>GBp</t>
        </is>
      </c>
    </row>
    <row r="178">
      <c r="A178" t="inlineStr">
        <is>
          <t>Philippines</t>
        </is>
      </c>
      <c r="B178" t="inlineStr">
        <is>
          <t>PHL</t>
        </is>
      </c>
      <c r="C178" t="inlineStr">
        <is>
          <t>XPHG.L</t>
        </is>
      </c>
      <c r="D178" t="inlineStr">
        <is>
          <t>3 Years</t>
        </is>
      </c>
      <c r="E178" s="2" t="n">
        <v>45002</v>
      </c>
      <c r="F178" s="2" t="n">
        <v>46098</v>
      </c>
      <c r="G178" t="n">
        <v>-9.778673260264714</v>
      </c>
      <c r="H178" t="n">
        <v>-0.8102345588858362</v>
      </c>
      <c r="I178" t="inlineStr">
        <is>
          <t>Philippines|XPHG.L|3 Years</t>
        </is>
      </c>
      <c r="J178" t="inlineStr">
        <is>
          <t>GBp</t>
        </is>
      </c>
    </row>
    <row r="179">
      <c r="A179" t="inlineStr">
        <is>
          <t>Philippines</t>
        </is>
      </c>
      <c r="B179" t="inlineStr">
        <is>
          <t>PHL</t>
        </is>
      </c>
      <c r="C179" t="inlineStr">
        <is>
          <t>XPHG.L</t>
        </is>
      </c>
      <c r="D179" t="inlineStr">
        <is>
          <t>5 Years</t>
        </is>
      </c>
      <c r="E179" s="2" t="n">
        <v>44272</v>
      </c>
      <c r="F179" s="2" t="n">
        <v>46098</v>
      </c>
      <c r="G179" t="n">
        <v>-6.310073510634129</v>
      </c>
      <c r="H179" t="n">
        <v>-10.27188414350799</v>
      </c>
      <c r="I179" t="inlineStr">
        <is>
          <t>Philippines|XPHG.L|5 Years</t>
        </is>
      </c>
      <c r="J179" t="inlineStr">
        <is>
          <t>GBp</t>
        </is>
      </c>
    </row>
    <row r="180">
      <c r="A180" t="inlineStr">
        <is>
          <t>Philippines</t>
        </is>
      </c>
      <c r="B180" t="inlineStr">
        <is>
          <t>PHL</t>
        </is>
      </c>
      <c r="C180" t="inlineStr">
        <is>
          <t>XPHG.L</t>
        </is>
      </c>
      <c r="D180" t="inlineStr">
        <is>
          <t>10 Years</t>
        </is>
      </c>
      <c r="E180" s="2" t="n">
        <v>42446</v>
      </c>
      <c r="F180" s="2" t="n">
        <v>46098</v>
      </c>
      <c r="G180" t="n">
        <v>-18.56156669471225</v>
      </c>
      <c r="H180" t="n">
        <v>-23.93643746435751</v>
      </c>
      <c r="I180" t="inlineStr">
        <is>
          <t>Philippines|XPHG.L|10 Years</t>
        </is>
      </c>
      <c r="J180" t="inlineStr">
        <is>
          <t>GBp</t>
        </is>
      </c>
    </row>
    <row r="181">
      <c r="A181" t="inlineStr">
        <is>
          <t>Philippines</t>
        </is>
      </c>
      <c r="B181" t="inlineStr">
        <is>
          <t>PHL</t>
        </is>
      </c>
      <c r="C181" t="inlineStr">
        <is>
          <t>XPHG.L</t>
        </is>
      </c>
      <c r="D181" t="inlineStr">
        <is>
          <t>MAX</t>
        </is>
      </c>
      <c r="E181" s="2" t="n">
        <v>40731</v>
      </c>
      <c r="F181" s="2" t="n">
        <v>46098</v>
      </c>
      <c r="G181" t="n">
        <v>37.54601039769459</v>
      </c>
      <c r="H181" t="n">
        <v>14.39428229219226</v>
      </c>
      <c r="I181" t="inlineStr">
        <is>
          <t>Philippines|XPHG.L|MAX</t>
        </is>
      </c>
      <c r="J181" t="inlineStr">
        <is>
          <t>GBp</t>
        </is>
      </c>
    </row>
    <row r="182">
      <c r="A182" t="inlineStr">
        <is>
          <t>Poland</t>
        </is>
      </c>
      <c r="B182" t="inlineStr">
        <is>
          <t>POL</t>
        </is>
      </c>
      <c r="C182" t="inlineStr">
        <is>
          <t>IPOL.L</t>
        </is>
      </c>
      <c r="D182" t="inlineStr">
        <is>
          <t>YTD</t>
        </is>
      </c>
      <c r="E182" s="2" t="n">
        <v>46022</v>
      </c>
      <c r="F182" s="2" t="n">
        <v>46098</v>
      </c>
      <c r="G182" t="n">
        <v>2.336509180044444</v>
      </c>
      <c r="H182" t="n">
        <v>2.336509180044444</v>
      </c>
      <c r="I182" t="inlineStr">
        <is>
          <t>Poland|IPOL.L|YTD</t>
        </is>
      </c>
      <c r="J182" t="inlineStr">
        <is>
          <t>USD</t>
        </is>
      </c>
    </row>
    <row r="183">
      <c r="A183" t="inlineStr">
        <is>
          <t>Poland</t>
        </is>
      </c>
      <c r="B183" t="inlineStr">
        <is>
          <t>POL</t>
        </is>
      </c>
      <c r="C183" t="inlineStr">
        <is>
          <t>IPOL.L</t>
        </is>
      </c>
      <c r="D183" t="inlineStr">
        <is>
          <t>1 Month</t>
        </is>
      </c>
      <c r="E183" s="2" t="n">
        <v>46070</v>
      </c>
      <c r="F183" s="2" t="n">
        <v>46098</v>
      </c>
      <c r="G183" t="n">
        <v>-2.82381012888081</v>
      </c>
      <c r="H183" t="n">
        <v>-2.82381012888081</v>
      </c>
      <c r="I183" t="inlineStr">
        <is>
          <t>Poland|IPOL.L|1 Month</t>
        </is>
      </c>
      <c r="J183" t="inlineStr">
        <is>
          <t>USD</t>
        </is>
      </c>
    </row>
    <row r="184">
      <c r="A184" t="inlineStr">
        <is>
          <t>Poland</t>
        </is>
      </c>
      <c r="B184" t="inlineStr">
        <is>
          <t>POL</t>
        </is>
      </c>
      <c r="C184" t="inlineStr">
        <is>
          <t>IPOL.L</t>
        </is>
      </c>
      <c r="D184" t="inlineStr">
        <is>
          <t>3 Months</t>
        </is>
      </c>
      <c r="E184" s="2" t="n">
        <v>46008</v>
      </c>
      <c r="F184" s="2" t="n">
        <v>46098</v>
      </c>
      <c r="G184" t="n">
        <v>4.890749752182599</v>
      </c>
      <c r="H184" t="n">
        <v>4.890749752182599</v>
      </c>
      <c r="I184" t="inlineStr">
        <is>
          <t>Poland|IPOL.L|3 Months</t>
        </is>
      </c>
      <c r="J184" t="inlineStr">
        <is>
          <t>USD</t>
        </is>
      </c>
    </row>
    <row r="185">
      <c r="A185" t="inlineStr">
        <is>
          <t>Poland</t>
        </is>
      </c>
      <c r="B185" t="inlineStr">
        <is>
          <t>POL</t>
        </is>
      </c>
      <c r="C185" t="inlineStr">
        <is>
          <t>IPOL.L</t>
        </is>
      </c>
      <c r="D185" t="inlineStr">
        <is>
          <t>6 Months</t>
        </is>
      </c>
      <c r="E185" s="2" t="n">
        <v>45917</v>
      </c>
      <c r="F185" s="2" t="n">
        <v>46098</v>
      </c>
      <c r="G185" t="n">
        <v>17.02958083203756</v>
      </c>
      <c r="H185" t="n">
        <v>17.02958083203756</v>
      </c>
      <c r="I185" t="inlineStr">
        <is>
          <t>Poland|IPOL.L|6 Months</t>
        </is>
      </c>
      <c r="J185" t="inlineStr">
        <is>
          <t>USD</t>
        </is>
      </c>
    </row>
    <row r="186">
      <c r="A186" t="inlineStr">
        <is>
          <t>Poland</t>
        </is>
      </c>
      <c r="B186" t="inlineStr">
        <is>
          <t>POL</t>
        </is>
      </c>
      <c r="C186" t="inlineStr">
        <is>
          <t>IPOL.L</t>
        </is>
      </c>
      <c r="D186" t="inlineStr">
        <is>
          <t>1 Year</t>
        </is>
      </c>
      <c r="E186" s="2" t="n">
        <v>45733</v>
      </c>
      <c r="F186" s="2" t="n">
        <v>46098</v>
      </c>
      <c r="G186" t="n">
        <v>30.0366268308911</v>
      </c>
      <c r="H186" t="n">
        <v>30.0366268308911</v>
      </c>
      <c r="I186" t="inlineStr">
        <is>
          <t>Poland|IPOL.L|1 Year</t>
        </is>
      </c>
      <c r="J186" t="inlineStr">
        <is>
          <t>USD</t>
        </is>
      </c>
    </row>
    <row r="187">
      <c r="A187" t="inlineStr">
        <is>
          <t>Poland</t>
        </is>
      </c>
      <c r="B187" t="inlineStr">
        <is>
          <t>POL</t>
        </is>
      </c>
      <c r="C187" t="inlineStr">
        <is>
          <t>IPOL.L</t>
        </is>
      </c>
      <c r="D187" t="inlineStr">
        <is>
          <t>3 Years</t>
        </is>
      </c>
      <c r="E187" s="2" t="n">
        <v>45002</v>
      </c>
      <c r="F187" s="2" t="n">
        <v>46098</v>
      </c>
      <c r="G187" t="n">
        <v>168.5752810688626</v>
      </c>
      <c r="H187" t="n">
        <v>168.5752810688626</v>
      </c>
      <c r="I187" t="inlineStr">
        <is>
          <t>Poland|IPOL.L|3 Years</t>
        </is>
      </c>
      <c r="J187" t="inlineStr">
        <is>
          <t>USD</t>
        </is>
      </c>
    </row>
    <row r="188">
      <c r="A188" t="inlineStr">
        <is>
          <t>Poland</t>
        </is>
      </c>
      <c r="B188" t="inlineStr">
        <is>
          <t>POL</t>
        </is>
      </c>
      <c r="C188" t="inlineStr">
        <is>
          <t>IPOL.L</t>
        </is>
      </c>
      <c r="D188" t="inlineStr">
        <is>
          <t>5 Years</t>
        </is>
      </c>
      <c r="E188" s="2" t="n">
        <v>44272</v>
      </c>
      <c r="F188" s="2" t="n">
        <v>46098</v>
      </c>
      <c r="G188" t="n">
        <v>107.4746245174865</v>
      </c>
      <c r="H188" t="n">
        <v>107.4746245174865</v>
      </c>
      <c r="I188" t="inlineStr">
        <is>
          <t>Poland|IPOL.L|5 Years</t>
        </is>
      </c>
      <c r="J188" t="inlineStr">
        <is>
          <t>USD</t>
        </is>
      </c>
    </row>
    <row r="189">
      <c r="A189" t="inlineStr">
        <is>
          <t>Poland</t>
        </is>
      </c>
      <c r="B189" t="inlineStr">
        <is>
          <t>POL</t>
        </is>
      </c>
      <c r="C189" t="inlineStr">
        <is>
          <t>IPOL.L</t>
        </is>
      </c>
      <c r="D189" t="inlineStr">
        <is>
          <t>10 Years</t>
        </is>
      </c>
      <c r="E189" s="2" t="n">
        <v>42446</v>
      </c>
      <c r="F189" s="2" t="n">
        <v>46098</v>
      </c>
      <c r="G189" t="n">
        <v>97.80058641184637</v>
      </c>
      <c r="H189" t="n">
        <v>97.80058641184637</v>
      </c>
      <c r="I189" t="inlineStr">
        <is>
          <t>Poland|IPOL.L|10 Years</t>
        </is>
      </c>
      <c r="J189" t="inlineStr">
        <is>
          <t>USD</t>
        </is>
      </c>
    </row>
    <row r="190">
      <c r="A190" t="inlineStr">
        <is>
          <t>Poland</t>
        </is>
      </c>
      <c r="B190" t="inlineStr">
        <is>
          <t>POL</t>
        </is>
      </c>
      <c r="C190" t="inlineStr">
        <is>
          <t>IPOL.L</t>
        </is>
      </c>
      <c r="D190" t="inlineStr">
        <is>
          <t>MAX</t>
        </is>
      </c>
      <c r="E190" s="2" t="n">
        <v>40567</v>
      </c>
      <c r="F190" s="2" t="n">
        <v>46098</v>
      </c>
      <c r="G190" t="n">
        <v>34.52333021401564</v>
      </c>
      <c r="H190" t="n">
        <v>34.52333021401564</v>
      </c>
      <c r="I190" t="inlineStr">
        <is>
          <t>Poland|IPOL.L|MAX</t>
        </is>
      </c>
      <c r="J190" t="inlineStr">
        <is>
          <t>USD</t>
        </is>
      </c>
    </row>
    <row r="191">
      <c r="A191" t="inlineStr">
        <is>
          <t>Poland</t>
        </is>
      </c>
      <c r="B191" t="inlineStr">
        <is>
          <t>POL</t>
        </is>
      </c>
      <c r="C191" t="inlineStr">
        <is>
          <t>SPOL.L</t>
        </is>
      </c>
      <c r="D191" t="inlineStr">
        <is>
          <t>YTD</t>
        </is>
      </c>
      <c r="E191" s="2" t="n">
        <v>46022</v>
      </c>
      <c r="F191" s="2" t="n">
        <v>46098</v>
      </c>
      <c r="G191" t="n">
        <v>3.293565820332423</v>
      </c>
      <c r="H191" t="n">
        <v>2.121130180365793</v>
      </c>
      <c r="I191" t="inlineStr">
        <is>
          <t>Poland|SPOL.L|YTD</t>
        </is>
      </c>
      <c r="J191" t="inlineStr">
        <is>
          <t>GBp</t>
        </is>
      </c>
    </row>
    <row r="192">
      <c r="A192" t="inlineStr">
        <is>
          <t>Poland</t>
        </is>
      </c>
      <c r="B192" t="inlineStr">
        <is>
          <t>POL</t>
        </is>
      </c>
      <c r="C192" t="inlineStr">
        <is>
          <t>SPOL.L</t>
        </is>
      </c>
      <c r="D192" t="inlineStr">
        <is>
          <t>1 Month</t>
        </is>
      </c>
      <c r="E192" s="2" t="n">
        <v>46070</v>
      </c>
      <c r="F192" s="2" t="n">
        <v>46098</v>
      </c>
      <c r="G192" t="n">
        <v>-1.343981301129737</v>
      </c>
      <c r="H192" t="n">
        <v>-3.61246625172561</v>
      </c>
      <c r="I192" t="inlineStr">
        <is>
          <t>Poland|SPOL.L|1 Month</t>
        </is>
      </c>
      <c r="J192" t="inlineStr">
        <is>
          <t>GBp</t>
        </is>
      </c>
    </row>
    <row r="193">
      <c r="A193" t="inlineStr">
        <is>
          <t>Poland</t>
        </is>
      </c>
      <c r="B193" t="inlineStr">
        <is>
          <t>POL</t>
        </is>
      </c>
      <c r="C193" t="inlineStr">
        <is>
          <t>SPOL.L</t>
        </is>
      </c>
      <c r="D193" t="inlineStr">
        <is>
          <t>3 Months</t>
        </is>
      </c>
      <c r="E193" s="2" t="n">
        <v>46008</v>
      </c>
      <c r="F193" s="2" t="n">
        <v>46098</v>
      </c>
      <c r="G193" t="n">
        <v>5.564818674447691</v>
      </c>
      <c r="H193" t="n">
        <v>4.694659444319549</v>
      </c>
      <c r="I193" t="inlineStr">
        <is>
          <t>Poland|SPOL.L|3 Months</t>
        </is>
      </c>
      <c r="J193" t="inlineStr">
        <is>
          <t>GBp</t>
        </is>
      </c>
    </row>
    <row r="194">
      <c r="A194" t="inlineStr">
        <is>
          <t>Poland</t>
        </is>
      </c>
      <c r="B194" t="inlineStr">
        <is>
          <t>POL</t>
        </is>
      </c>
      <c r="C194" t="inlineStr">
        <is>
          <t>SPOL.L</t>
        </is>
      </c>
      <c r="D194" t="inlineStr">
        <is>
          <t>6 Months</t>
        </is>
      </c>
      <c r="E194" s="2" t="n">
        <v>45917</v>
      </c>
      <c r="F194" s="2" t="n">
        <v>46098</v>
      </c>
      <c r="G194" t="n">
        <v>20.08060692271219</v>
      </c>
      <c r="H194" t="n">
        <v>17.09405165948028</v>
      </c>
      <c r="I194" t="inlineStr">
        <is>
          <t>Poland|SPOL.L|6 Months</t>
        </is>
      </c>
      <c r="J194" t="inlineStr">
        <is>
          <t>GBp</t>
        </is>
      </c>
    </row>
    <row r="195">
      <c r="A195" t="inlineStr">
        <is>
          <t>Poland</t>
        </is>
      </c>
      <c r="B195" t="inlineStr">
        <is>
          <t>POL</t>
        </is>
      </c>
      <c r="C195" t="inlineStr">
        <is>
          <t>SPOL.L</t>
        </is>
      </c>
      <c r="D195" t="inlineStr">
        <is>
          <t>1 Year</t>
        </is>
      </c>
      <c r="E195" s="2" t="n">
        <v>45733</v>
      </c>
      <c r="F195" s="2" t="n">
        <v>46098</v>
      </c>
      <c r="G195" t="n">
        <v>26.80887441586293</v>
      </c>
      <c r="H195" t="n">
        <v>30.57225911788271</v>
      </c>
      <c r="I195" t="inlineStr">
        <is>
          <t>Poland|SPOL.L|1 Year</t>
        </is>
      </c>
      <c r="J195" t="inlineStr">
        <is>
          <t>GBp</t>
        </is>
      </c>
    </row>
    <row r="196">
      <c r="A196" t="inlineStr">
        <is>
          <t>Poland</t>
        </is>
      </c>
      <c r="B196" t="inlineStr">
        <is>
          <t>POL</t>
        </is>
      </c>
      <c r="C196" t="inlineStr">
        <is>
          <t>SPOL.L</t>
        </is>
      </c>
      <c r="D196" t="inlineStr">
        <is>
          <t>3 Years</t>
        </is>
      </c>
      <c r="E196" s="2" t="n">
        <v>45002</v>
      </c>
      <c r="F196" s="2" t="n">
        <v>46098</v>
      </c>
      <c r="G196" t="n">
        <v>145.4448420385623</v>
      </c>
      <c r="H196" t="n">
        <v>169.8432531453122</v>
      </c>
      <c r="I196" t="inlineStr">
        <is>
          <t>Poland|SPOL.L|3 Years</t>
        </is>
      </c>
      <c r="J196" t="inlineStr">
        <is>
          <t>GBp</t>
        </is>
      </c>
    </row>
    <row r="197">
      <c r="A197" t="inlineStr">
        <is>
          <t>Poland</t>
        </is>
      </c>
      <c r="B197" t="inlineStr">
        <is>
          <t>POL</t>
        </is>
      </c>
      <c r="C197" t="inlineStr">
        <is>
          <t>SPOL.L</t>
        </is>
      </c>
      <c r="D197" t="inlineStr">
        <is>
          <t>5 Years</t>
        </is>
      </c>
      <c r="E197" s="2" t="n">
        <v>44272</v>
      </c>
      <c r="F197" s="2" t="n">
        <v>46098</v>
      </c>
      <c r="G197" t="n">
        <v>116.1573961055652</v>
      </c>
      <c r="H197" t="n">
        <v>107.0168758559036</v>
      </c>
      <c r="I197" t="inlineStr">
        <is>
          <t>Poland|SPOL.L|5 Years</t>
        </is>
      </c>
      <c r="J197" t="inlineStr">
        <is>
          <t>GBp</t>
        </is>
      </c>
    </row>
    <row r="198">
      <c r="A198" t="inlineStr">
        <is>
          <t>Poland</t>
        </is>
      </c>
      <c r="B198" t="inlineStr">
        <is>
          <t>POL</t>
        </is>
      </c>
      <c r="C198" t="inlineStr">
        <is>
          <t>SPOL.L</t>
        </is>
      </c>
      <c r="D198" t="inlineStr">
        <is>
          <t>10 Years</t>
        </is>
      </c>
      <c r="E198" s="2" t="n">
        <v>42446</v>
      </c>
      <c r="F198" s="2" t="n">
        <v>46098</v>
      </c>
      <c r="G198" t="n">
        <v>115.3028692879915</v>
      </c>
      <c r="H198" t="n">
        <v>101.0930539490999</v>
      </c>
      <c r="I198" t="inlineStr">
        <is>
          <t>Poland|SPOL.L|10 Years</t>
        </is>
      </c>
      <c r="J198" t="inlineStr">
        <is>
          <t>GBp</t>
        </is>
      </c>
    </row>
    <row r="199">
      <c r="A199" t="inlineStr">
        <is>
          <t>Poland</t>
        </is>
      </c>
      <c r="B199" t="inlineStr">
        <is>
          <t>POL</t>
        </is>
      </c>
      <c r="C199" t="inlineStr">
        <is>
          <t>SPOL.L</t>
        </is>
      </c>
      <c r="D199" t="inlineStr">
        <is>
          <t>MAX</t>
        </is>
      </c>
      <c r="E199" s="2" t="n">
        <v>40567</v>
      </c>
      <c r="F199" s="2" t="n">
        <v>46098</v>
      </c>
      <c r="G199" t="n">
        <v>61.7177522349936</v>
      </c>
      <c r="H199" t="n">
        <v>34.62448229966761</v>
      </c>
      <c r="I199" t="inlineStr">
        <is>
          <t>Poland|SPOL.L|MAX</t>
        </is>
      </c>
      <c r="J199" t="inlineStr">
        <is>
          <t>GBp</t>
        </is>
      </c>
    </row>
    <row r="200">
      <c r="A200" t="inlineStr">
        <is>
          <t>Saudi Arabia</t>
        </is>
      </c>
      <c r="B200" t="inlineStr">
        <is>
          <t>SAU</t>
        </is>
      </c>
      <c r="C200" t="inlineStr">
        <is>
          <t>IKSA.L</t>
        </is>
      </c>
      <c r="D200" t="inlineStr">
        <is>
          <t>YTD</t>
        </is>
      </c>
      <c r="E200" s="2" t="n">
        <v>46022</v>
      </c>
      <c r="F200" s="2" t="n">
        <v>46098</v>
      </c>
      <c r="G200" t="n">
        <v>5.945766703061128</v>
      </c>
      <c r="H200" t="n">
        <v>5.945766703061128</v>
      </c>
      <c r="I200" t="inlineStr">
        <is>
          <t>Saudi Arabia|IKSA.L|YTD</t>
        </is>
      </c>
      <c r="J200" t="inlineStr">
        <is>
          <t>USD</t>
        </is>
      </c>
    </row>
    <row r="201">
      <c r="A201" t="inlineStr">
        <is>
          <t>Saudi Arabia</t>
        </is>
      </c>
      <c r="B201" t="inlineStr">
        <is>
          <t>SAU</t>
        </is>
      </c>
      <c r="C201" t="inlineStr">
        <is>
          <t>IKSA.L</t>
        </is>
      </c>
      <c r="D201" t="inlineStr">
        <is>
          <t>1 Month</t>
        </is>
      </c>
      <c r="E201" s="2" t="n">
        <v>46070</v>
      </c>
      <c r="F201" s="2" t="n">
        <v>46098</v>
      </c>
      <c r="G201" t="n">
        <v>-1.54130557839216</v>
      </c>
      <c r="H201" t="n">
        <v>-1.54130557839216</v>
      </c>
      <c r="I201" t="inlineStr">
        <is>
          <t>Saudi Arabia|IKSA.L|1 Month</t>
        </is>
      </c>
      <c r="J201" t="inlineStr">
        <is>
          <t>USD</t>
        </is>
      </c>
    </row>
    <row r="202">
      <c r="A202" t="inlineStr">
        <is>
          <t>Saudi Arabia</t>
        </is>
      </c>
      <c r="B202" t="inlineStr">
        <is>
          <t>SAU</t>
        </is>
      </c>
      <c r="C202" t="inlineStr">
        <is>
          <t>IKSA.L</t>
        </is>
      </c>
      <c r="D202" t="inlineStr">
        <is>
          <t>3 Months</t>
        </is>
      </c>
      <c r="E202" s="2" t="n">
        <v>46008</v>
      </c>
      <c r="F202" s="2" t="n">
        <v>46098</v>
      </c>
      <c r="G202" t="n">
        <v>7.814342714000899</v>
      </c>
      <c r="H202" t="n">
        <v>7.814342714000899</v>
      </c>
      <c r="I202" t="inlineStr">
        <is>
          <t>Saudi Arabia|IKSA.L|3 Months</t>
        </is>
      </c>
      <c r="J202" t="inlineStr">
        <is>
          <t>USD</t>
        </is>
      </c>
    </row>
    <row r="203">
      <c r="A203" t="inlineStr">
        <is>
          <t>Saudi Arabia</t>
        </is>
      </c>
      <c r="B203" t="inlineStr">
        <is>
          <t>SAU</t>
        </is>
      </c>
      <c r="C203" t="inlineStr">
        <is>
          <t>IKSA.L</t>
        </is>
      </c>
      <c r="D203" t="inlineStr">
        <is>
          <t>6 Months</t>
        </is>
      </c>
      <c r="E203" s="2" t="n">
        <v>45917</v>
      </c>
      <c r="F203" s="2" t="n">
        <v>46098</v>
      </c>
      <c r="G203" t="n">
        <v>6.060107293510808</v>
      </c>
      <c r="H203" t="n">
        <v>6.060107293510808</v>
      </c>
      <c r="I203" t="inlineStr">
        <is>
          <t>Saudi Arabia|IKSA.L|6 Months</t>
        </is>
      </c>
      <c r="J203" t="inlineStr">
        <is>
          <t>USD</t>
        </is>
      </c>
    </row>
    <row r="204">
      <c r="A204" t="inlineStr">
        <is>
          <t>Saudi Arabia</t>
        </is>
      </c>
      <c r="B204" t="inlineStr">
        <is>
          <t>SAU</t>
        </is>
      </c>
      <c r="C204" t="inlineStr">
        <is>
          <t>IKSA.L</t>
        </is>
      </c>
      <c r="D204" t="inlineStr">
        <is>
          <t>1 Year</t>
        </is>
      </c>
      <c r="E204" s="2" t="n">
        <v>45733</v>
      </c>
      <c r="F204" s="2" t="n">
        <v>46098</v>
      </c>
      <c r="G204" t="n">
        <v>-0.04693761006014929</v>
      </c>
      <c r="H204" t="n">
        <v>-0.04693761006014929</v>
      </c>
      <c r="I204" t="inlineStr">
        <is>
          <t>Saudi Arabia|IKSA.L|1 Year</t>
        </is>
      </c>
      <c r="J204" t="inlineStr">
        <is>
          <t>USD</t>
        </is>
      </c>
    </row>
    <row r="205">
      <c r="A205" t="inlineStr">
        <is>
          <t>Saudi Arabia</t>
        </is>
      </c>
      <c r="B205" t="inlineStr">
        <is>
          <t>SAU</t>
        </is>
      </c>
      <c r="C205" t="inlineStr">
        <is>
          <t>IKSA.L</t>
        </is>
      </c>
      <c r="D205" t="inlineStr">
        <is>
          <t>3 Years</t>
        </is>
      </c>
      <c r="E205" s="2" t="n">
        <v>45002</v>
      </c>
      <c r="F205" s="2" t="n">
        <v>46098</v>
      </c>
      <c r="G205" t="n">
        <v>17.38331706052756</v>
      </c>
      <c r="H205" t="n">
        <v>17.38331706052756</v>
      </c>
      <c r="I205" t="inlineStr">
        <is>
          <t>Saudi Arabia|IKSA.L|3 Years</t>
        </is>
      </c>
      <c r="J205" t="inlineStr">
        <is>
          <t>USD</t>
        </is>
      </c>
    </row>
    <row r="206">
      <c r="A206" t="inlineStr">
        <is>
          <t>Saudi Arabia</t>
        </is>
      </c>
      <c r="B206" t="inlineStr">
        <is>
          <t>SAU</t>
        </is>
      </c>
      <c r="C206" t="inlineStr">
        <is>
          <t>IKSA.L</t>
        </is>
      </c>
      <c r="D206" t="inlineStr">
        <is>
          <t>5 Years</t>
        </is>
      </c>
      <c r="E206" s="2" t="n">
        <v>44272</v>
      </c>
      <c r="F206" s="2" t="n">
        <v>46098</v>
      </c>
      <c r="G206" t="n">
        <v>26.92231315572215</v>
      </c>
      <c r="H206" t="n">
        <v>26.92231315572215</v>
      </c>
      <c r="I206" t="inlineStr">
        <is>
          <t>Saudi Arabia|IKSA.L|5 Years</t>
        </is>
      </c>
      <c r="J206" t="inlineStr">
        <is>
          <t>USD</t>
        </is>
      </c>
    </row>
    <row r="207">
      <c r="A207" t="inlineStr">
        <is>
          <t>Saudi Arabia</t>
        </is>
      </c>
      <c r="B207" t="inlineStr">
        <is>
          <t>SAU</t>
        </is>
      </c>
      <c r="C207" t="inlineStr">
        <is>
          <t>IKSA.L</t>
        </is>
      </c>
      <c r="D207" t="inlineStr">
        <is>
          <t>MAX</t>
        </is>
      </c>
      <c r="E207" s="2" t="n">
        <v>43566</v>
      </c>
      <c r="F207" s="2" t="n">
        <v>46098</v>
      </c>
      <c r="G207" t="n">
        <v>26.74603293241798</v>
      </c>
      <c r="H207" t="n">
        <v>26.74603293241798</v>
      </c>
      <c r="I207" t="inlineStr">
        <is>
          <t>Saudi Arabia|IKSA.L|MAX</t>
        </is>
      </c>
      <c r="J207" t="inlineStr">
        <is>
          <t>USD</t>
        </is>
      </c>
    </row>
    <row r="208">
      <c r="A208" t="inlineStr">
        <is>
          <t>Singapore</t>
        </is>
      </c>
      <c r="B208" t="inlineStr">
        <is>
          <t>SGP</t>
        </is>
      </c>
      <c r="C208" t="inlineStr">
        <is>
          <t>EWS</t>
        </is>
      </c>
      <c r="D208" t="inlineStr">
        <is>
          <t>YTD</t>
        </is>
      </c>
      <c r="E208" s="2" t="n">
        <v>46022</v>
      </c>
      <c r="F208" s="2" t="n">
        <v>46098</v>
      </c>
      <c r="G208" t="n">
        <v>2.181026450300783</v>
      </c>
      <c r="H208" t="n">
        <v>2.181026450300783</v>
      </c>
      <c r="I208" t="inlineStr">
        <is>
          <t>Singapore|EWS|YTD</t>
        </is>
      </c>
      <c r="J208" t="inlineStr">
        <is>
          <t>USD</t>
        </is>
      </c>
    </row>
    <row r="209">
      <c r="A209" t="inlineStr">
        <is>
          <t>Singapore</t>
        </is>
      </c>
      <c r="B209" t="inlineStr">
        <is>
          <t>SGP</t>
        </is>
      </c>
      <c r="C209" t="inlineStr">
        <is>
          <t>EWS</t>
        </is>
      </c>
      <c r="D209" t="inlineStr">
        <is>
          <t>1 Month</t>
        </is>
      </c>
      <c r="E209" s="2" t="n">
        <v>46070</v>
      </c>
      <c r="F209" s="2" t="n">
        <v>46098</v>
      </c>
      <c r="G209" t="n">
        <v>-1.644504249857071</v>
      </c>
      <c r="H209" t="n">
        <v>-1.644504249857071</v>
      </c>
      <c r="I209" t="inlineStr">
        <is>
          <t>Singapore|EWS|1 Month</t>
        </is>
      </c>
      <c r="J209" t="inlineStr">
        <is>
          <t>USD</t>
        </is>
      </c>
    </row>
    <row r="210">
      <c r="A210" t="inlineStr">
        <is>
          <t>Singapore</t>
        </is>
      </c>
      <c r="B210" t="inlineStr">
        <is>
          <t>SGP</t>
        </is>
      </c>
      <c r="C210" t="inlineStr">
        <is>
          <t>EWS</t>
        </is>
      </c>
      <c r="D210" t="inlineStr">
        <is>
          <t>3 Months</t>
        </is>
      </c>
      <c r="E210" s="2" t="n">
        <v>46008</v>
      </c>
      <c r="F210" s="2" t="n">
        <v>46098</v>
      </c>
      <c r="G210" t="n">
        <v>5.241488483212886</v>
      </c>
      <c r="H210" t="n">
        <v>5.241488483212886</v>
      </c>
      <c r="I210" t="inlineStr">
        <is>
          <t>Singapore|EWS|3 Months</t>
        </is>
      </c>
      <c r="J210" t="inlineStr">
        <is>
          <t>USD</t>
        </is>
      </c>
    </row>
    <row r="211">
      <c r="A211" t="inlineStr">
        <is>
          <t>Singapore</t>
        </is>
      </c>
      <c r="B211" t="inlineStr">
        <is>
          <t>SGP</t>
        </is>
      </c>
      <c r="C211" t="inlineStr">
        <is>
          <t>EWS</t>
        </is>
      </c>
      <c r="D211" t="inlineStr">
        <is>
          <t>6 Months</t>
        </is>
      </c>
      <c r="E211" s="2" t="n">
        <v>45917</v>
      </c>
      <c r="F211" s="2" t="n">
        <v>46098</v>
      </c>
      <c r="G211" t="n">
        <v>0.2571235159547047</v>
      </c>
      <c r="H211" t="n">
        <v>0.2571235159547047</v>
      </c>
      <c r="I211" t="inlineStr">
        <is>
          <t>Singapore|EWS|6 Months</t>
        </is>
      </c>
      <c r="J211" t="inlineStr">
        <is>
          <t>USD</t>
        </is>
      </c>
    </row>
    <row r="212">
      <c r="A212" t="inlineStr">
        <is>
          <t>Singapore</t>
        </is>
      </c>
      <c r="B212" t="inlineStr">
        <is>
          <t>SGP</t>
        </is>
      </c>
      <c r="C212" t="inlineStr">
        <is>
          <t>EWS</t>
        </is>
      </c>
      <c r="D212" t="inlineStr">
        <is>
          <t>1 Year</t>
        </is>
      </c>
      <c r="E212" s="2" t="n">
        <v>45733</v>
      </c>
      <c r="F212" s="2" t="n">
        <v>46098</v>
      </c>
      <c r="G212" t="n">
        <v>24.00351571157229</v>
      </c>
      <c r="H212" t="n">
        <v>24.00351571157229</v>
      </c>
      <c r="I212" t="inlineStr">
        <is>
          <t>Singapore|EWS|1 Year</t>
        </is>
      </c>
      <c r="J212" t="inlineStr">
        <is>
          <t>USD</t>
        </is>
      </c>
    </row>
    <row r="213">
      <c r="A213" t="inlineStr">
        <is>
          <t>Singapore</t>
        </is>
      </c>
      <c r="B213" t="inlineStr">
        <is>
          <t>SGP</t>
        </is>
      </c>
      <c r="C213" t="inlineStr">
        <is>
          <t>EWS</t>
        </is>
      </c>
      <c r="D213" t="inlineStr">
        <is>
          <t>3 Years</t>
        </is>
      </c>
      <c r="E213" s="2" t="n">
        <v>45002</v>
      </c>
      <c r="F213" s="2" t="n">
        <v>46098</v>
      </c>
      <c r="G213" t="n">
        <v>73.95989289789935</v>
      </c>
      <c r="H213" t="n">
        <v>73.95989289789935</v>
      </c>
      <c r="I213" t="inlineStr">
        <is>
          <t>Singapore|EWS|3 Years</t>
        </is>
      </c>
      <c r="J213" t="inlineStr">
        <is>
          <t>USD</t>
        </is>
      </c>
    </row>
    <row r="214">
      <c r="A214" t="inlineStr">
        <is>
          <t>Singapore</t>
        </is>
      </c>
      <c r="B214" t="inlineStr">
        <is>
          <t>SGP</t>
        </is>
      </c>
      <c r="C214" t="inlineStr">
        <is>
          <t>EWS</t>
        </is>
      </c>
      <c r="D214" t="inlineStr">
        <is>
          <t>5 Years</t>
        </is>
      </c>
      <c r="E214" s="2" t="n">
        <v>44272</v>
      </c>
      <c r="F214" s="2" t="n">
        <v>46098</v>
      </c>
      <c r="G214" t="n">
        <v>54.27924247514062</v>
      </c>
      <c r="H214" t="n">
        <v>54.27924247514062</v>
      </c>
      <c r="I214" t="inlineStr">
        <is>
          <t>Singapore|EWS|5 Years</t>
        </is>
      </c>
      <c r="J214" t="inlineStr">
        <is>
          <t>USD</t>
        </is>
      </c>
    </row>
    <row r="215">
      <c r="A215" t="inlineStr">
        <is>
          <t>Singapore</t>
        </is>
      </c>
      <c r="B215" t="inlineStr">
        <is>
          <t>SGP</t>
        </is>
      </c>
      <c r="C215" t="inlineStr">
        <is>
          <t>EWS</t>
        </is>
      </c>
      <c r="D215" t="inlineStr">
        <is>
          <t>10 Years</t>
        </is>
      </c>
      <c r="E215" s="2" t="n">
        <v>42446</v>
      </c>
      <c r="F215" s="2" t="n">
        <v>46098</v>
      </c>
      <c r="G215" t="n">
        <v>94.8936241679299</v>
      </c>
      <c r="H215" t="n">
        <v>94.8936241679299</v>
      </c>
      <c r="I215" t="inlineStr">
        <is>
          <t>Singapore|EWS|10 Years</t>
        </is>
      </c>
      <c r="J215" t="inlineStr">
        <is>
          <t>USD</t>
        </is>
      </c>
    </row>
    <row r="216">
      <c r="A216" t="inlineStr">
        <is>
          <t>Singapore</t>
        </is>
      </c>
      <c r="B216" t="inlineStr">
        <is>
          <t>SGP</t>
        </is>
      </c>
      <c r="C216" t="inlineStr">
        <is>
          <t>EWS</t>
        </is>
      </c>
      <c r="D216" t="inlineStr">
        <is>
          <t>MAX</t>
        </is>
      </c>
      <c r="E216" s="2" t="n">
        <v>35143</v>
      </c>
      <c r="F216" s="2" t="n">
        <v>46098</v>
      </c>
      <c r="G216" t="n">
        <v>211.4057406557323</v>
      </c>
      <c r="H216" t="n">
        <v>211.4057406557323</v>
      </c>
      <c r="I216" t="inlineStr">
        <is>
          <t>Singapore|EWS|MAX</t>
        </is>
      </c>
      <c r="J216" t="inlineStr">
        <is>
          <t>USD</t>
        </is>
      </c>
    </row>
    <row r="217">
      <c r="A217" t="inlineStr">
        <is>
          <t>South Africa</t>
        </is>
      </c>
      <c r="B217" t="inlineStr">
        <is>
          <t>ZAF</t>
        </is>
      </c>
      <c r="C217" t="inlineStr">
        <is>
          <t>IRSA.L</t>
        </is>
      </c>
      <c r="D217" t="inlineStr">
        <is>
          <t>YTD</t>
        </is>
      </c>
      <c r="E217" s="2" t="n">
        <v>46022</v>
      </c>
      <c r="F217" s="2" t="n">
        <v>46098</v>
      </c>
      <c r="G217" t="n">
        <v>0.2229045476621838</v>
      </c>
      <c r="H217" t="n">
        <v>0.2229045476621838</v>
      </c>
      <c r="I217" t="inlineStr">
        <is>
          <t>South Africa|IRSA.L|YTD</t>
        </is>
      </c>
      <c r="J217" t="inlineStr">
        <is>
          <t>USD</t>
        </is>
      </c>
    </row>
    <row r="218">
      <c r="A218" t="inlineStr">
        <is>
          <t>South Africa</t>
        </is>
      </c>
      <c r="B218" t="inlineStr">
        <is>
          <t>ZAF</t>
        </is>
      </c>
      <c r="C218" t="inlineStr">
        <is>
          <t>IRSA.L</t>
        </is>
      </c>
      <c r="D218" t="inlineStr">
        <is>
          <t>1 Month</t>
        </is>
      </c>
      <c r="E218" s="2" t="n">
        <v>46070</v>
      </c>
      <c r="F218" s="2" t="n">
        <v>46098</v>
      </c>
      <c r="G218" t="n">
        <v>-6.923247456088422</v>
      </c>
      <c r="H218" t="n">
        <v>-6.923247456088422</v>
      </c>
      <c r="I218" t="inlineStr">
        <is>
          <t>South Africa|IRSA.L|1 Month</t>
        </is>
      </c>
      <c r="J218" t="inlineStr">
        <is>
          <t>USD</t>
        </is>
      </c>
    </row>
    <row r="219">
      <c r="A219" t="inlineStr">
        <is>
          <t>South Africa</t>
        </is>
      </c>
      <c r="B219" t="inlineStr">
        <is>
          <t>ZAF</t>
        </is>
      </c>
      <c r="C219" t="inlineStr">
        <is>
          <t>IRSA.L</t>
        </is>
      </c>
      <c r="D219" t="inlineStr">
        <is>
          <t>3 Months</t>
        </is>
      </c>
      <c r="E219" s="2" t="n">
        <v>46008</v>
      </c>
      <c r="F219" s="2" t="n">
        <v>46098</v>
      </c>
      <c r="G219" t="n">
        <v>3.74295420309434</v>
      </c>
      <c r="H219" t="n">
        <v>3.74295420309434</v>
      </c>
      <c r="I219" t="inlineStr">
        <is>
          <t>South Africa|IRSA.L|3 Months</t>
        </is>
      </c>
      <c r="J219" t="inlineStr">
        <is>
          <t>USD</t>
        </is>
      </c>
    </row>
    <row r="220">
      <c r="A220" t="inlineStr">
        <is>
          <t>South Africa</t>
        </is>
      </c>
      <c r="B220" t="inlineStr">
        <is>
          <t>ZAF</t>
        </is>
      </c>
      <c r="C220" t="inlineStr">
        <is>
          <t>IRSA.L</t>
        </is>
      </c>
      <c r="D220" t="inlineStr">
        <is>
          <t>6 Months</t>
        </is>
      </c>
      <c r="E220" s="2" t="n">
        <v>45917</v>
      </c>
      <c r="F220" s="2" t="n">
        <v>46098</v>
      </c>
      <c r="G220" t="n">
        <v>19.13640795682197</v>
      </c>
      <c r="H220" t="n">
        <v>19.13640795682197</v>
      </c>
      <c r="I220" t="inlineStr">
        <is>
          <t>South Africa|IRSA.L|6 Months</t>
        </is>
      </c>
      <c r="J220" t="inlineStr">
        <is>
          <t>USD</t>
        </is>
      </c>
    </row>
    <row r="221">
      <c r="A221" t="inlineStr">
        <is>
          <t>South Africa</t>
        </is>
      </c>
      <c r="B221" t="inlineStr">
        <is>
          <t>ZAF</t>
        </is>
      </c>
      <c r="C221" t="inlineStr">
        <is>
          <t>IRSA.L</t>
        </is>
      </c>
      <c r="D221" t="inlineStr">
        <is>
          <t>1 Year</t>
        </is>
      </c>
      <c r="E221" s="2" t="n">
        <v>45733</v>
      </c>
      <c r="F221" s="2" t="n">
        <v>46098</v>
      </c>
      <c r="G221" t="n">
        <v>56.68559146366501</v>
      </c>
      <c r="H221" t="n">
        <v>56.68559146366501</v>
      </c>
      <c r="I221" t="inlineStr">
        <is>
          <t>South Africa|IRSA.L|1 Year</t>
        </is>
      </c>
      <c r="J221" t="inlineStr">
        <is>
          <t>USD</t>
        </is>
      </c>
    </row>
    <row r="222">
      <c r="A222" t="inlineStr">
        <is>
          <t>South Africa</t>
        </is>
      </c>
      <c r="B222" t="inlineStr">
        <is>
          <t>ZAF</t>
        </is>
      </c>
      <c r="C222" t="inlineStr">
        <is>
          <t>IRSA.L</t>
        </is>
      </c>
      <c r="D222" t="inlineStr">
        <is>
          <t>3 Years</t>
        </is>
      </c>
      <c r="E222" s="2" t="n">
        <v>45002</v>
      </c>
      <c r="F222" s="2" t="n">
        <v>46098</v>
      </c>
      <c r="G222" t="n">
        <v>110.1436741629176</v>
      </c>
      <c r="H222" t="n">
        <v>110.1436741629176</v>
      </c>
      <c r="I222" t="inlineStr">
        <is>
          <t>South Africa|IRSA.L|3 Years</t>
        </is>
      </c>
      <c r="J222" t="inlineStr">
        <is>
          <t>USD</t>
        </is>
      </c>
    </row>
    <row r="223">
      <c r="A223" t="inlineStr">
        <is>
          <t>South Africa</t>
        </is>
      </c>
      <c r="B223" t="inlineStr">
        <is>
          <t>ZAF</t>
        </is>
      </c>
      <c r="C223" t="inlineStr">
        <is>
          <t>IRSA.L</t>
        </is>
      </c>
      <c r="D223" t="inlineStr">
        <is>
          <t>5 Years</t>
        </is>
      </c>
      <c r="E223" s="2" t="n">
        <v>44272</v>
      </c>
      <c r="F223" s="2" t="n">
        <v>46098</v>
      </c>
      <c r="G223" t="n">
        <v>73.65183116372324</v>
      </c>
      <c r="H223" t="n">
        <v>73.65183116372324</v>
      </c>
      <c r="I223" t="inlineStr">
        <is>
          <t>South Africa|IRSA.L|5 Years</t>
        </is>
      </c>
      <c r="J223" t="inlineStr">
        <is>
          <t>USD</t>
        </is>
      </c>
    </row>
    <row r="224">
      <c r="A224" t="inlineStr">
        <is>
          <t>South Africa</t>
        </is>
      </c>
      <c r="B224" t="inlineStr">
        <is>
          <t>ZAF</t>
        </is>
      </c>
      <c r="C224" t="inlineStr">
        <is>
          <t>IRSA.L</t>
        </is>
      </c>
      <c r="D224" t="inlineStr">
        <is>
          <t>10 Years</t>
        </is>
      </c>
      <c r="E224" s="2" t="n">
        <v>42446</v>
      </c>
      <c r="F224" s="2" t="n">
        <v>46098</v>
      </c>
      <c r="G224" t="n">
        <v>119.0149753878734</v>
      </c>
      <c r="H224" t="n">
        <v>119.0149753878734</v>
      </c>
      <c r="I224" t="inlineStr">
        <is>
          <t>South Africa|IRSA.L|10 Years</t>
        </is>
      </c>
      <c r="J224" t="inlineStr">
        <is>
          <t>USD</t>
        </is>
      </c>
    </row>
    <row r="225">
      <c r="A225" t="inlineStr">
        <is>
          <t>South Africa</t>
        </is>
      </c>
      <c r="B225" t="inlineStr">
        <is>
          <t>ZAF</t>
        </is>
      </c>
      <c r="C225" t="inlineStr">
        <is>
          <t>IRSA.L</t>
        </is>
      </c>
      <c r="D225" t="inlineStr">
        <is>
          <t>MAX</t>
        </is>
      </c>
      <c r="E225" s="2" t="n">
        <v>40203</v>
      </c>
      <c r="F225" s="2" t="n">
        <v>46098</v>
      </c>
      <c r="G225" t="n">
        <v>149.1789788262384</v>
      </c>
      <c r="H225" t="n">
        <v>149.1789788262384</v>
      </c>
      <c r="I225" t="inlineStr">
        <is>
          <t>South Africa|IRSA.L|MAX</t>
        </is>
      </c>
      <c r="J225" t="inlineStr">
        <is>
          <t>USD</t>
        </is>
      </c>
    </row>
    <row r="226">
      <c r="A226" t="inlineStr">
        <is>
          <t>South Africa</t>
        </is>
      </c>
      <c r="B226" t="inlineStr">
        <is>
          <t>ZAF</t>
        </is>
      </c>
      <c r="C226" t="inlineStr">
        <is>
          <t>SRSA.L</t>
        </is>
      </c>
      <c r="D226" t="inlineStr">
        <is>
          <t>YTD</t>
        </is>
      </c>
      <c r="E226" s="2" t="n">
        <v>46022</v>
      </c>
      <c r="F226" s="2" t="n">
        <v>46098</v>
      </c>
      <c r="G226" t="n">
        <v>1.29956681106298</v>
      </c>
      <c r="H226" t="n">
        <v>0.1497640958671997</v>
      </c>
      <c r="I226" t="inlineStr">
        <is>
          <t>South Africa|SRSA.L|YTD</t>
        </is>
      </c>
      <c r="J226" t="inlineStr">
        <is>
          <t>GBp</t>
        </is>
      </c>
    </row>
    <row r="227">
      <c r="A227" t="inlineStr">
        <is>
          <t>South Africa</t>
        </is>
      </c>
      <c r="B227" t="inlineStr">
        <is>
          <t>ZAF</t>
        </is>
      </c>
      <c r="C227" t="inlineStr">
        <is>
          <t>SRSA.L</t>
        </is>
      </c>
      <c r="D227" t="inlineStr">
        <is>
          <t>1 Month</t>
        </is>
      </c>
      <c r="E227" s="2" t="n">
        <v>46070</v>
      </c>
      <c r="F227" s="2" t="n">
        <v>46098</v>
      </c>
      <c r="G227" t="n">
        <v>-4.960400166736134</v>
      </c>
      <c r="H227" t="n">
        <v>-7.145729605079687</v>
      </c>
      <c r="I227" t="inlineStr">
        <is>
          <t>South Africa|SRSA.L|1 Month</t>
        </is>
      </c>
      <c r="J227" t="inlineStr">
        <is>
          <t>GBp</t>
        </is>
      </c>
    </row>
    <row r="228">
      <c r="A228" t="inlineStr">
        <is>
          <t>South Africa</t>
        </is>
      </c>
      <c r="B228" t="inlineStr">
        <is>
          <t>ZAF</t>
        </is>
      </c>
      <c r="C228" t="inlineStr">
        <is>
          <t>SRSA.L</t>
        </is>
      </c>
      <c r="D228" t="inlineStr">
        <is>
          <t>3 Months</t>
        </is>
      </c>
      <c r="E228" s="2" t="n">
        <v>46008</v>
      </c>
      <c r="F228" s="2" t="n">
        <v>46098</v>
      </c>
      <c r="G228" t="n">
        <v>4.731281580156188</v>
      </c>
      <c r="H228" t="n">
        <v>3.867993104938239</v>
      </c>
      <c r="I228" t="inlineStr">
        <is>
          <t>South Africa|SRSA.L|3 Months</t>
        </is>
      </c>
      <c r="J228" t="inlineStr">
        <is>
          <t>GBp</t>
        </is>
      </c>
    </row>
    <row r="229">
      <c r="A229" t="inlineStr">
        <is>
          <t>South Africa</t>
        </is>
      </c>
      <c r="B229" t="inlineStr">
        <is>
          <t>ZAF</t>
        </is>
      </c>
      <c r="C229" t="inlineStr">
        <is>
          <t>SRSA.L</t>
        </is>
      </c>
      <c r="D229" t="inlineStr">
        <is>
          <t>6 Months</t>
        </is>
      </c>
      <c r="E229" s="2" t="n">
        <v>45917</v>
      </c>
      <c r="F229" s="2" t="n">
        <v>46098</v>
      </c>
      <c r="G229" t="n">
        <v>22.54770223058318</v>
      </c>
      <c r="H229" t="n">
        <v>19.4997872135539</v>
      </c>
      <c r="I229" t="inlineStr">
        <is>
          <t>South Africa|SRSA.L|6 Months</t>
        </is>
      </c>
      <c r="J229" t="inlineStr">
        <is>
          <t>GBp</t>
        </is>
      </c>
    </row>
    <row r="230">
      <c r="A230" t="inlineStr">
        <is>
          <t>South Africa</t>
        </is>
      </c>
      <c r="B230" t="inlineStr">
        <is>
          <t>ZAF</t>
        </is>
      </c>
      <c r="C230" t="inlineStr">
        <is>
          <t>SRSA.L</t>
        </is>
      </c>
      <c r="D230" t="inlineStr">
        <is>
          <t>1 Year</t>
        </is>
      </c>
      <c r="E230" s="2" t="n">
        <v>45733</v>
      </c>
      <c r="F230" s="2" t="n">
        <v>46098</v>
      </c>
      <c r="G230" t="n">
        <v>52.84062342885871</v>
      </c>
      <c r="H230" t="n">
        <v>57.37656830423867</v>
      </c>
      <c r="I230" t="inlineStr">
        <is>
          <t>South Africa|SRSA.L|1 Year</t>
        </is>
      </c>
      <c r="J230" t="inlineStr">
        <is>
          <t>GBp</t>
        </is>
      </c>
    </row>
    <row r="231">
      <c r="A231" t="inlineStr">
        <is>
          <t>South Africa</t>
        </is>
      </c>
      <c r="B231" t="inlineStr">
        <is>
          <t>ZAF</t>
        </is>
      </c>
      <c r="C231" t="inlineStr">
        <is>
          <t>SRSA.L</t>
        </is>
      </c>
      <c r="D231" t="inlineStr">
        <is>
          <t>3 Years</t>
        </is>
      </c>
      <c r="E231" s="2" t="n">
        <v>45002</v>
      </c>
      <c r="F231" s="2" t="n">
        <v>46098</v>
      </c>
      <c r="G231" t="n">
        <v>92.12133979355383</v>
      </c>
      <c r="H231" t="n">
        <v>111.219135419368</v>
      </c>
      <c r="I231" t="inlineStr">
        <is>
          <t>South Africa|SRSA.L|3 Years</t>
        </is>
      </c>
      <c r="J231" t="inlineStr">
        <is>
          <t>GBp</t>
        </is>
      </c>
    </row>
    <row r="232">
      <c r="A232" t="inlineStr">
        <is>
          <t>South Africa</t>
        </is>
      </c>
      <c r="B232" t="inlineStr">
        <is>
          <t>ZAF</t>
        </is>
      </c>
      <c r="C232" t="inlineStr">
        <is>
          <t>SRSA.L</t>
        </is>
      </c>
      <c r="D232" t="inlineStr">
        <is>
          <t>5 Years</t>
        </is>
      </c>
      <c r="E232" s="2" t="n">
        <v>44272</v>
      </c>
      <c r="F232" s="2" t="n">
        <v>46098</v>
      </c>
      <c r="G232" t="n">
        <v>80.98829132764438</v>
      </c>
      <c r="H232" t="n">
        <v>73.33494625762856</v>
      </c>
      <c r="I232" t="inlineStr">
        <is>
          <t>South Africa|SRSA.L|5 Years</t>
        </is>
      </c>
      <c r="J232" t="inlineStr">
        <is>
          <t>GBp</t>
        </is>
      </c>
    </row>
    <row r="233">
      <c r="A233" t="inlineStr">
        <is>
          <t>South Africa</t>
        </is>
      </c>
      <c r="B233" t="inlineStr">
        <is>
          <t>ZAF</t>
        </is>
      </c>
      <c r="C233" t="inlineStr">
        <is>
          <t>SRSA.L</t>
        </is>
      </c>
      <c r="D233" t="inlineStr">
        <is>
          <t>10 Years</t>
        </is>
      </c>
      <c r="E233" s="2" t="n">
        <v>42446</v>
      </c>
      <c r="F233" s="2" t="n">
        <v>46098</v>
      </c>
      <c r="G233" t="n">
        <v>138.6185243328101</v>
      </c>
      <c r="H233" t="n">
        <v>122.869894607525</v>
      </c>
      <c r="I233" t="inlineStr">
        <is>
          <t>South Africa|SRSA.L|10 Years</t>
        </is>
      </c>
      <c r="J233" t="inlineStr">
        <is>
          <t>GBp</t>
        </is>
      </c>
    </row>
    <row r="234">
      <c r="A234" t="inlineStr">
        <is>
          <t>South Africa</t>
        </is>
      </c>
      <c r="B234" t="inlineStr">
        <is>
          <t>ZAF</t>
        </is>
      </c>
      <c r="C234" t="inlineStr">
        <is>
          <t>SRSA.L</t>
        </is>
      </c>
      <c r="D234" t="inlineStr">
        <is>
          <t>MAX</t>
        </is>
      </c>
      <c r="E234" s="2" t="n">
        <v>40203</v>
      </c>
      <c r="F234" s="2" t="n">
        <v>46098</v>
      </c>
      <c r="G234" t="n">
        <v>203.2943371501365</v>
      </c>
      <c r="H234" t="n">
        <v>148.5004935691337</v>
      </c>
      <c r="I234" t="inlineStr">
        <is>
          <t>South Africa|SRSA.L|MAX</t>
        </is>
      </c>
      <c r="J234" t="inlineStr">
        <is>
          <t>GBp</t>
        </is>
      </c>
    </row>
    <row r="235">
      <c r="A235" t="inlineStr">
        <is>
          <t>South Korea</t>
        </is>
      </c>
      <c r="B235" t="inlineStr">
        <is>
          <t>KOR</t>
        </is>
      </c>
      <c r="C235" t="inlineStr">
        <is>
          <t>CSKR.L</t>
        </is>
      </c>
      <c r="D235" t="inlineStr">
        <is>
          <t>YTD</t>
        </is>
      </c>
      <c r="E235" s="2" t="n">
        <v>46022</v>
      </c>
      <c r="F235" s="2" t="n">
        <v>46098</v>
      </c>
      <c r="G235" t="n">
        <v>38.70997682950596</v>
      </c>
      <c r="H235" t="n">
        <v>38.70997682950596</v>
      </c>
      <c r="I235" t="inlineStr">
        <is>
          <t>South Korea|CSKR.L|YTD</t>
        </is>
      </c>
      <c r="J235" t="inlineStr">
        <is>
          <t>USD</t>
        </is>
      </c>
    </row>
    <row r="236">
      <c r="A236" t="inlineStr">
        <is>
          <t>South Korea</t>
        </is>
      </c>
      <c r="B236" t="inlineStr">
        <is>
          <t>KOR</t>
        </is>
      </c>
      <c r="C236" t="inlineStr">
        <is>
          <t>CSKR.L</t>
        </is>
      </c>
      <c r="D236" t="inlineStr">
        <is>
          <t>1 Month</t>
        </is>
      </c>
      <c r="E236" s="2" t="n">
        <v>46070</v>
      </c>
      <c r="F236" s="2" t="n">
        <v>46098</v>
      </c>
      <c r="G236" t="n">
        <v>2.314184667163954</v>
      </c>
      <c r="H236" t="n">
        <v>2.314184667163954</v>
      </c>
      <c r="I236" t="inlineStr">
        <is>
          <t>South Korea|CSKR.L|1 Month</t>
        </is>
      </c>
      <c r="J236" t="inlineStr">
        <is>
          <t>USD</t>
        </is>
      </c>
    </row>
    <row r="237">
      <c r="A237" t="inlineStr">
        <is>
          <t>South Korea</t>
        </is>
      </c>
      <c r="B237" t="inlineStr">
        <is>
          <t>KOR</t>
        </is>
      </c>
      <c r="C237" t="inlineStr">
        <is>
          <t>CSKR.L</t>
        </is>
      </c>
      <c r="D237" t="inlineStr">
        <is>
          <t>3 Months</t>
        </is>
      </c>
      <c r="E237" s="2" t="n">
        <v>46008</v>
      </c>
      <c r="F237" s="2" t="n">
        <v>46098</v>
      </c>
      <c r="G237" t="n">
        <v>53.57580403748688</v>
      </c>
      <c r="H237" t="n">
        <v>53.57580403748688</v>
      </c>
      <c r="I237" t="inlineStr">
        <is>
          <t>South Korea|CSKR.L|3 Months</t>
        </is>
      </c>
      <c r="J237" t="inlineStr">
        <is>
          <t>USD</t>
        </is>
      </c>
    </row>
    <row r="238">
      <c r="A238" t="inlineStr">
        <is>
          <t>South Korea</t>
        </is>
      </c>
      <c r="B238" t="inlineStr">
        <is>
          <t>KOR</t>
        </is>
      </c>
      <c r="C238" t="inlineStr">
        <is>
          <t>CSKR.L</t>
        </is>
      </c>
      <c r="D238" t="inlineStr">
        <is>
          <t>6 Months</t>
        </is>
      </c>
      <c r="E238" s="2" t="n">
        <v>45917</v>
      </c>
      <c r="F238" s="2" t="n">
        <v>46098</v>
      </c>
      <c r="G238" t="n">
        <v>76.14247810737528</v>
      </c>
      <c r="H238" t="n">
        <v>76.14247810737528</v>
      </c>
      <c r="I238" t="inlineStr">
        <is>
          <t>South Korea|CSKR.L|6 Months</t>
        </is>
      </c>
      <c r="J238" t="inlineStr">
        <is>
          <t>USD</t>
        </is>
      </c>
    </row>
    <row r="239">
      <c r="A239" t="inlineStr">
        <is>
          <t>South Korea</t>
        </is>
      </c>
      <c r="B239" t="inlineStr">
        <is>
          <t>KOR</t>
        </is>
      </c>
      <c r="C239" t="inlineStr">
        <is>
          <t>CSKR.L</t>
        </is>
      </c>
      <c r="D239" t="inlineStr">
        <is>
          <t>1 Year</t>
        </is>
      </c>
      <c r="E239" s="2" t="n">
        <v>45733</v>
      </c>
      <c r="F239" s="2" t="n">
        <v>46098</v>
      </c>
      <c r="G239" t="n">
        <v>145.8136942637016</v>
      </c>
      <c r="H239" t="n">
        <v>145.8136942637016</v>
      </c>
      <c r="I239" t="inlineStr">
        <is>
          <t>South Korea|CSKR.L|1 Year</t>
        </is>
      </c>
      <c r="J239" t="inlineStr">
        <is>
          <t>USD</t>
        </is>
      </c>
    </row>
    <row r="240">
      <c r="A240" t="inlineStr">
        <is>
          <t>South Korea</t>
        </is>
      </c>
      <c r="B240" t="inlineStr">
        <is>
          <t>KOR</t>
        </is>
      </c>
      <c r="C240" t="inlineStr">
        <is>
          <t>CSKR.L</t>
        </is>
      </c>
      <c r="D240" t="inlineStr">
        <is>
          <t>3 Years</t>
        </is>
      </c>
      <c r="E240" s="2" t="n">
        <v>45002</v>
      </c>
      <c r="F240" s="2" t="n">
        <v>46098</v>
      </c>
      <c r="G240" t="n">
        <v>147.3670302280111</v>
      </c>
      <c r="H240" t="n">
        <v>147.3670302280111</v>
      </c>
      <c r="I240" t="inlineStr">
        <is>
          <t>South Korea|CSKR.L|3 Years</t>
        </is>
      </c>
      <c r="J240" t="inlineStr">
        <is>
          <t>USD</t>
        </is>
      </c>
    </row>
    <row r="241">
      <c r="A241" t="inlineStr">
        <is>
          <t>South Korea</t>
        </is>
      </c>
      <c r="B241" t="inlineStr">
        <is>
          <t>KOR</t>
        </is>
      </c>
      <c r="C241" t="inlineStr">
        <is>
          <t>CSKR.L</t>
        </is>
      </c>
      <c r="D241" t="inlineStr">
        <is>
          <t>5 Years</t>
        </is>
      </c>
      <c r="E241" s="2" t="n">
        <v>44272</v>
      </c>
      <c r="F241" s="2" t="n">
        <v>46098</v>
      </c>
      <c r="G241" t="n">
        <v>65.15414129821858</v>
      </c>
      <c r="H241" t="n">
        <v>65.15414129821858</v>
      </c>
      <c r="I241" t="inlineStr">
        <is>
          <t>South Korea|CSKR.L|5 Years</t>
        </is>
      </c>
      <c r="J241" t="inlineStr">
        <is>
          <t>USD</t>
        </is>
      </c>
    </row>
    <row r="242">
      <c r="A242" t="inlineStr">
        <is>
          <t>South Korea</t>
        </is>
      </c>
      <c r="B242" t="inlineStr">
        <is>
          <t>KOR</t>
        </is>
      </c>
      <c r="C242" t="inlineStr">
        <is>
          <t>CSKR.L</t>
        </is>
      </c>
      <c r="D242" t="inlineStr">
        <is>
          <t>10 Years</t>
        </is>
      </c>
      <c r="E242" s="2" t="n">
        <v>42446</v>
      </c>
      <c r="F242" s="2" t="n">
        <v>46098</v>
      </c>
      <c r="G242" t="n">
        <v>224.8335896468678</v>
      </c>
      <c r="H242" t="n">
        <v>224.8335896468678</v>
      </c>
      <c r="I242" t="inlineStr">
        <is>
          <t>South Korea|CSKR.L|10 Years</t>
        </is>
      </c>
      <c r="J242" t="inlineStr">
        <is>
          <t>USD</t>
        </is>
      </c>
    </row>
    <row r="243">
      <c r="A243" t="inlineStr">
        <is>
          <t>South Korea</t>
        </is>
      </c>
      <c r="B243" t="inlineStr">
        <is>
          <t>KOR</t>
        </is>
      </c>
      <c r="C243" t="inlineStr">
        <is>
          <t>CSKR.L</t>
        </is>
      </c>
      <c r="D243" t="inlineStr">
        <is>
          <t>MAX</t>
        </is>
      </c>
      <c r="E243" s="2" t="n">
        <v>40441</v>
      </c>
      <c r="F243" s="2" t="n">
        <v>46098</v>
      </c>
      <c r="G243" t="n">
        <v>248.9322176801624</v>
      </c>
      <c r="H243" t="n">
        <v>248.9322176801624</v>
      </c>
      <c r="I243" t="inlineStr">
        <is>
          <t>South Korea|CSKR.L|MAX</t>
        </is>
      </c>
      <c r="J243" t="inlineStr">
        <is>
          <t>USD</t>
        </is>
      </c>
    </row>
    <row r="244">
      <c r="A244" t="inlineStr">
        <is>
          <t>Spain</t>
        </is>
      </c>
      <c r="B244" t="inlineStr">
        <is>
          <t>ESP</t>
        </is>
      </c>
      <c r="C244" t="inlineStr">
        <is>
          <t>XESP.DE</t>
        </is>
      </c>
      <c r="D244" t="inlineStr">
        <is>
          <t>YTD</t>
        </is>
      </c>
      <c r="E244" s="2" t="n">
        <v>46021</v>
      </c>
      <c r="F244" s="2" t="n">
        <v>46098</v>
      </c>
      <c r="G244" t="n">
        <v>-0.07312781530058876</v>
      </c>
      <c r="H244" t="n">
        <v>-2.393194886671401</v>
      </c>
      <c r="I244" t="inlineStr">
        <is>
          <t>Spain|XESP.DE|YTD</t>
        </is>
      </c>
      <c r="J244" t="inlineStr">
        <is>
          <t>EUR</t>
        </is>
      </c>
    </row>
    <row r="245">
      <c r="A245" t="inlineStr">
        <is>
          <t>Spain</t>
        </is>
      </c>
      <c r="B245" t="inlineStr">
        <is>
          <t>ESP</t>
        </is>
      </c>
      <c r="C245" t="inlineStr">
        <is>
          <t>XESP.DE</t>
        </is>
      </c>
      <c r="D245" t="inlineStr">
        <is>
          <t>1 Month</t>
        </is>
      </c>
      <c r="E245" s="2" t="n">
        <v>46070</v>
      </c>
      <c r="F245" s="2" t="n">
        <v>46098</v>
      </c>
      <c r="G245" t="n">
        <v>-4.155705738407156</v>
      </c>
      <c r="H245" t="n">
        <v>-6.989370797174765</v>
      </c>
      <c r="I245" t="inlineStr">
        <is>
          <t>Spain|XESP.DE|1 Month</t>
        </is>
      </c>
      <c r="J245" t="inlineStr">
        <is>
          <t>EUR</t>
        </is>
      </c>
    </row>
    <row r="246">
      <c r="A246" t="inlineStr">
        <is>
          <t>Spain</t>
        </is>
      </c>
      <c r="B246" t="inlineStr">
        <is>
          <t>ESP</t>
        </is>
      </c>
      <c r="C246" t="inlineStr">
        <is>
          <t>XESP.DE</t>
        </is>
      </c>
      <c r="D246" t="inlineStr">
        <is>
          <t>3 Months</t>
        </is>
      </c>
      <c r="E246" s="2" t="n">
        <v>46008</v>
      </c>
      <c r="F246" s="2" t="n">
        <v>46098</v>
      </c>
      <c r="G246" t="n">
        <v>2.282936474652875</v>
      </c>
      <c r="H246" t="n">
        <v>0.1069557147472366</v>
      </c>
      <c r="I246" t="inlineStr">
        <is>
          <t>Spain|XESP.DE|3 Months</t>
        </is>
      </c>
      <c r="J246" t="inlineStr">
        <is>
          <t>EUR</t>
        </is>
      </c>
    </row>
    <row r="247">
      <c r="A247" t="inlineStr">
        <is>
          <t>Spain</t>
        </is>
      </c>
      <c r="B247" t="inlineStr">
        <is>
          <t>ESP</t>
        </is>
      </c>
      <c r="C247" t="inlineStr">
        <is>
          <t>XESP.DE</t>
        </is>
      </c>
      <c r="D247" t="inlineStr">
        <is>
          <t>6 Months</t>
        </is>
      </c>
      <c r="E247" s="2" t="n">
        <v>45917</v>
      </c>
      <c r="F247" s="2" t="n">
        <v>46098</v>
      </c>
      <c r="G247" t="n">
        <v>16.06327302393908</v>
      </c>
      <c r="H247" t="n">
        <v>12.42762279264067</v>
      </c>
      <c r="I247" t="inlineStr">
        <is>
          <t>Spain|XESP.DE|6 Months</t>
        </is>
      </c>
      <c r="J247" t="inlineStr">
        <is>
          <t>EUR</t>
        </is>
      </c>
    </row>
    <row r="248">
      <c r="A248" t="inlineStr">
        <is>
          <t>Spain</t>
        </is>
      </c>
      <c r="B248" t="inlineStr">
        <is>
          <t>ESP</t>
        </is>
      </c>
      <c r="C248" t="inlineStr">
        <is>
          <t>XESP.DE</t>
        </is>
      </c>
      <c r="D248" t="inlineStr">
        <is>
          <t>1 Year</t>
        </is>
      </c>
      <c r="E248" s="2" t="n">
        <v>45733</v>
      </c>
      <c r="F248" s="2" t="n">
        <v>46098</v>
      </c>
      <c r="G248" t="n">
        <v>36.58170720187574</v>
      </c>
      <c r="H248" t="n">
        <v>44.34216223218306</v>
      </c>
      <c r="I248" t="inlineStr">
        <is>
          <t>Spain|XESP.DE|1 Year</t>
        </is>
      </c>
      <c r="J248" t="inlineStr">
        <is>
          <t>EUR</t>
        </is>
      </c>
    </row>
    <row r="249">
      <c r="A249" t="inlineStr">
        <is>
          <t>Spain</t>
        </is>
      </c>
      <c r="B249" t="inlineStr">
        <is>
          <t>ESP</t>
        </is>
      </c>
      <c r="C249" t="inlineStr">
        <is>
          <t>XESP.DE</t>
        </is>
      </c>
      <c r="D249" t="inlineStr">
        <is>
          <t>3 Years</t>
        </is>
      </c>
      <c r="E249" s="2" t="n">
        <v>45002</v>
      </c>
      <c r="F249" s="2" t="n">
        <v>46098</v>
      </c>
      <c r="G249" t="n">
        <v>118.0295193968305</v>
      </c>
      <c r="H249" t="n">
        <v>136.2170176069332</v>
      </c>
      <c r="I249" t="inlineStr">
        <is>
          <t>Spain|XESP.DE|3 Years</t>
        </is>
      </c>
      <c r="J249" t="inlineStr">
        <is>
          <t>EUR</t>
        </is>
      </c>
    </row>
    <row r="250">
      <c r="A250" t="inlineStr">
        <is>
          <t>Spain</t>
        </is>
      </c>
      <c r="B250" t="inlineStr">
        <is>
          <t>ESP</t>
        </is>
      </c>
      <c r="C250" t="inlineStr">
        <is>
          <t>XESP.DE</t>
        </is>
      </c>
      <c r="D250" t="inlineStr">
        <is>
          <t>5 Years</t>
        </is>
      </c>
      <c r="E250" s="2" t="n">
        <v>44272</v>
      </c>
      <c r="F250" s="2" t="n">
        <v>46098</v>
      </c>
      <c r="G250" t="n">
        <v>136.9310817965687</v>
      </c>
      <c r="H250" t="n">
        <v>128.9261870656637</v>
      </c>
      <c r="I250" t="inlineStr">
        <is>
          <t>Spain|XESP.DE|5 Years</t>
        </is>
      </c>
      <c r="J250" t="inlineStr">
        <is>
          <t>EUR</t>
        </is>
      </c>
    </row>
    <row r="251">
      <c r="A251" t="inlineStr">
        <is>
          <t>Spain</t>
        </is>
      </c>
      <c r="B251" t="inlineStr">
        <is>
          <t>ESP</t>
        </is>
      </c>
      <c r="C251" t="inlineStr">
        <is>
          <t>XESP.DE</t>
        </is>
      </c>
      <c r="D251" t="inlineStr">
        <is>
          <t>10 Years</t>
        </is>
      </c>
      <c r="E251" s="2" t="n">
        <v>42446</v>
      </c>
      <c r="F251" s="2" t="n">
        <v>46098</v>
      </c>
      <c r="G251" t="n">
        <v>179.5135741332348</v>
      </c>
      <c r="H251" t="n">
        <v>186.5046159246086</v>
      </c>
      <c r="I251" t="inlineStr">
        <is>
          <t>Spain|XESP.DE|10 Years</t>
        </is>
      </c>
      <c r="J251" t="inlineStr">
        <is>
          <t>EUR</t>
        </is>
      </c>
    </row>
    <row r="252">
      <c r="A252" t="inlineStr">
        <is>
          <t>Spain</t>
        </is>
      </c>
      <c r="B252" t="inlineStr">
        <is>
          <t>ESP</t>
        </is>
      </c>
      <c r="C252" t="inlineStr">
        <is>
          <t>XESP.DE</t>
        </is>
      </c>
      <c r="D252" t="inlineStr">
        <is>
          <t>MAX</t>
        </is>
      </c>
      <c r="E252" s="2" t="n">
        <v>40661</v>
      </c>
      <c r="F252" s="2" t="n">
        <v>46098</v>
      </c>
      <c r="G252" t="n">
        <v>187.1688236207769</v>
      </c>
      <c r="H252" t="n">
        <v>123.4309492054298</v>
      </c>
      <c r="I252" t="inlineStr">
        <is>
          <t>Spain|XESP.DE|MAX</t>
        </is>
      </c>
      <c r="J252" t="inlineStr">
        <is>
          <t>EUR</t>
        </is>
      </c>
    </row>
    <row r="253">
      <c r="A253" t="inlineStr">
        <is>
          <t>Sweden</t>
        </is>
      </c>
      <c r="B253" t="inlineStr">
        <is>
          <t>SWE</t>
        </is>
      </c>
      <c r="C253" t="inlineStr">
        <is>
          <t>EWD</t>
        </is>
      </c>
      <c r="D253" t="inlineStr">
        <is>
          <t>YTD</t>
        </is>
      </c>
      <c r="E253" s="2" t="n">
        <v>46022</v>
      </c>
      <c r="F253" s="2" t="n">
        <v>46098</v>
      </c>
      <c r="G253" t="n">
        <v>2.45784906708062</v>
      </c>
      <c r="H253" t="n">
        <v>2.45784906708062</v>
      </c>
      <c r="I253" t="inlineStr">
        <is>
          <t>Sweden|EWD|YTD</t>
        </is>
      </c>
      <c r="J253" t="inlineStr">
        <is>
          <t>USD</t>
        </is>
      </c>
    </row>
    <row r="254">
      <c r="A254" t="inlineStr">
        <is>
          <t>Sweden</t>
        </is>
      </c>
      <c r="B254" t="inlineStr">
        <is>
          <t>SWE</t>
        </is>
      </c>
      <c r="C254" t="inlineStr">
        <is>
          <t>EWD</t>
        </is>
      </c>
      <c r="D254" t="inlineStr">
        <is>
          <t>1 Month</t>
        </is>
      </c>
      <c r="E254" s="2" t="n">
        <v>46070</v>
      </c>
      <c r="F254" s="2" t="n">
        <v>46098</v>
      </c>
      <c r="G254" t="n">
        <v>-5.294779916814396</v>
      </c>
      <c r="H254" t="n">
        <v>-5.294779916814396</v>
      </c>
      <c r="I254" t="inlineStr">
        <is>
          <t>Sweden|EWD|1 Month</t>
        </is>
      </c>
      <c r="J254" t="inlineStr">
        <is>
          <t>USD</t>
        </is>
      </c>
    </row>
    <row r="255">
      <c r="A255" t="inlineStr">
        <is>
          <t>Sweden</t>
        </is>
      </c>
      <c r="B255" t="inlineStr">
        <is>
          <t>SWE</t>
        </is>
      </c>
      <c r="C255" t="inlineStr">
        <is>
          <t>EWD</t>
        </is>
      </c>
      <c r="D255" t="inlineStr">
        <is>
          <t>3 Months</t>
        </is>
      </c>
      <c r="E255" s="2" t="n">
        <v>46008</v>
      </c>
      <c r="F255" s="2" t="n">
        <v>46098</v>
      </c>
      <c r="G255" t="n">
        <v>5.921881054340039</v>
      </c>
      <c r="H255" t="n">
        <v>5.921881054340039</v>
      </c>
      <c r="I255" t="inlineStr">
        <is>
          <t>Sweden|EWD|3 Months</t>
        </is>
      </c>
      <c r="J255" t="inlineStr">
        <is>
          <t>USD</t>
        </is>
      </c>
    </row>
    <row r="256">
      <c r="A256" t="inlineStr">
        <is>
          <t>Sweden</t>
        </is>
      </c>
      <c r="B256" t="inlineStr">
        <is>
          <t>SWE</t>
        </is>
      </c>
      <c r="C256" t="inlineStr">
        <is>
          <t>EWD</t>
        </is>
      </c>
      <c r="D256" t="inlineStr">
        <is>
          <t>6 Months</t>
        </is>
      </c>
      <c r="E256" s="2" t="n">
        <v>45917</v>
      </c>
      <c r="F256" s="2" t="n">
        <v>46098</v>
      </c>
      <c r="G256" t="n">
        <v>8.257208301911056</v>
      </c>
      <c r="H256" t="n">
        <v>8.257208301911056</v>
      </c>
      <c r="I256" t="inlineStr">
        <is>
          <t>Sweden|EWD|6 Months</t>
        </is>
      </c>
      <c r="J256" t="inlineStr">
        <is>
          <t>USD</t>
        </is>
      </c>
    </row>
    <row r="257">
      <c r="A257" t="inlineStr">
        <is>
          <t>Sweden</t>
        </is>
      </c>
      <c r="B257" t="inlineStr">
        <is>
          <t>SWE</t>
        </is>
      </c>
      <c r="C257" t="inlineStr">
        <is>
          <t>EWD</t>
        </is>
      </c>
      <c r="D257" t="inlineStr">
        <is>
          <t>1 Year</t>
        </is>
      </c>
      <c r="E257" s="2" t="n">
        <v>45733</v>
      </c>
      <c r="F257" s="2" t="n">
        <v>46098</v>
      </c>
      <c r="G257" t="n">
        <v>16.13174219530917</v>
      </c>
      <c r="H257" t="n">
        <v>16.13174219530917</v>
      </c>
      <c r="I257" t="inlineStr">
        <is>
          <t>Sweden|EWD|1 Year</t>
        </is>
      </c>
      <c r="J257" t="inlineStr">
        <is>
          <t>USD</t>
        </is>
      </c>
    </row>
    <row r="258">
      <c r="A258" t="inlineStr">
        <is>
          <t>Sweden</t>
        </is>
      </c>
      <c r="B258" t="inlineStr">
        <is>
          <t>SWE</t>
        </is>
      </c>
      <c r="C258" t="inlineStr">
        <is>
          <t>EWD</t>
        </is>
      </c>
      <c r="D258" t="inlineStr">
        <is>
          <t>3 Years</t>
        </is>
      </c>
      <c r="E258" s="2" t="n">
        <v>45002</v>
      </c>
      <c r="F258" s="2" t="n">
        <v>46098</v>
      </c>
      <c r="G258" t="n">
        <v>66.13401345552346</v>
      </c>
      <c r="H258" t="n">
        <v>66.13401345552346</v>
      </c>
      <c r="I258" t="inlineStr">
        <is>
          <t>Sweden|EWD|3 Years</t>
        </is>
      </c>
      <c r="J258" t="inlineStr">
        <is>
          <t>USD</t>
        </is>
      </c>
    </row>
    <row r="259">
      <c r="A259" t="inlineStr">
        <is>
          <t>Sweden</t>
        </is>
      </c>
      <c r="B259" t="inlineStr">
        <is>
          <t>SWE</t>
        </is>
      </c>
      <c r="C259" t="inlineStr">
        <is>
          <t>EWD</t>
        </is>
      </c>
      <c r="D259" t="inlineStr">
        <is>
          <t>5 Years</t>
        </is>
      </c>
      <c r="E259" s="2" t="n">
        <v>44272</v>
      </c>
      <c r="F259" s="2" t="n">
        <v>46098</v>
      </c>
      <c r="G259" t="n">
        <v>30.78815967686304</v>
      </c>
      <c r="H259" t="n">
        <v>30.78815967686304</v>
      </c>
      <c r="I259" t="inlineStr">
        <is>
          <t>Sweden|EWD|5 Years</t>
        </is>
      </c>
      <c r="J259" t="inlineStr">
        <is>
          <t>USD</t>
        </is>
      </c>
    </row>
    <row r="260">
      <c r="A260" t="inlineStr">
        <is>
          <t>Sweden</t>
        </is>
      </c>
      <c r="B260" t="inlineStr">
        <is>
          <t>SWE</t>
        </is>
      </c>
      <c r="C260" t="inlineStr">
        <is>
          <t>EWD</t>
        </is>
      </c>
      <c r="D260" t="inlineStr">
        <is>
          <t>10 Years</t>
        </is>
      </c>
      <c r="E260" s="2" t="n">
        <v>42446</v>
      </c>
      <c r="F260" s="2" t="n">
        <v>46098</v>
      </c>
      <c r="G260" t="n">
        <v>139.3909161739835</v>
      </c>
      <c r="H260" t="n">
        <v>139.3909161739835</v>
      </c>
      <c r="I260" t="inlineStr">
        <is>
          <t>Sweden|EWD|10 Years</t>
        </is>
      </c>
      <c r="J260" t="inlineStr">
        <is>
          <t>USD</t>
        </is>
      </c>
    </row>
    <row r="261">
      <c r="A261" t="inlineStr">
        <is>
          <t>Sweden</t>
        </is>
      </c>
      <c r="B261" t="inlineStr">
        <is>
          <t>SWE</t>
        </is>
      </c>
      <c r="C261" t="inlineStr">
        <is>
          <t>EWD</t>
        </is>
      </c>
      <c r="D261" t="inlineStr">
        <is>
          <t>MAX</t>
        </is>
      </c>
      <c r="E261" s="2" t="n">
        <v>35143</v>
      </c>
      <c r="F261" s="2" t="n">
        <v>46098</v>
      </c>
      <c r="G261" t="n">
        <v>1044.830104539813</v>
      </c>
      <c r="H261" t="n">
        <v>1044.830104539813</v>
      </c>
      <c r="I261" t="inlineStr">
        <is>
          <t>Sweden|EWD|MAX</t>
        </is>
      </c>
      <c r="J261" t="inlineStr">
        <is>
          <t>USD</t>
        </is>
      </c>
    </row>
    <row r="262">
      <c r="A262" t="inlineStr">
        <is>
          <t>Switzerland</t>
        </is>
      </c>
      <c r="B262" t="inlineStr">
        <is>
          <t>CHE</t>
        </is>
      </c>
      <c r="C262" t="inlineStr">
        <is>
          <t>CSW.PA</t>
        </is>
      </c>
      <c r="D262" t="inlineStr">
        <is>
          <t>YTD</t>
        </is>
      </c>
      <c r="E262" s="2" t="n">
        <v>46022</v>
      </c>
      <c r="F262" s="2" t="n">
        <v>46098</v>
      </c>
      <c r="G262" t="n">
        <v>1.3821982673905</v>
      </c>
      <c r="H262" t="n">
        <v>-0.7559719044729962</v>
      </c>
      <c r="I262" t="inlineStr">
        <is>
          <t>Switzerland|CSW.PA|YTD</t>
        </is>
      </c>
      <c r="J262" t="inlineStr">
        <is>
          <t>EUR</t>
        </is>
      </c>
    </row>
    <row r="263">
      <c r="A263" t="inlineStr">
        <is>
          <t>Switzerland</t>
        </is>
      </c>
      <c r="B263" t="inlineStr">
        <is>
          <t>CHE</t>
        </is>
      </c>
      <c r="C263" t="inlineStr">
        <is>
          <t>CSW.PA</t>
        </is>
      </c>
      <c r="D263" t="inlineStr">
        <is>
          <t>1 Month</t>
        </is>
      </c>
      <c r="E263" s="2" t="n">
        <v>46070</v>
      </c>
      <c r="F263" s="2" t="n">
        <v>46098</v>
      </c>
      <c r="G263" t="n">
        <v>-4.533488606429747</v>
      </c>
      <c r="H263" t="n">
        <v>-7.355984402372018</v>
      </c>
      <c r="I263" t="inlineStr">
        <is>
          <t>Switzerland|CSW.PA|1 Month</t>
        </is>
      </c>
      <c r="J263" t="inlineStr">
        <is>
          <t>EUR</t>
        </is>
      </c>
    </row>
    <row r="264">
      <c r="A264" t="inlineStr">
        <is>
          <t>Switzerland</t>
        </is>
      </c>
      <c r="B264" t="inlineStr">
        <is>
          <t>CHE</t>
        </is>
      </c>
      <c r="C264" t="inlineStr">
        <is>
          <t>CSW.PA</t>
        </is>
      </c>
      <c r="D264" t="inlineStr">
        <is>
          <t>3 Months</t>
        </is>
      </c>
      <c r="E264" s="2" t="n">
        <v>46008</v>
      </c>
      <c r="F264" s="2" t="n">
        <v>46098</v>
      </c>
      <c r="G264" t="n">
        <v>3.1605532094652</v>
      </c>
      <c r="H264" t="n">
        <v>0.9659019147143288</v>
      </c>
      <c r="I264" t="inlineStr">
        <is>
          <t>Switzerland|CSW.PA|3 Months</t>
        </is>
      </c>
      <c r="J264" t="inlineStr">
        <is>
          <t>EUR</t>
        </is>
      </c>
    </row>
    <row r="265">
      <c r="A265" t="inlineStr">
        <is>
          <t>Switzerland</t>
        </is>
      </c>
      <c r="B265" t="inlineStr">
        <is>
          <t>CHE</t>
        </is>
      </c>
      <c r="C265" t="inlineStr">
        <is>
          <t>CSW.PA</t>
        </is>
      </c>
      <c r="D265" t="inlineStr">
        <is>
          <t>6 Months</t>
        </is>
      </c>
      <c r="E265" s="2" t="n">
        <v>45917</v>
      </c>
      <c r="F265" s="2" t="n">
        <v>46098</v>
      </c>
      <c r="G265" t="n">
        <v>11.09598295526244</v>
      </c>
      <c r="H265" t="n">
        <v>7.615931724548686</v>
      </c>
      <c r="I265" t="inlineStr">
        <is>
          <t>Switzerland|CSW.PA|6 Months</t>
        </is>
      </c>
      <c r="J265" t="inlineStr">
        <is>
          <t>EUR</t>
        </is>
      </c>
    </row>
    <row r="266">
      <c r="A266" t="inlineStr">
        <is>
          <t>Switzerland</t>
        </is>
      </c>
      <c r="B266" t="inlineStr">
        <is>
          <t>CHE</t>
        </is>
      </c>
      <c r="C266" t="inlineStr">
        <is>
          <t>CSW.PA</t>
        </is>
      </c>
      <c r="D266" t="inlineStr">
        <is>
          <t>1 Year</t>
        </is>
      </c>
      <c r="E266" s="2" t="n">
        <v>45733</v>
      </c>
      <c r="F266" s="2" t="n">
        <v>46098</v>
      </c>
      <c r="G266" t="n">
        <v>8.546723381798316</v>
      </c>
      <c r="H266" t="n">
        <v>14.71425476465458</v>
      </c>
      <c r="I266" t="inlineStr">
        <is>
          <t>Switzerland|CSW.PA|1 Year</t>
        </is>
      </c>
      <c r="J266" t="inlineStr">
        <is>
          <t>EUR</t>
        </is>
      </c>
    </row>
    <row r="267">
      <c r="A267" t="inlineStr">
        <is>
          <t>Switzerland</t>
        </is>
      </c>
      <c r="B267" t="inlineStr">
        <is>
          <t>CHE</t>
        </is>
      </c>
      <c r="C267" t="inlineStr">
        <is>
          <t>CSW.PA</t>
        </is>
      </c>
      <c r="D267" t="inlineStr">
        <is>
          <t>3 Years</t>
        </is>
      </c>
      <c r="E267" s="2" t="n">
        <v>45002</v>
      </c>
      <c r="F267" s="2" t="n">
        <v>46098</v>
      </c>
      <c r="G267" t="n">
        <v>37.93977332678273</v>
      </c>
      <c r="H267" t="n">
        <v>49.44637751241443</v>
      </c>
      <c r="I267" t="inlineStr">
        <is>
          <t>Switzerland|CSW.PA|3 Years</t>
        </is>
      </c>
      <c r="J267" t="inlineStr">
        <is>
          <t>EUR</t>
        </is>
      </c>
    </row>
    <row r="268">
      <c r="A268" t="inlineStr">
        <is>
          <t>Switzerland</t>
        </is>
      </c>
      <c r="B268" t="inlineStr">
        <is>
          <t>CHE</t>
        </is>
      </c>
      <c r="C268" t="inlineStr">
        <is>
          <t>CSW.PA</t>
        </is>
      </c>
      <c r="D268" t="inlineStr">
        <is>
          <t>5 Years</t>
        </is>
      </c>
      <c r="E268" s="2" t="n">
        <v>44272</v>
      </c>
      <c r="F268" s="2" t="n">
        <v>46098</v>
      </c>
      <c r="G268" t="n">
        <v>53.59999712775738</v>
      </c>
      <c r="H268" t="n">
        <v>48.41050574337791</v>
      </c>
      <c r="I268" t="inlineStr">
        <is>
          <t>Switzerland|CSW.PA|5 Years</t>
        </is>
      </c>
      <c r="J268" t="inlineStr">
        <is>
          <t>EUR</t>
        </is>
      </c>
    </row>
    <row r="269">
      <c r="A269" t="inlineStr">
        <is>
          <t>Switzerland</t>
        </is>
      </c>
      <c r="B269" t="inlineStr">
        <is>
          <t>CHE</t>
        </is>
      </c>
      <c r="C269" t="inlineStr">
        <is>
          <t>CSW.PA</t>
        </is>
      </c>
      <c r="D269" t="inlineStr">
        <is>
          <t>10 Years</t>
        </is>
      </c>
      <c r="E269" s="2" t="n">
        <v>42446</v>
      </c>
      <c r="F269" s="2" t="n">
        <v>46098</v>
      </c>
      <c r="G269" t="n">
        <v>-94.15510205643012</v>
      </c>
      <c r="H269" t="n">
        <v>-94.00891264177818</v>
      </c>
      <c r="I269" t="inlineStr">
        <is>
          <t>Switzerland|CSW.PA|10 Years</t>
        </is>
      </c>
      <c r="J269" t="inlineStr">
        <is>
          <t>EUR</t>
        </is>
      </c>
    </row>
    <row r="270">
      <c r="A270" t="inlineStr">
        <is>
          <t>Switzerland</t>
        </is>
      </c>
      <c r="B270" t="inlineStr">
        <is>
          <t>CHE</t>
        </is>
      </c>
      <c r="C270" t="inlineStr">
        <is>
          <t>CSW.PA</t>
        </is>
      </c>
      <c r="D270" t="inlineStr">
        <is>
          <t>MAX</t>
        </is>
      </c>
      <c r="E270" s="2" t="n">
        <v>39708</v>
      </c>
      <c r="F270" s="2" t="n">
        <v>46098</v>
      </c>
      <c r="G270" t="n">
        <v>-88.29688056509497</v>
      </c>
      <c r="H270" t="n">
        <v>-90.60803104935859</v>
      </c>
      <c r="I270" t="inlineStr">
        <is>
          <t>Switzerland|CSW.PA|MAX</t>
        </is>
      </c>
      <c r="J270" t="inlineStr">
        <is>
          <t>EUR</t>
        </is>
      </c>
    </row>
    <row r="271">
      <c r="A271" t="inlineStr">
        <is>
          <t>Switzerland</t>
        </is>
      </c>
      <c r="B271" t="inlineStr">
        <is>
          <t>CHE</t>
        </is>
      </c>
      <c r="C271" t="inlineStr">
        <is>
          <t>CSWG.L</t>
        </is>
      </c>
      <c r="D271" t="inlineStr">
        <is>
          <t>YTD</t>
        </is>
      </c>
      <c r="E271" s="2" t="n">
        <v>46022</v>
      </c>
      <c r="F271" s="2" t="n">
        <v>46098</v>
      </c>
      <c r="G271" t="n">
        <v>0.3470081261094382</v>
      </c>
      <c r="H271" t="n">
        <v>-0.7919825530942615</v>
      </c>
      <c r="I271" t="inlineStr">
        <is>
          <t>Switzerland|CSWG.L|YTD</t>
        </is>
      </c>
      <c r="J271" t="inlineStr">
        <is>
          <t>GBp</t>
        </is>
      </c>
    </row>
    <row r="272">
      <c r="A272" t="inlineStr">
        <is>
          <t>Switzerland</t>
        </is>
      </c>
      <c r="B272" t="inlineStr">
        <is>
          <t>CHE</t>
        </is>
      </c>
      <c r="C272" t="inlineStr">
        <is>
          <t>CSWG.L</t>
        </is>
      </c>
      <c r="D272" t="inlineStr">
        <is>
          <t>1 Month</t>
        </is>
      </c>
      <c r="E272" s="2" t="n">
        <v>46070</v>
      </c>
      <c r="F272" s="2" t="n">
        <v>46098</v>
      </c>
      <c r="G272" t="n">
        <v>-5.694453900467423</v>
      </c>
      <c r="H272" t="n">
        <v>-7.862904593146391</v>
      </c>
      <c r="I272" t="inlineStr">
        <is>
          <t>Switzerland|CSWG.L|1 Month</t>
        </is>
      </c>
      <c r="J272" t="inlineStr">
        <is>
          <t>GBp</t>
        </is>
      </c>
    </row>
    <row r="273">
      <c r="A273" t="inlineStr">
        <is>
          <t>Switzerland</t>
        </is>
      </c>
      <c r="B273" t="inlineStr">
        <is>
          <t>CHE</t>
        </is>
      </c>
      <c r="C273" t="inlineStr">
        <is>
          <t>CSWG.L</t>
        </is>
      </c>
      <c r="D273" t="inlineStr">
        <is>
          <t>3 Months</t>
        </is>
      </c>
      <c r="E273" s="2" t="n">
        <v>46008</v>
      </c>
      <c r="F273" s="2" t="n">
        <v>46098</v>
      </c>
      <c r="G273" t="n">
        <v>1.557861218201273</v>
      </c>
      <c r="H273" t="n">
        <v>0.7207308992110084</v>
      </c>
      <c r="I273" t="inlineStr">
        <is>
          <t>Switzerland|CSWG.L|3 Months</t>
        </is>
      </c>
      <c r="J273" t="inlineStr">
        <is>
          <t>GBp</t>
        </is>
      </c>
    </row>
    <row r="274">
      <c r="A274" t="inlineStr">
        <is>
          <t>Switzerland</t>
        </is>
      </c>
      <c r="B274" t="inlineStr">
        <is>
          <t>CHE</t>
        </is>
      </c>
      <c r="C274" t="inlineStr">
        <is>
          <t>CSWG.L</t>
        </is>
      </c>
      <c r="D274" t="inlineStr">
        <is>
          <t>6 Months</t>
        </is>
      </c>
      <c r="E274" s="2" t="n">
        <v>45917</v>
      </c>
      <c r="F274" s="2" t="n">
        <v>46098</v>
      </c>
      <c r="G274" t="n">
        <v>10.76409696593177</v>
      </c>
      <c r="H274" t="n">
        <v>8.009254987296144</v>
      </c>
      <c r="I274" t="inlineStr">
        <is>
          <t>Switzerland|CSWG.L|6 Months</t>
        </is>
      </c>
      <c r="J274" t="inlineStr">
        <is>
          <t>GBp</t>
        </is>
      </c>
    </row>
    <row r="275">
      <c r="A275" t="inlineStr">
        <is>
          <t>Switzerland</t>
        </is>
      </c>
      <c r="B275" t="inlineStr">
        <is>
          <t>CHE</t>
        </is>
      </c>
      <c r="C275" t="inlineStr">
        <is>
          <t>CSWG.L</t>
        </is>
      </c>
      <c r="D275" t="inlineStr">
        <is>
          <t>1 Year</t>
        </is>
      </c>
      <c r="E275" s="2" t="n">
        <v>45733</v>
      </c>
      <c r="F275" s="2" t="n">
        <v>46098</v>
      </c>
      <c r="G275" t="n">
        <v>11.64126264106526</v>
      </c>
      <c r="H275" t="n">
        <v>14.95450883044238</v>
      </c>
      <c r="I275" t="inlineStr">
        <is>
          <t>Switzerland|CSWG.L|1 Year</t>
        </is>
      </c>
      <c r="J275" t="inlineStr">
        <is>
          <t>GBp</t>
        </is>
      </c>
    </row>
    <row r="276">
      <c r="A276" t="inlineStr">
        <is>
          <t>Switzerland</t>
        </is>
      </c>
      <c r="B276" t="inlineStr">
        <is>
          <t>CHE</t>
        </is>
      </c>
      <c r="C276" t="inlineStr">
        <is>
          <t>CSWG.L</t>
        </is>
      </c>
      <c r="D276" t="inlineStr">
        <is>
          <t>3 Years</t>
        </is>
      </c>
      <c r="E276" s="2" t="n">
        <v>45002</v>
      </c>
      <c r="F276" s="2" t="n">
        <v>46098</v>
      </c>
      <c r="G276" t="n">
        <v>35.66703541309304</v>
      </c>
      <c r="H276" t="n">
        <v>49.15299859794005</v>
      </c>
      <c r="I276" t="inlineStr">
        <is>
          <t>Switzerland|CSWG.L|3 Years</t>
        </is>
      </c>
      <c r="J276" t="inlineStr">
        <is>
          <t>GBp</t>
        </is>
      </c>
    </row>
    <row r="277">
      <c r="A277" t="inlineStr">
        <is>
          <t>Switzerland</t>
        </is>
      </c>
      <c r="B277" t="inlineStr">
        <is>
          <t>CHE</t>
        </is>
      </c>
      <c r="C277" t="inlineStr">
        <is>
          <t>CSWG.L</t>
        </is>
      </c>
      <c r="D277" t="inlineStr">
        <is>
          <t>5 Years</t>
        </is>
      </c>
      <c r="E277" s="2" t="n">
        <v>44272</v>
      </c>
      <c r="F277" s="2" t="n">
        <v>46098</v>
      </c>
      <c r="G277" t="n">
        <v>-96.13667877424639</v>
      </c>
      <c r="H277" t="n">
        <v>-96.30004475908505</v>
      </c>
      <c r="I277" t="inlineStr">
        <is>
          <t>Switzerland|CSWG.L|5 Years</t>
        </is>
      </c>
      <c r="J277" t="inlineStr">
        <is>
          <t>GBp</t>
        </is>
      </c>
    </row>
    <row r="278">
      <c r="A278" t="inlineStr">
        <is>
          <t>Switzerland</t>
        </is>
      </c>
      <c r="B278" t="inlineStr">
        <is>
          <t>CHE</t>
        </is>
      </c>
      <c r="C278" t="inlineStr">
        <is>
          <t>CSWG.L</t>
        </is>
      </c>
      <c r="D278" t="inlineStr">
        <is>
          <t>10 Years</t>
        </is>
      </c>
      <c r="E278" s="2" t="n">
        <v>42446</v>
      </c>
      <c r="F278" s="2" t="n">
        <v>46098</v>
      </c>
      <c r="G278" t="n">
        <v>84.38498742086402</v>
      </c>
      <c r="H278" t="n">
        <v>72.2157272935887</v>
      </c>
      <c r="I278" t="inlineStr">
        <is>
          <t>Switzerland|CSWG.L|10 Years</t>
        </is>
      </c>
      <c r="J278" t="inlineStr">
        <is>
          <t>GBp</t>
        </is>
      </c>
    </row>
    <row r="279">
      <c r="A279" t="inlineStr">
        <is>
          <t>Switzerland</t>
        </is>
      </c>
      <c r="B279" t="inlineStr">
        <is>
          <t>CHE</t>
        </is>
      </c>
      <c r="C279" t="inlineStr">
        <is>
          <t>CSWG.L</t>
        </is>
      </c>
      <c r="D279" t="inlineStr">
        <is>
          <t>MAX</t>
        </is>
      </c>
      <c r="E279" s="2" t="n">
        <v>40347</v>
      </c>
      <c r="F279" s="2" t="n">
        <v>46098</v>
      </c>
      <c r="G279" t="n">
        <v>-93.64010574167865</v>
      </c>
      <c r="H279" t="n">
        <v>-94.29009254577282</v>
      </c>
      <c r="I279" t="inlineStr">
        <is>
          <t>Switzerland|CSWG.L|MAX</t>
        </is>
      </c>
      <c r="J279" t="inlineStr">
        <is>
          <t>GBp</t>
        </is>
      </c>
    </row>
    <row r="280">
      <c r="A280" t="inlineStr">
        <is>
          <t>Switzerland</t>
        </is>
      </c>
      <c r="B280" t="inlineStr">
        <is>
          <t>CHE</t>
        </is>
      </c>
      <c r="C280" t="inlineStr">
        <is>
          <t>EWL</t>
        </is>
      </c>
      <c r="D280" t="inlineStr">
        <is>
          <t>YTD</t>
        </is>
      </c>
      <c r="E280" s="2" t="n">
        <v>46022</v>
      </c>
      <c r="F280" s="2" t="n">
        <v>46098</v>
      </c>
      <c r="G280" t="n">
        <v>-0.7004639348870079</v>
      </c>
      <c r="H280" t="n">
        <v>-0.7004639348870079</v>
      </c>
      <c r="I280" t="inlineStr">
        <is>
          <t>Switzerland|EWL|YTD</t>
        </is>
      </c>
      <c r="J280" t="inlineStr">
        <is>
          <t>USD</t>
        </is>
      </c>
    </row>
    <row r="281">
      <c r="A281" t="inlineStr">
        <is>
          <t>Switzerland</t>
        </is>
      </c>
      <c r="B281" t="inlineStr">
        <is>
          <t>CHE</t>
        </is>
      </c>
      <c r="C281" t="inlineStr">
        <is>
          <t>EWL</t>
        </is>
      </c>
      <c r="D281" t="inlineStr">
        <is>
          <t>1 Month</t>
        </is>
      </c>
      <c r="E281" s="2" t="n">
        <v>46070</v>
      </c>
      <c r="F281" s="2" t="n">
        <v>46098</v>
      </c>
      <c r="G281" t="n">
        <v>-7.603974767589994</v>
      </c>
      <c r="H281" t="n">
        <v>-7.603974767589994</v>
      </c>
      <c r="I281" t="inlineStr">
        <is>
          <t>Switzerland|EWL|1 Month</t>
        </is>
      </c>
      <c r="J281" t="inlineStr">
        <is>
          <t>USD</t>
        </is>
      </c>
    </row>
    <row r="282">
      <c r="A282" t="inlineStr">
        <is>
          <t>Switzerland</t>
        </is>
      </c>
      <c r="B282" t="inlineStr">
        <is>
          <t>CHE</t>
        </is>
      </c>
      <c r="C282" t="inlineStr">
        <is>
          <t>EWL</t>
        </is>
      </c>
      <c r="D282" t="inlineStr">
        <is>
          <t>3 Months</t>
        </is>
      </c>
      <c r="E282" s="2" t="n">
        <v>46008</v>
      </c>
      <c r="F282" s="2" t="n">
        <v>46098</v>
      </c>
      <c r="G282" t="n">
        <v>1.18966818681876</v>
      </c>
      <c r="H282" t="n">
        <v>1.18966818681876</v>
      </c>
      <c r="I282" t="inlineStr">
        <is>
          <t>Switzerland|EWL|3 Months</t>
        </is>
      </c>
      <c r="J282" t="inlineStr">
        <is>
          <t>USD</t>
        </is>
      </c>
    </row>
    <row r="283">
      <c r="A283" t="inlineStr">
        <is>
          <t>Switzerland</t>
        </is>
      </c>
      <c r="B283" t="inlineStr">
        <is>
          <t>CHE</t>
        </is>
      </c>
      <c r="C283" t="inlineStr">
        <is>
          <t>EWL</t>
        </is>
      </c>
      <c r="D283" t="inlineStr">
        <is>
          <t>6 Months</t>
        </is>
      </c>
      <c r="E283" s="2" t="n">
        <v>45917</v>
      </c>
      <c r="F283" s="2" t="n">
        <v>46098</v>
      </c>
      <c r="G283" t="n">
        <v>7.686742502488286</v>
      </c>
      <c r="H283" t="n">
        <v>7.686742502488286</v>
      </c>
      <c r="I283" t="inlineStr">
        <is>
          <t>Switzerland|EWL|6 Months</t>
        </is>
      </c>
      <c r="J283" t="inlineStr">
        <is>
          <t>USD</t>
        </is>
      </c>
    </row>
    <row r="284">
      <c r="A284" t="inlineStr">
        <is>
          <t>Switzerland</t>
        </is>
      </c>
      <c r="B284" t="inlineStr">
        <is>
          <t>CHE</t>
        </is>
      </c>
      <c r="C284" t="inlineStr">
        <is>
          <t>EWL</t>
        </is>
      </c>
      <c r="D284" t="inlineStr">
        <is>
          <t>1 Year</t>
        </is>
      </c>
      <c r="E284" s="2" t="n">
        <v>45733</v>
      </c>
      <c r="F284" s="2" t="n">
        <v>46098</v>
      </c>
      <c r="G284" t="n">
        <v>13.7518333929129</v>
      </c>
      <c r="H284" t="n">
        <v>13.7518333929129</v>
      </c>
      <c r="I284" t="inlineStr">
        <is>
          <t>Switzerland|EWL|1 Year</t>
        </is>
      </c>
      <c r="J284" t="inlineStr">
        <is>
          <t>USD</t>
        </is>
      </c>
    </row>
    <row r="285">
      <c r="A285" t="inlineStr">
        <is>
          <t>Switzerland</t>
        </is>
      </c>
      <c r="B285" t="inlineStr">
        <is>
          <t>CHE</t>
        </is>
      </c>
      <c r="C285" t="inlineStr">
        <is>
          <t>EWL</t>
        </is>
      </c>
      <c r="D285" t="inlineStr">
        <is>
          <t>3 Years</t>
        </is>
      </c>
      <c r="E285" s="2" t="n">
        <v>45002</v>
      </c>
      <c r="F285" s="2" t="n">
        <v>46098</v>
      </c>
      <c r="G285" t="n">
        <v>48.61572095228755</v>
      </c>
      <c r="H285" t="n">
        <v>48.61572095228755</v>
      </c>
      <c r="I285" t="inlineStr">
        <is>
          <t>Switzerland|EWL|3 Years</t>
        </is>
      </c>
      <c r="J285" t="inlineStr">
        <is>
          <t>USD</t>
        </is>
      </c>
    </row>
    <row r="286">
      <c r="A286" t="inlineStr">
        <is>
          <t>Switzerland</t>
        </is>
      </c>
      <c r="B286" t="inlineStr">
        <is>
          <t>CHE</t>
        </is>
      </c>
      <c r="C286" t="inlineStr">
        <is>
          <t>EWL</t>
        </is>
      </c>
      <c r="D286" t="inlineStr">
        <is>
          <t>5 Years</t>
        </is>
      </c>
      <c r="E286" s="2" t="n">
        <v>44272</v>
      </c>
      <c r="F286" s="2" t="n">
        <v>46098</v>
      </c>
      <c r="G286" t="n">
        <v>47.79679563868391</v>
      </c>
      <c r="H286" t="n">
        <v>47.79679563868391</v>
      </c>
      <c r="I286" t="inlineStr">
        <is>
          <t>Switzerland|EWL|5 Years</t>
        </is>
      </c>
      <c r="J286" t="inlineStr">
        <is>
          <t>USD</t>
        </is>
      </c>
    </row>
    <row r="287">
      <c r="A287" t="inlineStr">
        <is>
          <t>Switzerland</t>
        </is>
      </c>
      <c r="B287" t="inlineStr">
        <is>
          <t>CHE</t>
        </is>
      </c>
      <c r="C287" t="inlineStr">
        <is>
          <t>EWL</t>
        </is>
      </c>
      <c r="D287" t="inlineStr">
        <is>
          <t>10 Years</t>
        </is>
      </c>
      <c r="E287" s="2" t="n">
        <v>42446</v>
      </c>
      <c r="F287" s="2" t="n">
        <v>46098</v>
      </c>
      <c r="G287" t="n">
        <v>146.2978949161548</v>
      </c>
      <c r="H287" t="n">
        <v>146.2978949161548</v>
      </c>
      <c r="I287" t="inlineStr">
        <is>
          <t>Switzerland|EWL|10 Years</t>
        </is>
      </c>
      <c r="J287" t="inlineStr">
        <is>
          <t>USD</t>
        </is>
      </c>
    </row>
    <row r="288">
      <c r="A288" t="inlineStr">
        <is>
          <t>Switzerland</t>
        </is>
      </c>
      <c r="B288" t="inlineStr">
        <is>
          <t>CHE</t>
        </is>
      </c>
      <c r="C288" t="inlineStr">
        <is>
          <t>EWL</t>
        </is>
      </c>
      <c r="D288" t="inlineStr">
        <is>
          <t>MAX</t>
        </is>
      </c>
      <c r="E288" s="2" t="n">
        <v>35143</v>
      </c>
      <c r="F288" s="2" t="n">
        <v>46098</v>
      </c>
      <c r="G288" t="n">
        <v>797.4186294936089</v>
      </c>
      <c r="H288" t="n">
        <v>797.4186294936089</v>
      </c>
      <c r="I288" t="inlineStr">
        <is>
          <t>Switzerland|EWL|MAX</t>
        </is>
      </c>
      <c r="J288" t="inlineStr">
        <is>
          <t>USD</t>
        </is>
      </c>
    </row>
    <row r="289">
      <c r="A289" t="inlineStr">
        <is>
          <t>Taiwan</t>
        </is>
      </c>
      <c r="B289" t="inlineStr">
        <is>
          <t>TWN</t>
        </is>
      </c>
      <c r="C289" t="inlineStr">
        <is>
          <t>XMTW.L</t>
        </is>
      </c>
      <c r="D289" t="inlineStr">
        <is>
          <t>YTD</t>
        </is>
      </c>
      <c r="E289" s="2" t="n">
        <v>46022</v>
      </c>
      <c r="F289" s="2" t="n">
        <v>46098</v>
      </c>
      <c r="G289" t="n">
        <v>16.19796690658157</v>
      </c>
      <c r="H289" t="n">
        <v>14.87905960958784</v>
      </c>
      <c r="I289" t="inlineStr">
        <is>
          <t>Taiwan|XMTW.L|YTD</t>
        </is>
      </c>
      <c r="J289" t="inlineStr">
        <is>
          <t>GBp</t>
        </is>
      </c>
    </row>
    <row r="290">
      <c r="A290" t="inlineStr">
        <is>
          <t>Taiwan</t>
        </is>
      </c>
      <c r="B290" t="inlineStr">
        <is>
          <t>TWN</t>
        </is>
      </c>
      <c r="C290" t="inlineStr">
        <is>
          <t>XMTW.L</t>
        </is>
      </c>
      <c r="D290" t="inlineStr">
        <is>
          <t>1 Month</t>
        </is>
      </c>
      <c r="E290" s="2" t="n">
        <v>46070</v>
      </c>
      <c r="F290" s="2" t="n">
        <v>46098</v>
      </c>
      <c r="G290" t="n">
        <v>1.668506135168468</v>
      </c>
      <c r="H290" t="n">
        <v>-0.6692475990579316</v>
      </c>
      <c r="I290" t="inlineStr">
        <is>
          <t>Taiwan|XMTW.L|1 Month</t>
        </is>
      </c>
      <c r="J290" t="inlineStr">
        <is>
          <t>GBp</t>
        </is>
      </c>
    </row>
    <row r="291">
      <c r="A291" t="inlineStr">
        <is>
          <t>Taiwan</t>
        </is>
      </c>
      <c r="B291" t="inlineStr">
        <is>
          <t>TWN</t>
        </is>
      </c>
      <c r="C291" t="inlineStr">
        <is>
          <t>XMTW.L</t>
        </is>
      </c>
      <c r="D291" t="inlineStr">
        <is>
          <t>3 Months</t>
        </is>
      </c>
      <c r="E291" s="2" t="n">
        <v>46008</v>
      </c>
      <c r="F291" s="2" t="n">
        <v>46098</v>
      </c>
      <c r="G291" t="n">
        <v>22.55439035842855</v>
      </c>
      <c r="H291" t="n">
        <v>21.54418795101487</v>
      </c>
      <c r="I291" t="inlineStr">
        <is>
          <t>Taiwan|XMTW.L|3 Months</t>
        </is>
      </c>
      <c r="J291" t="inlineStr">
        <is>
          <t>GBp</t>
        </is>
      </c>
    </row>
    <row r="292">
      <c r="A292" t="inlineStr">
        <is>
          <t>Taiwan</t>
        </is>
      </c>
      <c r="B292" t="inlineStr">
        <is>
          <t>TWN</t>
        </is>
      </c>
      <c r="C292" t="inlineStr">
        <is>
          <t>XMTW.L</t>
        </is>
      </c>
      <c r="D292" t="inlineStr">
        <is>
          <t>6 Months</t>
        </is>
      </c>
      <c r="E292" s="2" t="n">
        <v>45917</v>
      </c>
      <c r="F292" s="2" t="n">
        <v>46098</v>
      </c>
      <c r="G292" t="n">
        <v>26.3412666397741</v>
      </c>
      <c r="H292" t="n">
        <v>23.19900091913811</v>
      </c>
      <c r="I292" t="inlineStr">
        <is>
          <t>Taiwan|XMTW.L|6 Months</t>
        </is>
      </c>
      <c r="J292" t="inlineStr">
        <is>
          <t>GBp</t>
        </is>
      </c>
    </row>
    <row r="293">
      <c r="A293" t="inlineStr">
        <is>
          <t>Taiwan</t>
        </is>
      </c>
      <c r="B293" t="inlineStr">
        <is>
          <t>TWN</t>
        </is>
      </c>
      <c r="C293" t="inlineStr">
        <is>
          <t>XMTW.L</t>
        </is>
      </c>
      <c r="D293" t="inlineStr">
        <is>
          <t>1 Year</t>
        </is>
      </c>
      <c r="E293" s="2" t="n">
        <v>45733</v>
      </c>
      <c r="F293" s="2" t="n">
        <v>46098</v>
      </c>
      <c r="G293" t="n">
        <v>55.8984569437531</v>
      </c>
      <c r="H293" t="n">
        <v>60.52515101885814</v>
      </c>
      <c r="I293" t="inlineStr">
        <is>
          <t>Taiwan|XMTW.L|1 Year</t>
        </is>
      </c>
      <c r="J293" t="inlineStr">
        <is>
          <t>GBp</t>
        </is>
      </c>
    </row>
    <row r="294">
      <c r="A294" t="inlineStr">
        <is>
          <t>Taiwan</t>
        </is>
      </c>
      <c r="B294" t="inlineStr">
        <is>
          <t>TWN</t>
        </is>
      </c>
      <c r="C294" t="inlineStr">
        <is>
          <t>XMTW.L</t>
        </is>
      </c>
      <c r="D294" t="inlineStr">
        <is>
          <t>3 Years</t>
        </is>
      </c>
      <c r="E294" s="2" t="n">
        <v>45002</v>
      </c>
      <c r="F294" s="2" t="n">
        <v>46098</v>
      </c>
      <c r="G294" t="n">
        <v>103.191903464383</v>
      </c>
      <c r="H294" t="n">
        <v>123.3901669646939</v>
      </c>
      <c r="I294" t="inlineStr">
        <is>
          <t>Taiwan|XMTW.L|3 Years</t>
        </is>
      </c>
      <c r="J294" t="inlineStr">
        <is>
          <t>GBp</t>
        </is>
      </c>
    </row>
    <row r="295">
      <c r="A295" t="inlineStr">
        <is>
          <t>Taiwan</t>
        </is>
      </c>
      <c r="B295" t="inlineStr">
        <is>
          <t>TWN</t>
        </is>
      </c>
      <c r="C295" t="inlineStr">
        <is>
          <t>XMTW.L</t>
        </is>
      </c>
      <c r="D295" t="inlineStr">
        <is>
          <t>5 Years</t>
        </is>
      </c>
      <c r="E295" s="2" t="n">
        <v>44272</v>
      </c>
      <c r="F295" s="2" t="n">
        <v>46098</v>
      </c>
      <c r="G295" t="n">
        <v>106.9785884218874</v>
      </c>
      <c r="H295" t="n">
        <v>98.22620699611981</v>
      </c>
      <c r="I295" t="inlineStr">
        <is>
          <t>Taiwan|XMTW.L|5 Years</t>
        </is>
      </c>
      <c r="J295" t="inlineStr">
        <is>
          <t>GBp</t>
        </is>
      </c>
    </row>
    <row r="296">
      <c r="A296" t="inlineStr">
        <is>
          <t>Taiwan</t>
        </is>
      </c>
      <c r="B296" t="inlineStr">
        <is>
          <t>TWN</t>
        </is>
      </c>
      <c r="C296" t="inlineStr">
        <is>
          <t>XMTW.L</t>
        </is>
      </c>
      <c r="D296" t="inlineStr">
        <is>
          <t>10 Years</t>
        </is>
      </c>
      <c r="E296" s="2" t="n">
        <v>42446</v>
      </c>
      <c r="F296" s="2" t="n">
        <v>46098</v>
      </c>
      <c r="G296" t="n">
        <v>454.3362831858407</v>
      </c>
      <c r="H296" t="n">
        <v>417.7505365779684</v>
      </c>
      <c r="I296" t="inlineStr">
        <is>
          <t>Taiwan|XMTW.L|10 Years</t>
        </is>
      </c>
      <c r="J296" t="inlineStr">
        <is>
          <t>GBp</t>
        </is>
      </c>
    </row>
    <row r="297">
      <c r="A297" t="inlineStr">
        <is>
          <t>Taiwan</t>
        </is>
      </c>
      <c r="B297" t="inlineStr">
        <is>
          <t>TWN</t>
        </is>
      </c>
      <c r="C297" t="inlineStr">
        <is>
          <t>XMTW.L</t>
        </is>
      </c>
      <c r="D297" t="inlineStr">
        <is>
          <t>MAX</t>
        </is>
      </c>
      <c r="E297" s="2" t="n">
        <v>39818</v>
      </c>
      <c r="F297" s="2" t="n">
        <v>46098</v>
      </c>
      <c r="G297" t="n">
        <v>1083.673469387755</v>
      </c>
      <c r="H297" t="n">
        <v>970.9276681918775</v>
      </c>
      <c r="I297" t="inlineStr">
        <is>
          <t>Taiwan|XMTW.L|MAX</t>
        </is>
      </c>
      <c r="J297" t="inlineStr">
        <is>
          <t>GBp</t>
        </is>
      </c>
    </row>
    <row r="298">
      <c r="A298" t="inlineStr">
        <is>
          <t>Thailand</t>
        </is>
      </c>
      <c r="B298" t="inlineStr">
        <is>
          <t>THA</t>
        </is>
      </c>
      <c r="C298" t="inlineStr">
        <is>
          <t>XCX4.L</t>
        </is>
      </c>
      <c r="D298" t="inlineStr">
        <is>
          <t>YTD</t>
        </is>
      </c>
      <c r="E298" s="2" t="n">
        <v>46022</v>
      </c>
      <c r="F298" s="2" t="n">
        <v>46098</v>
      </c>
      <c r="G298" t="n">
        <v>18.3584686774942</v>
      </c>
      <c r="H298" t="n">
        <v>17.01503856287565</v>
      </c>
      <c r="I298" t="inlineStr">
        <is>
          <t>Thailand|XCX4.L|YTD</t>
        </is>
      </c>
      <c r="J298" t="inlineStr">
        <is>
          <t>GBp</t>
        </is>
      </c>
    </row>
    <row r="299">
      <c r="A299" t="inlineStr">
        <is>
          <t>Thailand</t>
        </is>
      </c>
      <c r="B299" t="inlineStr">
        <is>
          <t>THA</t>
        </is>
      </c>
      <c r="C299" t="inlineStr">
        <is>
          <t>XCX4.L</t>
        </is>
      </c>
      <c r="D299" t="inlineStr">
        <is>
          <t>1 Month</t>
        </is>
      </c>
      <c r="E299" s="2" t="n">
        <v>46070</v>
      </c>
      <c r="F299" s="2" t="n">
        <v>46098</v>
      </c>
      <c r="G299" t="n">
        <v>-0.5119453924914641</v>
      </c>
      <c r="H299" t="n">
        <v>-2.799562079417206</v>
      </c>
      <c r="I299" t="inlineStr">
        <is>
          <t>Thailand|XCX4.L|1 Month</t>
        </is>
      </c>
      <c r="J299" t="inlineStr">
        <is>
          <t>GBp</t>
        </is>
      </c>
    </row>
    <row r="300">
      <c r="A300" t="inlineStr">
        <is>
          <t>Thailand</t>
        </is>
      </c>
      <c r="B300" t="inlineStr">
        <is>
          <t>THA</t>
        </is>
      </c>
      <c r="C300" t="inlineStr">
        <is>
          <t>XCX4.L</t>
        </is>
      </c>
      <c r="D300" t="inlineStr">
        <is>
          <t>3 Months</t>
        </is>
      </c>
      <c r="E300" s="2" t="n">
        <v>46008</v>
      </c>
      <c r="F300" s="2" t="n">
        <v>46098</v>
      </c>
      <c r="G300" t="n">
        <v>18.23844705200637</v>
      </c>
      <c r="H300" t="n">
        <v>17.26382049222783</v>
      </c>
      <c r="I300" t="inlineStr">
        <is>
          <t>Thailand|XCX4.L|3 Months</t>
        </is>
      </c>
      <c r="J300" t="inlineStr">
        <is>
          <t>GBp</t>
        </is>
      </c>
    </row>
    <row r="301">
      <c r="A301" t="inlineStr">
        <is>
          <t>Thailand</t>
        </is>
      </c>
      <c r="B301" t="inlineStr">
        <is>
          <t>THA</t>
        </is>
      </c>
      <c r="C301" t="inlineStr">
        <is>
          <t>XCX4.L</t>
        </is>
      </c>
      <c r="D301" t="inlineStr">
        <is>
          <t>6 Months</t>
        </is>
      </c>
      <c r="E301" s="2" t="n">
        <v>45917</v>
      </c>
      <c r="F301" s="2" t="n">
        <v>46098</v>
      </c>
      <c r="G301" t="n">
        <v>21.42219577506694</v>
      </c>
      <c r="H301" t="n">
        <v>18.40227351485881</v>
      </c>
      <c r="I301" t="inlineStr">
        <is>
          <t>Thailand|XCX4.L|6 Months</t>
        </is>
      </c>
      <c r="J301" t="inlineStr">
        <is>
          <t>GBp</t>
        </is>
      </c>
    </row>
    <row r="302">
      <c r="A302" t="inlineStr">
        <is>
          <t>Thailand</t>
        </is>
      </c>
      <c r="B302" t="inlineStr">
        <is>
          <t>THA</t>
        </is>
      </c>
      <c r="C302" t="inlineStr">
        <is>
          <t>XCX4.L</t>
        </is>
      </c>
      <c r="D302" t="inlineStr">
        <is>
          <t>1 Year</t>
        </is>
      </c>
      <c r="E302" s="2" t="n">
        <v>45733</v>
      </c>
      <c r="F302" s="2" t="n">
        <v>46098</v>
      </c>
      <c r="G302" t="n">
        <v>39.093387866394</v>
      </c>
      <c r="H302" t="n">
        <v>43.22134760469929</v>
      </c>
      <c r="I302" t="inlineStr">
        <is>
          <t>Thailand|XCX4.L|1 Year</t>
        </is>
      </c>
      <c r="J302" t="inlineStr">
        <is>
          <t>GBp</t>
        </is>
      </c>
    </row>
    <row r="303">
      <c r="A303" t="inlineStr">
        <is>
          <t>Thailand</t>
        </is>
      </c>
      <c r="B303" t="inlineStr">
        <is>
          <t>THA</t>
        </is>
      </c>
      <c r="C303" t="inlineStr">
        <is>
          <t>XCX4.L</t>
        </is>
      </c>
      <c r="D303" t="inlineStr">
        <is>
          <t>3 Years</t>
        </is>
      </c>
      <c r="E303" s="2" t="n">
        <v>45002</v>
      </c>
      <c r="F303" s="2" t="n">
        <v>46098</v>
      </c>
      <c r="G303" t="n">
        <v>8.249336870026514</v>
      </c>
      <c r="H303" t="n">
        <v>19.00984746398315</v>
      </c>
      <c r="I303" t="inlineStr">
        <is>
          <t>Thailand|XCX4.L|3 Years</t>
        </is>
      </c>
      <c r="J303" t="inlineStr">
        <is>
          <t>GBp</t>
        </is>
      </c>
    </row>
    <row r="304">
      <c r="A304" t="inlineStr">
        <is>
          <t>Thailand</t>
        </is>
      </c>
      <c r="B304" t="inlineStr">
        <is>
          <t>THA</t>
        </is>
      </c>
      <c r="C304" t="inlineStr">
        <is>
          <t>XCX4.L</t>
        </is>
      </c>
      <c r="D304" t="inlineStr">
        <is>
          <t>5 Years</t>
        </is>
      </c>
      <c r="E304" s="2" t="n">
        <v>44272</v>
      </c>
      <c r="F304" s="2" t="n">
        <v>46098</v>
      </c>
      <c r="G304" t="n">
        <v>13.97849462365592</v>
      </c>
      <c r="H304" t="n">
        <v>9.158753282838351</v>
      </c>
      <c r="I304" t="inlineStr">
        <is>
          <t>Thailand|XCX4.L|5 Years</t>
        </is>
      </c>
      <c r="J304" t="inlineStr">
        <is>
          <t>GBp</t>
        </is>
      </c>
    </row>
    <row r="305">
      <c r="A305" t="inlineStr">
        <is>
          <t>Thailand</t>
        </is>
      </c>
      <c r="B305" t="inlineStr">
        <is>
          <t>THA</t>
        </is>
      </c>
      <c r="C305" t="inlineStr">
        <is>
          <t>XCX4.L</t>
        </is>
      </c>
      <c r="D305" t="inlineStr">
        <is>
          <t>10 Years</t>
        </is>
      </c>
      <c r="E305" s="2" t="n">
        <v>42446</v>
      </c>
      <c r="F305" s="2" t="n">
        <v>46098</v>
      </c>
      <c r="G305" t="n">
        <v>63.24000000000001</v>
      </c>
      <c r="H305" t="n">
        <v>52.46629195053632</v>
      </c>
      <c r="I305" t="inlineStr">
        <is>
          <t>Thailand|XCX4.L|10 Years</t>
        </is>
      </c>
      <c r="J305" t="inlineStr">
        <is>
          <t>GBp</t>
        </is>
      </c>
    </row>
    <row r="306">
      <c r="A306" t="inlineStr">
        <is>
          <t>Thailand</t>
        </is>
      </c>
      <c r="B306" t="inlineStr">
        <is>
          <t>THA</t>
        </is>
      </c>
      <c r="C306" t="inlineStr">
        <is>
          <t>XCX4.L</t>
        </is>
      </c>
      <c r="D306" t="inlineStr">
        <is>
          <t>MAX</t>
        </is>
      </c>
      <c r="E306" s="2" t="n">
        <v>40354</v>
      </c>
      <c r="F306" s="2" t="n">
        <v>46098</v>
      </c>
      <c r="G306" t="n">
        <v>77.79655466163264</v>
      </c>
      <c r="H306" t="n">
        <v>57.10447427293413</v>
      </c>
      <c r="I306" t="inlineStr">
        <is>
          <t>Thailand|XCX4.L|MAX</t>
        </is>
      </c>
      <c r="J306" t="inlineStr">
        <is>
          <t>GBp</t>
        </is>
      </c>
    </row>
    <row r="307">
      <c r="A307" t="inlineStr">
        <is>
          <t>Turkey</t>
        </is>
      </c>
      <c r="B307" t="inlineStr">
        <is>
          <t>TUR</t>
        </is>
      </c>
      <c r="C307" t="inlineStr">
        <is>
          <t>TUR</t>
        </is>
      </c>
      <c r="D307" t="inlineStr">
        <is>
          <t>YTD</t>
        </is>
      </c>
      <c r="E307" s="2" t="n">
        <v>46022</v>
      </c>
      <c r="F307" s="2" t="n">
        <v>46098</v>
      </c>
      <c r="G307" t="n">
        <v>14.52643889014247</v>
      </c>
      <c r="H307" t="n">
        <v>14.52643889014247</v>
      </c>
      <c r="I307" t="inlineStr">
        <is>
          <t>Turkey|TUR|YTD</t>
        </is>
      </c>
      <c r="J307" t="inlineStr">
        <is>
          <t>USD</t>
        </is>
      </c>
    </row>
    <row r="308">
      <c r="A308" t="inlineStr">
        <is>
          <t>Turkey</t>
        </is>
      </c>
      <c r="B308" t="inlineStr">
        <is>
          <t>TUR</t>
        </is>
      </c>
      <c r="C308" t="inlineStr">
        <is>
          <t>TUR</t>
        </is>
      </c>
      <c r="D308" t="inlineStr">
        <is>
          <t>1 Month</t>
        </is>
      </c>
      <c r="E308" s="2" t="n">
        <v>46070</v>
      </c>
      <c r="F308" s="2" t="n">
        <v>46098</v>
      </c>
      <c r="G308" t="n">
        <v>-6.8965563843157</v>
      </c>
      <c r="H308" t="n">
        <v>-6.8965563843157</v>
      </c>
      <c r="I308" t="inlineStr">
        <is>
          <t>Turkey|TUR|1 Month</t>
        </is>
      </c>
      <c r="J308" t="inlineStr">
        <is>
          <t>USD</t>
        </is>
      </c>
    </row>
    <row r="309">
      <c r="A309" t="inlineStr">
        <is>
          <t>Turkey</t>
        </is>
      </c>
      <c r="B309" t="inlineStr">
        <is>
          <t>TUR</t>
        </is>
      </c>
      <c r="C309" t="inlineStr">
        <is>
          <t>TUR</t>
        </is>
      </c>
      <c r="D309" t="inlineStr">
        <is>
          <t>3 Months</t>
        </is>
      </c>
      <c r="E309" s="2" t="n">
        <v>46008</v>
      </c>
      <c r="F309" s="2" t="n">
        <v>46098</v>
      </c>
      <c r="G309" t="n">
        <v>13.4714918375475</v>
      </c>
      <c r="H309" t="n">
        <v>13.4714918375475</v>
      </c>
      <c r="I309" t="inlineStr">
        <is>
          <t>Turkey|TUR|3 Months</t>
        </is>
      </c>
      <c r="J309" t="inlineStr">
        <is>
          <t>USD</t>
        </is>
      </c>
    </row>
    <row r="310">
      <c r="A310" t="inlineStr">
        <is>
          <t>Turkey</t>
        </is>
      </c>
      <c r="B310" t="inlineStr">
        <is>
          <t>TUR</t>
        </is>
      </c>
      <c r="C310" t="inlineStr">
        <is>
          <t>TUR</t>
        </is>
      </c>
      <c r="D310" t="inlineStr">
        <is>
          <t>6 Months</t>
        </is>
      </c>
      <c r="E310" s="2" t="n">
        <v>45917</v>
      </c>
      <c r="F310" s="2" t="n">
        <v>46098</v>
      </c>
      <c r="G310" t="n">
        <v>14.60470493301751</v>
      </c>
      <c r="H310" t="n">
        <v>14.60470493301751</v>
      </c>
      <c r="I310" t="inlineStr">
        <is>
          <t>Turkey|TUR|6 Months</t>
        </is>
      </c>
      <c r="J310" t="inlineStr">
        <is>
          <t>USD</t>
        </is>
      </c>
    </row>
    <row r="311">
      <c r="A311" t="inlineStr">
        <is>
          <t>Turkey</t>
        </is>
      </c>
      <c r="B311" t="inlineStr">
        <is>
          <t>TUR</t>
        </is>
      </c>
      <c r="C311" t="inlineStr">
        <is>
          <t>TUR</t>
        </is>
      </c>
      <c r="D311" t="inlineStr">
        <is>
          <t>1 Year</t>
        </is>
      </c>
      <c r="E311" s="2" t="n">
        <v>45733</v>
      </c>
      <c r="F311" s="2" t="n">
        <v>46098</v>
      </c>
      <c r="G311" t="n">
        <v>4.897403986901172</v>
      </c>
      <c r="H311" t="n">
        <v>4.897403986901172</v>
      </c>
      <c r="I311" t="inlineStr">
        <is>
          <t>Turkey|TUR|1 Year</t>
        </is>
      </c>
      <c r="J311" t="inlineStr">
        <is>
          <t>USD</t>
        </is>
      </c>
    </row>
    <row r="312">
      <c r="A312" t="inlineStr">
        <is>
          <t>Turkey</t>
        </is>
      </c>
      <c r="B312" t="inlineStr">
        <is>
          <t>TUR</t>
        </is>
      </c>
      <c r="C312" t="inlineStr">
        <is>
          <t>TUR</t>
        </is>
      </c>
      <c r="D312" t="inlineStr">
        <is>
          <t>3 Years</t>
        </is>
      </c>
      <c r="E312" s="2" t="n">
        <v>45002</v>
      </c>
      <c r="F312" s="2" t="n">
        <v>46098</v>
      </c>
      <c r="G312" t="n">
        <v>22.54995346436679</v>
      </c>
      <c r="H312" t="n">
        <v>22.54995346436679</v>
      </c>
      <c r="I312" t="inlineStr">
        <is>
          <t>Turkey|TUR|3 Years</t>
        </is>
      </c>
      <c r="J312" t="inlineStr">
        <is>
          <t>USD</t>
        </is>
      </c>
    </row>
    <row r="313">
      <c r="A313" t="inlineStr">
        <is>
          <t>Turkey</t>
        </is>
      </c>
      <c r="B313" t="inlineStr">
        <is>
          <t>TUR</t>
        </is>
      </c>
      <c r="C313" t="inlineStr">
        <is>
          <t>TUR</t>
        </is>
      </c>
      <c r="D313" t="inlineStr">
        <is>
          <t>5 Years</t>
        </is>
      </c>
      <c r="E313" s="2" t="n">
        <v>44272</v>
      </c>
      <c r="F313" s="2" t="n">
        <v>46098</v>
      </c>
      <c r="G313" t="n">
        <v>64.50118428507277</v>
      </c>
      <c r="H313" t="n">
        <v>64.50118428507277</v>
      </c>
      <c r="I313" t="inlineStr">
        <is>
          <t>Turkey|TUR|5 Years</t>
        </is>
      </c>
      <c r="J313" t="inlineStr">
        <is>
          <t>USD</t>
        </is>
      </c>
    </row>
    <row r="314">
      <c r="A314" t="inlineStr">
        <is>
          <t>Turkey</t>
        </is>
      </c>
      <c r="B314" t="inlineStr">
        <is>
          <t>TUR</t>
        </is>
      </c>
      <c r="C314" t="inlineStr">
        <is>
          <t>TUR</t>
        </is>
      </c>
      <c r="D314" t="inlineStr">
        <is>
          <t>10 Years</t>
        </is>
      </c>
      <c r="E314" s="2" t="n">
        <v>42446</v>
      </c>
      <c r="F314" s="2" t="n">
        <v>46098</v>
      </c>
      <c r="G314" t="n">
        <v>22.73645440578851</v>
      </c>
      <c r="H314" t="n">
        <v>22.73645440578851</v>
      </c>
      <c r="I314" t="inlineStr">
        <is>
          <t>Turkey|TUR|10 Years</t>
        </is>
      </c>
      <c r="J314" t="inlineStr">
        <is>
          <t>USD</t>
        </is>
      </c>
    </row>
    <row r="315">
      <c r="A315" t="inlineStr">
        <is>
          <t>Turkey</t>
        </is>
      </c>
      <c r="B315" t="inlineStr">
        <is>
          <t>TUR</t>
        </is>
      </c>
      <c r="C315" t="inlineStr">
        <is>
          <t>TUR</t>
        </is>
      </c>
      <c r="D315" t="inlineStr">
        <is>
          <t>MAX</t>
        </is>
      </c>
      <c r="E315" s="2" t="n">
        <v>39538</v>
      </c>
      <c r="F315" s="2" t="n">
        <v>46098</v>
      </c>
      <c r="G315" t="n">
        <v>32.6982970452244</v>
      </c>
      <c r="H315" t="n">
        <v>32.6982970452244</v>
      </c>
      <c r="I315" t="inlineStr">
        <is>
          <t>Turkey|TUR|MAX</t>
        </is>
      </c>
      <c r="J315" t="inlineStr">
        <is>
          <t>USD</t>
        </is>
      </c>
    </row>
    <row r="316">
      <c r="A316" t="inlineStr">
        <is>
          <t>Turkey</t>
        </is>
      </c>
      <c r="B316" t="inlineStr">
        <is>
          <t>TUR</t>
        </is>
      </c>
      <c r="C316" t="inlineStr">
        <is>
          <t>TURL.L</t>
        </is>
      </c>
      <c r="D316" t="inlineStr">
        <is>
          <t>YTD</t>
        </is>
      </c>
      <c r="E316" s="2" t="n">
        <v>46022</v>
      </c>
      <c r="F316" s="2" t="n">
        <v>46098</v>
      </c>
      <c r="G316" t="n">
        <v>0</v>
      </c>
      <c r="H316" t="n">
        <v>-1.135051956678457</v>
      </c>
      <c r="I316" t="inlineStr">
        <is>
          <t>Turkey|TURL.L|YTD</t>
        </is>
      </c>
      <c r="J316" t="inlineStr">
        <is>
          <t>GBp</t>
        </is>
      </c>
    </row>
    <row r="317">
      <c r="A317" t="inlineStr">
        <is>
          <t>Turkey</t>
        </is>
      </c>
      <c r="B317" t="inlineStr">
        <is>
          <t>TUR</t>
        </is>
      </c>
      <c r="C317" t="inlineStr">
        <is>
          <t>TURL.L</t>
        </is>
      </c>
      <c r="D317" t="inlineStr">
        <is>
          <t>1 Month</t>
        </is>
      </c>
      <c r="E317" s="2" t="n">
        <v>46070</v>
      </c>
      <c r="F317" s="2" t="n">
        <v>46098</v>
      </c>
      <c r="G317" t="n">
        <v>0</v>
      </c>
      <c r="H317" t="n">
        <v>-2.299388299379901</v>
      </c>
      <c r="I317" t="inlineStr">
        <is>
          <t>Turkey|TURL.L|1 Month</t>
        </is>
      </c>
      <c r="J317" t="inlineStr">
        <is>
          <t>GBp</t>
        </is>
      </c>
    </row>
    <row r="318">
      <c r="A318" t="inlineStr">
        <is>
          <t>Turkey</t>
        </is>
      </c>
      <c r="B318" t="inlineStr">
        <is>
          <t>TUR</t>
        </is>
      </c>
      <c r="C318" t="inlineStr">
        <is>
          <t>TURL.L</t>
        </is>
      </c>
      <c r="D318" t="inlineStr">
        <is>
          <t>3 Months</t>
        </is>
      </c>
      <c r="E318" s="2" t="n">
        <v>46008</v>
      </c>
      <c r="F318" s="2" t="n">
        <v>46098</v>
      </c>
      <c r="G318" t="n">
        <v>0</v>
      </c>
      <c r="H318" t="n">
        <v>-0.8242890397146763</v>
      </c>
      <c r="I318" t="inlineStr">
        <is>
          <t>Turkey|TURL.L|3 Months</t>
        </is>
      </c>
      <c r="J318" t="inlineStr">
        <is>
          <t>GBp</t>
        </is>
      </c>
    </row>
    <row r="319">
      <c r="A319" t="inlineStr">
        <is>
          <t>Turkey</t>
        </is>
      </c>
      <c r="B319" t="inlineStr">
        <is>
          <t>TUR</t>
        </is>
      </c>
      <c r="C319" t="inlineStr">
        <is>
          <t>TURL.L</t>
        </is>
      </c>
      <c r="D319" t="inlineStr">
        <is>
          <t>6 Months</t>
        </is>
      </c>
      <c r="E319" s="2" t="n">
        <v>45917</v>
      </c>
      <c r="F319" s="2" t="n">
        <v>46098</v>
      </c>
      <c r="G319" t="n">
        <v>0</v>
      </c>
      <c r="H319" t="n">
        <v>-2.487125389992528</v>
      </c>
      <c r="I319" t="inlineStr">
        <is>
          <t>Turkey|TURL.L|6 Months</t>
        </is>
      </c>
      <c r="J319" t="inlineStr">
        <is>
          <t>GBp</t>
        </is>
      </c>
    </row>
    <row r="320">
      <c r="A320" t="inlineStr">
        <is>
          <t>Turkey</t>
        </is>
      </c>
      <c r="B320" t="inlineStr">
        <is>
          <t>TUR</t>
        </is>
      </c>
      <c r="C320" t="inlineStr">
        <is>
          <t>TURL.L</t>
        </is>
      </c>
      <c r="D320" t="inlineStr">
        <is>
          <t>1 Year</t>
        </is>
      </c>
      <c r="E320" s="2" t="n">
        <v>45733</v>
      </c>
      <c r="F320" s="2" t="n">
        <v>46098</v>
      </c>
      <c r="G320" t="n">
        <v>0</v>
      </c>
      <c r="H320" t="n">
        <v>2.967761301687744</v>
      </c>
      <c r="I320" t="inlineStr">
        <is>
          <t>Turkey|TURL.L|1 Year</t>
        </is>
      </c>
      <c r="J320" t="inlineStr">
        <is>
          <t>GBp</t>
        </is>
      </c>
    </row>
    <row r="321">
      <c r="A321" t="inlineStr">
        <is>
          <t>Turkey</t>
        </is>
      </c>
      <c r="B321" t="inlineStr">
        <is>
          <t>TUR</t>
        </is>
      </c>
      <c r="C321" t="inlineStr">
        <is>
          <t>TURL.L</t>
        </is>
      </c>
      <c r="D321" t="inlineStr">
        <is>
          <t>3 Years</t>
        </is>
      </c>
      <c r="E321" s="2" t="n">
        <v>45002</v>
      </c>
      <c r="F321" s="2" t="n">
        <v>46098</v>
      </c>
      <c r="G321" t="n">
        <v>-14.02682169913481</v>
      </c>
      <c r="H321" t="n">
        <v>-5.480669614957545</v>
      </c>
      <c r="I321" t="inlineStr">
        <is>
          <t>Turkey|TURL.L|3 Years</t>
        </is>
      </c>
      <c r="J321" t="inlineStr">
        <is>
          <t>GBp</t>
        </is>
      </c>
    </row>
    <row r="322">
      <c r="A322" t="inlineStr">
        <is>
          <t>Turkey</t>
        </is>
      </c>
      <c r="B322" t="inlineStr">
        <is>
          <t>TUR</t>
        </is>
      </c>
      <c r="C322" t="inlineStr">
        <is>
          <t>TURL.L</t>
        </is>
      </c>
      <c r="D322" t="inlineStr">
        <is>
          <t>5 Years</t>
        </is>
      </c>
      <c r="E322" s="2" t="n">
        <v>44272</v>
      </c>
      <c r="F322" s="2" t="n">
        <v>46098</v>
      </c>
      <c r="G322" t="n">
        <v>34.21506733083497</v>
      </c>
      <c r="H322" t="n">
        <v>28.53959398201622</v>
      </c>
      <c r="I322" t="inlineStr">
        <is>
          <t>Turkey|TURL.L|5 Years</t>
        </is>
      </c>
      <c r="J322" t="inlineStr">
        <is>
          <t>GBp</t>
        </is>
      </c>
    </row>
    <row r="323">
      <c r="A323" t="inlineStr">
        <is>
          <t>Turkey</t>
        </is>
      </c>
      <c r="B323" t="inlineStr">
        <is>
          <t>TUR</t>
        </is>
      </c>
      <c r="C323" t="inlineStr">
        <is>
          <t>TURL.L</t>
        </is>
      </c>
      <c r="D323" t="inlineStr">
        <is>
          <t>10 Years</t>
        </is>
      </c>
      <c r="E323" s="2" t="n">
        <v>42446</v>
      </c>
      <c r="F323" s="2" t="n">
        <v>46098</v>
      </c>
      <c r="G323" t="n">
        <v>-33.91292498337467</v>
      </c>
      <c r="H323" t="n">
        <v>-38.27461851481383</v>
      </c>
      <c r="I323" t="inlineStr">
        <is>
          <t>Turkey|TURL.L|10 Years</t>
        </is>
      </c>
      <c r="J323" t="inlineStr">
        <is>
          <t>GBp</t>
        </is>
      </c>
    </row>
    <row r="324">
      <c r="A324" t="inlineStr">
        <is>
          <t>Turkey</t>
        </is>
      </c>
      <c r="B324" t="inlineStr">
        <is>
          <t>TUR</t>
        </is>
      </c>
      <c r="C324" t="inlineStr">
        <is>
          <t>TURL.L</t>
        </is>
      </c>
      <c r="D324" t="inlineStr">
        <is>
          <t>MAX</t>
        </is>
      </c>
      <c r="E324" s="2" t="n">
        <v>39450</v>
      </c>
      <c r="F324" s="2" t="n">
        <v>46098</v>
      </c>
      <c r="G324" t="n">
        <v>-99.43612293704946</v>
      </c>
      <c r="H324" t="n">
        <v>-99.61969248846486</v>
      </c>
      <c r="I324" t="inlineStr">
        <is>
          <t>Turkey|TURL.L|MAX</t>
        </is>
      </c>
      <c r="J324" t="inlineStr">
        <is>
          <t>GBp</t>
        </is>
      </c>
    </row>
    <row r="325">
      <c r="A325" t="inlineStr">
        <is>
          <t>United Kingdom</t>
        </is>
      </c>
      <c r="B325" t="inlineStr">
        <is>
          <t>GBR</t>
        </is>
      </c>
      <c r="C325" t="inlineStr">
        <is>
          <t>CSUK.L</t>
        </is>
      </c>
      <c r="D325" t="inlineStr">
        <is>
          <t>YTD</t>
        </is>
      </c>
      <c r="E325" s="2" t="n">
        <v>46022</v>
      </c>
      <c r="F325" s="2" t="n">
        <v>46098</v>
      </c>
      <c r="G325" t="n">
        <v>6.210365186966982</v>
      </c>
      <c r="H325" t="n">
        <v>5.004822358716976</v>
      </c>
      <c r="I325" t="inlineStr">
        <is>
          <t>United Kingdom|CSUK.L|YTD</t>
        </is>
      </c>
      <c r="J325" t="inlineStr">
        <is>
          <t>GBp</t>
        </is>
      </c>
    </row>
    <row r="326">
      <c r="A326" t="inlineStr">
        <is>
          <t>United Kingdom</t>
        </is>
      </c>
      <c r="B326" t="inlineStr">
        <is>
          <t>GBR</t>
        </is>
      </c>
      <c r="C326" t="inlineStr">
        <is>
          <t>CSUK.L</t>
        </is>
      </c>
      <c r="D326" t="inlineStr">
        <is>
          <t>1 Month</t>
        </is>
      </c>
      <c r="E326" s="2" t="n">
        <v>46070</v>
      </c>
      <c r="F326" s="2" t="n">
        <v>46098</v>
      </c>
      <c r="G326" t="n">
        <v>-0.3896636587366609</v>
      </c>
      <c r="H326" t="n">
        <v>-2.68009207754063</v>
      </c>
      <c r="I326" t="inlineStr">
        <is>
          <t>United Kingdom|CSUK.L|1 Month</t>
        </is>
      </c>
      <c r="J326" t="inlineStr">
        <is>
          <t>GBp</t>
        </is>
      </c>
    </row>
    <row r="327">
      <c r="A327" t="inlineStr">
        <is>
          <t>United Kingdom</t>
        </is>
      </c>
      <c r="B327" t="inlineStr">
        <is>
          <t>GBR</t>
        </is>
      </c>
      <c r="C327" t="inlineStr">
        <is>
          <t>CSUK.L</t>
        </is>
      </c>
      <c r="D327" t="inlineStr">
        <is>
          <t>3 Months</t>
        </is>
      </c>
      <c r="E327" s="2" t="n">
        <v>46008</v>
      </c>
      <c r="F327" s="2" t="n">
        <v>46098</v>
      </c>
      <c r="G327" t="n">
        <v>7.85543773941042</v>
      </c>
      <c r="H327" t="n">
        <v>6.966397187388162</v>
      </c>
      <c r="I327" t="inlineStr">
        <is>
          <t>United Kingdom|CSUK.L|3 Months</t>
        </is>
      </c>
      <c r="J327" t="inlineStr">
        <is>
          <t>GBp</t>
        </is>
      </c>
    </row>
    <row r="328">
      <c r="A328" t="inlineStr">
        <is>
          <t>United Kingdom</t>
        </is>
      </c>
      <c r="B328" t="inlineStr">
        <is>
          <t>GBR</t>
        </is>
      </c>
      <c r="C328" t="inlineStr">
        <is>
          <t>CSUK.L</t>
        </is>
      </c>
      <c r="D328" t="inlineStr">
        <is>
          <t>6 Months</t>
        </is>
      </c>
      <c r="E328" s="2" t="n">
        <v>45917</v>
      </c>
      <c r="F328" s="2" t="n">
        <v>46098</v>
      </c>
      <c r="G328" t="n">
        <v>15.06751954513148</v>
      </c>
      <c r="H328" t="n">
        <v>12.2056460508899</v>
      </c>
      <c r="I328" t="inlineStr">
        <is>
          <t>United Kingdom|CSUK.L|6 Months</t>
        </is>
      </c>
      <c r="J328" t="inlineStr">
        <is>
          <t>GBp</t>
        </is>
      </c>
    </row>
    <row r="329">
      <c r="A329" t="inlineStr">
        <is>
          <t>United Kingdom</t>
        </is>
      </c>
      <c r="B329" t="inlineStr">
        <is>
          <t>GBR</t>
        </is>
      </c>
      <c r="C329" t="inlineStr">
        <is>
          <t>CSUK.L</t>
        </is>
      </c>
      <c r="D329" t="inlineStr">
        <is>
          <t>1 Year</t>
        </is>
      </c>
      <c r="E329" s="2" t="n">
        <v>45733</v>
      </c>
      <c r="F329" s="2" t="n">
        <v>46098</v>
      </c>
      <c r="G329" t="n">
        <v>23.44643537933664</v>
      </c>
      <c r="H329" t="n">
        <v>27.11003091683757</v>
      </c>
      <c r="I329" t="inlineStr">
        <is>
          <t>United Kingdom|CSUK.L|1 Year</t>
        </is>
      </c>
      <c r="J329" t="inlineStr">
        <is>
          <t>GBp</t>
        </is>
      </c>
    </row>
    <row r="330">
      <c r="A330" t="inlineStr">
        <is>
          <t>United Kingdom</t>
        </is>
      </c>
      <c r="B330" t="inlineStr">
        <is>
          <t>GBR</t>
        </is>
      </c>
      <c r="C330" t="inlineStr">
        <is>
          <t>CSUK.L</t>
        </is>
      </c>
      <c r="D330" t="inlineStr">
        <is>
          <t>3 Years</t>
        </is>
      </c>
      <c r="E330" s="2" t="n">
        <v>45002</v>
      </c>
      <c r="F330" s="2" t="n">
        <v>46098</v>
      </c>
      <c r="G330" t="n">
        <v>56.77856681730149</v>
      </c>
      <c r="H330" t="n">
        <v>72.36311890715392</v>
      </c>
      <c r="I330" t="inlineStr">
        <is>
          <t>United Kingdom|CSUK.L|3 Years</t>
        </is>
      </c>
      <c r="J330" t="inlineStr">
        <is>
          <t>GBp</t>
        </is>
      </c>
    </row>
    <row r="331">
      <c r="A331" t="inlineStr">
        <is>
          <t>United Kingdom</t>
        </is>
      </c>
      <c r="B331" t="inlineStr">
        <is>
          <t>GBR</t>
        </is>
      </c>
      <c r="C331" t="inlineStr">
        <is>
          <t>CSUK.L</t>
        </is>
      </c>
      <c r="D331" t="inlineStr">
        <is>
          <t>5 Years</t>
        </is>
      </c>
      <c r="E331" s="2" t="n">
        <v>44272</v>
      </c>
      <c r="F331" s="2" t="n">
        <v>46098</v>
      </c>
      <c r="G331" t="n">
        <v>85.93166810221075</v>
      </c>
      <c r="H331" t="n">
        <v>78.06928537572924</v>
      </c>
      <c r="I331" t="inlineStr">
        <is>
          <t>United Kingdom|CSUK.L|5 Years</t>
        </is>
      </c>
      <c r="J331" t="inlineStr">
        <is>
          <t>GBp</t>
        </is>
      </c>
    </row>
    <row r="332">
      <c r="A332" t="inlineStr">
        <is>
          <t>United Kingdom</t>
        </is>
      </c>
      <c r="B332" t="inlineStr">
        <is>
          <t>GBR</t>
        </is>
      </c>
      <c r="C332" t="inlineStr">
        <is>
          <t>CSUK.L</t>
        </is>
      </c>
      <c r="D332" t="inlineStr">
        <is>
          <t>10 Years</t>
        </is>
      </c>
      <c r="E332" s="2" t="n">
        <v>42446</v>
      </c>
      <c r="F332" s="2" t="n">
        <v>46098</v>
      </c>
      <c r="G332" t="n">
        <v>136.1923287338156</v>
      </c>
      <c r="H332" t="n">
        <v>120.603825956916</v>
      </c>
      <c r="I332" t="inlineStr">
        <is>
          <t>United Kingdom|CSUK.L|10 Years</t>
        </is>
      </c>
      <c r="J332" t="inlineStr">
        <is>
          <t>GBp</t>
        </is>
      </c>
    </row>
    <row r="333">
      <c r="A333" t="inlineStr">
        <is>
          <t>United Kingdom</t>
        </is>
      </c>
      <c r="B333" t="inlineStr">
        <is>
          <t>GBR</t>
        </is>
      </c>
      <c r="C333" t="inlineStr">
        <is>
          <t>CSUK.L</t>
        </is>
      </c>
      <c r="D333" t="inlineStr">
        <is>
          <t>MAX</t>
        </is>
      </c>
      <c r="E333" s="2" t="n">
        <v>40443</v>
      </c>
      <c r="F333" s="2" t="n">
        <v>46098</v>
      </c>
      <c r="G333" t="n">
        <v>211.0470701248799</v>
      </c>
      <c r="H333" t="n">
        <v>165.1853548782571</v>
      </c>
      <c r="I333" t="inlineStr">
        <is>
          <t>United Kingdom|CSUK.L|MAX</t>
        </is>
      </c>
      <c r="J333" t="inlineStr">
        <is>
          <t>GBp</t>
        </is>
      </c>
    </row>
    <row r="334">
      <c r="A334" t="inlineStr">
        <is>
          <t>United Kingdom</t>
        </is>
      </c>
      <c r="B334" t="inlineStr">
        <is>
          <t>GBR</t>
        </is>
      </c>
      <c r="C334" t="inlineStr">
        <is>
          <t>CUKX.L</t>
        </is>
      </c>
      <c r="D334" t="inlineStr">
        <is>
          <t>YTD</t>
        </is>
      </c>
      <c r="E334" s="2" t="n">
        <v>46022</v>
      </c>
      <c r="F334" s="2" t="n">
        <v>46098</v>
      </c>
      <c r="G334" t="n">
        <v>5.406895169372605</v>
      </c>
      <c r="H334" t="n">
        <v>4.210472143278632</v>
      </c>
      <c r="I334" t="inlineStr">
        <is>
          <t>United Kingdom|CUKX.L|YTD</t>
        </is>
      </c>
      <c r="J334" t="inlineStr">
        <is>
          <t>GBp</t>
        </is>
      </c>
    </row>
    <row r="335">
      <c r="A335" t="inlineStr">
        <is>
          <t>United Kingdom</t>
        </is>
      </c>
      <c r="B335" t="inlineStr">
        <is>
          <t>GBR</t>
        </is>
      </c>
      <c r="C335" t="inlineStr">
        <is>
          <t>CUKX.L</t>
        </is>
      </c>
      <c r="D335" t="inlineStr">
        <is>
          <t>1 Month</t>
        </is>
      </c>
      <c r="E335" s="2" t="n">
        <v>46070</v>
      </c>
      <c r="F335" s="2" t="n">
        <v>46098</v>
      </c>
      <c r="G335" t="n">
        <v>-1.081589466259114</v>
      </c>
      <c r="H335" t="n">
        <v>-3.356107824004528</v>
      </c>
      <c r="I335" t="inlineStr">
        <is>
          <t>United Kingdom|CUKX.L|1 Month</t>
        </is>
      </c>
      <c r="J335" t="inlineStr">
        <is>
          <t>GBp</t>
        </is>
      </c>
    </row>
    <row r="336">
      <c r="A336" t="inlineStr">
        <is>
          <t>United Kingdom</t>
        </is>
      </c>
      <c r="B336" t="inlineStr">
        <is>
          <t>GBR</t>
        </is>
      </c>
      <c r="C336" t="inlineStr">
        <is>
          <t>CUKX.L</t>
        </is>
      </c>
      <c r="D336" t="inlineStr">
        <is>
          <t>3 Months</t>
        </is>
      </c>
      <c r="E336" s="2" t="n">
        <v>46008</v>
      </c>
      <c r="F336" s="2" t="n">
        <v>46098</v>
      </c>
      <c r="G336" t="n">
        <v>7.01566951566952</v>
      </c>
      <c r="H336" t="n">
        <v>6.133551081074584</v>
      </c>
      <c r="I336" t="inlineStr">
        <is>
          <t>United Kingdom|CUKX.L|3 Months</t>
        </is>
      </c>
      <c r="J336" t="inlineStr">
        <is>
          <t>GBp</t>
        </is>
      </c>
    </row>
    <row r="337">
      <c r="A337" t="inlineStr">
        <is>
          <t>United Kingdom</t>
        </is>
      </c>
      <c r="B337" t="inlineStr">
        <is>
          <t>GBR</t>
        </is>
      </c>
      <c r="C337" t="inlineStr">
        <is>
          <t>CUKX.L</t>
        </is>
      </c>
      <c r="D337" t="inlineStr">
        <is>
          <t>6 Months</t>
        </is>
      </c>
      <c r="E337" s="2" t="n">
        <v>45917</v>
      </c>
      <c r="F337" s="2" t="n">
        <v>46098</v>
      </c>
      <c r="G337" t="n">
        <v>14.56971677559913</v>
      </c>
      <c r="H337" t="n">
        <v>11.72022426043067</v>
      </c>
      <c r="I337" t="inlineStr">
        <is>
          <t>United Kingdom|CUKX.L|6 Months</t>
        </is>
      </c>
      <c r="J337" t="inlineStr">
        <is>
          <t>GBp</t>
        </is>
      </c>
    </row>
    <row r="338">
      <c r="A338" t="inlineStr">
        <is>
          <t>United Kingdom</t>
        </is>
      </c>
      <c r="B338" t="inlineStr">
        <is>
          <t>GBR</t>
        </is>
      </c>
      <c r="C338" t="inlineStr">
        <is>
          <t>CUKX.L</t>
        </is>
      </c>
      <c r="D338" t="inlineStr">
        <is>
          <t>1 Year</t>
        </is>
      </c>
      <c r="E338" s="2" t="n">
        <v>45733</v>
      </c>
      <c r="F338" s="2" t="n">
        <v>46098</v>
      </c>
      <c r="G338" t="n">
        <v>23.66255144032923</v>
      </c>
      <c r="H338" t="n">
        <v>27.33256078665502</v>
      </c>
      <c r="I338" t="inlineStr">
        <is>
          <t>United Kingdom|CUKX.L|1 Year</t>
        </is>
      </c>
      <c r="J338" t="inlineStr">
        <is>
          <t>GBp</t>
        </is>
      </c>
    </row>
    <row r="339">
      <c r="A339" t="inlineStr">
        <is>
          <t>United Kingdom</t>
        </is>
      </c>
      <c r="B339" t="inlineStr">
        <is>
          <t>GBR</t>
        </is>
      </c>
      <c r="C339" t="inlineStr">
        <is>
          <t>CUKX.L</t>
        </is>
      </c>
      <c r="D339" t="inlineStr">
        <is>
          <t>3 Years</t>
        </is>
      </c>
      <c r="E339" s="2" t="n">
        <v>45002</v>
      </c>
      <c r="F339" s="2" t="n">
        <v>46098</v>
      </c>
      <c r="G339" t="n">
        <v>57.37692653000151</v>
      </c>
      <c r="H339" t="n">
        <v>73.0209584856312</v>
      </c>
      <c r="I339" t="inlineStr">
        <is>
          <t>United Kingdom|CUKX.L|3 Years</t>
        </is>
      </c>
      <c r="J339" t="inlineStr">
        <is>
          <t>GBp</t>
        </is>
      </c>
    </row>
    <row r="340">
      <c r="A340" t="inlineStr">
        <is>
          <t>United Kingdom</t>
        </is>
      </c>
      <c r="B340" t="inlineStr">
        <is>
          <t>GBR</t>
        </is>
      </c>
      <c r="C340" t="inlineStr">
        <is>
          <t>CUKX.L</t>
        </is>
      </c>
      <c r="D340" t="inlineStr">
        <is>
          <t>5 Years</t>
        </is>
      </c>
      <c r="E340" s="2" t="n">
        <v>44272</v>
      </c>
      <c r="F340" s="2" t="n">
        <v>46098</v>
      </c>
      <c r="G340" t="n">
        <v>82.75412684622067</v>
      </c>
      <c r="H340" t="n">
        <v>75.02611093169098</v>
      </c>
      <c r="I340" t="inlineStr">
        <is>
          <t>United Kingdom|CUKX.L|5 Years</t>
        </is>
      </c>
      <c r="J340" t="inlineStr">
        <is>
          <t>GBp</t>
        </is>
      </c>
    </row>
    <row r="341">
      <c r="A341" t="inlineStr">
        <is>
          <t>United Kingdom</t>
        </is>
      </c>
      <c r="B341" t="inlineStr">
        <is>
          <t>GBR</t>
        </is>
      </c>
      <c r="C341" t="inlineStr">
        <is>
          <t>CUKX.L</t>
        </is>
      </c>
      <c r="D341" t="inlineStr">
        <is>
          <t>10 Years</t>
        </is>
      </c>
      <c r="E341" s="2" t="n">
        <v>42446</v>
      </c>
      <c r="F341" s="2" t="n">
        <v>46098</v>
      </c>
      <c r="G341" t="n">
        <v>142.870338298118</v>
      </c>
      <c r="H341" t="n">
        <v>126.8410922879587</v>
      </c>
      <c r="I341" t="inlineStr">
        <is>
          <t>United Kingdom|CUKX.L|10 Years</t>
        </is>
      </c>
      <c r="J341" t="inlineStr">
        <is>
          <t>GBp</t>
        </is>
      </c>
    </row>
    <row r="342">
      <c r="A342" t="inlineStr">
        <is>
          <t>United Kingdom</t>
        </is>
      </c>
      <c r="B342" t="inlineStr">
        <is>
          <t>GBR</t>
        </is>
      </c>
      <c r="C342" t="inlineStr">
        <is>
          <t>CUKX.L</t>
        </is>
      </c>
      <c r="D342" t="inlineStr">
        <is>
          <t>MAX</t>
        </is>
      </c>
      <c r="E342" s="2" t="n">
        <v>40438</v>
      </c>
      <c r="F342" s="2" t="n">
        <v>46098</v>
      </c>
      <c r="G342" t="n">
        <v>224.4139420111042</v>
      </c>
      <c r="H342" t="n">
        <v>176.3826815728901</v>
      </c>
      <c r="I342" t="inlineStr">
        <is>
          <t>United Kingdom|CUKX.L|MAX</t>
        </is>
      </c>
      <c r="J342" t="inlineStr">
        <is>
          <t>GBp</t>
        </is>
      </c>
    </row>
    <row r="343">
      <c r="A343" t="inlineStr">
        <is>
          <t>United States</t>
        </is>
      </c>
      <c r="B343" t="inlineStr">
        <is>
          <t>USA</t>
        </is>
      </c>
      <c r="C343" t="inlineStr">
        <is>
          <t>CSPX.L</t>
        </is>
      </c>
      <c r="D343" t="inlineStr">
        <is>
          <t>YTD</t>
        </is>
      </c>
      <c r="E343" s="2" t="n">
        <v>46022</v>
      </c>
      <c r="F343" s="2" t="n">
        <v>46098</v>
      </c>
      <c r="G343" t="n">
        <v>-2.243647064696119</v>
      </c>
      <c r="H343" t="n">
        <v>-2.243647064696119</v>
      </c>
      <c r="I343" t="inlineStr">
        <is>
          <t>United States|CSPX.L|YTD</t>
        </is>
      </c>
      <c r="J343" t="inlineStr">
        <is>
          <t>USD</t>
        </is>
      </c>
    </row>
    <row r="344">
      <c r="A344" t="inlineStr">
        <is>
          <t>United States</t>
        </is>
      </c>
      <c r="B344" t="inlineStr">
        <is>
          <t>USA</t>
        </is>
      </c>
      <c r="C344" t="inlineStr">
        <is>
          <t>CSPX.L</t>
        </is>
      </c>
      <c r="D344" t="inlineStr">
        <is>
          <t>1 Month</t>
        </is>
      </c>
      <c r="E344" s="2" t="n">
        <v>46070</v>
      </c>
      <c r="F344" s="2" t="n">
        <v>46098</v>
      </c>
      <c r="G344" t="n">
        <v>-1.52629094575143</v>
      </c>
      <c r="H344" t="n">
        <v>-1.52629094575143</v>
      </c>
      <c r="I344" t="inlineStr">
        <is>
          <t>United States|CSPX.L|1 Month</t>
        </is>
      </c>
      <c r="J344" t="inlineStr">
        <is>
          <t>USD</t>
        </is>
      </c>
    </row>
    <row r="345">
      <c r="A345" t="inlineStr">
        <is>
          <t>United States</t>
        </is>
      </c>
      <c r="B345" t="inlineStr">
        <is>
          <t>USA</t>
        </is>
      </c>
      <c r="C345" t="inlineStr">
        <is>
          <t>CSPX.L</t>
        </is>
      </c>
      <c r="D345" t="inlineStr">
        <is>
          <t>3 Months</t>
        </is>
      </c>
      <c r="E345" s="2" t="n">
        <v>46008</v>
      </c>
      <c r="F345" s="2" t="n">
        <v>46098</v>
      </c>
      <c r="G345" t="n">
        <v>-0.09685760909509122</v>
      </c>
      <c r="H345" t="n">
        <v>-0.09685760909509122</v>
      </c>
      <c r="I345" t="inlineStr">
        <is>
          <t>United States|CSPX.L|3 Months</t>
        </is>
      </c>
      <c r="J345" t="inlineStr">
        <is>
          <t>USD</t>
        </is>
      </c>
    </row>
    <row r="346">
      <c r="A346" t="inlineStr">
        <is>
          <t>United States</t>
        </is>
      </c>
      <c r="B346" t="inlineStr">
        <is>
          <t>USA</t>
        </is>
      </c>
      <c r="C346" t="inlineStr">
        <is>
          <t>CSPX.L</t>
        </is>
      </c>
      <c r="D346" t="inlineStr">
        <is>
          <t>6 Months</t>
        </is>
      </c>
      <c r="E346" s="2" t="n">
        <v>45917</v>
      </c>
      <c r="F346" s="2" t="n">
        <v>46098</v>
      </c>
      <c r="G346" t="n">
        <v>2.353413429430651</v>
      </c>
      <c r="H346" t="n">
        <v>2.353413429430651</v>
      </c>
      <c r="I346" t="inlineStr">
        <is>
          <t>United States|CSPX.L|6 Months</t>
        </is>
      </c>
      <c r="J346" t="inlineStr">
        <is>
          <t>USD</t>
        </is>
      </c>
    </row>
    <row r="347">
      <c r="A347" t="inlineStr">
        <is>
          <t>United States</t>
        </is>
      </c>
      <c r="B347" t="inlineStr">
        <is>
          <t>USA</t>
        </is>
      </c>
      <c r="C347" t="inlineStr">
        <is>
          <t>CSPX.L</t>
        </is>
      </c>
      <c r="D347" t="inlineStr">
        <is>
          <t>1 Year</t>
        </is>
      </c>
      <c r="E347" s="2" t="n">
        <v>45733</v>
      </c>
      <c r="F347" s="2" t="n">
        <v>46098</v>
      </c>
      <c r="G347" t="n">
        <v>20.24049943862456</v>
      </c>
      <c r="H347" t="n">
        <v>20.24049943862456</v>
      </c>
      <c r="I347" t="inlineStr">
        <is>
          <t>United States|CSPX.L|1 Year</t>
        </is>
      </c>
      <c r="J347" t="inlineStr">
        <is>
          <t>USD</t>
        </is>
      </c>
    </row>
    <row r="348">
      <c r="A348" t="inlineStr">
        <is>
          <t>United States</t>
        </is>
      </c>
      <c r="B348" t="inlineStr">
        <is>
          <t>USA</t>
        </is>
      </c>
      <c r="C348" t="inlineStr">
        <is>
          <t>CSPX.L</t>
        </is>
      </c>
      <c r="D348" t="inlineStr">
        <is>
          <t>3 Years</t>
        </is>
      </c>
      <c r="E348" s="2" t="n">
        <v>45002</v>
      </c>
      <c r="F348" s="2" t="n">
        <v>46098</v>
      </c>
      <c r="G348" t="n">
        <v>77.20723975433428</v>
      </c>
      <c r="H348" t="n">
        <v>77.20723975433428</v>
      </c>
      <c r="I348" t="inlineStr">
        <is>
          <t>United States|CSPX.L|3 Years</t>
        </is>
      </c>
      <c r="J348" t="inlineStr">
        <is>
          <t>USD</t>
        </is>
      </c>
    </row>
    <row r="349">
      <c r="A349" t="inlineStr">
        <is>
          <t>United States</t>
        </is>
      </c>
      <c r="B349" t="inlineStr">
        <is>
          <t>USA</t>
        </is>
      </c>
      <c r="C349" t="inlineStr">
        <is>
          <t>CSPX.L</t>
        </is>
      </c>
      <c r="D349" t="inlineStr">
        <is>
          <t>5 Years</t>
        </is>
      </c>
      <c r="E349" s="2" t="n">
        <v>44272</v>
      </c>
      <c r="F349" s="2" t="n">
        <v>46098</v>
      </c>
      <c r="G349" t="n">
        <v>80.86983048126196</v>
      </c>
      <c r="H349" t="n">
        <v>80.86983048126196</v>
      </c>
      <c r="I349" t="inlineStr">
        <is>
          <t>United States|CSPX.L|5 Years</t>
        </is>
      </c>
      <c r="J349" t="inlineStr">
        <is>
          <t>USD</t>
        </is>
      </c>
    </row>
    <row r="350">
      <c r="A350" t="inlineStr">
        <is>
          <t>United States</t>
        </is>
      </c>
      <c r="B350" t="inlineStr">
        <is>
          <t>USA</t>
        </is>
      </c>
      <c r="C350" t="inlineStr">
        <is>
          <t>CSPX.L</t>
        </is>
      </c>
      <c r="D350" t="inlineStr">
        <is>
          <t>10 Years</t>
        </is>
      </c>
      <c r="E350" s="2" t="n">
        <v>42446</v>
      </c>
      <c r="F350" s="2" t="n">
        <v>46098</v>
      </c>
      <c r="G350" t="n">
        <v>279.1806959642905</v>
      </c>
      <c r="H350" t="n">
        <v>279.1806959642905</v>
      </c>
      <c r="I350" t="inlineStr">
        <is>
          <t>United States|CSPX.L|10 Years</t>
        </is>
      </c>
      <c r="J350" t="inlineStr">
        <is>
          <t>USD</t>
        </is>
      </c>
    </row>
    <row r="351">
      <c r="A351" t="inlineStr">
        <is>
          <t>United States</t>
        </is>
      </c>
      <c r="B351" t="inlineStr">
        <is>
          <t>USA</t>
        </is>
      </c>
      <c r="C351" t="inlineStr">
        <is>
          <t>CSPX.L</t>
        </is>
      </c>
      <c r="D351" t="inlineStr">
        <is>
          <t>MAX</t>
        </is>
      </c>
      <c r="E351" s="2" t="n">
        <v>40437</v>
      </c>
      <c r="F351" s="2" t="n">
        <v>46098</v>
      </c>
      <c r="G351" t="n">
        <v>655.6625654745226</v>
      </c>
      <c r="H351" t="n">
        <v>655.6625654745226</v>
      </c>
      <c r="I351" t="inlineStr">
        <is>
          <t>United States|CSPX.L|MAX</t>
        </is>
      </c>
      <c r="J351" t="inlineStr">
        <is>
          <t>USD</t>
        </is>
      </c>
    </row>
    <row r="352">
      <c r="A352" t="inlineStr">
        <is>
          <t>United States</t>
        </is>
      </c>
      <c r="B352" t="inlineStr">
        <is>
          <t>USA</t>
        </is>
      </c>
      <c r="C352" t="inlineStr">
        <is>
          <t>CSUS.L</t>
        </is>
      </c>
      <c r="D352" t="inlineStr">
        <is>
          <t>YTD</t>
        </is>
      </c>
      <c r="E352" s="2" t="n">
        <v>46022</v>
      </c>
      <c r="F352" s="2" t="n">
        <v>46098</v>
      </c>
      <c r="G352" t="n">
        <v>-2.43284888017522</v>
      </c>
      <c r="H352" t="n">
        <v>-2.43284888017522</v>
      </c>
      <c r="I352" t="inlineStr">
        <is>
          <t>United States|CSUS.L|YTD</t>
        </is>
      </c>
      <c r="J352" t="inlineStr">
        <is>
          <t>USD</t>
        </is>
      </c>
    </row>
    <row r="353">
      <c r="A353" t="inlineStr">
        <is>
          <t>United States</t>
        </is>
      </c>
      <c r="B353" t="inlineStr">
        <is>
          <t>USA</t>
        </is>
      </c>
      <c r="C353" t="inlineStr">
        <is>
          <t>CSUS.L</t>
        </is>
      </c>
      <c r="D353" t="inlineStr">
        <is>
          <t>1 Month</t>
        </is>
      </c>
      <c r="E353" s="2" t="n">
        <v>46070</v>
      </c>
      <c r="F353" s="2" t="n">
        <v>46098</v>
      </c>
      <c r="G353" t="n">
        <v>-1.532782879248273</v>
      </c>
      <c r="H353" t="n">
        <v>-1.532782879248273</v>
      </c>
      <c r="I353" t="inlineStr">
        <is>
          <t>United States|CSUS.L|1 Month</t>
        </is>
      </c>
      <c r="J353" t="inlineStr">
        <is>
          <t>USD</t>
        </is>
      </c>
    </row>
    <row r="354">
      <c r="A354" t="inlineStr">
        <is>
          <t>United States</t>
        </is>
      </c>
      <c r="B354" t="inlineStr">
        <is>
          <t>USA</t>
        </is>
      </c>
      <c r="C354" t="inlineStr">
        <is>
          <t>CSUS.L</t>
        </is>
      </c>
      <c r="D354" t="inlineStr">
        <is>
          <t>3 Months</t>
        </is>
      </c>
      <c r="E354" s="2" t="n">
        <v>46008</v>
      </c>
      <c r="F354" s="2" t="n">
        <v>46098</v>
      </c>
      <c r="G354" t="n">
        <v>-0.3447320270009935</v>
      </c>
      <c r="H354" t="n">
        <v>-0.3447320270009935</v>
      </c>
      <c r="I354" t="inlineStr">
        <is>
          <t>United States|CSUS.L|3 Months</t>
        </is>
      </c>
      <c r="J354" t="inlineStr">
        <is>
          <t>USD</t>
        </is>
      </c>
    </row>
    <row r="355">
      <c r="A355" t="inlineStr">
        <is>
          <t>United States</t>
        </is>
      </c>
      <c r="B355" t="inlineStr">
        <is>
          <t>USA</t>
        </is>
      </c>
      <c r="C355" t="inlineStr">
        <is>
          <t>CSUS.L</t>
        </is>
      </c>
      <c r="D355" t="inlineStr">
        <is>
          <t>6 Months</t>
        </is>
      </c>
      <c r="E355" s="2" t="n">
        <v>45917</v>
      </c>
      <c r="F355" s="2" t="n">
        <v>46098</v>
      </c>
      <c r="G355" t="n">
        <v>1.834727759278709</v>
      </c>
      <c r="H355" t="n">
        <v>1.834727759278709</v>
      </c>
      <c r="I355" t="inlineStr">
        <is>
          <t>United States|CSUS.L|6 Months</t>
        </is>
      </c>
      <c r="J355" t="inlineStr">
        <is>
          <t>USD</t>
        </is>
      </c>
    </row>
    <row r="356">
      <c r="A356" t="inlineStr">
        <is>
          <t>United States</t>
        </is>
      </c>
      <c r="B356" t="inlineStr">
        <is>
          <t>USA</t>
        </is>
      </c>
      <c r="C356" t="inlineStr">
        <is>
          <t>CSUS.L</t>
        </is>
      </c>
      <c r="D356" t="inlineStr">
        <is>
          <t>1 Year</t>
        </is>
      </c>
      <c r="E356" s="2" t="n">
        <v>45733</v>
      </c>
      <c r="F356" s="2" t="n">
        <v>46098</v>
      </c>
      <c r="G356" t="n">
        <v>20.08029918190204</v>
      </c>
      <c r="H356" t="n">
        <v>20.08029918190204</v>
      </c>
      <c r="I356" t="inlineStr">
        <is>
          <t>United States|CSUS.L|1 Year</t>
        </is>
      </c>
      <c r="J356" t="inlineStr">
        <is>
          <t>USD</t>
        </is>
      </c>
    </row>
    <row r="357">
      <c r="A357" t="inlineStr">
        <is>
          <t>United States</t>
        </is>
      </c>
      <c r="B357" t="inlineStr">
        <is>
          <t>USA</t>
        </is>
      </c>
      <c r="C357" t="inlineStr">
        <is>
          <t>CSUS.L</t>
        </is>
      </c>
      <c r="D357" t="inlineStr">
        <is>
          <t>3 Years</t>
        </is>
      </c>
      <c r="E357" s="2" t="n">
        <v>45002</v>
      </c>
      <c r="F357" s="2" t="n">
        <v>46098</v>
      </c>
      <c r="G357" t="n">
        <v>77.8085251655924</v>
      </c>
      <c r="H357" t="n">
        <v>77.8085251655924</v>
      </c>
      <c r="I357" t="inlineStr">
        <is>
          <t>United States|CSUS.L|3 Years</t>
        </is>
      </c>
      <c r="J357" t="inlineStr">
        <is>
          <t>USD</t>
        </is>
      </c>
    </row>
    <row r="358">
      <c r="A358" t="inlineStr">
        <is>
          <t>United States</t>
        </is>
      </c>
      <c r="B358" t="inlineStr">
        <is>
          <t>USA</t>
        </is>
      </c>
      <c r="C358" t="inlineStr">
        <is>
          <t>CSUS.L</t>
        </is>
      </c>
      <c r="D358" t="inlineStr">
        <is>
          <t>5 Years</t>
        </is>
      </c>
      <c r="E358" s="2" t="n">
        <v>44272</v>
      </c>
      <c r="F358" s="2" t="n">
        <v>46098</v>
      </c>
      <c r="G358" t="n">
        <v>76.35993862662053</v>
      </c>
      <c r="H358" t="n">
        <v>76.35993862662053</v>
      </c>
      <c r="I358" t="inlineStr">
        <is>
          <t>United States|CSUS.L|5 Years</t>
        </is>
      </c>
      <c r="J358" t="inlineStr">
        <is>
          <t>USD</t>
        </is>
      </c>
    </row>
    <row r="359">
      <c r="A359" t="inlineStr">
        <is>
          <t>United States</t>
        </is>
      </c>
      <c r="B359" t="inlineStr">
        <is>
          <t>USA</t>
        </is>
      </c>
      <c r="C359" t="inlineStr">
        <is>
          <t>CSUS.L</t>
        </is>
      </c>
      <c r="D359" t="inlineStr">
        <is>
          <t>10 Years</t>
        </is>
      </c>
      <c r="E359" s="2" t="n">
        <v>42446</v>
      </c>
      <c r="F359" s="2" t="n">
        <v>46098</v>
      </c>
      <c r="G359" t="n">
        <v>273.1712535638654</v>
      </c>
      <c r="H359" t="n">
        <v>273.1712535638654</v>
      </c>
      <c r="I359" t="inlineStr">
        <is>
          <t>United States|CSUS.L|10 Years</t>
        </is>
      </c>
      <c r="J359" t="inlineStr">
        <is>
          <t>USD</t>
        </is>
      </c>
    </row>
    <row r="360">
      <c r="A360" t="inlineStr">
        <is>
          <t>United States</t>
        </is>
      </c>
      <c r="B360" t="inlineStr">
        <is>
          <t>USA</t>
        </is>
      </c>
      <c r="C360" t="inlineStr">
        <is>
          <t>CSUS.L</t>
        </is>
      </c>
      <c r="D360" t="inlineStr">
        <is>
          <t>MAX</t>
        </is>
      </c>
      <c r="E360" s="2" t="n">
        <v>40437</v>
      </c>
      <c r="F360" s="2" t="n">
        <v>46098</v>
      </c>
      <c r="G360" t="n">
        <v>633.7140500273999</v>
      </c>
      <c r="H360" t="n">
        <v>633.7140500273999</v>
      </c>
      <c r="I360" t="inlineStr">
        <is>
          <t>United States|CSUS.L|MAX</t>
        </is>
      </c>
      <c r="J360" t="inlineStr">
        <is>
          <t>USD</t>
        </is>
      </c>
    </row>
    <row r="361">
      <c r="A361" t="inlineStr">
        <is>
          <t>Vietnam</t>
        </is>
      </c>
      <c r="B361" t="inlineStr">
        <is>
          <t>VNM</t>
        </is>
      </c>
      <c r="C361" t="inlineStr">
        <is>
          <t>XFVT.L</t>
        </is>
      </c>
      <c r="D361" t="inlineStr">
        <is>
          <t>YTD</t>
        </is>
      </c>
      <c r="E361" s="2" t="n">
        <v>46022</v>
      </c>
      <c r="F361" s="2" t="n">
        <v>46098</v>
      </c>
      <c r="G361" t="n">
        <v>-8.078355188602881</v>
      </c>
      <c r="H361" t="n">
        <v>-9.121713616645666</v>
      </c>
      <c r="I361" t="inlineStr">
        <is>
          <t>Vietnam|XFVT.L|YTD</t>
        </is>
      </c>
      <c r="J361" t="inlineStr">
        <is>
          <t>GBp</t>
        </is>
      </c>
    </row>
    <row r="362">
      <c r="A362" t="inlineStr">
        <is>
          <t>Vietnam</t>
        </is>
      </c>
      <c r="B362" t="inlineStr">
        <is>
          <t>VNM</t>
        </is>
      </c>
      <c r="C362" t="inlineStr">
        <is>
          <t>XFVT.L</t>
        </is>
      </c>
      <c r="D362" t="inlineStr">
        <is>
          <t>1 Month</t>
        </is>
      </c>
      <c r="E362" s="2" t="n">
        <v>46070</v>
      </c>
      <c r="F362" s="2" t="n">
        <v>46098</v>
      </c>
      <c r="G362" t="n">
        <v>-7.191892775416797</v>
      </c>
      <c r="H362" t="n">
        <v>-9.325911533814812</v>
      </c>
      <c r="I362" t="inlineStr">
        <is>
          <t>Vietnam|XFVT.L|1 Month</t>
        </is>
      </c>
      <c r="J362" t="inlineStr">
        <is>
          <t>GBp</t>
        </is>
      </c>
    </row>
    <row r="363">
      <c r="A363" t="inlineStr">
        <is>
          <t>Vietnam</t>
        </is>
      </c>
      <c r="B363" t="inlineStr">
        <is>
          <t>VNM</t>
        </is>
      </c>
      <c r="C363" t="inlineStr">
        <is>
          <t>XFVT.L</t>
        </is>
      </c>
      <c r="D363" t="inlineStr">
        <is>
          <t>3 Months</t>
        </is>
      </c>
      <c r="E363" s="2" t="n">
        <v>46008</v>
      </c>
      <c r="F363" s="2" t="n">
        <v>46098</v>
      </c>
      <c r="G363" t="n">
        <v>-0.751616850201009</v>
      </c>
      <c r="H363" t="n">
        <v>-1.569710394598833</v>
      </c>
      <c r="I363" t="inlineStr">
        <is>
          <t>Vietnam|XFVT.L|3 Months</t>
        </is>
      </c>
      <c r="J363" t="inlineStr">
        <is>
          <t>GBp</t>
        </is>
      </c>
    </row>
    <row r="364">
      <c r="A364" t="inlineStr">
        <is>
          <t>Vietnam</t>
        </is>
      </c>
      <c r="B364" t="inlineStr">
        <is>
          <t>VNM</t>
        </is>
      </c>
      <c r="C364" t="inlineStr">
        <is>
          <t>XFVT.L</t>
        </is>
      </c>
      <c r="D364" t="inlineStr">
        <is>
          <t>6 Months</t>
        </is>
      </c>
      <c r="E364" s="2" t="n">
        <v>45917</v>
      </c>
      <c r="F364" s="2" t="n">
        <v>46098</v>
      </c>
      <c r="G364" t="n">
        <v>1.865805525654829</v>
      </c>
      <c r="H364" t="n">
        <v>-0.6677247872941439</v>
      </c>
      <c r="I364" t="inlineStr">
        <is>
          <t>Vietnam|XFVT.L|6 Months</t>
        </is>
      </c>
      <c r="J364" t="inlineStr">
        <is>
          <t>GBp</t>
        </is>
      </c>
    </row>
    <row r="365">
      <c r="A365" t="inlineStr">
        <is>
          <t>Vietnam</t>
        </is>
      </c>
      <c r="B365" t="inlineStr">
        <is>
          <t>VNM</t>
        </is>
      </c>
      <c r="C365" t="inlineStr">
        <is>
          <t>XFVT.L</t>
        </is>
      </c>
      <c r="D365" t="inlineStr">
        <is>
          <t>1 Year</t>
        </is>
      </c>
      <c r="E365" s="2" t="n">
        <v>45733</v>
      </c>
      <c r="F365" s="2" t="n">
        <v>46098</v>
      </c>
      <c r="G365" t="n">
        <v>38.23493609251369</v>
      </c>
      <c r="H365" t="n">
        <v>42.3374190312801</v>
      </c>
      <c r="I365" t="inlineStr">
        <is>
          <t>Vietnam|XFVT.L|1 Year</t>
        </is>
      </c>
      <c r="J365" t="inlineStr">
        <is>
          <t>GBp</t>
        </is>
      </c>
    </row>
    <row r="366">
      <c r="A366" t="inlineStr">
        <is>
          <t>Vietnam</t>
        </is>
      </c>
      <c r="B366" t="inlineStr">
        <is>
          <t>VNM</t>
        </is>
      </c>
      <c r="C366" t="inlineStr">
        <is>
          <t>XFVT.L</t>
        </is>
      </c>
      <c r="D366" t="inlineStr">
        <is>
          <t>3 Years</t>
        </is>
      </c>
      <c r="E366" s="2" t="n">
        <v>45002</v>
      </c>
      <c r="F366" s="2" t="n">
        <v>46098</v>
      </c>
      <c r="G366" t="n">
        <v>34.75732763735613</v>
      </c>
      <c r="H366" t="n">
        <v>48.15286144460818</v>
      </c>
      <c r="I366" t="inlineStr">
        <is>
          <t>Vietnam|XFVT.L|3 Years</t>
        </is>
      </c>
      <c r="J366" t="inlineStr">
        <is>
          <t>GBp</t>
        </is>
      </c>
    </row>
    <row r="367">
      <c r="A367" t="inlineStr">
        <is>
          <t>Vietnam</t>
        </is>
      </c>
      <c r="B367" t="inlineStr">
        <is>
          <t>VNM</t>
        </is>
      </c>
      <c r="C367" t="inlineStr">
        <is>
          <t>XFVT.L</t>
        </is>
      </c>
      <c r="D367" t="inlineStr">
        <is>
          <t>5 Years</t>
        </is>
      </c>
      <c r="E367" s="2" t="n">
        <v>44272</v>
      </c>
      <c r="F367" s="2" t="n">
        <v>46098</v>
      </c>
      <c r="G367" t="n">
        <v>6.051550242809123</v>
      </c>
      <c r="H367" t="n">
        <v>1.567010921152101</v>
      </c>
      <c r="I367" t="inlineStr">
        <is>
          <t>Vietnam|XFVT.L|5 Years</t>
        </is>
      </c>
      <c r="J367" t="inlineStr">
        <is>
          <t>GBp</t>
        </is>
      </c>
    </row>
    <row r="368">
      <c r="A368" t="inlineStr">
        <is>
          <t>Vietnam</t>
        </is>
      </c>
      <c r="B368" t="inlineStr">
        <is>
          <t>VNM</t>
        </is>
      </c>
      <c r="C368" t="inlineStr">
        <is>
          <t>XFVT.L</t>
        </is>
      </c>
      <c r="D368" t="inlineStr">
        <is>
          <t>10 Years</t>
        </is>
      </c>
      <c r="E368" s="2" t="n">
        <v>42446</v>
      </c>
      <c r="F368" s="2" t="n">
        <v>46098</v>
      </c>
      <c r="G368" t="n">
        <v>83.87305699481867</v>
      </c>
      <c r="H368" t="n">
        <v>71.73758386185756</v>
      </c>
      <c r="I368" t="inlineStr">
        <is>
          <t>Vietnam|XFVT.L|10 Years</t>
        </is>
      </c>
      <c r="J368" t="inlineStr">
        <is>
          <t>GBp</t>
        </is>
      </c>
    </row>
    <row r="369">
      <c r="A369" t="inlineStr">
        <is>
          <t>Vietnam</t>
        </is>
      </c>
      <c r="B369" t="inlineStr">
        <is>
          <t>VNM</t>
        </is>
      </c>
      <c r="C369" t="inlineStr">
        <is>
          <t>XFVT.L</t>
        </is>
      </c>
      <c r="D369" t="inlineStr">
        <is>
          <t>MAX</t>
        </is>
      </c>
      <c r="E369" s="2" t="n">
        <v>39818</v>
      </c>
      <c r="F369" s="2" t="n">
        <v>46098</v>
      </c>
      <c r="G369" t="n">
        <v>20.24565861922916</v>
      </c>
      <c r="H369" t="n">
        <v>8.792167878777457</v>
      </c>
      <c r="I369" t="inlineStr">
        <is>
          <t>Vietnam|XFVT.L|MAX</t>
        </is>
      </c>
      <c r="J369" t="inlineStr">
        <is>
          <t>GBp</t>
        </is>
      </c>
    </row>
  </sheetData>
  <autoFilter ref="A1:J3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country_code</t>
        </is>
      </c>
      <c r="C1" t="inlineStr">
        <is>
          <t>ticker</t>
        </is>
      </c>
      <c r="D1" t="inlineStr">
        <is>
          <t>year</t>
        </is>
      </c>
      <c r="E1" t="inlineStr">
        <is>
          <t>etf_return_pct</t>
        </is>
      </c>
      <c r="F1" t="inlineStr">
        <is>
          <t>gdp_real_growth_pct</t>
        </is>
      </c>
      <c r="G1" t="inlineStr">
        <is>
          <t>gdp_nominal_lcu_growth_pct</t>
        </is>
      </c>
      <c r="H1" t="inlineStr">
        <is>
          <t>gdp_nominal_usd_growth_pct</t>
        </is>
      </c>
      <c r="I1" t="inlineStr">
        <is>
          <t>gdp_nominal_usd_minus_etf_growth_pct</t>
        </is>
      </c>
      <c r="J1" t="inlineStr">
        <is>
          <t>lookup_key</t>
        </is>
      </c>
      <c r="K1" t="inlineStr">
        <is>
          <t>country_year_key</t>
        </is>
      </c>
      <c r="L1" t="inlineStr">
        <is>
          <t>etf_currency</t>
        </is>
      </c>
      <c r="M1" t="inlineStr">
        <is>
          <t>etf_return_quote_pct</t>
        </is>
      </c>
      <c r="N1" t="inlineStr">
        <is>
          <t>quote_ccy_vs_usd_pct</t>
        </is>
      </c>
      <c r="O1" t="inlineStr">
        <is>
          <t>quote_ccy_vs_usd_jan1_pct</t>
        </is>
      </c>
      <c r="P1" t="inlineStr">
        <is>
          <t>etf_return_usd_pct</t>
        </is>
      </c>
      <c r="Q1" t="inlineStr">
        <is>
          <t>country_lcu_vs_usd_weo_pct</t>
        </is>
      </c>
      <c r="R1" t="inlineStr">
        <is>
          <t>etf_usd_minus_country_fx_pct</t>
        </is>
      </c>
      <c r="S1" t="inlineStr">
        <is>
          <t>inflation_cpi_pct</t>
        </is>
      </c>
      <c r="T1" t="inlineStr">
        <is>
          <t>usa_inflation_cpi_pct</t>
        </is>
      </c>
      <c r="U1" t="inlineStr">
        <is>
          <t>inflation_cpi_diff</t>
        </is>
      </c>
      <c r="V1" t="inlineStr">
        <is>
          <t>gdp_current_usd</t>
        </is>
      </c>
    </row>
    <row r="2">
      <c r="A2" t="inlineStr">
        <is>
          <t>Australia</t>
        </is>
      </c>
      <c r="B2" t="inlineStr">
        <is>
          <t>AUS</t>
        </is>
      </c>
      <c r="C2" t="inlineStr">
        <is>
          <t>SAUS.L</t>
        </is>
      </c>
      <c r="D2" t="n">
        <v>2015</v>
      </c>
      <c r="E2" t="n">
        <v>-5.440682346859649</v>
      </c>
      <c r="F2" t="n">
        <v>2.34</v>
      </c>
      <c r="G2" t="inlineStr"/>
      <c r="H2" t="inlineStr"/>
      <c r="I2" t="inlineStr"/>
      <c r="J2" t="inlineStr">
        <is>
          <t>Australia|SAUS.L|2015</t>
        </is>
      </c>
      <c r="K2" t="inlineStr">
        <is>
          <t>Australia|2015</t>
        </is>
      </c>
      <c r="L2" t="inlineStr">
        <is>
          <t>GBp</t>
        </is>
      </c>
      <c r="M2" t="n">
        <v>-5.440682346859649</v>
      </c>
      <c r="N2" t="n">
        <v>-4.888855870697362</v>
      </c>
      <c r="O2" t="n">
        <v>-5.407515212426162</v>
      </c>
      <c r="P2" t="n">
        <v>-10.06355109923657</v>
      </c>
      <c r="Q2" t="inlineStr"/>
      <c r="R2" t="inlineStr"/>
      <c r="S2" t="n">
        <v>1.485</v>
      </c>
      <c r="T2" t="n">
        <v>0.121</v>
      </c>
      <c r="U2" t="n">
        <v>1.364</v>
      </c>
      <c r="V2" t="n">
        <v>1233914000000</v>
      </c>
    </row>
    <row r="3">
      <c r="A3" t="inlineStr">
        <is>
          <t>Australia</t>
        </is>
      </c>
      <c r="B3" t="inlineStr">
        <is>
          <t>AUS</t>
        </is>
      </c>
      <c r="C3" t="inlineStr">
        <is>
          <t>SAUS.L</t>
        </is>
      </c>
      <c r="D3" t="n">
        <v>2016</v>
      </c>
      <c r="E3" t="n">
        <v>36.15740092424031</v>
      </c>
      <c r="F3" t="n">
        <v>2.694</v>
      </c>
      <c r="G3" t="n">
        <v>3.528437</v>
      </c>
      <c r="H3" t="n">
        <v>2.328444</v>
      </c>
      <c r="I3" t="n">
        <v>-11.19182419530721</v>
      </c>
      <c r="J3" t="inlineStr">
        <is>
          <t>Australia|SAUS.L|2016</t>
        </is>
      </c>
      <c r="K3" t="inlineStr">
        <is>
          <t>Australia|2016</t>
        </is>
      </c>
      <c r="L3" t="inlineStr">
        <is>
          <t>GBp</t>
        </is>
      </c>
      <c r="M3" t="n">
        <v>36.15740092424031</v>
      </c>
      <c r="N3" t="n">
        <v>-16.62570861023462</v>
      </c>
      <c r="O3" t="n">
        <v>-16.21181156312136</v>
      </c>
      <c r="P3" t="n">
        <v>13.52026819530721</v>
      </c>
      <c r="Q3" t="n">
        <v>-1.159094385657633</v>
      </c>
      <c r="R3" t="n">
        <v>14.85150554795684</v>
      </c>
      <c r="S3" t="n">
        <v>1.277</v>
      </c>
      <c r="T3" t="n">
        <v>1.267</v>
      </c>
      <c r="U3" t="n">
        <v>0.01000000000000001</v>
      </c>
      <c r="V3" t="n">
        <v>1262645000000</v>
      </c>
    </row>
    <row r="4">
      <c r="A4" t="inlineStr">
        <is>
          <t>Australia</t>
        </is>
      </c>
      <c r="B4" t="inlineStr">
        <is>
          <t>AUS</t>
        </is>
      </c>
      <c r="C4" t="inlineStr">
        <is>
          <t>SAUS.L</t>
        </is>
      </c>
      <c r="D4" t="n">
        <v>2017</v>
      </c>
      <c r="E4" t="n">
        <v>7.597244732576991</v>
      </c>
      <c r="F4" t="n">
        <v>2.38</v>
      </c>
      <c r="G4" t="n">
        <v>6.117511</v>
      </c>
      <c r="H4" t="n">
        <v>9.381971999999999</v>
      </c>
      <c r="I4" t="n">
        <v>-7.728362693704954</v>
      </c>
      <c r="J4" t="inlineStr">
        <is>
          <t>Australia|SAUS.L|2017</t>
        </is>
      </c>
      <c r="K4" t="inlineStr">
        <is>
          <t>Australia|2017</t>
        </is>
      </c>
      <c r="L4" t="inlineStr">
        <is>
          <t>GBp</t>
        </is>
      </c>
      <c r="M4" t="n">
        <v>7.597244732576991</v>
      </c>
      <c r="N4" t="n">
        <v>8.841388071573641</v>
      </c>
      <c r="O4" t="n">
        <v>9.450435944365921</v>
      </c>
      <c r="P4" t="n">
        <v>17.11033469370495</v>
      </c>
      <c r="Q4" t="n">
        <v>3.07626989428138</v>
      </c>
      <c r="R4" t="n">
        <v>13.6152237695615</v>
      </c>
      <c r="S4" t="n">
        <v>1.995</v>
      </c>
      <c r="T4" t="n">
        <v>2.131</v>
      </c>
      <c r="U4" t="n">
        <v>-0.1359999999999997</v>
      </c>
      <c r="V4" t="n">
        <v>1381106000000</v>
      </c>
    </row>
    <row r="5">
      <c r="A5" t="inlineStr">
        <is>
          <t>Australia</t>
        </is>
      </c>
      <c r="B5" t="inlineStr">
        <is>
          <t>AUS</t>
        </is>
      </c>
      <c r="C5" t="inlineStr">
        <is>
          <t>SAUS.L</t>
        </is>
      </c>
      <c r="D5" t="n">
        <v>2018</v>
      </c>
      <c r="E5" t="n">
        <v>-6.916453779922415</v>
      </c>
      <c r="F5" t="n">
        <v>2.791</v>
      </c>
      <c r="G5" t="n">
        <v>5.165909</v>
      </c>
      <c r="H5" t="n">
        <v>2.610372</v>
      </c>
      <c r="I5" t="n">
        <v>15.19124275049758</v>
      </c>
      <c r="J5" t="inlineStr">
        <is>
          <t>Australia|SAUS.L|2018</t>
        </is>
      </c>
      <c r="K5" t="inlineStr">
        <is>
          <t>Australia|2018</t>
        </is>
      </c>
      <c r="L5" t="inlineStr">
        <is>
          <t>GBp</t>
        </is>
      </c>
      <c r="M5" t="n">
        <v>-6.916453779922415</v>
      </c>
      <c r="N5" t="n">
        <v>-6.085304224640065</v>
      </c>
      <c r="O5" t="n">
        <v>-5.756316180609423</v>
      </c>
      <c r="P5" t="n">
        <v>-12.58087075049758</v>
      </c>
      <c r="Q5" t="n">
        <v>-2.430005890941767</v>
      </c>
      <c r="R5" t="n">
        <v>-10.40367476932483</v>
      </c>
      <c r="S5" t="n">
        <v>1.933</v>
      </c>
      <c r="T5" t="n">
        <v>2.439</v>
      </c>
      <c r="U5" t="n">
        <v>-0.506</v>
      </c>
      <c r="V5" t="n">
        <v>1417158000000</v>
      </c>
    </row>
    <row r="6">
      <c r="A6" t="inlineStr">
        <is>
          <t>Australia</t>
        </is>
      </c>
      <c r="B6" t="inlineStr">
        <is>
          <t>AUS</t>
        </is>
      </c>
      <c r="C6" t="inlineStr">
        <is>
          <t>SAUS.L</t>
        </is>
      </c>
      <c r="D6" t="n">
        <v>2019</v>
      </c>
      <c r="E6" t="n">
        <v>17.4577471915798</v>
      </c>
      <c r="F6" t="n">
        <v>1.936</v>
      </c>
      <c r="G6" t="n">
        <v>5.237084</v>
      </c>
      <c r="H6" t="n">
        <v>-2.178233</v>
      </c>
      <c r="I6" t="n">
        <v>-23.0937768715795</v>
      </c>
      <c r="J6" t="inlineStr">
        <is>
          <t>Australia|SAUS.L|2019</t>
        </is>
      </c>
      <c r="K6" t="inlineStr">
        <is>
          <t>Australia|2019</t>
        </is>
      </c>
      <c r="L6" t="inlineStr">
        <is>
          <t>GBp</t>
        </is>
      </c>
      <c r="M6" t="n">
        <v>17.4577471915798</v>
      </c>
      <c r="N6" t="n">
        <v>2.94386429390634</v>
      </c>
      <c r="O6" t="n">
        <v>4.118031584084703</v>
      </c>
      <c r="P6" t="n">
        <v>20.9155438715795</v>
      </c>
      <c r="Q6" t="n">
        <v>-7.046296673496255</v>
      </c>
      <c r="R6" t="n">
        <v>30.08147017753411</v>
      </c>
      <c r="S6" t="n">
        <v>1.566</v>
      </c>
      <c r="T6" t="n">
        <v>1.813</v>
      </c>
      <c r="U6" t="n">
        <v>-0.2469999999999999</v>
      </c>
      <c r="V6" t="n">
        <v>1386289000000</v>
      </c>
    </row>
    <row r="7">
      <c r="A7" t="inlineStr">
        <is>
          <t>Australia</t>
        </is>
      </c>
      <c r="B7" t="inlineStr">
        <is>
          <t>AUS</t>
        </is>
      </c>
      <c r="C7" t="inlineStr">
        <is>
          <t>SAUS.L</t>
        </is>
      </c>
      <c r="D7" t="n">
        <v>2020</v>
      </c>
      <c r="E7" t="n">
        <v>4.692832764505117</v>
      </c>
      <c r="F7" t="n">
        <v>-1.953</v>
      </c>
      <c r="G7" t="n">
        <v>-0.992052</v>
      </c>
      <c r="H7" t="n">
        <v>-1.704118</v>
      </c>
      <c r="I7" t="n">
        <v>-9.302384544849074</v>
      </c>
      <c r="J7" t="inlineStr">
        <is>
          <t>Australia|SAUS.L|2020</t>
        </is>
      </c>
      <c r="K7" t="inlineStr">
        <is>
          <t>Australia|2020</t>
        </is>
      </c>
      <c r="L7" t="inlineStr">
        <is>
          <t>GBp</t>
        </is>
      </c>
      <c r="M7" t="n">
        <v>4.692832764505117</v>
      </c>
      <c r="N7" t="n">
        <v>2.775198362317122</v>
      </c>
      <c r="O7" t="n">
        <v>3.094474617937659</v>
      </c>
      <c r="P7" t="n">
        <v>7.598266544849075</v>
      </c>
      <c r="Q7" t="n">
        <v>-0.7192008724883903</v>
      </c>
      <c r="R7" t="n">
        <v>8.377720053053661</v>
      </c>
      <c r="S7" t="n">
        <v>0.89</v>
      </c>
      <c r="T7" t="n">
        <v>1.253</v>
      </c>
      <c r="U7" t="n">
        <v>-0.3629999999999999</v>
      </c>
      <c r="V7" t="n">
        <v>1362665000000</v>
      </c>
    </row>
    <row r="8">
      <c r="A8" t="inlineStr">
        <is>
          <t>Australia</t>
        </is>
      </c>
      <c r="B8" t="inlineStr">
        <is>
          <t>AUS</t>
        </is>
      </c>
      <c r="C8" t="inlineStr">
        <is>
          <t>SAUS.L</t>
        </is>
      </c>
      <c r="D8" t="n">
        <v>2021</v>
      </c>
      <c r="E8" t="n">
        <v>46.78097703008734</v>
      </c>
      <c r="F8" t="n">
        <v>5.418</v>
      </c>
      <c r="G8" t="n">
        <v>11.597189</v>
      </c>
      <c r="H8" t="n">
        <v>21.514679</v>
      </c>
      <c r="I8" t="n">
        <v>-23.39158127958751</v>
      </c>
      <c r="J8" t="inlineStr">
        <is>
          <t>Australia|SAUS.L|2021</t>
        </is>
      </c>
      <c r="K8" t="inlineStr">
        <is>
          <t>Australia|2021</t>
        </is>
      </c>
      <c r="L8" t="inlineStr">
        <is>
          <t>GBp</t>
        </is>
      </c>
      <c r="M8" t="n">
        <v>46.78097703008734</v>
      </c>
      <c r="N8" t="n">
        <v>-1.277220514832489</v>
      </c>
      <c r="O8" t="n">
        <v>-1.102343119945948</v>
      </c>
      <c r="P8" t="n">
        <v>44.90626027958751</v>
      </c>
      <c r="Q8" t="n">
        <v>8.886863994656302</v>
      </c>
      <c r="R8" t="n">
        <v>33.07965255267051</v>
      </c>
      <c r="S8" t="n">
        <v>2.82</v>
      </c>
      <c r="T8" t="n">
        <v>4.679</v>
      </c>
      <c r="U8" t="n">
        <v>-1.859</v>
      </c>
      <c r="V8" t="n">
        <v>1655838000000</v>
      </c>
    </row>
    <row r="9">
      <c r="A9" t="inlineStr">
        <is>
          <t>Australia</t>
        </is>
      </c>
      <c r="B9" t="inlineStr">
        <is>
          <t>AUS</t>
        </is>
      </c>
      <c r="C9" t="inlineStr">
        <is>
          <t>SAUS.L</t>
        </is>
      </c>
      <c r="D9" t="n">
        <v>2022</v>
      </c>
      <c r="E9" t="n">
        <v>-7.30731812776998</v>
      </c>
      <c r="F9" t="n">
        <v>4.132</v>
      </c>
      <c r="G9" t="n">
        <v>12.723343</v>
      </c>
      <c r="H9" t="n">
        <v>4.203008</v>
      </c>
      <c r="I9" t="n">
        <v>21.5591833179584</v>
      </c>
      <c r="J9" t="inlineStr">
        <is>
          <t>Australia|SAUS.L|2022</t>
        </is>
      </c>
      <c r="K9" t="inlineStr">
        <is>
          <t>Australia|2022</t>
        </is>
      </c>
      <c r="L9" t="inlineStr">
        <is>
          <t>GBp</t>
        </is>
      </c>
      <c r="M9" t="n">
        <v>-7.30731812776998</v>
      </c>
      <c r="N9" t="n">
        <v>-10.84104698150823</v>
      </c>
      <c r="O9" t="n">
        <v>-10.36772851390696</v>
      </c>
      <c r="P9" t="n">
        <v>-17.3561753179584</v>
      </c>
      <c r="Q9" t="n">
        <v>-7.558625044792722</v>
      </c>
      <c r="R9" t="n">
        <v>-10.59866350745335</v>
      </c>
      <c r="S9" t="n">
        <v>6.657</v>
      </c>
      <c r="T9" t="n">
        <v>7.993</v>
      </c>
      <c r="U9" t="n">
        <v>-1.336</v>
      </c>
      <c r="V9" t="n">
        <v>1725433000000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SAUS.L</t>
        </is>
      </c>
      <c r="D10" t="n">
        <v>2023</v>
      </c>
      <c r="E10" t="n">
        <v>15.33735082122178</v>
      </c>
      <c r="F10" t="n">
        <v>2.066</v>
      </c>
      <c r="G10" t="n">
        <v>5.55426</v>
      </c>
      <c r="H10" t="n">
        <v>0.978189</v>
      </c>
      <c r="I10" t="n">
        <v>-20.19872728539673</v>
      </c>
      <c r="J10" t="inlineStr">
        <is>
          <t>Australia|SAUS.L|2023</t>
        </is>
      </c>
      <c r="K10" t="inlineStr">
        <is>
          <t>Australia|2023</t>
        </is>
      </c>
      <c r="L10" t="inlineStr">
        <is>
          <t>GBp</t>
        </is>
      </c>
      <c r="M10" t="n">
        <v>15.33735082122178</v>
      </c>
      <c r="N10" t="n">
        <v>5.06303068571996</v>
      </c>
      <c r="O10" t="n">
        <v>5.030130998783355</v>
      </c>
      <c r="P10" t="n">
        <v>21.17691628539673</v>
      </c>
      <c r="Q10" t="n">
        <v>-4.335278113775798</v>
      </c>
      <c r="R10" t="n">
        <v>26.66834115664356</v>
      </c>
      <c r="S10" t="n">
        <v>5.594</v>
      </c>
      <c r="T10" t="n">
        <v>4.128</v>
      </c>
      <c r="U10" t="n">
        <v>1.466</v>
      </c>
      <c r="V10" t="n">
        <v>1742311000000</v>
      </c>
    </row>
    <row r="11">
      <c r="A11" t="inlineStr">
        <is>
          <t>Australia</t>
        </is>
      </c>
      <c r="B11" t="inlineStr">
        <is>
          <t>AUS</t>
        </is>
      </c>
      <c r="C11" t="inlineStr">
        <is>
          <t>SAUS.L</t>
        </is>
      </c>
      <c r="D11" t="n">
        <v>2024</v>
      </c>
      <c r="E11" t="n">
        <v>-18.61494134595596</v>
      </c>
      <c r="F11" t="n">
        <v>1.023</v>
      </c>
      <c r="G11" t="n">
        <v>3.792081</v>
      </c>
      <c r="H11" t="n">
        <v>3.052325</v>
      </c>
      <c r="I11" t="n">
        <v>22.82379158969601</v>
      </c>
      <c r="J11" t="inlineStr">
        <is>
          <t>Australia|SAUS.L|2024</t>
        </is>
      </c>
      <c r="K11" t="inlineStr">
        <is>
          <t>Australia|2024</t>
        </is>
      </c>
      <c r="L11" t="inlineStr">
        <is>
          <t>GBp</t>
        </is>
      </c>
      <c r="M11" t="n">
        <v>-18.61494134595596</v>
      </c>
      <c r="N11" t="n">
        <v>-1.421053523664917</v>
      </c>
      <c r="O11" t="n">
        <v>-1.655539060617606</v>
      </c>
      <c r="P11" t="n">
        <v>-19.77146658969601</v>
      </c>
      <c r="Q11" t="n">
        <v>-0.7127287607549215</v>
      </c>
      <c r="R11" t="n">
        <v>-19.19555003482438</v>
      </c>
      <c r="S11" t="n">
        <v>3.197</v>
      </c>
      <c r="T11" t="n">
        <v>2.952</v>
      </c>
      <c r="U11" t="n">
        <v>0.2450000000000001</v>
      </c>
      <c r="V11" t="n">
        <v>1795492000000</v>
      </c>
    </row>
    <row r="12">
      <c r="A12" t="inlineStr">
        <is>
          <t>Australia</t>
        </is>
      </c>
      <c r="B12" t="inlineStr">
        <is>
          <t>AUS</t>
        </is>
      </c>
      <c r="C12" t="inlineStr">
        <is>
          <t>SAUS.L</t>
        </is>
      </c>
      <c r="D12" t="n">
        <v>2025</v>
      </c>
      <c r="E12" t="n">
        <v>4.217315802530375</v>
      </c>
      <c r="F12" t="n">
        <v>1.809</v>
      </c>
      <c r="G12" t="n">
        <v>4.803761</v>
      </c>
      <c r="H12" t="n">
        <v>1.894523</v>
      </c>
      <c r="I12" t="n">
        <v>-10.21405453949155</v>
      </c>
      <c r="J12" t="inlineStr">
        <is>
          <t>Australia|SAUS.L|2025</t>
        </is>
      </c>
      <c r="K12" t="inlineStr">
        <is>
          <t>Australia|2025</t>
        </is>
      </c>
      <c r="L12" t="inlineStr">
        <is>
          <t>GBp</t>
        </is>
      </c>
      <c r="M12" t="n">
        <v>4.217315802530375</v>
      </c>
      <c r="N12" t="n">
        <v>7.571929555270285</v>
      </c>
      <c r="O12" t="n">
        <v>7.623377354227179</v>
      </c>
      <c r="P12" t="n">
        <v>12.10857753949155</v>
      </c>
      <c r="Q12" t="n">
        <v>-2.775891376567952</v>
      </c>
      <c r="R12" t="n">
        <v>15.30944240765422</v>
      </c>
      <c r="S12" t="n">
        <v>2.576</v>
      </c>
      <c r="T12" t="n">
        <v>2.715</v>
      </c>
      <c r="U12" t="n">
        <v>-0.1389999999999998</v>
      </c>
      <c r="V12" t="n">
        <v>1829508000000</v>
      </c>
    </row>
    <row r="13">
      <c r="A13" t="inlineStr">
        <is>
          <t>Australia</t>
        </is>
      </c>
      <c r="B13" t="inlineStr">
        <is>
          <t>AUS</t>
        </is>
      </c>
      <c r="C13" t="inlineStr">
        <is>
          <t>SAUS.L</t>
        </is>
      </c>
      <c r="D13" t="n">
        <v>2026</v>
      </c>
      <c r="E13" t="n">
        <v>10.42563366810139</v>
      </c>
      <c r="F13" t="n">
        <v>2.149</v>
      </c>
      <c r="G13" t="n">
        <v>5.21892</v>
      </c>
      <c r="H13" t="n">
        <v>6.489122</v>
      </c>
      <c r="I13" t="n">
        <v>-2.125219757144794</v>
      </c>
      <c r="J13" t="inlineStr">
        <is>
          <t>Australia|SAUS.L|2026</t>
        </is>
      </c>
      <c r="K13" t="inlineStr">
        <is>
          <t>Australia|2026</t>
        </is>
      </c>
      <c r="L13" t="inlineStr">
        <is>
          <t>GBp</t>
        </is>
      </c>
      <c r="M13" t="n">
        <v>10.42563366810139</v>
      </c>
      <c r="N13" t="n">
        <v>-1.640282107323621</v>
      </c>
      <c r="O13" t="inlineStr"/>
      <c r="P13" t="n">
        <v>8.614341757144794</v>
      </c>
      <c r="Q13" t="n">
        <v>1.207198804096987</v>
      </c>
      <c r="R13" t="n">
        <v>7.318790600444869</v>
      </c>
      <c r="S13" t="n">
        <v>3.024</v>
      </c>
      <c r="T13" t="n">
        <v>2.435</v>
      </c>
      <c r="U13" t="n">
        <v>0.589</v>
      </c>
      <c r="V13" t="n">
        <v>1948227000000</v>
      </c>
    </row>
    <row r="14">
      <c r="A14" t="inlineStr">
        <is>
          <t>Australia</t>
        </is>
      </c>
      <c r="B14" t="inlineStr">
        <is>
          <t>AUS</t>
        </is>
      </c>
      <c r="C14" t="inlineStr">
        <is>
          <t>SAUS.L</t>
        </is>
      </c>
      <c r="D14" t="n">
        <v>2027</v>
      </c>
      <c r="E14" t="inlineStr"/>
      <c r="F14" t="n">
        <v>2.153</v>
      </c>
      <c r="G14" t="n">
        <v>4.462846</v>
      </c>
      <c r="H14" t="n">
        <v>4.507996</v>
      </c>
      <c r="I14" t="inlineStr"/>
      <c r="J14" t="inlineStr">
        <is>
          <t>Australia|SAUS.L|2027</t>
        </is>
      </c>
      <c r="K14" t="inlineStr">
        <is>
          <t>Australia|2027</t>
        </is>
      </c>
      <c r="L14" t="inlineStr">
        <is>
          <t>GBp</t>
        </is>
      </c>
      <c r="M14" t="inlineStr"/>
      <c r="N14" t="inlineStr"/>
      <c r="O14" t="inlineStr"/>
      <c r="P14" t="inlineStr"/>
      <c r="Q14" t="n">
        <v>0.04322143757344854</v>
      </c>
      <c r="R14" t="inlineStr"/>
      <c r="S14" t="n">
        <v>2.612</v>
      </c>
      <c r="T14" t="n">
        <v>2.185</v>
      </c>
      <c r="U14" t="n">
        <v>0.427</v>
      </c>
      <c r="V14" t="n">
        <v>2036053000000</v>
      </c>
    </row>
    <row r="15">
      <c r="A15" t="inlineStr">
        <is>
          <t>Australia</t>
        </is>
      </c>
      <c r="B15" t="inlineStr">
        <is>
          <t>AUS</t>
        </is>
      </c>
      <c r="C15" t="inlineStr">
        <is>
          <t>SAUS.L</t>
        </is>
      </c>
      <c r="D15" t="n">
        <v>2028</v>
      </c>
      <c r="E15" t="inlineStr"/>
      <c r="F15" t="n">
        <v>2.225</v>
      </c>
      <c r="G15" t="n">
        <v>4.426395</v>
      </c>
      <c r="H15" t="n">
        <v>4.71304</v>
      </c>
      <c r="I15" t="inlineStr"/>
      <c r="J15" t="inlineStr">
        <is>
          <t>Australia|SAUS.L|2028</t>
        </is>
      </c>
      <c r="K15" t="inlineStr">
        <is>
          <t>Australia|2028</t>
        </is>
      </c>
      <c r="L15" t="inlineStr">
        <is>
          <t>GBp</t>
        </is>
      </c>
      <c r="M15" t="inlineStr"/>
      <c r="N15" t="inlineStr"/>
      <c r="O15" t="inlineStr"/>
      <c r="P15" t="inlineStr"/>
      <c r="Q15" t="n">
        <v>0.2744950457119977</v>
      </c>
      <c r="R15" t="inlineStr"/>
      <c r="S15" t="n">
        <v>2.544</v>
      </c>
      <c r="T15" t="n">
        <v>2.206</v>
      </c>
      <c r="U15" t="n">
        <v>0.3380000000000001</v>
      </c>
      <c r="V15" t="n">
        <v>2132013000000</v>
      </c>
    </row>
    <row r="16">
      <c r="A16" t="inlineStr">
        <is>
          <t>Australia</t>
        </is>
      </c>
      <c r="B16" t="inlineStr">
        <is>
          <t>AUS</t>
        </is>
      </c>
      <c r="C16" t="inlineStr">
        <is>
          <t>SAUS.L</t>
        </is>
      </c>
      <c r="D16" t="n">
        <v>2029</v>
      </c>
      <c r="E16" t="inlineStr"/>
      <c r="F16" t="n">
        <v>2.248</v>
      </c>
      <c r="G16" t="n">
        <v>4.430086</v>
      </c>
      <c r="H16" t="n">
        <v>4.520282</v>
      </c>
      <c r="I16" t="inlineStr"/>
      <c r="J16" t="inlineStr">
        <is>
          <t>Australia|SAUS.L|2029</t>
        </is>
      </c>
      <c r="K16" t="inlineStr">
        <is>
          <t>Australia|2029</t>
        </is>
      </c>
      <c r="L16" t="inlineStr">
        <is>
          <t>GBp</t>
        </is>
      </c>
      <c r="M16" t="inlineStr"/>
      <c r="N16" t="inlineStr"/>
      <c r="O16" t="inlineStr"/>
      <c r="P16" t="inlineStr"/>
      <c r="Q16" t="n">
        <v>0.08636981858010095</v>
      </c>
      <c r="R16" t="inlineStr"/>
      <c r="S16" t="n">
        <v>2.526</v>
      </c>
      <c r="T16" t="n">
        <v>2.203</v>
      </c>
      <c r="U16" t="n">
        <v>0.323</v>
      </c>
      <c r="V16" t="n">
        <v>2228386000000</v>
      </c>
    </row>
    <row r="17">
      <c r="A17" t="inlineStr">
        <is>
          <t>Austria</t>
        </is>
      </c>
      <c r="B17" t="inlineStr">
        <is>
          <t>AUT</t>
        </is>
      </c>
      <c r="C17" t="inlineStr">
        <is>
          <t>EWO</t>
        </is>
      </c>
      <c r="D17" t="n">
        <v>2015</v>
      </c>
      <c r="E17" t="n">
        <v>3.381350731997923</v>
      </c>
      <c r="F17" t="n">
        <v>1.303</v>
      </c>
      <c r="G17" t="inlineStr"/>
      <c r="H17" t="inlineStr"/>
      <c r="I17" t="inlineStr"/>
      <c r="J17" t="inlineStr">
        <is>
          <t>Austria|EWO|2015</t>
        </is>
      </c>
      <c r="K17" t="inlineStr">
        <is>
          <t>Austria|2015</t>
        </is>
      </c>
      <c r="L17" t="inlineStr">
        <is>
          <t>USD</t>
        </is>
      </c>
      <c r="M17" t="n">
        <v>3.381350731997923</v>
      </c>
      <c r="N17" t="n">
        <v>0</v>
      </c>
      <c r="O17" t="n">
        <v>0</v>
      </c>
      <c r="P17" t="n">
        <v>3.381350731997923</v>
      </c>
      <c r="Q17" t="inlineStr"/>
      <c r="R17" t="inlineStr"/>
      <c r="S17" t="n">
        <v>0.8100000000000001</v>
      </c>
      <c r="T17" t="n">
        <v>0.121</v>
      </c>
      <c r="U17" t="n">
        <v>0.6890000000000001</v>
      </c>
      <c r="V17" t="n">
        <v>379584000000</v>
      </c>
    </row>
    <row r="18">
      <c r="A18" t="inlineStr">
        <is>
          <t>Austria</t>
        </is>
      </c>
      <c r="B18" t="inlineStr">
        <is>
          <t>AUT</t>
        </is>
      </c>
      <c r="C18" t="inlineStr">
        <is>
          <t>EWO</t>
        </is>
      </c>
      <c r="D18" t="n">
        <v>2016</v>
      </c>
      <c r="E18" t="n">
        <v>9.174842535268613</v>
      </c>
      <c r="F18" t="n">
        <v>2.117</v>
      </c>
      <c r="G18" t="n">
        <v>3.97037</v>
      </c>
      <c r="H18" t="n">
        <v>3.686931</v>
      </c>
      <c r="I18" t="n">
        <v>-5.487911535268614</v>
      </c>
      <c r="J18" t="inlineStr">
        <is>
          <t>Austria|EWO|2016</t>
        </is>
      </c>
      <c r="K18" t="inlineStr">
        <is>
          <t>Austria|2016</t>
        </is>
      </c>
      <c r="L18" t="inlineStr">
        <is>
          <t>USD</t>
        </is>
      </c>
      <c r="M18" t="n">
        <v>9.174842535268613</v>
      </c>
      <c r="N18" t="n">
        <v>0</v>
      </c>
      <c r="O18" t="n">
        <v>0</v>
      </c>
      <c r="P18" t="n">
        <v>9.174842535268613</v>
      </c>
      <c r="Q18" t="n">
        <v>-0.2726150682094253</v>
      </c>
      <c r="R18" t="n">
        <v>9.473283200937942</v>
      </c>
      <c r="S18" t="n">
        <v>0.973</v>
      </c>
      <c r="T18" t="n">
        <v>1.267</v>
      </c>
      <c r="U18" t="n">
        <v>-0.2939999999999999</v>
      </c>
      <c r="V18" t="n">
        <v>393579000000</v>
      </c>
    </row>
    <row r="19">
      <c r="A19" t="inlineStr">
        <is>
          <t>Austria</t>
        </is>
      </c>
      <c r="B19" t="inlineStr">
        <is>
          <t>AUT</t>
        </is>
      </c>
      <c r="C19" t="inlineStr">
        <is>
          <t>EWO</t>
        </is>
      </c>
      <c r="D19" t="n">
        <v>2017</v>
      </c>
      <c r="E19" t="n">
        <v>50.19608992806097</v>
      </c>
      <c r="F19" t="n">
        <v>2.272</v>
      </c>
      <c r="G19" t="n">
        <v>3.269641</v>
      </c>
      <c r="H19" t="n">
        <v>5.38672</v>
      </c>
      <c r="I19" t="n">
        <v>-44.80936992806097</v>
      </c>
      <c r="J19" t="inlineStr">
        <is>
          <t>Austria|EWO|2017</t>
        </is>
      </c>
      <c r="K19" t="inlineStr">
        <is>
          <t>Austria|2017</t>
        </is>
      </c>
      <c r="L19" t="inlineStr">
        <is>
          <t>USD</t>
        </is>
      </c>
      <c r="M19" t="n">
        <v>50.19608992806097</v>
      </c>
      <c r="N19" t="n">
        <v>0</v>
      </c>
      <c r="O19" t="n">
        <v>0</v>
      </c>
      <c r="P19" t="n">
        <v>50.19608992806097</v>
      </c>
      <c r="Q19" t="n">
        <v>2.050050428680006</v>
      </c>
      <c r="R19" t="n">
        <v>47.17884929711909</v>
      </c>
      <c r="S19" t="n">
        <v>2.228</v>
      </c>
      <c r="T19" t="n">
        <v>2.131</v>
      </c>
      <c r="U19" t="n">
        <v>0.09700000000000042</v>
      </c>
      <c r="V19" t="n">
        <v>414780000000</v>
      </c>
    </row>
    <row r="20">
      <c r="A20" t="inlineStr">
        <is>
          <t>Austria</t>
        </is>
      </c>
      <c r="B20" t="inlineStr">
        <is>
          <t>AUT</t>
        </is>
      </c>
      <c r="C20" t="inlineStr">
        <is>
          <t>EWO</t>
        </is>
      </c>
      <c r="D20" t="n">
        <v>2018</v>
      </c>
      <c r="E20" t="n">
        <v>-24.17169142433333</v>
      </c>
      <c r="F20" t="n">
        <v>2.484</v>
      </c>
      <c r="G20" t="n">
        <v>4.339564</v>
      </c>
      <c r="H20" t="n">
        <v>9.163171</v>
      </c>
      <c r="I20" t="n">
        <v>33.33486242433333</v>
      </c>
      <c r="J20" t="inlineStr">
        <is>
          <t>Austria|EWO|2018</t>
        </is>
      </c>
      <c r="K20" t="inlineStr">
        <is>
          <t>Austria|2018</t>
        </is>
      </c>
      <c r="L20" t="inlineStr">
        <is>
          <t>USD</t>
        </is>
      </c>
      <c r="M20" t="n">
        <v>-24.17169142433333</v>
      </c>
      <c r="N20" t="n">
        <v>0</v>
      </c>
      <c r="O20" t="n">
        <v>0</v>
      </c>
      <c r="P20" t="n">
        <v>-24.17169142433333</v>
      </c>
      <c r="Q20" t="n">
        <v>4.622989695013557</v>
      </c>
      <c r="R20" t="n">
        <v>-27.52232678810485</v>
      </c>
      <c r="S20" t="n">
        <v>2.122</v>
      </c>
      <c r="T20" t="n">
        <v>2.439</v>
      </c>
      <c r="U20" t="n">
        <v>-0.3170000000000002</v>
      </c>
      <c r="V20" t="n">
        <v>452787000000</v>
      </c>
    </row>
    <row r="21">
      <c r="A21" t="inlineStr">
        <is>
          <t>Austria</t>
        </is>
      </c>
      <c r="B21" t="inlineStr">
        <is>
          <t>AUT</t>
        </is>
      </c>
      <c r="C21" t="inlineStr">
        <is>
          <t>EWO</t>
        </is>
      </c>
      <c r="D21" t="n">
        <v>2019</v>
      </c>
      <c r="E21" t="n">
        <v>17.17947968734899</v>
      </c>
      <c r="F21" t="n">
        <v>1.755</v>
      </c>
      <c r="G21" t="n">
        <v>3.254669</v>
      </c>
      <c r="H21" t="n">
        <v>-2.154214</v>
      </c>
      <c r="I21" t="n">
        <v>-19.33369368734899</v>
      </c>
      <c r="J21" t="inlineStr">
        <is>
          <t>Austria|EWO|2019</t>
        </is>
      </c>
      <c r="K21" t="inlineStr">
        <is>
          <t>Austria|2019</t>
        </is>
      </c>
      <c r="L21" t="inlineStr">
        <is>
          <t>USD</t>
        </is>
      </c>
      <c r="M21" t="n">
        <v>17.17947968734899</v>
      </c>
      <c r="N21" t="n">
        <v>0</v>
      </c>
      <c r="O21" t="n">
        <v>0</v>
      </c>
      <c r="P21" t="n">
        <v>17.17947968734899</v>
      </c>
      <c r="Q21" t="n">
        <v>-5.238390951288785</v>
      </c>
      <c r="R21" t="n">
        <v>23.65712324187541</v>
      </c>
      <c r="S21" t="n">
        <v>1.493</v>
      </c>
      <c r="T21" t="n">
        <v>1.813</v>
      </c>
      <c r="U21" t="n">
        <v>-0.3199999999999998</v>
      </c>
      <c r="V21" t="n">
        <v>443033000000</v>
      </c>
    </row>
    <row r="22">
      <c r="A22" t="inlineStr">
        <is>
          <t>Austria</t>
        </is>
      </c>
      <c r="B22" t="inlineStr">
        <is>
          <t>AUT</t>
        </is>
      </c>
      <c r="C22" t="inlineStr">
        <is>
          <t>EWO</t>
        </is>
      </c>
      <c r="D22" t="n">
        <v>2020</v>
      </c>
      <c r="E22" t="n">
        <v>-4.954192938523927</v>
      </c>
      <c r="F22" t="n">
        <v>-6.318</v>
      </c>
      <c r="G22" t="n">
        <v>-3.888989</v>
      </c>
      <c r="H22" t="n">
        <v>-2.027614</v>
      </c>
      <c r="I22" t="n">
        <v>2.926578938523927</v>
      </c>
      <c r="J22" t="inlineStr">
        <is>
          <t>Austria|EWO|2020</t>
        </is>
      </c>
      <c r="K22" t="inlineStr">
        <is>
          <t>Austria|2020</t>
        </is>
      </c>
      <c r="L22" t="inlineStr">
        <is>
          <t>USD</t>
        </is>
      </c>
      <c r="M22" t="n">
        <v>-4.954192938523927</v>
      </c>
      <c r="N22" t="n">
        <v>0</v>
      </c>
      <c r="O22" t="n">
        <v>0</v>
      </c>
      <c r="P22" t="n">
        <v>-4.954192938523927</v>
      </c>
      <c r="Q22" t="n">
        <v>1.936692108786842</v>
      </c>
      <c r="R22" t="n">
        <v>-6.759965332165985</v>
      </c>
      <c r="S22" t="n">
        <v>1.392</v>
      </c>
      <c r="T22" t="n">
        <v>1.253</v>
      </c>
      <c r="U22" t="n">
        <v>0.139</v>
      </c>
      <c r="V22" t="n">
        <v>434050000000</v>
      </c>
    </row>
    <row r="23">
      <c r="A23" t="inlineStr">
        <is>
          <t>Austria</t>
        </is>
      </c>
      <c r="B23" t="inlineStr">
        <is>
          <t>AUT</t>
        </is>
      </c>
      <c r="C23" t="inlineStr">
        <is>
          <t>EWO</t>
        </is>
      </c>
      <c r="D23" t="n">
        <v>2021</v>
      </c>
      <c r="E23" t="n">
        <v>30.05673726443299</v>
      </c>
      <c r="F23" t="n">
        <v>4.795</v>
      </c>
      <c r="G23" t="n">
        <v>6.813772</v>
      </c>
      <c r="H23" t="n">
        <v>10.767423</v>
      </c>
      <c r="I23" t="n">
        <v>-19.28931426443298</v>
      </c>
      <c r="J23" t="inlineStr">
        <is>
          <t>Austria|EWO|2021</t>
        </is>
      </c>
      <c r="K23" t="inlineStr">
        <is>
          <t>Austria|2021</t>
        </is>
      </c>
      <c r="L23" t="inlineStr">
        <is>
          <t>USD</t>
        </is>
      </c>
      <c r="M23" t="n">
        <v>30.05673726443299</v>
      </c>
      <c r="N23" t="n">
        <v>0</v>
      </c>
      <c r="O23" t="n">
        <v>0</v>
      </c>
      <c r="P23" t="n">
        <v>30.05673726443299</v>
      </c>
      <c r="Q23" t="n">
        <v>3.701443563196238</v>
      </c>
      <c r="R23" t="n">
        <v>25.414587102807</v>
      </c>
      <c r="S23" t="n">
        <v>2.76</v>
      </c>
      <c r="T23" t="n">
        <v>4.679</v>
      </c>
      <c r="U23" t="n">
        <v>-1.919</v>
      </c>
      <c r="V23" t="n">
        <v>480786000000</v>
      </c>
    </row>
    <row r="24">
      <c r="A24" t="inlineStr">
        <is>
          <t>Austria</t>
        </is>
      </c>
      <c r="B24" t="inlineStr">
        <is>
          <t>AUT</t>
        </is>
      </c>
      <c r="C24" t="inlineStr">
        <is>
          <t>EWO</t>
        </is>
      </c>
      <c r="D24" t="n">
        <v>2022</v>
      </c>
      <c r="E24" t="n">
        <v>-22.0682447252582</v>
      </c>
      <c r="F24" t="n">
        <v>5.278</v>
      </c>
      <c r="G24" t="n">
        <v>10.283533</v>
      </c>
      <c r="H24" t="n">
        <v>-1.797265</v>
      </c>
      <c r="I24" t="n">
        <v>20.2709797252582</v>
      </c>
      <c r="J24" t="inlineStr">
        <is>
          <t>Austria|EWO|2022</t>
        </is>
      </c>
      <c r="K24" t="inlineStr">
        <is>
          <t>Austria|2022</t>
        </is>
      </c>
      <c r="L24" t="inlineStr">
        <is>
          <t>USD</t>
        </is>
      </c>
      <c r="M24" t="n">
        <v>-22.0682447252582</v>
      </c>
      <c r="N24" t="n">
        <v>0</v>
      </c>
      <c r="O24" t="n">
        <v>0</v>
      </c>
      <c r="P24" t="n">
        <v>-22.0682447252582</v>
      </c>
      <c r="Q24" t="n">
        <v>-10.95430803977379</v>
      </c>
      <c r="R24" t="n">
        <v>-12.481161570903</v>
      </c>
      <c r="S24" t="n">
        <v>8.619</v>
      </c>
      <c r="T24" t="n">
        <v>7.993</v>
      </c>
      <c r="U24" t="n">
        <v>0.6259999999999994</v>
      </c>
      <c r="V24" t="n">
        <v>472145000000</v>
      </c>
    </row>
    <row r="25">
      <c r="A25" t="inlineStr">
        <is>
          <t>Austria</t>
        </is>
      </c>
      <c r="B25" t="inlineStr">
        <is>
          <t>AUT</t>
        </is>
      </c>
      <c r="C25" t="inlineStr">
        <is>
          <t>EWO</t>
        </is>
      </c>
      <c r="D25" t="n">
        <v>2023</v>
      </c>
      <c r="E25" t="n">
        <v>18.99444839976532</v>
      </c>
      <c r="F25" t="n">
        <v>-0.955</v>
      </c>
      <c r="G25" t="n">
        <v>5.629376</v>
      </c>
      <c r="H25" t="n">
        <v>8.405892</v>
      </c>
      <c r="I25" t="n">
        <v>-10.58855639976532</v>
      </c>
      <c r="J25" t="inlineStr">
        <is>
          <t>Austria|EWO|2023</t>
        </is>
      </c>
      <c r="K25" t="inlineStr">
        <is>
          <t>Austria|2023</t>
        </is>
      </c>
      <c r="L25" t="inlineStr">
        <is>
          <t>USD</t>
        </is>
      </c>
      <c r="M25" t="n">
        <v>18.99444839976532</v>
      </c>
      <c r="N25" t="n">
        <v>0</v>
      </c>
      <c r="O25" t="n">
        <v>0</v>
      </c>
      <c r="P25" t="n">
        <v>18.99444839976532</v>
      </c>
      <c r="Q25" t="n">
        <v>2.628545228155277</v>
      </c>
      <c r="R25" t="n">
        <v>15.94673600334753</v>
      </c>
      <c r="S25" t="n">
        <v>7.712</v>
      </c>
      <c r="T25" t="n">
        <v>4.128</v>
      </c>
      <c r="U25" t="n">
        <v>3.584</v>
      </c>
      <c r="V25" t="n">
        <v>511833000000</v>
      </c>
    </row>
    <row r="26">
      <c r="A26" t="inlineStr">
        <is>
          <t>Austria</t>
        </is>
      </c>
      <c r="B26" t="inlineStr">
        <is>
          <t>AUT</t>
        </is>
      </c>
      <c r="C26" t="inlineStr">
        <is>
          <t>EWO</t>
        </is>
      </c>
      <c r="D26" t="n">
        <v>2024</v>
      </c>
      <c r="E26" t="n">
        <v>5.627036592825108</v>
      </c>
      <c r="F26" t="n">
        <v>-0.989</v>
      </c>
      <c r="G26" t="n">
        <v>2.323621</v>
      </c>
      <c r="H26" t="n">
        <v>2.368546</v>
      </c>
      <c r="I26" t="n">
        <v>-3.258490592825108</v>
      </c>
      <c r="J26" t="inlineStr">
        <is>
          <t>Austria|EWO|2024</t>
        </is>
      </c>
      <c r="K26" t="inlineStr">
        <is>
          <t>Austria|2024</t>
        </is>
      </c>
      <c r="L26" t="inlineStr">
        <is>
          <t>USD</t>
        </is>
      </c>
      <c r="M26" t="n">
        <v>5.627036592825108</v>
      </c>
      <c r="N26" t="n">
        <v>0</v>
      </c>
      <c r="O26" t="n">
        <v>0</v>
      </c>
      <c r="P26" t="n">
        <v>5.627036592825108</v>
      </c>
      <c r="Q26" t="n">
        <v>0.04390521203538889</v>
      </c>
      <c r="R26" t="n">
        <v>5.580681170888613</v>
      </c>
      <c r="S26" t="n">
        <v>2.918</v>
      </c>
      <c r="T26" t="n">
        <v>2.952</v>
      </c>
      <c r="U26" t="n">
        <v>-0.03399999999999981</v>
      </c>
      <c r="V26" t="n">
        <v>523956000000</v>
      </c>
    </row>
    <row r="27">
      <c r="A27" t="inlineStr">
        <is>
          <t>Austria</t>
        </is>
      </c>
      <c r="B27" t="inlineStr">
        <is>
          <t>AUT</t>
        </is>
      </c>
      <c r="C27" t="inlineStr">
        <is>
          <t>EWO</t>
        </is>
      </c>
      <c r="D27" t="n">
        <v>2025</v>
      </c>
      <c r="E27" t="n">
        <v>76.72325283751282</v>
      </c>
      <c r="F27" t="n">
        <v>0.27</v>
      </c>
      <c r="G27" t="n">
        <v>3.565712</v>
      </c>
      <c r="H27" t="n">
        <v>8.111368000000001</v>
      </c>
      <c r="I27" t="n">
        <v>-68.61188483751282</v>
      </c>
      <c r="J27" t="inlineStr">
        <is>
          <t>Austria|EWO|2025</t>
        </is>
      </c>
      <c r="K27" t="inlineStr">
        <is>
          <t>Austria|2025</t>
        </is>
      </c>
      <c r="L27" t="inlineStr">
        <is>
          <t>USD</t>
        </is>
      </c>
      <c r="M27" t="n">
        <v>76.72325283751282</v>
      </c>
      <c r="N27" t="n">
        <v>0</v>
      </c>
      <c r="O27" t="n">
        <v>0</v>
      </c>
      <c r="P27" t="n">
        <v>76.72325283751282</v>
      </c>
      <c r="Q27" t="n">
        <v>4.389151128110114</v>
      </c>
      <c r="R27" t="n">
        <v>69.29273868759761</v>
      </c>
      <c r="S27" t="n">
        <v>3.562</v>
      </c>
      <c r="T27" t="n">
        <v>2.715</v>
      </c>
      <c r="U27" t="n">
        <v>0.847</v>
      </c>
      <c r="V27" t="n">
        <v>566456000000</v>
      </c>
    </row>
    <row r="28">
      <c r="A28" t="inlineStr">
        <is>
          <t>Austria</t>
        </is>
      </c>
      <c r="B28" t="inlineStr">
        <is>
          <t>AUT</t>
        </is>
      </c>
      <c r="C28" t="inlineStr">
        <is>
          <t>EWO</t>
        </is>
      </c>
      <c r="D28" t="n">
        <v>2026</v>
      </c>
      <c r="E28" t="n">
        <v>-2.570555909774896</v>
      </c>
      <c r="F28" t="n">
        <v>0.764</v>
      </c>
      <c r="G28" t="n">
        <v>3.229582</v>
      </c>
      <c r="H28" t="n">
        <v>6.66283</v>
      </c>
      <c r="I28" t="n">
        <v>9.233385909774896</v>
      </c>
      <c r="J28" t="inlineStr">
        <is>
          <t>Austria|EWO|2026</t>
        </is>
      </c>
      <c r="K28" t="inlineStr">
        <is>
          <t>Austria|2026</t>
        </is>
      </c>
      <c r="L28" t="inlineStr">
        <is>
          <t>USD</t>
        </is>
      </c>
      <c r="M28" t="n">
        <v>-2.570555909774896</v>
      </c>
      <c r="N28" t="n">
        <v>0</v>
      </c>
      <c r="O28" t="n">
        <v>0</v>
      </c>
      <c r="P28" t="n">
        <v>-2.570555909774896</v>
      </c>
      <c r="Q28" t="n">
        <v>3.325836999112908</v>
      </c>
      <c r="R28" t="n">
        <v>-5.706600672335638</v>
      </c>
      <c r="S28" t="n">
        <v>2.328</v>
      </c>
      <c r="T28" t="n">
        <v>2.435</v>
      </c>
      <c r="U28" t="n">
        <v>-0.1070000000000002</v>
      </c>
      <c r="V28" t="n">
        <v>604198000000</v>
      </c>
    </row>
    <row r="29">
      <c r="A29" t="inlineStr">
        <is>
          <t>Austria</t>
        </is>
      </c>
      <c r="B29" t="inlineStr">
        <is>
          <t>AUT</t>
        </is>
      </c>
      <c r="C29" t="inlineStr">
        <is>
          <t>EWO</t>
        </is>
      </c>
      <c r="D29" t="n">
        <v>2027</v>
      </c>
      <c r="E29" t="inlineStr"/>
      <c r="F29" t="n">
        <v>1.56</v>
      </c>
      <c r="G29" t="n">
        <v>3.823947</v>
      </c>
      <c r="H29" t="n">
        <v>3.555126</v>
      </c>
      <c r="I29" t="inlineStr"/>
      <c r="J29" t="inlineStr">
        <is>
          <t>Austria|EWO|2027</t>
        </is>
      </c>
      <c r="K29" t="inlineStr">
        <is>
          <t>Austria|2027</t>
        </is>
      </c>
      <c r="L29" t="inlineStr">
        <is>
          <t>USD</t>
        </is>
      </c>
      <c r="M29" t="inlineStr"/>
      <c r="N29" t="inlineStr"/>
      <c r="O29" t="inlineStr"/>
      <c r="P29" t="inlineStr"/>
      <c r="Q29" t="n">
        <v>-0.2589200602903352</v>
      </c>
      <c r="R29" t="inlineStr"/>
      <c r="S29" t="n">
        <v>2.169</v>
      </c>
      <c r="T29" t="n">
        <v>2.185</v>
      </c>
      <c r="U29" t="n">
        <v>-0.01600000000000001</v>
      </c>
      <c r="V29" t="n">
        <v>625678000000</v>
      </c>
    </row>
    <row r="30">
      <c r="A30" t="inlineStr">
        <is>
          <t>Austria</t>
        </is>
      </c>
      <c r="B30" t="inlineStr">
        <is>
          <t>AUT</t>
        </is>
      </c>
      <c r="C30" t="inlineStr">
        <is>
          <t>EWO</t>
        </is>
      </c>
      <c r="D30" t="n">
        <v>2028</v>
      </c>
      <c r="E30" t="inlineStr"/>
      <c r="F30" t="n">
        <v>1.305</v>
      </c>
      <c r="G30" t="n">
        <v>3.441796</v>
      </c>
      <c r="H30" t="n">
        <v>3.259664</v>
      </c>
      <c r="I30" t="inlineStr"/>
      <c r="J30" t="inlineStr">
        <is>
          <t>Austria|EWO|2028</t>
        </is>
      </c>
      <c r="K30" t="inlineStr">
        <is>
          <t>Austria|2028</t>
        </is>
      </c>
      <c r="L30" t="inlineStr">
        <is>
          <t>USD</t>
        </is>
      </c>
      <c r="M30" t="inlineStr"/>
      <c r="N30" t="inlineStr"/>
      <c r="O30" t="inlineStr"/>
      <c r="P30" t="inlineStr"/>
      <c r="Q30" t="n">
        <v>-0.1760721221103156</v>
      </c>
      <c r="R30" t="inlineStr"/>
      <c r="S30" t="n">
        <v>2.067</v>
      </c>
      <c r="T30" t="n">
        <v>2.206</v>
      </c>
      <c r="U30" t="n">
        <v>-0.1389999999999998</v>
      </c>
      <c r="V30" t="n">
        <v>646073000000</v>
      </c>
    </row>
    <row r="31">
      <c r="A31" t="inlineStr">
        <is>
          <t>Austria</t>
        </is>
      </c>
      <c r="B31" t="inlineStr">
        <is>
          <t>AUT</t>
        </is>
      </c>
      <c r="C31" t="inlineStr">
        <is>
          <t>EWO</t>
        </is>
      </c>
      <c r="D31" t="n">
        <v>2029</v>
      </c>
      <c r="E31" t="inlineStr"/>
      <c r="F31" t="n">
        <v>0.991</v>
      </c>
      <c r="G31" t="n">
        <v>3.238426</v>
      </c>
      <c r="H31" t="n">
        <v>3.135404</v>
      </c>
      <c r="I31" t="inlineStr"/>
      <c r="J31" t="inlineStr">
        <is>
          <t>Austria|EWO|2029</t>
        </is>
      </c>
      <c r="K31" t="inlineStr">
        <is>
          <t>Austria|2029</t>
        </is>
      </c>
      <c r="L31" t="inlineStr">
        <is>
          <t>USD</t>
        </is>
      </c>
      <c r="M31" t="inlineStr"/>
      <c r="N31" t="inlineStr"/>
      <c r="O31" t="inlineStr"/>
      <c r="P31" t="inlineStr"/>
      <c r="Q31" t="n">
        <v>-0.09979001352021788</v>
      </c>
      <c r="R31" t="inlineStr"/>
      <c r="S31" t="n">
        <v>2.067</v>
      </c>
      <c r="T31" t="n">
        <v>2.203</v>
      </c>
      <c r="U31" t="n">
        <v>-0.1359999999999997</v>
      </c>
      <c r="V31" t="n">
        <v>666330000000</v>
      </c>
    </row>
    <row r="32">
      <c r="A32" t="inlineStr">
        <is>
          <t>Belgium</t>
        </is>
      </c>
      <c r="B32" t="inlineStr">
        <is>
          <t>BEL</t>
        </is>
      </c>
      <c r="C32" t="inlineStr">
        <is>
          <t>EWK</t>
        </is>
      </c>
      <c r="D32" t="n">
        <v>2015</v>
      </c>
      <c r="E32" t="n">
        <v>13.66699219767547</v>
      </c>
      <c r="F32" t="n">
        <v>1.474</v>
      </c>
      <c r="G32" t="inlineStr"/>
      <c r="H32" t="inlineStr"/>
      <c r="I32" t="inlineStr"/>
      <c r="J32" t="inlineStr">
        <is>
          <t>Belgium|EWK|2015</t>
        </is>
      </c>
      <c r="K32" t="inlineStr">
        <is>
          <t>Belgium|2015</t>
        </is>
      </c>
      <c r="L32" t="inlineStr">
        <is>
          <t>USD</t>
        </is>
      </c>
      <c r="M32" t="n">
        <v>13.66699219767547</v>
      </c>
      <c r="N32" t="n">
        <v>0</v>
      </c>
      <c r="O32" t="n">
        <v>0</v>
      </c>
      <c r="P32" t="n">
        <v>13.66699219767547</v>
      </c>
      <c r="Q32" t="inlineStr"/>
      <c r="R32" t="inlineStr"/>
      <c r="S32" t="n">
        <v>0.623</v>
      </c>
      <c r="T32" t="n">
        <v>0.121</v>
      </c>
      <c r="U32" t="n">
        <v>0.502</v>
      </c>
      <c r="V32" t="n">
        <v>461091000000</v>
      </c>
    </row>
    <row r="33">
      <c r="A33" t="inlineStr">
        <is>
          <t>Belgium</t>
        </is>
      </c>
      <c r="B33" t="inlineStr">
        <is>
          <t>BEL</t>
        </is>
      </c>
      <c r="C33" t="inlineStr">
        <is>
          <t>EWK</t>
        </is>
      </c>
      <c r="D33" t="n">
        <v>2016</v>
      </c>
      <c r="E33" t="n">
        <v>-0.6330897383706957</v>
      </c>
      <c r="F33" t="n">
        <v>1.193</v>
      </c>
      <c r="G33" t="n">
        <v>3.111388</v>
      </c>
      <c r="H33" t="n">
        <v>2.830244</v>
      </c>
      <c r="I33" t="n">
        <v>3.463333738370696</v>
      </c>
      <c r="J33" t="inlineStr">
        <is>
          <t>Belgium|EWK|2016</t>
        </is>
      </c>
      <c r="K33" t="inlineStr">
        <is>
          <t>Belgium|2016</t>
        </is>
      </c>
      <c r="L33" t="inlineStr">
        <is>
          <t>USD</t>
        </is>
      </c>
      <c r="M33" t="n">
        <v>-0.6330897383706957</v>
      </c>
      <c r="N33" t="n">
        <v>0</v>
      </c>
      <c r="O33" t="n">
        <v>0</v>
      </c>
      <c r="P33" t="n">
        <v>-0.6330897383706957</v>
      </c>
      <c r="Q33" t="n">
        <v>-0.2726606748133742</v>
      </c>
      <c r="R33" t="n">
        <v>-0.3614144987685419</v>
      </c>
      <c r="S33" t="n">
        <v>1.772</v>
      </c>
      <c r="T33" t="n">
        <v>1.267</v>
      </c>
      <c r="U33" t="n">
        <v>0.5050000000000001</v>
      </c>
      <c r="V33" t="n">
        <v>474141000000</v>
      </c>
    </row>
    <row r="34">
      <c r="A34" t="inlineStr">
        <is>
          <t>Belgium</t>
        </is>
      </c>
      <c r="B34" t="inlineStr">
        <is>
          <t>BEL</t>
        </is>
      </c>
      <c r="C34" t="inlineStr">
        <is>
          <t>EWK</t>
        </is>
      </c>
      <c r="D34" t="n">
        <v>2017</v>
      </c>
      <c r="E34" t="n">
        <v>23.55755278730776</v>
      </c>
      <c r="F34" t="n">
        <v>1.475</v>
      </c>
      <c r="G34" t="n">
        <v>3.487083</v>
      </c>
      <c r="H34" t="n">
        <v>5.608458</v>
      </c>
      <c r="I34" t="n">
        <v>-17.94909478730776</v>
      </c>
      <c r="J34" t="inlineStr">
        <is>
          <t>Belgium|EWK|2017</t>
        </is>
      </c>
      <c r="K34" t="inlineStr">
        <is>
          <t>Belgium|2017</t>
        </is>
      </c>
      <c r="L34" t="inlineStr">
        <is>
          <t>USD</t>
        </is>
      </c>
      <c r="M34" t="n">
        <v>23.55755278730776</v>
      </c>
      <c r="N34" t="n">
        <v>0</v>
      </c>
      <c r="O34" t="n">
        <v>0</v>
      </c>
      <c r="P34" t="n">
        <v>23.55755278730776</v>
      </c>
      <c r="Q34" t="n">
        <v>2.049893728100072</v>
      </c>
      <c r="R34" t="n">
        <v>21.07563102075569</v>
      </c>
      <c r="S34" t="n">
        <v>2.225</v>
      </c>
      <c r="T34" t="n">
        <v>2.131</v>
      </c>
      <c r="U34" t="n">
        <v>0.09400000000000031</v>
      </c>
      <c r="V34" t="n">
        <v>500733000000</v>
      </c>
    </row>
    <row r="35">
      <c r="A35" t="inlineStr">
        <is>
          <t>Belgium</t>
        </is>
      </c>
      <c r="B35" t="inlineStr">
        <is>
          <t>BEL</t>
        </is>
      </c>
      <c r="C35" t="inlineStr">
        <is>
          <t>EWK</t>
        </is>
      </c>
      <c r="D35" t="n">
        <v>2018</v>
      </c>
      <c r="E35" t="n">
        <v>-20.93009604025477</v>
      </c>
      <c r="F35" t="n">
        <v>1.878</v>
      </c>
      <c r="G35" t="n">
        <v>3.627359</v>
      </c>
      <c r="H35" t="n">
        <v>8.418059</v>
      </c>
      <c r="I35" t="n">
        <v>29.34815504025477</v>
      </c>
      <c r="J35" t="inlineStr">
        <is>
          <t>Belgium|EWK|2018</t>
        </is>
      </c>
      <c r="K35" t="inlineStr">
        <is>
          <t>Belgium|2018</t>
        </is>
      </c>
      <c r="L35" t="inlineStr">
        <is>
          <t>USD</t>
        </is>
      </c>
      <c r="M35" t="n">
        <v>-20.93009604025477</v>
      </c>
      <c r="N35" t="n">
        <v>0</v>
      </c>
      <c r="O35" t="n">
        <v>0</v>
      </c>
      <c r="P35" t="n">
        <v>-20.93009604025477</v>
      </c>
      <c r="Q35" t="n">
        <v>4.623007061365381</v>
      </c>
      <c r="R35" t="n">
        <v>-24.42398074701895</v>
      </c>
      <c r="S35" t="n">
        <v>2.308</v>
      </c>
      <c r="T35" t="n">
        <v>2.439</v>
      </c>
      <c r="U35" t="n">
        <v>-0.1310000000000002</v>
      </c>
      <c r="V35" t="n">
        <v>542885000000</v>
      </c>
    </row>
    <row r="36">
      <c r="A36" t="inlineStr">
        <is>
          <t>Belgium</t>
        </is>
      </c>
      <c r="B36" t="inlineStr">
        <is>
          <t>BEL</t>
        </is>
      </c>
      <c r="C36" t="inlineStr">
        <is>
          <t>EWK</t>
        </is>
      </c>
      <c r="D36" t="n">
        <v>2019</v>
      </c>
      <c r="E36" t="n">
        <v>26.61874599892746</v>
      </c>
      <c r="F36" t="n">
        <v>2.443</v>
      </c>
      <c r="G36" t="n">
        <v>4.342622</v>
      </c>
      <c r="H36" t="n">
        <v>-1.123258</v>
      </c>
      <c r="I36" t="n">
        <v>-27.74200399892746</v>
      </c>
      <c r="J36" t="inlineStr">
        <is>
          <t>Belgium|EWK|2019</t>
        </is>
      </c>
      <c r="K36" t="inlineStr">
        <is>
          <t>Belgium|2019</t>
        </is>
      </c>
      <c r="L36" t="inlineStr">
        <is>
          <t>USD</t>
        </is>
      </c>
      <c r="M36" t="n">
        <v>26.61874599892746</v>
      </c>
      <c r="N36" t="n">
        <v>0</v>
      </c>
      <c r="O36" t="n">
        <v>0</v>
      </c>
      <c r="P36" t="n">
        <v>26.61874599892746</v>
      </c>
      <c r="Q36" t="n">
        <v>-5.238396259879563</v>
      </c>
      <c r="R36" t="n">
        <v>33.61819661281149</v>
      </c>
      <c r="S36" t="n">
        <v>1.25</v>
      </c>
      <c r="T36" t="n">
        <v>1.813</v>
      </c>
      <c r="U36" t="n">
        <v>-0.5629999999999999</v>
      </c>
      <c r="V36" t="n">
        <v>536787000000</v>
      </c>
    </row>
    <row r="37">
      <c r="A37" t="inlineStr">
        <is>
          <t>Belgium</t>
        </is>
      </c>
      <c r="B37" t="inlineStr">
        <is>
          <t>BEL</t>
        </is>
      </c>
      <c r="C37" t="inlineStr">
        <is>
          <t>EWK</t>
        </is>
      </c>
      <c r="D37" t="n">
        <v>2020</v>
      </c>
      <c r="E37" t="n">
        <v>-0.9693277971441816</v>
      </c>
      <c r="F37" t="n">
        <v>-4.793</v>
      </c>
      <c r="G37" t="n">
        <v>-3.273778</v>
      </c>
      <c r="H37" t="n">
        <v>-1.400556</v>
      </c>
      <c r="I37" t="n">
        <v>-0.4312282028558183</v>
      </c>
      <c r="J37" t="inlineStr">
        <is>
          <t>Belgium|EWK|2020</t>
        </is>
      </c>
      <c r="K37" t="inlineStr">
        <is>
          <t>Belgium|2020</t>
        </is>
      </c>
      <c r="L37" t="inlineStr">
        <is>
          <t>USD</t>
        </is>
      </c>
      <c r="M37" t="n">
        <v>-0.9693277971441816</v>
      </c>
      <c r="N37" t="n">
        <v>0</v>
      </c>
      <c r="O37" t="n">
        <v>0</v>
      </c>
      <c r="P37" t="n">
        <v>-0.9693277971441816</v>
      </c>
      <c r="Q37" t="n">
        <v>1.936623729398956</v>
      </c>
      <c r="R37" t="n">
        <v>-2.850743354279894</v>
      </c>
      <c r="S37" t="n">
        <v>0.424</v>
      </c>
      <c r="T37" t="n">
        <v>1.253</v>
      </c>
      <c r="U37" t="n">
        <v>-0.829</v>
      </c>
      <c r="V37" t="n">
        <v>529269000000</v>
      </c>
    </row>
    <row r="38">
      <c r="A38" t="inlineStr">
        <is>
          <t>Belgium</t>
        </is>
      </c>
      <c r="B38" t="inlineStr">
        <is>
          <t>BEL</t>
        </is>
      </c>
      <c r="C38" t="inlineStr">
        <is>
          <t>EWK</t>
        </is>
      </c>
      <c r="D38" t="n">
        <v>2021</v>
      </c>
      <c r="E38" t="n">
        <v>11.60173044217874</v>
      </c>
      <c r="F38" t="n">
        <v>6.207</v>
      </c>
      <c r="G38" t="n">
        <v>9.120647</v>
      </c>
      <c r="H38" t="n">
        <v>13.159849</v>
      </c>
      <c r="I38" t="n">
        <v>1.558118557821262</v>
      </c>
      <c r="J38" t="inlineStr">
        <is>
          <t>Belgium|EWK|2021</t>
        </is>
      </c>
      <c r="K38" t="inlineStr">
        <is>
          <t>Belgium|2021</t>
        </is>
      </c>
      <c r="L38" t="inlineStr">
        <is>
          <t>USD</t>
        </is>
      </c>
      <c r="M38" t="n">
        <v>11.60173044217874</v>
      </c>
      <c r="N38" t="n">
        <v>0</v>
      </c>
      <c r="O38" t="n">
        <v>0</v>
      </c>
      <c r="P38" t="n">
        <v>11.60173044217874</v>
      </c>
      <c r="Q38" t="n">
        <v>3.701592674734067</v>
      </c>
      <c r="R38" t="n">
        <v>7.618145067669202</v>
      </c>
      <c r="S38" t="n">
        <v>3.217</v>
      </c>
      <c r="T38" t="n">
        <v>4.679</v>
      </c>
      <c r="U38" t="n">
        <v>-1.462</v>
      </c>
      <c r="V38" t="n">
        <v>598920000000</v>
      </c>
    </row>
    <row r="39">
      <c r="A39" t="inlineStr">
        <is>
          <t>Belgium</t>
        </is>
      </c>
      <c r="B39" t="inlineStr">
        <is>
          <t>BEL</t>
        </is>
      </c>
      <c r="C39" t="inlineStr">
        <is>
          <t>EWK</t>
        </is>
      </c>
      <c r="D39" t="n">
        <v>2022</v>
      </c>
      <c r="E39" t="n">
        <v>-15.13184653076434</v>
      </c>
      <c r="F39" t="n">
        <v>4.26</v>
      </c>
      <c r="G39" t="n">
        <v>11.394791</v>
      </c>
      <c r="H39" t="n">
        <v>-0.8079539999999999</v>
      </c>
      <c r="I39" t="n">
        <v>14.32389253076434</v>
      </c>
      <c r="J39" t="inlineStr">
        <is>
          <t>Belgium|EWK|2022</t>
        </is>
      </c>
      <c r="K39" t="inlineStr">
        <is>
          <t>Belgium|2022</t>
        </is>
      </c>
      <c r="L39" t="inlineStr">
        <is>
          <t>USD</t>
        </is>
      </c>
      <c r="M39" t="n">
        <v>-15.13184653076434</v>
      </c>
      <c r="N39" t="n">
        <v>0</v>
      </c>
      <c r="O39" t="n">
        <v>0</v>
      </c>
      <c r="P39" t="n">
        <v>-15.13184653076434</v>
      </c>
      <c r="Q39" t="n">
        <v>-10.95450295124366</v>
      </c>
      <c r="R39" t="n">
        <v>-4.691246293154383</v>
      </c>
      <c r="S39" t="n">
        <v>10.331</v>
      </c>
      <c r="T39" t="n">
        <v>7.993</v>
      </c>
      <c r="U39" t="n">
        <v>2.337999999999999</v>
      </c>
      <c r="V39" t="n">
        <v>594081000000</v>
      </c>
    </row>
    <row r="40">
      <c r="A40" t="inlineStr">
        <is>
          <t>Belgium</t>
        </is>
      </c>
      <c r="B40" t="inlineStr">
        <is>
          <t>BEL</t>
        </is>
      </c>
      <c r="C40" t="inlineStr">
        <is>
          <t>EWK</t>
        </is>
      </c>
      <c r="D40" t="n">
        <v>2023</v>
      </c>
      <c r="E40" t="n">
        <v>7.145736474241038</v>
      </c>
      <c r="F40" t="n">
        <v>1.202</v>
      </c>
      <c r="G40" t="n">
        <v>5.763957</v>
      </c>
      <c r="H40" t="n">
        <v>8.544121000000001</v>
      </c>
      <c r="I40" t="n">
        <v>1.398384525758963</v>
      </c>
      <c r="J40" t="inlineStr">
        <is>
          <t>Belgium|EWK|2023</t>
        </is>
      </c>
      <c r="K40" t="inlineStr">
        <is>
          <t>Belgium|2023</t>
        </is>
      </c>
      <c r="L40" t="inlineStr">
        <is>
          <t>USD</t>
        </is>
      </c>
      <c r="M40" t="n">
        <v>7.145736474241038</v>
      </c>
      <c r="N40" t="n">
        <v>0</v>
      </c>
      <c r="O40" t="n">
        <v>0</v>
      </c>
      <c r="P40" t="n">
        <v>7.145736474241038</v>
      </c>
      <c r="Q40" t="n">
        <v>2.628650186414072</v>
      </c>
      <c r="R40" t="n">
        <v>4.401389163378999</v>
      </c>
      <c r="S40" t="n">
        <v>2.294</v>
      </c>
      <c r="T40" t="n">
        <v>4.128</v>
      </c>
      <c r="U40" t="n">
        <v>-1.834</v>
      </c>
      <c r="V40" t="n">
        <v>644840000000</v>
      </c>
    </row>
    <row r="41">
      <c r="A41" t="inlineStr">
        <is>
          <t>Belgium</t>
        </is>
      </c>
      <c r="B41" t="inlineStr">
        <is>
          <t>BEL</t>
        </is>
      </c>
      <c r="C41" t="inlineStr">
        <is>
          <t>EWK</t>
        </is>
      </c>
      <c r="D41" t="n">
        <v>2024</v>
      </c>
      <c r="E41" t="n">
        <v>1.317339451743216</v>
      </c>
      <c r="F41" t="n">
        <v>1.019</v>
      </c>
      <c r="G41" t="n">
        <v>2.982714</v>
      </c>
      <c r="H41" t="n">
        <v>3.027883</v>
      </c>
      <c r="I41" t="n">
        <v>1.710543548256784</v>
      </c>
      <c r="J41" t="inlineStr">
        <is>
          <t>Belgium|EWK|2024</t>
        </is>
      </c>
      <c r="K41" t="inlineStr">
        <is>
          <t>Belgium|2024</t>
        </is>
      </c>
      <c r="L41" t="inlineStr">
        <is>
          <t>USD</t>
        </is>
      </c>
      <c r="M41" t="n">
        <v>1.317339451743216</v>
      </c>
      <c r="N41" t="n">
        <v>0</v>
      </c>
      <c r="O41" t="n">
        <v>0</v>
      </c>
      <c r="P41" t="n">
        <v>1.317339451743216</v>
      </c>
      <c r="Q41" t="n">
        <v>0.04386073309028404</v>
      </c>
      <c r="R41" t="n">
        <v>1.272920406431011</v>
      </c>
      <c r="S41" t="n">
        <v>4.322</v>
      </c>
      <c r="T41" t="n">
        <v>2.952</v>
      </c>
      <c r="U41" t="n">
        <v>1.37</v>
      </c>
      <c r="V41" t="n">
        <v>664365000000</v>
      </c>
    </row>
    <row r="42">
      <c r="A42" t="inlineStr">
        <is>
          <t>Belgium</t>
        </is>
      </c>
      <c r="B42" t="inlineStr">
        <is>
          <t>BEL</t>
        </is>
      </c>
      <c r="C42" t="inlineStr">
        <is>
          <t>EWK</t>
        </is>
      </c>
      <c r="D42" t="n">
        <v>2025</v>
      </c>
      <c r="E42" t="n">
        <v>35.8567098682157</v>
      </c>
      <c r="F42" t="n">
        <v>1.065</v>
      </c>
      <c r="G42" t="n">
        <v>3.381842</v>
      </c>
      <c r="H42" t="n">
        <v>7.919592</v>
      </c>
      <c r="I42" t="n">
        <v>-27.93711786821569</v>
      </c>
      <c r="J42" t="inlineStr">
        <is>
          <t>Belgium|EWK|2025</t>
        </is>
      </c>
      <c r="K42" t="inlineStr">
        <is>
          <t>Belgium|2025</t>
        </is>
      </c>
      <c r="L42" t="inlineStr">
        <is>
          <t>USD</t>
        </is>
      </c>
      <c r="M42" t="n">
        <v>35.8567098682157</v>
      </c>
      <c r="N42" t="n">
        <v>0</v>
      </c>
      <c r="O42" t="n">
        <v>0</v>
      </c>
      <c r="P42" t="n">
        <v>35.8567098682157</v>
      </c>
      <c r="Q42" t="n">
        <v>4.389311263592321</v>
      </c>
      <c r="R42" t="n">
        <v>30.14427264987445</v>
      </c>
      <c r="S42" t="n">
        <v>2.571</v>
      </c>
      <c r="T42" t="n">
        <v>2.715</v>
      </c>
      <c r="U42" t="n">
        <v>-0.1439999999999997</v>
      </c>
      <c r="V42" t="n">
        <v>716980000000</v>
      </c>
    </row>
    <row r="43">
      <c r="A43" t="inlineStr">
        <is>
          <t>Belgium</t>
        </is>
      </c>
      <c r="B43" t="inlineStr">
        <is>
          <t>BEL</t>
        </is>
      </c>
      <c r="C43" t="inlineStr">
        <is>
          <t>EWK</t>
        </is>
      </c>
      <c r="D43" t="n">
        <v>2026</v>
      </c>
      <c r="E43" t="n">
        <v>0.9812006845869137</v>
      </c>
      <c r="F43" t="n">
        <v>0.98</v>
      </c>
      <c r="G43" t="n">
        <v>2.746913</v>
      </c>
      <c r="H43" t="n">
        <v>6.16391</v>
      </c>
      <c r="I43" t="n">
        <v>5.182709315413086</v>
      </c>
      <c r="J43" t="inlineStr">
        <is>
          <t>Belgium|EWK|2026</t>
        </is>
      </c>
      <c r="K43" t="inlineStr">
        <is>
          <t>Belgium|2026</t>
        </is>
      </c>
      <c r="L43" t="inlineStr">
        <is>
          <t>USD</t>
        </is>
      </c>
      <c r="M43" t="n">
        <v>0.9812006845869137</v>
      </c>
      <c r="N43" t="n">
        <v>0</v>
      </c>
      <c r="O43" t="n">
        <v>0</v>
      </c>
      <c r="P43" t="n">
        <v>0.9812006845869137</v>
      </c>
      <c r="Q43" t="n">
        <v>3.325644623515855</v>
      </c>
      <c r="R43" t="n">
        <v>-2.268985543203061</v>
      </c>
      <c r="S43" t="n">
        <v>1.266</v>
      </c>
      <c r="T43" t="n">
        <v>2.435</v>
      </c>
      <c r="U43" t="n">
        <v>-1.169</v>
      </c>
      <c r="V43" t="n">
        <v>761174000000</v>
      </c>
    </row>
    <row r="44">
      <c r="A44" t="inlineStr">
        <is>
          <t>Belgium</t>
        </is>
      </c>
      <c r="B44" t="inlineStr">
        <is>
          <t>BEL</t>
        </is>
      </c>
      <c r="C44" t="inlineStr">
        <is>
          <t>EWK</t>
        </is>
      </c>
      <c r="D44" t="n">
        <v>2027</v>
      </c>
      <c r="E44" t="inlineStr"/>
      <c r="F44" t="n">
        <v>1.261</v>
      </c>
      <c r="G44" t="n">
        <v>2.789699</v>
      </c>
      <c r="H44" t="n">
        <v>2.523733</v>
      </c>
      <c r="I44" t="inlineStr"/>
      <c r="J44" t="inlineStr">
        <is>
          <t>Belgium|EWK|2027</t>
        </is>
      </c>
      <c r="K44" t="inlineStr">
        <is>
          <t>Belgium|2027</t>
        </is>
      </c>
      <c r="L44" t="inlineStr">
        <is>
          <t>USD</t>
        </is>
      </c>
      <c r="M44" t="inlineStr"/>
      <c r="N44" t="inlineStr"/>
      <c r="O44" t="inlineStr"/>
      <c r="P44" t="inlineStr"/>
      <c r="Q44" t="n">
        <v>-0.2587478786837627</v>
      </c>
      <c r="R44" t="inlineStr"/>
      <c r="S44" t="n">
        <v>1.881</v>
      </c>
      <c r="T44" t="n">
        <v>2.185</v>
      </c>
      <c r="U44" t="n">
        <v>-0.304</v>
      </c>
      <c r="V44" t="n">
        <v>780384000000</v>
      </c>
    </row>
    <row r="45">
      <c r="A45" t="inlineStr">
        <is>
          <t>Belgium</t>
        </is>
      </c>
      <c r="B45" t="inlineStr">
        <is>
          <t>BEL</t>
        </is>
      </c>
      <c r="C45" t="inlineStr">
        <is>
          <t>EWK</t>
        </is>
      </c>
      <c r="D45" t="n">
        <v>2028</v>
      </c>
      <c r="E45" t="inlineStr"/>
      <c r="F45" t="n">
        <v>1.196</v>
      </c>
      <c r="G45" t="n">
        <v>2.953702</v>
      </c>
      <c r="H45" t="n">
        <v>2.772353</v>
      </c>
      <c r="I45" t="inlineStr"/>
      <c r="J45" t="inlineStr">
        <is>
          <t>Belgium|EWK|2028</t>
        </is>
      </c>
      <c r="K45" t="inlineStr">
        <is>
          <t>Belgium|2028</t>
        </is>
      </c>
      <c r="L45" t="inlineStr">
        <is>
          <t>USD</t>
        </is>
      </c>
      <c r="M45" t="inlineStr"/>
      <c r="N45" t="inlineStr"/>
      <c r="O45" t="inlineStr"/>
      <c r="P45" t="inlineStr"/>
      <c r="Q45" t="n">
        <v>-0.1761463712963485</v>
      </c>
      <c r="R45" t="inlineStr"/>
      <c r="S45" t="n">
        <v>1.999</v>
      </c>
      <c r="T45" t="n">
        <v>2.206</v>
      </c>
      <c r="U45" t="n">
        <v>-0.2069999999999999</v>
      </c>
      <c r="V45" t="n">
        <v>802019000000</v>
      </c>
    </row>
    <row r="46">
      <c r="A46" t="inlineStr">
        <is>
          <t>Belgium</t>
        </is>
      </c>
      <c r="B46" t="inlineStr">
        <is>
          <t>BEL</t>
        </is>
      </c>
      <c r="C46" t="inlineStr">
        <is>
          <t>EWK</t>
        </is>
      </c>
      <c r="D46" t="n">
        <v>2029</v>
      </c>
      <c r="E46" t="inlineStr"/>
      <c r="F46" t="n">
        <v>1.264</v>
      </c>
      <c r="G46" t="n">
        <v>2.886783</v>
      </c>
      <c r="H46" t="n">
        <v>2.783974</v>
      </c>
      <c r="I46" t="inlineStr"/>
      <c r="J46" t="inlineStr">
        <is>
          <t>Belgium|EWK|2029</t>
        </is>
      </c>
      <c r="K46" t="inlineStr">
        <is>
          <t>Belgium|2029</t>
        </is>
      </c>
      <c r="L46" t="inlineStr">
        <is>
          <t>USD</t>
        </is>
      </c>
      <c r="M46" t="inlineStr"/>
      <c r="N46" t="inlineStr"/>
      <c r="O46" t="inlineStr"/>
      <c r="P46" t="inlineStr"/>
      <c r="Q46" t="n">
        <v>-0.09992460557781691</v>
      </c>
      <c r="R46" t="inlineStr"/>
      <c r="S46" t="n">
        <v>1.91</v>
      </c>
      <c r="T46" t="n">
        <v>2.203</v>
      </c>
      <c r="U46" t="n">
        <v>-0.2929999999999999</v>
      </c>
      <c r="V46" t="n">
        <v>824347000000</v>
      </c>
    </row>
    <row r="47">
      <c r="A47" t="inlineStr">
        <is>
          <t>Brazil</t>
        </is>
      </c>
      <c r="B47" t="inlineStr">
        <is>
          <t>BRA</t>
        </is>
      </c>
      <c r="C47" t="inlineStr">
        <is>
          <t>XMBR.L</t>
        </is>
      </c>
      <c r="D47" t="n">
        <v>2015</v>
      </c>
      <c r="E47" t="n">
        <v>-37.88392398561889</v>
      </c>
      <c r="F47" t="n">
        <v>-3.546</v>
      </c>
      <c r="G47" t="inlineStr"/>
      <c r="H47" t="inlineStr"/>
      <c r="I47" t="inlineStr"/>
      <c r="J47" t="inlineStr">
        <is>
          <t>Brazil|XMBR.L|2015</t>
        </is>
      </c>
      <c r="K47" t="inlineStr">
        <is>
          <t>Brazil|2015</t>
        </is>
      </c>
      <c r="L47" t="inlineStr">
        <is>
          <t>GBp</t>
        </is>
      </c>
      <c r="M47" t="n">
        <v>-37.88392398561889</v>
      </c>
      <c r="N47" t="n">
        <v>-4.888855870697362</v>
      </c>
      <c r="O47" t="n">
        <v>-5.407515212426162</v>
      </c>
      <c r="P47" t="n">
        <v>-40.9206894144948</v>
      </c>
      <c r="Q47" t="inlineStr"/>
      <c r="R47" t="inlineStr"/>
      <c r="S47" t="n">
        <v>9.029999999999999</v>
      </c>
      <c r="T47" t="n">
        <v>0.121</v>
      </c>
      <c r="U47" t="n">
        <v>8.908999999999999</v>
      </c>
      <c r="V47" t="n">
        <v>1800046000000</v>
      </c>
    </row>
    <row r="48">
      <c r="A48" t="inlineStr">
        <is>
          <t>Brazil</t>
        </is>
      </c>
      <c r="B48" t="inlineStr">
        <is>
          <t>BRA</t>
        </is>
      </c>
      <c r="C48" t="inlineStr">
        <is>
          <t>XMBR.L</t>
        </is>
      </c>
      <c r="D48" t="n">
        <v>2016</v>
      </c>
      <c r="E48" t="n">
        <v>105.2944171050399</v>
      </c>
      <c r="F48" t="n">
        <v>-3.276</v>
      </c>
      <c r="G48" t="n">
        <v>4.562203</v>
      </c>
      <c r="H48" t="n">
        <v>-0.190217</v>
      </c>
      <c r="I48" t="n">
        <v>-71.35298252407628</v>
      </c>
      <c r="J48" t="inlineStr">
        <is>
          <t>Brazil|XMBR.L|2016</t>
        </is>
      </c>
      <c r="K48" t="inlineStr">
        <is>
          <t>Brazil|2016</t>
        </is>
      </c>
      <c r="L48" t="inlineStr">
        <is>
          <t>GBp</t>
        </is>
      </c>
      <c r="M48" t="n">
        <v>105.2944171050399</v>
      </c>
      <c r="N48" t="n">
        <v>-16.62570861023462</v>
      </c>
      <c r="O48" t="n">
        <v>-16.21181156312136</v>
      </c>
      <c r="P48" t="n">
        <v>71.16276552407628</v>
      </c>
      <c r="Q48" t="n">
        <v>-4.54506564754541</v>
      </c>
      <c r="R48" t="n">
        <v>79.31264285624108</v>
      </c>
      <c r="S48" t="n">
        <v>8.74</v>
      </c>
      <c r="T48" t="n">
        <v>1.267</v>
      </c>
      <c r="U48" t="n">
        <v>7.473000000000001</v>
      </c>
      <c r="V48" t="n">
        <v>1796622000000</v>
      </c>
    </row>
    <row r="49">
      <c r="A49" t="inlineStr">
        <is>
          <t>Brazil</t>
        </is>
      </c>
      <c r="B49" t="inlineStr">
        <is>
          <t>BRA</t>
        </is>
      </c>
      <c r="C49" t="inlineStr">
        <is>
          <t>XMBR.L</t>
        </is>
      </c>
      <c r="D49" t="n">
        <v>2017</v>
      </c>
      <c r="E49" t="n">
        <v>10.3247697527872</v>
      </c>
      <c r="F49" t="n">
        <v>1.323</v>
      </c>
      <c r="G49" t="n">
        <v>5.042838</v>
      </c>
      <c r="H49" t="n">
        <v>14.85549</v>
      </c>
      <c r="I49" t="n">
        <v>-5.223520785701201</v>
      </c>
      <c r="J49" t="inlineStr">
        <is>
          <t>Brazil|XMBR.L|2017</t>
        </is>
      </c>
      <c r="K49" t="inlineStr">
        <is>
          <t>Brazil|2017</t>
        </is>
      </c>
      <c r="L49" t="inlineStr">
        <is>
          <t>GBp</t>
        </is>
      </c>
      <c r="M49" t="n">
        <v>10.3247697527872</v>
      </c>
      <c r="N49" t="n">
        <v>8.841388071573641</v>
      </c>
      <c r="O49" t="n">
        <v>9.450435944365921</v>
      </c>
      <c r="P49" t="n">
        <v>20.0790107857012</v>
      </c>
      <c r="Q49" t="n">
        <v>9.341571663219028</v>
      </c>
      <c r="R49" t="n">
        <v>9.820088516337</v>
      </c>
      <c r="S49" t="n">
        <v>3.446</v>
      </c>
      <c r="T49" t="n">
        <v>2.131</v>
      </c>
      <c r="U49" t="n">
        <v>1.315</v>
      </c>
      <c r="V49" t="n">
        <v>2063519000000</v>
      </c>
    </row>
    <row r="50">
      <c r="A50" t="inlineStr">
        <is>
          <t>Brazil</t>
        </is>
      </c>
      <c r="B50" t="inlineStr">
        <is>
          <t>BRA</t>
        </is>
      </c>
      <c r="C50" t="inlineStr">
        <is>
          <t>XMBR.L</t>
        </is>
      </c>
      <c r="D50" t="n">
        <v>2018</v>
      </c>
      <c r="E50" t="n">
        <v>2.443218456688401</v>
      </c>
      <c r="F50" t="n">
        <v>1.784</v>
      </c>
      <c r="G50" t="n">
        <v>6.357351</v>
      </c>
      <c r="H50" t="n">
        <v>-7.103642</v>
      </c>
      <c r="I50" t="n">
        <v>-3.312878956086286</v>
      </c>
      <c r="J50" t="inlineStr">
        <is>
          <t>Brazil|XMBR.L|2018</t>
        </is>
      </c>
      <c r="K50" t="inlineStr">
        <is>
          <t>Brazil|2018</t>
        </is>
      </c>
      <c r="L50" t="inlineStr">
        <is>
          <t>GBp</t>
        </is>
      </c>
      <c r="M50" t="n">
        <v>2.443218456688401</v>
      </c>
      <c r="N50" t="n">
        <v>-6.085304224640065</v>
      </c>
      <c r="O50" t="n">
        <v>-5.756316180609423</v>
      </c>
      <c r="P50" t="n">
        <v>-3.790763043913714</v>
      </c>
      <c r="Q50" t="n">
        <v>-12.65638205466163</v>
      </c>
      <c r="R50" t="n">
        <v>10.15027682537288</v>
      </c>
      <c r="S50" t="n">
        <v>3.665</v>
      </c>
      <c r="T50" t="n">
        <v>2.439</v>
      </c>
      <c r="U50" t="n">
        <v>1.226</v>
      </c>
      <c r="V50" t="n">
        <v>1916934000000</v>
      </c>
    </row>
    <row r="51">
      <c r="A51" t="inlineStr">
        <is>
          <t>Brazil</t>
        </is>
      </c>
      <c r="B51" t="inlineStr">
        <is>
          <t>BRA</t>
        </is>
      </c>
      <c r="C51" t="inlineStr">
        <is>
          <t>XMBR.L</t>
        </is>
      </c>
      <c r="D51" t="n">
        <v>2019</v>
      </c>
      <c r="E51" t="n">
        <v>13.68379342226918</v>
      </c>
      <c r="F51" t="n">
        <v>1.221</v>
      </c>
      <c r="G51" t="n">
        <v>5.496606</v>
      </c>
      <c r="H51" t="n">
        <v>-2.276969</v>
      </c>
      <c r="I51" t="n">
        <v>-19.30745902478561</v>
      </c>
      <c r="J51" t="inlineStr">
        <is>
          <t>Brazil|XMBR.L|2019</t>
        </is>
      </c>
      <c r="K51" t="inlineStr">
        <is>
          <t>Brazil|2019</t>
        </is>
      </c>
      <c r="L51" t="inlineStr">
        <is>
          <t>GBp</t>
        </is>
      </c>
      <c r="M51" t="n">
        <v>13.68379342226918</v>
      </c>
      <c r="N51" t="n">
        <v>2.94386429390634</v>
      </c>
      <c r="O51" t="n">
        <v>4.118031584084703</v>
      </c>
      <c r="P51" t="n">
        <v>17.03049002478561</v>
      </c>
      <c r="Q51" t="n">
        <v>-7.368554504137903</v>
      </c>
      <c r="R51" t="n">
        <v>26.33991556356898</v>
      </c>
      <c r="S51" t="n">
        <v>3.733</v>
      </c>
      <c r="T51" t="n">
        <v>1.813</v>
      </c>
      <c r="U51" t="n">
        <v>1.92</v>
      </c>
      <c r="V51" t="n">
        <v>1873286000000</v>
      </c>
    </row>
    <row r="52">
      <c r="A52" t="inlineStr">
        <is>
          <t>Brazil</t>
        </is>
      </c>
      <c r="B52" t="inlineStr">
        <is>
          <t>BRA</t>
        </is>
      </c>
      <c r="C52" t="inlineStr">
        <is>
          <t>XMBR.L</t>
        </is>
      </c>
      <c r="D52" t="n">
        <v>2020</v>
      </c>
      <c r="E52" t="n">
        <v>-23.38314132542488</v>
      </c>
      <c r="F52" t="n">
        <v>-3.277</v>
      </c>
      <c r="G52" t="n">
        <v>2.983653</v>
      </c>
      <c r="H52" t="n">
        <v>-21.203062</v>
      </c>
      <c r="I52" t="n">
        <v>0.05380951822924729</v>
      </c>
      <c r="J52" t="inlineStr">
        <is>
          <t>Brazil|XMBR.L|2020</t>
        </is>
      </c>
      <c r="K52" t="inlineStr">
        <is>
          <t>Brazil|2020</t>
        </is>
      </c>
      <c r="L52" t="inlineStr">
        <is>
          <t>GBp</t>
        </is>
      </c>
      <c r="M52" t="n">
        <v>-23.38314132542488</v>
      </c>
      <c r="N52" t="n">
        <v>2.775198362317122</v>
      </c>
      <c r="O52" t="n">
        <v>3.094474617937659</v>
      </c>
      <c r="P52" t="n">
        <v>-21.25687151822925</v>
      </c>
      <c r="Q52" t="n">
        <v>-23.48597512691811</v>
      </c>
      <c r="R52" t="n">
        <v>2.913326821306828</v>
      </c>
      <c r="S52" t="n">
        <v>3.212</v>
      </c>
      <c r="T52" t="n">
        <v>1.253</v>
      </c>
      <c r="U52" t="n">
        <v>1.959</v>
      </c>
      <c r="V52" t="n">
        <v>1476092000000</v>
      </c>
    </row>
    <row r="53">
      <c r="A53" t="inlineStr">
        <is>
          <t>Brazil</t>
        </is>
      </c>
      <c r="B53" t="inlineStr">
        <is>
          <t>BRA</t>
        </is>
      </c>
      <c r="C53" t="inlineStr">
        <is>
          <t>XMBR.L</t>
        </is>
      </c>
      <c r="D53" t="n">
        <v>2021</v>
      </c>
      <c r="E53" t="n">
        <v>-16.78624813153962</v>
      </c>
      <c r="F53" t="n">
        <v>4.763</v>
      </c>
      <c r="G53" t="n">
        <v>18.431265</v>
      </c>
      <c r="H53" t="n">
        <v>13.180615</v>
      </c>
      <c r="I53" t="n">
        <v>31.02968624156539</v>
      </c>
      <c r="J53" t="inlineStr">
        <is>
          <t>Brazil|XMBR.L|2021</t>
        </is>
      </c>
      <c r="K53" t="inlineStr">
        <is>
          <t>Brazil|2021</t>
        </is>
      </c>
      <c r="L53" t="inlineStr">
        <is>
          <t>GBp</t>
        </is>
      </c>
      <c r="M53" t="n">
        <v>-16.78624813153962</v>
      </c>
      <c r="N53" t="n">
        <v>-1.277220514832489</v>
      </c>
      <c r="O53" t="n">
        <v>-1.102343119945948</v>
      </c>
      <c r="P53" t="n">
        <v>-17.84907124156539</v>
      </c>
      <c r="Q53" t="n">
        <v>-4.433500212945773</v>
      </c>
      <c r="R53" t="n">
        <v>-14.03794327354547</v>
      </c>
      <c r="S53" t="n">
        <v>8.302</v>
      </c>
      <c r="T53" t="n">
        <v>4.679</v>
      </c>
      <c r="U53" t="n">
        <v>3.622999999999999</v>
      </c>
      <c r="V53" t="n">
        <v>1670650000000</v>
      </c>
    </row>
    <row r="54">
      <c r="A54" t="inlineStr">
        <is>
          <t>Brazil</t>
        </is>
      </c>
      <c r="B54" t="inlineStr">
        <is>
          <t>BRA</t>
        </is>
      </c>
      <c r="C54" t="inlineStr">
        <is>
          <t>XMBR.L</t>
        </is>
      </c>
      <c r="D54" t="n">
        <v>2022</v>
      </c>
      <c r="E54" t="n">
        <v>29.69270640503516</v>
      </c>
      <c r="F54" t="n">
        <v>3.017</v>
      </c>
      <c r="G54" t="n">
        <v>11.845508</v>
      </c>
      <c r="H54" t="n">
        <v>16.831712</v>
      </c>
      <c r="I54" t="n">
        <v>1.199052827924231</v>
      </c>
      <c r="J54" t="inlineStr">
        <is>
          <t>Brazil|XMBR.L|2022</t>
        </is>
      </c>
      <c r="K54" t="inlineStr">
        <is>
          <t>Brazil|2022</t>
        </is>
      </c>
      <c r="L54" t="inlineStr">
        <is>
          <t>GBp</t>
        </is>
      </c>
      <c r="M54" t="n">
        <v>29.69270640503516</v>
      </c>
      <c r="N54" t="n">
        <v>-10.84104698150823</v>
      </c>
      <c r="O54" t="n">
        <v>-10.36772851390696</v>
      </c>
      <c r="P54" t="n">
        <v>15.63265917207577</v>
      </c>
      <c r="Q54" t="n">
        <v>4.458117554575858</v>
      </c>
      <c r="R54" t="n">
        <v>10.69762875217581</v>
      </c>
      <c r="S54" t="n">
        <v>9.279999999999999</v>
      </c>
      <c r="T54" t="n">
        <v>7.993</v>
      </c>
      <c r="U54" t="n">
        <v>1.286999999999999</v>
      </c>
      <c r="V54" t="n">
        <v>1951849000000</v>
      </c>
    </row>
    <row r="55">
      <c r="A55" t="inlineStr">
        <is>
          <t>Brazil</t>
        </is>
      </c>
      <c r="B55" t="inlineStr">
        <is>
          <t>BRA</t>
        </is>
      </c>
      <c r="C55" t="inlineStr">
        <is>
          <t>XMBR.L</t>
        </is>
      </c>
      <c r="D55" t="n">
        <v>2023</v>
      </c>
      <c r="E55" t="n">
        <v>32.01622596153846</v>
      </c>
      <c r="F55" t="n">
        <v>3.242</v>
      </c>
      <c r="G55" t="n">
        <v>8.56841</v>
      </c>
      <c r="H55" t="n">
        <v>12.259555</v>
      </c>
      <c r="I55" t="n">
        <v>-26.44069299210054</v>
      </c>
      <c r="J55" t="inlineStr">
        <is>
          <t>Brazil|XMBR.L|2023</t>
        </is>
      </c>
      <c r="K55" t="inlineStr">
        <is>
          <t>Brazil|2023</t>
        </is>
      </c>
      <c r="L55" t="inlineStr">
        <is>
          <t>GBp</t>
        </is>
      </c>
      <c r="M55" t="n">
        <v>32.01622596153846</v>
      </c>
      <c r="N55" t="n">
        <v>5.06303068571996</v>
      </c>
      <c r="O55" t="n">
        <v>5.030130998783355</v>
      </c>
      <c r="P55" t="n">
        <v>38.70024799210054</v>
      </c>
      <c r="Q55" t="n">
        <v>3.399832943271908</v>
      </c>
      <c r="R55" t="n">
        <v>34.13972154886888</v>
      </c>
      <c r="S55" t="n">
        <v>4.594</v>
      </c>
      <c r="T55" t="n">
        <v>4.128</v>
      </c>
      <c r="U55" t="n">
        <v>0.4660000000000002</v>
      </c>
      <c r="V55" t="n">
        <v>2191137000000</v>
      </c>
    </row>
    <row r="56">
      <c r="A56" t="inlineStr">
        <is>
          <t>Brazil</t>
        </is>
      </c>
      <c r="B56" t="inlineStr">
        <is>
          <t>BRA</t>
        </is>
      </c>
      <c r="C56" t="inlineStr">
        <is>
          <t>XMBR.L</t>
        </is>
      </c>
      <c r="D56" t="n">
        <v>2024</v>
      </c>
      <c r="E56" t="n">
        <v>-28.08666743092974</v>
      </c>
      <c r="F56" t="n">
        <v>3.396</v>
      </c>
      <c r="G56" t="n">
        <v>7.322853</v>
      </c>
      <c r="H56" t="n">
        <v>-0.535065</v>
      </c>
      <c r="I56" t="n">
        <v>28.57352937738738</v>
      </c>
      <c r="J56" t="inlineStr">
        <is>
          <t>Brazil|XMBR.L|2024</t>
        </is>
      </c>
      <c r="K56" t="inlineStr">
        <is>
          <t>Brazil|2024</t>
        </is>
      </c>
      <c r="L56" t="inlineStr">
        <is>
          <t>GBp</t>
        </is>
      </c>
      <c r="M56" t="n">
        <v>-28.08666743092974</v>
      </c>
      <c r="N56" t="n">
        <v>-1.421053523664917</v>
      </c>
      <c r="O56" t="n">
        <v>-1.655539060617606</v>
      </c>
      <c r="P56" t="n">
        <v>-29.10859437738738</v>
      </c>
      <c r="Q56" t="n">
        <v>-7.321756270579716</v>
      </c>
      <c r="R56" t="n">
        <v>-23.50803946006534</v>
      </c>
      <c r="S56" t="n">
        <v>4.367</v>
      </c>
      <c r="T56" t="n">
        <v>2.952</v>
      </c>
      <c r="U56" t="n">
        <v>1.415</v>
      </c>
      <c r="V56" t="n">
        <v>2179413000000</v>
      </c>
    </row>
    <row r="57">
      <c r="A57" t="inlineStr">
        <is>
          <t>Brazil</t>
        </is>
      </c>
      <c r="B57" t="inlineStr">
        <is>
          <t>BRA</t>
        </is>
      </c>
      <c r="C57" t="inlineStr">
        <is>
          <t>XMBR.L</t>
        </is>
      </c>
      <c r="D57" t="n">
        <v>2025</v>
      </c>
      <c r="E57" t="n">
        <v>35.96174949051576</v>
      </c>
      <c r="F57" t="n">
        <v>2.4</v>
      </c>
      <c r="G57" t="n">
        <v>7.880595</v>
      </c>
      <c r="H57" t="n">
        <v>3.555866</v>
      </c>
      <c r="I57" t="n">
        <v>-42.70081138405066</v>
      </c>
      <c r="J57" t="inlineStr">
        <is>
          <t>Brazil|XMBR.L|2025</t>
        </is>
      </c>
      <c r="K57" t="inlineStr">
        <is>
          <t>Brazil|2025</t>
        </is>
      </c>
      <c r="L57" t="inlineStr">
        <is>
          <t>GBp</t>
        </is>
      </c>
      <c r="M57" t="n">
        <v>35.96174949051576</v>
      </c>
      <c r="N57" t="n">
        <v>7.571929555270285</v>
      </c>
      <c r="O57" t="n">
        <v>7.623377354227179</v>
      </c>
      <c r="P57" t="n">
        <v>46.25667738405066</v>
      </c>
      <c r="Q57" t="n">
        <v>-4.008811479073304</v>
      </c>
      <c r="R57" t="n">
        <v>52.36469059049702</v>
      </c>
      <c r="S57" t="n">
        <v>5.187</v>
      </c>
      <c r="T57" t="n">
        <v>2.715</v>
      </c>
      <c r="U57" t="n">
        <v>2.472</v>
      </c>
      <c r="V57" t="n">
        <v>2256910000000</v>
      </c>
    </row>
    <row r="58">
      <c r="A58" t="inlineStr">
        <is>
          <t>Brazil</t>
        </is>
      </c>
      <c r="B58" t="inlineStr">
        <is>
          <t>BRA</t>
        </is>
      </c>
      <c r="C58" t="inlineStr">
        <is>
          <t>XMBR.L</t>
        </is>
      </c>
      <c r="D58" t="n">
        <v>2026</v>
      </c>
      <c r="E58" t="n">
        <v>16.50574712643678</v>
      </c>
      <c r="F58" t="n">
        <v>1.942</v>
      </c>
      <c r="G58" t="n">
        <v>6.700485</v>
      </c>
      <c r="H58" t="n">
        <v>1.585353</v>
      </c>
      <c r="I58" t="n">
        <v>-13.00937120231813</v>
      </c>
      <c r="J58" t="inlineStr">
        <is>
          <t>Brazil|XMBR.L|2026</t>
        </is>
      </c>
      <c r="K58" t="inlineStr">
        <is>
          <t>Brazil|2026</t>
        </is>
      </c>
      <c r="L58" t="inlineStr">
        <is>
          <t>GBp</t>
        </is>
      </c>
      <c r="M58" t="n">
        <v>16.50574712643678</v>
      </c>
      <c r="N58" t="n">
        <v>-1.640282107323621</v>
      </c>
      <c r="O58" t="inlineStr"/>
      <c r="P58" t="n">
        <v>14.59472420231813</v>
      </c>
      <c r="Q58" t="n">
        <v>-4.793915921235781</v>
      </c>
      <c r="R58" t="n">
        <v>20.3649171281046</v>
      </c>
      <c r="S58" t="n">
        <v>3.972</v>
      </c>
      <c r="T58" t="n">
        <v>2.435</v>
      </c>
      <c r="U58" t="n">
        <v>1.537</v>
      </c>
      <c r="V58" t="n">
        <v>2292690000000</v>
      </c>
    </row>
    <row r="59">
      <c r="A59" t="inlineStr">
        <is>
          <t>Brazil</t>
        </is>
      </c>
      <c r="B59" t="inlineStr">
        <is>
          <t>BRA</t>
        </is>
      </c>
      <c r="C59" t="inlineStr">
        <is>
          <t>XMBR.L</t>
        </is>
      </c>
      <c r="D59" t="n">
        <v>2027</v>
      </c>
      <c r="E59" t="inlineStr"/>
      <c r="F59" t="n">
        <v>2.238</v>
      </c>
      <c r="G59" t="n">
        <v>5.874713</v>
      </c>
      <c r="H59" t="n">
        <v>5.251124</v>
      </c>
      <c r="I59" t="inlineStr"/>
      <c r="J59" t="inlineStr">
        <is>
          <t>Brazil|XMBR.L|2027</t>
        </is>
      </c>
      <c r="K59" t="inlineStr">
        <is>
          <t>Brazil|2027</t>
        </is>
      </c>
      <c r="L59" t="inlineStr">
        <is>
          <t>GBp</t>
        </is>
      </c>
      <c r="M59" t="inlineStr"/>
      <c r="N59" t="inlineStr"/>
      <c r="O59" t="inlineStr"/>
      <c r="P59" t="inlineStr"/>
      <c r="Q59" t="n">
        <v>-0.5889873060682671</v>
      </c>
      <c r="R59" t="inlineStr"/>
      <c r="S59" t="n">
        <v>3.273</v>
      </c>
      <c r="T59" t="n">
        <v>2.185</v>
      </c>
      <c r="U59" t="n">
        <v>1.088</v>
      </c>
      <c r="V59" t="n">
        <v>2413082000000</v>
      </c>
    </row>
    <row r="60">
      <c r="A60" t="inlineStr">
        <is>
          <t>Brazil</t>
        </is>
      </c>
      <c r="B60" t="inlineStr">
        <is>
          <t>BRA</t>
        </is>
      </c>
      <c r="C60" t="inlineStr">
        <is>
          <t>XMBR.L</t>
        </is>
      </c>
      <c r="D60" t="n">
        <v>2028</v>
      </c>
      <c r="E60" t="inlineStr"/>
      <c r="F60" t="n">
        <v>2.305</v>
      </c>
      <c r="G60" t="n">
        <v>5.843442</v>
      </c>
      <c r="H60" t="n">
        <v>5.082463</v>
      </c>
      <c r="I60" t="inlineStr"/>
      <c r="J60" t="inlineStr">
        <is>
          <t>Brazil|XMBR.L|2028</t>
        </is>
      </c>
      <c r="K60" t="inlineStr">
        <is>
          <t>Brazil|2028</t>
        </is>
      </c>
      <c r="L60" t="inlineStr">
        <is>
          <t>GBp</t>
        </is>
      </c>
      <c r="M60" t="inlineStr"/>
      <c r="N60" t="inlineStr"/>
      <c r="O60" t="inlineStr"/>
      <c r="P60" t="inlineStr"/>
      <c r="Q60" t="n">
        <v>-0.7189667687779622</v>
      </c>
      <c r="R60" t="inlineStr"/>
      <c r="S60" t="n">
        <v>2.929</v>
      </c>
      <c r="T60" t="n">
        <v>2.206</v>
      </c>
      <c r="U60" t="n">
        <v>0.7229999999999999</v>
      </c>
      <c r="V60" t="n">
        <v>2535726000000</v>
      </c>
    </row>
    <row r="61">
      <c r="A61" t="inlineStr">
        <is>
          <t>Brazil</t>
        </is>
      </c>
      <c r="B61" t="inlineStr">
        <is>
          <t>BRA</t>
        </is>
      </c>
      <c r="C61" t="inlineStr">
        <is>
          <t>XMBR.L</t>
        </is>
      </c>
      <c r="D61" t="n">
        <v>2029</v>
      </c>
      <c r="E61" t="inlineStr"/>
      <c r="F61" t="n">
        <v>2.432</v>
      </c>
      <c r="G61" t="n">
        <v>5.973718</v>
      </c>
      <c r="H61" t="n">
        <v>5.326482</v>
      </c>
      <c r="I61" t="inlineStr"/>
      <c r="J61" t="inlineStr">
        <is>
          <t>Brazil|XMBR.L|2029</t>
        </is>
      </c>
      <c r="K61" t="inlineStr">
        <is>
          <t>Brazil|2029</t>
        </is>
      </c>
      <c r="L61" t="inlineStr">
        <is>
          <t>GBp</t>
        </is>
      </c>
      <c r="M61" t="inlineStr"/>
      <c r="N61" t="inlineStr"/>
      <c r="O61" t="inlineStr"/>
      <c r="P61" t="inlineStr"/>
      <c r="Q61" t="n">
        <v>-0.6107509111194842</v>
      </c>
      <c r="R61" t="inlineStr"/>
      <c r="S61" t="n">
        <v>2.932</v>
      </c>
      <c r="T61" t="n">
        <v>2.203</v>
      </c>
      <c r="U61" t="n">
        <v>0.7290000000000001</v>
      </c>
      <c r="V61" t="n">
        <v>2670791000000</v>
      </c>
    </row>
    <row r="62">
      <c r="A62" t="inlineStr">
        <is>
          <t>Canada</t>
        </is>
      </c>
      <c r="B62" t="inlineStr">
        <is>
          <t>CAN</t>
        </is>
      </c>
      <c r="C62" t="inlineStr">
        <is>
          <t>CSCA.L</t>
        </is>
      </c>
      <c r="D62" t="n">
        <v>2015</v>
      </c>
      <c r="E62" t="n">
        <v>-20.18576245308225</v>
      </c>
      <c r="F62" t="n">
        <v>0.65</v>
      </c>
      <c r="G62" t="inlineStr"/>
      <c r="H62" t="inlineStr"/>
      <c r="I62" t="inlineStr"/>
      <c r="J62" t="inlineStr">
        <is>
          <t>Canada|CSCA.L|2015</t>
        </is>
      </c>
      <c r="K62" t="inlineStr">
        <is>
          <t>Canada|2015</t>
        </is>
      </c>
      <c r="L62" t="inlineStr">
        <is>
          <t>GBp</t>
        </is>
      </c>
      <c r="M62" t="n">
        <v>-20.18576245308225</v>
      </c>
      <c r="N62" t="n">
        <v>-4.888855870697362</v>
      </c>
      <c r="O62" t="n">
        <v>-5.407515212426162</v>
      </c>
      <c r="P62" t="n">
        <v>-24.08776549104709</v>
      </c>
      <c r="Q62" t="inlineStr"/>
      <c r="R62" t="inlineStr"/>
      <c r="S62" t="n">
        <v>1.125</v>
      </c>
      <c r="T62" t="n">
        <v>0.121</v>
      </c>
      <c r="U62" t="n">
        <v>1.004</v>
      </c>
      <c r="V62" t="n">
        <v>1556508000000</v>
      </c>
    </row>
    <row r="63">
      <c r="A63" t="inlineStr">
        <is>
          <t>Canada</t>
        </is>
      </c>
      <c r="B63" t="inlineStr">
        <is>
          <t>CAN</t>
        </is>
      </c>
      <c r="C63" t="inlineStr">
        <is>
          <t>CSCA.L</t>
        </is>
      </c>
      <c r="D63" t="n">
        <v>2016</v>
      </c>
      <c r="E63" t="n">
        <v>52.57496740547589</v>
      </c>
      <c r="F63" t="n">
        <v>1.039</v>
      </c>
      <c r="G63" t="n">
        <v>1.763127</v>
      </c>
      <c r="H63" t="n">
        <v>-1.831793</v>
      </c>
      <c r="I63" t="n">
        <v>-29.04009091248101</v>
      </c>
      <c r="J63" t="inlineStr">
        <is>
          <t>Canada|CSCA.L|2016</t>
        </is>
      </c>
      <c r="K63" t="inlineStr">
        <is>
          <t>Canada|2016</t>
        </is>
      </c>
      <c r="L63" t="inlineStr">
        <is>
          <t>GBp</t>
        </is>
      </c>
      <c r="M63" t="n">
        <v>52.57496740547589</v>
      </c>
      <c r="N63" t="n">
        <v>-16.62570861023462</v>
      </c>
      <c r="O63" t="n">
        <v>-16.21181156312136</v>
      </c>
      <c r="P63" t="n">
        <v>27.208297912481</v>
      </c>
      <c r="Q63" t="n">
        <v>-3.53263473795794</v>
      </c>
      <c r="R63" t="n">
        <v>31.8666655473951</v>
      </c>
      <c r="S63" t="n">
        <v>1.429</v>
      </c>
      <c r="T63" t="n">
        <v>1.267</v>
      </c>
      <c r="U63" t="n">
        <v>0.1620000000000001</v>
      </c>
      <c r="V63" t="n">
        <v>1527996000000</v>
      </c>
    </row>
    <row r="64">
      <c r="A64" t="inlineStr">
        <is>
          <t>Canada</t>
        </is>
      </c>
      <c r="B64" t="inlineStr">
        <is>
          <t>CAN</t>
        </is>
      </c>
      <c r="C64" t="inlineStr">
        <is>
          <t>CSCA.L</t>
        </is>
      </c>
      <c r="D64" t="n">
        <v>2017</v>
      </c>
      <c r="E64" t="n">
        <v>4.695559691571383</v>
      </c>
      <c r="F64" t="n">
        <v>3.034</v>
      </c>
      <c r="G64" t="n">
        <v>5.682746</v>
      </c>
      <c r="H64" t="n">
        <v>7.936539</v>
      </c>
      <c r="I64" t="n">
        <v>-6.015561417609238</v>
      </c>
      <c r="J64" t="inlineStr">
        <is>
          <t>Canada|CSCA.L|2017</t>
        </is>
      </c>
      <c r="K64" t="inlineStr">
        <is>
          <t>Canada|2017</t>
        </is>
      </c>
      <c r="L64" t="inlineStr">
        <is>
          <t>GBp</t>
        </is>
      </c>
      <c r="M64" t="n">
        <v>4.695559691571383</v>
      </c>
      <c r="N64" t="n">
        <v>8.841388071573641</v>
      </c>
      <c r="O64" t="n">
        <v>9.450435944365921</v>
      </c>
      <c r="P64" t="n">
        <v>13.95210041760924</v>
      </c>
      <c r="Q64" t="n">
        <v>2.132603144439704</v>
      </c>
      <c r="R64" t="n">
        <v>11.57269756108532</v>
      </c>
      <c r="S64" t="n">
        <v>1.597</v>
      </c>
      <c r="T64" t="n">
        <v>2.131</v>
      </c>
      <c r="U64" t="n">
        <v>-0.5339999999999998</v>
      </c>
      <c r="V64" t="n">
        <v>1649266000000</v>
      </c>
    </row>
    <row r="65">
      <c r="A65" t="inlineStr">
        <is>
          <t>Canada</t>
        </is>
      </c>
      <c r="B65" t="inlineStr">
        <is>
          <t>CAN</t>
        </is>
      </c>
      <c r="C65" t="inlineStr">
        <is>
          <t>CSCA.L</t>
        </is>
      </c>
      <c r="D65" t="n">
        <v>2018</v>
      </c>
      <c r="E65" t="n">
        <v>-11.89139532509951</v>
      </c>
      <c r="F65" t="n">
        <v>2.743</v>
      </c>
      <c r="G65" t="n">
        <v>4.439511</v>
      </c>
      <c r="H65" t="n">
        <v>4.610172</v>
      </c>
      <c r="I65" t="n">
        <v>21.86324396765264</v>
      </c>
      <c r="J65" t="inlineStr">
        <is>
          <t>Canada|CSCA.L|2018</t>
        </is>
      </c>
      <c r="K65" t="inlineStr">
        <is>
          <t>Canada|2018</t>
        </is>
      </c>
      <c r="L65" t="inlineStr">
        <is>
          <t>GBp</t>
        </is>
      </c>
      <c r="M65" t="n">
        <v>-11.89139532509951</v>
      </c>
      <c r="N65" t="n">
        <v>-6.085304224640065</v>
      </c>
      <c r="O65" t="n">
        <v>-5.756316180609423</v>
      </c>
      <c r="P65" t="n">
        <v>-17.25307196765264</v>
      </c>
      <c r="Q65" t="n">
        <v>0.1634062581715279</v>
      </c>
      <c r="R65" t="n">
        <v>-17.3880650393749</v>
      </c>
      <c r="S65" t="n">
        <v>2.268</v>
      </c>
      <c r="T65" t="n">
        <v>2.439</v>
      </c>
      <c r="U65" t="n">
        <v>-0.1710000000000003</v>
      </c>
      <c r="V65" t="n">
        <v>1725300000000</v>
      </c>
    </row>
    <row r="66">
      <c r="A66" t="inlineStr">
        <is>
          <t>Canada</t>
        </is>
      </c>
      <c r="B66" t="inlineStr">
        <is>
          <t>CAN</t>
        </is>
      </c>
      <c r="C66" t="inlineStr">
        <is>
          <t>CSCA.L</t>
        </is>
      </c>
      <c r="D66" t="n">
        <v>2019</v>
      </c>
      <c r="E66" t="n">
        <v>20.07651458916233</v>
      </c>
      <c r="F66" t="n">
        <v>1.908</v>
      </c>
      <c r="G66" t="n">
        <v>3.48387</v>
      </c>
      <c r="H66" t="n">
        <v>1.06793</v>
      </c>
      <c r="I66" t="n">
        <v>-22.54347422751993</v>
      </c>
      <c r="J66" t="inlineStr">
        <is>
          <t>Canada|CSCA.L|2019</t>
        </is>
      </c>
      <c r="K66" t="inlineStr">
        <is>
          <t>Canada|2019</t>
        </is>
      </c>
      <c r="L66" t="inlineStr">
        <is>
          <t>GBp</t>
        </is>
      </c>
      <c r="M66" t="n">
        <v>20.07651458916233</v>
      </c>
      <c r="N66" t="n">
        <v>2.94386429390634</v>
      </c>
      <c r="O66" t="n">
        <v>4.118031584084703</v>
      </c>
      <c r="P66" t="n">
        <v>23.61140422751993</v>
      </c>
      <c r="Q66" t="n">
        <v>-2.334604727211431</v>
      </c>
      <c r="R66" t="n">
        <v>26.56622530658041</v>
      </c>
      <c r="S66" t="n">
        <v>1.949</v>
      </c>
      <c r="T66" t="n">
        <v>1.813</v>
      </c>
      <c r="U66" t="n">
        <v>0.1360000000000001</v>
      </c>
      <c r="V66" t="n">
        <v>1743725000000</v>
      </c>
    </row>
    <row r="67">
      <c r="A67" t="inlineStr">
        <is>
          <t>Canada</t>
        </is>
      </c>
      <c r="B67" t="inlineStr">
        <is>
          <t>CAN</t>
        </is>
      </c>
      <c r="C67" t="inlineStr">
        <is>
          <t>CSCA.L</t>
        </is>
      </c>
      <c r="D67" t="n">
        <v>2020</v>
      </c>
      <c r="E67" t="n">
        <v>1.681545510367966</v>
      </c>
      <c r="F67" t="n">
        <v>-5.038</v>
      </c>
      <c r="G67" t="n">
        <v>-4.02133</v>
      </c>
      <c r="H67" t="n">
        <v>-5.048961</v>
      </c>
      <c r="I67" t="n">
        <v>-9.552371096150429</v>
      </c>
      <c r="J67" t="inlineStr">
        <is>
          <t>Canada|CSCA.L|2020</t>
        </is>
      </c>
      <c r="K67" t="inlineStr">
        <is>
          <t>Canada|2020</t>
        </is>
      </c>
      <c r="L67" t="inlineStr">
        <is>
          <t>GBp</t>
        </is>
      </c>
      <c r="M67" t="n">
        <v>1.681545510367966</v>
      </c>
      <c r="N67" t="n">
        <v>2.775198362317122</v>
      </c>
      <c r="O67" t="n">
        <v>3.094474617937659</v>
      </c>
      <c r="P67" t="n">
        <v>4.503410096150429</v>
      </c>
      <c r="Q67" t="n">
        <v>-1.070687271656123</v>
      </c>
      <c r="R67" t="n">
        <v>5.634424433042207</v>
      </c>
      <c r="S67" t="n">
        <v>0.717</v>
      </c>
      <c r="T67" t="n">
        <v>1.253</v>
      </c>
      <c r="U67" t="n">
        <v>-0.5359999999999999</v>
      </c>
      <c r="V67" t="n">
        <v>1655685000000</v>
      </c>
    </row>
    <row r="68">
      <c r="A68" t="inlineStr">
        <is>
          <t>Canada</t>
        </is>
      </c>
      <c r="B68" t="inlineStr">
        <is>
          <t>CAN</t>
        </is>
      </c>
      <c r="C68" t="inlineStr">
        <is>
          <t>CSCA.L</t>
        </is>
      </c>
      <c r="D68" t="n">
        <v>2021</v>
      </c>
      <c r="E68" t="n">
        <v>25.51308779244847</v>
      </c>
      <c r="F68" t="n">
        <v>5.951</v>
      </c>
      <c r="G68" t="n">
        <v>14.198927</v>
      </c>
      <c r="H68" t="n">
        <v>22.147752</v>
      </c>
      <c r="I68" t="n">
        <v>-1.762256886363609</v>
      </c>
      <c r="J68" t="inlineStr">
        <is>
          <t>Canada|CSCA.L|2021</t>
        </is>
      </c>
      <c r="K68" t="inlineStr">
        <is>
          <t>Canada|2021</t>
        </is>
      </c>
      <c r="L68" t="inlineStr">
        <is>
          <t>GBp</t>
        </is>
      </c>
      <c r="M68" t="n">
        <v>25.51308779244847</v>
      </c>
      <c r="N68" t="n">
        <v>-1.277220514832489</v>
      </c>
      <c r="O68" t="n">
        <v>-1.102343119945948</v>
      </c>
      <c r="P68" t="n">
        <v>23.91000888636361</v>
      </c>
      <c r="Q68" t="n">
        <v>6.960507525561854</v>
      </c>
      <c r="R68" t="n">
        <v>15.84650424059655</v>
      </c>
      <c r="S68" t="n">
        <v>3.395</v>
      </c>
      <c r="T68" t="n">
        <v>4.679</v>
      </c>
      <c r="U68" t="n">
        <v>-1.284</v>
      </c>
      <c r="V68" t="n">
        <v>2022382000000</v>
      </c>
    </row>
    <row r="69">
      <c r="A69" t="inlineStr">
        <is>
          <t>Canada</t>
        </is>
      </c>
      <c r="B69" t="inlineStr">
        <is>
          <t>CAN</t>
        </is>
      </c>
      <c r="C69" t="inlineStr">
        <is>
          <t>CSCA.L</t>
        </is>
      </c>
      <c r="D69" t="n">
        <v>2022</v>
      </c>
      <c r="E69" t="n">
        <v>-1.89243027888446</v>
      </c>
      <c r="F69" t="n">
        <v>4.189</v>
      </c>
      <c r="G69" t="n">
        <v>12.426838</v>
      </c>
      <c r="H69" t="n">
        <v>8.30847</v>
      </c>
      <c r="I69" t="n">
        <v>20.83678800476654</v>
      </c>
      <c r="J69" t="inlineStr">
        <is>
          <t>Canada|CSCA.L|2022</t>
        </is>
      </c>
      <c r="K69" t="inlineStr">
        <is>
          <t>Canada|2022</t>
        </is>
      </c>
      <c r="L69" t="inlineStr">
        <is>
          <t>GBp</t>
        </is>
      </c>
      <c r="M69" t="n">
        <v>-1.89243027888446</v>
      </c>
      <c r="N69" t="n">
        <v>-10.84104698150823</v>
      </c>
      <c r="O69" t="n">
        <v>-10.36772851390696</v>
      </c>
      <c r="P69" t="n">
        <v>-12.52831800476654</v>
      </c>
      <c r="Q69" t="n">
        <v>-3.663154062044627</v>
      </c>
      <c r="R69" t="n">
        <v>-9.202256785977214</v>
      </c>
      <c r="S69" t="n">
        <v>6.779</v>
      </c>
      <c r="T69" t="n">
        <v>7.993</v>
      </c>
      <c r="U69" t="n">
        <v>-1.214</v>
      </c>
      <c r="V69" t="n">
        <v>2190411000000</v>
      </c>
    </row>
    <row r="70">
      <c r="A70" t="inlineStr">
        <is>
          <t>Canada</t>
        </is>
      </c>
      <c r="B70" t="inlineStr">
        <is>
          <t>CAN</t>
        </is>
      </c>
      <c r="C70" t="inlineStr">
        <is>
          <t>CSCA.L</t>
        </is>
      </c>
      <c r="D70" t="n">
        <v>2023</v>
      </c>
      <c r="E70" t="n">
        <v>7.801685224194976</v>
      </c>
      <c r="F70" t="n">
        <v>1.529</v>
      </c>
      <c r="G70" t="n">
        <v>2.906761</v>
      </c>
      <c r="H70" t="n">
        <v>-0.779351</v>
      </c>
      <c r="I70" t="n">
        <v>-14.03906862681921</v>
      </c>
      <c r="J70" t="inlineStr">
        <is>
          <t>Canada|CSCA.L|2023</t>
        </is>
      </c>
      <c r="K70" t="inlineStr">
        <is>
          <t>Canada|2023</t>
        </is>
      </c>
      <c r="L70" t="inlineStr">
        <is>
          <t>GBp</t>
        </is>
      </c>
      <c r="M70" t="n">
        <v>7.801685224194976</v>
      </c>
      <c r="N70" t="n">
        <v>5.06303068571996</v>
      </c>
      <c r="O70" t="n">
        <v>5.030130998783355</v>
      </c>
      <c r="P70" t="n">
        <v>13.25971762681921</v>
      </c>
      <c r="Q70" t="n">
        <v>-3.581992098073994</v>
      </c>
      <c r="R70" t="n">
        <v>17.46739026388533</v>
      </c>
      <c r="S70" t="n">
        <v>3.885</v>
      </c>
      <c r="T70" t="n">
        <v>4.128</v>
      </c>
      <c r="U70" t="n">
        <v>-0.2430000000000003</v>
      </c>
      <c r="V70" t="n">
        <v>2173340000000</v>
      </c>
    </row>
    <row r="71">
      <c r="A71" t="inlineStr">
        <is>
          <t>Canada</t>
        </is>
      </c>
      <c r="B71" t="inlineStr">
        <is>
          <t>CAN</t>
        </is>
      </c>
      <c r="C71" t="inlineStr">
        <is>
          <t>CSCA.L</t>
        </is>
      </c>
      <c r="D71" t="n">
        <v>2024</v>
      </c>
      <c r="E71" t="n">
        <v>13.72084928646016</v>
      </c>
      <c r="F71" t="n">
        <v>1.555</v>
      </c>
      <c r="G71" t="n">
        <v>4.722051</v>
      </c>
      <c r="H71" t="n">
        <v>3.234515</v>
      </c>
      <c r="I71" t="n">
        <v>-8.870300150533255</v>
      </c>
      <c r="J71" t="inlineStr">
        <is>
          <t>Canada|CSCA.L|2024</t>
        </is>
      </c>
      <c r="K71" t="inlineStr">
        <is>
          <t>Canada|2024</t>
        </is>
      </c>
      <c r="L71" t="inlineStr">
        <is>
          <t>GBp</t>
        </is>
      </c>
      <c r="M71" t="n">
        <v>13.72084928646016</v>
      </c>
      <c r="N71" t="n">
        <v>-1.421053523664917</v>
      </c>
      <c r="O71" t="n">
        <v>-1.655539060617606</v>
      </c>
      <c r="P71" t="n">
        <v>12.10481515053326</v>
      </c>
      <c r="Q71" t="n">
        <v>-1.420461324476141</v>
      </c>
      <c r="R71" t="n">
        <v>13.72016612851887</v>
      </c>
      <c r="S71" t="n">
        <v>2.398</v>
      </c>
      <c r="T71" t="n">
        <v>2.952</v>
      </c>
      <c r="U71" t="n">
        <v>-0.5539999999999998</v>
      </c>
      <c r="V71" t="n">
        <v>2243637000000</v>
      </c>
    </row>
    <row r="72">
      <c r="A72" t="inlineStr">
        <is>
          <t>Canada</t>
        </is>
      </c>
      <c r="B72" t="inlineStr">
        <is>
          <t>CAN</t>
        </is>
      </c>
      <c r="C72" t="inlineStr">
        <is>
          <t>CSCA.L</t>
        </is>
      </c>
      <c r="D72" t="n">
        <v>2025</v>
      </c>
      <c r="E72" t="n">
        <v>24.92570021914682</v>
      </c>
      <c r="F72" t="n">
        <v>1.153</v>
      </c>
      <c r="G72" t="n">
        <v>3.577136</v>
      </c>
      <c r="H72" t="n">
        <v>1.781126</v>
      </c>
      <c r="I72" t="n">
        <v>-32.60386023616874</v>
      </c>
      <c r="J72" t="inlineStr">
        <is>
          <t>Canada|CSCA.L|2025</t>
        </is>
      </c>
      <c r="K72" t="inlineStr">
        <is>
          <t>Canada|2025</t>
        </is>
      </c>
      <c r="L72" t="inlineStr">
        <is>
          <t>GBp</t>
        </is>
      </c>
      <c r="M72" t="n">
        <v>24.92570021914682</v>
      </c>
      <c r="N72" t="n">
        <v>7.571929555270285</v>
      </c>
      <c r="O72" t="n">
        <v>7.623377354227179</v>
      </c>
      <c r="P72" t="n">
        <v>34.38498623616874</v>
      </c>
      <c r="Q72" t="n">
        <v>-1.733983311730536</v>
      </c>
      <c r="R72" t="n">
        <v>36.75631796746168</v>
      </c>
      <c r="S72" t="n">
        <v>1.963</v>
      </c>
      <c r="T72" t="n">
        <v>2.715</v>
      </c>
      <c r="U72" t="n">
        <v>-0.7519999999999998</v>
      </c>
      <c r="V72" t="n">
        <v>2283599000000</v>
      </c>
    </row>
    <row r="73">
      <c r="A73" t="inlineStr">
        <is>
          <t>Canada</t>
        </is>
      </c>
      <c r="B73" t="inlineStr">
        <is>
          <t>CAN</t>
        </is>
      </c>
      <c r="C73" t="inlineStr">
        <is>
          <t>CSCA.L</t>
        </is>
      </c>
      <c r="D73" t="n">
        <v>2026</v>
      </c>
      <c r="E73" t="n">
        <v>4.970491486068118</v>
      </c>
      <c r="F73" t="n">
        <v>1.541</v>
      </c>
      <c r="G73" t="n">
        <v>4.015086</v>
      </c>
      <c r="H73" t="n">
        <v>6.009724</v>
      </c>
      <c r="I73" t="n">
        <v>2.761044703747523</v>
      </c>
      <c r="J73" t="inlineStr">
        <is>
          <t>Canada|CSCA.L|2026</t>
        </is>
      </c>
      <c r="K73" t="inlineStr">
        <is>
          <t>Canada|2026</t>
        </is>
      </c>
      <c r="L73" t="inlineStr">
        <is>
          <t>GBp</t>
        </is>
      </c>
      <c r="M73" t="n">
        <v>4.970491486068118</v>
      </c>
      <c r="N73" t="n">
        <v>-1.640282107323621</v>
      </c>
      <c r="O73" t="inlineStr"/>
      <c r="P73" t="n">
        <v>3.248679296252477</v>
      </c>
      <c r="Q73" t="n">
        <v>1.917642917461637</v>
      </c>
      <c r="R73" t="n">
        <v>1.305992113523247</v>
      </c>
      <c r="S73" t="n">
        <v>2.03</v>
      </c>
      <c r="T73" t="n">
        <v>2.435</v>
      </c>
      <c r="U73" t="n">
        <v>-0.4050000000000002</v>
      </c>
      <c r="V73" t="n">
        <v>2420837000000</v>
      </c>
    </row>
    <row r="74">
      <c r="A74" t="inlineStr">
        <is>
          <t>Canada</t>
        </is>
      </c>
      <c r="B74" t="inlineStr">
        <is>
          <t>CAN</t>
        </is>
      </c>
      <c r="C74" t="inlineStr">
        <is>
          <t>CSCA.L</t>
        </is>
      </c>
      <c r="D74" t="n">
        <v>2027</v>
      </c>
      <c r="E74" t="inlineStr"/>
      <c r="F74" t="n">
        <v>1.88</v>
      </c>
      <c r="G74" t="n">
        <v>4.214841</v>
      </c>
      <c r="H74" t="n">
        <v>4.909211</v>
      </c>
      <c r="I74" t="inlineStr"/>
      <c r="J74" t="inlineStr">
        <is>
          <t>Canada|CSCA.L|2027</t>
        </is>
      </c>
      <c r="K74" t="inlineStr">
        <is>
          <t>Canada|2027</t>
        </is>
      </c>
      <c r="L74" t="inlineStr">
        <is>
          <t>GBp</t>
        </is>
      </c>
      <c r="M74" t="inlineStr"/>
      <c r="N74" t="inlineStr"/>
      <c r="O74" t="inlineStr"/>
      <c r="P74" t="inlineStr"/>
      <c r="Q74" t="n">
        <v>0.6662870832367052</v>
      </c>
      <c r="R74" t="inlineStr"/>
      <c r="S74" t="n">
        <v>2.09</v>
      </c>
      <c r="T74" t="n">
        <v>2.185</v>
      </c>
      <c r="U74" t="n">
        <v>-0.0950000000000002</v>
      </c>
      <c r="V74" t="n">
        <v>2539681000000</v>
      </c>
    </row>
    <row r="75">
      <c r="A75" t="inlineStr">
        <is>
          <t>Canada</t>
        </is>
      </c>
      <c r="B75" t="inlineStr">
        <is>
          <t>CAN</t>
        </is>
      </c>
      <c r="C75" t="inlineStr">
        <is>
          <t>CSCA.L</t>
        </is>
      </c>
      <c r="D75" t="n">
        <v>2028</v>
      </c>
      <c r="E75" t="inlineStr"/>
      <c r="F75" t="n">
        <v>1.685</v>
      </c>
      <c r="G75" t="n">
        <v>3.77034</v>
      </c>
      <c r="H75" t="n">
        <v>4.453473</v>
      </c>
      <c r="I75" t="inlineStr"/>
      <c r="J75" t="inlineStr">
        <is>
          <t>Canada|CSCA.L|2028</t>
        </is>
      </c>
      <c r="K75" t="inlineStr">
        <is>
          <t>Canada|2028</t>
        </is>
      </c>
      <c r="L75" t="inlineStr">
        <is>
          <t>GBp</t>
        </is>
      </c>
      <c r="M75" t="inlineStr"/>
      <c r="N75" t="inlineStr"/>
      <c r="O75" t="inlineStr"/>
      <c r="P75" t="inlineStr"/>
      <c r="Q75" t="n">
        <v>0.6583123600356178</v>
      </c>
      <c r="R75" t="inlineStr"/>
      <c r="S75" t="n">
        <v>1.966</v>
      </c>
      <c r="T75" t="n">
        <v>2.206</v>
      </c>
      <c r="U75" t="n">
        <v>-0.24</v>
      </c>
      <c r="V75" t="n">
        <v>2652785000000</v>
      </c>
    </row>
    <row r="76">
      <c r="A76" t="inlineStr">
        <is>
          <t>Canada</t>
        </is>
      </c>
      <c r="B76" t="inlineStr">
        <is>
          <t>CAN</t>
        </is>
      </c>
      <c r="C76" t="inlineStr">
        <is>
          <t>CSCA.L</t>
        </is>
      </c>
      <c r="D76" t="n">
        <v>2029</v>
      </c>
      <c r="E76" t="inlineStr"/>
      <c r="F76" t="n">
        <v>1.731</v>
      </c>
      <c r="G76" t="n">
        <v>3.803984</v>
      </c>
      <c r="H76" t="n">
        <v>4.493278</v>
      </c>
      <c r="I76" t="inlineStr"/>
      <c r="J76" t="inlineStr">
        <is>
          <t>Canada|CSCA.L|2029</t>
        </is>
      </c>
      <c r="K76" t="inlineStr">
        <is>
          <t>Canada|2029</t>
        </is>
      </c>
      <c r="L76" t="inlineStr">
        <is>
          <t>GBp</t>
        </is>
      </c>
      <c r="M76" t="inlineStr"/>
      <c r="N76" t="inlineStr"/>
      <c r="O76" t="inlineStr"/>
      <c r="P76" t="inlineStr"/>
      <c r="Q76" t="n">
        <v>0.6640338752284425</v>
      </c>
      <c r="R76" t="inlineStr"/>
      <c r="S76" t="n">
        <v>1.945</v>
      </c>
      <c r="T76" t="n">
        <v>2.203</v>
      </c>
      <c r="U76" t="n">
        <v>-0.2579999999999998</v>
      </c>
      <c r="V76" t="n">
        <v>2771982000000</v>
      </c>
    </row>
    <row r="77">
      <c r="A77" t="inlineStr">
        <is>
          <t>China</t>
        </is>
      </c>
      <c r="B77" t="inlineStr">
        <is>
          <t>CHN</t>
        </is>
      </c>
      <c r="C77" t="inlineStr">
        <is>
          <t>IASH.L</t>
        </is>
      </c>
      <c r="D77" t="n">
        <v>2015</v>
      </c>
      <c r="E77" t="n">
        <v>-45.52325463110162</v>
      </c>
      <c r="F77" t="n">
        <v>7.018</v>
      </c>
      <c r="G77" t="inlineStr"/>
      <c r="H77" t="inlineStr"/>
      <c r="I77" t="inlineStr"/>
      <c r="J77" t="inlineStr">
        <is>
          <t>China|IASH.L|2015</t>
        </is>
      </c>
      <c r="K77" t="inlineStr">
        <is>
          <t>China|2015</t>
        </is>
      </c>
      <c r="L77" t="inlineStr">
        <is>
          <t>GBp</t>
        </is>
      </c>
      <c r="M77" t="n">
        <v>-45.52325463110162</v>
      </c>
      <c r="N77" t="n">
        <v>-4.888855870697362</v>
      </c>
      <c r="O77" t="n">
        <v>-5.407515212426162</v>
      </c>
      <c r="P77" t="n">
        <v>-48.18654419523386</v>
      </c>
      <c r="Q77" t="inlineStr"/>
      <c r="R77" t="inlineStr"/>
      <c r="S77" t="n">
        <v>1.462</v>
      </c>
      <c r="T77" t="n">
        <v>0.121</v>
      </c>
      <c r="U77" t="n">
        <v>1.341</v>
      </c>
      <c r="V77" t="n">
        <v>11307226000000</v>
      </c>
    </row>
    <row r="78">
      <c r="A78" t="inlineStr">
        <is>
          <t>China</t>
        </is>
      </c>
      <c r="B78" t="inlineStr">
        <is>
          <t>CHN</t>
        </is>
      </c>
      <c r="C78" t="inlineStr">
        <is>
          <t>IASH.L</t>
        </is>
      </c>
      <c r="D78" t="n">
        <v>2016</v>
      </c>
      <c r="E78" t="n">
        <v>7.19257759648706</v>
      </c>
      <c r="F78" t="n">
        <v>6.776</v>
      </c>
      <c r="G78" t="n">
        <v>8.025846</v>
      </c>
      <c r="H78" t="n">
        <v>1.245018</v>
      </c>
      <c r="I78" t="n">
        <v>11.87396600650452</v>
      </c>
      <c r="J78" t="inlineStr">
        <is>
          <t>China|IASH.L|2016</t>
        </is>
      </c>
      <c r="K78" t="inlineStr">
        <is>
          <t>China|2016</t>
        </is>
      </c>
      <c r="L78" t="inlineStr">
        <is>
          <t>GBp</t>
        </is>
      </c>
      <c r="M78" t="n">
        <v>7.19257759648706</v>
      </c>
      <c r="N78" t="n">
        <v>-16.62570861023462</v>
      </c>
      <c r="O78" t="n">
        <v>-16.21181156312136</v>
      </c>
      <c r="P78" t="n">
        <v>-10.62894800650452</v>
      </c>
      <c r="Q78" t="n">
        <v>-6.277042672449451</v>
      </c>
      <c r="R78" t="n">
        <v>-4.64337176092906</v>
      </c>
      <c r="S78" t="n">
        <v>2.004</v>
      </c>
      <c r="T78" t="n">
        <v>1.267</v>
      </c>
      <c r="U78" t="n">
        <v>0.7370000000000001</v>
      </c>
      <c r="V78" t="n">
        <v>11448003000000</v>
      </c>
    </row>
    <row r="79">
      <c r="A79" t="inlineStr">
        <is>
          <t>China</t>
        </is>
      </c>
      <c r="B79" t="inlineStr">
        <is>
          <t>CHN</t>
        </is>
      </c>
      <c r="C79" t="inlineStr">
        <is>
          <t>IASH.L</t>
        </is>
      </c>
      <c r="D79" t="n">
        <v>2017</v>
      </c>
      <c r="E79" t="n">
        <v>16.93833654333832</v>
      </c>
      <c r="F79" t="n">
        <v>6.891</v>
      </c>
      <c r="G79" t="n">
        <v>11.094741</v>
      </c>
      <c r="H79" t="n">
        <v>9.218166999999999</v>
      </c>
      <c r="I79" t="n">
        <v>-18.05914168157767</v>
      </c>
      <c r="J79" t="inlineStr">
        <is>
          <t>China|IASH.L|2017</t>
        </is>
      </c>
      <c r="K79" t="inlineStr">
        <is>
          <t>China|2017</t>
        </is>
      </c>
      <c r="L79" t="inlineStr">
        <is>
          <t>GBp</t>
        </is>
      </c>
      <c r="M79" t="n">
        <v>16.93833654333832</v>
      </c>
      <c r="N79" t="n">
        <v>8.841388071573641</v>
      </c>
      <c r="O79" t="n">
        <v>9.450435944365921</v>
      </c>
      <c r="P79" t="n">
        <v>27.27730868157767</v>
      </c>
      <c r="Q79" t="n">
        <v>-1.689165814437643</v>
      </c>
      <c r="R79" t="n">
        <v>29.46417323785586</v>
      </c>
      <c r="S79" t="n">
        <v>1.569</v>
      </c>
      <c r="T79" t="n">
        <v>2.131</v>
      </c>
      <c r="U79" t="n">
        <v>-0.5619999999999998</v>
      </c>
      <c r="V79" t="n">
        <v>12503299000000</v>
      </c>
    </row>
    <row r="80">
      <c r="A80" t="inlineStr">
        <is>
          <t>China</t>
        </is>
      </c>
      <c r="B80" t="inlineStr">
        <is>
          <t>CHN</t>
        </is>
      </c>
      <c r="C80" t="inlineStr">
        <is>
          <t>IASH.L</t>
        </is>
      </c>
      <c r="D80" t="n">
        <v>2018</v>
      </c>
      <c r="E80" t="n">
        <v>-23.35946430862727</v>
      </c>
      <c r="F80" t="n">
        <v>6.759</v>
      </c>
      <c r="G80" t="n">
        <v>10.474274</v>
      </c>
      <c r="H80" t="n">
        <v>12.857919</v>
      </c>
      <c r="I80" t="n">
        <v>40.88119306484116</v>
      </c>
      <c r="J80" t="inlineStr">
        <is>
          <t>China|IASH.L|2018</t>
        </is>
      </c>
      <c r="K80" t="inlineStr">
        <is>
          <t>China|2018</t>
        </is>
      </c>
      <c r="L80" t="inlineStr">
        <is>
          <t>GBp</t>
        </is>
      </c>
      <c r="M80" t="n">
        <v>-23.35946430862727</v>
      </c>
      <c r="N80" t="n">
        <v>-6.085304224640065</v>
      </c>
      <c r="O80" t="n">
        <v>-5.756316180609423</v>
      </c>
      <c r="P80" t="n">
        <v>-28.02327406484115</v>
      </c>
      <c r="Q80" t="n">
        <v>2.157646889343545</v>
      </c>
      <c r="R80" t="n">
        <v>-29.54347704080974</v>
      </c>
      <c r="S80" t="n">
        <v>2.091</v>
      </c>
      <c r="T80" t="n">
        <v>2.439</v>
      </c>
      <c r="U80" t="n">
        <v>-0.3479999999999999</v>
      </c>
      <c r="V80" t="n">
        <v>14110963000000</v>
      </c>
    </row>
    <row r="81">
      <c r="A81" t="inlineStr">
        <is>
          <t>China</t>
        </is>
      </c>
      <c r="B81" t="inlineStr">
        <is>
          <t>CHN</t>
        </is>
      </c>
      <c r="C81" t="inlineStr">
        <is>
          <t>IASH.L</t>
        </is>
      </c>
      <c r="D81" t="n">
        <v>2019</v>
      </c>
      <c r="E81" t="n">
        <v>30.09538094455615</v>
      </c>
      <c r="F81" t="n">
        <v>6.065</v>
      </c>
      <c r="G81" t="n">
        <v>7.834508</v>
      </c>
      <c r="H81" t="n">
        <v>3.270131</v>
      </c>
      <c r="I81" t="n">
        <v>-30.65508141220437</v>
      </c>
      <c r="J81" t="inlineStr">
        <is>
          <t>China|IASH.L|2019</t>
        </is>
      </c>
      <c r="K81" t="inlineStr">
        <is>
          <t>China|2019</t>
        </is>
      </c>
      <c r="L81" t="inlineStr">
        <is>
          <t>GBp</t>
        </is>
      </c>
      <c r="M81" t="n">
        <v>30.09538094455615</v>
      </c>
      <c r="N81" t="n">
        <v>2.94386429390634</v>
      </c>
      <c r="O81" t="n">
        <v>4.118031584084703</v>
      </c>
      <c r="P81" t="n">
        <v>33.92521241220437</v>
      </c>
      <c r="Q81" t="n">
        <v>-4.232760683976955</v>
      </c>
      <c r="R81" t="n">
        <v>39.84449522478511</v>
      </c>
      <c r="S81" t="n">
        <v>2.889</v>
      </c>
      <c r="T81" t="n">
        <v>1.813</v>
      </c>
      <c r="U81" t="n">
        <v>1.076</v>
      </c>
      <c r="V81" t="n">
        <v>14572410000000</v>
      </c>
    </row>
    <row r="82">
      <c r="A82" t="inlineStr">
        <is>
          <t>China</t>
        </is>
      </c>
      <c r="B82" t="inlineStr">
        <is>
          <t>CHN</t>
        </is>
      </c>
      <c r="C82" t="inlineStr">
        <is>
          <t>IASH.L</t>
        </is>
      </c>
      <c r="D82" t="n">
        <v>2020</v>
      </c>
      <c r="E82" t="n">
        <v>34.60637862908649</v>
      </c>
      <c r="F82" t="n">
        <v>2.337</v>
      </c>
      <c r="G82" t="n">
        <v>3.528489</v>
      </c>
      <c r="H82" t="n">
        <v>3.643509</v>
      </c>
      <c r="I82" t="n">
        <v>-34.69846364437529</v>
      </c>
      <c r="J82" t="inlineStr">
        <is>
          <t>China|IASH.L|2020</t>
        </is>
      </c>
      <c r="K82" t="inlineStr">
        <is>
          <t>China|2020</t>
        </is>
      </c>
      <c r="L82" t="inlineStr">
        <is>
          <t>GBp</t>
        </is>
      </c>
      <c r="M82" t="n">
        <v>34.60637862908649</v>
      </c>
      <c r="N82" t="n">
        <v>2.775198362317122</v>
      </c>
      <c r="O82" t="n">
        <v>3.094474617937659</v>
      </c>
      <c r="P82" t="n">
        <v>38.34197264437529</v>
      </c>
      <c r="Q82" t="n">
        <v>0.1110997037601757</v>
      </c>
      <c r="R82" t="n">
        <v>38.18844569058226</v>
      </c>
      <c r="S82" t="n">
        <v>2.506</v>
      </c>
      <c r="T82" t="n">
        <v>1.253</v>
      </c>
      <c r="U82" t="n">
        <v>1.253</v>
      </c>
      <c r="V82" t="n">
        <v>15103357000000</v>
      </c>
    </row>
    <row r="83">
      <c r="A83" t="inlineStr">
        <is>
          <t>China</t>
        </is>
      </c>
      <c r="B83" t="inlineStr">
        <is>
          <t>CHN</t>
        </is>
      </c>
      <c r="C83" t="inlineStr">
        <is>
          <t>IASH.L</t>
        </is>
      </c>
      <c r="D83" t="n">
        <v>2021</v>
      </c>
      <c r="E83" t="n">
        <v>1.574716041712132</v>
      </c>
      <c r="F83" t="n">
        <v>8.555999999999999</v>
      </c>
      <c r="G83" t="n">
        <v>12.556051</v>
      </c>
      <c r="H83" t="n">
        <v>20.442118</v>
      </c>
      <c r="I83" t="n">
        <v>20.16473506945547</v>
      </c>
      <c r="J83" t="inlineStr">
        <is>
          <t>China|IASH.L|2021</t>
        </is>
      </c>
      <c r="K83" t="inlineStr">
        <is>
          <t>China|2021</t>
        </is>
      </c>
      <c r="L83" t="inlineStr">
        <is>
          <t>GBp</t>
        </is>
      </c>
      <c r="M83" t="n">
        <v>1.574716041712132</v>
      </c>
      <c r="N83" t="n">
        <v>-1.277220514832489</v>
      </c>
      <c r="O83" t="n">
        <v>-1.102343119945948</v>
      </c>
      <c r="P83" t="n">
        <v>0.2773829305445341</v>
      </c>
      <c r="Q83" t="n">
        <v>7.006346309586031</v>
      </c>
      <c r="R83" t="n">
        <v>-6.288377849640392</v>
      </c>
      <c r="S83" t="n">
        <v>0.918</v>
      </c>
      <c r="T83" t="n">
        <v>4.679</v>
      </c>
      <c r="U83" t="n">
        <v>-3.761</v>
      </c>
      <c r="V83" t="n">
        <v>18190803000000</v>
      </c>
    </row>
    <row r="84">
      <c r="A84" t="inlineStr">
        <is>
          <t>China</t>
        </is>
      </c>
      <c r="B84" t="inlineStr">
        <is>
          <t>CHN</t>
        </is>
      </c>
      <c r="C84" t="inlineStr">
        <is>
          <t>IASH.L</t>
        </is>
      </c>
      <c r="D84" t="n">
        <v>2022</v>
      </c>
      <c r="E84" t="n">
        <v>-16.15522663493669</v>
      </c>
      <c r="F84" t="n">
        <v>3.112</v>
      </c>
      <c r="G84" t="n">
        <v>5.140449</v>
      </c>
      <c r="H84" t="n">
        <v>0.643254</v>
      </c>
      <c r="I84" t="n">
        <v>25.8881319069823</v>
      </c>
      <c r="J84" t="inlineStr">
        <is>
          <t>China|IASH.L|2022</t>
        </is>
      </c>
      <c r="K84" t="inlineStr">
        <is>
          <t>China|2022</t>
        </is>
      </c>
      <c r="L84" t="inlineStr">
        <is>
          <t>GBp</t>
        </is>
      </c>
      <c r="M84" t="n">
        <v>-16.15522663493669</v>
      </c>
      <c r="N84" t="n">
        <v>-10.84104698150823</v>
      </c>
      <c r="O84" t="n">
        <v>-10.36772851390696</v>
      </c>
      <c r="P84" t="n">
        <v>-25.2448779069823</v>
      </c>
      <c r="Q84" t="n">
        <v>-4.277321372948828</v>
      </c>
      <c r="R84" t="n">
        <v>-21.90448160746313</v>
      </c>
      <c r="S84" t="n">
        <v>1.975</v>
      </c>
      <c r="T84" t="n">
        <v>7.993</v>
      </c>
      <c r="U84" t="n">
        <v>-6.018000000000001</v>
      </c>
      <c r="V84" t="n">
        <v>18307816000000</v>
      </c>
    </row>
    <row r="85">
      <c r="A85" t="inlineStr">
        <is>
          <t>China</t>
        </is>
      </c>
      <c r="B85" t="inlineStr">
        <is>
          <t>CHN</t>
        </is>
      </c>
      <c r="C85" t="inlineStr">
        <is>
          <t>IASH.L</t>
        </is>
      </c>
      <c r="D85" t="n">
        <v>2023</v>
      </c>
      <c r="E85" t="n">
        <v>-19.74632994062772</v>
      </c>
      <c r="F85" t="n">
        <v>5.377</v>
      </c>
      <c r="G85" t="n">
        <v>4.934187</v>
      </c>
      <c r="H85" t="n">
        <v>-0.204639</v>
      </c>
      <c r="I85" t="n">
        <v>15.47842299910524</v>
      </c>
      <c r="J85" t="inlineStr">
        <is>
          <t>China|IASH.L|2023</t>
        </is>
      </c>
      <c r="K85" t="inlineStr">
        <is>
          <t>China|2023</t>
        </is>
      </c>
      <c r="L85" t="inlineStr">
        <is>
          <t>GBp</t>
        </is>
      </c>
      <c r="M85" t="n">
        <v>-19.74632994062772</v>
      </c>
      <c r="N85" t="n">
        <v>5.06303068571996</v>
      </c>
      <c r="O85" t="n">
        <v>5.030130998783355</v>
      </c>
      <c r="P85" t="n">
        <v>-15.68306199910524</v>
      </c>
      <c r="Q85" t="n">
        <v>-4.897190306256305</v>
      </c>
      <c r="R85" t="n">
        <v>-11.34127553915842</v>
      </c>
      <c r="S85" t="n">
        <v>0.228</v>
      </c>
      <c r="T85" t="n">
        <v>4.128</v>
      </c>
      <c r="U85" t="n">
        <v>-3.9</v>
      </c>
      <c r="V85" t="n">
        <v>18270351000000</v>
      </c>
    </row>
    <row r="86">
      <c r="A86" t="inlineStr">
        <is>
          <t>China</t>
        </is>
      </c>
      <c r="B86" t="inlineStr">
        <is>
          <t>CHN</t>
        </is>
      </c>
      <c r="C86" t="inlineStr">
        <is>
          <t>IASH.L</t>
        </is>
      </c>
      <c r="D86" t="n">
        <v>2024</v>
      </c>
      <c r="E86" t="n">
        <v>13.75058122481656</v>
      </c>
      <c r="F86" t="n">
        <v>5.003</v>
      </c>
      <c r="G86" t="n">
        <v>4.244735</v>
      </c>
      <c r="H86" t="n">
        <v>2.623967</v>
      </c>
      <c r="I86" t="n">
        <v>-9.510157582131988</v>
      </c>
      <c r="J86" t="inlineStr">
        <is>
          <t>China|IASH.L|2024</t>
        </is>
      </c>
      <c r="K86" t="inlineStr">
        <is>
          <t>China|2024</t>
        </is>
      </c>
      <c r="L86" t="inlineStr">
        <is>
          <t>GBp</t>
        </is>
      </c>
      <c r="M86" t="n">
        <v>13.75058122481656</v>
      </c>
      <c r="N86" t="n">
        <v>-1.421053523664917</v>
      </c>
      <c r="O86" t="n">
        <v>-1.655539060617606</v>
      </c>
      <c r="P86" t="n">
        <v>12.13412458213199</v>
      </c>
      <c r="Q86" t="n">
        <v>-1.554771666578336</v>
      </c>
      <c r="R86" t="n">
        <v>13.90508862689388</v>
      </c>
      <c r="S86" t="n">
        <v>0.212</v>
      </c>
      <c r="T86" t="n">
        <v>2.952</v>
      </c>
      <c r="U86" t="n">
        <v>-2.74</v>
      </c>
      <c r="V86" t="n">
        <v>18749759000000</v>
      </c>
    </row>
    <row r="87">
      <c r="A87" t="inlineStr">
        <is>
          <t>China</t>
        </is>
      </c>
      <c r="B87" t="inlineStr">
        <is>
          <t>CHN</t>
        </is>
      </c>
      <c r="C87" t="inlineStr">
        <is>
          <t>IASH.L</t>
        </is>
      </c>
      <c r="D87" t="n">
        <v>2025</v>
      </c>
      <c r="E87" t="n">
        <v>19.49281886573942</v>
      </c>
      <c r="F87" t="n">
        <v>4.796</v>
      </c>
      <c r="G87" t="n">
        <v>3.644671</v>
      </c>
      <c r="H87" t="n">
        <v>3.460407</v>
      </c>
      <c r="I87" t="n">
        <v>-25.08032393385992</v>
      </c>
      <c r="J87" t="inlineStr">
        <is>
          <t>China|IASH.L|2025</t>
        </is>
      </c>
      <c r="K87" t="inlineStr">
        <is>
          <t>China|2025</t>
        </is>
      </c>
      <c r="L87" t="inlineStr">
        <is>
          <t>GBp</t>
        </is>
      </c>
      <c r="M87" t="n">
        <v>19.49281886573942</v>
      </c>
      <c r="N87" t="n">
        <v>7.571929555270285</v>
      </c>
      <c r="O87" t="n">
        <v>7.623377354227179</v>
      </c>
      <c r="P87" t="n">
        <v>28.54073093385992</v>
      </c>
      <c r="Q87" t="n">
        <v>-0.1777842601448754</v>
      </c>
      <c r="R87" t="n">
        <v>28.76966312674083</v>
      </c>
      <c r="S87" t="n">
        <v>0.013</v>
      </c>
      <c r="T87" t="n">
        <v>2.715</v>
      </c>
      <c r="U87" t="n">
        <v>-2.702</v>
      </c>
      <c r="V87" t="n">
        <v>19398577000000</v>
      </c>
    </row>
    <row r="88">
      <c r="A88" t="inlineStr">
        <is>
          <t>China</t>
        </is>
      </c>
      <c r="B88" t="inlineStr">
        <is>
          <t>CHN</t>
        </is>
      </c>
      <c r="C88" t="inlineStr">
        <is>
          <t>IASH.L</t>
        </is>
      </c>
      <c r="D88" t="n">
        <v>2026</v>
      </c>
      <c r="E88" t="n">
        <v>2.519064846078423</v>
      </c>
      <c r="F88" t="n">
        <v>4.163</v>
      </c>
      <c r="G88" t="n">
        <v>4.659559</v>
      </c>
      <c r="H88" t="n">
        <v>6.454994</v>
      </c>
      <c r="I88" t="n">
        <v>5.617531031187292</v>
      </c>
      <c r="J88" t="inlineStr">
        <is>
          <t>China|IASH.L|2026</t>
        </is>
      </c>
      <c r="K88" t="inlineStr">
        <is>
          <t>China|2026</t>
        </is>
      </c>
      <c r="L88" t="inlineStr">
        <is>
          <t>GBp</t>
        </is>
      </c>
      <c r="M88" t="n">
        <v>2.519064846078423</v>
      </c>
      <c r="N88" t="n">
        <v>-1.640282107323621</v>
      </c>
      <c r="O88" t="inlineStr"/>
      <c r="P88" t="n">
        <v>0.8374629688127078</v>
      </c>
      <c r="Q88" t="n">
        <v>1.715499981285462</v>
      </c>
      <c r="R88" t="n">
        <v>-0.8632283306224786</v>
      </c>
      <c r="S88" t="n">
        <v>0.677</v>
      </c>
      <c r="T88" t="n">
        <v>2.435</v>
      </c>
      <c r="U88" t="n">
        <v>-1.758</v>
      </c>
      <c r="V88" t="n">
        <v>20650754000000</v>
      </c>
    </row>
    <row r="89">
      <c r="A89" t="inlineStr">
        <is>
          <t>China</t>
        </is>
      </c>
      <c r="B89" t="inlineStr">
        <is>
          <t>CHN</t>
        </is>
      </c>
      <c r="C89" t="inlineStr">
        <is>
          <t>IASH.L</t>
        </is>
      </c>
      <c r="D89" t="n">
        <v>2027</v>
      </c>
      <c r="E89" t="inlineStr"/>
      <c r="F89" t="n">
        <v>4.186</v>
      </c>
      <c r="G89" t="n">
        <v>5.704821</v>
      </c>
      <c r="H89" t="n">
        <v>6.613938</v>
      </c>
      <c r="I89" t="inlineStr"/>
      <c r="J89" t="inlineStr">
        <is>
          <t>China|IASH.L|2027</t>
        </is>
      </c>
      <c r="K89" t="inlineStr">
        <is>
          <t>China|2027</t>
        </is>
      </c>
      <c r="L89" t="inlineStr">
        <is>
          <t>GBp</t>
        </is>
      </c>
      <c r="M89" t="inlineStr"/>
      <c r="N89" t="inlineStr"/>
      <c r="O89" t="inlineStr"/>
      <c r="P89" t="inlineStr"/>
      <c r="Q89" t="n">
        <v>0.8600524898218387</v>
      </c>
      <c r="R89" t="inlineStr"/>
      <c r="S89" t="n">
        <v>1.418</v>
      </c>
      <c r="T89" t="n">
        <v>2.185</v>
      </c>
      <c r="U89" t="n">
        <v>-0.7670000000000001</v>
      </c>
      <c r="V89" t="n">
        <v>22016582000000</v>
      </c>
    </row>
    <row r="90">
      <c r="A90" t="inlineStr">
        <is>
          <t>China</t>
        </is>
      </c>
      <c r="B90" t="inlineStr">
        <is>
          <t>CHN</t>
        </is>
      </c>
      <c r="C90" t="inlineStr">
        <is>
          <t>IASH.L</t>
        </is>
      </c>
      <c r="D90" t="n">
        <v>2028</v>
      </c>
      <c r="E90" t="inlineStr"/>
      <c r="F90" t="n">
        <v>3.965</v>
      </c>
      <c r="G90" t="n">
        <v>5.940188</v>
      </c>
      <c r="H90" t="n">
        <v>6.516879</v>
      </c>
      <c r="I90" t="inlineStr"/>
      <c r="J90" t="inlineStr">
        <is>
          <t>China|IASH.L|2028</t>
        </is>
      </c>
      <c r="K90" t="inlineStr">
        <is>
          <t>China|2028</t>
        </is>
      </c>
      <c r="L90" t="inlineStr">
        <is>
          <t>GBp</t>
        </is>
      </c>
      <c r="M90" t="inlineStr"/>
      <c r="N90" t="inlineStr"/>
      <c r="O90" t="inlineStr"/>
      <c r="P90" t="inlineStr"/>
      <c r="Q90" t="n">
        <v>0.544355380995154</v>
      </c>
      <c r="R90" t="inlineStr"/>
      <c r="S90" t="n">
        <v>1.809</v>
      </c>
      <c r="T90" t="n">
        <v>2.206</v>
      </c>
      <c r="U90" t="n">
        <v>-0.397</v>
      </c>
      <c r="V90" t="n">
        <v>23451376000000</v>
      </c>
    </row>
    <row r="91">
      <c r="A91" t="inlineStr">
        <is>
          <t>China</t>
        </is>
      </c>
      <c r="B91" t="inlineStr">
        <is>
          <t>CHN</t>
        </is>
      </c>
      <c r="C91" t="inlineStr">
        <is>
          <t>IASH.L</t>
        </is>
      </c>
      <c r="D91" t="n">
        <v>2029</v>
      </c>
      <c r="E91" t="inlineStr"/>
      <c r="F91" t="n">
        <v>3.7</v>
      </c>
      <c r="G91" t="n">
        <v>5.691099</v>
      </c>
      <c r="H91" t="n">
        <v>5.974131</v>
      </c>
      <c r="I91" t="inlineStr"/>
      <c r="J91" t="inlineStr">
        <is>
          <t>China|IASH.L|2029</t>
        </is>
      </c>
      <c r="K91" t="inlineStr">
        <is>
          <t>China|2029</t>
        </is>
      </c>
      <c r="L91" t="inlineStr">
        <is>
          <t>GBp</t>
        </is>
      </c>
      <c r="M91" t="inlineStr"/>
      <c r="N91" t="inlineStr"/>
      <c r="O91" t="inlineStr"/>
      <c r="P91" t="inlineStr"/>
      <c r="Q91" t="n">
        <v>0.2677917713305833</v>
      </c>
      <c r="R91" t="inlineStr"/>
      <c r="S91" t="n">
        <v>1.878</v>
      </c>
      <c r="T91" t="n">
        <v>2.203</v>
      </c>
      <c r="U91" t="n">
        <v>-0.325</v>
      </c>
      <c r="V91" t="n">
        <v>24852392000000</v>
      </c>
    </row>
    <row r="92">
      <c r="A92" t="inlineStr">
        <is>
          <t>France</t>
        </is>
      </c>
      <c r="B92" t="inlineStr">
        <is>
          <t>FRA</t>
        </is>
      </c>
      <c r="C92" t="inlineStr">
        <is>
          <t>ISFR.L</t>
        </is>
      </c>
      <c r="D92" t="n">
        <v>2015</v>
      </c>
      <c r="E92" t="n">
        <v>5.851063829787218</v>
      </c>
      <c r="F92" t="n">
        <v>0.998</v>
      </c>
      <c r="G92" t="inlineStr"/>
      <c r="H92" t="inlineStr"/>
      <c r="I92" t="inlineStr"/>
      <c r="J92" t="inlineStr">
        <is>
          <t>France|ISFR.L|2015</t>
        </is>
      </c>
      <c r="K92" t="inlineStr">
        <is>
          <t>France|2015</t>
        </is>
      </c>
      <c r="L92" t="inlineStr">
        <is>
          <t>GBp</t>
        </is>
      </c>
      <c r="M92" t="n">
        <v>5.851063829787218</v>
      </c>
      <c r="N92" t="n">
        <v>-4.888855870697362</v>
      </c>
      <c r="O92" t="n">
        <v>-5.407515212426162</v>
      </c>
      <c r="P92" t="n">
        <v>0.6761578815490443</v>
      </c>
      <c r="Q92" t="inlineStr"/>
      <c r="R92" t="inlineStr"/>
      <c r="S92" t="n">
        <v>0.089</v>
      </c>
      <c r="T92" t="n">
        <v>0.121</v>
      </c>
      <c r="U92" t="n">
        <v>-0.032</v>
      </c>
      <c r="V92" t="n">
        <v>2442731000000</v>
      </c>
    </row>
    <row r="93">
      <c r="A93" t="inlineStr">
        <is>
          <t>France</t>
        </is>
      </c>
      <c r="B93" t="inlineStr">
        <is>
          <t>FRA</t>
        </is>
      </c>
      <c r="C93" t="inlineStr">
        <is>
          <t>ISFR.L</t>
        </is>
      </c>
      <c r="D93" t="n">
        <v>2016</v>
      </c>
      <c r="E93" t="n">
        <v>29.38290730699718</v>
      </c>
      <c r="F93" t="n">
        <v>0.735</v>
      </c>
      <c r="G93" t="n">
        <v>1.38171</v>
      </c>
      <c r="H93" t="n">
        <v>1.105116</v>
      </c>
      <c r="I93" t="n">
        <v>-6.766966146685866</v>
      </c>
      <c r="J93" t="inlineStr">
        <is>
          <t>France|ISFR.L|2016</t>
        </is>
      </c>
      <c r="K93" t="inlineStr">
        <is>
          <t>France|2016</t>
        </is>
      </c>
      <c r="L93" t="inlineStr">
        <is>
          <t>GBp</t>
        </is>
      </c>
      <c r="M93" t="n">
        <v>29.38290730699718</v>
      </c>
      <c r="N93" t="n">
        <v>-16.62570861023462</v>
      </c>
      <c r="O93" t="n">
        <v>-16.21181156312136</v>
      </c>
      <c r="P93" t="n">
        <v>7.872082146685866</v>
      </c>
      <c r="Q93" t="n">
        <v>-0.2728251839976159</v>
      </c>
      <c r="R93" t="n">
        <v>8.16718948041084</v>
      </c>
      <c r="S93" t="n">
        <v>0.307</v>
      </c>
      <c r="T93" t="n">
        <v>1.267</v>
      </c>
      <c r="U93" t="n">
        <v>-0.96</v>
      </c>
      <c r="V93" t="n">
        <v>2469726000000</v>
      </c>
    </row>
    <row r="94">
      <c r="A94" t="inlineStr">
        <is>
          <t>France</t>
        </is>
      </c>
      <c r="B94" t="inlineStr">
        <is>
          <t>FRA</t>
        </is>
      </c>
      <c r="C94" t="inlineStr">
        <is>
          <t>ISFR.L</t>
        </is>
      </c>
      <c r="D94" t="n">
        <v>2017</v>
      </c>
      <c r="E94" t="n">
        <v>18.65315852205005</v>
      </c>
      <c r="F94" t="n">
        <v>2.268</v>
      </c>
      <c r="G94" t="n">
        <v>2.682207</v>
      </c>
      <c r="H94" t="n">
        <v>4.78713</v>
      </c>
      <c r="I94" t="n">
        <v>-24.35661472616394</v>
      </c>
      <c r="J94" t="inlineStr">
        <is>
          <t>France|ISFR.L|2017</t>
        </is>
      </c>
      <c r="K94" t="inlineStr">
        <is>
          <t>France|2017</t>
        </is>
      </c>
      <c r="L94" t="inlineStr">
        <is>
          <t>GBp</t>
        </is>
      </c>
      <c r="M94" t="n">
        <v>18.65315852205005</v>
      </c>
      <c r="N94" t="n">
        <v>8.841388071573641</v>
      </c>
      <c r="O94" t="n">
        <v>9.450435944365921</v>
      </c>
      <c r="P94" t="n">
        <v>29.14374472616394</v>
      </c>
      <c r="Q94" t="n">
        <v>2.049939851067206</v>
      </c>
      <c r="R94" t="n">
        <v>26.54955496753622</v>
      </c>
      <c r="S94" t="n">
        <v>1.166</v>
      </c>
      <c r="T94" t="n">
        <v>2.131</v>
      </c>
      <c r="U94" t="n">
        <v>-0.9649999999999999</v>
      </c>
      <c r="V94" t="n">
        <v>2587955000000</v>
      </c>
    </row>
    <row r="95">
      <c r="A95" t="inlineStr">
        <is>
          <t>France</t>
        </is>
      </c>
      <c r="B95" t="inlineStr">
        <is>
          <t>FRA</t>
        </is>
      </c>
      <c r="C95" t="inlineStr">
        <is>
          <t>ISFR.L</t>
        </is>
      </c>
      <c r="D95" t="n">
        <v>2018</v>
      </c>
      <c r="E95" t="n">
        <v>-7.625983592834418</v>
      </c>
      <c r="F95" t="n">
        <v>1.593</v>
      </c>
      <c r="G95" t="n">
        <v>2.778834</v>
      </c>
      <c r="H95" t="n">
        <v>7.530386</v>
      </c>
      <c r="I95" t="n">
        <v>20.77760951572937</v>
      </c>
      <c r="J95" t="inlineStr">
        <is>
          <t>France|ISFR.L|2018</t>
        </is>
      </c>
      <c r="K95" t="inlineStr">
        <is>
          <t>France|2018</t>
        </is>
      </c>
      <c r="L95" t="inlineStr">
        <is>
          <t>GBp</t>
        </is>
      </c>
      <c r="M95" t="n">
        <v>-7.625983592834418</v>
      </c>
      <c r="N95" t="n">
        <v>-6.085304224640065</v>
      </c>
      <c r="O95" t="n">
        <v>-5.756316180609423</v>
      </c>
      <c r="P95" t="n">
        <v>-13.24722351572937</v>
      </c>
      <c r="Q95" t="n">
        <v>4.623084607237327</v>
      </c>
      <c r="R95" t="n">
        <v>-17.08065499125087</v>
      </c>
      <c r="S95" t="n">
        <v>2.099</v>
      </c>
      <c r="T95" t="n">
        <v>2.439</v>
      </c>
      <c r="U95" t="n">
        <v>-0.3399999999999999</v>
      </c>
      <c r="V95" t="n">
        <v>2782838000000</v>
      </c>
    </row>
    <row r="96">
      <c r="A96" t="inlineStr">
        <is>
          <t>France</t>
        </is>
      </c>
      <c r="B96" t="inlineStr">
        <is>
          <t>FRA</t>
        </is>
      </c>
      <c r="C96" t="inlineStr">
        <is>
          <t>ISFR.L</t>
        </is>
      </c>
      <c r="D96" t="n">
        <v>2019</v>
      </c>
      <c r="E96" t="n">
        <v>23.20391872278664</v>
      </c>
      <c r="F96" t="n">
        <v>2.091</v>
      </c>
      <c r="G96" t="n">
        <v>3.262512</v>
      </c>
      <c r="H96" t="n">
        <v>-2.146873</v>
      </c>
      <c r="I96" t="n">
        <v>-28.97774789476015</v>
      </c>
      <c r="J96" t="inlineStr">
        <is>
          <t>France|ISFR.L|2019</t>
        </is>
      </c>
      <c r="K96" t="inlineStr">
        <is>
          <t>France|2019</t>
        </is>
      </c>
      <c r="L96" t="inlineStr">
        <is>
          <t>GBp</t>
        </is>
      </c>
      <c r="M96" t="n">
        <v>23.20391872278664</v>
      </c>
      <c r="N96" t="n">
        <v>2.94386429390634</v>
      </c>
      <c r="O96" t="n">
        <v>4.118031584084703</v>
      </c>
      <c r="P96" t="n">
        <v>26.83087489476015</v>
      </c>
      <c r="Q96" t="n">
        <v>-5.238479055571565</v>
      </c>
      <c r="R96" t="n">
        <v>33.84216887900979</v>
      </c>
      <c r="S96" t="n">
        <v>1.298</v>
      </c>
      <c r="T96" t="n">
        <v>1.813</v>
      </c>
      <c r="U96" t="n">
        <v>-0.5149999999999999</v>
      </c>
      <c r="V96" t="n">
        <v>2723094000000</v>
      </c>
    </row>
    <row r="97">
      <c r="A97" t="inlineStr">
        <is>
          <t>France</t>
        </is>
      </c>
      <c r="B97" t="inlineStr">
        <is>
          <t>FRA</t>
        </is>
      </c>
      <c r="C97" t="inlineStr">
        <is>
          <t>ISFR.L</t>
        </is>
      </c>
      <c r="D97" t="n">
        <v>2020</v>
      </c>
      <c r="E97" t="n">
        <v>0.5099067599067419</v>
      </c>
      <c r="F97" t="n">
        <v>-7.603</v>
      </c>
      <c r="G97" t="n">
        <v>-4.684264</v>
      </c>
      <c r="H97" t="n">
        <v>-2.838242</v>
      </c>
      <c r="I97" t="n">
        <v>-6.137498046274146</v>
      </c>
      <c r="J97" t="inlineStr">
        <is>
          <t>France|ISFR.L|2020</t>
        </is>
      </c>
      <c r="K97" t="inlineStr">
        <is>
          <t>France|2020</t>
        </is>
      </c>
      <c r="L97" t="inlineStr">
        <is>
          <t>GBp</t>
        </is>
      </c>
      <c r="M97" t="n">
        <v>0.5099067599067419</v>
      </c>
      <c r="N97" t="n">
        <v>2.775198362317122</v>
      </c>
      <c r="O97" t="n">
        <v>3.094474617937659</v>
      </c>
      <c r="P97" t="n">
        <v>3.299256046274146</v>
      </c>
      <c r="Q97" t="n">
        <v>1.936744255736333</v>
      </c>
      <c r="R97" t="n">
        <v>1.33662478675951</v>
      </c>
      <c r="S97" t="n">
        <v>0.527</v>
      </c>
      <c r="T97" t="n">
        <v>1.253</v>
      </c>
      <c r="U97" t="n">
        <v>-0.7259999999999999</v>
      </c>
      <c r="V97" t="n">
        <v>2645806000000</v>
      </c>
    </row>
    <row r="98">
      <c r="A98" t="inlineStr">
        <is>
          <t>France</t>
        </is>
      </c>
      <c r="B98" t="inlineStr">
        <is>
          <t>FRA</t>
        </is>
      </c>
      <c r="C98" t="inlineStr">
        <is>
          <t>ISFR.L</t>
        </is>
      </c>
      <c r="D98" t="n">
        <v>2021</v>
      </c>
      <c r="E98" t="n">
        <v>19.09182498560737</v>
      </c>
      <c r="F98" t="n">
        <v>6.794</v>
      </c>
      <c r="G98" t="n">
        <v>8.18824</v>
      </c>
      <c r="H98" t="n">
        <v>12.192844</v>
      </c>
      <c r="I98" t="n">
        <v>-5.377915765402788</v>
      </c>
      <c r="J98" t="inlineStr">
        <is>
          <t>France|ISFR.L|2021</t>
        </is>
      </c>
      <c r="K98" t="inlineStr">
        <is>
          <t>France|2021</t>
        </is>
      </c>
      <c r="L98" t="inlineStr">
        <is>
          <t>GBp</t>
        </is>
      </c>
      <c r="M98" t="n">
        <v>19.09182498560737</v>
      </c>
      <c r="N98" t="n">
        <v>-1.277220514832489</v>
      </c>
      <c r="O98" t="n">
        <v>-1.102343119945948</v>
      </c>
      <c r="P98" t="n">
        <v>17.57075976540279</v>
      </c>
      <c r="Q98" t="n">
        <v>3.701515241979703</v>
      </c>
      <c r="R98" t="n">
        <v>13.37419659786092</v>
      </c>
      <c r="S98" t="n">
        <v>2.066</v>
      </c>
      <c r="T98" t="n">
        <v>4.679</v>
      </c>
      <c r="U98" t="n">
        <v>-2.613</v>
      </c>
      <c r="V98" t="n">
        <v>2968405000000</v>
      </c>
    </row>
    <row r="99">
      <c r="A99" t="inlineStr">
        <is>
          <t>France</t>
        </is>
      </c>
      <c r="B99" t="inlineStr">
        <is>
          <t>FRA</t>
        </is>
      </c>
      <c r="C99" t="inlineStr">
        <is>
          <t>ISFR.L</t>
        </is>
      </c>
      <c r="D99" t="n">
        <v>2022</v>
      </c>
      <c r="E99" t="n">
        <v>-2.64912489582092</v>
      </c>
      <c r="F99" t="n">
        <v>2.801</v>
      </c>
      <c r="G99" t="n">
        <v>5.816948</v>
      </c>
      <c r="H99" t="n">
        <v>-5.774751</v>
      </c>
      <c r="I99" t="n">
        <v>7.428228002774373</v>
      </c>
      <c r="J99" t="inlineStr">
        <is>
          <t>France|ISFR.L|2022</t>
        </is>
      </c>
      <c r="K99" t="inlineStr">
        <is>
          <t>France|2022</t>
        </is>
      </c>
      <c r="L99" t="inlineStr">
        <is>
          <t>GBp</t>
        </is>
      </c>
      <c r="M99" t="n">
        <v>-2.64912489582092</v>
      </c>
      <c r="N99" t="n">
        <v>-10.84104698150823</v>
      </c>
      <c r="O99" t="n">
        <v>-10.36772851390696</v>
      </c>
      <c r="P99" t="n">
        <v>-13.20297900277437</v>
      </c>
      <c r="Q99" t="n">
        <v>-10.95448289898732</v>
      </c>
      <c r="R99" t="n">
        <v>-2.52510870506415</v>
      </c>
      <c r="S99" t="n">
        <v>5.904</v>
      </c>
      <c r="T99" t="n">
        <v>7.993</v>
      </c>
      <c r="U99" t="n">
        <v>-2.089</v>
      </c>
      <c r="V99" t="n">
        <v>2796987000000</v>
      </c>
    </row>
    <row r="100">
      <c r="A100" t="inlineStr">
        <is>
          <t>France</t>
        </is>
      </c>
      <c r="B100" t="inlineStr">
        <is>
          <t>FRA</t>
        </is>
      </c>
      <c r="C100" t="inlineStr">
        <is>
          <t>ISFR.L</t>
        </is>
      </c>
      <c r="D100" t="n">
        <v>2023</v>
      </c>
      <c r="E100" t="n">
        <v>13.95968278951512</v>
      </c>
      <c r="F100" t="n">
        <v>1.619</v>
      </c>
      <c r="G100" t="n">
        <v>6.639307</v>
      </c>
      <c r="H100" t="n">
        <v>9.442518</v>
      </c>
      <c r="I100" t="n">
        <v>-10.2869784984974</v>
      </c>
      <c r="J100" t="inlineStr">
        <is>
          <t>France|ISFR.L|2023</t>
        </is>
      </c>
      <c r="K100" t="inlineStr">
        <is>
          <t>France|2023</t>
        </is>
      </c>
      <c r="L100" t="inlineStr">
        <is>
          <t>GBp</t>
        </is>
      </c>
      <c r="M100" t="n">
        <v>13.95968278951512</v>
      </c>
      <c r="N100" t="n">
        <v>5.06303068571996</v>
      </c>
      <c r="O100" t="n">
        <v>5.030130998783355</v>
      </c>
      <c r="P100" t="n">
        <v>19.7294964984974</v>
      </c>
      <c r="Q100" t="n">
        <v>2.628684842487683</v>
      </c>
      <c r="R100" t="n">
        <v>16.66279917964035</v>
      </c>
      <c r="S100" t="n">
        <v>5.663</v>
      </c>
      <c r="T100" t="n">
        <v>4.128</v>
      </c>
      <c r="U100" t="n">
        <v>1.535</v>
      </c>
      <c r="V100" t="n">
        <v>3061093000000</v>
      </c>
    </row>
    <row r="101">
      <c r="A101" t="inlineStr">
        <is>
          <t>France</t>
        </is>
      </c>
      <c r="B101" t="inlineStr">
        <is>
          <t>FRA</t>
        </is>
      </c>
      <c r="C101" t="inlineStr">
        <is>
          <t>ISFR.L</t>
        </is>
      </c>
      <c r="D101" t="n">
        <v>2024</v>
      </c>
      <c r="E101" t="n">
        <v>-3.266438941076011</v>
      </c>
      <c r="F101" t="n">
        <v>1.102</v>
      </c>
      <c r="G101" t="n">
        <v>3.215316</v>
      </c>
      <c r="H101" t="n">
        <v>3.260567</v>
      </c>
      <c r="I101" t="n">
        <v>7.901641619070407</v>
      </c>
      <c r="J101" t="inlineStr">
        <is>
          <t>France|ISFR.L|2024</t>
        </is>
      </c>
      <c r="K101" t="inlineStr">
        <is>
          <t>France|2024</t>
        </is>
      </c>
      <c r="L101" t="inlineStr">
        <is>
          <t>GBp</t>
        </is>
      </c>
      <c r="M101" t="n">
        <v>-3.266438941076011</v>
      </c>
      <c r="N101" t="n">
        <v>-1.421053523664917</v>
      </c>
      <c r="O101" t="n">
        <v>-1.655539060617606</v>
      </c>
      <c r="P101" t="n">
        <v>-4.641074619070407</v>
      </c>
      <c r="Q101" t="n">
        <v>0.04384180526688652</v>
      </c>
      <c r="R101" t="n">
        <v>-4.682863372496604</v>
      </c>
      <c r="S101" t="n">
        <v>2.317</v>
      </c>
      <c r="T101" t="n">
        <v>2.952</v>
      </c>
      <c r="U101" t="n">
        <v>-0.6349999999999998</v>
      </c>
      <c r="V101" t="n">
        <v>3160902000000</v>
      </c>
    </row>
    <row r="102">
      <c r="A102" t="inlineStr">
        <is>
          <t>France</t>
        </is>
      </c>
      <c r="B102" t="inlineStr">
        <is>
          <t>FRA</t>
        </is>
      </c>
      <c r="C102" t="inlineStr">
        <is>
          <t>ISFR.L</t>
        </is>
      </c>
      <c r="D102" t="n">
        <v>2025</v>
      </c>
      <c r="E102" t="n">
        <v>19.35963030203003</v>
      </c>
      <c r="F102" t="n">
        <v>0.671</v>
      </c>
      <c r="G102" t="n">
        <v>1.876521</v>
      </c>
      <c r="H102" t="n">
        <v>6.34803</v>
      </c>
      <c r="I102" t="n">
        <v>-22.04942742593078</v>
      </c>
      <c r="J102" t="inlineStr">
        <is>
          <t>France|ISFR.L|2025</t>
        </is>
      </c>
      <c r="K102" t="inlineStr">
        <is>
          <t>France|2025</t>
        </is>
      </c>
      <c r="L102" t="inlineStr">
        <is>
          <t>GBp</t>
        </is>
      </c>
      <c r="M102" t="n">
        <v>19.35963030203003</v>
      </c>
      <c r="N102" t="n">
        <v>7.571929555270285</v>
      </c>
      <c r="O102" t="n">
        <v>7.623377354227179</v>
      </c>
      <c r="P102" t="n">
        <v>28.39745742593078</v>
      </c>
      <c r="Q102" t="n">
        <v>4.389145762039726</v>
      </c>
      <c r="R102" t="n">
        <v>22.99885825162244</v>
      </c>
      <c r="S102" t="n">
        <v>1.143</v>
      </c>
      <c r="T102" t="n">
        <v>2.715</v>
      </c>
      <c r="U102" t="n">
        <v>-1.572</v>
      </c>
      <c r="V102" t="n">
        <v>3361557000000</v>
      </c>
    </row>
    <row r="103">
      <c r="A103" t="inlineStr">
        <is>
          <t>France</t>
        </is>
      </c>
      <c r="B103" t="inlineStr">
        <is>
          <t>FRA</t>
        </is>
      </c>
      <c r="C103" t="inlineStr">
        <is>
          <t>ISFR.L</t>
        </is>
      </c>
      <c r="D103" t="n">
        <v>2026</v>
      </c>
      <c r="E103" t="n">
        <v>-2.669724770642201</v>
      </c>
      <c r="F103" t="n">
        <v>0.911</v>
      </c>
      <c r="G103" t="n">
        <v>2.453141</v>
      </c>
      <c r="H103" t="n">
        <v>5.860528</v>
      </c>
      <c r="I103" t="n">
        <v>10.12674386023819</v>
      </c>
      <c r="J103" t="inlineStr">
        <is>
          <t>France|ISFR.L|2026</t>
        </is>
      </c>
      <c r="K103" t="inlineStr">
        <is>
          <t>France|2026</t>
        </is>
      </c>
      <c r="L103" t="inlineStr">
        <is>
          <t>GBp</t>
        </is>
      </c>
      <c r="M103" t="n">
        <v>-2.669724770642201</v>
      </c>
      <c r="N103" t="n">
        <v>-1.640282107323621</v>
      </c>
      <c r="O103" t="inlineStr"/>
      <c r="P103" t="n">
        <v>-4.266215860238187</v>
      </c>
      <c r="Q103" t="n">
        <v>3.325800444983762</v>
      </c>
      <c r="R103" t="n">
        <v>-7.347648189054534</v>
      </c>
      <c r="S103" t="n">
        <v>1.526</v>
      </c>
      <c r="T103" t="n">
        <v>2.435</v>
      </c>
      <c r="U103" t="n">
        <v>-0.909</v>
      </c>
      <c r="V103" t="n">
        <v>3558562000000</v>
      </c>
    </row>
    <row r="104">
      <c r="A104" t="inlineStr">
        <is>
          <t>France</t>
        </is>
      </c>
      <c r="B104" t="inlineStr">
        <is>
          <t>FRA</t>
        </is>
      </c>
      <c r="C104" t="inlineStr">
        <is>
          <t>ISFR.L</t>
        </is>
      </c>
      <c r="D104" t="n">
        <v>2027</v>
      </c>
      <c r="E104" t="inlineStr"/>
      <c r="F104" t="n">
        <v>1.185</v>
      </c>
      <c r="G104" t="n">
        <v>3.147889</v>
      </c>
      <c r="H104" t="n">
        <v>2.880995</v>
      </c>
      <c r="I104" t="inlineStr"/>
      <c r="J104" t="inlineStr">
        <is>
          <t>France|ISFR.L|2027</t>
        </is>
      </c>
      <c r="K104" t="inlineStr">
        <is>
          <t>France|2027</t>
        </is>
      </c>
      <c r="L104" t="inlineStr">
        <is>
          <t>GBp</t>
        </is>
      </c>
      <c r="M104" t="inlineStr"/>
      <c r="N104" t="inlineStr"/>
      <c r="O104" t="inlineStr"/>
      <c r="P104" t="inlineStr"/>
      <c r="Q104" t="n">
        <v>-0.2587491485314231</v>
      </c>
      <c r="R104" t="inlineStr"/>
      <c r="S104" t="n">
        <v>1.928</v>
      </c>
      <c r="T104" t="n">
        <v>2.185</v>
      </c>
      <c r="U104" t="n">
        <v>-0.2570000000000001</v>
      </c>
      <c r="V104" t="n">
        <v>3661084000000</v>
      </c>
    </row>
    <row r="105">
      <c r="A105" t="inlineStr">
        <is>
          <t>France</t>
        </is>
      </c>
      <c r="B105" t="inlineStr">
        <is>
          <t>FRA</t>
        </is>
      </c>
      <c r="C105" t="inlineStr">
        <is>
          <t>ISFR.L</t>
        </is>
      </c>
      <c r="D105" t="n">
        <v>2028</v>
      </c>
      <c r="E105" t="inlineStr"/>
      <c r="F105" t="n">
        <v>1.271</v>
      </c>
      <c r="G105" t="n">
        <v>3.234301</v>
      </c>
      <c r="H105" t="n">
        <v>3.052429</v>
      </c>
      <c r="I105" t="inlineStr"/>
      <c r="J105" t="inlineStr">
        <is>
          <t>France|ISFR.L|2028</t>
        </is>
      </c>
      <c r="K105" t="inlineStr">
        <is>
          <t>France|2028</t>
        </is>
      </c>
      <c r="L105" t="inlineStr">
        <is>
          <t>GBp</t>
        </is>
      </c>
      <c r="M105" t="inlineStr"/>
      <c r="N105" t="inlineStr"/>
      <c r="O105" t="inlineStr"/>
      <c r="P105" t="inlineStr"/>
      <c r="Q105" t="n">
        <v>-0.1761739505572124</v>
      </c>
      <c r="R105" t="inlineStr"/>
      <c r="S105" t="n">
        <v>1.866</v>
      </c>
      <c r="T105" t="n">
        <v>2.206</v>
      </c>
      <c r="U105" t="n">
        <v>-0.3399999999999999</v>
      </c>
      <c r="V105" t="n">
        <v>3772836000000</v>
      </c>
    </row>
    <row r="106">
      <c r="A106" t="inlineStr">
        <is>
          <t>France</t>
        </is>
      </c>
      <c r="B106" t="inlineStr">
        <is>
          <t>FRA</t>
        </is>
      </c>
      <c r="C106" t="inlineStr">
        <is>
          <t>ISFR.L</t>
        </is>
      </c>
      <c r="D106" t="n">
        <v>2029</v>
      </c>
      <c r="E106" t="inlineStr"/>
      <c r="F106" t="n">
        <v>1.243</v>
      </c>
      <c r="G106" t="n">
        <v>3.208525</v>
      </c>
      <c r="H106" t="n">
        <v>3.105489</v>
      </c>
      <c r="I106" t="inlineStr"/>
      <c r="J106" t="inlineStr">
        <is>
          <t>France|ISFR.L|2029</t>
        </is>
      </c>
      <c r="K106" t="inlineStr">
        <is>
          <t>France|2029</t>
        </is>
      </c>
      <c r="L106" t="inlineStr">
        <is>
          <t>GBp</t>
        </is>
      </c>
      <c r="M106" t="inlineStr"/>
      <c r="N106" t="inlineStr"/>
      <c r="O106" t="inlineStr"/>
      <c r="P106" t="inlineStr"/>
      <c r="Q106" t="n">
        <v>-0.09983255850308792</v>
      </c>
      <c r="R106" t="inlineStr"/>
      <c r="S106" t="n">
        <v>1.927</v>
      </c>
      <c r="T106" t="n">
        <v>2.203</v>
      </c>
      <c r="U106" t="n">
        <v>-0.2759999999999998</v>
      </c>
      <c r="V106" t="n">
        <v>3890001000000</v>
      </c>
    </row>
    <row r="107">
      <c r="A107" t="inlineStr">
        <is>
          <t>Germany</t>
        </is>
      </c>
      <c r="B107" t="inlineStr">
        <is>
          <t>DEU</t>
        </is>
      </c>
      <c r="C107" t="inlineStr">
        <is>
          <t>EXS1.DE</t>
        </is>
      </c>
      <c r="D107" t="n">
        <v>2015</v>
      </c>
      <c r="E107" t="n">
        <v>9.362051158062012</v>
      </c>
      <c r="F107" t="n">
        <v>1.663</v>
      </c>
      <c r="G107" t="inlineStr"/>
      <c r="H107" t="inlineStr"/>
      <c r="I107" t="inlineStr"/>
      <c r="J107" t="inlineStr">
        <is>
          <t>Germany|EXS1.DE|2015</t>
        </is>
      </c>
      <c r="K107" t="inlineStr">
        <is>
          <t>Germany|2015</t>
        </is>
      </c>
      <c r="L107" t="inlineStr">
        <is>
          <t>EUR</t>
        </is>
      </c>
      <c r="M107" t="n">
        <v>9.362051158062012</v>
      </c>
      <c r="N107" t="n">
        <v>-9.626275918027915</v>
      </c>
      <c r="O107" t="n">
        <v>-10.24552508038918</v>
      </c>
      <c r="P107" t="n">
        <v>-1.165441636027875</v>
      </c>
      <c r="Q107" t="inlineStr"/>
      <c r="R107" t="inlineStr"/>
      <c r="S107" t="n">
        <v>0.68</v>
      </c>
      <c r="T107" t="n">
        <v>0.121</v>
      </c>
      <c r="U107" t="n">
        <v>0.5590000000000001</v>
      </c>
      <c r="V107" t="n">
        <v>3425446000000</v>
      </c>
    </row>
    <row r="108">
      <c r="A108" t="inlineStr">
        <is>
          <t>Germany</t>
        </is>
      </c>
      <c r="B108" t="inlineStr">
        <is>
          <t>DEU</t>
        </is>
      </c>
      <c r="C108" t="inlineStr">
        <is>
          <t>EXS1.DE</t>
        </is>
      </c>
      <c r="D108" t="n">
        <v>2016</v>
      </c>
      <c r="E108" t="n">
        <v>10.52631313666317</v>
      </c>
      <c r="F108" t="n">
        <v>2.217</v>
      </c>
      <c r="G108" t="n">
        <v>3.504339</v>
      </c>
      <c r="H108" t="n">
        <v>3.221945</v>
      </c>
      <c r="I108" t="n">
        <v>-4.416151059670474</v>
      </c>
      <c r="J108" t="inlineStr">
        <is>
          <t>Germany|EXS1.DE|2016</t>
        </is>
      </c>
      <c r="K108" t="inlineStr">
        <is>
          <t>Germany|2016</t>
        </is>
      </c>
      <c r="L108" t="inlineStr">
        <is>
          <t>EUR</t>
        </is>
      </c>
      <c r="M108" t="n">
        <v>10.52631313666317</v>
      </c>
      <c r="N108" t="n">
        <v>-2.613148846665581</v>
      </c>
      <c r="O108" t="n">
        <v>-3.058092661956435</v>
      </c>
      <c r="P108" t="n">
        <v>7.638096059670474</v>
      </c>
      <c r="Q108" t="n">
        <v>-0.2728327328096358</v>
      </c>
      <c r="R108" t="n">
        <v>7.932571443932668</v>
      </c>
      <c r="S108" t="n">
        <v>0.367</v>
      </c>
      <c r="T108" t="n">
        <v>1.267</v>
      </c>
      <c r="U108" t="n">
        <v>-0.8999999999999999</v>
      </c>
      <c r="V108" t="n">
        <v>3535812000000</v>
      </c>
    </row>
    <row r="109">
      <c r="A109" t="inlineStr">
        <is>
          <t>Germany</t>
        </is>
      </c>
      <c r="B109" t="inlineStr">
        <is>
          <t>DEU</t>
        </is>
      </c>
      <c r="C109" t="inlineStr">
        <is>
          <t>EXS1.DE</t>
        </is>
      </c>
      <c r="D109" t="n">
        <v>2017</v>
      </c>
      <c r="E109" t="n">
        <v>10.50142430142864</v>
      </c>
      <c r="F109" t="n">
        <v>2.806</v>
      </c>
      <c r="G109" t="n">
        <v>4.315835</v>
      </c>
      <c r="H109" t="n">
        <v>6.454274</v>
      </c>
      <c r="I109" t="n">
        <v>-18.89767602280126</v>
      </c>
      <c r="J109" t="inlineStr">
        <is>
          <t>Germany|EXS1.DE|2017</t>
        </is>
      </c>
      <c r="K109" t="inlineStr">
        <is>
          <t>Germany|2017</t>
        </is>
      </c>
      <c r="L109" t="inlineStr">
        <is>
          <t>EUR</t>
        </is>
      </c>
      <c r="M109" t="n">
        <v>10.50142430142864</v>
      </c>
      <c r="N109" t="n">
        <v>13.43921656689508</v>
      </c>
      <c r="O109" t="n">
        <v>14.03979380502343</v>
      </c>
      <c r="P109" t="n">
        <v>25.35195002280126</v>
      </c>
      <c r="Q109" t="n">
        <v>2.04996574222911</v>
      </c>
      <c r="R109" t="n">
        <v>22.8338972101483</v>
      </c>
      <c r="S109" t="n">
        <v>1.702</v>
      </c>
      <c r="T109" t="n">
        <v>2.131</v>
      </c>
      <c r="U109" t="n">
        <v>-0.4289999999999998</v>
      </c>
      <c r="V109" t="n">
        <v>3764023000000</v>
      </c>
    </row>
    <row r="110">
      <c r="A110" t="inlineStr">
        <is>
          <t>Germany</t>
        </is>
      </c>
      <c r="B110" t="inlineStr">
        <is>
          <t>DEU</t>
        </is>
      </c>
      <c r="C110" t="inlineStr">
        <is>
          <t>EXS1.DE</t>
        </is>
      </c>
      <c r="D110" t="n">
        <v>2018</v>
      </c>
      <c r="E110" t="n">
        <v>-18.30253157495386</v>
      </c>
      <c r="F110" t="n">
        <v>1.133</v>
      </c>
      <c r="G110" t="n">
        <v>3.027803</v>
      </c>
      <c r="H110" t="n">
        <v>7.79084</v>
      </c>
      <c r="I110" t="n">
        <v>29.93838103699927</v>
      </c>
      <c r="J110" t="inlineStr">
        <is>
          <t>Germany|EXS1.DE|2018</t>
        </is>
      </c>
      <c r="K110" t="inlineStr">
        <is>
          <t>Germany|2018</t>
        </is>
      </c>
      <c r="L110" t="inlineStr">
        <is>
          <t>EUR</t>
        </is>
      </c>
      <c r="M110" t="n">
        <v>-18.30253157495386</v>
      </c>
      <c r="N110" t="n">
        <v>-4.706399765095581</v>
      </c>
      <c r="O110" t="n">
        <v>-4.263928260016236</v>
      </c>
      <c r="P110" t="n">
        <v>-22.14754103699928</v>
      </c>
      <c r="Q110" t="n">
        <v>4.623059749553748</v>
      </c>
      <c r="R110" t="n">
        <v>-25.58766762378808</v>
      </c>
      <c r="S110" t="n">
        <v>1.935</v>
      </c>
      <c r="T110" t="n">
        <v>2.439</v>
      </c>
      <c r="U110" t="n">
        <v>-0.504</v>
      </c>
      <c r="V110" t="n">
        <v>4057272000000</v>
      </c>
    </row>
    <row r="111">
      <c r="A111" t="inlineStr">
        <is>
          <t>Germany</t>
        </is>
      </c>
      <c r="B111" t="inlineStr">
        <is>
          <t>DEU</t>
        </is>
      </c>
      <c r="C111" t="inlineStr">
        <is>
          <t>EXS1.DE</t>
        </is>
      </c>
      <c r="D111" t="n">
        <v>2019</v>
      </c>
      <c r="E111" t="n">
        <v>24.44638798941621</v>
      </c>
      <c r="F111" t="n">
        <v>0.973</v>
      </c>
      <c r="G111" t="n">
        <v>3.006671</v>
      </c>
      <c r="H111" t="n">
        <v>-2.38929</v>
      </c>
      <c r="I111" t="n">
        <v>-23.68726632959689</v>
      </c>
      <c r="J111" t="inlineStr">
        <is>
          <t>Germany|EXS1.DE|2019</t>
        </is>
      </c>
      <c r="K111" t="inlineStr">
        <is>
          <t>Germany|2019</t>
        </is>
      </c>
      <c r="L111" t="inlineStr">
        <is>
          <t>EUR</t>
        </is>
      </c>
      <c r="M111" t="n">
        <v>24.44638798941621</v>
      </c>
      <c r="N111" t="n">
        <v>-2.529934143277091</v>
      </c>
      <c r="O111" t="n">
        <v>-2.368717781750818</v>
      </c>
      <c r="P111" t="n">
        <v>21.29797632959689</v>
      </c>
      <c r="Q111" t="n">
        <v>-5.238458372604448</v>
      </c>
      <c r="R111" t="n">
        <v>28.00338011230672</v>
      </c>
      <c r="S111" t="n">
        <v>1.354</v>
      </c>
      <c r="T111" t="n">
        <v>1.813</v>
      </c>
      <c r="U111" t="n">
        <v>-0.4589999999999999</v>
      </c>
      <c r="V111" t="n">
        <v>3960332000000</v>
      </c>
    </row>
    <row r="112">
      <c r="A112" t="inlineStr">
        <is>
          <t>Germany</t>
        </is>
      </c>
      <c r="B112" t="inlineStr">
        <is>
          <t>DEU</t>
        </is>
      </c>
      <c r="C112" t="inlineStr">
        <is>
          <t>EXS1.DE</t>
        </is>
      </c>
      <c r="D112" t="n">
        <v>2020</v>
      </c>
      <c r="E112" t="n">
        <v>1.971390568966225</v>
      </c>
      <c r="F112" t="n">
        <v>-4.127</v>
      </c>
      <c r="G112" t="n">
        <v>-2.447078</v>
      </c>
      <c r="H112" t="n">
        <v>-0.557731</v>
      </c>
      <c r="I112" t="n">
        <v>-12.33538068274573</v>
      </c>
      <c r="J112" t="inlineStr">
        <is>
          <t>Germany|EXS1.DE|2020</t>
        </is>
      </c>
      <c r="K112" t="inlineStr">
        <is>
          <t>Germany|2020</t>
        </is>
      </c>
      <c r="L112" t="inlineStr">
        <is>
          <t>EUR</t>
        </is>
      </c>
      <c r="M112" t="n">
        <v>1.971390568966225</v>
      </c>
      <c r="N112" t="n">
        <v>9.616676853246631</v>
      </c>
      <c r="O112" t="n">
        <v>8.550554670168875</v>
      </c>
      <c r="P112" t="n">
        <v>11.77764968274573</v>
      </c>
      <c r="Q112" t="n">
        <v>1.936740512948876</v>
      </c>
      <c r="R112" t="n">
        <v>9.653937452067908</v>
      </c>
      <c r="S112" t="n">
        <v>0.371</v>
      </c>
      <c r="T112" t="n">
        <v>1.253</v>
      </c>
      <c r="U112" t="n">
        <v>-0.8819999999999999</v>
      </c>
      <c r="V112" t="n">
        <v>3938244000000</v>
      </c>
    </row>
    <row r="113">
      <c r="A113" t="inlineStr">
        <is>
          <t>Germany</t>
        </is>
      </c>
      <c r="B113" t="inlineStr">
        <is>
          <t>DEU</t>
        </is>
      </c>
      <c r="C113" t="inlineStr">
        <is>
          <t>EXS1.DE</t>
        </is>
      </c>
      <c r="D113" t="n">
        <v>2021</v>
      </c>
      <c r="E113" t="n">
        <v>15.33584108060253</v>
      </c>
      <c r="F113" t="n">
        <v>3.913</v>
      </c>
      <c r="G113" t="n">
        <v>6.712222</v>
      </c>
      <c r="H113" t="n">
        <v>10.662189</v>
      </c>
      <c r="I113" t="n">
        <v>3.42468478046245</v>
      </c>
      <c r="J113" t="inlineStr">
        <is>
          <t>Germany|EXS1.DE|2021</t>
        </is>
      </c>
      <c r="K113" t="inlineStr">
        <is>
          <t>Germany|2021</t>
        </is>
      </c>
      <c r="L113" t="inlineStr">
        <is>
          <t>EUR</t>
        </is>
      </c>
      <c r="M113" t="n">
        <v>15.33584108060253</v>
      </c>
      <c r="N113" t="n">
        <v>-7.021526686925927</v>
      </c>
      <c r="O113" t="n">
        <v>-6.623906905275723</v>
      </c>
      <c r="P113" t="n">
        <v>7.237504219537549</v>
      </c>
      <c r="Q113" t="n">
        <v>3.70151240779959</v>
      </c>
      <c r="R113" t="n">
        <v>3.409778439713484</v>
      </c>
      <c r="S113" t="n">
        <v>3.212</v>
      </c>
      <c r="T113" t="n">
        <v>4.679</v>
      </c>
      <c r="U113" t="n">
        <v>-1.467</v>
      </c>
      <c r="V113" t="n">
        <v>4358147000000</v>
      </c>
    </row>
    <row r="114">
      <c r="A114" t="inlineStr">
        <is>
          <t>Germany</t>
        </is>
      </c>
      <c r="B114" t="inlineStr">
        <is>
          <t>DEU</t>
        </is>
      </c>
      <c r="C114" t="inlineStr">
        <is>
          <t>EXS1.DE</t>
        </is>
      </c>
      <c r="D114" t="n">
        <v>2022</v>
      </c>
      <c r="E114" t="n">
        <v>-13.52386102227822</v>
      </c>
      <c r="F114" t="n">
        <v>1.807</v>
      </c>
      <c r="G114" t="n">
        <v>8.338448</v>
      </c>
      <c r="H114" t="n">
        <v>-3.529482</v>
      </c>
      <c r="I114" t="n">
        <v>15.41331530551549</v>
      </c>
      <c r="J114" t="inlineStr">
        <is>
          <t>Germany|EXS1.DE|2022</t>
        </is>
      </c>
      <c r="K114" t="inlineStr">
        <is>
          <t>Germany|2022</t>
        </is>
      </c>
      <c r="L114" t="inlineStr">
        <is>
          <t>EUR</t>
        </is>
      </c>
      <c r="M114" t="n">
        <v>-13.52386102227822</v>
      </c>
      <c r="N114" t="n">
        <v>-6.266394808206355</v>
      </c>
      <c r="O114" t="n">
        <v>-5.835736795926605</v>
      </c>
      <c r="P114" t="n">
        <v>-18.94279730551549</v>
      </c>
      <c r="Q114" t="n">
        <v>-10.95449469055349</v>
      </c>
      <c r="R114" t="n">
        <v>-8.971034065337102</v>
      </c>
      <c r="S114" t="n">
        <v>8.666</v>
      </c>
      <c r="T114" t="n">
        <v>7.993</v>
      </c>
      <c r="U114" t="n">
        <v>0.673</v>
      </c>
      <c r="V114" t="n">
        <v>4204327000000</v>
      </c>
    </row>
    <row r="115">
      <c r="A115" t="inlineStr">
        <is>
          <t>Germany</t>
        </is>
      </c>
      <c r="B115" t="inlineStr">
        <is>
          <t>DEU</t>
        </is>
      </c>
      <c r="C115" t="inlineStr">
        <is>
          <t>EXS1.DE</t>
        </is>
      </c>
      <c r="D115" t="n">
        <v>2023</v>
      </c>
      <c r="E115" t="n">
        <v>18.30606074746055</v>
      </c>
      <c r="F115" t="n">
        <v>-0.872</v>
      </c>
      <c r="G115" t="n">
        <v>5.763287</v>
      </c>
      <c r="H115" t="n">
        <v>8.543483999999999</v>
      </c>
      <c r="I115" t="n">
        <v>-13.72231119493885</v>
      </c>
      <c r="J115" t="inlineStr">
        <is>
          <t>Germany|EXS1.DE|2023</t>
        </is>
      </c>
      <c r="K115" t="inlineStr">
        <is>
          <t>Germany|2023</t>
        </is>
      </c>
      <c r="L115" t="inlineStr">
        <is>
          <t>EUR</t>
        </is>
      </c>
      <c r="M115" t="n">
        <v>18.30606074746055</v>
      </c>
      <c r="N115" t="n">
        <v>3.347025860264985</v>
      </c>
      <c r="O115" t="n">
        <v>3.23162038723166</v>
      </c>
      <c r="P115" t="n">
        <v>22.26579519493885</v>
      </c>
      <c r="Q115" t="n">
        <v>2.628697394305357</v>
      </c>
      <c r="R115" t="n">
        <v>19.1341196947932</v>
      </c>
      <c r="S115" t="n">
        <v>6.03</v>
      </c>
      <c r="T115" t="n">
        <v>4.128</v>
      </c>
      <c r="U115" t="n">
        <v>1.902</v>
      </c>
      <c r="V115" t="n">
        <v>4563523000000</v>
      </c>
    </row>
    <row r="116">
      <c r="A116" t="inlineStr">
        <is>
          <t>Germany</t>
        </is>
      </c>
      <c r="B116" t="inlineStr">
        <is>
          <t>DEU</t>
        </is>
      </c>
      <c r="C116" t="inlineStr">
        <is>
          <t>EXS1.DE</t>
        </is>
      </c>
      <c r="D116" t="n">
        <v>2024</v>
      </c>
      <c r="E116" t="n">
        <v>17.96808286622589</v>
      </c>
      <c r="F116" t="n">
        <v>-0.496</v>
      </c>
      <c r="G116" t="n">
        <v>2.599003</v>
      </c>
      <c r="H116" t="n">
        <v>2.643988</v>
      </c>
      <c r="I116" t="n">
        <v>-8.391871871449416</v>
      </c>
      <c r="J116" t="inlineStr">
        <is>
          <t>Germany|EXS1.DE|2024</t>
        </is>
      </c>
      <c r="K116" t="inlineStr">
        <is>
          <t>Germany|2024</t>
        </is>
      </c>
      <c r="L116" t="inlineStr">
        <is>
          <t>EUR</t>
        </is>
      </c>
      <c r="M116" t="n">
        <v>17.96808286622589</v>
      </c>
      <c r="N116" t="n">
        <v>-5.876354710822507</v>
      </c>
      <c r="O116" t="n">
        <v>-6.367421210260094</v>
      </c>
      <c r="P116" t="n">
        <v>11.03585987144942</v>
      </c>
      <c r="Q116" t="n">
        <v>0.04384529398600012</v>
      </c>
      <c r="R116" t="n">
        <v>10.98719720854651</v>
      </c>
      <c r="S116" t="n">
        <v>2.489</v>
      </c>
      <c r="T116" t="n">
        <v>2.952</v>
      </c>
      <c r="U116" t="n">
        <v>-0.4630000000000001</v>
      </c>
      <c r="V116" t="n">
        <v>4684182000000</v>
      </c>
    </row>
    <row r="117">
      <c r="A117" t="inlineStr">
        <is>
          <t>Germany</t>
        </is>
      </c>
      <c r="B117" t="inlineStr">
        <is>
          <t>DEU</t>
        </is>
      </c>
      <c r="C117" t="inlineStr">
        <is>
          <t>EXS1.DE</t>
        </is>
      </c>
      <c r="D117" t="n">
        <v>2025</v>
      </c>
      <c r="E117" t="n">
        <v>21.8494981969924</v>
      </c>
      <c r="F117" t="n">
        <v>0.191</v>
      </c>
      <c r="G117" t="n">
        <v>2.531734</v>
      </c>
      <c r="H117" t="n">
        <v>7.032007</v>
      </c>
      <c r="I117" t="n">
        <v>-31.24281483556737</v>
      </c>
      <c r="J117" t="inlineStr">
        <is>
          <t>Germany|EXS1.DE|2025</t>
        </is>
      </c>
      <c r="K117" t="inlineStr">
        <is>
          <t>Germany|2025</t>
        </is>
      </c>
      <c r="L117" t="inlineStr">
        <is>
          <t>EUR</t>
        </is>
      </c>
      <c r="M117" t="n">
        <v>21.8494981969924</v>
      </c>
      <c r="N117" t="n">
        <v>13.48000925865149</v>
      </c>
      <c r="O117" t="n">
        <v>13.51067566275939</v>
      </c>
      <c r="P117" t="n">
        <v>38.27482183556737</v>
      </c>
      <c r="Q117" t="n">
        <v>4.389151360533838</v>
      </c>
      <c r="R117" t="n">
        <v>32.46091191794533</v>
      </c>
      <c r="S117" t="n">
        <v>2.114</v>
      </c>
      <c r="T117" t="n">
        <v>2.715</v>
      </c>
      <c r="U117" t="n">
        <v>-0.601</v>
      </c>
      <c r="V117" t="n">
        <v>5013574000000</v>
      </c>
    </row>
    <row r="118">
      <c r="A118" t="inlineStr">
        <is>
          <t>Germany</t>
        </is>
      </c>
      <c r="B118" t="inlineStr">
        <is>
          <t>DEU</t>
        </is>
      </c>
      <c r="C118" t="inlineStr">
        <is>
          <t>EXS1.DE</t>
        </is>
      </c>
      <c r="D118" t="n">
        <v>2026</v>
      </c>
      <c r="E118" t="n">
        <v>-3.395666338637737</v>
      </c>
      <c r="F118" t="n">
        <v>0.944</v>
      </c>
      <c r="G118" t="n">
        <v>2.854457</v>
      </c>
      <c r="H118" t="n">
        <v>6.275164</v>
      </c>
      <c r="I118" t="n">
        <v>12.08039988480445</v>
      </c>
      <c r="J118" t="inlineStr">
        <is>
          <t>Germany|EXS1.DE|2026</t>
        </is>
      </c>
      <c r="K118" t="inlineStr">
        <is>
          <t>Germany|2026</t>
        </is>
      </c>
      <c r="L118" t="inlineStr">
        <is>
          <t>EUR</t>
        </is>
      </c>
      <c r="M118" t="n">
        <v>-3.395666338637737</v>
      </c>
      <c r="N118" t="n">
        <v>-2.494266514598853</v>
      </c>
      <c r="O118" t="inlineStr"/>
      <c r="P118" t="n">
        <v>-5.80523588480445</v>
      </c>
      <c r="Q118" t="n">
        <v>3.3257747234954</v>
      </c>
      <c r="R118" t="n">
        <v>-8.837108294358176</v>
      </c>
      <c r="S118" t="n">
        <v>1.756</v>
      </c>
      <c r="T118" t="n">
        <v>2.435</v>
      </c>
      <c r="U118" t="n">
        <v>-0.679</v>
      </c>
      <c r="V118" t="n">
        <v>5328184000000</v>
      </c>
    </row>
    <row r="119">
      <c r="A119" t="inlineStr">
        <is>
          <t>Germany</t>
        </is>
      </c>
      <c r="B119" t="inlineStr">
        <is>
          <t>DEU</t>
        </is>
      </c>
      <c r="C119" t="inlineStr">
        <is>
          <t>EXS1.DE</t>
        </is>
      </c>
      <c r="D119" t="n">
        <v>2027</v>
      </c>
      <c r="E119" t="inlineStr"/>
      <c r="F119" t="n">
        <v>1.473</v>
      </c>
      <c r="G119" t="n">
        <v>3.466436</v>
      </c>
      <c r="H119" t="n">
        <v>3.198726</v>
      </c>
      <c r="I119" t="inlineStr"/>
      <c r="J119" t="inlineStr">
        <is>
          <t>Germany|EXS1.DE|2027</t>
        </is>
      </c>
      <c r="K119" t="inlineStr">
        <is>
          <t>Germany|2027</t>
        </is>
      </c>
      <c r="L119" t="inlineStr">
        <is>
          <t>EUR</t>
        </is>
      </c>
      <c r="M119" t="inlineStr"/>
      <c r="N119" t="inlineStr"/>
      <c r="O119" t="inlineStr"/>
      <c r="P119" t="inlineStr"/>
      <c r="Q119" t="n">
        <v>-0.2587412603538342</v>
      </c>
      <c r="R119" t="inlineStr"/>
      <c r="S119" t="n">
        <v>2.011</v>
      </c>
      <c r="T119" t="n">
        <v>2.185</v>
      </c>
      <c r="U119" t="n">
        <v>-0.1739999999999999</v>
      </c>
      <c r="V119" t="n">
        <v>5498618000000</v>
      </c>
    </row>
    <row r="120">
      <c r="A120" t="inlineStr">
        <is>
          <t>Germany</t>
        </is>
      </c>
      <c r="B120" t="inlineStr">
        <is>
          <t>DEU</t>
        </is>
      </c>
      <c r="C120" t="inlineStr">
        <is>
          <t>EXS1.DE</t>
        </is>
      </c>
      <c r="D120" t="n">
        <v>2028</v>
      </c>
      <c r="E120" t="inlineStr"/>
      <c r="F120" t="n">
        <v>1.203</v>
      </c>
      <c r="G120" t="n">
        <v>3.37814</v>
      </c>
      <c r="H120" t="n">
        <v>3.196003</v>
      </c>
      <c r="I120" t="inlineStr"/>
      <c r="J120" t="inlineStr">
        <is>
          <t>Germany|EXS1.DE|2028</t>
        </is>
      </c>
      <c r="K120" t="inlineStr">
        <is>
          <t>Germany|2028</t>
        </is>
      </c>
      <c r="L120" t="inlineStr">
        <is>
          <t>EUR</t>
        </is>
      </c>
      <c r="M120" t="inlineStr"/>
      <c r="N120" t="inlineStr"/>
      <c r="O120" t="inlineStr"/>
      <c r="P120" t="inlineStr"/>
      <c r="Q120" t="n">
        <v>-0.176184799263257</v>
      </c>
      <c r="R120" t="inlineStr"/>
      <c r="S120" t="n">
        <v>2.094</v>
      </c>
      <c r="T120" t="n">
        <v>2.206</v>
      </c>
      <c r="U120" t="n">
        <v>-0.1120000000000001</v>
      </c>
      <c r="V120" t="n">
        <v>5674354000000</v>
      </c>
    </row>
    <row r="121">
      <c r="A121" t="inlineStr">
        <is>
          <t>Germany</t>
        </is>
      </c>
      <c r="B121" t="inlineStr">
        <is>
          <t>DEU</t>
        </is>
      </c>
      <c r="C121" t="inlineStr">
        <is>
          <t>EXS1.DE</t>
        </is>
      </c>
      <c r="D121" t="n">
        <v>2029</v>
      </c>
      <c r="E121" t="inlineStr"/>
      <c r="F121" t="n">
        <v>0.98</v>
      </c>
      <c r="G121" t="n">
        <v>3.168367</v>
      </c>
      <c r="H121" t="n">
        <v>3.065389</v>
      </c>
      <c r="I121" t="inlineStr"/>
      <c r="J121" t="inlineStr">
        <is>
          <t>Germany|EXS1.DE|2029</t>
        </is>
      </c>
      <c r="K121" t="inlineStr">
        <is>
          <t>Germany|2029</t>
        </is>
      </c>
      <c r="L121" t="inlineStr">
        <is>
          <t>EUR</t>
        </is>
      </c>
      <c r="M121" t="inlineStr"/>
      <c r="N121" t="inlineStr"/>
      <c r="O121" t="inlineStr"/>
      <c r="P121" t="inlineStr"/>
      <c r="Q121" t="n">
        <v>-0.09981544091334227</v>
      </c>
      <c r="R121" t="inlineStr"/>
      <c r="S121" t="n">
        <v>2.17</v>
      </c>
      <c r="T121" t="n">
        <v>2.203</v>
      </c>
      <c r="U121" t="n">
        <v>-0.03299999999999992</v>
      </c>
      <c r="V121" t="n">
        <v>5848295000000</v>
      </c>
    </row>
    <row r="122">
      <c r="A122" t="inlineStr">
        <is>
          <t>Germany</t>
        </is>
      </c>
      <c r="B122" t="inlineStr">
        <is>
          <t>DEU</t>
        </is>
      </c>
      <c r="C122" t="inlineStr">
        <is>
          <t>XDAX.L</t>
        </is>
      </c>
      <c r="D122" t="n">
        <v>2015</v>
      </c>
      <c r="E122" t="n">
        <v>9.739379736443542</v>
      </c>
      <c r="F122" t="n">
        <v>1.663</v>
      </c>
      <c r="G122" t="inlineStr"/>
      <c r="H122" t="inlineStr"/>
      <c r="I122" t="inlineStr"/>
      <c r="J122" t="inlineStr">
        <is>
          <t>Germany|XDAX.L|2015</t>
        </is>
      </c>
      <c r="K122" t="inlineStr">
        <is>
          <t>Germany|2015</t>
        </is>
      </c>
      <c r="L122" t="inlineStr">
        <is>
          <t>GBp</t>
        </is>
      </c>
      <c r="M122" t="n">
        <v>9.739379736443542</v>
      </c>
      <c r="N122" t="n">
        <v>-4.888855870697362</v>
      </c>
      <c r="O122" t="n">
        <v>-5.407515212426162</v>
      </c>
      <c r="P122" t="n">
        <v>4.374379627731551</v>
      </c>
      <c r="Q122" t="inlineStr"/>
      <c r="R122" t="inlineStr"/>
      <c r="S122" t="n">
        <v>0.68</v>
      </c>
      <c r="T122" t="n">
        <v>0.121</v>
      </c>
      <c r="U122" t="n">
        <v>0.5590000000000001</v>
      </c>
      <c r="V122" t="n">
        <v>3425446000000</v>
      </c>
    </row>
    <row r="123">
      <c r="A123" t="inlineStr">
        <is>
          <t>Germany</t>
        </is>
      </c>
      <c r="B123" t="inlineStr">
        <is>
          <t>DEU</t>
        </is>
      </c>
      <c r="C123" t="inlineStr">
        <is>
          <t>XDAX.L</t>
        </is>
      </c>
      <c r="D123" t="n">
        <v>2016</v>
      </c>
      <c r="E123" t="n">
        <v>11.10671765226789</v>
      </c>
      <c r="F123" t="n">
        <v>2.217</v>
      </c>
      <c r="G123" t="n">
        <v>3.504339</v>
      </c>
      <c r="H123" t="n">
        <v>3.221945</v>
      </c>
      <c r="I123" t="n">
        <v>10.58750647099429</v>
      </c>
      <c r="J123" t="inlineStr">
        <is>
          <t>Germany|XDAX.L|2016</t>
        </is>
      </c>
      <c r="K123" t="inlineStr">
        <is>
          <t>Germany|2016</t>
        </is>
      </c>
      <c r="L123" t="inlineStr">
        <is>
          <t>GBp</t>
        </is>
      </c>
      <c r="M123" t="n">
        <v>11.10671765226789</v>
      </c>
      <c r="N123" t="n">
        <v>-16.62570861023462</v>
      </c>
      <c r="O123" t="n">
        <v>-16.21181156312136</v>
      </c>
      <c r="P123" t="n">
        <v>-7.365561470994287</v>
      </c>
      <c r="Q123" t="n">
        <v>-0.2728327328096358</v>
      </c>
      <c r="R123" t="n">
        <v>-7.112132964913876</v>
      </c>
      <c r="S123" t="n">
        <v>0.367</v>
      </c>
      <c r="T123" t="n">
        <v>1.267</v>
      </c>
      <c r="U123" t="n">
        <v>-0.8999999999999999</v>
      </c>
      <c r="V123" t="n">
        <v>3535812000000</v>
      </c>
    </row>
    <row r="124">
      <c r="A124" t="inlineStr">
        <is>
          <t>Germany</t>
        </is>
      </c>
      <c r="B124" t="inlineStr">
        <is>
          <t>DEU</t>
        </is>
      </c>
      <c r="C124" t="inlineStr">
        <is>
          <t>XDAX.L</t>
        </is>
      </c>
      <c r="D124" t="n">
        <v>2017</v>
      </c>
      <c r="E124" t="n">
        <v>-1.427771945157674</v>
      </c>
      <c r="F124" t="n">
        <v>2.806</v>
      </c>
      <c r="G124" t="n">
        <v>4.315835</v>
      </c>
      <c r="H124" t="n">
        <v>6.454274</v>
      </c>
      <c r="I124" t="n">
        <v>-0.83310726796753</v>
      </c>
      <c r="J124" t="inlineStr">
        <is>
          <t>Germany|XDAX.L|2017</t>
        </is>
      </c>
      <c r="K124" t="inlineStr">
        <is>
          <t>Germany|2017</t>
        </is>
      </c>
      <c r="L124" t="inlineStr">
        <is>
          <t>GBp</t>
        </is>
      </c>
      <c r="M124" t="n">
        <v>-1.427771945157674</v>
      </c>
      <c r="N124" t="n">
        <v>8.841388071573641</v>
      </c>
      <c r="O124" t="n">
        <v>9.450435944365921</v>
      </c>
      <c r="P124" t="n">
        <v>7.28738126796753</v>
      </c>
      <c r="Q124" t="n">
        <v>2.04996574222911</v>
      </c>
      <c r="R124" t="n">
        <v>5.132207039606218</v>
      </c>
      <c r="S124" t="n">
        <v>1.702</v>
      </c>
      <c r="T124" t="n">
        <v>2.131</v>
      </c>
      <c r="U124" t="n">
        <v>-0.4289999999999998</v>
      </c>
      <c r="V124" t="n">
        <v>3764023000000</v>
      </c>
    </row>
    <row r="125">
      <c r="A125" t="inlineStr">
        <is>
          <t>Germany</t>
        </is>
      </c>
      <c r="B125" t="inlineStr">
        <is>
          <t>DEU</t>
        </is>
      </c>
      <c r="C125" t="inlineStr">
        <is>
          <t>XDAX.L</t>
        </is>
      </c>
      <c r="D125" t="n">
        <v>2018</v>
      </c>
      <c r="E125" t="n">
        <v>-16.66816789767609</v>
      </c>
      <c r="F125" t="n">
        <v>1.133</v>
      </c>
      <c r="G125" t="n">
        <v>3.027803</v>
      </c>
      <c r="H125" t="n">
        <v>7.79084</v>
      </c>
      <c r="I125" t="n">
        <v>29.53000339706877</v>
      </c>
      <c r="J125" t="inlineStr">
        <is>
          <t>Germany|XDAX.L|2018</t>
        </is>
      </c>
      <c r="K125" t="inlineStr">
        <is>
          <t>Germany|2018</t>
        </is>
      </c>
      <c r="L125" t="inlineStr">
        <is>
          <t>GBp</t>
        </is>
      </c>
      <c r="M125" t="n">
        <v>-16.66816789767609</v>
      </c>
      <c r="N125" t="n">
        <v>-6.085304224640065</v>
      </c>
      <c r="O125" t="n">
        <v>-5.756316180609423</v>
      </c>
      <c r="P125" t="n">
        <v>-21.73916339706877</v>
      </c>
      <c r="Q125" t="n">
        <v>4.623059749553748</v>
      </c>
      <c r="R125" t="n">
        <v>-25.19733528127385</v>
      </c>
      <c r="S125" t="n">
        <v>1.935</v>
      </c>
      <c r="T125" t="n">
        <v>2.439</v>
      </c>
      <c r="U125" t="n">
        <v>-0.504</v>
      </c>
      <c r="V125" t="n">
        <v>4057272000000</v>
      </c>
    </row>
    <row r="126">
      <c r="A126" t="inlineStr">
        <is>
          <t>Germany</t>
        </is>
      </c>
      <c r="B126" t="inlineStr">
        <is>
          <t>DEU</t>
        </is>
      </c>
      <c r="C126" t="inlineStr">
        <is>
          <t>XDAX.L</t>
        </is>
      </c>
      <c r="D126" t="n">
        <v>2019</v>
      </c>
      <c r="E126" t="n">
        <v>16.50359478890751</v>
      </c>
      <c r="F126" t="n">
        <v>0.973</v>
      </c>
      <c r="G126" t="n">
        <v>3.006671</v>
      </c>
      <c r="H126" t="n">
        <v>-2.38929</v>
      </c>
      <c r="I126" t="n">
        <v>-22.32259251701548</v>
      </c>
      <c r="J126" t="inlineStr">
        <is>
          <t>Germany|XDAX.L|2019</t>
        </is>
      </c>
      <c r="K126" t="inlineStr">
        <is>
          <t>Germany|2019</t>
        </is>
      </c>
      <c r="L126" t="inlineStr">
        <is>
          <t>GBp</t>
        </is>
      </c>
      <c r="M126" t="n">
        <v>16.50359478890751</v>
      </c>
      <c r="N126" t="n">
        <v>2.94386429390634</v>
      </c>
      <c r="O126" t="n">
        <v>4.118031584084703</v>
      </c>
      <c r="P126" t="n">
        <v>19.93330251701548</v>
      </c>
      <c r="Q126" t="n">
        <v>-5.238458372604448</v>
      </c>
      <c r="R126" t="n">
        <v>26.56326655025922</v>
      </c>
      <c r="S126" t="n">
        <v>1.354</v>
      </c>
      <c r="T126" t="n">
        <v>1.813</v>
      </c>
      <c r="U126" t="n">
        <v>-0.4589999999999999</v>
      </c>
      <c r="V126" t="n">
        <v>3960332000000</v>
      </c>
    </row>
    <row r="127">
      <c r="A127" t="inlineStr">
        <is>
          <t>Germany</t>
        </is>
      </c>
      <c r="B127" t="inlineStr">
        <is>
          <t>DEU</t>
        </is>
      </c>
      <c r="C127" t="inlineStr">
        <is>
          <t>XDAX.L</t>
        </is>
      </c>
      <c r="D127" t="n">
        <v>2020</v>
      </c>
      <c r="E127" t="n">
        <v>7.320404261130853</v>
      </c>
      <c r="F127" t="n">
        <v>-4.127</v>
      </c>
      <c r="G127" t="n">
        <v>-2.447078</v>
      </c>
      <c r="H127" t="n">
        <v>-0.557731</v>
      </c>
      <c r="I127" t="n">
        <v>-10.85648936261787</v>
      </c>
      <c r="J127" t="inlineStr">
        <is>
          <t>Germany|XDAX.L|2020</t>
        </is>
      </c>
      <c r="K127" t="inlineStr">
        <is>
          <t>Germany|2020</t>
        </is>
      </c>
      <c r="L127" t="inlineStr">
        <is>
          <t>GBp</t>
        </is>
      </c>
      <c r="M127" t="n">
        <v>7.320404261130853</v>
      </c>
      <c r="N127" t="n">
        <v>2.775198362317122</v>
      </c>
      <c r="O127" t="n">
        <v>3.094474617937659</v>
      </c>
      <c r="P127" t="n">
        <v>10.29875836261787</v>
      </c>
      <c r="Q127" t="n">
        <v>1.936740512948876</v>
      </c>
      <c r="R127" t="n">
        <v>8.203144231992354</v>
      </c>
      <c r="S127" t="n">
        <v>0.371</v>
      </c>
      <c r="T127" t="n">
        <v>1.253</v>
      </c>
      <c r="U127" t="n">
        <v>-0.8819999999999999</v>
      </c>
      <c r="V127" t="n">
        <v>3938244000000</v>
      </c>
    </row>
    <row r="128">
      <c r="A128" t="inlineStr">
        <is>
          <t>Germany</t>
        </is>
      </c>
      <c r="B128" t="inlineStr">
        <is>
          <t>DEU</t>
        </is>
      </c>
      <c r="C128" t="inlineStr">
        <is>
          <t>XDAX.L</t>
        </is>
      </c>
      <c r="D128" t="n">
        <v>2021</v>
      </c>
      <c r="E128" t="n">
        <v>6.768558951965065</v>
      </c>
      <c r="F128" t="n">
        <v>3.913</v>
      </c>
      <c r="G128" t="n">
        <v>6.712222</v>
      </c>
      <c r="H128" t="n">
        <v>10.662189</v>
      </c>
      <c r="I128" t="n">
        <v>5.257299986360442</v>
      </c>
      <c r="J128" t="inlineStr">
        <is>
          <t>Germany|XDAX.L|2021</t>
        </is>
      </c>
      <c r="K128" t="inlineStr">
        <is>
          <t>Germany|2021</t>
        </is>
      </c>
      <c r="L128" t="inlineStr">
        <is>
          <t>GBp</t>
        </is>
      </c>
      <c r="M128" t="n">
        <v>6.768558951965065</v>
      </c>
      <c r="N128" t="n">
        <v>-1.277220514832489</v>
      </c>
      <c r="O128" t="n">
        <v>-1.102343119945948</v>
      </c>
      <c r="P128" t="n">
        <v>5.404889013639558</v>
      </c>
      <c r="Q128" t="n">
        <v>3.70151240779959</v>
      </c>
      <c r="R128" t="n">
        <v>1.642576435280474</v>
      </c>
      <c r="S128" t="n">
        <v>3.212</v>
      </c>
      <c r="T128" t="n">
        <v>4.679</v>
      </c>
      <c r="U128" t="n">
        <v>-1.467</v>
      </c>
      <c r="V128" t="n">
        <v>4358147000000</v>
      </c>
    </row>
    <row r="129">
      <c r="A129" t="inlineStr">
        <is>
          <t>Germany</t>
        </is>
      </c>
      <c r="B129" t="inlineStr">
        <is>
          <t>DEU</t>
        </is>
      </c>
      <c r="C129" t="inlineStr">
        <is>
          <t>XDAX.L</t>
        </is>
      </c>
      <c r="D129" t="n">
        <v>2022</v>
      </c>
      <c r="E129" t="n">
        <v>-8.695314321237079</v>
      </c>
      <c r="F129" t="n">
        <v>1.807</v>
      </c>
      <c r="G129" t="n">
        <v>8.338448</v>
      </c>
      <c r="H129" t="n">
        <v>-3.529482</v>
      </c>
      <c r="I129" t="n">
        <v>15.06421619199018</v>
      </c>
      <c r="J129" t="inlineStr">
        <is>
          <t>Germany|XDAX.L|2022</t>
        </is>
      </c>
      <c r="K129" t="inlineStr">
        <is>
          <t>Germany|2022</t>
        </is>
      </c>
      <c r="L129" t="inlineStr">
        <is>
          <t>GBp</t>
        </is>
      </c>
      <c r="M129" t="n">
        <v>-8.695314321237079</v>
      </c>
      <c r="N129" t="n">
        <v>-10.84104698150823</v>
      </c>
      <c r="O129" t="n">
        <v>-10.36772851390696</v>
      </c>
      <c r="P129" t="n">
        <v>-18.59369819199018</v>
      </c>
      <c r="Q129" t="n">
        <v>-10.95449469055349</v>
      </c>
      <c r="R129" t="n">
        <v>-8.578988321633208</v>
      </c>
      <c r="S129" t="n">
        <v>8.666</v>
      </c>
      <c r="T129" t="n">
        <v>7.993</v>
      </c>
      <c r="U129" t="n">
        <v>0.673</v>
      </c>
      <c r="V129" t="n">
        <v>4204327000000</v>
      </c>
    </row>
    <row r="130">
      <c r="A130" t="inlineStr">
        <is>
          <t>Germany</t>
        </is>
      </c>
      <c r="B130" t="inlineStr">
        <is>
          <t>DEU</t>
        </is>
      </c>
      <c r="C130" t="inlineStr">
        <is>
          <t>XDAX.L</t>
        </is>
      </c>
      <c r="D130" t="n">
        <v>2023</v>
      </c>
      <c r="E130" t="n">
        <v>15.80053817692566</v>
      </c>
      <c r="F130" t="n">
        <v>-0.872</v>
      </c>
      <c r="G130" t="n">
        <v>5.763287</v>
      </c>
      <c r="H130" t="n">
        <v>8.543483999999999</v>
      </c>
      <c r="I130" t="n">
        <v>-13.12007095905226</v>
      </c>
      <c r="J130" t="inlineStr">
        <is>
          <t>Germany|XDAX.L|2023</t>
        </is>
      </c>
      <c r="K130" t="inlineStr">
        <is>
          <t>Germany|2023</t>
        </is>
      </c>
      <c r="L130" t="inlineStr">
        <is>
          <t>GBp</t>
        </is>
      </c>
      <c r="M130" t="n">
        <v>15.80053817692566</v>
      </c>
      <c r="N130" t="n">
        <v>5.06303068571996</v>
      </c>
      <c r="O130" t="n">
        <v>5.030130998783355</v>
      </c>
      <c r="P130" t="n">
        <v>21.66355495905226</v>
      </c>
      <c r="Q130" t="n">
        <v>2.628697394305357</v>
      </c>
      <c r="R130" t="n">
        <v>18.54730504043511</v>
      </c>
      <c r="S130" t="n">
        <v>6.03</v>
      </c>
      <c r="T130" t="n">
        <v>4.128</v>
      </c>
      <c r="U130" t="n">
        <v>1.902</v>
      </c>
      <c r="V130" t="n">
        <v>4563523000000</v>
      </c>
    </row>
    <row r="131">
      <c r="A131" t="inlineStr">
        <is>
          <t>Germany</t>
        </is>
      </c>
      <c r="B131" t="inlineStr">
        <is>
          <t>DEU</t>
        </is>
      </c>
      <c r="C131" t="inlineStr">
        <is>
          <t>XDAX.L</t>
        </is>
      </c>
      <c r="D131" t="n">
        <v>2024</v>
      </c>
      <c r="E131" t="n">
        <v>13.16821615339918</v>
      </c>
      <c r="F131" t="n">
        <v>-0.496</v>
      </c>
      <c r="G131" t="n">
        <v>2.599003</v>
      </c>
      <c r="H131" t="n">
        <v>2.643988</v>
      </c>
      <c r="I131" t="n">
        <v>-8.916047230082576</v>
      </c>
      <c r="J131" t="inlineStr">
        <is>
          <t>Germany|XDAX.L|2024</t>
        </is>
      </c>
      <c r="K131" t="inlineStr">
        <is>
          <t>Germany|2024</t>
        </is>
      </c>
      <c r="L131" t="inlineStr">
        <is>
          <t>GBp</t>
        </is>
      </c>
      <c r="M131" t="n">
        <v>13.16821615339918</v>
      </c>
      <c r="N131" t="n">
        <v>-1.421053523664917</v>
      </c>
      <c r="O131" t="n">
        <v>-1.655539060617606</v>
      </c>
      <c r="P131" t="n">
        <v>11.56003523008258</v>
      </c>
      <c r="Q131" t="n">
        <v>0.04384529398600012</v>
      </c>
      <c r="R131" t="n">
        <v>11.51114284167649</v>
      </c>
      <c r="S131" t="n">
        <v>2.489</v>
      </c>
      <c r="T131" t="n">
        <v>2.952</v>
      </c>
      <c r="U131" t="n">
        <v>-0.4630000000000001</v>
      </c>
      <c r="V131" t="n">
        <v>4684182000000</v>
      </c>
    </row>
    <row r="132">
      <c r="A132" t="inlineStr">
        <is>
          <t>Germany</t>
        </is>
      </c>
      <c r="B132" t="inlineStr">
        <is>
          <t>DEU</t>
        </is>
      </c>
      <c r="C132" t="inlineStr">
        <is>
          <t>XDAX.L</t>
        </is>
      </c>
      <c r="D132" t="n">
        <v>2025</v>
      </c>
      <c r="E132" t="n">
        <v>28.64559964104865</v>
      </c>
      <c r="F132" t="n">
        <v>0.191</v>
      </c>
      <c r="G132" t="n">
        <v>2.531734</v>
      </c>
      <c r="H132" t="n">
        <v>7.032007</v>
      </c>
      <c r="I132" t="n">
        <v>-31.3545468218239</v>
      </c>
      <c r="J132" t="inlineStr">
        <is>
          <t>Germany|XDAX.L|2025</t>
        </is>
      </c>
      <c r="K132" t="inlineStr">
        <is>
          <t>Germany|2025</t>
        </is>
      </c>
      <c r="L132" t="inlineStr">
        <is>
          <t>GBp</t>
        </is>
      </c>
      <c r="M132" t="n">
        <v>28.64559964104865</v>
      </c>
      <c r="N132" t="n">
        <v>7.571929555270285</v>
      </c>
      <c r="O132" t="n">
        <v>7.623377354227179</v>
      </c>
      <c r="P132" t="n">
        <v>38.3865538218239</v>
      </c>
      <c r="Q132" t="n">
        <v>4.389151360533838</v>
      </c>
      <c r="R132" t="n">
        <v>32.56794601564638</v>
      </c>
      <c r="S132" t="n">
        <v>2.114</v>
      </c>
      <c r="T132" t="n">
        <v>2.715</v>
      </c>
      <c r="U132" t="n">
        <v>-0.601</v>
      </c>
      <c r="V132" t="n">
        <v>5013574000000</v>
      </c>
    </row>
    <row r="133">
      <c r="A133" t="inlineStr">
        <is>
          <t>Germany</t>
        </is>
      </c>
      <c r="B133" t="inlineStr">
        <is>
          <t>DEU</t>
        </is>
      </c>
      <c r="C133" t="inlineStr">
        <is>
          <t>XDAX.L</t>
        </is>
      </c>
      <c r="D133" t="n">
        <v>2026</v>
      </c>
      <c r="E133" t="n">
        <v>-4.140859140859132</v>
      </c>
      <c r="F133" t="n">
        <v>0.944</v>
      </c>
      <c r="G133" t="n">
        <v>2.854457</v>
      </c>
      <c r="H133" t="n">
        <v>6.275164</v>
      </c>
      <c r="I133" t="n">
        <v>11.98838347660577</v>
      </c>
      <c r="J133" t="inlineStr">
        <is>
          <t>Germany|XDAX.L|2026</t>
        </is>
      </c>
      <c r="K133" t="inlineStr">
        <is>
          <t>Germany|2026</t>
        </is>
      </c>
      <c r="L133" t="inlineStr">
        <is>
          <t>GBp</t>
        </is>
      </c>
      <c r="M133" t="n">
        <v>-4.140859140859132</v>
      </c>
      <c r="N133" t="n">
        <v>-1.640282107323621</v>
      </c>
      <c r="O133" t="inlineStr"/>
      <c r="P133" t="n">
        <v>-5.713219476605769</v>
      </c>
      <c r="Q133" t="n">
        <v>3.3257747234954</v>
      </c>
      <c r="R133" t="n">
        <v>-8.748053643236586</v>
      </c>
      <c r="S133" t="n">
        <v>1.756</v>
      </c>
      <c r="T133" t="n">
        <v>2.435</v>
      </c>
      <c r="U133" t="n">
        <v>-0.679</v>
      </c>
      <c r="V133" t="n">
        <v>5328184000000</v>
      </c>
    </row>
    <row r="134">
      <c r="A134" t="inlineStr">
        <is>
          <t>Germany</t>
        </is>
      </c>
      <c r="B134" t="inlineStr">
        <is>
          <t>DEU</t>
        </is>
      </c>
      <c r="C134" t="inlineStr">
        <is>
          <t>XDAX.L</t>
        </is>
      </c>
      <c r="D134" t="n">
        <v>2027</v>
      </c>
      <c r="E134" t="inlineStr"/>
      <c r="F134" t="n">
        <v>1.473</v>
      </c>
      <c r="G134" t="n">
        <v>3.466436</v>
      </c>
      <c r="H134" t="n">
        <v>3.198726</v>
      </c>
      <c r="I134" t="inlineStr"/>
      <c r="J134" t="inlineStr">
        <is>
          <t>Germany|XDAX.L|2027</t>
        </is>
      </c>
      <c r="K134" t="inlineStr">
        <is>
          <t>Germany|2027</t>
        </is>
      </c>
      <c r="L134" t="inlineStr">
        <is>
          <t>GBp</t>
        </is>
      </c>
      <c r="M134" t="inlineStr"/>
      <c r="N134" t="inlineStr"/>
      <c r="O134" t="inlineStr"/>
      <c r="P134" t="inlineStr"/>
      <c r="Q134" t="n">
        <v>-0.2587412603538342</v>
      </c>
      <c r="R134" t="inlineStr"/>
      <c r="S134" t="n">
        <v>2.011</v>
      </c>
      <c r="T134" t="n">
        <v>2.185</v>
      </c>
      <c r="U134" t="n">
        <v>-0.1739999999999999</v>
      </c>
      <c r="V134" t="n">
        <v>5498618000000</v>
      </c>
    </row>
    <row r="135">
      <c r="A135" t="inlineStr">
        <is>
          <t>Germany</t>
        </is>
      </c>
      <c r="B135" t="inlineStr">
        <is>
          <t>DEU</t>
        </is>
      </c>
      <c r="C135" t="inlineStr">
        <is>
          <t>XDAX.L</t>
        </is>
      </c>
      <c r="D135" t="n">
        <v>2028</v>
      </c>
      <c r="E135" t="inlineStr"/>
      <c r="F135" t="n">
        <v>1.203</v>
      </c>
      <c r="G135" t="n">
        <v>3.37814</v>
      </c>
      <c r="H135" t="n">
        <v>3.196003</v>
      </c>
      <c r="I135" t="inlineStr"/>
      <c r="J135" t="inlineStr">
        <is>
          <t>Germany|XDAX.L|2028</t>
        </is>
      </c>
      <c r="K135" t="inlineStr">
        <is>
          <t>Germany|2028</t>
        </is>
      </c>
      <c r="L135" t="inlineStr">
        <is>
          <t>GBp</t>
        </is>
      </c>
      <c r="M135" t="inlineStr"/>
      <c r="N135" t="inlineStr"/>
      <c r="O135" t="inlineStr"/>
      <c r="P135" t="inlineStr"/>
      <c r="Q135" t="n">
        <v>-0.176184799263257</v>
      </c>
      <c r="R135" t="inlineStr"/>
      <c r="S135" t="n">
        <v>2.094</v>
      </c>
      <c r="T135" t="n">
        <v>2.206</v>
      </c>
      <c r="U135" t="n">
        <v>-0.1120000000000001</v>
      </c>
      <c r="V135" t="n">
        <v>5674354000000</v>
      </c>
    </row>
    <row r="136">
      <c r="A136" t="inlineStr">
        <is>
          <t>Germany</t>
        </is>
      </c>
      <c r="B136" t="inlineStr">
        <is>
          <t>DEU</t>
        </is>
      </c>
      <c r="C136" t="inlineStr">
        <is>
          <t>XDAX.L</t>
        </is>
      </c>
      <c r="D136" t="n">
        <v>2029</v>
      </c>
      <c r="E136" t="inlineStr"/>
      <c r="F136" t="n">
        <v>0.98</v>
      </c>
      <c r="G136" t="n">
        <v>3.168367</v>
      </c>
      <c r="H136" t="n">
        <v>3.065389</v>
      </c>
      <c r="I136" t="inlineStr"/>
      <c r="J136" t="inlineStr">
        <is>
          <t>Germany|XDAX.L|2029</t>
        </is>
      </c>
      <c r="K136" t="inlineStr">
        <is>
          <t>Germany|2029</t>
        </is>
      </c>
      <c r="L136" t="inlineStr">
        <is>
          <t>GBp</t>
        </is>
      </c>
      <c r="M136" t="inlineStr"/>
      <c r="N136" t="inlineStr"/>
      <c r="O136" t="inlineStr"/>
      <c r="P136" t="inlineStr"/>
      <c r="Q136" t="n">
        <v>-0.09981544091334227</v>
      </c>
      <c r="R136" t="inlineStr"/>
      <c r="S136" t="n">
        <v>2.17</v>
      </c>
      <c r="T136" t="n">
        <v>2.203</v>
      </c>
      <c r="U136" t="n">
        <v>-0.03299999999999992</v>
      </c>
      <c r="V136" t="n">
        <v>5848295000000</v>
      </c>
    </row>
    <row r="137">
      <c r="A137" t="inlineStr">
        <is>
          <t>Greece</t>
        </is>
      </c>
      <c r="B137" t="inlineStr">
        <is>
          <t>GRC</t>
        </is>
      </c>
      <c r="C137" t="inlineStr">
        <is>
          <t>GREK</t>
        </is>
      </c>
      <c r="D137" t="n">
        <v>2015</v>
      </c>
      <c r="E137" t="n">
        <v>-41.20250348025711</v>
      </c>
      <c r="F137" t="n">
        <v>-0.228</v>
      </c>
      <c r="G137" t="inlineStr"/>
      <c r="H137" t="inlineStr"/>
      <c r="I137" t="inlineStr"/>
      <c r="J137" t="inlineStr">
        <is>
          <t>Greece|GREK|2015</t>
        </is>
      </c>
      <c r="K137" t="inlineStr">
        <is>
          <t>Greece|2015</t>
        </is>
      </c>
      <c r="L137" t="inlineStr">
        <is>
          <t>USD</t>
        </is>
      </c>
      <c r="M137" t="n">
        <v>-41.20250348025711</v>
      </c>
      <c r="N137" t="n">
        <v>0</v>
      </c>
      <c r="O137" t="n">
        <v>0</v>
      </c>
      <c r="P137" t="n">
        <v>-41.20250348025711</v>
      </c>
      <c r="Q137" t="inlineStr"/>
      <c r="R137" t="inlineStr"/>
      <c r="S137" t="n">
        <v>-1.094</v>
      </c>
      <c r="T137" t="n">
        <v>0.121</v>
      </c>
      <c r="U137" t="n">
        <v>-1.215</v>
      </c>
      <c r="V137" t="n">
        <v>194587000000</v>
      </c>
    </row>
    <row r="138">
      <c r="A138" t="inlineStr">
        <is>
          <t>Greece</t>
        </is>
      </c>
      <c r="B138" t="inlineStr">
        <is>
          <t>GRC</t>
        </is>
      </c>
      <c r="C138" t="inlineStr">
        <is>
          <t>GREK</t>
        </is>
      </c>
      <c r="D138" t="n">
        <v>2016</v>
      </c>
      <c r="E138" t="n">
        <v>-1.453814768007922</v>
      </c>
      <c r="F138" t="n">
        <v>-0.032</v>
      </c>
      <c r="G138" t="n">
        <v>-0.521775</v>
      </c>
      <c r="H138" t="n">
        <v>-0.7929619999999999</v>
      </c>
      <c r="I138" t="n">
        <v>0.6608527680079217</v>
      </c>
      <c r="J138" t="inlineStr">
        <is>
          <t>Greece|GREK|2016</t>
        </is>
      </c>
      <c r="K138" t="inlineStr">
        <is>
          <t>Greece|2016</t>
        </is>
      </c>
      <c r="L138" t="inlineStr">
        <is>
          <t>USD</t>
        </is>
      </c>
      <c r="M138" t="n">
        <v>-1.453814768007922</v>
      </c>
      <c r="N138" t="n">
        <v>0</v>
      </c>
      <c r="O138" t="n">
        <v>0</v>
      </c>
      <c r="P138" t="n">
        <v>-1.453814768007922</v>
      </c>
      <c r="Q138" t="n">
        <v>-0.2726090758551236</v>
      </c>
      <c r="R138" t="n">
        <v>-1.184434568283499</v>
      </c>
      <c r="S138" t="n">
        <v>0.013</v>
      </c>
      <c r="T138" t="n">
        <v>1.267</v>
      </c>
      <c r="U138" t="n">
        <v>-1.254</v>
      </c>
      <c r="V138" t="n">
        <v>193044000000</v>
      </c>
    </row>
    <row r="139">
      <c r="A139" t="inlineStr">
        <is>
          <t>Greece</t>
        </is>
      </c>
      <c r="B139" t="inlineStr">
        <is>
          <t>GRC</t>
        </is>
      </c>
      <c r="C139" t="inlineStr">
        <is>
          <t>GREK</t>
        </is>
      </c>
      <c r="D139" t="n">
        <v>2017</v>
      </c>
      <c r="E139" t="n">
        <v>30.60834634762692</v>
      </c>
      <c r="F139" t="n">
        <v>1.473</v>
      </c>
      <c r="G139" t="n">
        <v>1.680157</v>
      </c>
      <c r="H139" t="n">
        <v>3.763909</v>
      </c>
      <c r="I139" t="n">
        <v>-26.84443734762692</v>
      </c>
      <c r="J139" t="inlineStr">
        <is>
          <t>Greece|GREK|2017</t>
        </is>
      </c>
      <c r="K139" t="inlineStr">
        <is>
          <t>Greece|2017</t>
        </is>
      </c>
      <c r="L139" t="inlineStr">
        <is>
          <t>USD</t>
        </is>
      </c>
      <c r="M139" t="n">
        <v>30.60834634762692</v>
      </c>
      <c r="N139" t="n">
        <v>0</v>
      </c>
      <c r="O139" t="n">
        <v>0</v>
      </c>
      <c r="P139" t="n">
        <v>30.60834634762692</v>
      </c>
      <c r="Q139" t="n">
        <v>2.049320116562869</v>
      </c>
      <c r="R139" t="n">
        <v>27.98551347372362</v>
      </c>
      <c r="S139" t="n">
        <v>1.138</v>
      </c>
      <c r="T139" t="n">
        <v>2.131</v>
      </c>
      <c r="U139" t="n">
        <v>-0.9929999999999999</v>
      </c>
      <c r="V139" t="n">
        <v>200310000000</v>
      </c>
    </row>
    <row r="140">
      <c r="A140" t="inlineStr">
        <is>
          <t>Greece</t>
        </is>
      </c>
      <c r="B140" t="inlineStr">
        <is>
          <t>GRC</t>
        </is>
      </c>
      <c r="C140" t="inlineStr">
        <is>
          <t>GREK</t>
        </is>
      </c>
      <c r="D140" t="n">
        <v>2018</v>
      </c>
      <c r="E140" t="n">
        <v>-32.43208574463836</v>
      </c>
      <c r="F140" t="n">
        <v>2.065</v>
      </c>
      <c r="G140" t="n">
        <v>1.824906</v>
      </c>
      <c r="H140" t="n">
        <v>6.532874</v>
      </c>
      <c r="I140" t="n">
        <v>38.96495974463836</v>
      </c>
      <c r="J140" t="inlineStr">
        <is>
          <t>Greece|GREK|2018</t>
        </is>
      </c>
      <c r="K140" t="inlineStr">
        <is>
          <t>Greece|2018</t>
        </is>
      </c>
      <c r="L140" t="inlineStr">
        <is>
          <t>USD</t>
        </is>
      </c>
      <c r="M140" t="n">
        <v>-32.43208574463836</v>
      </c>
      <c r="N140" t="n">
        <v>0</v>
      </c>
      <c r="O140" t="n">
        <v>0</v>
      </c>
      <c r="P140" t="n">
        <v>-32.43208574463836</v>
      </c>
      <c r="Q140" t="n">
        <v>4.623591848279407</v>
      </c>
      <c r="R140" t="n">
        <v>-35.418089685407</v>
      </c>
      <c r="S140" t="n">
        <v>0.774</v>
      </c>
      <c r="T140" t="n">
        <v>2.439</v>
      </c>
      <c r="U140" t="n">
        <v>-1.665</v>
      </c>
      <c r="V140" t="n">
        <v>213396000000</v>
      </c>
    </row>
    <row r="141">
      <c r="A141" t="inlineStr">
        <is>
          <t>Greece</t>
        </is>
      </c>
      <c r="B141" t="inlineStr">
        <is>
          <t>GRC</t>
        </is>
      </c>
      <c r="C141" t="inlineStr">
        <is>
          <t>GREK</t>
        </is>
      </c>
      <c r="D141" t="n">
        <v>2019</v>
      </c>
      <c r="E141" t="n">
        <v>51.73713391682065</v>
      </c>
      <c r="F141" t="n">
        <v>2.277</v>
      </c>
      <c r="G141" t="n">
        <v>2.527462</v>
      </c>
      <c r="H141" t="n">
        <v>-2.843071</v>
      </c>
      <c r="I141" t="n">
        <v>-54.58020491682065</v>
      </c>
      <c r="J141" t="inlineStr">
        <is>
          <t>Greece|GREK|2019</t>
        </is>
      </c>
      <c r="K141" t="inlineStr">
        <is>
          <t>Greece|2019</t>
        </is>
      </c>
      <c r="L141" t="inlineStr">
        <is>
          <t>USD</t>
        </is>
      </c>
      <c r="M141" t="n">
        <v>51.73713391682065</v>
      </c>
      <c r="N141" t="n">
        <v>0</v>
      </c>
      <c r="O141" t="n">
        <v>0</v>
      </c>
      <c r="P141" t="n">
        <v>51.73713391682065</v>
      </c>
      <c r="Q141" t="n">
        <v>-5.238140680804115</v>
      </c>
      <c r="R141" t="n">
        <v>60.12469046824971</v>
      </c>
      <c r="S141" t="n">
        <v>0.517</v>
      </c>
      <c r="T141" t="n">
        <v>1.813</v>
      </c>
      <c r="U141" t="n">
        <v>-1.296</v>
      </c>
      <c r="V141" t="n">
        <v>207329000000</v>
      </c>
    </row>
    <row r="142">
      <c r="A142" t="inlineStr">
        <is>
          <t>Greece</t>
        </is>
      </c>
      <c r="B142" t="inlineStr">
        <is>
          <t>GRC</t>
        </is>
      </c>
      <c r="C142" t="inlineStr">
        <is>
          <t>GREK</t>
        </is>
      </c>
      <c r="D142" t="n">
        <v>2020</v>
      </c>
      <c r="E142" t="n">
        <v>-14.90058238965606</v>
      </c>
      <c r="F142" t="n">
        <v>-9.196</v>
      </c>
      <c r="G142" t="n">
        <v>-9.526355000000001</v>
      </c>
      <c r="H142" t="n">
        <v>-7.7746</v>
      </c>
      <c r="I142" t="n">
        <v>7.125982389656058</v>
      </c>
      <c r="J142" t="inlineStr">
        <is>
          <t>Greece|GREK|2020</t>
        </is>
      </c>
      <c r="K142" t="inlineStr">
        <is>
          <t>Greece|2020</t>
        </is>
      </c>
      <c r="L142" t="inlineStr">
        <is>
          <t>USD</t>
        </is>
      </c>
      <c r="M142" t="n">
        <v>-14.90058238965606</v>
      </c>
      <c r="N142" t="n">
        <v>0</v>
      </c>
      <c r="O142" t="n">
        <v>0</v>
      </c>
      <c r="P142" t="n">
        <v>-14.90058238965606</v>
      </c>
      <c r="Q142" t="n">
        <v>1.936205301204375</v>
      </c>
      <c r="R142" t="n">
        <v>-16.51698495260889</v>
      </c>
      <c r="S142" t="n">
        <v>-1.262</v>
      </c>
      <c r="T142" t="n">
        <v>1.253</v>
      </c>
      <c r="U142" t="n">
        <v>-2.515</v>
      </c>
      <c r="V142" t="n">
        <v>191210000000</v>
      </c>
    </row>
    <row r="143">
      <c r="A143" t="inlineStr">
        <is>
          <t>Greece</t>
        </is>
      </c>
      <c r="B143" t="inlineStr">
        <is>
          <t>GRC</t>
        </is>
      </c>
      <c r="C143" t="inlineStr">
        <is>
          <t>GREK</t>
        </is>
      </c>
      <c r="D143" t="n">
        <v>2021</v>
      </c>
      <c r="E143" t="n">
        <v>5.064047728290255</v>
      </c>
      <c r="F143" t="n">
        <v>8.654</v>
      </c>
      <c r="G143" t="n">
        <v>10.167721</v>
      </c>
      <c r="H143" t="n">
        <v>14.245594</v>
      </c>
      <c r="I143" t="n">
        <v>9.181546271709745</v>
      </c>
      <c r="J143" t="inlineStr">
        <is>
          <t>Greece|GREK|2021</t>
        </is>
      </c>
      <c r="K143" t="inlineStr">
        <is>
          <t>Greece|2021</t>
        </is>
      </c>
      <c r="L143" t="inlineStr">
        <is>
          <t>USD</t>
        </is>
      </c>
      <c r="M143" t="n">
        <v>5.064047728290255</v>
      </c>
      <c r="N143" t="n">
        <v>0</v>
      </c>
      <c r="O143" t="n">
        <v>0</v>
      </c>
      <c r="P143" t="n">
        <v>5.064047728290255</v>
      </c>
      <c r="Q143" t="n">
        <v>3.701513171218962</v>
      </c>
      <c r="R143" t="n">
        <v>1.313900362111053</v>
      </c>
      <c r="S143" t="n">
        <v>0.574</v>
      </c>
      <c r="T143" t="n">
        <v>4.679</v>
      </c>
      <c r="U143" t="n">
        <v>-4.105</v>
      </c>
      <c r="V143" t="n">
        <v>218449000000</v>
      </c>
    </row>
    <row r="144">
      <c r="A144" t="inlineStr">
        <is>
          <t>Greece</t>
        </is>
      </c>
      <c r="B144" t="inlineStr">
        <is>
          <t>GRC</t>
        </is>
      </c>
      <c r="C144" t="inlineStr">
        <is>
          <t>GREK</t>
        </is>
      </c>
      <c r="D144" t="n">
        <v>2022</v>
      </c>
      <c r="E144" t="n">
        <v>2.552432585858289</v>
      </c>
      <c r="F144" t="n">
        <v>5.744</v>
      </c>
      <c r="G144" t="n">
        <v>12.612217</v>
      </c>
      <c r="H144" t="n">
        <v>0.276495</v>
      </c>
      <c r="I144" t="n">
        <v>-2.275937585858288</v>
      </c>
      <c r="J144" t="inlineStr">
        <is>
          <t>Greece|GREK|2022</t>
        </is>
      </c>
      <c r="K144" t="inlineStr">
        <is>
          <t>Greece|2022</t>
        </is>
      </c>
      <c r="L144" t="inlineStr">
        <is>
          <t>USD</t>
        </is>
      </c>
      <c r="M144" t="n">
        <v>2.552432585858289</v>
      </c>
      <c r="N144" t="n">
        <v>0</v>
      </c>
      <c r="O144" t="n">
        <v>0</v>
      </c>
      <c r="P144" t="n">
        <v>2.552432585858289</v>
      </c>
      <c r="Q144" t="n">
        <v>-10.95416004939412</v>
      </c>
      <c r="R144" t="n">
        <v>15.16813434826891</v>
      </c>
      <c r="S144" t="n">
        <v>9.300000000000001</v>
      </c>
      <c r="T144" t="n">
        <v>7.993</v>
      </c>
      <c r="U144" t="n">
        <v>1.307</v>
      </c>
      <c r="V144" t="n">
        <v>219053000000</v>
      </c>
    </row>
    <row r="145">
      <c r="A145" t="inlineStr">
        <is>
          <t>Greece</t>
        </is>
      </c>
      <c r="B145" t="inlineStr">
        <is>
          <t>GRC</t>
        </is>
      </c>
      <c r="C145" t="inlineStr">
        <is>
          <t>GREK</t>
        </is>
      </c>
      <c r="D145" t="n">
        <v>2023</v>
      </c>
      <c r="E145" t="n">
        <v>41.75908476603743</v>
      </c>
      <c r="F145" t="n">
        <v>2.332</v>
      </c>
      <c r="G145" t="n">
        <v>8.343838</v>
      </c>
      <c r="H145" t="n">
        <v>11.191812</v>
      </c>
      <c r="I145" t="n">
        <v>-30.56727276603743</v>
      </c>
      <c r="J145" t="inlineStr">
        <is>
          <t>Greece|GREK|2023</t>
        </is>
      </c>
      <c r="K145" t="inlineStr">
        <is>
          <t>Greece|2023</t>
        </is>
      </c>
      <c r="L145" t="inlineStr">
        <is>
          <t>USD</t>
        </is>
      </c>
      <c r="M145" t="n">
        <v>41.75908476603743</v>
      </c>
      <c r="N145" t="n">
        <v>0</v>
      </c>
      <c r="O145" t="n">
        <v>0</v>
      </c>
      <c r="P145" t="n">
        <v>41.75908476603743</v>
      </c>
      <c r="Q145" t="n">
        <v>2.6286446849074</v>
      </c>
      <c r="R145" t="n">
        <v>38.12818555800783</v>
      </c>
      <c r="S145" t="n">
        <v>4.155</v>
      </c>
      <c r="T145" t="n">
        <v>4.128</v>
      </c>
      <c r="U145" t="n">
        <v>0.02700000000000014</v>
      </c>
      <c r="V145" t="n">
        <v>243569000000</v>
      </c>
    </row>
    <row r="146">
      <c r="A146" t="inlineStr">
        <is>
          <t>Greece</t>
        </is>
      </c>
      <c r="B146" t="inlineStr">
        <is>
          <t>GRC</t>
        </is>
      </c>
      <c r="C146" t="inlineStr">
        <is>
          <t>GREK</t>
        </is>
      </c>
      <c r="D146" t="n">
        <v>2024</v>
      </c>
      <c r="E146" t="n">
        <v>9.387447597790954</v>
      </c>
      <c r="F146" t="n">
        <v>2.272</v>
      </c>
      <c r="G146" t="n">
        <v>5.495633</v>
      </c>
      <c r="H146" t="n">
        <v>5.541756</v>
      </c>
      <c r="I146" t="n">
        <v>-3.845691597790954</v>
      </c>
      <c r="J146" t="inlineStr">
        <is>
          <t>Greece|GREK|2024</t>
        </is>
      </c>
      <c r="K146" t="inlineStr">
        <is>
          <t>Greece|2024</t>
        </is>
      </c>
      <c r="L146" t="inlineStr">
        <is>
          <t>USD</t>
        </is>
      </c>
      <c r="M146" t="n">
        <v>9.387447597790954</v>
      </c>
      <c r="N146" t="n">
        <v>0</v>
      </c>
      <c r="O146" t="n">
        <v>0</v>
      </c>
      <c r="P146" t="n">
        <v>9.387447597790954</v>
      </c>
      <c r="Q146" t="n">
        <v>0.04372069339206863</v>
      </c>
      <c r="R146" t="n">
        <v>9.339643547479582</v>
      </c>
      <c r="S146" t="n">
        <v>2.997</v>
      </c>
      <c r="T146" t="n">
        <v>2.952</v>
      </c>
      <c r="U146" t="n">
        <v>0.04499999999999993</v>
      </c>
      <c r="V146" t="n">
        <v>257067000000</v>
      </c>
    </row>
    <row r="147">
      <c r="A147" t="inlineStr">
        <is>
          <t>Greece</t>
        </is>
      </c>
      <c r="B147" t="inlineStr">
        <is>
          <t>GRC</t>
        </is>
      </c>
      <c r="C147" t="inlineStr">
        <is>
          <t>GREK</t>
        </is>
      </c>
      <c r="D147" t="n">
        <v>2025</v>
      </c>
      <c r="E147" t="n">
        <v>75.70356528125421</v>
      </c>
      <c r="F147" t="n">
        <v>1.964</v>
      </c>
      <c r="G147" t="n">
        <v>5.093592</v>
      </c>
      <c r="H147" t="n">
        <v>9.706419</v>
      </c>
      <c r="I147" t="n">
        <v>-65.99714628125422</v>
      </c>
      <c r="J147" t="inlineStr">
        <is>
          <t>Greece|GREK|2025</t>
        </is>
      </c>
      <c r="K147" t="inlineStr">
        <is>
          <t>Greece|2025</t>
        </is>
      </c>
      <c r="L147" t="inlineStr">
        <is>
          <t>USD</t>
        </is>
      </c>
      <c r="M147" t="n">
        <v>75.70356528125421</v>
      </c>
      <c r="N147" t="n">
        <v>0</v>
      </c>
      <c r="O147" t="n">
        <v>0</v>
      </c>
      <c r="P147" t="n">
        <v>75.70356528125421</v>
      </c>
      <c r="Q147" t="n">
        <v>4.38925586567025</v>
      </c>
      <c r="R147" t="n">
        <v>68.3157560844694</v>
      </c>
      <c r="S147" t="n">
        <v>3.105</v>
      </c>
      <c r="T147" t="n">
        <v>2.715</v>
      </c>
      <c r="U147" t="n">
        <v>0.3900000000000001</v>
      </c>
      <c r="V147" t="n">
        <v>282019000000</v>
      </c>
    </row>
    <row r="148">
      <c r="A148" t="inlineStr">
        <is>
          <t>Greece</t>
        </is>
      </c>
      <c r="B148" t="inlineStr">
        <is>
          <t>GRC</t>
        </is>
      </c>
      <c r="C148" t="inlineStr">
        <is>
          <t>GREK</t>
        </is>
      </c>
      <c r="D148" t="n">
        <v>2026</v>
      </c>
      <c r="E148" t="n">
        <v>-4.581856250627869</v>
      </c>
      <c r="F148" t="n">
        <v>2.043</v>
      </c>
      <c r="G148" t="n">
        <v>4.612415</v>
      </c>
      <c r="H148" t="n">
        <v>8.091298999999999</v>
      </c>
      <c r="I148" t="n">
        <v>12.67315525062787</v>
      </c>
      <c r="J148" t="inlineStr">
        <is>
          <t>Greece|GREK|2026</t>
        </is>
      </c>
      <c r="K148" t="inlineStr">
        <is>
          <t>Greece|2026</t>
        </is>
      </c>
      <c r="L148" t="inlineStr">
        <is>
          <t>USD</t>
        </is>
      </c>
      <c r="M148" t="n">
        <v>-4.581856250627869</v>
      </c>
      <c r="N148" t="n">
        <v>0</v>
      </c>
      <c r="O148" t="n">
        <v>0</v>
      </c>
      <c r="P148" t="n">
        <v>-4.581856250627869</v>
      </c>
      <c r="Q148" t="n">
        <v>3.325498448972142</v>
      </c>
      <c r="R148" t="n">
        <v>-7.65285899250232</v>
      </c>
      <c r="S148" t="n">
        <v>2.462</v>
      </c>
      <c r="T148" t="n">
        <v>2.435</v>
      </c>
      <c r="U148" t="n">
        <v>0.02700000000000014</v>
      </c>
      <c r="V148" t="n">
        <v>304838000000</v>
      </c>
    </row>
    <row r="149">
      <c r="A149" t="inlineStr">
        <is>
          <t>Greece</t>
        </is>
      </c>
      <c r="B149" t="inlineStr">
        <is>
          <t>GRC</t>
        </is>
      </c>
      <c r="C149" t="inlineStr">
        <is>
          <t>GREK</t>
        </is>
      </c>
      <c r="D149" t="n">
        <v>2027</v>
      </c>
      <c r="E149" t="inlineStr"/>
      <c r="F149" t="n">
        <v>1.474</v>
      </c>
      <c r="G149" t="n">
        <v>4.164401</v>
      </c>
      <c r="H149" t="n">
        <v>3.894856</v>
      </c>
      <c r="I149" t="inlineStr"/>
      <c r="J149" t="inlineStr">
        <is>
          <t>Greece|GREK|2027</t>
        </is>
      </c>
      <c r="K149" t="inlineStr">
        <is>
          <t>Greece|2027</t>
        </is>
      </c>
      <c r="L149" t="inlineStr">
        <is>
          <t>USD</t>
        </is>
      </c>
      <c r="M149" t="inlineStr"/>
      <c r="N149" t="inlineStr"/>
      <c r="O149" t="inlineStr"/>
      <c r="P149" t="inlineStr"/>
      <c r="Q149" t="n">
        <v>-0.2587695621343866</v>
      </c>
      <c r="R149" t="inlineStr"/>
      <c r="S149" t="n">
        <v>2.609</v>
      </c>
      <c r="T149" t="n">
        <v>2.185</v>
      </c>
      <c r="U149" t="n">
        <v>0.4239999999999999</v>
      </c>
      <c r="V149" t="n">
        <v>316711000000</v>
      </c>
    </row>
    <row r="150">
      <c r="A150" t="inlineStr">
        <is>
          <t>Greece</t>
        </is>
      </c>
      <c r="B150" t="inlineStr">
        <is>
          <t>GRC</t>
        </is>
      </c>
      <c r="C150" t="inlineStr">
        <is>
          <t>GREK</t>
        </is>
      </c>
      <c r="D150" t="n">
        <v>2028</v>
      </c>
      <c r="E150" t="inlineStr"/>
      <c r="F150" t="n">
        <v>1.59</v>
      </c>
      <c r="G150" t="n">
        <v>3.722245</v>
      </c>
      <c r="H150" t="n">
        <v>3.539504</v>
      </c>
      <c r="I150" t="inlineStr"/>
      <c r="J150" t="inlineStr">
        <is>
          <t>Greece|GREK|2028</t>
        </is>
      </c>
      <c r="K150" t="inlineStr">
        <is>
          <t>Greece|2028</t>
        </is>
      </c>
      <c r="L150" t="inlineStr">
        <is>
          <t>USD</t>
        </is>
      </c>
      <c r="M150" t="inlineStr"/>
      <c r="N150" t="inlineStr"/>
      <c r="O150" t="inlineStr"/>
      <c r="P150" t="inlineStr"/>
      <c r="Q150" t="n">
        <v>-0.1761824756399744</v>
      </c>
      <c r="R150" t="inlineStr"/>
      <c r="S150" t="n">
        <v>2.132</v>
      </c>
      <c r="T150" t="n">
        <v>2.206</v>
      </c>
      <c r="U150" t="n">
        <v>-0.07399999999999984</v>
      </c>
      <c r="V150" t="n">
        <v>327921000000</v>
      </c>
    </row>
    <row r="151">
      <c r="A151" t="inlineStr">
        <is>
          <t>Greece</t>
        </is>
      </c>
      <c r="B151" t="inlineStr">
        <is>
          <t>GRC</t>
        </is>
      </c>
      <c r="C151" t="inlineStr">
        <is>
          <t>GREK</t>
        </is>
      </c>
      <c r="D151" t="n">
        <v>2029</v>
      </c>
      <c r="E151" t="inlineStr"/>
      <c r="F151" t="n">
        <v>1.566</v>
      </c>
      <c r="G151" t="n">
        <v>3.627646</v>
      </c>
      <c r="H151" t="n">
        <v>3.524324</v>
      </c>
      <c r="I151" t="inlineStr"/>
      <c r="J151" t="inlineStr">
        <is>
          <t>Greece|GREK|2029</t>
        </is>
      </c>
      <c r="K151" t="inlineStr">
        <is>
          <t>Greece|2029</t>
        </is>
      </c>
      <c r="L151" t="inlineStr">
        <is>
          <t>USD</t>
        </is>
      </c>
      <c r="M151" t="inlineStr"/>
      <c r="N151" t="inlineStr"/>
      <c r="O151" t="inlineStr"/>
      <c r="P151" t="inlineStr"/>
      <c r="Q151" t="n">
        <v>-0.09970483433164867</v>
      </c>
      <c r="R151" t="inlineStr"/>
      <c r="S151" t="n">
        <v>2</v>
      </c>
      <c r="T151" t="n">
        <v>2.203</v>
      </c>
      <c r="U151" t="n">
        <v>-0.2029999999999998</v>
      </c>
      <c r="V151" t="n">
        <v>339478000000</v>
      </c>
    </row>
    <row r="152">
      <c r="A152" t="inlineStr">
        <is>
          <t>Hong Kong</t>
        </is>
      </c>
      <c r="B152" t="inlineStr">
        <is>
          <t>HKG</t>
        </is>
      </c>
      <c r="C152" t="inlineStr">
        <is>
          <t>EWH</t>
        </is>
      </c>
      <c r="D152" t="n">
        <v>2015</v>
      </c>
      <c r="E152" t="n">
        <v>-1.078744823645561</v>
      </c>
      <c r="F152" t="n">
        <v>2.388</v>
      </c>
      <c r="G152" t="inlineStr"/>
      <c r="H152" t="inlineStr"/>
      <c r="I152" t="inlineStr"/>
      <c r="J152" t="inlineStr">
        <is>
          <t>Hong Kong|EWH|2015</t>
        </is>
      </c>
      <c r="K152" t="inlineStr">
        <is>
          <t>Hong Kong|2015</t>
        </is>
      </c>
      <c r="L152" t="inlineStr">
        <is>
          <t>USD</t>
        </is>
      </c>
      <c r="M152" t="n">
        <v>-1.078744823645561</v>
      </c>
      <c r="N152" t="n">
        <v>0</v>
      </c>
      <c r="O152" t="n">
        <v>0</v>
      </c>
      <c r="P152" t="n">
        <v>-1.078744823645561</v>
      </c>
      <c r="Q152" t="inlineStr"/>
      <c r="R152" t="inlineStr"/>
      <c r="S152" t="n">
        <v>2.991</v>
      </c>
      <c r="T152" t="n">
        <v>0.121</v>
      </c>
      <c r="U152" t="n">
        <v>2.87</v>
      </c>
      <c r="V152" t="n">
        <v>309386000000</v>
      </c>
    </row>
    <row r="153">
      <c r="A153" t="inlineStr">
        <is>
          <t>Hong Kong</t>
        </is>
      </c>
      <c r="B153" t="inlineStr">
        <is>
          <t>HKG</t>
        </is>
      </c>
      <c r="C153" t="inlineStr">
        <is>
          <t>EWH</t>
        </is>
      </c>
      <c r="D153" t="n">
        <v>2016</v>
      </c>
      <c r="E153" t="n">
        <v>3.596183708232514</v>
      </c>
      <c r="F153" t="n">
        <v>2.175</v>
      </c>
      <c r="G153" t="n">
        <v>3.849342</v>
      </c>
      <c r="H153" t="n">
        <v>3.708636</v>
      </c>
      <c r="I153" t="n">
        <v>0.1124522917674855</v>
      </c>
      <c r="J153" t="inlineStr">
        <is>
          <t>Hong Kong|EWH|2016</t>
        </is>
      </c>
      <c r="K153" t="inlineStr">
        <is>
          <t>Hong Kong|2016</t>
        </is>
      </c>
      <c r="L153" t="inlineStr">
        <is>
          <t>USD</t>
        </is>
      </c>
      <c r="M153" t="n">
        <v>3.596183708232514</v>
      </c>
      <c r="N153" t="n">
        <v>0</v>
      </c>
      <c r="O153" t="n">
        <v>0</v>
      </c>
      <c r="P153" t="n">
        <v>3.596183708232514</v>
      </c>
      <c r="Q153" t="n">
        <v>-0.1354907133202965</v>
      </c>
      <c r="R153" t="n">
        <v>3.736737353648167</v>
      </c>
      <c r="S153" t="n">
        <v>2.409</v>
      </c>
      <c r="T153" t="n">
        <v>1.267</v>
      </c>
      <c r="U153" t="n">
        <v>1.142</v>
      </c>
      <c r="V153" t="n">
        <v>320860000000</v>
      </c>
    </row>
    <row r="154">
      <c r="A154" t="inlineStr">
        <is>
          <t>Hong Kong</t>
        </is>
      </c>
      <c r="B154" t="inlineStr">
        <is>
          <t>HKG</t>
        </is>
      </c>
      <c r="C154" t="inlineStr">
        <is>
          <t>EWH</t>
        </is>
      </c>
      <c r="D154" t="n">
        <v>2017</v>
      </c>
      <c r="E154" t="n">
        <v>34.25771930610526</v>
      </c>
      <c r="F154" t="n">
        <v>3.796</v>
      </c>
      <c r="G154" t="n">
        <v>6.786041</v>
      </c>
      <c r="H154" t="n">
        <v>6.361341</v>
      </c>
      <c r="I154" t="n">
        <v>-27.89637830610526</v>
      </c>
      <c r="J154" t="inlineStr">
        <is>
          <t>Hong Kong|EWH|2017</t>
        </is>
      </c>
      <c r="K154" t="inlineStr">
        <is>
          <t>Hong Kong|2017</t>
        </is>
      </c>
      <c r="L154" t="inlineStr">
        <is>
          <t>USD</t>
        </is>
      </c>
      <c r="M154" t="n">
        <v>34.25771930610526</v>
      </c>
      <c r="N154" t="n">
        <v>0</v>
      </c>
      <c r="O154" t="n">
        <v>0</v>
      </c>
      <c r="P154" t="n">
        <v>34.25771930610526</v>
      </c>
      <c r="Q154" t="n">
        <v>-0.39771073449969</v>
      </c>
      <c r="R154" t="n">
        <v>34.79380875295674</v>
      </c>
      <c r="S154" t="n">
        <v>1.494</v>
      </c>
      <c r="T154" t="n">
        <v>2.131</v>
      </c>
      <c r="U154" t="n">
        <v>-0.6369999999999998</v>
      </c>
      <c r="V154" t="n">
        <v>341271000000</v>
      </c>
    </row>
    <row r="155">
      <c r="A155" t="inlineStr">
        <is>
          <t>Hong Kong</t>
        </is>
      </c>
      <c r="B155" t="inlineStr">
        <is>
          <t>HKG</t>
        </is>
      </c>
      <c r="C155" t="inlineStr">
        <is>
          <t>EWH</t>
        </is>
      </c>
      <c r="D155" t="n">
        <v>2018</v>
      </c>
      <c r="E155" t="n">
        <v>-9.784187855347959</v>
      </c>
      <c r="F155" t="n">
        <v>2.847</v>
      </c>
      <c r="G155" t="n">
        <v>6.610666</v>
      </c>
      <c r="H155" t="n">
        <v>5.995235</v>
      </c>
      <c r="I155" t="n">
        <v>15.77942285534796</v>
      </c>
      <c r="J155" t="inlineStr">
        <is>
          <t>Hong Kong|EWH|2018</t>
        </is>
      </c>
      <c r="K155" t="inlineStr">
        <is>
          <t>Hong Kong|2018</t>
        </is>
      </c>
      <c r="L155" t="inlineStr">
        <is>
          <t>USD</t>
        </is>
      </c>
      <c r="M155" t="n">
        <v>-9.784187855347959</v>
      </c>
      <c r="N155" t="n">
        <v>0</v>
      </c>
      <c r="O155" t="n">
        <v>0</v>
      </c>
      <c r="P155" t="n">
        <v>-9.784187855347959</v>
      </c>
      <c r="Q155" t="n">
        <v>-0.5772691991979939</v>
      </c>
      <c r="R155" t="n">
        <v>-9.260375954263866</v>
      </c>
      <c r="S155" t="n">
        <v>2.406</v>
      </c>
      <c r="T155" t="n">
        <v>2.439</v>
      </c>
      <c r="U155" t="n">
        <v>-0.03299999999999992</v>
      </c>
      <c r="V155" t="n">
        <v>361731000000</v>
      </c>
    </row>
    <row r="156">
      <c r="A156" t="inlineStr">
        <is>
          <t>Hong Kong</t>
        </is>
      </c>
      <c r="B156" t="inlineStr">
        <is>
          <t>HKG</t>
        </is>
      </c>
      <c r="C156" t="inlineStr">
        <is>
          <t>EWH</t>
        </is>
      </c>
      <c r="D156" t="n">
        <v>2019</v>
      </c>
      <c r="E156" t="n">
        <v>11.92433294116495</v>
      </c>
      <c r="F156" t="n">
        <v>-1.672</v>
      </c>
      <c r="G156" t="n">
        <v>0.338326</v>
      </c>
      <c r="H156" t="n">
        <v>0.371547</v>
      </c>
      <c r="I156" t="n">
        <v>-11.55278594116495</v>
      </c>
      <c r="J156" t="inlineStr">
        <is>
          <t>Hong Kong|EWH|2019</t>
        </is>
      </c>
      <c r="K156" t="inlineStr">
        <is>
          <t>Hong Kong|2019</t>
        </is>
      </c>
      <c r="L156" t="inlineStr">
        <is>
          <t>USD</t>
        </is>
      </c>
      <c r="M156" t="n">
        <v>11.92433294116495</v>
      </c>
      <c r="N156" t="n">
        <v>0</v>
      </c>
      <c r="O156" t="n">
        <v>0</v>
      </c>
      <c r="P156" t="n">
        <v>11.92433294116495</v>
      </c>
      <c r="Q156" t="n">
        <v>0.03310856884966018</v>
      </c>
      <c r="R156" t="n">
        <v>11.88728866116455</v>
      </c>
      <c r="S156" t="n">
        <v>2.883</v>
      </c>
      <c r="T156" t="n">
        <v>1.813</v>
      </c>
      <c r="U156" t="n">
        <v>1.07</v>
      </c>
      <c r="V156" t="n">
        <v>363075000000</v>
      </c>
    </row>
    <row r="157">
      <c r="A157" t="inlineStr">
        <is>
          <t>Hong Kong</t>
        </is>
      </c>
      <c r="B157" t="inlineStr">
        <is>
          <t>HKG</t>
        </is>
      </c>
      <c r="C157" t="inlineStr">
        <is>
          <t>EWH</t>
        </is>
      </c>
      <c r="D157" t="n">
        <v>2020</v>
      </c>
      <c r="E157" t="n">
        <v>1.702721005615504</v>
      </c>
      <c r="F157" t="n">
        <v>-6.545</v>
      </c>
      <c r="G157" t="n">
        <v>-5.948249</v>
      </c>
      <c r="H157" t="n">
        <v>-4.99456</v>
      </c>
      <c r="I157" t="n">
        <v>-6.697281005615504</v>
      </c>
      <c r="J157" t="inlineStr">
        <is>
          <t>Hong Kong|EWH|2020</t>
        </is>
      </c>
      <c r="K157" t="inlineStr">
        <is>
          <t>Hong Kong|2020</t>
        </is>
      </c>
      <c r="L157" t="inlineStr">
        <is>
          <t>USD</t>
        </is>
      </c>
      <c r="M157" t="n">
        <v>1.702721005615504</v>
      </c>
      <c r="N157" t="n">
        <v>0</v>
      </c>
      <c r="O157" t="n">
        <v>0</v>
      </c>
      <c r="P157" t="n">
        <v>1.702721005615504</v>
      </c>
      <c r="Q157" t="n">
        <v>1.01400441539532</v>
      </c>
      <c r="R157" t="n">
        <v>0.6818030769159655</v>
      </c>
      <c r="S157" t="n">
        <v>0.251</v>
      </c>
      <c r="T157" t="n">
        <v>1.253</v>
      </c>
      <c r="U157" t="n">
        <v>-1.002</v>
      </c>
      <c r="V157" t="n">
        <v>344941000000</v>
      </c>
    </row>
    <row r="158">
      <c r="A158" t="inlineStr">
        <is>
          <t>Hong Kong</t>
        </is>
      </c>
      <c r="B158" t="inlineStr">
        <is>
          <t>HKG</t>
        </is>
      </c>
      <c r="C158" t="inlineStr">
        <is>
          <t>EWH</t>
        </is>
      </c>
      <c r="D158" t="n">
        <v>2021</v>
      </c>
      <c r="E158" t="n">
        <v>-4.464141303370706</v>
      </c>
      <c r="F158" t="n">
        <v>6.454</v>
      </c>
      <c r="G158" t="n">
        <v>7.18217</v>
      </c>
      <c r="H158" t="n">
        <v>6.96148</v>
      </c>
      <c r="I158" t="n">
        <v>11.42562130337071</v>
      </c>
      <c r="J158" t="inlineStr">
        <is>
          <t>Hong Kong|EWH|2021</t>
        </is>
      </c>
      <c r="K158" t="inlineStr">
        <is>
          <t>Hong Kong|2021</t>
        </is>
      </c>
      <c r="L158" t="inlineStr">
        <is>
          <t>USD</t>
        </is>
      </c>
      <c r="M158" t="n">
        <v>-4.464141303370706</v>
      </c>
      <c r="N158" t="n">
        <v>0</v>
      </c>
      <c r="O158" t="n">
        <v>0</v>
      </c>
      <c r="P158" t="n">
        <v>-4.464141303370706</v>
      </c>
      <c r="Q158" t="n">
        <v>-0.2059013661241393</v>
      </c>
      <c r="R158" t="n">
        <v>-4.267025801665058</v>
      </c>
      <c r="S158" t="n">
        <v>1.569</v>
      </c>
      <c r="T158" t="n">
        <v>4.679</v>
      </c>
      <c r="U158" t="n">
        <v>-3.11</v>
      </c>
      <c r="V158" t="n">
        <v>368954000000</v>
      </c>
    </row>
    <row r="159">
      <c r="A159" t="inlineStr">
        <is>
          <t>Hong Kong</t>
        </is>
      </c>
      <c r="B159" t="inlineStr">
        <is>
          <t>HKG</t>
        </is>
      </c>
      <c r="C159" t="inlineStr">
        <is>
          <t>EWH</t>
        </is>
      </c>
      <c r="D159" t="n">
        <v>2022</v>
      </c>
      <c r="E159" t="n">
        <v>-7.126659502758336</v>
      </c>
      <c r="F159" t="n">
        <v>-3.684</v>
      </c>
      <c r="G159" t="n">
        <v>-2.057342</v>
      </c>
      <c r="H159" t="n">
        <v>-2.784629</v>
      </c>
      <c r="I159" t="n">
        <v>4.342030502758337</v>
      </c>
      <c r="J159" t="inlineStr">
        <is>
          <t>Hong Kong|EWH|2022</t>
        </is>
      </c>
      <c r="K159" t="inlineStr">
        <is>
          <t>Hong Kong|2022</t>
        </is>
      </c>
      <c r="L159" t="inlineStr">
        <is>
          <t>USD</t>
        </is>
      </c>
      <c r="M159" t="n">
        <v>-7.126659502758336</v>
      </c>
      <c r="N159" t="n">
        <v>0</v>
      </c>
      <c r="O159" t="n">
        <v>0</v>
      </c>
      <c r="P159" t="n">
        <v>-7.126659502758336</v>
      </c>
      <c r="Q159" t="n">
        <v>-0.742564522541167</v>
      </c>
      <c r="R159" t="n">
        <v>-6.431855658478081</v>
      </c>
      <c r="S159" t="n">
        <v>1.881</v>
      </c>
      <c r="T159" t="n">
        <v>7.993</v>
      </c>
      <c r="U159" t="n">
        <v>-6.112</v>
      </c>
      <c r="V159" t="n">
        <v>358680000000</v>
      </c>
    </row>
    <row r="160">
      <c r="A160" t="inlineStr">
        <is>
          <t>Hong Kong</t>
        </is>
      </c>
      <c r="B160" t="inlineStr">
        <is>
          <t>HKG</t>
        </is>
      </c>
      <c r="C160" t="inlineStr">
        <is>
          <t>EWH</t>
        </is>
      </c>
      <c r="D160" t="n">
        <v>2023</v>
      </c>
      <c r="E160" t="n">
        <v>-15.91104241974106</v>
      </c>
      <c r="F160" t="n">
        <v>3.224</v>
      </c>
      <c r="G160" t="n">
        <v>6.210072</v>
      </c>
      <c r="H160" t="n">
        <v>6.234805</v>
      </c>
      <c r="I160" t="n">
        <v>22.14584741974106</v>
      </c>
      <c r="J160" t="inlineStr">
        <is>
          <t>Hong Kong|EWH|2023</t>
        </is>
      </c>
      <c r="K160" t="inlineStr">
        <is>
          <t>Hong Kong|2023</t>
        </is>
      </c>
      <c r="L160" t="inlineStr">
        <is>
          <t>USD</t>
        </is>
      </c>
      <c r="M160" t="n">
        <v>-15.91104241974106</v>
      </c>
      <c r="N160" t="n">
        <v>0</v>
      </c>
      <c r="O160" t="n">
        <v>0</v>
      </c>
      <c r="P160" t="n">
        <v>-15.91104241974106</v>
      </c>
      <c r="Q160" t="n">
        <v>0.02328715442325713</v>
      </c>
      <c r="R160" t="n">
        <v>-15.93061978613414</v>
      </c>
      <c r="S160" t="n">
        <v>2.097</v>
      </c>
      <c r="T160" t="n">
        <v>4.128</v>
      </c>
      <c r="U160" t="n">
        <v>-2.031</v>
      </c>
      <c r="V160" t="n">
        <v>381043000000</v>
      </c>
    </row>
    <row r="161">
      <c r="A161" t="inlineStr">
        <is>
          <t>Hong Kong</t>
        </is>
      </c>
      <c r="B161" t="inlineStr">
        <is>
          <t>HKG</t>
        </is>
      </c>
      <c r="C161" t="inlineStr">
        <is>
          <t>EWH</t>
        </is>
      </c>
      <c r="D161" t="n">
        <v>2024</v>
      </c>
      <c r="E161" t="n">
        <v>2.604713073849663</v>
      </c>
      <c r="F161" t="n">
        <v>2.505</v>
      </c>
      <c r="G161" t="n">
        <v>6.425068</v>
      </c>
      <c r="H161" t="n">
        <v>6.776138</v>
      </c>
      <c r="I161" t="n">
        <v>4.171424926150338</v>
      </c>
      <c r="J161" t="inlineStr">
        <is>
          <t>Hong Kong|EWH|2024</t>
        </is>
      </c>
      <c r="K161" t="inlineStr">
        <is>
          <t>Hong Kong|2024</t>
        </is>
      </c>
      <c r="L161" t="inlineStr">
        <is>
          <t>USD</t>
        </is>
      </c>
      <c r="M161" t="n">
        <v>2.604713073849663</v>
      </c>
      <c r="N161" t="n">
        <v>0</v>
      </c>
      <c r="O161" t="n">
        <v>0</v>
      </c>
      <c r="P161" t="n">
        <v>2.604713073849663</v>
      </c>
      <c r="Q161" t="n">
        <v>0.3298751768107566</v>
      </c>
      <c r="R161" t="n">
        <v>2.267358444361633</v>
      </c>
      <c r="S161" t="n">
        <v>1.73</v>
      </c>
      <c r="T161" t="n">
        <v>2.952</v>
      </c>
      <c r="U161" t="n">
        <v>-1.222</v>
      </c>
      <c r="V161" t="n">
        <v>406863000000</v>
      </c>
    </row>
    <row r="162">
      <c r="A162" t="inlineStr">
        <is>
          <t>Hong Kong</t>
        </is>
      </c>
      <c r="B162" t="inlineStr">
        <is>
          <t>HKG</t>
        </is>
      </c>
      <c r="C162" t="inlineStr">
        <is>
          <t>EWH</t>
        </is>
      </c>
      <c r="D162" t="n">
        <v>2025</v>
      </c>
      <c r="E162" t="n">
        <v>36.63203993571336</v>
      </c>
      <c r="F162" t="n">
        <v>2.438</v>
      </c>
      <c r="G162" t="n">
        <v>4.714979</v>
      </c>
      <c r="H162" t="n">
        <v>5.252382</v>
      </c>
      <c r="I162" t="n">
        <v>-31.37965793571336</v>
      </c>
      <c r="J162" t="inlineStr">
        <is>
          <t>Hong Kong|EWH|2025</t>
        </is>
      </c>
      <c r="K162" t="inlineStr">
        <is>
          <t>Hong Kong|2025</t>
        </is>
      </c>
      <c r="L162" t="inlineStr">
        <is>
          <t>USD</t>
        </is>
      </c>
      <c r="M162" t="n">
        <v>36.63203993571336</v>
      </c>
      <c r="N162" t="n">
        <v>0</v>
      </c>
      <c r="O162" t="n">
        <v>0</v>
      </c>
      <c r="P162" t="n">
        <v>36.63203993571336</v>
      </c>
      <c r="Q162" t="n">
        <v>0.5132061735179327</v>
      </c>
      <c r="R162" t="n">
        <v>35.93441612024868</v>
      </c>
      <c r="S162" t="n">
        <v>1.75</v>
      </c>
      <c r="T162" t="n">
        <v>2.715</v>
      </c>
      <c r="U162" t="n">
        <v>-0.9649999999999999</v>
      </c>
      <c r="V162" t="n">
        <v>428233000000</v>
      </c>
    </row>
    <row r="163">
      <c r="A163" t="inlineStr">
        <is>
          <t>Hong Kong</t>
        </is>
      </c>
      <c r="B163" t="inlineStr">
        <is>
          <t>HKG</t>
        </is>
      </c>
      <c r="C163" t="inlineStr">
        <is>
          <t>EWH</t>
        </is>
      </c>
      <c r="D163" t="n">
        <v>2026</v>
      </c>
      <c r="E163" t="n">
        <v>5.121165472822287</v>
      </c>
      <c r="F163" t="n">
        <v>2.122</v>
      </c>
      <c r="G163" t="n">
        <v>4.299869</v>
      </c>
      <c r="H163" t="n">
        <v>4.299762</v>
      </c>
      <c r="I163" t="n">
        <v>-0.8214034728222863</v>
      </c>
      <c r="J163" t="inlineStr">
        <is>
          <t>Hong Kong|EWH|2026</t>
        </is>
      </c>
      <c r="K163" t="inlineStr">
        <is>
          <t>Hong Kong|2026</t>
        </is>
      </c>
      <c r="L163" t="inlineStr">
        <is>
          <t>USD</t>
        </is>
      </c>
      <c r="M163" t="n">
        <v>5.121165472822287</v>
      </c>
      <c r="N163" t="n">
        <v>0</v>
      </c>
      <c r="O163" t="n">
        <v>0</v>
      </c>
      <c r="P163" t="n">
        <v>5.121165472822287</v>
      </c>
      <c r="Q163" t="n">
        <v>-0.0001025016202804707</v>
      </c>
      <c r="R163" t="n">
        <v>5.121273223830602</v>
      </c>
      <c r="S163" t="n">
        <v>2.1</v>
      </c>
      <c r="T163" t="n">
        <v>2.435</v>
      </c>
      <c r="U163" t="n">
        <v>-0.335</v>
      </c>
      <c r="V163" t="n">
        <v>446646000000</v>
      </c>
    </row>
    <row r="164">
      <c r="A164" t="inlineStr">
        <is>
          <t>Hong Kong</t>
        </is>
      </c>
      <c r="B164" t="inlineStr">
        <is>
          <t>HKG</t>
        </is>
      </c>
      <c r="C164" t="inlineStr">
        <is>
          <t>EWH</t>
        </is>
      </c>
      <c r="D164" t="n">
        <v>2027</v>
      </c>
      <c r="E164" t="inlineStr"/>
      <c r="F164" t="n">
        <v>2.028</v>
      </c>
      <c r="G164" t="n">
        <v>4.406359</v>
      </c>
      <c r="H164" t="n">
        <v>4.406398</v>
      </c>
      <c r="I164" t="inlineStr"/>
      <c r="J164" t="inlineStr">
        <is>
          <t>Hong Kong|EWH|2027</t>
        </is>
      </c>
      <c r="K164" t="inlineStr">
        <is>
          <t>Hong Kong|2027</t>
        </is>
      </c>
      <c r="L164" t="inlineStr">
        <is>
          <t>USD</t>
        </is>
      </c>
      <c r="M164" t="inlineStr"/>
      <c r="N164" t="inlineStr"/>
      <c r="O164" t="inlineStr"/>
      <c r="P164" t="inlineStr"/>
      <c r="Q164" t="n">
        <v>3.723611918804437e-05</v>
      </c>
      <c r="R164" t="inlineStr"/>
      <c r="S164" t="n">
        <v>2.25</v>
      </c>
      <c r="T164" t="n">
        <v>2.185</v>
      </c>
      <c r="U164" t="n">
        <v>0.06499999999999995</v>
      </c>
      <c r="V164" t="n">
        <v>466327000000</v>
      </c>
    </row>
    <row r="165">
      <c r="A165" t="inlineStr">
        <is>
          <t>Hong Kong</t>
        </is>
      </c>
      <c r="B165" t="inlineStr">
        <is>
          <t>HKG</t>
        </is>
      </c>
      <c r="C165" t="inlineStr">
        <is>
          <t>EWH</t>
        </is>
      </c>
      <c r="D165" t="n">
        <v>2028</v>
      </c>
      <c r="E165" t="inlineStr"/>
      <c r="F165" t="n">
        <v>2.159</v>
      </c>
      <c r="G165" t="n">
        <v>4.576995</v>
      </c>
      <c r="H165" t="n">
        <v>4.577046</v>
      </c>
      <c r="I165" t="inlineStr"/>
      <c r="J165" t="inlineStr">
        <is>
          <t>Hong Kong|EWH|2028</t>
        </is>
      </c>
      <c r="K165" t="inlineStr">
        <is>
          <t>Hong Kong|2028</t>
        </is>
      </c>
      <c r="L165" t="inlineStr">
        <is>
          <t>USD</t>
        </is>
      </c>
      <c r="M165" t="inlineStr"/>
      <c r="N165" t="inlineStr"/>
      <c r="O165" t="inlineStr"/>
      <c r="P165" t="inlineStr"/>
      <c r="Q165" t="n">
        <v>4.817061720618909e-05</v>
      </c>
      <c r="R165" t="inlineStr"/>
      <c r="S165" t="n">
        <v>2.44</v>
      </c>
      <c r="T165" t="n">
        <v>2.206</v>
      </c>
      <c r="U165" t="n">
        <v>0.234</v>
      </c>
      <c r="V165" t="n">
        <v>487671000000</v>
      </c>
    </row>
    <row r="166">
      <c r="A166" t="inlineStr">
        <is>
          <t>Hong Kong</t>
        </is>
      </c>
      <c r="B166" t="inlineStr">
        <is>
          <t>HKG</t>
        </is>
      </c>
      <c r="C166" t="inlineStr">
        <is>
          <t>EWH</t>
        </is>
      </c>
      <c r="D166" t="n">
        <v>2029</v>
      </c>
      <c r="E166" t="inlineStr"/>
      <c r="F166" t="n">
        <v>2.348</v>
      </c>
      <c r="G166" t="n">
        <v>4.95339</v>
      </c>
      <c r="H166" t="n">
        <v>4.953339</v>
      </c>
      <c r="I166" t="inlineStr"/>
      <c r="J166" t="inlineStr">
        <is>
          <t>Hong Kong|EWH|2029</t>
        </is>
      </c>
      <c r="K166" t="inlineStr">
        <is>
          <t>Hong Kong|2029</t>
        </is>
      </c>
      <c r="L166" t="inlineStr">
        <is>
          <t>USD</t>
        </is>
      </c>
      <c r="M166" t="inlineStr"/>
      <c r="N166" t="inlineStr"/>
      <c r="O166" t="inlineStr"/>
      <c r="P166" t="inlineStr"/>
      <c r="Q166" t="n">
        <v>-4.774827528919445e-05</v>
      </c>
      <c r="R166" t="inlineStr"/>
      <c r="S166" t="n">
        <v>2.5</v>
      </c>
      <c r="T166" t="n">
        <v>2.203</v>
      </c>
      <c r="U166" t="n">
        <v>0.2970000000000002</v>
      </c>
      <c r="V166" t="n">
        <v>511827000000</v>
      </c>
    </row>
    <row r="167">
      <c r="A167" t="inlineStr">
        <is>
          <t>India</t>
        </is>
      </c>
      <c r="B167" t="inlineStr">
        <is>
          <t>IND</t>
        </is>
      </c>
      <c r="C167" t="inlineStr">
        <is>
          <t>LYINR.SW</t>
        </is>
      </c>
      <c r="D167" t="n">
        <v>2015</v>
      </c>
      <c r="E167" t="n">
        <v>-8.312804475504365</v>
      </c>
      <c r="F167" t="n">
        <v>7.996</v>
      </c>
      <c r="G167" t="inlineStr"/>
      <c r="H167" t="inlineStr"/>
      <c r="I167" t="inlineStr"/>
      <c r="J167" t="inlineStr">
        <is>
          <t>India|LYINR.SW|2015</t>
        </is>
      </c>
      <c r="K167" t="inlineStr">
        <is>
          <t>India|2015</t>
        </is>
      </c>
      <c r="L167" t="inlineStr">
        <is>
          <t>USD</t>
        </is>
      </c>
      <c r="M167" t="n">
        <v>-8.312804475504365</v>
      </c>
      <c r="N167" t="n">
        <v>0</v>
      </c>
      <c r="O167" t="n">
        <v>0</v>
      </c>
      <c r="P167" t="n">
        <v>-8.312804475504365</v>
      </c>
      <c r="Q167" t="inlineStr"/>
      <c r="R167" t="inlineStr"/>
      <c r="S167" t="n">
        <v>4.908</v>
      </c>
      <c r="T167" t="n">
        <v>0.121</v>
      </c>
      <c r="U167" t="n">
        <v>4.787000000000001</v>
      </c>
      <c r="V167" t="n">
        <v>2103588000000</v>
      </c>
    </row>
    <row r="168">
      <c r="A168" t="inlineStr">
        <is>
          <t>India</t>
        </is>
      </c>
      <c r="B168" t="inlineStr">
        <is>
          <t>IND</t>
        </is>
      </c>
      <c r="C168" t="inlineStr">
        <is>
          <t>LYINR.SW</t>
        </is>
      </c>
      <c r="D168" t="n">
        <v>2016</v>
      </c>
      <c r="E168" t="n">
        <v>0.06863575217086471</v>
      </c>
      <c r="F168" t="n">
        <v>8.256</v>
      </c>
      <c r="G168" t="n">
        <v>11.761656</v>
      </c>
      <c r="H168" t="n">
        <v>9.08966</v>
      </c>
      <c r="I168" t="n">
        <v>9.021024247829136</v>
      </c>
      <c r="J168" t="inlineStr">
        <is>
          <t>India|LYINR.SW|2016</t>
        </is>
      </c>
      <c r="K168" t="inlineStr">
        <is>
          <t>India|2016</t>
        </is>
      </c>
      <c r="L168" t="inlineStr">
        <is>
          <t>USD</t>
        </is>
      </c>
      <c r="M168" t="n">
        <v>0.06863575217086471</v>
      </c>
      <c r="N168" t="n">
        <v>0</v>
      </c>
      <c r="O168" t="n">
        <v>0</v>
      </c>
      <c r="P168" t="n">
        <v>0.06863575217086471</v>
      </c>
      <c r="Q168" t="n">
        <v>-2.390798540526762</v>
      </c>
      <c r="R168" t="n">
        <v>2.519674637148595</v>
      </c>
      <c r="S168" t="n">
        <v>4.525</v>
      </c>
      <c r="T168" t="n">
        <v>1.267</v>
      </c>
      <c r="U168" t="n">
        <v>3.258</v>
      </c>
      <c r="V168" t="n">
        <v>2294797000000</v>
      </c>
    </row>
    <row r="169">
      <c r="A169" t="inlineStr">
        <is>
          <t>India</t>
        </is>
      </c>
      <c r="B169" t="inlineStr">
        <is>
          <t>IND</t>
        </is>
      </c>
      <c r="C169" t="inlineStr">
        <is>
          <t>LYINR.SW</t>
        </is>
      </c>
      <c r="D169" t="n">
        <v>2017</v>
      </c>
      <c r="E169" t="n">
        <v>37.54290552693875</v>
      </c>
      <c r="F169" t="n">
        <v>6.795</v>
      </c>
      <c r="G169" t="n">
        <v>11.034345</v>
      </c>
      <c r="H169" t="n">
        <v>15.542856</v>
      </c>
      <c r="I169" t="n">
        <v>-22.00004952693875</v>
      </c>
      <c r="J169" t="inlineStr">
        <is>
          <t>India|LYINR.SW|2017</t>
        </is>
      </c>
      <c r="K169" t="inlineStr">
        <is>
          <t>India|2017</t>
        </is>
      </c>
      <c r="L169" t="inlineStr">
        <is>
          <t>USD</t>
        </is>
      </c>
      <c r="M169" t="n">
        <v>37.54290552693875</v>
      </c>
      <c r="N169" t="n">
        <v>0</v>
      </c>
      <c r="O169" t="n">
        <v>0</v>
      </c>
      <c r="P169" t="n">
        <v>37.54290552693875</v>
      </c>
      <c r="Q169" t="n">
        <v>4.060465333542962</v>
      </c>
      <c r="R169" t="n">
        <v>32.1759470189521</v>
      </c>
      <c r="S169" t="n">
        <v>3.587</v>
      </c>
      <c r="T169" t="n">
        <v>2.131</v>
      </c>
      <c r="U169" t="n">
        <v>1.456</v>
      </c>
      <c r="V169" t="n">
        <v>2651474000000</v>
      </c>
    </row>
    <row r="170">
      <c r="A170" t="inlineStr">
        <is>
          <t>India</t>
        </is>
      </c>
      <c r="B170" t="inlineStr">
        <is>
          <t>IND</t>
        </is>
      </c>
      <c r="C170" t="inlineStr">
        <is>
          <t>LYINR.SW</t>
        </is>
      </c>
      <c r="D170" t="n">
        <v>2018</v>
      </c>
      <c r="E170" t="n">
        <v>-9.304655485984137</v>
      </c>
      <c r="F170" t="n">
        <v>6.454</v>
      </c>
      <c r="G170" t="n">
        <v>10.588799</v>
      </c>
      <c r="H170" t="n">
        <v>1.940656</v>
      </c>
      <c r="I170" t="n">
        <v>11.24531148598414</v>
      </c>
      <c r="J170" t="inlineStr">
        <is>
          <t>India|LYINR.SW|2018</t>
        </is>
      </c>
      <c r="K170" t="inlineStr">
        <is>
          <t>India|2018</t>
        </is>
      </c>
      <c r="L170" t="inlineStr">
        <is>
          <t>USD</t>
        </is>
      </c>
      <c r="M170" t="n">
        <v>-9.304655485984137</v>
      </c>
      <c r="N170" t="n">
        <v>0</v>
      </c>
      <c r="O170" t="n">
        <v>0</v>
      </c>
      <c r="P170" t="n">
        <v>-9.304655485984137</v>
      </c>
      <c r="Q170" t="n">
        <v>-7.820089155916065</v>
      </c>
      <c r="R170" t="n">
        <v>-1.610509618065392</v>
      </c>
      <c r="S170" t="n">
        <v>3.414</v>
      </c>
      <c r="T170" t="n">
        <v>2.439</v>
      </c>
      <c r="U170" t="n">
        <v>0.9750000000000001</v>
      </c>
      <c r="V170" t="n">
        <v>2702930000000</v>
      </c>
    </row>
    <row r="171">
      <c r="A171" t="inlineStr">
        <is>
          <t>India</t>
        </is>
      </c>
      <c r="B171" t="inlineStr">
        <is>
          <t>IND</t>
        </is>
      </c>
      <c r="C171" t="inlineStr">
        <is>
          <t>LYINR.SW</t>
        </is>
      </c>
      <c r="D171" t="n">
        <v>2019</v>
      </c>
      <c r="E171" t="n">
        <v>9.547509593920278</v>
      </c>
      <c r="F171" t="n">
        <v>3.871</v>
      </c>
      <c r="G171" t="n">
        <v>6.370058</v>
      </c>
      <c r="H171" t="n">
        <v>4.908599</v>
      </c>
      <c r="I171" t="n">
        <v>-4.638910593920278</v>
      </c>
      <c r="J171" t="inlineStr">
        <is>
          <t>India|LYINR.SW|2019</t>
        </is>
      </c>
      <c r="K171" t="inlineStr">
        <is>
          <t>India|2019</t>
        </is>
      </c>
      <c r="L171" t="inlineStr">
        <is>
          <t>USD</t>
        </is>
      </c>
      <c r="M171" t="n">
        <v>9.547509593920278</v>
      </c>
      <c r="N171" t="n">
        <v>0</v>
      </c>
      <c r="O171" t="n">
        <v>0</v>
      </c>
      <c r="P171" t="n">
        <v>9.547509593920278</v>
      </c>
      <c r="Q171" t="n">
        <v>-1.373938446170708</v>
      </c>
      <c r="R171" t="n">
        <v>11.07359238321624</v>
      </c>
      <c r="S171" t="n">
        <v>4.769</v>
      </c>
      <c r="T171" t="n">
        <v>1.813</v>
      </c>
      <c r="U171" t="n">
        <v>2.956</v>
      </c>
      <c r="V171" t="n">
        <v>2835606000000</v>
      </c>
    </row>
    <row r="172">
      <c r="A172" t="inlineStr">
        <is>
          <t>India</t>
        </is>
      </c>
      <c r="B172" t="inlineStr">
        <is>
          <t>IND</t>
        </is>
      </c>
      <c r="C172" t="inlineStr">
        <is>
          <t>LYINR.SW</t>
        </is>
      </c>
      <c r="D172" t="n">
        <v>2020</v>
      </c>
      <c r="E172" t="n">
        <v>12.54019928737056</v>
      </c>
      <c r="F172" t="n">
        <v>-5.778</v>
      </c>
      <c r="G172" t="n">
        <v>-1.241022</v>
      </c>
      <c r="H172" t="n">
        <v>-5.669123</v>
      </c>
      <c r="I172" t="n">
        <v>-18.20932228737056</v>
      </c>
      <c r="J172" t="inlineStr">
        <is>
          <t>India|LYINR.SW|2020</t>
        </is>
      </c>
      <c r="K172" t="inlineStr">
        <is>
          <t>India|2020</t>
        </is>
      </c>
      <c r="L172" t="inlineStr">
        <is>
          <t>USD</t>
        </is>
      </c>
      <c r="M172" t="n">
        <v>12.54019928737056</v>
      </c>
      <c r="N172" t="n">
        <v>0</v>
      </c>
      <c r="O172" t="n">
        <v>0</v>
      </c>
      <c r="P172" t="n">
        <v>12.54019928737056</v>
      </c>
      <c r="Q172" t="n">
        <v>-4.483745431379016</v>
      </c>
      <c r="R172" t="n">
        <v>17.82308654755635</v>
      </c>
      <c r="S172" t="n">
        <v>6.165</v>
      </c>
      <c r="T172" t="n">
        <v>1.253</v>
      </c>
      <c r="U172" t="n">
        <v>4.912</v>
      </c>
      <c r="V172" t="n">
        <v>2674852000000</v>
      </c>
    </row>
    <row r="173">
      <c r="A173" t="inlineStr">
        <is>
          <t>India</t>
        </is>
      </c>
      <c r="B173" t="inlineStr">
        <is>
          <t>IND</t>
        </is>
      </c>
      <c r="C173" t="inlineStr">
        <is>
          <t>LYINR.SW</t>
        </is>
      </c>
      <c r="D173" t="n">
        <v>2021</v>
      </c>
      <c r="E173" t="n">
        <v>22.28506403642434</v>
      </c>
      <c r="F173" t="n">
        <v>9.69</v>
      </c>
      <c r="G173" t="n">
        <v>18.85404</v>
      </c>
      <c r="H173" t="n">
        <v>18.409205</v>
      </c>
      <c r="I173" t="n">
        <v>-3.875859036424341</v>
      </c>
      <c r="J173" t="inlineStr">
        <is>
          <t>India|LYINR.SW|2021</t>
        </is>
      </c>
      <c r="K173" t="inlineStr">
        <is>
          <t>India|2021</t>
        </is>
      </c>
      <c r="L173" t="inlineStr">
        <is>
          <t>USD</t>
        </is>
      </c>
      <c r="M173" t="n">
        <v>22.28506403642434</v>
      </c>
      <c r="N173" t="n">
        <v>0</v>
      </c>
      <c r="O173" t="n">
        <v>0</v>
      </c>
      <c r="P173" t="n">
        <v>22.28506403642434</v>
      </c>
      <c r="Q173" t="n">
        <v>-0.3742698007604184</v>
      </c>
      <c r="R173" t="n">
        <v>22.74445948036596</v>
      </c>
      <c r="S173" t="n">
        <v>5.506</v>
      </c>
      <c r="T173" t="n">
        <v>4.679</v>
      </c>
      <c r="U173" t="n">
        <v>0.827</v>
      </c>
      <c r="V173" t="n">
        <v>3167271000000</v>
      </c>
    </row>
    <row r="174">
      <c r="A174" t="inlineStr">
        <is>
          <t>India</t>
        </is>
      </c>
      <c r="B174" t="inlineStr">
        <is>
          <t>IND</t>
        </is>
      </c>
      <c r="C174" t="inlineStr">
        <is>
          <t>LYINR.SW</t>
        </is>
      </c>
      <c r="D174" t="n">
        <v>2022</v>
      </c>
      <c r="E174" t="n">
        <v>-10.74229984980545</v>
      </c>
      <c r="F174" t="n">
        <v>7.609</v>
      </c>
      <c r="G174" t="n">
        <v>13.955224</v>
      </c>
      <c r="H174" t="n">
        <v>5.646375</v>
      </c>
      <c r="I174" t="n">
        <v>16.38867484980545</v>
      </c>
      <c r="J174" t="inlineStr">
        <is>
          <t>India|LYINR.SW|2022</t>
        </is>
      </c>
      <c r="K174" t="inlineStr">
        <is>
          <t>India|2022</t>
        </is>
      </c>
      <c r="L174" t="inlineStr">
        <is>
          <t>USD</t>
        </is>
      </c>
      <c r="M174" t="n">
        <v>-10.74229984980545</v>
      </c>
      <c r="N174" t="n">
        <v>0</v>
      </c>
      <c r="O174" t="n">
        <v>0</v>
      </c>
      <c r="P174" t="n">
        <v>-10.74229984980545</v>
      </c>
      <c r="Q174" t="n">
        <v>-7.291327709406925</v>
      </c>
      <c r="R174" t="n">
        <v>-3.722383305826593</v>
      </c>
      <c r="S174" t="n">
        <v>6.653</v>
      </c>
      <c r="T174" t="n">
        <v>7.993</v>
      </c>
      <c r="U174" t="n">
        <v>-1.340000000000001</v>
      </c>
      <c r="V174" t="n">
        <v>3346107000000</v>
      </c>
    </row>
    <row r="175">
      <c r="A175" t="inlineStr">
        <is>
          <t>India</t>
        </is>
      </c>
      <c r="B175" t="inlineStr">
        <is>
          <t>IND</t>
        </is>
      </c>
      <c r="C175" t="inlineStr">
        <is>
          <t>LYINR.SW</t>
        </is>
      </c>
      <c r="D175" t="n">
        <v>2023</v>
      </c>
      <c r="E175" t="n">
        <v>19.4868653550923</v>
      </c>
      <c r="F175" t="n">
        <v>9.191000000000001</v>
      </c>
      <c r="G175" t="n">
        <v>12.02095</v>
      </c>
      <c r="H175" t="n">
        <v>8.738004999999999</v>
      </c>
      <c r="I175" t="n">
        <v>-10.7488603550923</v>
      </c>
      <c r="J175" t="inlineStr">
        <is>
          <t>India|LYINR.SW|2023</t>
        </is>
      </c>
      <c r="K175" t="inlineStr">
        <is>
          <t>India|2023</t>
        </is>
      </c>
      <c r="L175" t="inlineStr">
        <is>
          <t>USD</t>
        </is>
      </c>
      <c r="M175" t="n">
        <v>19.4868653550923</v>
      </c>
      <c r="N175" t="n">
        <v>0</v>
      </c>
      <c r="O175" t="n">
        <v>0</v>
      </c>
      <c r="P175" t="n">
        <v>19.4868653550923</v>
      </c>
      <c r="Q175" t="n">
        <v>-2.930652772798581</v>
      </c>
      <c r="R175" t="n">
        <v>23.09433283343323</v>
      </c>
      <c r="S175" t="n">
        <v>5.361</v>
      </c>
      <c r="T175" t="n">
        <v>4.128</v>
      </c>
      <c r="U175" t="n">
        <v>1.233</v>
      </c>
      <c r="V175" t="n">
        <v>3638490000000</v>
      </c>
    </row>
    <row r="176">
      <c r="A176" t="inlineStr">
        <is>
          <t>India</t>
        </is>
      </c>
      <c r="B176" t="inlineStr">
        <is>
          <t>IND</t>
        </is>
      </c>
      <c r="C176" t="inlineStr">
        <is>
          <t>LYINR.SW</t>
        </is>
      </c>
      <c r="D176" t="n">
        <v>2024</v>
      </c>
      <c r="E176" t="n">
        <v>9.413377097400467</v>
      </c>
      <c r="F176" t="n">
        <v>6.495</v>
      </c>
      <c r="G176" t="n">
        <v>9.777226000000001</v>
      </c>
      <c r="H176" t="n">
        <v>7.459193</v>
      </c>
      <c r="I176" t="n">
        <v>-1.954184097400467</v>
      </c>
      <c r="J176" t="inlineStr">
        <is>
          <t>India|LYINR.SW|2024</t>
        </is>
      </c>
      <c r="K176" t="inlineStr">
        <is>
          <t>India|2024</t>
        </is>
      </c>
      <c r="L176" t="inlineStr">
        <is>
          <t>USD</t>
        </is>
      </c>
      <c r="M176" t="n">
        <v>9.413377097400467</v>
      </c>
      <c r="N176" t="n">
        <v>0</v>
      </c>
      <c r="O176" t="n">
        <v>0</v>
      </c>
      <c r="P176" t="n">
        <v>9.413377097400467</v>
      </c>
      <c r="Q176" t="n">
        <v>-2.11157928390201</v>
      </c>
      <c r="R176" t="n">
        <v>11.77356453091409</v>
      </c>
      <c r="S176" t="n">
        <v>4.626</v>
      </c>
      <c r="T176" t="n">
        <v>2.952</v>
      </c>
      <c r="U176" t="n">
        <v>1.674</v>
      </c>
      <c r="V176" t="n">
        <v>3909892000000</v>
      </c>
    </row>
    <row r="177">
      <c r="A177" t="inlineStr">
        <is>
          <t>India</t>
        </is>
      </c>
      <c r="B177" t="inlineStr">
        <is>
          <t>IND</t>
        </is>
      </c>
      <c r="C177" t="inlineStr">
        <is>
          <t>LYINR.SW</t>
        </is>
      </c>
      <c r="D177" t="n">
        <v>2025</v>
      </c>
      <c r="E177" t="n">
        <v>-0.8894369562915561</v>
      </c>
      <c r="F177" t="n">
        <v>6.646</v>
      </c>
      <c r="G177" t="n">
        <v>8.515731000000001</v>
      </c>
      <c r="H177" t="n">
        <v>5.507083</v>
      </c>
      <c r="I177" t="n">
        <v>6.396519956291556</v>
      </c>
      <c r="J177" t="inlineStr">
        <is>
          <t>India|LYINR.SW|2025</t>
        </is>
      </c>
      <c r="K177" t="inlineStr">
        <is>
          <t>India|2025</t>
        </is>
      </c>
      <c r="L177" t="inlineStr">
        <is>
          <t>USD</t>
        </is>
      </c>
      <c r="M177" t="n">
        <v>-0.8894369562915561</v>
      </c>
      <c r="N177" t="n">
        <v>0</v>
      </c>
      <c r="O177" t="n">
        <v>0</v>
      </c>
      <c r="P177" t="n">
        <v>-0.8894369562915561</v>
      </c>
      <c r="Q177" t="n">
        <v>-2.772545698409046</v>
      </c>
      <c r="R177" t="n">
        <v>1.936807618428693</v>
      </c>
      <c r="S177" t="n">
        <v>2.822</v>
      </c>
      <c r="T177" t="n">
        <v>2.715</v>
      </c>
      <c r="U177" t="n">
        <v>0.1070000000000002</v>
      </c>
      <c r="V177" t="n">
        <v>4125213000000</v>
      </c>
    </row>
    <row r="178">
      <c r="A178" t="inlineStr">
        <is>
          <t>India</t>
        </is>
      </c>
      <c r="B178" t="inlineStr">
        <is>
          <t>IND</t>
        </is>
      </c>
      <c r="C178" t="inlineStr">
        <is>
          <t>LYINR.SW</t>
        </is>
      </c>
      <c r="D178" t="n">
        <v>2026</v>
      </c>
      <c r="E178" t="n">
        <v>-12.39342166843288</v>
      </c>
      <c r="F178" t="n">
        <v>6.159</v>
      </c>
      <c r="G178" t="n">
        <v>10.122338</v>
      </c>
      <c r="H178" t="n">
        <v>9.221730000000001</v>
      </c>
      <c r="I178" t="n">
        <v>21.61515166843288</v>
      </c>
      <c r="J178" t="inlineStr">
        <is>
          <t>India|LYINR.SW|2026</t>
        </is>
      </c>
      <c r="K178" t="inlineStr">
        <is>
          <t>India|2026</t>
        </is>
      </c>
      <c r="L178" t="inlineStr">
        <is>
          <t>USD</t>
        </is>
      </c>
      <c r="M178" t="n">
        <v>-12.39342166843288</v>
      </c>
      <c r="N178" t="n">
        <v>0</v>
      </c>
      <c r="O178" t="n">
        <v>0</v>
      </c>
      <c r="P178" t="n">
        <v>-12.39342166843288</v>
      </c>
      <c r="Q178" t="n">
        <v>-0.8178255346367069</v>
      </c>
      <c r="R178" t="n">
        <v>-11.67104491930517</v>
      </c>
      <c r="S178" t="n">
        <v>4.046</v>
      </c>
      <c r="T178" t="n">
        <v>2.435</v>
      </c>
      <c r="U178" t="n">
        <v>1.611</v>
      </c>
      <c r="V178" t="n">
        <v>4505629000000</v>
      </c>
    </row>
    <row r="179">
      <c r="A179" t="inlineStr">
        <is>
          <t>India</t>
        </is>
      </c>
      <c r="B179" t="inlineStr">
        <is>
          <t>IND</t>
        </is>
      </c>
      <c r="C179" t="inlineStr">
        <is>
          <t>LYINR.SW</t>
        </is>
      </c>
      <c r="D179" t="n">
        <v>2027</v>
      </c>
      <c r="E179" t="inlineStr"/>
      <c r="F179" t="n">
        <v>6.409</v>
      </c>
      <c r="G179" t="n">
        <v>10.664874</v>
      </c>
      <c r="H179" t="n">
        <v>10.061281</v>
      </c>
      <c r="I179" t="inlineStr"/>
      <c r="J179" t="inlineStr">
        <is>
          <t>India|LYINR.SW|2027</t>
        </is>
      </c>
      <c r="K179" t="inlineStr">
        <is>
          <t>India|2027</t>
        </is>
      </c>
      <c r="L179" t="inlineStr">
        <is>
          <t>USD</t>
        </is>
      </c>
      <c r="M179" t="inlineStr"/>
      <c r="N179" t="inlineStr"/>
      <c r="O179" t="inlineStr"/>
      <c r="P179" t="inlineStr"/>
      <c r="Q179" t="n">
        <v>-0.545423849367288</v>
      </c>
      <c r="R179" t="inlineStr"/>
      <c r="S179" t="n">
        <v>4</v>
      </c>
      <c r="T179" t="n">
        <v>2.185</v>
      </c>
      <c r="U179" t="n">
        <v>1.815</v>
      </c>
      <c r="V179" t="n">
        <v>4958953000000</v>
      </c>
    </row>
    <row r="180">
      <c r="A180" t="inlineStr">
        <is>
          <t>India</t>
        </is>
      </c>
      <c r="B180" t="inlineStr">
        <is>
          <t>IND</t>
        </is>
      </c>
      <c r="C180" t="inlineStr">
        <is>
          <t>LYINR.SW</t>
        </is>
      </c>
      <c r="D180" t="n">
        <v>2028</v>
      </c>
      <c r="E180" t="inlineStr"/>
      <c r="F180" t="n">
        <v>6.481</v>
      </c>
      <c r="G180" t="n">
        <v>10.739654</v>
      </c>
      <c r="H180" t="n">
        <v>10.137624</v>
      </c>
      <c r="I180" t="inlineStr"/>
      <c r="J180" t="inlineStr">
        <is>
          <t>India|LYINR.SW|2028</t>
        </is>
      </c>
      <c r="K180" t="inlineStr">
        <is>
          <t>India|2028</t>
        </is>
      </c>
      <c r="L180" t="inlineStr">
        <is>
          <t>USD</t>
        </is>
      </c>
      <c r="M180" t="inlineStr"/>
      <c r="N180" t="inlineStr"/>
      <c r="O180" t="inlineStr"/>
      <c r="P180" t="inlineStr"/>
      <c r="Q180" t="n">
        <v>-0.543644850442615</v>
      </c>
      <c r="R180" t="inlineStr"/>
      <c r="S180" t="n">
        <v>4</v>
      </c>
      <c r="T180" t="n">
        <v>2.206</v>
      </c>
      <c r="U180" t="n">
        <v>1.794</v>
      </c>
      <c r="V180" t="n">
        <v>5461673000000</v>
      </c>
    </row>
    <row r="181">
      <c r="A181" t="inlineStr">
        <is>
          <t>India</t>
        </is>
      </c>
      <c r="B181" t="inlineStr">
        <is>
          <t>IND</t>
        </is>
      </c>
      <c r="C181" t="inlineStr">
        <is>
          <t>LYINR.SW</t>
        </is>
      </c>
      <c r="D181" t="n">
        <v>2029</v>
      </c>
      <c r="E181" t="inlineStr"/>
      <c r="F181" t="n">
        <v>6.495</v>
      </c>
      <c r="G181" t="n">
        <v>10.753957</v>
      </c>
      <c r="H181" t="n">
        <v>10.149381</v>
      </c>
      <c r="I181" t="inlineStr"/>
      <c r="J181" t="inlineStr">
        <is>
          <t>India|LYINR.SW|2029</t>
        </is>
      </c>
      <c r="K181" t="inlineStr">
        <is>
          <t>India|2029</t>
        </is>
      </c>
      <c r="L181" t="inlineStr">
        <is>
          <t>USD</t>
        </is>
      </c>
      <c r="M181" t="inlineStr"/>
      <c r="N181" t="inlineStr"/>
      <c r="O181" t="inlineStr"/>
      <c r="P181" t="inlineStr"/>
      <c r="Q181" t="n">
        <v>-0.5458730422895797</v>
      </c>
      <c r="R181" t="inlineStr"/>
      <c r="S181" t="n">
        <v>4</v>
      </c>
      <c r="T181" t="n">
        <v>2.203</v>
      </c>
      <c r="U181" t="n">
        <v>1.797</v>
      </c>
      <c r="V181" t="n">
        <v>6015999000000</v>
      </c>
    </row>
    <row r="182">
      <c r="A182" t="inlineStr">
        <is>
          <t>Indonesia</t>
        </is>
      </c>
      <c r="B182" t="inlineStr">
        <is>
          <t>IDN</t>
        </is>
      </c>
      <c r="C182" t="inlineStr">
        <is>
          <t>INDO.PA</t>
        </is>
      </c>
      <c r="D182" t="n">
        <v>2015</v>
      </c>
      <c r="E182" t="n">
        <v>-10.91348111118395</v>
      </c>
      <c r="F182" t="n">
        <v>4.876</v>
      </c>
      <c r="G182" t="inlineStr"/>
      <c r="H182" t="inlineStr"/>
      <c r="I182" t="inlineStr"/>
      <c r="J182" t="inlineStr">
        <is>
          <t>Indonesia|INDO.PA|2015</t>
        </is>
      </c>
      <c r="K182" t="inlineStr">
        <is>
          <t>Indonesia|2015</t>
        </is>
      </c>
      <c r="L182" t="inlineStr">
        <is>
          <t>EUR</t>
        </is>
      </c>
      <c r="M182" t="n">
        <v>-10.91348111118395</v>
      </c>
      <c r="N182" t="n">
        <v>-9.626275918027915</v>
      </c>
      <c r="O182" t="n">
        <v>-10.24552508038918</v>
      </c>
      <c r="P182" t="n">
        <v>-19.48919522518744</v>
      </c>
      <c r="Q182" t="inlineStr"/>
      <c r="R182" t="inlineStr"/>
      <c r="S182" t="n">
        <v>6.36</v>
      </c>
      <c r="T182" t="n">
        <v>0.121</v>
      </c>
      <c r="U182" t="n">
        <v>6.239000000000001</v>
      </c>
      <c r="V182" t="n">
        <v>860854000000</v>
      </c>
    </row>
    <row r="183">
      <c r="A183" t="inlineStr">
        <is>
          <t>Indonesia</t>
        </is>
      </c>
      <c r="B183" t="inlineStr">
        <is>
          <t>IDN</t>
        </is>
      </c>
      <c r="C183" t="inlineStr">
        <is>
          <t>INDO.PA</t>
        </is>
      </c>
      <c r="D183" t="n">
        <v>2016</v>
      </c>
      <c r="E183" t="n">
        <v>21.68839404503549</v>
      </c>
      <c r="F183" t="n">
        <v>5.033</v>
      </c>
      <c r="G183" t="n">
        <v>7.594746</v>
      </c>
      <c r="H183" t="n">
        <v>8.250296000000001</v>
      </c>
      <c r="I183" t="n">
        <v>-10.25819917952178</v>
      </c>
      <c r="J183" t="inlineStr">
        <is>
          <t>Indonesia|INDO.PA|2016</t>
        </is>
      </c>
      <c r="K183" t="inlineStr">
        <is>
          <t>Indonesia|2016</t>
        </is>
      </c>
      <c r="L183" t="inlineStr">
        <is>
          <t>EUR</t>
        </is>
      </c>
      <c r="M183" t="n">
        <v>21.68839404503549</v>
      </c>
      <c r="N183" t="n">
        <v>-2.613148846665581</v>
      </c>
      <c r="O183" t="n">
        <v>-3.058092661956435</v>
      </c>
      <c r="P183" t="n">
        <v>18.50849517952178</v>
      </c>
      <c r="Q183" t="n">
        <v>0.6092766186998499</v>
      </c>
      <c r="R183" t="n">
        <v>17.79082323457941</v>
      </c>
      <c r="S183" t="n">
        <v>3.53</v>
      </c>
      <c r="T183" t="n">
        <v>1.267</v>
      </c>
      <c r="U183" t="n">
        <v>2.263</v>
      </c>
      <c r="V183" t="n">
        <v>931877000000</v>
      </c>
    </row>
    <row r="184">
      <c r="A184" t="inlineStr">
        <is>
          <t>Indonesia</t>
        </is>
      </c>
      <c r="B184" t="inlineStr">
        <is>
          <t>IDN</t>
        </is>
      </c>
      <c r="C184" t="inlineStr">
        <is>
          <t>INDO.PA</t>
        </is>
      </c>
      <c r="D184" t="n">
        <v>2017</v>
      </c>
      <c r="E184" t="n">
        <v>7.031584399794055</v>
      </c>
      <c r="F184" t="n">
        <v>5.07</v>
      </c>
      <c r="G184" t="n">
        <v>9.580094000000001</v>
      </c>
      <c r="H184" t="n">
        <v>8.986378999999999</v>
      </c>
      <c r="I184" t="n">
        <v>-12.42941182226148</v>
      </c>
      <c r="J184" t="inlineStr">
        <is>
          <t>Indonesia|INDO.PA|2017</t>
        </is>
      </c>
      <c r="K184" t="inlineStr">
        <is>
          <t>Indonesia|2017</t>
        </is>
      </c>
      <c r="L184" t="inlineStr">
        <is>
          <t>EUR</t>
        </is>
      </c>
      <c r="M184" t="n">
        <v>7.031584399794055</v>
      </c>
      <c r="N184" t="n">
        <v>13.43921656689508</v>
      </c>
      <c r="O184" t="n">
        <v>14.03979380502343</v>
      </c>
      <c r="P184" t="n">
        <v>21.41579082226148</v>
      </c>
      <c r="Q184" t="n">
        <v>-0.5418087266628624</v>
      </c>
      <c r="R184" t="n">
        <v>22.07721583090036</v>
      </c>
      <c r="S184" t="n">
        <v>3.807</v>
      </c>
      <c r="T184" t="n">
        <v>2.131</v>
      </c>
      <c r="U184" t="n">
        <v>1.676</v>
      </c>
      <c r="V184" t="n">
        <v>1015619000000</v>
      </c>
    </row>
    <row r="185">
      <c r="A185" t="inlineStr">
        <is>
          <t>Indonesia</t>
        </is>
      </c>
      <c r="B185" t="inlineStr">
        <is>
          <t>IDN</t>
        </is>
      </c>
      <c r="C185" t="inlineStr">
        <is>
          <t>INDO.PA</t>
        </is>
      </c>
      <c r="D185" t="n">
        <v>2018</v>
      </c>
      <c r="E185" t="n">
        <v>-4.968792335846706</v>
      </c>
      <c r="F185" t="n">
        <v>5.174</v>
      </c>
      <c r="G185" t="n">
        <v>9.190186000000001</v>
      </c>
      <c r="H185" t="n">
        <v>2.624311</v>
      </c>
      <c r="I185" t="n">
        <v>12.06565187011991</v>
      </c>
      <c r="J185" t="inlineStr">
        <is>
          <t>Indonesia|INDO.PA|2018</t>
        </is>
      </c>
      <c r="K185" t="inlineStr">
        <is>
          <t>Indonesia|2018</t>
        </is>
      </c>
      <c r="L185" t="inlineStr">
        <is>
          <t>EUR</t>
        </is>
      </c>
      <c r="M185" t="n">
        <v>-4.968792335846706</v>
      </c>
      <c r="N185" t="n">
        <v>-4.706399765095581</v>
      </c>
      <c r="O185" t="n">
        <v>-4.263928260016236</v>
      </c>
      <c r="P185" t="n">
        <v>-9.441340870119907</v>
      </c>
      <c r="Q185" t="n">
        <v>-6.013246827850804</v>
      </c>
      <c r="R185" t="n">
        <v>-3.647422563890568</v>
      </c>
      <c r="S185" t="n">
        <v>3.291</v>
      </c>
      <c r="T185" t="n">
        <v>2.439</v>
      </c>
      <c r="U185" t="n">
        <v>0.8519999999999999</v>
      </c>
      <c r="V185" t="n">
        <v>1042272000000</v>
      </c>
    </row>
    <row r="186">
      <c r="A186" t="inlineStr">
        <is>
          <t>Indonesia</t>
        </is>
      </c>
      <c r="B186" t="inlineStr">
        <is>
          <t>IDN</t>
        </is>
      </c>
      <c r="C186" t="inlineStr">
        <is>
          <t>INDO.PA</t>
        </is>
      </c>
      <c r="D186" t="n">
        <v>2019</v>
      </c>
      <c r="E186" t="n">
        <v>10.5197414012292</v>
      </c>
      <c r="F186" t="n">
        <v>5.019</v>
      </c>
      <c r="G186" t="n">
        <v>6.698009</v>
      </c>
      <c r="H186" t="n">
        <v>7.371204</v>
      </c>
      <c r="I186" t="n">
        <v>-0.3524607284579577</v>
      </c>
      <c r="J186" t="inlineStr">
        <is>
          <t>Indonesia|INDO.PA|2019</t>
        </is>
      </c>
      <c r="K186" t="inlineStr">
        <is>
          <t>Indonesia|2019</t>
        </is>
      </c>
      <c r="L186" t="inlineStr">
        <is>
          <t>EUR</t>
        </is>
      </c>
      <c r="M186" t="n">
        <v>10.5197414012292</v>
      </c>
      <c r="N186" t="n">
        <v>-2.529934143277091</v>
      </c>
      <c r="O186" t="n">
        <v>-2.368717781750818</v>
      </c>
      <c r="P186" t="n">
        <v>7.723664728457957</v>
      </c>
      <c r="Q186" t="n">
        <v>0.6309354184369065</v>
      </c>
      <c r="R186" t="n">
        <v>7.048259345427454</v>
      </c>
      <c r="S186" t="n">
        <v>2.822</v>
      </c>
      <c r="T186" t="n">
        <v>1.813</v>
      </c>
      <c r="U186" t="n">
        <v>1.009</v>
      </c>
      <c r="V186" t="n">
        <v>1119100000000</v>
      </c>
    </row>
    <row r="187">
      <c r="A187" t="inlineStr">
        <is>
          <t>Indonesia</t>
        </is>
      </c>
      <c r="B187" t="inlineStr">
        <is>
          <t>IDN</t>
        </is>
      </c>
      <c r="C187" t="inlineStr">
        <is>
          <t>INDO.PA</t>
        </is>
      </c>
      <c r="D187" t="n">
        <v>2020</v>
      </c>
      <c r="E187" t="n">
        <v>-16.05572999906417</v>
      </c>
      <c r="F187" t="n">
        <v>-2.066</v>
      </c>
      <c r="G187" t="n">
        <v>-2.458867</v>
      </c>
      <c r="H187" t="n">
        <v>-5.365472</v>
      </c>
      <c r="I187" t="n">
        <v>2.617608816257326</v>
      </c>
      <c r="J187" t="inlineStr">
        <is>
          <t>Indonesia|INDO.PA|2020</t>
        </is>
      </c>
      <c r="K187" t="inlineStr">
        <is>
          <t>Indonesia|2020</t>
        </is>
      </c>
      <c r="L187" t="inlineStr">
        <is>
          <t>EUR</t>
        </is>
      </c>
      <c r="M187" t="n">
        <v>-16.05572999906417</v>
      </c>
      <c r="N187" t="n">
        <v>9.616676853246631</v>
      </c>
      <c r="O187" t="n">
        <v>8.550554670168875</v>
      </c>
      <c r="P187" t="n">
        <v>-7.983080816257326</v>
      </c>
      <c r="Q187" t="n">
        <v>-2.97987634715593</v>
      </c>
      <c r="R187" t="n">
        <v>-5.156872905051935</v>
      </c>
      <c r="S187" t="n">
        <v>2.031</v>
      </c>
      <c r="T187" t="n">
        <v>1.253</v>
      </c>
      <c r="U187" t="n">
        <v>0.7780000000000002</v>
      </c>
      <c r="V187" t="n">
        <v>1059055000000</v>
      </c>
    </row>
    <row r="188">
      <c r="A188" t="inlineStr">
        <is>
          <t>Indonesia</t>
        </is>
      </c>
      <c r="B188" t="inlineStr">
        <is>
          <t>IDN</t>
        </is>
      </c>
      <c r="C188" t="inlineStr">
        <is>
          <t>INDO.PA</t>
        </is>
      </c>
      <c r="D188" t="n">
        <v>2021</v>
      </c>
      <c r="E188" t="n">
        <v>8.173632026871447</v>
      </c>
      <c r="F188" t="n">
        <v>3.703</v>
      </c>
      <c r="G188" t="n">
        <v>9.929179</v>
      </c>
      <c r="H188" t="n">
        <v>12.034786</v>
      </c>
      <c r="I188" t="n">
        <v>11.45659441411239</v>
      </c>
      <c r="J188" t="inlineStr">
        <is>
          <t>Indonesia|INDO.PA|2021</t>
        </is>
      </c>
      <c r="K188" t="inlineStr">
        <is>
          <t>Indonesia|2021</t>
        </is>
      </c>
      <c r="L188" t="inlineStr">
        <is>
          <t>EUR</t>
        </is>
      </c>
      <c r="M188" t="n">
        <v>8.173632026871447</v>
      </c>
      <c r="N188" t="n">
        <v>-7.021526686925927</v>
      </c>
      <c r="O188" t="n">
        <v>-6.623906905275723</v>
      </c>
      <c r="P188" t="n">
        <v>0.5781915858876108</v>
      </c>
      <c r="Q188" t="n">
        <v>1.915421032552178</v>
      </c>
      <c r="R188" t="n">
        <v>-1.31209725978314</v>
      </c>
      <c r="S188" t="n">
        <v>1.561</v>
      </c>
      <c r="T188" t="n">
        <v>4.679</v>
      </c>
      <c r="U188" t="n">
        <v>-3.118</v>
      </c>
      <c r="V188" t="n">
        <v>1186510000000</v>
      </c>
    </row>
    <row r="189">
      <c r="A189" t="inlineStr">
        <is>
          <t>Indonesia</t>
        </is>
      </c>
      <c r="B189" t="inlineStr">
        <is>
          <t>IDN</t>
        </is>
      </c>
      <c r="C189" t="inlineStr">
        <is>
          <t>INDO.PA</t>
        </is>
      </c>
      <c r="D189" t="n">
        <v>2022</v>
      </c>
      <c r="E189" t="n">
        <v>8.437335166019434</v>
      </c>
      <c r="F189" t="n">
        <v>5.307</v>
      </c>
      <c r="G189" t="n">
        <v>15.38403</v>
      </c>
      <c r="H189" t="n">
        <v>11.174874</v>
      </c>
      <c r="I189" t="n">
        <v>9.532650374981333</v>
      </c>
      <c r="J189" t="inlineStr">
        <is>
          <t>Indonesia|INDO.PA|2022</t>
        </is>
      </c>
      <c r="K189" t="inlineStr">
        <is>
          <t>Indonesia|2022</t>
        </is>
      </c>
      <c r="L189" t="inlineStr">
        <is>
          <t>EUR</t>
        </is>
      </c>
      <c r="M189" t="n">
        <v>8.437335166019434</v>
      </c>
      <c r="N189" t="n">
        <v>-6.266394808206355</v>
      </c>
      <c r="O189" t="n">
        <v>-5.835736795926605</v>
      </c>
      <c r="P189" t="n">
        <v>1.642223625018668</v>
      </c>
      <c r="Q189" t="n">
        <v>-3.647953384784552</v>
      </c>
      <c r="R189" t="n">
        <v>5.490466674703542</v>
      </c>
      <c r="S189" t="n">
        <v>4.139</v>
      </c>
      <c r="T189" t="n">
        <v>7.993</v>
      </c>
      <c r="U189" t="n">
        <v>-3.854</v>
      </c>
      <c r="V189" t="n">
        <v>1319101000000</v>
      </c>
    </row>
    <row r="190">
      <c r="A190" t="inlineStr">
        <is>
          <t>Indonesia</t>
        </is>
      </c>
      <c r="B190" t="inlineStr">
        <is>
          <t>IDN</t>
        </is>
      </c>
      <c r="C190" t="inlineStr">
        <is>
          <t>INDO.PA</t>
        </is>
      </c>
      <c r="D190" t="n">
        <v>2023</v>
      </c>
      <c r="E190" t="n">
        <v>1.373901186379678</v>
      </c>
      <c r="F190" t="n">
        <v>5.049</v>
      </c>
      <c r="G190" t="n">
        <v>6.656412</v>
      </c>
      <c r="H190" t="n">
        <v>3.947234</v>
      </c>
      <c r="I190" t="n">
        <v>-0.8196778746472839</v>
      </c>
      <c r="J190" t="inlineStr">
        <is>
          <t>Indonesia|INDO.PA|2023</t>
        </is>
      </c>
      <c r="K190" t="inlineStr">
        <is>
          <t>Indonesia|2023</t>
        </is>
      </c>
      <c r="L190" t="inlineStr">
        <is>
          <t>EUR</t>
        </is>
      </c>
      <c r="M190" t="n">
        <v>1.373901186379678</v>
      </c>
      <c r="N190" t="n">
        <v>3.347025860264985</v>
      </c>
      <c r="O190" t="n">
        <v>3.23162038723166</v>
      </c>
      <c r="P190" t="n">
        <v>4.766911874647284</v>
      </c>
      <c r="Q190" t="n">
        <v>-2.540098820247638</v>
      </c>
      <c r="R190" t="n">
        <v>7.497453420784894</v>
      </c>
      <c r="S190" t="n">
        <v>3.713</v>
      </c>
      <c r="T190" t="n">
        <v>4.128</v>
      </c>
      <c r="U190" t="n">
        <v>-0.415</v>
      </c>
      <c r="V190" t="n">
        <v>1371169000000</v>
      </c>
    </row>
    <row r="191">
      <c r="A191" t="inlineStr">
        <is>
          <t>Indonesia</t>
        </is>
      </c>
      <c r="B191" t="inlineStr">
        <is>
          <t>IDN</t>
        </is>
      </c>
      <c r="C191" t="inlineStr">
        <is>
          <t>INDO.PA</t>
        </is>
      </c>
      <c r="D191" t="n">
        <v>2024</v>
      </c>
      <c r="E191" t="n">
        <v>-8.966646994343774</v>
      </c>
      <c r="F191" t="n">
        <v>5.03</v>
      </c>
      <c r="G191" t="n">
        <v>5.966852</v>
      </c>
      <c r="H191" t="n">
        <v>1.832816</v>
      </c>
      <c r="I191" t="n">
        <v>16.14890572211134</v>
      </c>
      <c r="J191" t="inlineStr">
        <is>
          <t>Indonesia|INDO.PA|2024</t>
        </is>
      </c>
      <c r="K191" t="inlineStr">
        <is>
          <t>Indonesia|2024</t>
        </is>
      </c>
      <c r="L191" t="inlineStr">
        <is>
          <t>EUR</t>
        </is>
      </c>
      <c r="M191" t="n">
        <v>-8.966646994343774</v>
      </c>
      <c r="N191" t="n">
        <v>-5.876354710822507</v>
      </c>
      <c r="O191" t="n">
        <v>-6.367421210260094</v>
      </c>
      <c r="P191" t="n">
        <v>-14.31608972211134</v>
      </c>
      <c r="Q191" t="n">
        <v>-3.901254220131589</v>
      </c>
      <c r="R191" t="n">
        <v>-10.83763936507227</v>
      </c>
      <c r="S191" t="n">
        <v>2.3</v>
      </c>
      <c r="T191" t="n">
        <v>2.952</v>
      </c>
      <c r="U191" t="n">
        <v>-0.6520000000000001</v>
      </c>
      <c r="V191" t="n">
        <v>1396300000000</v>
      </c>
    </row>
    <row r="192">
      <c r="A192" t="inlineStr">
        <is>
          <t>Indonesia</t>
        </is>
      </c>
      <c r="B192" t="inlineStr">
        <is>
          <t>IDN</t>
        </is>
      </c>
      <c r="C192" t="inlineStr">
        <is>
          <t>INDO.PA</t>
        </is>
      </c>
      <c r="D192" t="n">
        <v>2025</v>
      </c>
      <c r="E192" t="n">
        <v>-14.84785496348749</v>
      </c>
      <c r="F192" t="n">
        <v>4.861</v>
      </c>
      <c r="G192" t="n">
        <v>7.022756</v>
      </c>
      <c r="H192" t="n">
        <v>3.362888</v>
      </c>
      <c r="I192" t="n">
        <v>6.73222592862526</v>
      </c>
      <c r="J192" t="inlineStr">
        <is>
          <t>Indonesia|INDO.PA|2025</t>
        </is>
      </c>
      <c r="K192" t="inlineStr">
        <is>
          <t>Indonesia|2025</t>
        </is>
      </c>
      <c r="L192" t="inlineStr">
        <is>
          <t>EUR</t>
        </is>
      </c>
      <c r="M192" t="n">
        <v>-14.84785496348749</v>
      </c>
      <c r="N192" t="n">
        <v>13.48000925865149</v>
      </c>
      <c r="O192" t="n">
        <v>13.51067566275939</v>
      </c>
      <c r="P192" t="n">
        <v>-3.36933792862526</v>
      </c>
      <c r="Q192" t="n">
        <v>-3.419710718214619</v>
      </c>
      <c r="R192" t="n">
        <v>0.05215638715099224</v>
      </c>
      <c r="S192" t="n">
        <v>1.839</v>
      </c>
      <c r="T192" t="n">
        <v>2.715</v>
      </c>
      <c r="U192" t="n">
        <v>-0.8759999999999999</v>
      </c>
      <c r="V192" t="n">
        <v>1443256000000</v>
      </c>
    </row>
    <row r="193">
      <c r="A193" t="inlineStr">
        <is>
          <t>Indonesia</t>
        </is>
      </c>
      <c r="B193" t="inlineStr">
        <is>
          <t>IDN</t>
        </is>
      </c>
      <c r="C193" t="inlineStr">
        <is>
          <t>INDO.PA</t>
        </is>
      </c>
      <c r="D193" t="n">
        <v>2026</v>
      </c>
      <c r="E193" t="n">
        <v>-19.2393684791643</v>
      </c>
      <c r="F193" t="n">
        <v>4.942</v>
      </c>
      <c r="G193" t="n">
        <v>7.932287</v>
      </c>
      <c r="H193" t="n">
        <v>7.412406</v>
      </c>
      <c r="I193" t="n">
        <v>28.66615986816707</v>
      </c>
      <c r="J193" t="inlineStr">
        <is>
          <t>Indonesia|INDO.PA|2026</t>
        </is>
      </c>
      <c r="K193" t="inlineStr">
        <is>
          <t>Indonesia|2026</t>
        </is>
      </c>
      <c r="L193" t="inlineStr">
        <is>
          <t>EUR</t>
        </is>
      </c>
      <c r="M193" t="n">
        <v>-19.2393684791643</v>
      </c>
      <c r="N193" t="n">
        <v>-2.494266514598853</v>
      </c>
      <c r="O193" t="inlineStr"/>
      <c r="P193" t="n">
        <v>-21.25375386816707</v>
      </c>
      <c r="Q193" t="n">
        <v>-0.4816731502218174</v>
      </c>
      <c r="R193" t="n">
        <v>-20.8726185170903</v>
      </c>
      <c r="S193" t="n">
        <v>2.905</v>
      </c>
      <c r="T193" t="n">
        <v>2.435</v>
      </c>
      <c r="U193" t="n">
        <v>0.4699999999999998</v>
      </c>
      <c r="V193" t="n">
        <v>1550236000000</v>
      </c>
    </row>
    <row r="194">
      <c r="A194" t="inlineStr">
        <is>
          <t>Indonesia</t>
        </is>
      </c>
      <c r="B194" t="inlineStr">
        <is>
          <t>IDN</t>
        </is>
      </c>
      <c r="C194" t="inlineStr">
        <is>
          <t>INDO.PA</t>
        </is>
      </c>
      <c r="D194" t="n">
        <v>2027</v>
      </c>
      <c r="E194" t="inlineStr"/>
      <c r="F194" t="n">
        <v>4.961</v>
      </c>
      <c r="G194" t="n">
        <v>7.599609</v>
      </c>
      <c r="H194" t="n">
        <v>7.248767</v>
      </c>
      <c r="I194" t="inlineStr"/>
      <c r="J194" t="inlineStr">
        <is>
          <t>Indonesia|INDO.PA|2027</t>
        </is>
      </c>
      <c r="K194" t="inlineStr">
        <is>
          <t>Indonesia|2027</t>
        </is>
      </c>
      <c r="L194" t="inlineStr">
        <is>
          <t>EUR</t>
        </is>
      </c>
      <c r="M194" t="inlineStr"/>
      <c r="N194" t="inlineStr"/>
      <c r="O194" t="inlineStr"/>
      <c r="P194" t="inlineStr"/>
      <c r="Q194" t="n">
        <v>-0.3260625856134958</v>
      </c>
      <c r="R194" t="inlineStr"/>
      <c r="S194" t="n">
        <v>2.522</v>
      </c>
      <c r="T194" t="n">
        <v>2.185</v>
      </c>
      <c r="U194" t="n">
        <v>0.3369999999999997</v>
      </c>
      <c r="V194" t="n">
        <v>1662609000000</v>
      </c>
    </row>
    <row r="195">
      <c r="A195" t="inlineStr">
        <is>
          <t>Indonesia</t>
        </is>
      </c>
      <c r="B195" t="inlineStr">
        <is>
          <t>IDN</t>
        </is>
      </c>
      <c r="C195" t="inlineStr">
        <is>
          <t>INDO.PA</t>
        </is>
      </c>
      <c r="D195" t="n">
        <v>2028</v>
      </c>
      <c r="E195" t="inlineStr"/>
      <c r="F195" t="n">
        <v>4.956</v>
      </c>
      <c r="G195" t="n">
        <v>7.596469</v>
      </c>
      <c r="H195" t="n">
        <v>7.694653</v>
      </c>
      <c r="I195" t="inlineStr"/>
      <c r="J195" t="inlineStr">
        <is>
          <t>Indonesia|INDO.PA|2028</t>
        </is>
      </c>
      <c r="K195" t="inlineStr">
        <is>
          <t>Indonesia|2028</t>
        </is>
      </c>
      <c r="L195" t="inlineStr">
        <is>
          <t>EUR</t>
        </is>
      </c>
      <c r="M195" t="inlineStr"/>
      <c r="N195" t="inlineStr"/>
      <c r="O195" t="inlineStr"/>
      <c r="P195" t="inlineStr"/>
      <c r="Q195" t="n">
        <v>0.09125288421170108</v>
      </c>
      <c r="R195" t="inlineStr"/>
      <c r="S195" t="n">
        <v>2.517</v>
      </c>
      <c r="T195" t="n">
        <v>2.206</v>
      </c>
      <c r="U195" t="n">
        <v>0.3109999999999999</v>
      </c>
      <c r="V195" t="n">
        <v>1790541000000</v>
      </c>
    </row>
    <row r="196">
      <c r="A196" t="inlineStr">
        <is>
          <t>Indonesia</t>
        </is>
      </c>
      <c r="B196" t="inlineStr">
        <is>
          <t>IDN</t>
        </is>
      </c>
      <c r="C196" t="inlineStr">
        <is>
          <t>INDO.PA</t>
        </is>
      </c>
      <c r="D196" t="n">
        <v>2029</v>
      </c>
      <c r="E196" t="inlineStr"/>
      <c r="F196" t="n">
        <v>5.111</v>
      </c>
      <c r="G196" t="n">
        <v>7.755014</v>
      </c>
      <c r="H196" t="n">
        <v>7.744419</v>
      </c>
      <c r="I196" t="inlineStr"/>
      <c r="J196" t="inlineStr">
        <is>
          <t>Indonesia|INDO.PA|2029</t>
        </is>
      </c>
      <c r="K196" t="inlineStr">
        <is>
          <t>Indonesia|2029</t>
        </is>
      </c>
      <c r="L196" t="inlineStr">
        <is>
          <t>EUR</t>
        </is>
      </c>
      <c r="M196" t="inlineStr"/>
      <c r="N196" t="inlineStr"/>
      <c r="O196" t="inlineStr"/>
      <c r="P196" t="inlineStr"/>
      <c r="Q196" t="n">
        <v>-0.009832470972592766</v>
      </c>
      <c r="R196" t="inlineStr"/>
      <c r="S196" t="n">
        <v>2.517</v>
      </c>
      <c r="T196" t="n">
        <v>2.203</v>
      </c>
      <c r="U196" t="n">
        <v>0.3140000000000001</v>
      </c>
      <c r="V196" t="n">
        <v>1929208000000</v>
      </c>
    </row>
    <row r="197">
      <c r="A197" t="inlineStr">
        <is>
          <t>Italy</t>
        </is>
      </c>
      <c r="B197" t="inlineStr">
        <is>
          <t>ITA</t>
        </is>
      </c>
      <c r="C197" t="inlineStr">
        <is>
          <t>EWI</t>
        </is>
      </c>
      <c r="D197" t="n">
        <v>2015</v>
      </c>
      <c r="E197" t="n">
        <v>2.915688754289625</v>
      </c>
      <c r="F197" t="n">
        <v>0.886</v>
      </c>
      <c r="G197" t="inlineStr"/>
      <c r="H197" t="inlineStr"/>
      <c r="I197" t="inlineStr"/>
      <c r="J197" t="inlineStr">
        <is>
          <t>Italy|EWI|2015</t>
        </is>
      </c>
      <c r="K197" t="inlineStr">
        <is>
          <t>Italy|2015</t>
        </is>
      </c>
      <c r="L197" t="inlineStr">
        <is>
          <t>USD</t>
        </is>
      </c>
      <c r="M197" t="n">
        <v>2.915688754289625</v>
      </c>
      <c r="N197" t="n">
        <v>0</v>
      </c>
      <c r="O197" t="n">
        <v>0</v>
      </c>
      <c r="P197" t="n">
        <v>2.915688754289625</v>
      </c>
      <c r="Q197" t="inlineStr"/>
      <c r="R197" t="inlineStr"/>
      <c r="S197" t="n">
        <v>0.108</v>
      </c>
      <c r="T197" t="n">
        <v>0.121</v>
      </c>
      <c r="U197" t="n">
        <v>-0.013</v>
      </c>
      <c r="V197" t="n">
        <v>1845615000000</v>
      </c>
    </row>
    <row r="198">
      <c r="A198" t="inlineStr">
        <is>
          <t>Italy</t>
        </is>
      </c>
      <c r="B198" t="inlineStr">
        <is>
          <t>ITA</t>
        </is>
      </c>
      <c r="C198" t="inlineStr">
        <is>
          <t>EWI</t>
        </is>
      </c>
      <c r="D198" t="n">
        <v>2016</v>
      </c>
      <c r="E198" t="n">
        <v>-7.217582100866215</v>
      </c>
      <c r="F198" t="n">
        <v>1.236</v>
      </c>
      <c r="G198" t="n">
        <v>2.499763</v>
      </c>
      <c r="H198" t="n">
        <v>2.220127</v>
      </c>
      <c r="I198" t="n">
        <v>9.437709100866215</v>
      </c>
      <c r="J198" t="inlineStr">
        <is>
          <t>Italy|EWI|2016</t>
        </is>
      </c>
      <c r="K198" t="inlineStr">
        <is>
          <t>Italy|2016</t>
        </is>
      </c>
      <c r="L198" t="inlineStr">
        <is>
          <t>USD</t>
        </is>
      </c>
      <c r="M198" t="n">
        <v>-7.217582100866215</v>
      </c>
      <c r="N198" t="n">
        <v>0</v>
      </c>
      <c r="O198" t="n">
        <v>0</v>
      </c>
      <c r="P198" t="n">
        <v>-7.217582100866215</v>
      </c>
      <c r="Q198" t="n">
        <v>-0.2728156085432532</v>
      </c>
      <c r="R198" t="n">
        <v>-6.963764729447119</v>
      </c>
      <c r="S198" t="n">
        <v>-0.05</v>
      </c>
      <c r="T198" t="n">
        <v>1.267</v>
      </c>
      <c r="U198" t="n">
        <v>-1.317</v>
      </c>
      <c r="V198" t="n">
        <v>1886590000000</v>
      </c>
    </row>
    <row r="199">
      <c r="A199" t="inlineStr">
        <is>
          <t>Italy</t>
        </is>
      </c>
      <c r="B199" t="inlineStr">
        <is>
          <t>ITA</t>
        </is>
      </c>
      <c r="C199" t="inlineStr">
        <is>
          <t>EWI</t>
        </is>
      </c>
      <c r="D199" t="n">
        <v>2017</v>
      </c>
      <c r="E199" t="n">
        <v>27.22810120818198</v>
      </c>
      <c r="F199" t="n">
        <v>1.604</v>
      </c>
      <c r="G199" t="n">
        <v>2.325006</v>
      </c>
      <c r="H199" t="n">
        <v>4.422636</v>
      </c>
      <c r="I199" t="n">
        <v>-22.80546520818197</v>
      </c>
      <c r="J199" t="inlineStr">
        <is>
          <t>Italy|EWI|2017</t>
        </is>
      </c>
      <c r="K199" t="inlineStr">
        <is>
          <t>Italy|2017</t>
        </is>
      </c>
      <c r="L199" t="inlineStr">
        <is>
          <t>USD</t>
        </is>
      </c>
      <c r="M199" t="n">
        <v>27.22810120818198</v>
      </c>
      <c r="N199" t="n">
        <v>0</v>
      </c>
      <c r="O199" t="n">
        <v>0</v>
      </c>
      <c r="P199" t="n">
        <v>27.22810120818198</v>
      </c>
      <c r="Q199" t="n">
        <v>2.049967928336471</v>
      </c>
      <c r="R199" t="n">
        <v>24.67235785662039</v>
      </c>
      <c r="S199" t="n">
        <v>1.326</v>
      </c>
      <c r="T199" t="n">
        <v>2.131</v>
      </c>
      <c r="U199" t="n">
        <v>-0.8049999999999997</v>
      </c>
      <c r="V199" t="n">
        <v>1970027000000</v>
      </c>
    </row>
    <row r="200">
      <c r="A200" t="inlineStr">
        <is>
          <t>Italy</t>
        </is>
      </c>
      <c r="B200" t="inlineStr">
        <is>
          <t>ITA</t>
        </is>
      </c>
      <c r="C200" t="inlineStr">
        <is>
          <t>EWI</t>
        </is>
      </c>
      <c r="D200" t="n">
        <v>2018</v>
      </c>
      <c r="E200" t="n">
        <v>-17.69276890748259</v>
      </c>
      <c r="F200" t="n">
        <v>0.827</v>
      </c>
      <c r="G200" t="n">
        <v>1.905997</v>
      </c>
      <c r="H200" t="n">
        <v>6.617168</v>
      </c>
      <c r="I200" t="n">
        <v>24.30993690748259</v>
      </c>
      <c r="J200" t="inlineStr">
        <is>
          <t>Italy|EWI|2018</t>
        </is>
      </c>
      <c r="K200" t="inlineStr">
        <is>
          <t>Italy|2018</t>
        </is>
      </c>
      <c r="L200" t="inlineStr">
        <is>
          <t>USD</t>
        </is>
      </c>
      <c r="M200" t="n">
        <v>-17.69276890748259</v>
      </c>
      <c r="N200" t="n">
        <v>0</v>
      </c>
      <c r="O200" t="n">
        <v>0</v>
      </c>
      <c r="P200" t="n">
        <v>-17.69276890748259</v>
      </c>
      <c r="Q200" t="n">
        <v>4.623056079141641</v>
      </c>
      <c r="R200" t="n">
        <v>-21.32973918267454</v>
      </c>
      <c r="S200" t="n">
        <v>1.243</v>
      </c>
      <c r="T200" t="n">
        <v>2.439</v>
      </c>
      <c r="U200" t="n">
        <v>-1.196</v>
      </c>
      <c r="V200" t="n">
        <v>2100387000000</v>
      </c>
    </row>
    <row r="201">
      <c r="A201" t="inlineStr">
        <is>
          <t>Italy</t>
        </is>
      </c>
      <c r="B201" t="inlineStr">
        <is>
          <t>ITA</t>
        </is>
      </c>
      <c r="C201" t="inlineStr">
        <is>
          <t>EWI</t>
        </is>
      </c>
      <c r="D201" t="n">
        <v>2019</v>
      </c>
      <c r="E201" t="n">
        <v>27.29960199542565</v>
      </c>
      <c r="F201" t="n">
        <v>0.429</v>
      </c>
      <c r="G201" t="n">
        <v>1.480753</v>
      </c>
      <c r="H201" t="n">
        <v>-3.835293</v>
      </c>
      <c r="I201" t="n">
        <v>-31.13489499542565</v>
      </c>
      <c r="J201" t="inlineStr">
        <is>
          <t>Italy|EWI|2019</t>
        </is>
      </c>
      <c r="K201" t="inlineStr">
        <is>
          <t>Italy|2019</t>
        </is>
      </c>
      <c r="L201" t="inlineStr">
        <is>
          <t>USD</t>
        </is>
      </c>
      <c r="M201" t="n">
        <v>27.29960199542565</v>
      </c>
      <c r="N201" t="n">
        <v>0</v>
      </c>
      <c r="O201" t="n">
        <v>0</v>
      </c>
      <c r="P201" t="n">
        <v>27.29960199542565</v>
      </c>
      <c r="Q201" t="n">
        <v>-5.23847742588689</v>
      </c>
      <c r="R201" t="n">
        <v>34.33680521106493</v>
      </c>
      <c r="S201" t="n">
        <v>0.634</v>
      </c>
      <c r="T201" t="n">
        <v>1.813</v>
      </c>
      <c r="U201" t="n">
        <v>-1.179</v>
      </c>
      <c r="V201" t="n">
        <v>2019831000000</v>
      </c>
    </row>
    <row r="202">
      <c r="A202" t="inlineStr">
        <is>
          <t>Italy</t>
        </is>
      </c>
      <c r="B202" t="inlineStr">
        <is>
          <t>ITA</t>
        </is>
      </c>
      <c r="C202" t="inlineStr">
        <is>
          <t>EWI</t>
        </is>
      </c>
      <c r="D202" t="n">
        <v>2020</v>
      </c>
      <c r="E202" t="n">
        <v>0.3274596754839099</v>
      </c>
      <c r="F202" t="n">
        <v>-8.868</v>
      </c>
      <c r="G202" t="n">
        <v>-7.430707</v>
      </c>
      <c r="H202" t="n">
        <v>-5.637848</v>
      </c>
      <c r="I202" t="n">
        <v>-5.96530767548391</v>
      </c>
      <c r="J202" t="inlineStr">
        <is>
          <t>Italy|EWI|2020</t>
        </is>
      </c>
      <c r="K202" t="inlineStr">
        <is>
          <t>Italy|2020</t>
        </is>
      </c>
      <c r="L202" t="inlineStr">
        <is>
          <t>USD</t>
        </is>
      </c>
      <c r="M202" t="n">
        <v>0.3274596754839099</v>
      </c>
      <c r="N202" t="n">
        <v>0</v>
      </c>
      <c r="O202" t="n">
        <v>0</v>
      </c>
      <c r="P202" t="n">
        <v>0.3274596754839099</v>
      </c>
      <c r="Q202" t="n">
        <v>1.936774732016144</v>
      </c>
      <c r="R202" t="n">
        <v>-1.578738449164196</v>
      </c>
      <c r="S202" t="n">
        <v>-0.145</v>
      </c>
      <c r="T202" t="n">
        <v>1.253</v>
      </c>
      <c r="U202" t="n">
        <v>-1.398</v>
      </c>
      <c r="V202" t="n">
        <v>1905956000000</v>
      </c>
    </row>
    <row r="203">
      <c r="A203" t="inlineStr">
        <is>
          <t>Italy</t>
        </is>
      </c>
      <c r="B203" t="inlineStr">
        <is>
          <t>ITA</t>
        </is>
      </c>
      <c r="C203" t="inlineStr">
        <is>
          <t>EWI</t>
        </is>
      </c>
      <c r="D203" t="n">
        <v>2021</v>
      </c>
      <c r="E203" t="n">
        <v>13.49751151293388</v>
      </c>
      <c r="F203" t="n">
        <v>8.930999999999999</v>
      </c>
      <c r="G203" t="n">
        <v>10.328962</v>
      </c>
      <c r="H203" t="n">
        <v>14.412767</v>
      </c>
      <c r="I203" t="n">
        <v>0.9152554870661209</v>
      </c>
      <c r="J203" t="inlineStr">
        <is>
          <t>Italy|EWI|2021</t>
        </is>
      </c>
      <c r="K203" t="inlineStr">
        <is>
          <t>Italy|2021</t>
        </is>
      </c>
      <c r="L203" t="inlineStr">
        <is>
          <t>USD</t>
        </is>
      </c>
      <c r="M203" t="n">
        <v>13.49751151293388</v>
      </c>
      <c r="N203" t="n">
        <v>0</v>
      </c>
      <c r="O203" t="n">
        <v>0</v>
      </c>
      <c r="P203" t="n">
        <v>13.49751151293388</v>
      </c>
      <c r="Q203" t="n">
        <v>3.701481070130574</v>
      </c>
      <c r="R203" t="n">
        <v>9.446374672487568</v>
      </c>
      <c r="S203" t="n">
        <v>1.941</v>
      </c>
      <c r="T203" t="n">
        <v>4.679</v>
      </c>
      <c r="U203" t="n">
        <v>-2.738</v>
      </c>
      <c r="V203" t="n">
        <v>2180657000000</v>
      </c>
    </row>
    <row r="204">
      <c r="A204" t="inlineStr">
        <is>
          <t>Italy</t>
        </is>
      </c>
      <c r="B204" t="inlineStr">
        <is>
          <t>ITA</t>
        </is>
      </c>
      <c r="C204" t="inlineStr">
        <is>
          <t>EWI</t>
        </is>
      </c>
      <c r="D204" t="n">
        <v>2022</v>
      </c>
      <c r="E204" t="n">
        <v>-15.52396387911145</v>
      </c>
      <c r="F204" t="n">
        <v>4.821</v>
      </c>
      <c r="G204" t="n">
        <v>8.443111</v>
      </c>
      <c r="H204" t="n">
        <v>-3.436304</v>
      </c>
      <c r="I204" t="n">
        <v>12.08765987911145</v>
      </c>
      <c r="J204" t="inlineStr">
        <is>
          <t>Italy|EWI|2022</t>
        </is>
      </c>
      <c r="K204" t="inlineStr">
        <is>
          <t>Italy|2022</t>
        </is>
      </c>
      <c r="L204" t="inlineStr">
        <is>
          <t>USD</t>
        </is>
      </c>
      <c r="M204" t="n">
        <v>-15.52396387911145</v>
      </c>
      <c r="N204" t="n">
        <v>0</v>
      </c>
      <c r="O204" t="n">
        <v>0</v>
      </c>
      <c r="P204" t="n">
        <v>-15.52396387911145</v>
      </c>
      <c r="Q204" t="n">
        <v>-10.95451332175897</v>
      </c>
      <c r="R204" t="n">
        <v>-5.131591423452853</v>
      </c>
      <c r="S204" t="n">
        <v>8.736000000000001</v>
      </c>
      <c r="T204" t="n">
        <v>7.993</v>
      </c>
      <c r="U204" t="n">
        <v>0.7430000000000003</v>
      </c>
      <c r="V204" t="n">
        <v>2105723000000</v>
      </c>
    </row>
    <row r="205">
      <c r="A205" t="inlineStr">
        <is>
          <t>Italy</t>
        </is>
      </c>
      <c r="B205" t="inlineStr">
        <is>
          <t>ITA</t>
        </is>
      </c>
      <c r="C205" t="inlineStr">
        <is>
          <t>EWI</t>
        </is>
      </c>
      <c r="D205" t="n">
        <v>2023</v>
      </c>
      <c r="E205" t="n">
        <v>28.39149567354877</v>
      </c>
      <c r="F205" t="n">
        <v>0.715</v>
      </c>
      <c r="G205" t="n">
        <v>6.672279</v>
      </c>
      <c r="H205" t="n">
        <v>9.476413000000001</v>
      </c>
      <c r="I205" t="n">
        <v>-18.91508267354877</v>
      </c>
      <c r="J205" t="inlineStr">
        <is>
          <t>Italy|EWI|2023</t>
        </is>
      </c>
      <c r="K205" t="inlineStr">
        <is>
          <t>Italy|2023</t>
        </is>
      </c>
      <c r="L205" t="inlineStr">
        <is>
          <t>USD</t>
        </is>
      </c>
      <c r="M205" t="n">
        <v>28.39149567354877</v>
      </c>
      <c r="N205" t="n">
        <v>0</v>
      </c>
      <c r="O205" t="n">
        <v>0</v>
      </c>
      <c r="P205" t="n">
        <v>28.39149567354877</v>
      </c>
      <c r="Q205" t="n">
        <v>2.628737200625419</v>
      </c>
      <c r="R205" t="n">
        <v>25.10286999104414</v>
      </c>
      <c r="S205" t="n">
        <v>5.903</v>
      </c>
      <c r="T205" t="n">
        <v>4.128</v>
      </c>
      <c r="U205" t="n">
        <v>1.774999999999999</v>
      </c>
      <c r="V205" t="n">
        <v>2305270000000</v>
      </c>
    </row>
    <row r="206">
      <c r="A206" t="inlineStr">
        <is>
          <t>Italy</t>
        </is>
      </c>
      <c r="B206" t="inlineStr">
        <is>
          <t>ITA</t>
        </is>
      </c>
      <c r="C206" t="inlineStr">
        <is>
          <t>EWI</t>
        </is>
      </c>
      <c r="D206" t="n">
        <v>2024</v>
      </c>
      <c r="E206" t="n">
        <v>11.01334124544224</v>
      </c>
      <c r="F206" t="n">
        <v>0.726</v>
      </c>
      <c r="G206" t="n">
        <v>2.852176</v>
      </c>
      <c r="H206" t="n">
        <v>2.897231</v>
      </c>
      <c r="I206" t="n">
        <v>-8.116110245442243</v>
      </c>
      <c r="J206" t="inlineStr">
        <is>
          <t>Italy|EWI|2024</t>
        </is>
      </c>
      <c r="K206" t="inlineStr">
        <is>
          <t>Italy|2024</t>
        </is>
      </c>
      <c r="L206" t="inlineStr">
        <is>
          <t>USD</t>
        </is>
      </c>
      <c r="M206" t="n">
        <v>11.01334124544224</v>
      </c>
      <c r="N206" t="n">
        <v>0</v>
      </c>
      <c r="O206" t="n">
        <v>0</v>
      </c>
      <c r="P206" t="n">
        <v>11.01334124544224</v>
      </c>
      <c r="Q206" t="n">
        <v>0.0438054392624343</v>
      </c>
      <c r="R206" t="n">
        <v>10.96473265687552</v>
      </c>
      <c r="S206" t="n">
        <v>1.089</v>
      </c>
      <c r="T206" t="n">
        <v>2.952</v>
      </c>
      <c r="U206" t="n">
        <v>-1.863</v>
      </c>
      <c r="V206" t="n">
        <v>2372059000000</v>
      </c>
    </row>
    <row r="207">
      <c r="A207" t="inlineStr">
        <is>
          <t>Italy</t>
        </is>
      </c>
      <c r="B207" t="inlineStr">
        <is>
          <t>ITA</t>
        </is>
      </c>
      <c r="C207" t="inlineStr">
        <is>
          <t>EWI</t>
        </is>
      </c>
      <c r="D207" t="n">
        <v>2025</v>
      </c>
      <c r="E207" t="n">
        <v>57.55739357786656</v>
      </c>
      <c r="F207" t="n">
        <v>0.546</v>
      </c>
      <c r="G207" t="n">
        <v>2.726189</v>
      </c>
      <c r="H207" t="n">
        <v>7.23498</v>
      </c>
      <c r="I207" t="n">
        <v>-50.32241357786656</v>
      </c>
      <c r="J207" t="inlineStr">
        <is>
          <t>Italy|EWI|2025</t>
        </is>
      </c>
      <c r="K207" t="inlineStr">
        <is>
          <t>Italy|2025</t>
        </is>
      </c>
      <c r="L207" t="inlineStr">
        <is>
          <t>USD</t>
        </is>
      </c>
      <c r="M207" t="n">
        <v>57.55739357786656</v>
      </c>
      <c r="N207" t="n">
        <v>0</v>
      </c>
      <c r="O207" t="n">
        <v>0</v>
      </c>
      <c r="P207" t="n">
        <v>57.55739357786656</v>
      </c>
      <c r="Q207" t="n">
        <v>4.389134997969357</v>
      </c>
      <c r="R207" t="n">
        <v>50.93275136433639</v>
      </c>
      <c r="S207" t="n">
        <v>1.657</v>
      </c>
      <c r="T207" t="n">
        <v>2.715</v>
      </c>
      <c r="U207" t="n">
        <v>-1.058</v>
      </c>
      <c r="V207" t="n">
        <v>2543677000000</v>
      </c>
    </row>
    <row r="208">
      <c r="A208" t="inlineStr">
        <is>
          <t>Italy</t>
        </is>
      </c>
      <c r="B208" t="inlineStr">
        <is>
          <t>ITA</t>
        </is>
      </c>
      <c r="C208" t="inlineStr">
        <is>
          <t>EWI</t>
        </is>
      </c>
      <c r="D208" t="n">
        <v>2026</v>
      </c>
      <c r="E208" t="n">
        <v>-3.245106817402077</v>
      </c>
      <c r="F208" t="n">
        <v>0.759</v>
      </c>
      <c r="G208" t="n">
        <v>2.787725</v>
      </c>
      <c r="H208" t="n">
        <v>6.206252</v>
      </c>
      <c r="I208" t="n">
        <v>9.451358817402078</v>
      </c>
      <c r="J208" t="inlineStr">
        <is>
          <t>Italy|EWI|2026</t>
        </is>
      </c>
      <c r="K208" t="inlineStr">
        <is>
          <t>Italy|2026</t>
        </is>
      </c>
      <c r="L208" t="inlineStr">
        <is>
          <t>USD</t>
        </is>
      </c>
      <c r="M208" t="n">
        <v>-3.245106817402077</v>
      </c>
      <c r="N208" t="n">
        <v>0</v>
      </c>
      <c r="O208" t="n">
        <v>0</v>
      </c>
      <c r="P208" t="n">
        <v>-3.245106817402077</v>
      </c>
      <c r="Q208" t="n">
        <v>3.32581257664113</v>
      </c>
      <c r="R208" t="n">
        <v>-6.359417100319709</v>
      </c>
      <c r="S208" t="n">
        <v>2.014</v>
      </c>
      <c r="T208" t="n">
        <v>2.435</v>
      </c>
      <c r="U208" t="n">
        <v>-0.4210000000000003</v>
      </c>
      <c r="V208" t="n">
        <v>2701544000000</v>
      </c>
    </row>
    <row r="209">
      <c r="A209" t="inlineStr">
        <is>
          <t>Italy</t>
        </is>
      </c>
      <c r="B209" t="inlineStr">
        <is>
          <t>ITA</t>
        </is>
      </c>
      <c r="C209" t="inlineStr">
        <is>
          <t>EWI</t>
        </is>
      </c>
      <c r="D209" t="n">
        <v>2027</v>
      </c>
      <c r="E209" t="inlineStr"/>
      <c r="F209" t="n">
        <v>0.5679999999999999</v>
      </c>
      <c r="G209" t="n">
        <v>2.57923</v>
      </c>
      <c r="H209" t="n">
        <v>2.313825</v>
      </c>
      <c r="I209" t="inlineStr"/>
      <c r="J209" t="inlineStr">
        <is>
          <t>Italy|EWI|2027</t>
        </is>
      </c>
      <c r="K209" t="inlineStr">
        <is>
          <t>Italy|2027</t>
        </is>
      </c>
      <c r="L209" t="inlineStr">
        <is>
          <t>USD</t>
        </is>
      </c>
      <c r="M209" t="inlineStr"/>
      <c r="N209" t="inlineStr"/>
      <c r="O209" t="inlineStr"/>
      <c r="P209" t="inlineStr"/>
      <c r="Q209" t="n">
        <v>-0.2587315524068545</v>
      </c>
      <c r="R209" t="inlineStr"/>
      <c r="S209" t="n">
        <v>2</v>
      </c>
      <c r="T209" t="n">
        <v>2.185</v>
      </c>
      <c r="U209" t="n">
        <v>-0.1850000000000001</v>
      </c>
      <c r="V209" t="n">
        <v>2764053000000</v>
      </c>
    </row>
    <row r="210">
      <c r="A210" t="inlineStr">
        <is>
          <t>Italy</t>
        </is>
      </c>
      <c r="B210" t="inlineStr">
        <is>
          <t>ITA</t>
        </is>
      </c>
      <c r="C210" t="inlineStr">
        <is>
          <t>EWI</t>
        </is>
      </c>
      <c r="D210" t="n">
        <v>2028</v>
      </c>
      <c r="E210" t="inlineStr"/>
      <c r="F210" t="n">
        <v>0.6840000000000001</v>
      </c>
      <c r="G210" t="n">
        <v>2.697328</v>
      </c>
      <c r="H210" t="n">
        <v>2.516377</v>
      </c>
      <c r="I210" t="inlineStr"/>
      <c r="J210" t="inlineStr">
        <is>
          <t>Italy|EWI|2028</t>
        </is>
      </c>
      <c r="K210" t="inlineStr">
        <is>
          <t>Italy|2028</t>
        </is>
      </c>
      <c r="L210" t="inlineStr">
        <is>
          <t>USD</t>
        </is>
      </c>
      <c r="M210" t="inlineStr"/>
      <c r="N210" t="inlineStr"/>
      <c r="O210" t="inlineStr"/>
      <c r="P210" t="inlineStr"/>
      <c r="Q210" t="n">
        <v>-0.1761980009092889</v>
      </c>
      <c r="R210" t="inlineStr"/>
      <c r="S210" t="n">
        <v>2</v>
      </c>
      <c r="T210" t="n">
        <v>2.206</v>
      </c>
      <c r="U210" t="n">
        <v>-0.206</v>
      </c>
      <c r="V210" t="n">
        <v>2833607000000</v>
      </c>
    </row>
    <row r="211">
      <c r="A211" t="inlineStr">
        <is>
          <t>Italy</t>
        </is>
      </c>
      <c r="B211" t="inlineStr">
        <is>
          <t>ITA</t>
        </is>
      </c>
      <c r="C211" t="inlineStr">
        <is>
          <t>EWI</t>
        </is>
      </c>
      <c r="D211" t="n">
        <v>2029</v>
      </c>
      <c r="E211" t="inlineStr"/>
      <c r="F211" t="n">
        <v>0.719</v>
      </c>
      <c r="G211" t="n">
        <v>2.733353</v>
      </c>
      <c r="H211" t="n">
        <v>2.630816</v>
      </c>
      <c r="I211" t="inlineStr"/>
      <c r="J211" t="inlineStr">
        <is>
          <t>Italy|EWI|2029</t>
        </is>
      </c>
      <c r="K211" t="inlineStr">
        <is>
          <t>Italy|2029</t>
        </is>
      </c>
      <c r="L211" t="inlineStr">
        <is>
          <t>USD</t>
        </is>
      </c>
      <c r="M211" t="inlineStr"/>
      <c r="N211" t="inlineStr"/>
      <c r="O211" t="inlineStr"/>
      <c r="P211" t="inlineStr"/>
      <c r="Q211" t="n">
        <v>-0.09980868491518136</v>
      </c>
      <c r="R211" t="inlineStr"/>
      <c r="S211" t="n">
        <v>2</v>
      </c>
      <c r="T211" t="n">
        <v>2.203</v>
      </c>
      <c r="U211" t="n">
        <v>-0.2029999999999998</v>
      </c>
      <c r="V211" t="n">
        <v>2908154000000</v>
      </c>
    </row>
    <row r="212">
      <c r="A212" t="inlineStr">
        <is>
          <t>Japan</t>
        </is>
      </c>
      <c r="B212" t="inlineStr">
        <is>
          <t>JPN</t>
        </is>
      </c>
      <c r="C212" t="inlineStr">
        <is>
          <t>CJPU.L</t>
        </is>
      </c>
      <c r="D212" t="n">
        <v>2015</v>
      </c>
      <c r="E212" t="n">
        <v>9.329169648484047</v>
      </c>
      <c r="F212" t="n">
        <v>1.561</v>
      </c>
      <c r="G212" t="inlineStr"/>
      <c r="H212" t="inlineStr"/>
      <c r="I212" t="inlineStr"/>
      <c r="J212" t="inlineStr">
        <is>
          <t>Japan|CJPU.L|2015</t>
        </is>
      </c>
      <c r="K212" t="inlineStr">
        <is>
          <t>Japan|2015</t>
        </is>
      </c>
      <c r="L212" t="inlineStr">
        <is>
          <t>USD</t>
        </is>
      </c>
      <c r="M212" t="n">
        <v>9.329169648484047</v>
      </c>
      <c r="N212" t="n">
        <v>0</v>
      </c>
      <c r="O212" t="n">
        <v>0</v>
      </c>
      <c r="P212" t="n">
        <v>9.329169648484047</v>
      </c>
      <c r="Q212" t="inlineStr"/>
      <c r="R212" t="inlineStr"/>
      <c r="S212" t="n">
        <v>0.799</v>
      </c>
      <c r="T212" t="n">
        <v>0.121</v>
      </c>
      <c r="U212" t="n">
        <v>0.678</v>
      </c>
      <c r="V212" t="n">
        <v>4444931000000</v>
      </c>
    </row>
    <row r="213">
      <c r="A213" t="inlineStr">
        <is>
          <t>Japan</t>
        </is>
      </c>
      <c r="B213" t="inlineStr">
        <is>
          <t>JPN</t>
        </is>
      </c>
      <c r="C213" t="inlineStr">
        <is>
          <t>CJPU.L</t>
        </is>
      </c>
      <c r="D213" t="n">
        <v>2016</v>
      </c>
      <c r="E213" t="n">
        <v>5.378466409585814</v>
      </c>
      <c r="F213" t="n">
        <v>0.754</v>
      </c>
      <c r="G213" t="n">
        <v>1.176918</v>
      </c>
      <c r="H213" t="n">
        <v>12.570431</v>
      </c>
      <c r="I213" t="n">
        <v>7.191964590414186</v>
      </c>
      <c r="J213" t="inlineStr">
        <is>
          <t>Japan|CJPU.L|2016</t>
        </is>
      </c>
      <c r="K213" t="inlineStr">
        <is>
          <t>Japan|2016</t>
        </is>
      </c>
      <c r="L213" t="inlineStr">
        <is>
          <t>USD</t>
        </is>
      </c>
      <c r="M213" t="n">
        <v>5.378466409585814</v>
      </c>
      <c r="N213" t="n">
        <v>0</v>
      </c>
      <c r="O213" t="n">
        <v>0</v>
      </c>
      <c r="P213" t="n">
        <v>5.378466409585814</v>
      </c>
      <c r="Q213" t="n">
        <v>11.26098087452183</v>
      </c>
      <c r="R213" t="n">
        <v>-5.287131588000483</v>
      </c>
      <c r="S213" t="n">
        <v>-0.124</v>
      </c>
      <c r="T213" t="n">
        <v>1.267</v>
      </c>
      <c r="U213" t="n">
        <v>-1.391</v>
      </c>
      <c r="V213" t="n">
        <v>5003678000000</v>
      </c>
    </row>
    <row r="214">
      <c r="A214" t="inlineStr">
        <is>
          <t>Japan</t>
        </is>
      </c>
      <c r="B214" t="inlineStr">
        <is>
          <t>JPN</t>
        </is>
      </c>
      <c r="C214" t="inlineStr">
        <is>
          <t>CJPU.L</t>
        </is>
      </c>
      <c r="D214" t="n">
        <v>2017</v>
      </c>
      <c r="E214" t="n">
        <v>23.90629384021681</v>
      </c>
      <c r="F214" t="n">
        <v>1.675</v>
      </c>
      <c r="G214" t="n">
        <v>1.599737</v>
      </c>
      <c r="H214" t="n">
        <v>-1.455749</v>
      </c>
      <c r="I214" t="n">
        <v>-25.36204284021681</v>
      </c>
      <c r="J214" t="inlineStr">
        <is>
          <t>Japan|CJPU.L|2017</t>
        </is>
      </c>
      <c r="K214" t="inlineStr">
        <is>
          <t>Japan|2017</t>
        </is>
      </c>
      <c r="L214" t="inlineStr">
        <is>
          <t>USD</t>
        </is>
      </c>
      <c r="M214" t="n">
        <v>23.90629384021681</v>
      </c>
      <c r="N214" t="n">
        <v>0</v>
      </c>
      <c r="O214" t="n">
        <v>0</v>
      </c>
      <c r="P214" t="n">
        <v>23.90629384021681</v>
      </c>
      <c r="Q214" t="n">
        <v>-3.007375706721171</v>
      </c>
      <c r="R214" t="n">
        <v>27.7481609999112</v>
      </c>
      <c r="S214" t="n">
        <v>0.487</v>
      </c>
      <c r="T214" t="n">
        <v>2.131</v>
      </c>
      <c r="U214" t="n">
        <v>-1.644</v>
      </c>
      <c r="V214" t="n">
        <v>4930837000000</v>
      </c>
    </row>
    <row r="215">
      <c r="A215" t="inlineStr">
        <is>
          <t>Japan</t>
        </is>
      </c>
      <c r="B215" t="inlineStr">
        <is>
          <t>JPN</t>
        </is>
      </c>
      <c r="C215" t="inlineStr">
        <is>
          <t>CJPU.L</t>
        </is>
      </c>
      <c r="D215" t="n">
        <v>2018</v>
      </c>
      <c r="E215" t="n">
        <v>-13.49926345850369</v>
      </c>
      <c r="F215" t="n">
        <v>0.643</v>
      </c>
      <c r="G215" t="n">
        <v>0.6431519999999999</v>
      </c>
      <c r="H215" t="n">
        <v>2.231751</v>
      </c>
      <c r="I215" t="n">
        <v>15.73101445850369</v>
      </c>
      <c r="J215" t="inlineStr">
        <is>
          <t>Japan|CJPU.L|2018</t>
        </is>
      </c>
      <c r="K215" t="inlineStr">
        <is>
          <t>Japan|2018</t>
        </is>
      </c>
      <c r="L215" t="inlineStr">
        <is>
          <t>USD</t>
        </is>
      </c>
      <c r="M215" t="n">
        <v>-13.49926345850369</v>
      </c>
      <c r="N215" t="n">
        <v>0</v>
      </c>
      <c r="O215" t="n">
        <v>0</v>
      </c>
      <c r="P215" t="n">
        <v>-13.49926345850369</v>
      </c>
      <c r="Q215" t="n">
        <v>1.578447114753345</v>
      </c>
      <c r="R215" t="n">
        <v>-14.84341511563345</v>
      </c>
      <c r="S215" t="n">
        <v>0.99</v>
      </c>
      <c r="T215" t="n">
        <v>2.439</v>
      </c>
      <c r="U215" t="n">
        <v>-1.449</v>
      </c>
      <c r="V215" t="n">
        <v>5040881000000</v>
      </c>
    </row>
    <row r="216">
      <c r="A216" t="inlineStr">
        <is>
          <t>Japan</t>
        </is>
      </c>
      <c r="B216" t="inlineStr">
        <is>
          <t>JPN</t>
        </is>
      </c>
      <c r="C216" t="inlineStr">
        <is>
          <t>CJPU.L</t>
        </is>
      </c>
      <c r="D216" t="n">
        <v>2019</v>
      </c>
      <c r="E216" t="n">
        <v>18.55612029358247</v>
      </c>
      <c r="F216" t="n">
        <v>-0.402</v>
      </c>
      <c r="G216" t="n">
        <v>0.230099</v>
      </c>
      <c r="H216" t="n">
        <v>1.529772</v>
      </c>
      <c r="I216" t="n">
        <v>-17.02634829358247</v>
      </c>
      <c r="J216" t="inlineStr">
        <is>
          <t>Japan|CJPU.L|2019</t>
        </is>
      </c>
      <c r="K216" t="inlineStr">
        <is>
          <t>Japan|2019</t>
        </is>
      </c>
      <c r="L216" t="inlineStr">
        <is>
          <t>USD</t>
        </is>
      </c>
      <c r="M216" t="n">
        <v>18.55612029358247</v>
      </c>
      <c r="N216" t="n">
        <v>0</v>
      </c>
      <c r="O216" t="n">
        <v>0</v>
      </c>
      <c r="P216" t="n">
        <v>18.55612029358247</v>
      </c>
      <c r="Q216" t="n">
        <v>1.296689659444294</v>
      </c>
      <c r="R216" t="n">
        <v>17.03849424118768</v>
      </c>
      <c r="S216" t="n">
        <v>0.469</v>
      </c>
      <c r="T216" t="n">
        <v>1.813</v>
      </c>
      <c r="U216" t="n">
        <v>-1.344</v>
      </c>
      <c r="V216" t="n">
        <v>5117995000000</v>
      </c>
    </row>
    <row r="217">
      <c r="A217" t="inlineStr">
        <is>
          <t>Japan</t>
        </is>
      </c>
      <c r="B217" t="inlineStr">
        <is>
          <t>JPN</t>
        </is>
      </c>
      <c r="C217" t="inlineStr">
        <is>
          <t>CJPU.L</t>
        </is>
      </c>
      <c r="D217" t="n">
        <v>2020</v>
      </c>
      <c r="E217" t="n">
        <v>14.51507284137148</v>
      </c>
      <c r="F217" t="n">
        <v>-4.169</v>
      </c>
      <c r="G217" t="n">
        <v>-3.273784</v>
      </c>
      <c r="H217" t="n">
        <v>-1.249044</v>
      </c>
      <c r="I217" t="n">
        <v>-15.76411684137148</v>
      </c>
      <c r="J217" t="inlineStr">
        <is>
          <t>Japan|CJPU.L|2020</t>
        </is>
      </c>
      <c r="K217" t="inlineStr">
        <is>
          <t>Japan|2020</t>
        </is>
      </c>
      <c r="L217" t="inlineStr">
        <is>
          <t>USD</t>
        </is>
      </c>
      <c r="M217" t="n">
        <v>14.51507284137148</v>
      </c>
      <c r="N217" t="n">
        <v>0</v>
      </c>
      <c r="O217" t="n">
        <v>0</v>
      </c>
      <c r="P217" t="n">
        <v>14.51507284137148</v>
      </c>
      <c r="Q217" t="n">
        <v>2.093269720708757</v>
      </c>
      <c r="R217" t="n">
        <v>12.16711263596943</v>
      </c>
      <c r="S217" t="n">
        <v>-0.027</v>
      </c>
      <c r="T217" t="n">
        <v>1.253</v>
      </c>
      <c r="U217" t="n">
        <v>-1.28</v>
      </c>
      <c r="V217" t="n">
        <v>5054069000000</v>
      </c>
    </row>
    <row r="218">
      <c r="A218" t="inlineStr">
        <is>
          <t>Japan</t>
        </is>
      </c>
      <c r="B218" t="inlineStr">
        <is>
          <t>JPN</t>
        </is>
      </c>
      <c r="C218" t="inlineStr">
        <is>
          <t>CJPU.L</t>
        </is>
      </c>
      <c r="D218" t="n">
        <v>2021</v>
      </c>
      <c r="E218" t="n">
        <v>1.286765336928752</v>
      </c>
      <c r="F218" t="n">
        <v>2.697</v>
      </c>
      <c r="G218" t="n">
        <v>2.487223</v>
      </c>
      <c r="H218" t="n">
        <v>-0.295227</v>
      </c>
      <c r="I218" t="n">
        <v>-1.581992336928753</v>
      </c>
      <c r="J218" t="inlineStr">
        <is>
          <t>Japan|CJPU.L|2021</t>
        </is>
      </c>
      <c r="K218" t="inlineStr">
        <is>
          <t>Japan|2021</t>
        </is>
      </c>
      <c r="L218" t="inlineStr">
        <is>
          <t>USD</t>
        </is>
      </c>
      <c r="M218" t="n">
        <v>1.286765336928752</v>
      </c>
      <c r="N218" t="n">
        <v>0</v>
      </c>
      <c r="O218" t="n">
        <v>0</v>
      </c>
      <c r="P218" t="n">
        <v>1.286765336928752</v>
      </c>
      <c r="Q218" t="n">
        <v>-2.71492391150101</v>
      </c>
      <c r="R218" t="n">
        <v>4.113363949871895</v>
      </c>
      <c r="S218" t="n">
        <v>-0.235</v>
      </c>
      <c r="T218" t="n">
        <v>4.679</v>
      </c>
      <c r="U218" t="n">
        <v>-4.914000000000001</v>
      </c>
      <c r="V218" t="n">
        <v>5039148000000</v>
      </c>
    </row>
    <row r="219">
      <c r="A219" t="inlineStr">
        <is>
          <t>Japan</t>
        </is>
      </c>
      <c r="B219" t="inlineStr">
        <is>
          <t>JPN</t>
        </is>
      </c>
      <c r="C219" t="inlineStr">
        <is>
          <t>CJPU.L</t>
        </is>
      </c>
      <c r="D219" t="n">
        <v>2022</v>
      </c>
      <c r="E219" t="n">
        <v>-18.75000101541136</v>
      </c>
      <c r="F219" t="n">
        <v>0.96</v>
      </c>
      <c r="G219" t="n">
        <v>1.36305</v>
      </c>
      <c r="H219" t="n">
        <v>-15.397782</v>
      </c>
      <c r="I219" t="n">
        <v>3.352219015411357</v>
      </c>
      <c r="J219" t="inlineStr">
        <is>
          <t>Japan|CJPU.L|2022</t>
        </is>
      </c>
      <c r="K219" t="inlineStr">
        <is>
          <t>Japan|2022</t>
        </is>
      </c>
      <c r="L219" t="inlineStr">
        <is>
          <t>USD</t>
        </is>
      </c>
      <c r="M219" t="n">
        <v>-18.75000101541136</v>
      </c>
      <c r="N219" t="n">
        <v>0</v>
      </c>
      <c r="O219" t="n">
        <v>0</v>
      </c>
      <c r="P219" t="n">
        <v>-18.75000101541136</v>
      </c>
      <c r="Q219" t="n">
        <v>-16.53544552238265</v>
      </c>
      <c r="R219" t="n">
        <v>-2.653288580870072</v>
      </c>
      <c r="S219" t="n">
        <v>2.496</v>
      </c>
      <c r="T219" t="n">
        <v>7.993</v>
      </c>
      <c r="U219" t="n">
        <v>-5.497</v>
      </c>
      <c r="V219" t="n">
        <v>4263231000000</v>
      </c>
    </row>
    <row r="220">
      <c r="A220" t="inlineStr">
        <is>
          <t>Japan</t>
        </is>
      </c>
      <c r="B220" t="inlineStr">
        <is>
          <t>JPN</t>
        </is>
      </c>
      <c r="C220" t="inlineStr">
        <is>
          <t>CJPU.L</t>
        </is>
      </c>
      <c r="D220" t="n">
        <v>2023</v>
      </c>
      <c r="E220" t="n">
        <v>19.82893339712084</v>
      </c>
      <c r="F220" t="n">
        <v>1.245</v>
      </c>
      <c r="G220" t="n">
        <v>5.36886</v>
      </c>
      <c r="H220" t="n">
        <v>-1.375905</v>
      </c>
      <c r="I220" t="n">
        <v>-21.20483839712084</v>
      </c>
      <c r="J220" t="inlineStr">
        <is>
          <t>Japan|CJPU.L|2023</t>
        </is>
      </c>
      <c r="K220" t="inlineStr">
        <is>
          <t>Japan|2023</t>
        </is>
      </c>
      <c r="L220" t="inlineStr">
        <is>
          <t>USD</t>
        </is>
      </c>
      <c r="M220" t="n">
        <v>19.82893339712084</v>
      </c>
      <c r="N220" t="n">
        <v>0</v>
      </c>
      <c r="O220" t="n">
        <v>0</v>
      </c>
      <c r="P220" t="n">
        <v>19.82893339712084</v>
      </c>
      <c r="Q220" t="n">
        <v>-6.401098831033202</v>
      </c>
      <c r="R220" t="n">
        <v>28.02386769562926</v>
      </c>
      <c r="S220" t="n">
        <v>3.268</v>
      </c>
      <c r="T220" t="n">
        <v>4.128</v>
      </c>
      <c r="U220" t="n">
        <v>-0.8600000000000003</v>
      </c>
      <c r="V220" t="n">
        <v>4204573000000</v>
      </c>
    </row>
    <row r="221">
      <c r="A221" t="inlineStr">
        <is>
          <t>Japan</t>
        </is>
      </c>
      <c r="B221" t="inlineStr">
        <is>
          <t>JPN</t>
        </is>
      </c>
      <c r="C221" t="inlineStr">
        <is>
          <t>CJPU.L</t>
        </is>
      </c>
      <c r="D221" t="n">
        <v>2024</v>
      </c>
      <c r="E221" t="n">
        <v>8.123835572930771</v>
      </c>
      <c r="F221" t="n">
        <v>0.104</v>
      </c>
      <c r="G221" t="n">
        <v>2.995369</v>
      </c>
      <c r="H221" t="n">
        <v>-4.404514</v>
      </c>
      <c r="I221" t="n">
        <v>-12.52834957293077</v>
      </c>
      <c r="J221" t="inlineStr">
        <is>
          <t>Japan|CJPU.L|2024</t>
        </is>
      </c>
      <c r="K221" t="inlineStr">
        <is>
          <t>Japan|2024</t>
        </is>
      </c>
      <c r="L221" t="inlineStr">
        <is>
          <t>USD</t>
        </is>
      </c>
      <c r="M221" t="n">
        <v>8.123835572930771</v>
      </c>
      <c r="N221" t="n">
        <v>0</v>
      </c>
      <c r="O221" t="n">
        <v>0</v>
      </c>
      <c r="P221" t="n">
        <v>8.123835572930771</v>
      </c>
      <c r="Q221" t="n">
        <v>-7.184675699697651</v>
      </c>
      <c r="R221" t="n">
        <v>16.49351697904755</v>
      </c>
      <c r="S221" t="n">
        <v>2.739</v>
      </c>
      <c r="T221" t="n">
        <v>2.952</v>
      </c>
      <c r="U221" t="n">
        <v>-0.2130000000000001</v>
      </c>
      <c r="V221" t="n">
        <v>4019382000000</v>
      </c>
    </row>
    <row r="222">
      <c r="A222" t="inlineStr">
        <is>
          <t>Japan</t>
        </is>
      </c>
      <c r="B222" t="inlineStr">
        <is>
          <t>JPN</t>
        </is>
      </c>
      <c r="C222" t="inlineStr">
        <is>
          <t>CJPU.L</t>
        </is>
      </c>
      <c r="D222" t="n">
        <v>2025</v>
      </c>
      <c r="E222" t="n">
        <v>25.89693520558538</v>
      </c>
      <c r="F222" t="n">
        <v>1.076</v>
      </c>
      <c r="G222" t="n">
        <v>3.88797</v>
      </c>
      <c r="H222" t="n">
        <v>6.479752</v>
      </c>
      <c r="I222" t="n">
        <v>-19.41718320558538</v>
      </c>
      <c r="J222" t="inlineStr">
        <is>
          <t>Japan|CJPU.L|2025</t>
        </is>
      </c>
      <c r="K222" t="inlineStr">
        <is>
          <t>Japan|2025</t>
        </is>
      </c>
      <c r="L222" t="inlineStr">
        <is>
          <t>USD</t>
        </is>
      </c>
      <c r="M222" t="n">
        <v>25.89693520558538</v>
      </c>
      <c r="N222" t="n">
        <v>0</v>
      </c>
      <c r="O222" t="n">
        <v>0</v>
      </c>
      <c r="P222" t="n">
        <v>25.89693520558538</v>
      </c>
      <c r="Q222" t="n">
        <v>2.494785464134441</v>
      </c>
      <c r="R222" t="n">
        <v>22.83252717245792</v>
      </c>
      <c r="S222" t="n">
        <v>3.287</v>
      </c>
      <c r="T222" t="n">
        <v>2.715</v>
      </c>
      <c r="U222" t="n">
        <v>0.5720000000000001</v>
      </c>
      <c r="V222" t="n">
        <v>4279828000000</v>
      </c>
    </row>
    <row r="223">
      <c r="A223" t="inlineStr">
        <is>
          <t>Japan</t>
        </is>
      </c>
      <c r="B223" t="inlineStr">
        <is>
          <t>JPN</t>
        </is>
      </c>
      <c r="C223" t="inlineStr">
        <is>
          <t>CJPU.L</t>
        </is>
      </c>
      <c r="D223" t="n">
        <v>2026</v>
      </c>
      <c r="E223" t="n">
        <v>4.746272258608508</v>
      </c>
      <c r="F223" t="n">
        <v>0.633</v>
      </c>
      <c r="G223" t="n">
        <v>2.602655</v>
      </c>
      <c r="H223" t="n">
        <v>4.294705</v>
      </c>
      <c r="I223" t="n">
        <v>-0.4515672586085078</v>
      </c>
      <c r="J223" t="inlineStr">
        <is>
          <t>Japan|CJPU.L|2026</t>
        </is>
      </c>
      <c r="K223" t="inlineStr">
        <is>
          <t>Japan|2026</t>
        </is>
      </c>
      <c r="L223" t="inlineStr">
        <is>
          <t>USD</t>
        </is>
      </c>
      <c r="M223" t="n">
        <v>4.746272258608508</v>
      </c>
      <c r="N223" t="n">
        <v>0</v>
      </c>
      <c r="O223" t="n">
        <v>0</v>
      </c>
      <c r="P223" t="n">
        <v>4.746272258608508</v>
      </c>
      <c r="Q223" t="n">
        <v>1.649129003290351</v>
      </c>
      <c r="R223" t="n">
        <v>3.046896009524991</v>
      </c>
      <c r="S223" t="n">
        <v>2.144</v>
      </c>
      <c r="T223" t="n">
        <v>2.435</v>
      </c>
      <c r="U223" t="n">
        <v>-0.2909999999999999</v>
      </c>
      <c r="V223" t="n">
        <v>4463634000000</v>
      </c>
    </row>
    <row r="224">
      <c r="A224" t="inlineStr">
        <is>
          <t>Japan</t>
        </is>
      </c>
      <c r="B224" t="inlineStr">
        <is>
          <t>JPN</t>
        </is>
      </c>
      <c r="C224" t="inlineStr">
        <is>
          <t>CJPU.L</t>
        </is>
      </c>
      <c r="D224" t="n">
        <v>2027</v>
      </c>
      <c r="E224" t="inlineStr"/>
      <c r="F224" t="n">
        <v>0.634</v>
      </c>
      <c r="G224" t="n">
        <v>2.668307</v>
      </c>
      <c r="H224" t="n">
        <v>3.594493</v>
      </c>
      <c r="I224" t="inlineStr"/>
      <c r="J224" t="inlineStr">
        <is>
          <t>Japan|CJPU.L|2027</t>
        </is>
      </c>
      <c r="K224" t="inlineStr">
        <is>
          <t>Japan|2027</t>
        </is>
      </c>
      <c r="L224" t="inlineStr">
        <is>
          <t>USD</t>
        </is>
      </c>
      <c r="M224" t="inlineStr"/>
      <c r="N224" t="inlineStr"/>
      <c r="O224" t="inlineStr"/>
      <c r="P224" t="inlineStr"/>
      <c r="Q224" t="n">
        <v>0.9021146402703462</v>
      </c>
      <c r="R224" t="inlineStr"/>
      <c r="S224" t="n">
        <v>2.012</v>
      </c>
      <c r="T224" t="n">
        <v>2.185</v>
      </c>
      <c r="U224" t="n">
        <v>-0.173</v>
      </c>
      <c r="V224" t="n">
        <v>4624079000000</v>
      </c>
    </row>
    <row r="225">
      <c r="A225" t="inlineStr">
        <is>
          <t>Japan</t>
        </is>
      </c>
      <c r="B225" t="inlineStr">
        <is>
          <t>JPN</t>
        </is>
      </c>
      <c r="C225" t="inlineStr">
        <is>
          <t>CJPU.L</t>
        </is>
      </c>
      <c r="D225" t="n">
        <v>2028</v>
      </c>
      <c r="E225" t="inlineStr"/>
      <c r="F225" t="n">
        <v>0.551</v>
      </c>
      <c r="G225" t="n">
        <v>2.562328</v>
      </c>
      <c r="H225" t="n">
        <v>4.250144</v>
      </c>
      <c r="I225" t="inlineStr"/>
      <c r="J225" t="inlineStr">
        <is>
          <t>Japan|CJPU.L|2028</t>
        </is>
      </c>
      <c r="K225" t="inlineStr">
        <is>
          <t>Japan|2028</t>
        </is>
      </c>
      <c r="L225" t="inlineStr">
        <is>
          <t>USD</t>
        </is>
      </c>
      <c r="M225" t="inlineStr"/>
      <c r="N225" t="inlineStr"/>
      <c r="O225" t="inlineStr"/>
      <c r="P225" t="inlineStr"/>
      <c r="Q225" t="n">
        <v>1.645649021851936</v>
      </c>
      <c r="R225" t="inlineStr"/>
      <c r="S225" t="n">
        <v>2.006</v>
      </c>
      <c r="T225" t="n">
        <v>2.206</v>
      </c>
      <c r="U225" t="n">
        <v>-0.2000000000000002</v>
      </c>
      <c r="V225" t="n">
        <v>4820609000000</v>
      </c>
    </row>
    <row r="226">
      <c r="A226" t="inlineStr">
        <is>
          <t>Japan</t>
        </is>
      </c>
      <c r="B226" t="inlineStr">
        <is>
          <t>JPN</t>
        </is>
      </c>
      <c r="C226" t="inlineStr">
        <is>
          <t>CJPU.L</t>
        </is>
      </c>
      <c r="D226" t="n">
        <v>2029</v>
      </c>
      <c r="E226" t="inlineStr"/>
      <c r="F226" t="n">
        <v>0.524</v>
      </c>
      <c r="G226" t="n">
        <v>2.509667</v>
      </c>
      <c r="H226" t="n">
        <v>2.63699</v>
      </c>
      <c r="I226" t="inlineStr"/>
      <c r="J226" t="inlineStr">
        <is>
          <t>Japan|CJPU.L|2029</t>
        </is>
      </c>
      <c r="K226" t="inlineStr">
        <is>
          <t>Japan|2029</t>
        </is>
      </c>
      <c r="L226" t="inlineStr">
        <is>
          <t>USD</t>
        </is>
      </c>
      <c r="M226" t="inlineStr"/>
      <c r="N226" t="inlineStr"/>
      <c r="O226" t="inlineStr"/>
      <c r="P226" t="inlineStr"/>
      <c r="Q226" t="n">
        <v>0.124205951755596</v>
      </c>
      <c r="R226" t="inlineStr"/>
      <c r="S226" t="n">
        <v>2.006</v>
      </c>
      <c r="T226" t="n">
        <v>2.203</v>
      </c>
      <c r="U226" t="n">
        <v>-0.1970000000000001</v>
      </c>
      <c r="V226" t="n">
        <v>4947728000000</v>
      </c>
    </row>
    <row r="227">
      <c r="A227" t="inlineStr">
        <is>
          <t>Malaysia</t>
        </is>
      </c>
      <c r="B227" t="inlineStr">
        <is>
          <t>MYS</t>
        </is>
      </c>
      <c r="C227" t="inlineStr">
        <is>
          <t>XCX3.L</t>
        </is>
      </c>
      <c r="D227" t="n">
        <v>2015</v>
      </c>
      <c r="E227" t="n">
        <v>-16.44470179502026</v>
      </c>
      <c r="F227" t="n">
        <v>5.007</v>
      </c>
      <c r="G227" t="inlineStr"/>
      <c r="H227" t="inlineStr"/>
      <c r="I227" t="inlineStr"/>
      <c r="J227" t="inlineStr">
        <is>
          <t>Malaysia|XCX3.L|2015</t>
        </is>
      </c>
      <c r="K227" t="inlineStr">
        <is>
          <t>Malaysia|2015</t>
        </is>
      </c>
      <c r="L227" t="inlineStr">
        <is>
          <t>GBp</t>
        </is>
      </c>
      <c r="M227" t="n">
        <v>-16.44470179502026</v>
      </c>
      <c r="N227" t="n">
        <v>-4.888855870697362</v>
      </c>
      <c r="O227" t="n">
        <v>-5.407515212426162</v>
      </c>
      <c r="P227" t="n">
        <v>-20.52959989659311</v>
      </c>
      <c r="Q227" t="inlineStr"/>
      <c r="R227" t="inlineStr"/>
      <c r="S227" t="n">
        <v>2.104</v>
      </c>
      <c r="T227" t="n">
        <v>0.121</v>
      </c>
      <c r="U227" t="n">
        <v>1.983</v>
      </c>
      <c r="V227" t="n">
        <v>301355000000</v>
      </c>
    </row>
    <row r="228">
      <c r="A228" t="inlineStr">
        <is>
          <t>Malaysia</t>
        </is>
      </c>
      <c r="B228" t="inlineStr">
        <is>
          <t>MYS</t>
        </is>
      </c>
      <c r="C228" t="inlineStr">
        <is>
          <t>XCX3.L</t>
        </is>
      </c>
      <c r="D228" t="n">
        <v>2016</v>
      </c>
      <c r="E228" t="n">
        <v>18.38652482269503</v>
      </c>
      <c r="F228" t="n">
        <v>4.45</v>
      </c>
      <c r="G228" t="n">
        <v>6.181873</v>
      </c>
      <c r="H228" t="n">
        <v>-0.032852</v>
      </c>
      <c r="I228" t="n">
        <v>1.263221828109334</v>
      </c>
      <c r="J228" t="inlineStr">
        <is>
          <t>Malaysia|XCX3.L|2016</t>
        </is>
      </c>
      <c r="K228" t="inlineStr">
        <is>
          <t>Malaysia|2016</t>
        </is>
      </c>
      <c r="L228" t="inlineStr">
        <is>
          <t>GBp</t>
        </is>
      </c>
      <c r="M228" t="n">
        <v>18.38652482269503</v>
      </c>
      <c r="N228" t="n">
        <v>-16.62570861023462</v>
      </c>
      <c r="O228" t="n">
        <v>-16.21181156312136</v>
      </c>
      <c r="P228" t="n">
        <v>-1.296073828109334</v>
      </c>
      <c r="Q228" t="n">
        <v>-5.852905596959301</v>
      </c>
      <c r="R228" t="n">
        <v>4.840119387373032</v>
      </c>
      <c r="S228" t="n">
        <v>2.076</v>
      </c>
      <c r="T228" t="n">
        <v>1.267</v>
      </c>
      <c r="U228" t="n">
        <v>0.8090000000000002</v>
      </c>
      <c r="V228" t="n">
        <v>301256000000</v>
      </c>
    </row>
    <row r="229">
      <c r="A229" t="inlineStr">
        <is>
          <t>Malaysia</t>
        </is>
      </c>
      <c r="B229" t="inlineStr">
        <is>
          <t>MYS</t>
        </is>
      </c>
      <c r="C229" t="inlineStr">
        <is>
          <t>XCX3.L</t>
        </is>
      </c>
      <c r="D229" t="n">
        <v>2017</v>
      </c>
      <c r="E229" t="n">
        <v>10.07011785767567</v>
      </c>
      <c r="F229" t="n">
        <v>5.813</v>
      </c>
      <c r="G229" t="n">
        <v>9.81133</v>
      </c>
      <c r="H229" t="n">
        <v>5.926189</v>
      </c>
      <c r="I229" t="n">
        <v>-13.87565512831125</v>
      </c>
      <c r="J229" t="inlineStr">
        <is>
          <t>Malaysia|XCX3.L|2017</t>
        </is>
      </c>
      <c r="K229" t="inlineStr">
        <is>
          <t>Malaysia|2017</t>
        </is>
      </c>
      <c r="L229" t="inlineStr">
        <is>
          <t>GBp</t>
        </is>
      </c>
      <c r="M229" t="n">
        <v>10.07011785767567</v>
      </c>
      <c r="N229" t="n">
        <v>8.841388071573641</v>
      </c>
      <c r="O229" t="n">
        <v>9.450435944365921</v>
      </c>
      <c r="P229" t="n">
        <v>19.80184412831125</v>
      </c>
      <c r="Q229" t="n">
        <v>-3.538015048810317</v>
      </c>
      <c r="R229" t="n">
        <v>24.19591426501504</v>
      </c>
      <c r="S229" t="n">
        <v>3.799</v>
      </c>
      <c r="T229" t="n">
        <v>2.131</v>
      </c>
      <c r="U229" t="n">
        <v>1.668</v>
      </c>
      <c r="V229" t="n">
        <v>319109000000</v>
      </c>
    </row>
    <row r="230">
      <c r="A230" t="inlineStr">
        <is>
          <t>Malaysia</t>
        </is>
      </c>
      <c r="B230" t="inlineStr">
        <is>
          <t>MYS</t>
        </is>
      </c>
      <c r="C230" t="inlineStr">
        <is>
          <t>XCX3.L</t>
        </is>
      </c>
      <c r="D230" t="n">
        <v>2018</v>
      </c>
      <c r="E230" t="n">
        <v>2.100840336134446</v>
      </c>
      <c r="F230" t="n">
        <v>4.843</v>
      </c>
      <c r="G230" t="n">
        <v>5.498029</v>
      </c>
      <c r="H230" t="n">
        <v>12.432742</v>
      </c>
      <c r="I230" t="n">
        <v>16.54504841423335</v>
      </c>
      <c r="J230" t="inlineStr">
        <is>
          <t>Malaysia|XCX3.L|2018</t>
        </is>
      </c>
      <c r="K230" t="inlineStr">
        <is>
          <t>Malaysia|2018</t>
        </is>
      </c>
      <c r="L230" t="inlineStr">
        <is>
          <t>GBp</t>
        </is>
      </c>
      <c r="M230" t="n">
        <v>2.100840336134446</v>
      </c>
      <c r="N230" t="n">
        <v>-6.085304224640065</v>
      </c>
      <c r="O230" t="n">
        <v>-5.756316180609423</v>
      </c>
      <c r="P230" t="n">
        <v>-4.112306414233347</v>
      </c>
      <c r="Q230" t="n">
        <v>6.573311009078542</v>
      </c>
      <c r="R230" t="n">
        <v>-10.02654165675835</v>
      </c>
      <c r="S230" t="n">
        <v>0.969</v>
      </c>
      <c r="T230" t="n">
        <v>2.439</v>
      </c>
      <c r="U230" t="n">
        <v>-1.47</v>
      </c>
      <c r="V230" t="n">
        <v>358783000000</v>
      </c>
    </row>
    <row r="231">
      <c r="A231" t="inlineStr">
        <is>
          <t>Malaysia</t>
        </is>
      </c>
      <c r="B231" t="inlineStr">
        <is>
          <t>MYS</t>
        </is>
      </c>
      <c r="C231" t="inlineStr">
        <is>
          <t>XCX3.L</t>
        </is>
      </c>
      <c r="D231" t="n">
        <v>2019</v>
      </c>
      <c r="E231" t="n">
        <v>-6.105762890676503</v>
      </c>
      <c r="F231" t="n">
        <v>4.413</v>
      </c>
      <c r="G231" t="n">
        <v>4.488175</v>
      </c>
      <c r="H231" t="n">
        <v>1.782414</v>
      </c>
      <c r="I231" t="n">
        <v>5.124057970379371</v>
      </c>
      <c r="J231" t="inlineStr">
        <is>
          <t>Malaysia|XCX3.L|2019</t>
        </is>
      </c>
      <c r="K231" t="inlineStr">
        <is>
          <t>Malaysia|2019</t>
        </is>
      </c>
      <c r="L231" t="inlineStr">
        <is>
          <t>GBp</t>
        </is>
      </c>
      <c r="M231" t="n">
        <v>-6.105762890676503</v>
      </c>
      <c r="N231" t="n">
        <v>2.94386429390634</v>
      </c>
      <c r="O231" t="n">
        <v>4.118031584084703</v>
      </c>
      <c r="P231" t="n">
        <v>-3.341643970379371</v>
      </c>
      <c r="Q231" t="n">
        <v>-2.589537428459254</v>
      </c>
      <c r="R231" t="n">
        <v>-0.7721003699861839</v>
      </c>
      <c r="S231" t="n">
        <v>0.663</v>
      </c>
      <c r="T231" t="n">
        <v>1.813</v>
      </c>
      <c r="U231" t="n">
        <v>-1.15</v>
      </c>
      <c r="V231" t="n">
        <v>365178000000</v>
      </c>
    </row>
    <row r="232">
      <c r="A232" t="inlineStr">
        <is>
          <t>Malaysia</t>
        </is>
      </c>
      <c r="B232" t="inlineStr">
        <is>
          <t>MYS</t>
        </is>
      </c>
      <c r="C232" t="inlineStr">
        <is>
          <t>XCX3.L</t>
        </is>
      </c>
      <c r="D232" t="n">
        <v>2020</v>
      </c>
      <c r="E232" t="n">
        <v>-1.636615811373088</v>
      </c>
      <c r="F232" t="n">
        <v>-5.457</v>
      </c>
      <c r="G232" t="n">
        <v>-6.230226</v>
      </c>
      <c r="H232" t="n">
        <v>-7.591366</v>
      </c>
      <c r="I232" t="n">
        <v>-8.684529215749393</v>
      </c>
      <c r="J232" t="inlineStr">
        <is>
          <t>Malaysia|XCX3.L|2020</t>
        </is>
      </c>
      <c r="K232" t="inlineStr">
        <is>
          <t>Malaysia|2020</t>
        </is>
      </c>
      <c r="L232" t="inlineStr">
        <is>
          <t>GBp</t>
        </is>
      </c>
      <c r="M232" t="n">
        <v>-1.636615811373088</v>
      </c>
      <c r="N232" t="n">
        <v>2.775198362317122</v>
      </c>
      <c r="O232" t="n">
        <v>3.094474617937659</v>
      </c>
      <c r="P232" t="n">
        <v>1.093163215749393</v>
      </c>
      <c r="Q232" t="n">
        <v>-1.451576660294396</v>
      </c>
      <c r="R232" t="n">
        <v>2.582222819812996</v>
      </c>
      <c r="S232" t="n">
        <v>-1.139</v>
      </c>
      <c r="T232" t="n">
        <v>1.253</v>
      </c>
      <c r="U232" t="n">
        <v>-2.392</v>
      </c>
      <c r="V232" t="n">
        <v>337456000000</v>
      </c>
    </row>
    <row r="233">
      <c r="A233" t="inlineStr">
        <is>
          <t>Malaysia</t>
        </is>
      </c>
      <c r="B233" t="inlineStr">
        <is>
          <t>MYS</t>
        </is>
      </c>
      <c r="C233" t="inlineStr">
        <is>
          <t>XCX3.L</t>
        </is>
      </c>
      <c r="D233" t="n">
        <v>2021</v>
      </c>
      <c r="E233" t="n">
        <v>-5.977566377963949</v>
      </c>
      <c r="F233" t="n">
        <v>3.315</v>
      </c>
      <c r="G233" t="n">
        <v>9.179473</v>
      </c>
      <c r="H233" t="n">
        <v>10.765552</v>
      </c>
      <c r="I233" t="n">
        <v>17.94399218872935</v>
      </c>
      <c r="J233" t="inlineStr">
        <is>
          <t>Malaysia|XCX3.L|2021</t>
        </is>
      </c>
      <c r="K233" t="inlineStr">
        <is>
          <t>Malaysia|2021</t>
        </is>
      </c>
      <c r="L233" t="inlineStr">
        <is>
          <t>GBp</t>
        </is>
      </c>
      <c r="M233" t="n">
        <v>-5.977566377963949</v>
      </c>
      <c r="N233" t="n">
        <v>-1.277220514832489</v>
      </c>
      <c r="O233" t="n">
        <v>-1.102343119945948</v>
      </c>
      <c r="P233" t="n">
        <v>-7.178440188729351</v>
      </c>
      <c r="Q233" t="n">
        <v>1.452725952678025</v>
      </c>
      <c r="R233" t="n">
        <v>-8.507574400152961</v>
      </c>
      <c r="S233" t="n">
        <v>2.477</v>
      </c>
      <c r="T233" t="n">
        <v>4.679</v>
      </c>
      <c r="U233" t="n">
        <v>-2.202</v>
      </c>
      <c r="V233" t="n">
        <v>373785000000</v>
      </c>
    </row>
    <row r="234">
      <c r="A234" t="inlineStr">
        <is>
          <t>Malaysia</t>
        </is>
      </c>
      <c r="B234" t="inlineStr">
        <is>
          <t>MYS</t>
        </is>
      </c>
      <c r="C234" t="inlineStr">
        <is>
          <t>XCX3.L</t>
        </is>
      </c>
      <c r="D234" t="n">
        <v>2022</v>
      </c>
      <c r="E234" t="n">
        <v>7.51303281202087</v>
      </c>
      <c r="F234" t="n">
        <v>9.032</v>
      </c>
      <c r="G234" t="n">
        <v>15.896677</v>
      </c>
      <c r="H234" t="n">
        <v>9.108177</v>
      </c>
      <c r="I234" t="n">
        <v>13.25068258637467</v>
      </c>
      <c r="J234" t="inlineStr">
        <is>
          <t>Malaysia|XCX3.L|2022</t>
        </is>
      </c>
      <c r="K234" t="inlineStr">
        <is>
          <t>Malaysia|2022</t>
        </is>
      </c>
      <c r="L234" t="inlineStr">
        <is>
          <t>GBp</t>
        </is>
      </c>
      <c r="M234" t="n">
        <v>7.51303281202087</v>
      </c>
      <c r="N234" t="n">
        <v>-10.84104698150823</v>
      </c>
      <c r="O234" t="n">
        <v>-10.36772851390696</v>
      </c>
      <c r="P234" t="n">
        <v>-4.142505586374668</v>
      </c>
      <c r="Q234" t="n">
        <v>-5.85737251362477</v>
      </c>
      <c r="R234" t="n">
        <v>1.821562636435115</v>
      </c>
      <c r="S234" t="n">
        <v>3.379</v>
      </c>
      <c r="T234" t="n">
        <v>7.993</v>
      </c>
      <c r="U234" t="n">
        <v>-4.614000000000001</v>
      </c>
      <c r="V234" t="n">
        <v>407830000000</v>
      </c>
    </row>
    <row r="235">
      <c r="A235" t="inlineStr">
        <is>
          <t>Malaysia</t>
        </is>
      </c>
      <c r="B235" t="inlineStr">
        <is>
          <t>MYS</t>
        </is>
      </c>
      <c r="C235" t="inlineStr">
        <is>
          <t>XCX3.L</t>
        </is>
      </c>
      <c r="D235" t="n">
        <v>2023</v>
      </c>
      <c r="E235" t="n">
        <v>-8.690630864732206</v>
      </c>
      <c r="F235" t="n">
        <v>3.537</v>
      </c>
      <c r="G235" t="n">
        <v>1.622715</v>
      </c>
      <c r="H235" t="n">
        <v>-1.932423</v>
      </c>
      <c r="I235" t="n">
        <v>2.135186486476287</v>
      </c>
      <c r="J235" t="inlineStr">
        <is>
          <t>Malaysia|XCX3.L|2023</t>
        </is>
      </c>
      <c r="K235" t="inlineStr">
        <is>
          <t>Malaysia|2023</t>
        </is>
      </c>
      <c r="L235" t="inlineStr">
        <is>
          <t>GBp</t>
        </is>
      </c>
      <c r="M235" t="n">
        <v>-8.690630864732206</v>
      </c>
      <c r="N235" t="n">
        <v>5.06303068571996</v>
      </c>
      <c r="O235" t="n">
        <v>5.030130998783355</v>
      </c>
      <c r="P235" t="n">
        <v>-4.067609486476287</v>
      </c>
      <c r="Q235" t="n">
        <v>-3.49836936921436</v>
      </c>
      <c r="R235" t="n">
        <v>-0.5898761643104655</v>
      </c>
      <c r="S235" t="n">
        <v>2.489</v>
      </c>
      <c r="T235" t="n">
        <v>4.128</v>
      </c>
      <c r="U235" t="n">
        <v>-1.639</v>
      </c>
      <c r="V235" t="n">
        <v>399949000000</v>
      </c>
    </row>
    <row r="236">
      <c r="A236" t="inlineStr">
        <is>
          <t>Malaysia</t>
        </is>
      </c>
      <c r="B236" t="inlineStr">
        <is>
          <t>MYS</t>
        </is>
      </c>
      <c r="C236" t="inlineStr">
        <is>
          <t>XCX3.L</t>
        </is>
      </c>
      <c r="D236" t="n">
        <v>2024</v>
      </c>
      <c r="E236" t="n">
        <v>21.8267716535433</v>
      </c>
      <c r="F236" t="n">
        <v>5.105</v>
      </c>
      <c r="G236" t="n">
        <v>5.935903</v>
      </c>
      <c r="H236" t="n">
        <v>5.57021</v>
      </c>
      <c r="I236" t="n">
        <v>-14.5253380221934</v>
      </c>
      <c r="J236" t="inlineStr">
        <is>
          <t>Malaysia|XCX3.L|2024</t>
        </is>
      </c>
      <c r="K236" t="inlineStr">
        <is>
          <t>Malaysia|2024</t>
        </is>
      </c>
      <c r="L236" t="inlineStr">
        <is>
          <t>GBp</t>
        </is>
      </c>
      <c r="M236" t="n">
        <v>21.8267716535433</v>
      </c>
      <c r="N236" t="n">
        <v>-1.421053523664917</v>
      </c>
      <c r="O236" t="n">
        <v>-1.655539060617606</v>
      </c>
      <c r="P236" t="n">
        <v>20.0955480221934</v>
      </c>
      <c r="Q236" t="n">
        <v>-0.3452020207730944</v>
      </c>
      <c r="R236" t="n">
        <v>20.51155634997863</v>
      </c>
      <c r="S236" t="n">
        <v>1.834</v>
      </c>
      <c r="T236" t="n">
        <v>2.952</v>
      </c>
      <c r="U236" t="n">
        <v>-1.118</v>
      </c>
      <c r="V236" t="n">
        <v>422227000000</v>
      </c>
    </row>
    <row r="237">
      <c r="A237" t="inlineStr">
        <is>
          <t>Malaysia</t>
        </is>
      </c>
      <c r="B237" t="inlineStr">
        <is>
          <t>MYS</t>
        </is>
      </c>
      <c r="C237" t="inlineStr">
        <is>
          <t>XCX3.L</t>
        </is>
      </c>
      <c r="D237" t="n">
        <v>2025</v>
      </c>
      <c r="E237" t="n">
        <v>6.998844227558743</v>
      </c>
      <c r="F237" t="n">
        <v>4.5</v>
      </c>
      <c r="G237" t="n">
        <v>5.607851</v>
      </c>
      <c r="H237" t="n">
        <v>11.450002</v>
      </c>
      <c r="I237" t="n">
        <v>-3.650719337422885</v>
      </c>
      <c r="J237" t="inlineStr">
        <is>
          <t>Malaysia|XCX3.L|2025</t>
        </is>
      </c>
      <c r="K237" t="inlineStr">
        <is>
          <t>Malaysia|2025</t>
        </is>
      </c>
      <c r="L237" t="inlineStr">
        <is>
          <t>GBp</t>
        </is>
      </c>
      <c r="M237" t="n">
        <v>6.998844227558743</v>
      </c>
      <c r="N237" t="n">
        <v>7.571929555270285</v>
      </c>
      <c r="O237" t="n">
        <v>7.623377354227179</v>
      </c>
      <c r="P237" t="n">
        <v>15.10072133742288</v>
      </c>
      <c r="Q237" t="n">
        <v>5.531928703126043</v>
      </c>
      <c r="R237" t="n">
        <v>9.067201511321766</v>
      </c>
      <c r="S237" t="n">
        <v>1.587</v>
      </c>
      <c r="T237" t="n">
        <v>2.715</v>
      </c>
      <c r="U237" t="n">
        <v>-1.128</v>
      </c>
      <c r="V237" t="n">
        <v>470572000000</v>
      </c>
    </row>
    <row r="238">
      <c r="A238" t="inlineStr">
        <is>
          <t>Malaysia</t>
        </is>
      </c>
      <c r="B238" t="inlineStr">
        <is>
          <t>MYS</t>
        </is>
      </c>
      <c r="C238" t="inlineStr">
        <is>
          <t>XCX3.L</t>
        </is>
      </c>
      <c r="D238" t="n">
        <v>2026</v>
      </c>
      <c r="E238" t="n">
        <v>8.512177477694728</v>
      </c>
      <c r="F238" t="n">
        <v>4</v>
      </c>
      <c r="G238" t="n">
        <v>5.973192</v>
      </c>
      <c r="H238" t="n">
        <v>7.393555</v>
      </c>
      <c r="I238" t="n">
        <v>0.6612833537391545</v>
      </c>
      <c r="J238" t="inlineStr">
        <is>
          <t>Malaysia|XCX3.L|2026</t>
        </is>
      </c>
      <c r="K238" t="inlineStr">
        <is>
          <t>Malaysia|2026</t>
        </is>
      </c>
      <c r="L238" t="inlineStr">
        <is>
          <t>GBp</t>
        </is>
      </c>
      <c r="M238" t="n">
        <v>8.512177477694728</v>
      </c>
      <c r="N238" t="n">
        <v>-1.640282107323621</v>
      </c>
      <c r="O238" t="inlineStr"/>
      <c r="P238" t="n">
        <v>6.732271646260846</v>
      </c>
      <c r="Q238" t="n">
        <v>1.340304244938451</v>
      </c>
      <c r="R238" t="n">
        <v>5.3206544439516</v>
      </c>
      <c r="S238" t="n">
        <v>2.201</v>
      </c>
      <c r="T238" t="n">
        <v>2.435</v>
      </c>
      <c r="U238" t="n">
        <v>-0.234</v>
      </c>
      <c r="V238" t="n">
        <v>505364000000</v>
      </c>
    </row>
    <row r="239">
      <c r="A239" t="inlineStr">
        <is>
          <t>Malaysia</t>
        </is>
      </c>
      <c r="B239" t="inlineStr">
        <is>
          <t>MYS</t>
        </is>
      </c>
      <c r="C239" t="inlineStr">
        <is>
          <t>XCX3.L</t>
        </is>
      </c>
      <c r="D239" t="n">
        <v>2027</v>
      </c>
      <c r="E239" t="inlineStr"/>
      <c r="F239" t="n">
        <v>4</v>
      </c>
      <c r="G239" t="n">
        <v>5.968899</v>
      </c>
      <c r="H239" t="n">
        <v>6.375207</v>
      </c>
      <c r="I239" t="inlineStr"/>
      <c r="J239" t="inlineStr">
        <is>
          <t>Malaysia|XCX3.L|2027</t>
        </is>
      </c>
      <c r="K239" t="inlineStr">
        <is>
          <t>Malaysia|2027</t>
        </is>
      </c>
      <c r="L239" t="inlineStr">
        <is>
          <t>GBp</t>
        </is>
      </c>
      <c r="M239" t="inlineStr"/>
      <c r="N239" t="inlineStr"/>
      <c r="O239" t="inlineStr"/>
      <c r="P239" t="inlineStr"/>
      <c r="Q239" t="n">
        <v>0.3834220546757416</v>
      </c>
      <c r="R239" t="inlineStr"/>
      <c r="S239" t="n">
        <v>2</v>
      </c>
      <c r="T239" t="n">
        <v>2.185</v>
      </c>
      <c r="U239" t="n">
        <v>-0.1850000000000001</v>
      </c>
      <c r="V239" t="n">
        <v>537582000000</v>
      </c>
    </row>
    <row r="240">
      <c r="A240" t="inlineStr">
        <is>
          <t>Malaysia</t>
        </is>
      </c>
      <c r="B240" t="inlineStr">
        <is>
          <t>MYS</t>
        </is>
      </c>
      <c r="C240" t="inlineStr">
        <is>
          <t>XCX3.L</t>
        </is>
      </c>
      <c r="D240" t="n">
        <v>2028</v>
      </c>
      <c r="E240" t="inlineStr"/>
      <c r="F240" t="n">
        <v>4</v>
      </c>
      <c r="G240" t="n">
        <v>6.126139</v>
      </c>
      <c r="H240" t="n">
        <v>6.517145</v>
      </c>
      <c r="I240" t="inlineStr"/>
      <c r="J240" t="inlineStr">
        <is>
          <t>Malaysia|XCX3.L|2028</t>
        </is>
      </c>
      <c r="K240" t="inlineStr">
        <is>
          <t>Malaysia|2028</t>
        </is>
      </c>
      <c r="L240" t="inlineStr">
        <is>
          <t>GBp</t>
        </is>
      </c>
      <c r="M240" t="inlineStr"/>
      <c r="N240" t="inlineStr"/>
      <c r="O240" t="inlineStr"/>
      <c r="P240" t="inlineStr"/>
      <c r="Q240" t="n">
        <v>0.3684358516213404</v>
      </c>
      <c r="R240" t="inlineStr"/>
      <c r="S240" t="n">
        <v>2</v>
      </c>
      <c r="T240" t="n">
        <v>2.206</v>
      </c>
      <c r="U240" t="n">
        <v>-0.206</v>
      </c>
      <c r="V240" t="n">
        <v>572617000000</v>
      </c>
    </row>
    <row r="241">
      <c r="A241" t="inlineStr">
        <is>
          <t>Malaysia</t>
        </is>
      </c>
      <c r="B241" t="inlineStr">
        <is>
          <t>MYS</t>
        </is>
      </c>
      <c r="C241" t="inlineStr">
        <is>
          <t>XCX3.L</t>
        </is>
      </c>
      <c r="D241" t="n">
        <v>2029</v>
      </c>
      <c r="E241" t="inlineStr"/>
      <c r="F241" t="n">
        <v>4</v>
      </c>
      <c r="G241" t="n">
        <v>6.200753</v>
      </c>
      <c r="H241" t="n">
        <v>6.326917</v>
      </c>
      <c r="I241" t="inlineStr"/>
      <c r="J241" t="inlineStr">
        <is>
          <t>Malaysia|XCX3.L|2029</t>
        </is>
      </c>
      <c r="K241" t="inlineStr">
        <is>
          <t>Malaysia|2029</t>
        </is>
      </c>
      <c r="L241" t="inlineStr">
        <is>
          <t>GBp</t>
        </is>
      </c>
      <c r="M241" t="inlineStr"/>
      <c r="N241" t="inlineStr"/>
      <c r="O241" t="inlineStr"/>
      <c r="P241" t="inlineStr"/>
      <c r="Q241" t="n">
        <v>0.1187970777748237</v>
      </c>
      <c r="R241" t="inlineStr"/>
      <c r="S241" t="n">
        <v>2</v>
      </c>
      <c r="T241" t="n">
        <v>2.203</v>
      </c>
      <c r="U241" t="n">
        <v>-0.2029999999999998</v>
      </c>
      <c r="V241" t="n">
        <v>608846000000</v>
      </c>
    </row>
    <row r="242">
      <c r="A242" t="inlineStr">
        <is>
          <t>Mexico</t>
        </is>
      </c>
      <c r="B242" t="inlineStr">
        <is>
          <t>MEX</t>
        </is>
      </c>
      <c r="C242" t="inlineStr">
        <is>
          <t>XMEX.L</t>
        </is>
      </c>
      <c r="D242" t="n">
        <v>2015</v>
      </c>
      <c r="E242" t="n">
        <v>-9.970801137659679</v>
      </c>
      <c r="F242" t="n">
        <v>2.702</v>
      </c>
      <c r="G242" t="inlineStr"/>
      <c r="H242" t="inlineStr"/>
      <c r="I242" t="inlineStr"/>
      <c r="J242" t="inlineStr">
        <is>
          <t>Mexico|XMEX.L|2015</t>
        </is>
      </c>
      <c r="K242" t="inlineStr">
        <is>
          <t>Mexico|2015</t>
        </is>
      </c>
      <c r="L242" t="inlineStr">
        <is>
          <t>GBp</t>
        </is>
      </c>
      <c r="M242" t="n">
        <v>-9.970801137659679</v>
      </c>
      <c r="N242" t="n">
        <v>-4.888855870697362</v>
      </c>
      <c r="O242" t="n">
        <v>-5.407515212426162</v>
      </c>
      <c r="P242" t="n">
        <v>-14.37219891158301</v>
      </c>
      <c r="Q242" t="inlineStr"/>
      <c r="R242" t="inlineStr"/>
      <c r="S242" t="n">
        <v>2.719</v>
      </c>
      <c r="T242" t="n">
        <v>0.121</v>
      </c>
      <c r="U242" t="n">
        <v>2.598</v>
      </c>
      <c r="V242" t="n">
        <v>1213294000000</v>
      </c>
    </row>
    <row r="243">
      <c r="A243" t="inlineStr">
        <is>
          <t>Mexico</t>
        </is>
      </c>
      <c r="B243" t="inlineStr">
        <is>
          <t>MEX</t>
        </is>
      </c>
      <c r="C243" t="inlineStr">
        <is>
          <t>XMEX.L</t>
        </is>
      </c>
      <c r="D243" t="n">
        <v>2016</v>
      </c>
      <c r="E243" t="n">
        <v>11.89535854640324</v>
      </c>
      <c r="F243" t="n">
        <v>1.772</v>
      </c>
      <c r="G243" t="n">
        <v>7.957807</v>
      </c>
      <c r="H243" t="n">
        <v>-8.329473</v>
      </c>
      <c r="I243" t="n">
        <v>-1.621435286100971</v>
      </c>
      <c r="J243" t="inlineStr">
        <is>
          <t>Mexico|XMEX.L|2016</t>
        </is>
      </c>
      <c r="K243" t="inlineStr">
        <is>
          <t>Mexico|2016</t>
        </is>
      </c>
      <c r="L243" t="inlineStr">
        <is>
          <t>GBp</t>
        </is>
      </c>
      <c r="M243" t="n">
        <v>11.89535854640324</v>
      </c>
      <c r="N243" t="n">
        <v>-16.62570861023462</v>
      </c>
      <c r="O243" t="n">
        <v>-16.21181156312136</v>
      </c>
      <c r="P243" t="n">
        <v>-6.708037713899029</v>
      </c>
      <c r="Q243" t="n">
        <v>-15.08670883513138</v>
      </c>
      <c r="R243" t="n">
        <v>9.867325840620445</v>
      </c>
      <c r="S243" t="n">
        <v>2.82</v>
      </c>
      <c r="T243" t="n">
        <v>1.267</v>
      </c>
      <c r="U243" t="n">
        <v>1.553</v>
      </c>
      <c r="V243" t="n">
        <v>1112233000000</v>
      </c>
    </row>
    <row r="244">
      <c r="A244" t="inlineStr">
        <is>
          <t>Mexico</t>
        </is>
      </c>
      <c r="B244" t="inlineStr">
        <is>
          <t>MEX</t>
        </is>
      </c>
      <c r="C244" t="inlineStr">
        <is>
          <t>XMEX.L</t>
        </is>
      </c>
      <c r="D244" t="n">
        <v>2017</v>
      </c>
      <c r="E244" t="n">
        <v>3.693817729694904</v>
      </c>
      <c r="F244" t="n">
        <v>1.872</v>
      </c>
      <c r="G244" t="n">
        <v>8.562246999999999</v>
      </c>
      <c r="H244" t="n">
        <v>7.056795</v>
      </c>
      <c r="I244" t="n">
        <v>-5.80499556140746</v>
      </c>
      <c r="J244" t="inlineStr">
        <is>
          <t>Mexico|XMEX.L|2017</t>
        </is>
      </c>
      <c r="K244" t="inlineStr">
        <is>
          <t>Mexico|2017</t>
        </is>
      </c>
      <c r="L244" t="inlineStr">
        <is>
          <t>GBp</t>
        </is>
      </c>
      <c r="M244" t="n">
        <v>3.693817729694904</v>
      </c>
      <c r="N244" t="n">
        <v>8.841388071573641</v>
      </c>
      <c r="O244" t="n">
        <v>9.450435944365921</v>
      </c>
      <c r="P244" t="n">
        <v>12.86179056140746</v>
      </c>
      <c r="Q244" t="n">
        <v>-1.386718199947168</v>
      </c>
      <c r="R244" t="n">
        <v>14.44887392577072</v>
      </c>
      <c r="S244" t="n">
        <v>6.042</v>
      </c>
      <c r="T244" t="n">
        <v>2.131</v>
      </c>
      <c r="U244" t="n">
        <v>3.911</v>
      </c>
      <c r="V244" t="n">
        <v>1190721000000</v>
      </c>
    </row>
    <row r="245">
      <c r="A245" t="inlineStr">
        <is>
          <t>Mexico</t>
        </is>
      </c>
      <c r="B245" t="inlineStr">
        <is>
          <t>MEX</t>
        </is>
      </c>
      <c r="C245" t="inlineStr">
        <is>
          <t>XMEX.L</t>
        </is>
      </c>
      <c r="D245" t="n">
        <v>2018</v>
      </c>
      <c r="E245" t="n">
        <v>-10.87596013818325</v>
      </c>
      <c r="F245" t="n">
        <v>1.972</v>
      </c>
      <c r="G245" t="n">
        <v>7.279219</v>
      </c>
      <c r="H245" t="n">
        <v>5.507503</v>
      </c>
      <c r="I245" t="n">
        <v>21.80693210106428</v>
      </c>
      <c r="J245" t="inlineStr">
        <is>
          <t>Mexico|XMEX.L|2018</t>
        </is>
      </c>
      <c r="K245" t="inlineStr">
        <is>
          <t>Mexico|2018</t>
        </is>
      </c>
      <c r="L245" t="inlineStr">
        <is>
          <t>GBp</t>
        </is>
      </c>
      <c r="M245" t="n">
        <v>-10.87596013818325</v>
      </c>
      <c r="N245" t="n">
        <v>-6.085304224640065</v>
      </c>
      <c r="O245" t="n">
        <v>-5.756316180609423</v>
      </c>
      <c r="P245" t="n">
        <v>-16.29942910106428</v>
      </c>
      <c r="Q245" t="n">
        <v>-1.651498985104194</v>
      </c>
      <c r="R245" t="n">
        <v>-14.89390276903307</v>
      </c>
      <c r="S245" t="n">
        <v>4.898</v>
      </c>
      <c r="T245" t="n">
        <v>2.439</v>
      </c>
      <c r="U245" t="n">
        <v>2.459</v>
      </c>
      <c r="V245" t="n">
        <v>1256300000000</v>
      </c>
    </row>
    <row r="246">
      <c r="A246" t="inlineStr">
        <is>
          <t>Mexico</t>
        </is>
      </c>
      <c r="B246" t="inlineStr">
        <is>
          <t>MEX</t>
        </is>
      </c>
      <c r="C246" t="inlineStr">
        <is>
          <t>XMEX.L</t>
        </is>
      </c>
      <c r="D246" t="n">
        <v>2019</v>
      </c>
      <c r="E246" t="n">
        <v>4.346498216753458</v>
      </c>
      <c r="F246" t="n">
        <v>-0.393</v>
      </c>
      <c r="G246" t="n">
        <v>3.90936</v>
      </c>
      <c r="H246" t="n">
        <v>3.805301</v>
      </c>
      <c r="I246" t="n">
        <v>-3.613016519698081</v>
      </c>
      <c r="J246" t="inlineStr">
        <is>
          <t>Mexico|XMEX.L|2019</t>
        </is>
      </c>
      <c r="K246" t="inlineStr">
        <is>
          <t>Mexico|2019</t>
        </is>
      </c>
      <c r="L246" t="inlineStr">
        <is>
          <t>GBp</t>
        </is>
      </c>
      <c r="M246" t="n">
        <v>4.346498216753458</v>
      </c>
      <c r="N246" t="n">
        <v>2.94386429390634</v>
      </c>
      <c r="O246" t="n">
        <v>4.118031584084703</v>
      </c>
      <c r="P246" t="n">
        <v>7.418317519698081</v>
      </c>
      <c r="Q246" t="n">
        <v>-0.1001434754796748</v>
      </c>
      <c r="R246" t="n">
        <v>7.525997790930128</v>
      </c>
      <c r="S246" t="n">
        <v>3.635</v>
      </c>
      <c r="T246" t="n">
        <v>1.813</v>
      </c>
      <c r="U246" t="n">
        <v>1.822</v>
      </c>
      <c r="V246" t="n">
        <v>1304106000000</v>
      </c>
    </row>
    <row r="247">
      <c r="A247" t="inlineStr">
        <is>
          <t>Mexico</t>
        </is>
      </c>
      <c r="B247" t="inlineStr">
        <is>
          <t>MEX</t>
        </is>
      </c>
      <c r="C247" t="inlineStr">
        <is>
          <t>XMEX.L</t>
        </is>
      </c>
      <c r="D247" t="n">
        <v>2020</v>
      </c>
      <c r="E247" t="n">
        <v>-5.381167780111673</v>
      </c>
      <c r="F247" t="n">
        <v>-8.353999999999999</v>
      </c>
      <c r="G247" t="n">
        <v>-4.120183</v>
      </c>
      <c r="H247" t="n">
        <v>-14.035746</v>
      </c>
      <c r="I247" t="n">
        <v>-11.28043850209825</v>
      </c>
      <c r="J247" t="inlineStr">
        <is>
          <t>Mexico|XMEX.L|2020</t>
        </is>
      </c>
      <c r="K247" t="inlineStr">
        <is>
          <t>Mexico|2020</t>
        </is>
      </c>
      <c r="L247" t="inlineStr">
        <is>
          <t>GBp</t>
        </is>
      </c>
      <c r="M247" t="n">
        <v>-5.381167780111673</v>
      </c>
      <c r="N247" t="n">
        <v>2.775198362317122</v>
      </c>
      <c r="O247" t="n">
        <v>3.094474617937659</v>
      </c>
      <c r="P247" t="n">
        <v>-2.755307497901749</v>
      </c>
      <c r="Q247" t="n">
        <v>-10.34165808638219</v>
      </c>
      <c r="R247" t="n">
        <v>8.461399604946497</v>
      </c>
      <c r="S247" t="n">
        <v>3.398</v>
      </c>
      <c r="T247" t="n">
        <v>1.253</v>
      </c>
      <c r="U247" t="n">
        <v>2.145</v>
      </c>
      <c r="V247" t="n">
        <v>1121065000000</v>
      </c>
    </row>
    <row r="248">
      <c r="A248" t="inlineStr">
        <is>
          <t>Mexico</t>
        </is>
      </c>
      <c r="B248" t="inlineStr">
        <is>
          <t>MEX</t>
        </is>
      </c>
      <c r="C248" t="inlineStr">
        <is>
          <t>XMEX.L</t>
        </is>
      </c>
      <c r="D248" t="n">
        <v>2021</v>
      </c>
      <c r="E248" t="n">
        <v>19.99089795741909</v>
      </c>
      <c r="F248" t="n">
        <v>6.048</v>
      </c>
      <c r="G248" t="n">
        <v>10.807909</v>
      </c>
      <c r="H248" t="n">
        <v>17.439132</v>
      </c>
      <c r="I248" t="n">
        <v>-1.019217592775213</v>
      </c>
      <c r="J248" t="inlineStr">
        <is>
          <t>Mexico|XMEX.L|2021</t>
        </is>
      </c>
      <c r="K248" t="inlineStr">
        <is>
          <t>Mexico|2021</t>
        </is>
      </c>
      <c r="L248" t="inlineStr">
        <is>
          <t>GBp</t>
        </is>
      </c>
      <c r="M248" t="n">
        <v>19.99089795741909</v>
      </c>
      <c r="N248" t="n">
        <v>-1.277220514832489</v>
      </c>
      <c r="O248" t="n">
        <v>-1.102343119945948</v>
      </c>
      <c r="P248" t="n">
        <v>18.45834959277521</v>
      </c>
      <c r="Q248" t="n">
        <v>5.984430260408757</v>
      </c>
      <c r="R248" t="n">
        <v>11.76957719328911</v>
      </c>
      <c r="S248" t="n">
        <v>5.693</v>
      </c>
      <c r="T248" t="n">
        <v>4.679</v>
      </c>
      <c r="U248" t="n">
        <v>1.013999999999999</v>
      </c>
      <c r="V248" t="n">
        <v>1316569000000</v>
      </c>
    </row>
    <row r="249">
      <c r="A249" t="inlineStr">
        <is>
          <t>Mexico</t>
        </is>
      </c>
      <c r="B249" t="inlineStr">
        <is>
          <t>MEX</t>
        </is>
      </c>
      <c r="C249" t="inlineStr">
        <is>
          <t>XMEX.L</t>
        </is>
      </c>
      <c r="D249" t="n">
        <v>2022</v>
      </c>
      <c r="E249" t="n">
        <v>11.77221792262422</v>
      </c>
      <c r="F249" t="n">
        <v>3.71</v>
      </c>
      <c r="G249" t="n">
        <v>10.623726</v>
      </c>
      <c r="H249" t="n">
        <v>11.42105</v>
      </c>
      <c r="I249" t="n">
        <v>11.76611073464123</v>
      </c>
      <c r="J249" t="inlineStr">
        <is>
          <t>Mexico|XMEX.L|2022</t>
        </is>
      </c>
      <c r="K249" t="inlineStr">
        <is>
          <t>Mexico|2022</t>
        </is>
      </c>
      <c r="L249" t="inlineStr">
        <is>
          <t>GBp</t>
        </is>
      </c>
      <c r="M249" t="n">
        <v>11.77221792262422</v>
      </c>
      <c r="N249" t="n">
        <v>-10.84104698150823</v>
      </c>
      <c r="O249" t="n">
        <v>-10.36772851390696</v>
      </c>
      <c r="P249" t="n">
        <v>-0.3450607346412338</v>
      </c>
      <c r="Q249" t="n">
        <v>0.7207528155679599</v>
      </c>
      <c r="R249" t="n">
        <v>-1.058186640205949</v>
      </c>
      <c r="S249" t="n">
        <v>7.897</v>
      </c>
      <c r="T249" t="n">
        <v>7.993</v>
      </c>
      <c r="U249" t="n">
        <v>-0.09600000000000009</v>
      </c>
      <c r="V249" t="n">
        <v>1466935000000</v>
      </c>
    </row>
    <row r="250">
      <c r="A250" t="inlineStr">
        <is>
          <t>Mexico</t>
        </is>
      </c>
      <c r="B250" t="inlineStr">
        <is>
          <t>MEX</t>
        </is>
      </c>
      <c r="C250" t="inlineStr">
        <is>
          <t>XMEX.L</t>
        </is>
      </c>
      <c r="D250" t="n">
        <v>2023</v>
      </c>
      <c r="E250" t="n">
        <v>29.66957921780331</v>
      </c>
      <c r="F250" t="n">
        <v>3.354</v>
      </c>
      <c r="G250" t="n">
        <v>8.163463</v>
      </c>
      <c r="H250" t="n">
        <v>22.590162</v>
      </c>
      <c r="I250" t="n">
        <v>-13.64462780364465</v>
      </c>
      <c r="J250" t="inlineStr">
        <is>
          <t>Mexico|XMEX.L|2023</t>
        </is>
      </c>
      <c r="K250" t="inlineStr">
        <is>
          <t>Mexico|2023</t>
        </is>
      </c>
      <c r="L250" t="inlineStr">
        <is>
          <t>GBp</t>
        </is>
      </c>
      <c r="M250" t="n">
        <v>29.66957921780331</v>
      </c>
      <c r="N250" t="n">
        <v>5.06303068571996</v>
      </c>
      <c r="O250" t="n">
        <v>5.030130998783355</v>
      </c>
      <c r="P250" t="n">
        <v>36.23478980364465</v>
      </c>
      <c r="Q250" t="n">
        <v>13.33786760534426</v>
      </c>
      <c r="R250" t="n">
        <v>20.20235838389881</v>
      </c>
      <c r="S250" t="n">
        <v>5.526</v>
      </c>
      <c r="T250" t="n">
        <v>4.128</v>
      </c>
      <c r="U250" t="n">
        <v>1.398</v>
      </c>
      <c r="V250" t="n">
        <v>1798318000000</v>
      </c>
    </row>
    <row r="251">
      <c r="A251" t="inlineStr">
        <is>
          <t>Mexico</t>
        </is>
      </c>
      <c r="B251" t="inlineStr">
        <is>
          <t>MEX</t>
        </is>
      </c>
      <c r="C251" t="inlineStr">
        <is>
          <t>XMEX.L</t>
        </is>
      </c>
      <c r="D251" t="n">
        <v>2024</v>
      </c>
      <c r="E251" t="n">
        <v>-26.73406378777472</v>
      </c>
      <c r="F251" t="n">
        <v>1.427</v>
      </c>
      <c r="G251" t="n">
        <v>6.402517</v>
      </c>
      <c r="H251" t="n">
        <v>3.227905</v>
      </c>
      <c r="I251" t="n">
        <v>31.00311695596464</v>
      </c>
      <c r="J251" t="inlineStr">
        <is>
          <t>Mexico|XMEX.L|2024</t>
        </is>
      </c>
      <c r="K251" t="inlineStr">
        <is>
          <t>Mexico|2024</t>
        </is>
      </c>
      <c r="L251" t="inlineStr">
        <is>
          <t>GBp</t>
        </is>
      </c>
      <c r="M251" t="n">
        <v>-26.73406378777472</v>
      </c>
      <c r="N251" t="n">
        <v>-1.421053523664917</v>
      </c>
      <c r="O251" t="n">
        <v>-1.655539060617606</v>
      </c>
      <c r="P251" t="n">
        <v>-27.77521195596464</v>
      </c>
      <c r="Q251" t="n">
        <v>-2.983587549191158</v>
      </c>
      <c r="R251" t="n">
        <v>-25.55405191811624</v>
      </c>
      <c r="S251" t="n">
        <v>4.723</v>
      </c>
      <c r="T251" t="n">
        <v>2.952</v>
      </c>
      <c r="U251" t="n">
        <v>1.771</v>
      </c>
      <c r="V251" t="n">
        <v>1856366000000</v>
      </c>
    </row>
    <row r="252">
      <c r="A252" t="inlineStr">
        <is>
          <t>Mexico</t>
        </is>
      </c>
      <c r="B252" t="inlineStr">
        <is>
          <t>MEX</t>
        </is>
      </c>
      <c r="C252" t="inlineStr">
        <is>
          <t>XMEX.L</t>
        </is>
      </c>
      <c r="D252" t="n">
        <v>2025</v>
      </c>
      <c r="E252" t="n">
        <v>41.10571760925725</v>
      </c>
      <c r="F252" t="n">
        <v>0.99</v>
      </c>
      <c r="G252" t="n">
        <v>6.194171</v>
      </c>
      <c r="H252" t="n">
        <v>0.343359</v>
      </c>
      <c r="I252" t="n">
        <v>-51.44678414508883</v>
      </c>
      <c r="J252" t="inlineStr">
        <is>
          <t>Mexico|XMEX.L|2025</t>
        </is>
      </c>
      <c r="K252" t="inlineStr">
        <is>
          <t>Mexico|2025</t>
        </is>
      </c>
      <c r="L252" t="inlineStr">
        <is>
          <t>GBp</t>
        </is>
      </c>
      <c r="M252" t="n">
        <v>41.10571760925725</v>
      </c>
      <c r="N252" t="n">
        <v>7.571929555270285</v>
      </c>
      <c r="O252" t="n">
        <v>7.623377354227179</v>
      </c>
      <c r="P252" t="n">
        <v>51.79014314508883</v>
      </c>
      <c r="Q252" t="n">
        <v>-5.509541994452317</v>
      </c>
      <c r="R252" t="n">
        <v>60.64071055320422</v>
      </c>
      <c r="S252" t="n">
        <v>3.916</v>
      </c>
      <c r="T252" t="n">
        <v>2.715</v>
      </c>
      <c r="U252" t="n">
        <v>1.201</v>
      </c>
      <c r="V252" t="n">
        <v>1862740000000</v>
      </c>
    </row>
    <row r="253">
      <c r="A253" t="inlineStr">
        <is>
          <t>Mexico</t>
        </is>
      </c>
      <c r="B253" t="inlineStr">
        <is>
          <t>MEX</t>
        </is>
      </c>
      <c r="C253" t="inlineStr">
        <is>
          <t>XMEX.L</t>
        </is>
      </c>
      <c r="D253" t="n">
        <v>2026</v>
      </c>
      <c r="E253" t="n">
        <v>5.787321063394701</v>
      </c>
      <c r="F253" t="n">
        <v>1.544</v>
      </c>
      <c r="G253" t="n">
        <v>6.135736</v>
      </c>
      <c r="H253" t="n">
        <v>9.032876</v>
      </c>
      <c r="I253" t="n">
        <v>4.980765435825151</v>
      </c>
      <c r="J253" t="inlineStr">
        <is>
          <t>Mexico|XMEX.L|2026</t>
        </is>
      </c>
      <c r="K253" t="inlineStr">
        <is>
          <t>Mexico|2026</t>
        </is>
      </c>
      <c r="L253" t="inlineStr">
        <is>
          <t>GBp</t>
        </is>
      </c>
      <c r="M253" t="n">
        <v>5.787321063394701</v>
      </c>
      <c r="N253" t="n">
        <v>-1.640282107323621</v>
      </c>
      <c r="O253" t="inlineStr"/>
      <c r="P253" t="n">
        <v>4.052110564174849</v>
      </c>
      <c r="Q253" t="n">
        <v>2.729655744762916</v>
      </c>
      <c r="R253" t="n">
        <v>1.287315536905576</v>
      </c>
      <c r="S253" t="n">
        <v>3.349</v>
      </c>
      <c r="T253" t="n">
        <v>2.435</v>
      </c>
      <c r="U253" t="n">
        <v>0.9140000000000001</v>
      </c>
      <c r="V253" t="n">
        <v>2030999000000</v>
      </c>
    </row>
    <row r="254">
      <c r="A254" t="inlineStr">
        <is>
          <t>Mexico</t>
        </is>
      </c>
      <c r="B254" t="inlineStr">
        <is>
          <t>MEX</t>
        </is>
      </c>
      <c r="C254" t="inlineStr">
        <is>
          <t>XMEX.L</t>
        </is>
      </c>
      <c r="D254" t="n">
        <v>2027</v>
      </c>
      <c r="E254" t="inlineStr"/>
      <c r="F254" t="n">
        <v>2.044</v>
      </c>
      <c r="G254" t="n">
        <v>5.545933</v>
      </c>
      <c r="H254" t="n">
        <v>4.67627</v>
      </c>
      <c r="I254" t="inlineStr"/>
      <c r="J254" t="inlineStr">
        <is>
          <t>Mexico|XMEX.L|2027</t>
        </is>
      </c>
      <c r="K254" t="inlineStr">
        <is>
          <t>Mexico|2027</t>
        </is>
      </c>
      <c r="L254" t="inlineStr">
        <is>
          <t>GBp</t>
        </is>
      </c>
      <c r="M254" t="inlineStr"/>
      <c r="N254" t="inlineStr"/>
      <c r="O254" t="inlineStr"/>
      <c r="P254" t="inlineStr"/>
      <c r="Q254" t="n">
        <v>-0.8239658104926884</v>
      </c>
      <c r="R254" t="inlineStr"/>
      <c r="S254" t="n">
        <v>3</v>
      </c>
      <c r="T254" t="n">
        <v>2.185</v>
      </c>
      <c r="U254" t="n">
        <v>0.8149999999999999</v>
      </c>
      <c r="V254" t="n">
        <v>2125974000000</v>
      </c>
    </row>
    <row r="255">
      <c r="A255" t="inlineStr">
        <is>
          <t>Mexico</t>
        </is>
      </c>
      <c r="B255" t="inlineStr">
        <is>
          <t>MEX</t>
        </is>
      </c>
      <c r="C255" t="inlineStr">
        <is>
          <t>XMEX.L</t>
        </is>
      </c>
      <c r="D255" t="n">
        <v>2028</v>
      </c>
      <c r="E255" t="inlineStr"/>
      <c r="F255" t="n">
        <v>2.139</v>
      </c>
      <c r="G255" t="n">
        <v>5.591824</v>
      </c>
      <c r="H255" t="n">
        <v>4.751846</v>
      </c>
      <c r="I255" t="inlineStr"/>
      <c r="J255" t="inlineStr">
        <is>
          <t>Mexico|XMEX.L|2028</t>
        </is>
      </c>
      <c r="K255" t="inlineStr">
        <is>
          <t>Mexico|2028</t>
        </is>
      </c>
      <c r="L255" t="inlineStr">
        <is>
          <t>GBp</t>
        </is>
      </c>
      <c r="M255" t="inlineStr"/>
      <c r="N255" t="inlineStr"/>
      <c r="O255" t="inlineStr"/>
      <c r="P255" t="inlineStr"/>
      <c r="Q255" t="n">
        <v>-0.7954961036300223</v>
      </c>
      <c r="R255" t="inlineStr"/>
      <c r="S255" t="n">
        <v>3</v>
      </c>
      <c r="T255" t="n">
        <v>2.206</v>
      </c>
      <c r="U255" t="n">
        <v>0.794</v>
      </c>
      <c r="V255" t="n">
        <v>2226997000000</v>
      </c>
    </row>
    <row r="256">
      <c r="A256" t="inlineStr">
        <is>
          <t>Mexico</t>
        </is>
      </c>
      <c r="B256" t="inlineStr">
        <is>
          <t>MEX</t>
        </is>
      </c>
      <c r="C256" t="inlineStr">
        <is>
          <t>XMEX.L</t>
        </is>
      </c>
      <c r="D256" t="n">
        <v>2029</v>
      </c>
      <c r="E256" t="inlineStr"/>
      <c r="F256" t="n">
        <v>2.084</v>
      </c>
      <c r="G256" t="n">
        <v>5.553594</v>
      </c>
      <c r="H256" t="n">
        <v>4.71918</v>
      </c>
      <c r="I256" t="inlineStr"/>
      <c r="J256" t="inlineStr">
        <is>
          <t>Mexico|XMEX.L|2029</t>
        </is>
      </c>
      <c r="K256" t="inlineStr">
        <is>
          <t>Mexico|2029</t>
        </is>
      </c>
      <c r="L256" t="inlineStr">
        <is>
          <t>GBp</t>
        </is>
      </c>
      <c r="M256" t="inlineStr"/>
      <c r="N256" t="inlineStr"/>
      <c r="O256" t="inlineStr"/>
      <c r="P256" t="inlineStr"/>
      <c r="Q256" t="n">
        <v>-0.7905121385973768</v>
      </c>
      <c r="R256" t="inlineStr"/>
      <c r="S256" t="n">
        <v>3</v>
      </c>
      <c r="T256" t="n">
        <v>2.203</v>
      </c>
      <c r="U256" t="n">
        <v>0.7970000000000002</v>
      </c>
      <c r="V256" t="n">
        <v>2332093000000</v>
      </c>
    </row>
    <row r="257">
      <c r="A257" t="inlineStr">
        <is>
          <t>Netherlands</t>
        </is>
      </c>
      <c r="B257" t="inlineStr">
        <is>
          <t>NLD</t>
        </is>
      </c>
      <c r="C257" t="inlineStr">
        <is>
          <t>EWN</t>
        </is>
      </c>
      <c r="D257" t="n">
        <v>2015</v>
      </c>
      <c r="E257" t="n">
        <v>1.975112225525555</v>
      </c>
      <c r="F257" t="n">
        <v>2.121</v>
      </c>
      <c r="G257" t="inlineStr"/>
      <c r="H257" t="inlineStr"/>
      <c r="I257" t="inlineStr"/>
      <c r="J257" t="inlineStr">
        <is>
          <t>Netherlands|EWN|2015</t>
        </is>
      </c>
      <c r="K257" t="inlineStr">
        <is>
          <t>Netherlands|2015</t>
        </is>
      </c>
      <c r="L257" t="inlineStr">
        <is>
          <t>USD</t>
        </is>
      </c>
      <c r="M257" t="n">
        <v>1.975112225525555</v>
      </c>
      <c r="N257" t="n">
        <v>0</v>
      </c>
      <c r="O257" t="n">
        <v>0</v>
      </c>
      <c r="P257" t="n">
        <v>1.975112225525555</v>
      </c>
      <c r="Q257" t="inlineStr"/>
      <c r="R257" t="inlineStr"/>
      <c r="S257" t="n">
        <v>0.218</v>
      </c>
      <c r="T257" t="n">
        <v>0.121</v>
      </c>
      <c r="U257" t="n">
        <v>0.097</v>
      </c>
      <c r="V257" t="n">
        <v>775822000000</v>
      </c>
    </row>
    <row r="258">
      <c r="A258" t="inlineStr">
        <is>
          <t>Netherlands</t>
        </is>
      </c>
      <c r="B258" t="inlineStr">
        <is>
          <t>NLD</t>
        </is>
      </c>
      <c r="C258" t="inlineStr">
        <is>
          <t>EWN</t>
        </is>
      </c>
      <c r="D258" t="n">
        <v>2016</v>
      </c>
      <c r="E258" t="n">
        <v>5.827019467558214</v>
      </c>
      <c r="F258" t="n">
        <v>2.425</v>
      </c>
      <c r="G258" t="n">
        <v>3.00354</v>
      </c>
      <c r="H258" t="n">
        <v>2.722532</v>
      </c>
      <c r="I258" t="n">
        <v>-3.104487467558214</v>
      </c>
      <c r="J258" t="inlineStr">
        <is>
          <t>Netherlands|EWN|2016</t>
        </is>
      </c>
      <c r="K258" t="inlineStr">
        <is>
          <t>Netherlands|2016</t>
        </is>
      </c>
      <c r="L258" t="inlineStr">
        <is>
          <t>USD</t>
        </is>
      </c>
      <c r="M258" t="n">
        <v>5.827019467558214</v>
      </c>
      <c r="N258" t="n">
        <v>0</v>
      </c>
      <c r="O258" t="n">
        <v>0</v>
      </c>
      <c r="P258" t="n">
        <v>5.827019467558214</v>
      </c>
      <c r="Q258" t="n">
        <v>-0.2728140914921573</v>
      </c>
      <c r="R258" t="n">
        <v>6.116520288305849</v>
      </c>
      <c r="S258" t="n">
        <v>0.113</v>
      </c>
      <c r="T258" t="n">
        <v>1.267</v>
      </c>
      <c r="U258" t="n">
        <v>-1.154</v>
      </c>
      <c r="V258" t="n">
        <v>796944000000</v>
      </c>
    </row>
    <row r="259">
      <c r="A259" t="inlineStr">
        <is>
          <t>Netherlands</t>
        </is>
      </c>
      <c r="B259" t="inlineStr">
        <is>
          <t>NLD</t>
        </is>
      </c>
      <c r="C259" t="inlineStr">
        <is>
          <t>EWN</t>
        </is>
      </c>
      <c r="D259" t="n">
        <v>2017</v>
      </c>
      <c r="E259" t="n">
        <v>33.6755922273309</v>
      </c>
      <c r="F259" t="n">
        <v>2.783</v>
      </c>
      <c r="G259" t="n">
        <v>4.260909</v>
      </c>
      <c r="H259" t="n">
        <v>6.398191</v>
      </c>
      <c r="I259" t="n">
        <v>-27.27740122733089</v>
      </c>
      <c r="J259" t="inlineStr">
        <is>
          <t>Netherlands|EWN|2017</t>
        </is>
      </c>
      <c r="K259" t="inlineStr">
        <is>
          <t>Netherlands|2017</t>
        </is>
      </c>
      <c r="L259" t="inlineStr">
        <is>
          <t>USD</t>
        </is>
      </c>
      <c r="M259" t="n">
        <v>33.6755922273309</v>
      </c>
      <c r="N259" t="n">
        <v>0</v>
      </c>
      <c r="O259" t="n">
        <v>0</v>
      </c>
      <c r="P259" t="n">
        <v>33.6755922273309</v>
      </c>
      <c r="Q259" t="n">
        <v>2.049936364006899</v>
      </c>
      <c r="R259" t="n">
        <v>30.99037293910396</v>
      </c>
      <c r="S259" t="n">
        <v>1.294</v>
      </c>
      <c r="T259" t="n">
        <v>2.131</v>
      </c>
      <c r="U259" t="n">
        <v>-0.8369999999999997</v>
      </c>
      <c r="V259" t="n">
        <v>847934000000</v>
      </c>
    </row>
    <row r="260">
      <c r="A260" t="inlineStr">
        <is>
          <t>Netherlands</t>
        </is>
      </c>
      <c r="B260" t="inlineStr">
        <is>
          <t>NLD</t>
        </is>
      </c>
      <c r="C260" t="inlineStr">
        <is>
          <t>EWN</t>
        </is>
      </c>
      <c r="D260" t="n">
        <v>2018</v>
      </c>
      <c r="E260" t="n">
        <v>-15.79985077573351</v>
      </c>
      <c r="F260" t="n">
        <v>2.26</v>
      </c>
      <c r="G260" t="n">
        <v>4.849366</v>
      </c>
      <c r="H260" t="n">
        <v>9.696626999999999</v>
      </c>
      <c r="I260" t="n">
        <v>25.49647777573351</v>
      </c>
      <c r="J260" t="inlineStr">
        <is>
          <t>Netherlands|EWN|2018</t>
        </is>
      </c>
      <c r="K260" t="inlineStr">
        <is>
          <t>Netherlands|2018</t>
        </is>
      </c>
      <c r="L260" t="inlineStr">
        <is>
          <t>USD</t>
        </is>
      </c>
      <c r="M260" t="n">
        <v>-15.79985077573351</v>
      </c>
      <c r="N260" t="n">
        <v>0</v>
      </c>
      <c r="O260" t="n">
        <v>0</v>
      </c>
      <c r="P260" t="n">
        <v>-15.79985077573351</v>
      </c>
      <c r="Q260" t="n">
        <v>4.623071406000068</v>
      </c>
      <c r="R260" t="n">
        <v>-19.52047660929437</v>
      </c>
      <c r="S260" t="n">
        <v>1.598</v>
      </c>
      <c r="T260" t="n">
        <v>2.439</v>
      </c>
      <c r="U260" t="n">
        <v>-0.841</v>
      </c>
      <c r="V260" t="n">
        <v>930155000000</v>
      </c>
    </row>
    <row r="261">
      <c r="A261" t="inlineStr">
        <is>
          <t>Netherlands</t>
        </is>
      </c>
      <c r="B261" t="inlineStr">
        <is>
          <t>NLD</t>
        </is>
      </c>
      <c r="C261" t="inlineStr">
        <is>
          <t>EWN</t>
        </is>
      </c>
      <c r="D261" t="n">
        <v>2019</v>
      </c>
      <c r="E261" t="n">
        <v>32.65529635264681</v>
      </c>
      <c r="F261" t="n">
        <v>2.3</v>
      </c>
      <c r="G261" t="n">
        <v>5.397619</v>
      </c>
      <c r="H261" t="n">
        <v>-0.123528</v>
      </c>
      <c r="I261" t="n">
        <v>-32.77882435264682</v>
      </c>
      <c r="J261" t="inlineStr">
        <is>
          <t>Netherlands|EWN|2019</t>
        </is>
      </c>
      <c r="K261" t="inlineStr">
        <is>
          <t>Netherlands|2019</t>
        </is>
      </c>
      <c r="L261" t="inlineStr">
        <is>
          <t>USD</t>
        </is>
      </c>
      <c r="M261" t="n">
        <v>32.65529635264681</v>
      </c>
      <c r="N261" t="n">
        <v>0</v>
      </c>
      <c r="O261" t="n">
        <v>0</v>
      </c>
      <c r="P261" t="n">
        <v>32.65529635264681</v>
      </c>
      <c r="Q261" t="n">
        <v>-5.238398370873599</v>
      </c>
      <c r="R261" t="n">
        <v>39.98844898361575</v>
      </c>
      <c r="S261" t="n">
        <v>2.672</v>
      </c>
      <c r="T261" t="n">
        <v>1.813</v>
      </c>
      <c r="U261" t="n">
        <v>0.8590000000000002</v>
      </c>
      <c r="V261" t="n">
        <v>929006000000</v>
      </c>
    </row>
    <row r="262">
      <c r="A262" t="inlineStr">
        <is>
          <t>Netherlands</t>
        </is>
      </c>
      <c r="B262" t="inlineStr">
        <is>
          <t>NLD</t>
        </is>
      </c>
      <c r="C262" t="inlineStr">
        <is>
          <t>EWN</t>
        </is>
      </c>
      <c r="D262" t="n">
        <v>2020</v>
      </c>
      <c r="E262" t="n">
        <v>21.96920401401685</v>
      </c>
      <c r="F262" t="n">
        <v>-3.877</v>
      </c>
      <c r="G262" t="n">
        <v>-1.603342</v>
      </c>
      <c r="H262" t="n">
        <v>0.302259</v>
      </c>
      <c r="I262" t="n">
        <v>-21.66694501401685</v>
      </c>
      <c r="J262" t="inlineStr">
        <is>
          <t>Netherlands|EWN|2020</t>
        </is>
      </c>
      <c r="K262" t="inlineStr">
        <is>
          <t>Netherlands|2020</t>
        </is>
      </c>
      <c r="L262" t="inlineStr">
        <is>
          <t>USD</t>
        </is>
      </c>
      <c r="M262" t="n">
        <v>21.96920401401685</v>
      </c>
      <c r="N262" t="n">
        <v>0</v>
      </c>
      <c r="O262" t="n">
        <v>0</v>
      </c>
      <c r="P262" t="n">
        <v>21.96920401401685</v>
      </c>
      <c r="Q262" t="n">
        <v>1.936651341764462</v>
      </c>
      <c r="R262" t="n">
        <v>19.65196267345391</v>
      </c>
      <c r="S262" t="n">
        <v>1.106</v>
      </c>
      <c r="T262" t="n">
        <v>1.253</v>
      </c>
      <c r="U262" t="n">
        <v>-0.1469999999999998</v>
      </c>
      <c r="V262" t="n">
        <v>931814000000</v>
      </c>
    </row>
    <row r="263">
      <c r="A263" t="inlineStr">
        <is>
          <t>Netherlands</t>
        </is>
      </c>
      <c r="B263" t="inlineStr">
        <is>
          <t>NLD</t>
        </is>
      </c>
      <c r="C263" t="inlineStr">
        <is>
          <t>EWN</t>
        </is>
      </c>
      <c r="D263" t="n">
        <v>2021</v>
      </c>
      <c r="E263" t="n">
        <v>20.86858341466331</v>
      </c>
      <c r="F263" t="n">
        <v>6.278</v>
      </c>
      <c r="G263" t="n">
        <v>9.196619999999999</v>
      </c>
      <c r="H263" t="n">
        <v>13.238586</v>
      </c>
      <c r="I263" t="n">
        <v>-7.629997414663313</v>
      </c>
      <c r="J263" t="inlineStr">
        <is>
          <t>Netherlands|EWN|2021</t>
        </is>
      </c>
      <c r="K263" t="inlineStr">
        <is>
          <t>Netherlands|2021</t>
        </is>
      </c>
      <c r="L263" t="inlineStr">
        <is>
          <t>USD</t>
        </is>
      </c>
      <c r="M263" t="n">
        <v>20.86858341466331</v>
      </c>
      <c r="N263" t="n">
        <v>0</v>
      </c>
      <c r="O263" t="n">
        <v>0</v>
      </c>
      <c r="P263" t="n">
        <v>20.86858341466331</v>
      </c>
      <c r="Q263" t="n">
        <v>3.701548806529442</v>
      </c>
      <c r="R263" t="n">
        <v>16.55427021650517</v>
      </c>
      <c r="S263" t="n">
        <v>2.827</v>
      </c>
      <c r="T263" t="n">
        <v>4.679</v>
      </c>
      <c r="U263" t="n">
        <v>-1.852</v>
      </c>
      <c r="V263" t="n">
        <v>1055173000000</v>
      </c>
    </row>
    <row r="264">
      <c r="A264" t="inlineStr">
        <is>
          <t>Netherlands</t>
        </is>
      </c>
      <c r="B264" t="inlineStr">
        <is>
          <t>NLD</t>
        </is>
      </c>
      <c r="C264" t="inlineStr">
        <is>
          <t>EWN</t>
        </is>
      </c>
      <c r="D264" t="n">
        <v>2022</v>
      </c>
      <c r="E264" t="n">
        <v>-24.89155047415024</v>
      </c>
      <c r="F264" t="n">
        <v>5.007</v>
      </c>
      <c r="G264" t="n">
        <v>11.471034</v>
      </c>
      <c r="H264" t="n">
        <v>-0.7400679999999999</v>
      </c>
      <c r="I264" t="n">
        <v>24.15148247415024</v>
      </c>
      <c r="J264" t="inlineStr">
        <is>
          <t>Netherlands|EWN|2022</t>
        </is>
      </c>
      <c r="K264" t="inlineStr">
        <is>
          <t>Netherlands|2022</t>
        </is>
      </c>
      <c r="L264" t="inlineStr">
        <is>
          <t>USD</t>
        </is>
      </c>
      <c r="M264" t="n">
        <v>-24.89155047415024</v>
      </c>
      <c r="N264" t="n">
        <v>0</v>
      </c>
      <c r="O264" t="n">
        <v>0</v>
      </c>
      <c r="P264" t="n">
        <v>-24.89155047415024</v>
      </c>
      <c r="Q264" t="n">
        <v>-10.9545066694613</v>
      </c>
      <c r="R264" t="n">
        <v>-15.6515992931325</v>
      </c>
      <c r="S264" t="n">
        <v>11.622</v>
      </c>
      <c r="T264" t="n">
        <v>7.993</v>
      </c>
      <c r="U264" t="n">
        <v>3.629</v>
      </c>
      <c r="V264" t="n">
        <v>1047364000000</v>
      </c>
    </row>
    <row r="265">
      <c r="A265" t="inlineStr">
        <is>
          <t>Netherlands</t>
        </is>
      </c>
      <c r="B265" t="inlineStr">
        <is>
          <t>NLD</t>
        </is>
      </c>
      <c r="C265" t="inlineStr">
        <is>
          <t>EWN</t>
        </is>
      </c>
      <c r="D265" t="n">
        <v>2023</v>
      </c>
      <c r="E265" t="n">
        <v>19.73345050534827</v>
      </c>
      <c r="F265" t="n">
        <v>-0.601</v>
      </c>
      <c r="G265" t="n">
        <v>5.666318</v>
      </c>
      <c r="H265" t="n">
        <v>8.443960000000001</v>
      </c>
      <c r="I265" t="n">
        <v>-11.28949050534827</v>
      </c>
      <c r="J265" t="inlineStr">
        <is>
          <t>Netherlands|EWN|2023</t>
        </is>
      </c>
      <c r="K265" t="inlineStr">
        <is>
          <t>Netherlands|2023</t>
        </is>
      </c>
      <c r="L265" t="inlineStr">
        <is>
          <t>USD</t>
        </is>
      </c>
      <c r="M265" t="n">
        <v>19.73345050534827</v>
      </c>
      <c r="N265" t="n">
        <v>0</v>
      </c>
      <c r="O265" t="n">
        <v>0</v>
      </c>
      <c r="P265" t="n">
        <v>19.73345050534827</v>
      </c>
      <c r="Q265" t="n">
        <v>2.628692357557849</v>
      </c>
      <c r="R265" t="n">
        <v>16.66664336733195</v>
      </c>
      <c r="S265" t="n">
        <v>4.118</v>
      </c>
      <c r="T265" t="n">
        <v>4.128</v>
      </c>
      <c r="U265" t="n">
        <v>-0.009999999999999787</v>
      </c>
      <c r="V265" t="n">
        <v>1135803000000</v>
      </c>
    </row>
    <row r="266">
      <c r="A266" t="inlineStr">
        <is>
          <t>Netherlands</t>
        </is>
      </c>
      <c r="B266" t="inlineStr">
        <is>
          <t>NLD</t>
        </is>
      </c>
      <c r="C266" t="inlineStr">
        <is>
          <t>EWN</t>
        </is>
      </c>
      <c r="D266" t="n">
        <v>2024</v>
      </c>
      <c r="E266" t="n">
        <v>4.267476819398675</v>
      </c>
      <c r="F266" t="n">
        <v>1.08</v>
      </c>
      <c r="G266" t="n">
        <v>6.887318</v>
      </c>
      <c r="H266" t="n">
        <v>6.934213</v>
      </c>
      <c r="I266" t="n">
        <v>2.666736180601325</v>
      </c>
      <c r="J266" t="inlineStr">
        <is>
          <t>Netherlands|EWN|2024</t>
        </is>
      </c>
      <c r="K266" t="inlineStr">
        <is>
          <t>Netherlands|2024</t>
        </is>
      </c>
      <c r="L266" t="inlineStr">
        <is>
          <t>USD</t>
        </is>
      </c>
      <c r="M266" t="n">
        <v>4.267476819398675</v>
      </c>
      <c r="N266" t="n">
        <v>0</v>
      </c>
      <c r="O266" t="n">
        <v>0</v>
      </c>
      <c r="P266" t="n">
        <v>4.267476819398675</v>
      </c>
      <c r="Q266" t="n">
        <v>0.04387328789934308</v>
      </c>
      <c r="R266" t="n">
        <v>4.22175131039253</v>
      </c>
      <c r="S266" t="n">
        <v>3.223</v>
      </c>
      <c r="T266" t="n">
        <v>2.952</v>
      </c>
      <c r="U266" t="n">
        <v>0.2709999999999999</v>
      </c>
      <c r="V266" t="n">
        <v>1214562000000</v>
      </c>
    </row>
    <row r="267">
      <c r="A267" t="inlineStr">
        <is>
          <t>Netherlands</t>
        </is>
      </c>
      <c r="B267" t="inlineStr">
        <is>
          <t>NLD</t>
        </is>
      </c>
      <c r="C267" t="inlineStr">
        <is>
          <t>EWN</t>
        </is>
      </c>
      <c r="D267" t="n">
        <v>2025</v>
      </c>
      <c r="E267" t="n">
        <v>35.17014358164619</v>
      </c>
      <c r="F267" t="n">
        <v>1.433</v>
      </c>
      <c r="G267" t="n">
        <v>4.161666</v>
      </c>
      <c r="H267" t="n">
        <v>8.733435999999999</v>
      </c>
      <c r="I267" t="n">
        <v>-26.43670758164619</v>
      </c>
      <c r="J267" t="inlineStr">
        <is>
          <t>Netherlands|EWN|2025</t>
        </is>
      </c>
      <c r="K267" t="inlineStr">
        <is>
          <t>Netherlands|2025</t>
        </is>
      </c>
      <c r="L267" t="inlineStr">
        <is>
          <t>USD</t>
        </is>
      </c>
      <c r="M267" t="n">
        <v>35.17014358164619</v>
      </c>
      <c r="N267" t="n">
        <v>0</v>
      </c>
      <c r="O267" t="n">
        <v>0</v>
      </c>
      <c r="P267" t="n">
        <v>35.17014358164619</v>
      </c>
      <c r="Q267" t="n">
        <v>4.389109819427017</v>
      </c>
      <c r="R267" t="n">
        <v>29.48682464623409</v>
      </c>
      <c r="S267" t="n">
        <v>2.876</v>
      </c>
      <c r="T267" t="n">
        <v>2.715</v>
      </c>
      <c r="U267" t="n">
        <v>0.161</v>
      </c>
      <c r="V267" t="n">
        <v>1320635000000</v>
      </c>
    </row>
    <row r="268">
      <c r="A268" t="inlineStr">
        <is>
          <t>Netherlands</t>
        </is>
      </c>
      <c r="B268" t="inlineStr">
        <is>
          <t>NLD</t>
        </is>
      </c>
      <c r="C268" t="inlineStr">
        <is>
          <t>EWN</t>
        </is>
      </c>
      <c r="D268" t="n">
        <v>2026</v>
      </c>
      <c r="E268" t="n">
        <v>1.637106232034036</v>
      </c>
      <c r="F268" t="n">
        <v>1.222</v>
      </c>
      <c r="G268" t="n">
        <v>3.555679</v>
      </c>
      <c r="H268" t="n">
        <v>6.999739</v>
      </c>
      <c r="I268" t="n">
        <v>5.362632767965964</v>
      </c>
      <c r="J268" t="inlineStr">
        <is>
          <t>Netherlands|EWN|2026</t>
        </is>
      </c>
      <c r="K268" t="inlineStr">
        <is>
          <t>Netherlands|2026</t>
        </is>
      </c>
      <c r="L268" t="inlineStr">
        <is>
          <t>USD</t>
        </is>
      </c>
      <c r="M268" t="n">
        <v>1.637106232034036</v>
      </c>
      <c r="N268" t="n">
        <v>0</v>
      </c>
      <c r="O268" t="n">
        <v>0</v>
      </c>
      <c r="P268" t="n">
        <v>1.637106232034036</v>
      </c>
      <c r="Q268" t="n">
        <v>3.325805098258505</v>
      </c>
      <c r="R268" t="n">
        <v>-1.63434377754772</v>
      </c>
      <c r="S268" t="n">
        <v>2.449</v>
      </c>
      <c r="T268" t="n">
        <v>2.435</v>
      </c>
      <c r="U268" t="n">
        <v>0.01399999999999979</v>
      </c>
      <c r="V268" t="n">
        <v>1413076000000</v>
      </c>
    </row>
    <row r="269">
      <c r="A269" t="inlineStr">
        <is>
          <t>Netherlands</t>
        </is>
      </c>
      <c r="B269" t="inlineStr">
        <is>
          <t>NLD</t>
        </is>
      </c>
      <c r="C269" t="inlineStr">
        <is>
          <t>EWN</t>
        </is>
      </c>
      <c r="D269" t="n">
        <v>2027</v>
      </c>
      <c r="E269" t="inlineStr"/>
      <c r="F269" t="n">
        <v>1.382</v>
      </c>
      <c r="G269" t="n">
        <v>3.682116</v>
      </c>
      <c r="H269" t="n">
        <v>3.413829</v>
      </c>
      <c r="I269" t="inlineStr"/>
      <c r="J269" t="inlineStr">
        <is>
          <t>Netherlands|EWN|2027</t>
        </is>
      </c>
      <c r="K269" t="inlineStr">
        <is>
          <t>Netherlands|2027</t>
        </is>
      </c>
      <c r="L269" t="inlineStr">
        <is>
          <t>USD</t>
        </is>
      </c>
      <c r="M269" t="inlineStr"/>
      <c r="N269" t="inlineStr"/>
      <c r="O269" t="inlineStr"/>
      <c r="P269" t="inlineStr"/>
      <c r="Q269" t="n">
        <v>-0.2587591849563586</v>
      </c>
      <c r="R269" t="inlineStr"/>
      <c r="S269" t="n">
        <v>2.362</v>
      </c>
      <c r="T269" t="n">
        <v>2.185</v>
      </c>
      <c r="U269" t="n">
        <v>0.177</v>
      </c>
      <c r="V269" t="n">
        <v>1461316000000</v>
      </c>
    </row>
    <row r="270">
      <c r="A270" t="inlineStr">
        <is>
          <t>Netherlands</t>
        </is>
      </c>
      <c r="B270" t="inlineStr">
        <is>
          <t>NLD</t>
        </is>
      </c>
      <c r="C270" t="inlineStr">
        <is>
          <t>EWN</t>
        </is>
      </c>
      <c r="D270" t="n">
        <v>2028</v>
      </c>
      <c r="E270" t="inlineStr"/>
      <c r="F270" t="n">
        <v>1.369</v>
      </c>
      <c r="G270" t="n">
        <v>3.412582</v>
      </c>
      <c r="H270" t="n">
        <v>3.230376</v>
      </c>
      <c r="I270" t="inlineStr"/>
      <c r="J270" t="inlineStr">
        <is>
          <t>Netherlands|EWN|2028</t>
        </is>
      </c>
      <c r="K270" t="inlineStr">
        <is>
          <t>Netherlands|2028</t>
        </is>
      </c>
      <c r="L270" t="inlineStr">
        <is>
          <t>USD</t>
        </is>
      </c>
      <c r="M270" t="inlineStr"/>
      <c r="N270" t="inlineStr"/>
      <c r="O270" t="inlineStr"/>
      <c r="P270" t="inlineStr"/>
      <c r="Q270" t="n">
        <v>-0.1761937348532028</v>
      </c>
      <c r="R270" t="inlineStr"/>
      <c r="S270" t="n">
        <v>2</v>
      </c>
      <c r="T270" t="n">
        <v>2.206</v>
      </c>
      <c r="U270" t="n">
        <v>-0.206</v>
      </c>
      <c r="V270" t="n">
        <v>1508522000000</v>
      </c>
    </row>
    <row r="271">
      <c r="A271" t="inlineStr">
        <is>
          <t>Netherlands</t>
        </is>
      </c>
      <c r="B271" t="inlineStr">
        <is>
          <t>NLD</t>
        </is>
      </c>
      <c r="C271" t="inlineStr">
        <is>
          <t>EWN</t>
        </is>
      </c>
      <c r="D271" t="n">
        <v>2029</v>
      </c>
      <c r="E271" t="inlineStr"/>
      <c r="F271" t="n">
        <v>1.3</v>
      </c>
      <c r="G271" t="n">
        <v>3.376307</v>
      </c>
      <c r="H271" t="n">
        <v>3.273138</v>
      </c>
      <c r="I271" t="inlineStr"/>
      <c r="J271" t="inlineStr">
        <is>
          <t>Netherlands|EWN|2029</t>
        </is>
      </c>
      <c r="K271" t="inlineStr">
        <is>
          <t>Netherlands|2029</t>
        </is>
      </c>
      <c r="L271" t="inlineStr">
        <is>
          <t>USD</t>
        </is>
      </c>
      <c r="M271" t="inlineStr"/>
      <c r="N271" t="inlineStr"/>
      <c r="O271" t="inlineStr"/>
      <c r="P271" t="inlineStr"/>
      <c r="Q271" t="n">
        <v>-0.09979975193370461</v>
      </c>
      <c r="R271" t="inlineStr"/>
      <c r="S271" t="n">
        <v>2</v>
      </c>
      <c r="T271" t="n">
        <v>2.203</v>
      </c>
      <c r="U271" t="n">
        <v>-0.2029999999999998</v>
      </c>
      <c r="V271" t="n">
        <v>1557898000000</v>
      </c>
    </row>
    <row r="272">
      <c r="A272" t="inlineStr">
        <is>
          <t>Pakistan</t>
        </is>
      </c>
      <c r="B272" t="inlineStr">
        <is>
          <t>PAK</t>
        </is>
      </c>
      <c r="C272" t="inlineStr">
        <is>
          <t>XBAK.L</t>
        </is>
      </c>
      <c r="D272" t="n">
        <v>2015</v>
      </c>
      <c r="E272" t="n">
        <v>-11.00000143051147</v>
      </c>
      <c r="F272" t="n">
        <v>3.812</v>
      </c>
      <c r="G272" t="inlineStr"/>
      <c r="H272" t="inlineStr"/>
      <c r="I272" t="inlineStr"/>
      <c r="J272" t="inlineStr">
        <is>
          <t>Pakistan|XBAK.L|2015</t>
        </is>
      </c>
      <c r="K272" t="inlineStr">
        <is>
          <t>Pakistan|2015</t>
        </is>
      </c>
      <c r="L272" t="inlineStr">
        <is>
          <t>USD</t>
        </is>
      </c>
      <c r="M272" t="n">
        <v>-11.00000143051147</v>
      </c>
      <c r="N272" t="n">
        <v>0</v>
      </c>
      <c r="O272" t="n">
        <v>0</v>
      </c>
      <c r="P272" t="n">
        <v>-11.00000143051147</v>
      </c>
      <c r="Q272" t="inlineStr"/>
      <c r="R272" t="inlineStr"/>
      <c r="S272" t="n">
        <v>4.526</v>
      </c>
      <c r="T272" t="n">
        <v>0.121</v>
      </c>
      <c r="U272" t="n">
        <v>4.404999999999999</v>
      </c>
      <c r="V272" t="n">
        <v>299930000000</v>
      </c>
    </row>
    <row r="273">
      <c r="A273" t="inlineStr">
        <is>
          <t>Pakistan</t>
        </is>
      </c>
      <c r="B273" t="inlineStr">
        <is>
          <t>PAK</t>
        </is>
      </c>
      <c r="C273" t="inlineStr">
        <is>
          <t>XBAK.L</t>
        </is>
      </c>
      <c r="D273" t="n">
        <v>2016</v>
      </c>
      <c r="E273" t="n">
        <v>33.1460631265436</v>
      </c>
      <c r="F273" t="n">
        <v>4.072</v>
      </c>
      <c r="G273" t="n">
        <v>7.556623</v>
      </c>
      <c r="H273" t="n">
        <v>4.565399</v>
      </c>
      <c r="I273" t="n">
        <v>-28.5806641265436</v>
      </c>
      <c r="J273" t="inlineStr">
        <is>
          <t>Pakistan|XBAK.L|2016</t>
        </is>
      </c>
      <c r="K273" t="inlineStr">
        <is>
          <t>Pakistan|2016</t>
        </is>
      </c>
      <c r="L273" t="inlineStr">
        <is>
          <t>USD</t>
        </is>
      </c>
      <c r="M273" t="n">
        <v>33.1460631265436</v>
      </c>
      <c r="N273" t="n">
        <v>0</v>
      </c>
      <c r="O273" t="n">
        <v>0</v>
      </c>
      <c r="P273" t="n">
        <v>33.1460631265436</v>
      </c>
      <c r="Q273" t="n">
        <v>-2.781069334901842</v>
      </c>
      <c r="R273" t="n">
        <v>36.95487310512393</v>
      </c>
      <c r="S273" t="n">
        <v>2.864</v>
      </c>
      <c r="T273" t="n">
        <v>1.267</v>
      </c>
      <c r="U273" t="n">
        <v>1.597</v>
      </c>
      <c r="V273" t="n">
        <v>313623000000</v>
      </c>
    </row>
    <row r="274">
      <c r="A274" t="inlineStr">
        <is>
          <t>Pakistan</t>
        </is>
      </c>
      <c r="B274" t="inlineStr">
        <is>
          <t>PAK</t>
        </is>
      </c>
      <c r="C274" t="inlineStr">
        <is>
          <t>XBAK.L</t>
        </is>
      </c>
      <c r="D274" t="n">
        <v>2017</v>
      </c>
      <c r="E274" t="n">
        <v>-27.01613190084786</v>
      </c>
      <c r="F274" t="n">
        <v>4.609</v>
      </c>
      <c r="G274" t="n">
        <v>8.640995</v>
      </c>
      <c r="H274" t="n">
        <v>8.164580000000001</v>
      </c>
      <c r="I274" t="n">
        <v>35.18071190084786</v>
      </c>
      <c r="J274" t="inlineStr">
        <is>
          <t>Pakistan|XBAK.L|2017</t>
        </is>
      </c>
      <c r="K274" t="inlineStr">
        <is>
          <t>Pakistan|2017</t>
        </is>
      </c>
      <c r="L274" t="inlineStr">
        <is>
          <t>USD</t>
        </is>
      </c>
      <c r="M274" t="n">
        <v>-27.01613190084786</v>
      </c>
      <c r="N274" t="n">
        <v>0</v>
      </c>
      <c r="O274" t="n">
        <v>0</v>
      </c>
      <c r="P274" t="n">
        <v>-27.01613190084786</v>
      </c>
      <c r="Q274" t="n">
        <v>-0.4385229505501576</v>
      </c>
      <c r="R274" t="n">
        <v>-26.69467121012802</v>
      </c>
      <c r="S274" t="n">
        <v>4.775</v>
      </c>
      <c r="T274" t="n">
        <v>2.131</v>
      </c>
      <c r="U274" t="n">
        <v>2.644000000000001</v>
      </c>
      <c r="V274" t="n">
        <v>339229000000</v>
      </c>
    </row>
    <row r="275">
      <c r="A275" t="inlineStr">
        <is>
          <t>Pakistan</t>
        </is>
      </c>
      <c r="B275" t="inlineStr">
        <is>
          <t>PAK</t>
        </is>
      </c>
      <c r="C275" t="inlineStr">
        <is>
          <t>XBAK.L</t>
        </is>
      </c>
      <c r="D275" t="n">
        <v>2018</v>
      </c>
      <c r="E275" t="n">
        <v>-36.50793350442705</v>
      </c>
      <c r="F275" t="n">
        <v>6.096</v>
      </c>
      <c r="G275" t="n">
        <v>10.229825</v>
      </c>
      <c r="H275" t="n">
        <v>4.991908</v>
      </c>
      <c r="I275" t="n">
        <v>41.49984150442705</v>
      </c>
      <c r="J275" t="inlineStr">
        <is>
          <t>Pakistan|XBAK.L|2018</t>
        </is>
      </c>
      <c r="K275" t="inlineStr">
        <is>
          <t>Pakistan|2018</t>
        </is>
      </c>
      <c r="L275" t="inlineStr">
        <is>
          <t>USD</t>
        </is>
      </c>
      <c r="M275" t="n">
        <v>-36.50793350442705</v>
      </c>
      <c r="N275" t="n">
        <v>0</v>
      </c>
      <c r="O275" t="n">
        <v>0</v>
      </c>
      <c r="P275" t="n">
        <v>-36.50793350442705</v>
      </c>
      <c r="Q275" t="n">
        <v>-4.751814160549017</v>
      </c>
      <c r="R275" t="n">
        <v>-33.34039285263207</v>
      </c>
      <c r="S275" t="n">
        <v>4.7</v>
      </c>
      <c r="T275" t="n">
        <v>2.439</v>
      </c>
      <c r="U275" t="n">
        <v>2.261</v>
      </c>
      <c r="V275" t="n">
        <v>356163000000</v>
      </c>
    </row>
    <row r="276">
      <c r="A276" t="inlineStr">
        <is>
          <t>Pakistan</t>
        </is>
      </c>
      <c r="B276" t="inlineStr">
        <is>
          <t>PAK</t>
        </is>
      </c>
      <c r="C276" t="inlineStr">
        <is>
          <t>XBAK.L</t>
        </is>
      </c>
      <c r="D276" t="n">
        <v>2019</v>
      </c>
      <c r="E276" t="n">
        <v>-3.968250213867131</v>
      </c>
      <c r="F276" t="n">
        <v>3.12</v>
      </c>
      <c r="G276" t="n">
        <v>11.759667</v>
      </c>
      <c r="H276" t="n">
        <v>-9.852792000000001</v>
      </c>
      <c r="I276" t="n">
        <v>-5.88454178613287</v>
      </c>
      <c r="J276" t="inlineStr">
        <is>
          <t>Pakistan|XBAK.L|2019</t>
        </is>
      </c>
      <c r="K276" t="inlineStr">
        <is>
          <t>Pakistan|2019</t>
        </is>
      </c>
      <c r="L276" t="inlineStr">
        <is>
          <t>USD</t>
        </is>
      </c>
      <c r="M276" t="n">
        <v>-3.968250213867131</v>
      </c>
      <c r="N276" t="n">
        <v>0</v>
      </c>
      <c r="O276" t="n">
        <v>0</v>
      </c>
      <c r="P276" t="n">
        <v>-3.968250213867131</v>
      </c>
      <c r="Q276" t="n">
        <v>-19.33833500383704</v>
      </c>
      <c r="R276" t="n">
        <v>19.05500560979128</v>
      </c>
      <c r="S276" t="n">
        <v>6.802</v>
      </c>
      <c r="T276" t="n">
        <v>1.813</v>
      </c>
      <c r="U276" t="n">
        <v>4.989</v>
      </c>
      <c r="V276" t="n">
        <v>321071000000</v>
      </c>
    </row>
    <row r="277">
      <c r="A277" t="inlineStr">
        <is>
          <t>Pakistan</t>
        </is>
      </c>
      <c r="B277" t="inlineStr">
        <is>
          <t>PAK</t>
        </is>
      </c>
      <c r="C277" t="inlineStr">
        <is>
          <t>XBAK.L</t>
        </is>
      </c>
      <c r="D277" t="n">
        <v>2020</v>
      </c>
      <c r="E277" t="n">
        <v>-10.39999961853028</v>
      </c>
      <c r="F277" t="n">
        <v>-0.9429999999999999</v>
      </c>
      <c r="G277" t="n">
        <v>8.543709</v>
      </c>
      <c r="H277" t="n">
        <v>-6.435025</v>
      </c>
      <c r="I277" t="n">
        <v>3.964974618530275</v>
      </c>
      <c r="J277" t="inlineStr">
        <is>
          <t>Pakistan|XBAK.L|2020</t>
        </is>
      </c>
      <c r="K277" t="inlineStr">
        <is>
          <t>Pakistan|2020</t>
        </is>
      </c>
      <c r="L277" t="inlineStr">
        <is>
          <t>USD</t>
        </is>
      </c>
      <c r="M277" t="n">
        <v>-10.39999961853028</v>
      </c>
      <c r="N277" t="n">
        <v>0</v>
      </c>
      <c r="O277" t="n">
        <v>0</v>
      </c>
      <c r="P277" t="n">
        <v>-10.39999961853028</v>
      </c>
      <c r="Q277" t="n">
        <v>-13.79972598532128</v>
      </c>
      <c r="R277" t="n">
        <v>3.943985568087727</v>
      </c>
      <c r="S277" t="n">
        <v>10.739</v>
      </c>
      <c r="T277" t="n">
        <v>1.253</v>
      </c>
      <c r="U277" t="n">
        <v>9.486000000000001</v>
      </c>
      <c r="V277" t="n">
        <v>300410000000</v>
      </c>
    </row>
    <row r="278">
      <c r="A278" t="inlineStr">
        <is>
          <t>Pakistan</t>
        </is>
      </c>
      <c r="B278" t="inlineStr">
        <is>
          <t>PAK</t>
        </is>
      </c>
      <c r="C278" t="inlineStr">
        <is>
          <t>XBAK.L</t>
        </is>
      </c>
      <c r="D278" t="n">
        <v>2021</v>
      </c>
      <c r="E278" t="n">
        <v>-18.1034469469832</v>
      </c>
      <c r="F278" t="n">
        <v>5.77</v>
      </c>
      <c r="G278" t="n">
        <v>17.450031</v>
      </c>
      <c r="H278" t="n">
        <v>16.001798</v>
      </c>
      <c r="I278" t="n">
        <v>34.10524494698321</v>
      </c>
      <c r="J278" t="inlineStr">
        <is>
          <t>Pakistan|XBAK.L|2021</t>
        </is>
      </c>
      <c r="K278" t="inlineStr">
        <is>
          <t>Pakistan|2021</t>
        </is>
      </c>
      <c r="L278" t="inlineStr">
        <is>
          <t>USD</t>
        </is>
      </c>
      <c r="M278" t="n">
        <v>-18.1034469469832</v>
      </c>
      <c r="N278" t="n">
        <v>0</v>
      </c>
      <c r="O278" t="n">
        <v>0</v>
      </c>
      <c r="P278" t="n">
        <v>-18.1034469469832</v>
      </c>
      <c r="Q278" t="n">
        <v>-1.233063303502224</v>
      </c>
      <c r="R278" t="n">
        <v>-17.08100322613245</v>
      </c>
      <c r="S278" t="n">
        <v>8.896000000000001</v>
      </c>
      <c r="T278" t="n">
        <v>4.679</v>
      </c>
      <c r="U278" t="n">
        <v>4.217000000000001</v>
      </c>
      <c r="V278" t="n">
        <v>348481000000</v>
      </c>
    </row>
    <row r="279">
      <c r="A279" t="inlineStr">
        <is>
          <t>Pakistan</t>
        </is>
      </c>
      <c r="B279" t="inlineStr">
        <is>
          <t>PAK</t>
        </is>
      </c>
      <c r="C279" t="inlineStr">
        <is>
          <t>XBAK.L</t>
        </is>
      </c>
      <c r="D279" t="n">
        <v>2022</v>
      </c>
      <c r="E279" t="n">
        <v>-31.63265268885063</v>
      </c>
      <c r="F279" t="n">
        <v>6.18</v>
      </c>
      <c r="G279" t="n">
        <v>19.381043</v>
      </c>
      <c r="H279" t="n">
        <v>7.56684</v>
      </c>
      <c r="I279" t="n">
        <v>39.19949268885063</v>
      </c>
      <c r="J279" t="inlineStr">
        <is>
          <t>Pakistan|XBAK.L|2022</t>
        </is>
      </c>
      <c r="K279" t="inlineStr">
        <is>
          <t>Pakistan|2022</t>
        </is>
      </c>
      <c r="L279" t="inlineStr">
        <is>
          <t>USD</t>
        </is>
      </c>
      <c r="M279" t="n">
        <v>-31.63265268885063</v>
      </c>
      <c r="N279" t="n">
        <v>0</v>
      </c>
      <c r="O279" t="n">
        <v>0</v>
      </c>
      <c r="P279" t="n">
        <v>-31.63265268885063</v>
      </c>
      <c r="Q279" t="n">
        <v>-9.896213818608556</v>
      </c>
      <c r="R279" t="n">
        <v>-24.12377968943902</v>
      </c>
      <c r="S279" t="n">
        <v>12.153</v>
      </c>
      <c r="T279" t="n">
        <v>7.993</v>
      </c>
      <c r="U279" t="n">
        <v>4.16</v>
      </c>
      <c r="V279" t="n">
        <v>374850000000</v>
      </c>
    </row>
    <row r="280">
      <c r="A280" t="inlineStr">
        <is>
          <t>Pakistan</t>
        </is>
      </c>
      <c r="B280" t="inlineStr">
        <is>
          <t>PAK</t>
        </is>
      </c>
      <c r="C280" t="inlineStr">
        <is>
          <t>XBAK.L</t>
        </is>
      </c>
      <c r="D280" t="n">
        <v>2023</v>
      </c>
      <c r="E280" t="n">
        <v>17.64705933914053</v>
      </c>
      <c r="F280" t="n">
        <v>-0.212</v>
      </c>
      <c r="G280" t="n">
        <v>25.492808</v>
      </c>
      <c r="H280" t="n">
        <v>-10.216086</v>
      </c>
      <c r="I280" t="n">
        <v>-27.86314533914053</v>
      </c>
      <c r="J280" t="inlineStr">
        <is>
          <t>Pakistan|XBAK.L|2023</t>
        </is>
      </c>
      <c r="K280" t="inlineStr">
        <is>
          <t>Pakistan|2023</t>
        </is>
      </c>
      <c r="L280" t="inlineStr">
        <is>
          <t>USD</t>
        </is>
      </c>
      <c r="M280" t="n">
        <v>17.64705933914053</v>
      </c>
      <c r="N280" t="n">
        <v>0</v>
      </c>
      <c r="O280" t="n">
        <v>0</v>
      </c>
      <c r="P280" t="n">
        <v>17.64705933914053</v>
      </c>
      <c r="Q280" t="n">
        <v>-28.45493273685884</v>
      </c>
      <c r="R280" t="n">
        <v>64.43769478395663</v>
      </c>
      <c r="S280" t="n">
        <v>29.181</v>
      </c>
      <c r="T280" t="n">
        <v>4.128</v>
      </c>
      <c r="U280" t="n">
        <v>25.053</v>
      </c>
      <c r="V280" t="n">
        <v>336555000000</v>
      </c>
    </row>
    <row r="281">
      <c r="A281" t="inlineStr">
        <is>
          <t>Pakistan</t>
        </is>
      </c>
      <c r="B281" t="inlineStr">
        <is>
          <t>PAK</t>
        </is>
      </c>
      <c r="C281" t="inlineStr">
        <is>
          <t>XBAK.L</t>
        </is>
      </c>
      <c r="D281" t="n">
        <v>2024</v>
      </c>
      <c r="E281" t="n">
        <v>64.64020240140165</v>
      </c>
      <c r="F281" t="n">
        <v>2.51</v>
      </c>
      <c r="G281" t="n">
        <v>25.692394</v>
      </c>
      <c r="H281" t="n">
        <v>10.355811</v>
      </c>
      <c r="I281" t="n">
        <v>-54.28439140140165</v>
      </c>
      <c r="J281" t="inlineStr">
        <is>
          <t>Pakistan|XBAK.L|2024</t>
        </is>
      </c>
      <c r="K281" t="inlineStr">
        <is>
          <t>Pakistan|2024</t>
        </is>
      </c>
      <c r="L281" t="inlineStr">
        <is>
          <t>USD</t>
        </is>
      </c>
      <c r="M281" t="n">
        <v>64.64020240140165</v>
      </c>
      <c r="N281" t="n">
        <v>0</v>
      </c>
      <c r="O281" t="n">
        <v>0</v>
      </c>
      <c r="P281" t="n">
        <v>64.64020240140165</v>
      </c>
      <c r="Q281" t="n">
        <v>-12.20167951833979</v>
      </c>
      <c r="R281" t="n">
        <v>87.52090187851896</v>
      </c>
      <c r="S281" t="n">
        <v>23.411</v>
      </c>
      <c r="T281" t="n">
        <v>2.952</v>
      </c>
      <c r="U281" t="n">
        <v>20.459</v>
      </c>
      <c r="V281" t="n">
        <v>371408000000</v>
      </c>
    </row>
    <row r="282">
      <c r="A282" t="inlineStr">
        <is>
          <t>Pakistan</t>
        </is>
      </c>
      <c r="B282" t="inlineStr">
        <is>
          <t>PAK</t>
        </is>
      </c>
      <c r="C282" t="inlineStr">
        <is>
          <t>XBAK.L</t>
        </is>
      </c>
      <c r="D282" t="n">
        <v>2025</v>
      </c>
      <c r="E282" t="n">
        <v>34.99065889359694</v>
      </c>
      <c r="F282" t="n">
        <v>2.676</v>
      </c>
      <c r="G282" t="n">
        <v>9.082018</v>
      </c>
      <c r="H282" t="n">
        <v>10.524006</v>
      </c>
      <c r="I282" t="n">
        <v>-24.46665289359694</v>
      </c>
      <c r="J282" t="inlineStr">
        <is>
          <t>Pakistan|XBAK.L|2025</t>
        </is>
      </c>
      <c r="K282" t="inlineStr">
        <is>
          <t>Pakistan|2025</t>
        </is>
      </c>
      <c r="L282" t="inlineStr">
        <is>
          <t>USD</t>
        </is>
      </c>
      <c r="M282" t="n">
        <v>34.99065889359694</v>
      </c>
      <c r="N282" t="n">
        <v>0</v>
      </c>
      <c r="O282" t="n">
        <v>0</v>
      </c>
      <c r="P282" t="n">
        <v>34.99065889359694</v>
      </c>
      <c r="Q282" t="n">
        <v>1.321929806024724</v>
      </c>
      <c r="R282" t="n">
        <v>33.22945896513139</v>
      </c>
      <c r="S282" t="n">
        <v>4.495</v>
      </c>
      <c r="T282" t="n">
        <v>2.715</v>
      </c>
      <c r="U282" t="n">
        <v>1.78</v>
      </c>
      <c r="V282" t="n">
        <v>410495000000</v>
      </c>
    </row>
    <row r="283">
      <c r="A283" t="inlineStr">
        <is>
          <t>Pakistan</t>
        </is>
      </c>
      <c r="B283" t="inlineStr">
        <is>
          <t>PAK</t>
        </is>
      </c>
      <c r="C283" t="inlineStr">
        <is>
          <t>XBAK.L</t>
        </is>
      </c>
      <c r="D283" t="n">
        <v>2026</v>
      </c>
      <c r="E283" t="n">
        <v>-18.23084924274773</v>
      </c>
      <c r="F283" t="n">
        <v>3.578</v>
      </c>
      <c r="G283" t="n">
        <v>11.117481</v>
      </c>
      <c r="H283" t="inlineStr"/>
      <c r="I283" t="inlineStr"/>
      <c r="J283" t="inlineStr">
        <is>
          <t>Pakistan|XBAK.L|2026</t>
        </is>
      </c>
      <c r="K283" t="inlineStr">
        <is>
          <t>Pakistan|2026</t>
        </is>
      </c>
      <c r="L283" t="inlineStr">
        <is>
          <t>USD</t>
        </is>
      </c>
      <c r="M283" t="n">
        <v>-18.23084924274773</v>
      </c>
      <c r="N283" t="n">
        <v>0</v>
      </c>
      <c r="O283" t="n">
        <v>0</v>
      </c>
      <c r="P283" t="n">
        <v>-18.23084924274773</v>
      </c>
      <c r="Q283" t="inlineStr"/>
      <c r="R283" t="inlineStr"/>
      <c r="S283" t="n">
        <v>6.043</v>
      </c>
      <c r="T283" t="n">
        <v>2.435</v>
      </c>
      <c r="U283" t="n">
        <v>3.608</v>
      </c>
      <c r="V283" t="inlineStr"/>
    </row>
    <row r="284">
      <c r="A284" t="inlineStr">
        <is>
          <t>Pakistan</t>
        </is>
      </c>
      <c r="B284" t="inlineStr">
        <is>
          <t>PAK</t>
        </is>
      </c>
      <c r="C284" t="inlineStr">
        <is>
          <t>XBAK.L</t>
        </is>
      </c>
      <c r="D284" t="n">
        <v>2027</v>
      </c>
      <c r="E284" t="inlineStr"/>
      <c r="F284" t="n">
        <v>4.099</v>
      </c>
      <c r="G284" t="n">
        <v>11.148424</v>
      </c>
      <c r="H284" t="inlineStr"/>
      <c r="I284" t="inlineStr"/>
      <c r="J284" t="inlineStr">
        <is>
          <t>Pakistan|XBAK.L|2027</t>
        </is>
      </c>
      <c r="K284" t="inlineStr">
        <is>
          <t>Pakistan|2027</t>
        </is>
      </c>
      <c r="L284" t="inlineStr">
        <is>
          <t>USD</t>
        </is>
      </c>
      <c r="M284" t="inlineStr"/>
      <c r="N284" t="inlineStr"/>
      <c r="O284" t="inlineStr"/>
      <c r="P284" t="inlineStr"/>
      <c r="Q284" t="inlineStr"/>
      <c r="R284" t="inlineStr"/>
      <c r="S284" t="n">
        <v>6.485</v>
      </c>
      <c r="T284" t="n">
        <v>2.185</v>
      </c>
      <c r="U284" t="n">
        <v>4.300000000000001</v>
      </c>
      <c r="V284" t="inlineStr"/>
    </row>
    <row r="285">
      <c r="A285" t="inlineStr">
        <is>
          <t>Pakistan</t>
        </is>
      </c>
      <c r="B285" t="inlineStr">
        <is>
          <t>PAK</t>
        </is>
      </c>
      <c r="C285" t="inlineStr">
        <is>
          <t>XBAK.L</t>
        </is>
      </c>
      <c r="D285" t="n">
        <v>2028</v>
      </c>
      <c r="E285" t="inlineStr"/>
      <c r="F285" t="n">
        <v>4.5</v>
      </c>
      <c r="G285" t="n">
        <v>11.225562</v>
      </c>
      <c r="H285" t="inlineStr"/>
      <c r="I285" t="inlineStr"/>
      <c r="J285" t="inlineStr">
        <is>
          <t>Pakistan|XBAK.L|2028</t>
        </is>
      </c>
      <c r="K285" t="inlineStr">
        <is>
          <t>Pakistan|2028</t>
        </is>
      </c>
      <c r="L285" t="inlineStr">
        <is>
          <t>USD</t>
        </is>
      </c>
      <c r="M285" t="inlineStr"/>
      <c r="N285" t="inlineStr"/>
      <c r="O285" t="inlineStr"/>
      <c r="P285" t="inlineStr"/>
      <c r="Q285" t="inlineStr"/>
      <c r="R285" t="inlineStr"/>
      <c r="S285" t="n">
        <v>6.494</v>
      </c>
      <c r="T285" t="n">
        <v>2.206</v>
      </c>
      <c r="U285" t="n">
        <v>4.288</v>
      </c>
      <c r="V285" t="inlineStr"/>
    </row>
    <row r="286">
      <c r="A286" t="inlineStr">
        <is>
          <t>Pakistan</t>
        </is>
      </c>
      <c r="B286" t="inlineStr">
        <is>
          <t>PAK</t>
        </is>
      </c>
      <c r="C286" t="inlineStr">
        <is>
          <t>XBAK.L</t>
        </is>
      </c>
      <c r="D286" t="n">
        <v>2029</v>
      </c>
      <c r="E286" t="inlineStr"/>
      <c r="F286" t="n">
        <v>4.5</v>
      </c>
      <c r="G286" t="n">
        <v>11.288902</v>
      </c>
      <c r="H286" t="inlineStr"/>
      <c r="I286" t="inlineStr"/>
      <c r="J286" t="inlineStr">
        <is>
          <t>Pakistan|XBAK.L|2029</t>
        </is>
      </c>
      <c r="K286" t="inlineStr">
        <is>
          <t>Pakistan|2029</t>
        </is>
      </c>
      <c r="L286" t="inlineStr">
        <is>
          <t>USD</t>
        </is>
      </c>
      <c r="M286" t="inlineStr"/>
      <c r="N286" t="inlineStr"/>
      <c r="O286" t="inlineStr"/>
      <c r="P286" t="inlineStr"/>
      <c r="Q286" t="inlineStr"/>
      <c r="R286" t="inlineStr"/>
      <c r="S286" t="n">
        <v>6.494</v>
      </c>
      <c r="T286" t="n">
        <v>2.203</v>
      </c>
      <c r="U286" t="n">
        <v>4.291</v>
      </c>
      <c r="V286" t="inlineStr"/>
    </row>
    <row r="287">
      <c r="A287" t="inlineStr">
        <is>
          <t>Philippines</t>
        </is>
      </c>
      <c r="B287" t="inlineStr">
        <is>
          <t>PHL</t>
        </is>
      </c>
      <c r="C287" t="inlineStr">
        <is>
          <t>XPHG.L</t>
        </is>
      </c>
      <c r="D287" t="n">
        <v>2015</v>
      </c>
      <c r="E287" t="n">
        <v>-5.919815719102905</v>
      </c>
      <c r="F287" t="n">
        <v>6.348</v>
      </c>
      <c r="G287" t="inlineStr"/>
      <c r="H287" t="inlineStr"/>
      <c r="I287" t="inlineStr"/>
      <c r="J287" t="inlineStr">
        <is>
          <t>Philippines|XPHG.L|2015</t>
        </is>
      </c>
      <c r="K287" t="inlineStr">
        <is>
          <t>Philippines|2015</t>
        </is>
      </c>
      <c r="L287" t="inlineStr">
        <is>
          <t>GBp</t>
        </is>
      </c>
      <c r="M287" t="n">
        <v>-5.919815719102905</v>
      </c>
      <c r="N287" t="n">
        <v>-4.888855870697362</v>
      </c>
      <c r="O287" t="n">
        <v>-5.407515212426162</v>
      </c>
      <c r="P287" t="n">
        <v>-10.51926033148244</v>
      </c>
      <c r="Q287" t="inlineStr"/>
      <c r="R287" t="inlineStr"/>
      <c r="S287" t="n">
        <v>0.6899999999999999</v>
      </c>
      <c r="T287" t="n">
        <v>0.121</v>
      </c>
      <c r="U287" t="n">
        <v>0.569</v>
      </c>
      <c r="V287" t="n">
        <v>306446000000</v>
      </c>
    </row>
    <row r="288">
      <c r="A288" t="inlineStr">
        <is>
          <t>Philippines</t>
        </is>
      </c>
      <c r="B288" t="inlineStr">
        <is>
          <t>PHL</t>
        </is>
      </c>
      <c r="C288" t="inlineStr">
        <is>
          <t>XPHG.L</t>
        </is>
      </c>
      <c r="D288" t="n">
        <v>2016</v>
      </c>
      <c r="E288" t="n">
        <v>17.71382143851849</v>
      </c>
      <c r="F288" t="n">
        <v>7.149</v>
      </c>
      <c r="G288" t="n">
        <v>8.521296</v>
      </c>
      <c r="H288" t="n">
        <v>3.974925</v>
      </c>
      <c r="I288" t="n">
        <v>5.831860507821489</v>
      </c>
      <c r="J288" t="inlineStr">
        <is>
          <t>Philippines|XPHG.L|2016</t>
        </is>
      </c>
      <c r="K288" t="inlineStr">
        <is>
          <t>Philippines|2016</t>
        </is>
      </c>
      <c r="L288" t="inlineStr">
        <is>
          <t>GBp</t>
        </is>
      </c>
      <c r="M288" t="n">
        <v>17.71382143851849</v>
      </c>
      <c r="N288" t="n">
        <v>-16.62570861023462</v>
      </c>
      <c r="O288" t="n">
        <v>-16.21181156312136</v>
      </c>
      <c r="P288" t="n">
        <v>-1.856935507821489</v>
      </c>
      <c r="Q288" t="n">
        <v>-4.189380608721938</v>
      </c>
      <c r="R288" t="n">
        <v>2.434432754656402</v>
      </c>
      <c r="S288" t="n">
        <v>1.234</v>
      </c>
      <c r="T288" t="n">
        <v>1.267</v>
      </c>
      <c r="U288" t="n">
        <v>-0.03299999999999992</v>
      </c>
      <c r="V288" t="n">
        <v>318627000000</v>
      </c>
    </row>
    <row r="289">
      <c r="A289" t="inlineStr">
        <is>
          <t>Philippines</t>
        </is>
      </c>
      <c r="B289" t="inlineStr">
        <is>
          <t>PHL</t>
        </is>
      </c>
      <c r="C289" t="inlineStr">
        <is>
          <t>XPHG.L</t>
        </is>
      </c>
      <c r="D289" t="n">
        <v>2017</v>
      </c>
      <c r="E289" t="n">
        <v>9.373920972458262</v>
      </c>
      <c r="F289" t="n">
        <v>6.931</v>
      </c>
      <c r="G289" t="n">
        <v>9.412061</v>
      </c>
      <c r="H289" t="n">
        <v>3.092644</v>
      </c>
      <c r="I289" t="n">
        <v>-15.95144977472957</v>
      </c>
      <c r="J289" t="inlineStr">
        <is>
          <t>Philippines|XPHG.L|2017</t>
        </is>
      </c>
      <c r="K289" t="inlineStr">
        <is>
          <t>Philippines|2017</t>
        </is>
      </c>
      <c r="L289" t="inlineStr">
        <is>
          <t>GBp</t>
        </is>
      </c>
      <c r="M289" t="n">
        <v>9.373920972458262</v>
      </c>
      <c r="N289" t="n">
        <v>8.841388071573641</v>
      </c>
      <c r="O289" t="n">
        <v>9.450435944365921</v>
      </c>
      <c r="P289" t="n">
        <v>19.04409377472957</v>
      </c>
      <c r="Q289" t="n">
        <v>-5.775795110546666</v>
      </c>
      <c r="R289" t="n">
        <v>26.3413089178048</v>
      </c>
      <c r="S289" t="n">
        <v>2.853</v>
      </c>
      <c r="T289" t="n">
        <v>2.131</v>
      </c>
      <c r="U289" t="n">
        <v>0.7220000000000004</v>
      </c>
      <c r="V289" t="n">
        <v>328481000000</v>
      </c>
    </row>
    <row r="290">
      <c r="A290" t="inlineStr">
        <is>
          <t>Philippines</t>
        </is>
      </c>
      <c r="B290" t="inlineStr">
        <is>
          <t>PHL</t>
        </is>
      </c>
      <c r="C290" t="inlineStr">
        <is>
          <t>XPHG.L</t>
        </is>
      </c>
      <c r="D290" t="n">
        <v>2018</v>
      </c>
      <c r="E290" t="n">
        <v>-11.28058424625853</v>
      </c>
      <c r="F290" t="n">
        <v>6.341</v>
      </c>
      <c r="G290" t="n">
        <v>10.319357</v>
      </c>
      <c r="H290" t="n">
        <v>5.589669</v>
      </c>
      <c r="I290" t="n">
        <v>22.26909960119694</v>
      </c>
      <c r="J290" t="inlineStr">
        <is>
          <t>Philippines|XPHG.L|2018</t>
        </is>
      </c>
      <c r="K290" t="inlineStr">
        <is>
          <t>Philippines|2018</t>
        </is>
      </c>
      <c r="L290" t="inlineStr">
        <is>
          <t>GBp</t>
        </is>
      </c>
      <c r="M290" t="n">
        <v>-11.28058424625853</v>
      </c>
      <c r="N290" t="n">
        <v>-6.085304224640065</v>
      </c>
      <c r="O290" t="n">
        <v>-5.756316180609423</v>
      </c>
      <c r="P290" t="n">
        <v>-16.67943060119694</v>
      </c>
      <c r="Q290" t="n">
        <v>-4.287269940198146</v>
      </c>
      <c r="R290" t="n">
        <v>-12.94724395935223</v>
      </c>
      <c r="S290" t="n">
        <v>5.31</v>
      </c>
      <c r="T290" t="n">
        <v>2.439</v>
      </c>
      <c r="U290" t="n">
        <v>2.871</v>
      </c>
      <c r="V290" t="n">
        <v>346842000000</v>
      </c>
    </row>
    <row r="291">
      <c r="A291" t="inlineStr">
        <is>
          <t>Philippines</t>
        </is>
      </c>
      <c r="B291" t="inlineStr">
        <is>
          <t>PHL</t>
        </is>
      </c>
      <c r="C291" t="inlineStr">
        <is>
          <t>XPHG.L</t>
        </is>
      </c>
      <c r="D291" t="n">
        <v>2019</v>
      </c>
      <c r="E291" t="n">
        <v>1.759943643992123</v>
      </c>
      <c r="F291" t="n">
        <v>6.119</v>
      </c>
      <c r="G291" t="n">
        <v>6.858253</v>
      </c>
      <c r="H291" t="n">
        <v>8.643993999999999</v>
      </c>
      <c r="I291" t="n">
        <v>3.888375709573189</v>
      </c>
      <c r="J291" t="inlineStr">
        <is>
          <t>Philippines|XPHG.L|2019</t>
        </is>
      </c>
      <c r="K291" t="inlineStr">
        <is>
          <t>Philippines|2019</t>
        </is>
      </c>
      <c r="L291" t="inlineStr">
        <is>
          <t>GBp</t>
        </is>
      </c>
      <c r="M291" t="n">
        <v>1.759943643992123</v>
      </c>
      <c r="N291" t="n">
        <v>2.94386429390634</v>
      </c>
      <c r="O291" t="n">
        <v>4.118031584084703</v>
      </c>
      <c r="P291" t="n">
        <v>4.755618290426811</v>
      </c>
      <c r="Q291" t="n">
        <v>1.671130233366513</v>
      </c>
      <c r="R291" t="n">
        <v>3.033789483780147</v>
      </c>
      <c r="S291" t="n">
        <v>2.392</v>
      </c>
      <c r="T291" t="n">
        <v>1.813</v>
      </c>
      <c r="U291" t="n">
        <v>0.579</v>
      </c>
      <c r="V291" t="n">
        <v>376823000000</v>
      </c>
    </row>
    <row r="292">
      <c r="A292" t="inlineStr">
        <is>
          <t>Philippines</t>
        </is>
      </c>
      <c r="B292" t="inlineStr">
        <is>
          <t>PHL</t>
        </is>
      </c>
      <c r="C292" t="inlineStr">
        <is>
          <t>XPHG.L</t>
        </is>
      </c>
      <c r="D292" t="n">
        <v>2020</v>
      </c>
      <c r="E292" t="n">
        <v>-5.298006975537762</v>
      </c>
      <c r="F292" t="n">
        <v>-9.518000000000001</v>
      </c>
      <c r="G292" t="n">
        <v>-8.024900000000001</v>
      </c>
      <c r="H292" t="n">
        <v>-3.999756</v>
      </c>
      <c r="I292" t="n">
        <v>-1.329917183958786</v>
      </c>
      <c r="J292" t="inlineStr">
        <is>
          <t>Philippines|XPHG.L|2020</t>
        </is>
      </c>
      <c r="K292" t="inlineStr">
        <is>
          <t>Philippines|2020</t>
        </is>
      </c>
      <c r="L292" t="inlineStr">
        <is>
          <t>GBp</t>
        </is>
      </c>
      <c r="M292" t="n">
        <v>-5.298006975537762</v>
      </c>
      <c r="N292" t="n">
        <v>2.775198362317122</v>
      </c>
      <c r="O292" t="n">
        <v>3.094474617937659</v>
      </c>
      <c r="P292" t="n">
        <v>-2.669838816041215</v>
      </c>
      <c r="Q292" t="n">
        <v>4.376340751010699</v>
      </c>
      <c r="R292" t="n">
        <v>-6.75074400611585</v>
      </c>
      <c r="S292" t="n">
        <v>2.393</v>
      </c>
      <c r="T292" t="n">
        <v>1.253</v>
      </c>
      <c r="U292" t="n">
        <v>1.14</v>
      </c>
      <c r="V292" t="n">
        <v>361751000000</v>
      </c>
    </row>
    <row r="293">
      <c r="A293" t="inlineStr">
        <is>
          <t>Philippines</t>
        </is>
      </c>
      <c r="B293" t="inlineStr">
        <is>
          <t>PHL</t>
        </is>
      </c>
      <c r="C293" t="inlineStr">
        <is>
          <t>XPHG.L</t>
        </is>
      </c>
      <c r="D293" t="n">
        <v>2021</v>
      </c>
      <c r="E293" t="n">
        <v>-2.604550970119768</v>
      </c>
      <c r="F293" t="n">
        <v>5.715</v>
      </c>
      <c r="G293" t="n">
        <v>8.127649</v>
      </c>
      <c r="H293" t="n">
        <v>8.938745000000001</v>
      </c>
      <c r="I293" t="n">
        <v>12.78725062564262</v>
      </c>
      <c r="J293" t="inlineStr">
        <is>
          <t>Philippines|XPHG.L|2021</t>
        </is>
      </c>
      <c r="K293" t="inlineStr">
        <is>
          <t>Philippines|2021</t>
        </is>
      </c>
      <c r="L293" t="inlineStr">
        <is>
          <t>GBp</t>
        </is>
      </c>
      <c r="M293" t="n">
        <v>-2.604550970119768</v>
      </c>
      <c r="N293" t="n">
        <v>-1.277220514832489</v>
      </c>
      <c r="O293" t="n">
        <v>-1.102343119945948</v>
      </c>
      <c r="P293" t="n">
        <v>-3.848505625642618</v>
      </c>
      <c r="Q293" t="n">
        <v>0.7501283898980748</v>
      </c>
      <c r="R293" t="n">
        <v>-4.564395191382986</v>
      </c>
      <c r="S293" t="n">
        <v>3.927</v>
      </c>
      <c r="T293" t="n">
        <v>4.679</v>
      </c>
      <c r="U293" t="n">
        <v>-0.7520000000000002</v>
      </c>
      <c r="V293" t="n">
        <v>394087000000</v>
      </c>
    </row>
    <row r="294">
      <c r="A294" t="inlineStr">
        <is>
          <t>Philippines</t>
        </is>
      </c>
      <c r="B294" t="inlineStr">
        <is>
          <t>PHL</t>
        </is>
      </c>
      <c r="C294" t="inlineStr">
        <is>
          <t>XPHG.L</t>
        </is>
      </c>
      <c r="D294" t="n">
        <v>2022</v>
      </c>
      <c r="E294" t="n">
        <v>-3.244274809160308</v>
      </c>
      <c r="F294" t="n">
        <v>7.581</v>
      </c>
      <c r="G294" t="n">
        <v>13.485713</v>
      </c>
      <c r="H294" t="n">
        <v>2.605009</v>
      </c>
      <c r="I294" t="n">
        <v>16.33861743439824</v>
      </c>
      <c r="J294" t="inlineStr">
        <is>
          <t>Philippines|XPHG.L|2022</t>
        </is>
      </c>
      <c r="K294" t="inlineStr">
        <is>
          <t>Philippines|2022</t>
        </is>
      </c>
      <c r="L294" t="inlineStr">
        <is>
          <t>GBp</t>
        </is>
      </c>
      <c r="M294" t="n">
        <v>-3.244274809160308</v>
      </c>
      <c r="N294" t="n">
        <v>-10.84104698150823</v>
      </c>
      <c r="O294" t="n">
        <v>-10.36772851390696</v>
      </c>
      <c r="P294" t="n">
        <v>-13.73360843439824</v>
      </c>
      <c r="Q294" t="n">
        <v>-9.587730768314028</v>
      </c>
      <c r="R294" t="n">
        <v>-4.58552550590251</v>
      </c>
      <c r="S294" t="n">
        <v>5.821</v>
      </c>
      <c r="T294" t="n">
        <v>7.993</v>
      </c>
      <c r="U294" t="n">
        <v>-2.172000000000001</v>
      </c>
      <c r="V294" t="n">
        <v>404353000000</v>
      </c>
    </row>
    <row r="295">
      <c r="A295" t="inlineStr">
        <is>
          <t>Philippines</t>
        </is>
      </c>
      <c r="B295" t="inlineStr">
        <is>
          <t>PHL</t>
        </is>
      </c>
      <c r="C295" t="inlineStr">
        <is>
          <t>XPHG.L</t>
        </is>
      </c>
      <c r="D295" t="n">
        <v>2023</v>
      </c>
      <c r="E295" t="n">
        <v>-5.217727780083791</v>
      </c>
      <c r="F295" t="n">
        <v>5.519</v>
      </c>
      <c r="G295" t="n">
        <v>10.374339</v>
      </c>
      <c r="H295" t="n">
        <v>8.087488</v>
      </c>
      <c r="I295" t="n">
        <v>8.506360252966807</v>
      </c>
      <c r="J295" t="inlineStr">
        <is>
          <t>Philippines|XPHG.L|2023</t>
        </is>
      </c>
      <c r="K295" t="inlineStr">
        <is>
          <t>Philippines|2023</t>
        </is>
      </c>
      <c r="L295" t="inlineStr">
        <is>
          <t>GBp</t>
        </is>
      </c>
      <c r="M295" t="n">
        <v>-5.217727780083791</v>
      </c>
      <c r="N295" t="n">
        <v>5.06303068571996</v>
      </c>
      <c r="O295" t="n">
        <v>5.030130998783355</v>
      </c>
      <c r="P295" t="n">
        <v>-0.4188722529668065</v>
      </c>
      <c r="Q295" t="n">
        <v>-2.0719045595462</v>
      </c>
      <c r="R295" t="n">
        <v>1.688006183664159</v>
      </c>
      <c r="S295" t="n">
        <v>5.978</v>
      </c>
      <c r="T295" t="n">
        <v>4.128</v>
      </c>
      <c r="U295" t="n">
        <v>1.85</v>
      </c>
      <c r="V295" t="n">
        <v>437055000000</v>
      </c>
    </row>
    <row r="296">
      <c r="A296" t="inlineStr">
        <is>
          <t>Philippines</t>
        </is>
      </c>
      <c r="B296" t="inlineStr">
        <is>
          <t>PHL</t>
        </is>
      </c>
      <c r="C296" t="inlineStr">
        <is>
          <t>XPHG.L</t>
        </is>
      </c>
      <c r="D296" t="n">
        <v>2024</v>
      </c>
      <c r="E296" t="n">
        <v>-2.961461684283073</v>
      </c>
      <c r="F296" t="n">
        <v>5.692</v>
      </c>
      <c r="G296" t="n">
        <v>8.772079</v>
      </c>
      <c r="H296" t="n">
        <v>5.619888</v>
      </c>
      <c r="I296" t="n">
        <v>9.960319252331502</v>
      </c>
      <c r="J296" t="inlineStr">
        <is>
          <t>Philippines|XPHG.L|2024</t>
        </is>
      </c>
      <c r="K296" t="inlineStr">
        <is>
          <t>Philippines|2024</t>
        </is>
      </c>
      <c r="L296" t="inlineStr">
        <is>
          <t>GBp</t>
        </is>
      </c>
      <c r="M296" t="n">
        <v>-2.961461684283073</v>
      </c>
      <c r="N296" t="n">
        <v>-1.421053523664917</v>
      </c>
      <c r="O296" t="n">
        <v>-1.655539060617606</v>
      </c>
      <c r="P296" t="n">
        <v>-4.3404312523315</v>
      </c>
      <c r="Q296" t="n">
        <v>-2.897978235682697</v>
      </c>
      <c r="R296" t="n">
        <v>-1.485502557454343</v>
      </c>
      <c r="S296" t="n">
        <v>3.213</v>
      </c>
      <c r="T296" t="n">
        <v>2.952</v>
      </c>
      <c r="U296" t="n">
        <v>0.2610000000000001</v>
      </c>
      <c r="V296" t="n">
        <v>461617000000</v>
      </c>
    </row>
    <row r="297">
      <c r="A297" t="inlineStr">
        <is>
          <t>Philippines</t>
        </is>
      </c>
      <c r="B297" t="inlineStr">
        <is>
          <t>PHL</t>
        </is>
      </c>
      <c r="C297" t="inlineStr">
        <is>
          <t>XPHG.L</t>
        </is>
      </c>
      <c r="D297" t="n">
        <v>2025</v>
      </c>
      <c r="E297" t="n">
        <v>-7.84634131086781</v>
      </c>
      <c r="F297" t="n">
        <v>5.435</v>
      </c>
      <c r="G297" t="n">
        <v>7.049198</v>
      </c>
      <c r="H297" t="n">
        <v>7.04935</v>
      </c>
      <c r="I297" t="n">
        <v>7.917881192322508</v>
      </c>
      <c r="J297" t="inlineStr">
        <is>
          <t>Philippines|XPHG.L|2025</t>
        </is>
      </c>
      <c r="K297" t="inlineStr">
        <is>
          <t>Philippines|2025</t>
        </is>
      </c>
      <c r="L297" t="inlineStr">
        <is>
          <t>GBp</t>
        </is>
      </c>
      <c r="M297" t="n">
        <v>-7.84634131086781</v>
      </c>
      <c r="N297" t="n">
        <v>7.571929555270285</v>
      </c>
      <c r="O297" t="n">
        <v>7.623377354227179</v>
      </c>
      <c r="P297" t="n">
        <v>-0.8685311923225081</v>
      </c>
      <c r="Q297" t="n">
        <v>0.000142096061339636</v>
      </c>
      <c r="R297" t="n">
        <v>-0.868672054035069</v>
      </c>
      <c r="S297" t="n">
        <v>1.608</v>
      </c>
      <c r="T297" t="n">
        <v>2.715</v>
      </c>
      <c r="U297" t="n">
        <v>-1.107</v>
      </c>
      <c r="V297" t="n">
        <v>494158000000</v>
      </c>
    </row>
    <row r="298">
      <c r="A298" t="inlineStr">
        <is>
          <t>Philippines</t>
        </is>
      </c>
      <c r="B298" t="inlineStr">
        <is>
          <t>PHL</t>
        </is>
      </c>
      <c r="C298" t="inlineStr">
        <is>
          <t>XPHG.L</t>
        </is>
      </c>
      <c r="D298" t="n">
        <v>2026</v>
      </c>
      <c r="E298" t="n">
        <v>-1.407210657049929</v>
      </c>
      <c r="F298" t="n">
        <v>5.731</v>
      </c>
      <c r="G298" t="n">
        <v>8.046950000000001</v>
      </c>
      <c r="H298" t="n">
        <v>8.046818999999999</v>
      </c>
      <c r="I298" t="n">
        <v>11.07122953975361</v>
      </c>
      <c r="J298" t="inlineStr">
        <is>
          <t>Philippines|XPHG.L|2026</t>
        </is>
      </c>
      <c r="K298" t="inlineStr">
        <is>
          <t>Philippines|2026</t>
        </is>
      </c>
      <c r="L298" t="inlineStr">
        <is>
          <t>GBp</t>
        </is>
      </c>
      <c r="M298" t="n">
        <v>-1.407210657049929</v>
      </c>
      <c r="N298" t="n">
        <v>-1.640282107323621</v>
      </c>
      <c r="O298" t="inlineStr"/>
      <c r="P298" t="n">
        <v>-3.024410539753608</v>
      </c>
      <c r="Q298" t="n">
        <v>-0.0001214776089053515</v>
      </c>
      <c r="R298" t="n">
        <v>-3.024292735983203</v>
      </c>
      <c r="S298" t="n">
        <v>2.55</v>
      </c>
      <c r="T298" t="n">
        <v>2.435</v>
      </c>
      <c r="U298" t="n">
        <v>0.1149999999999998</v>
      </c>
      <c r="V298" t="n">
        <v>533922000000</v>
      </c>
    </row>
    <row r="299">
      <c r="A299" t="inlineStr">
        <is>
          <t>Philippines</t>
        </is>
      </c>
      <c r="B299" t="inlineStr">
        <is>
          <t>PHL</t>
        </is>
      </c>
      <c r="C299" t="inlineStr">
        <is>
          <t>XPHG.L</t>
        </is>
      </c>
      <c r="D299" t="n">
        <v>2027</v>
      </c>
      <c r="E299" t="inlineStr"/>
      <c r="F299" t="n">
        <v>5.993</v>
      </c>
      <c r="G299" t="n">
        <v>8.515618999999999</v>
      </c>
      <c r="H299" t="n">
        <v>8.515663</v>
      </c>
      <c r="I299" t="inlineStr"/>
      <c r="J299" t="inlineStr">
        <is>
          <t>Philippines|XPHG.L|2027</t>
        </is>
      </c>
      <c r="K299" t="inlineStr">
        <is>
          <t>Philippines|2027</t>
        </is>
      </c>
      <c r="L299" t="inlineStr">
        <is>
          <t>GBp</t>
        </is>
      </c>
      <c r="M299" t="inlineStr"/>
      <c r="N299" t="inlineStr"/>
      <c r="O299" t="inlineStr"/>
      <c r="P299" t="inlineStr"/>
      <c r="Q299" t="n">
        <v>4.067559684628463e-05</v>
      </c>
      <c r="R299" t="inlineStr"/>
      <c r="S299" t="n">
        <v>2.842</v>
      </c>
      <c r="T299" t="n">
        <v>2.185</v>
      </c>
      <c r="U299" t="n">
        <v>0.657</v>
      </c>
      <c r="V299" t="n">
        <v>579389000000</v>
      </c>
    </row>
    <row r="300">
      <c r="A300" t="inlineStr">
        <is>
          <t>Philippines</t>
        </is>
      </c>
      <c r="B300" t="inlineStr">
        <is>
          <t>PHL</t>
        </is>
      </c>
      <c r="C300" t="inlineStr">
        <is>
          <t>XPHG.L</t>
        </is>
      </c>
      <c r="D300" t="n">
        <v>2028</v>
      </c>
      <c r="E300" t="inlineStr"/>
      <c r="F300" t="n">
        <v>6.003</v>
      </c>
      <c r="G300" t="n">
        <v>8.666224</v>
      </c>
      <c r="H300" t="n">
        <v>8.666198</v>
      </c>
      <c r="I300" t="inlineStr"/>
      <c r="J300" t="inlineStr">
        <is>
          <t>Philippines|XPHG.L|2028</t>
        </is>
      </c>
      <c r="K300" t="inlineStr">
        <is>
          <t>Philippines|2028</t>
        </is>
      </c>
      <c r="L300" t="inlineStr">
        <is>
          <t>GBp</t>
        </is>
      </c>
      <c r="M300" t="inlineStr"/>
      <c r="N300" t="inlineStr"/>
      <c r="O300" t="inlineStr"/>
      <c r="P300" t="inlineStr"/>
      <c r="Q300" t="n">
        <v>-2.373717220560678e-05</v>
      </c>
      <c r="R300" t="inlineStr"/>
      <c r="S300" t="n">
        <v>3</v>
      </c>
      <c r="T300" t="n">
        <v>2.206</v>
      </c>
      <c r="U300" t="n">
        <v>0.794</v>
      </c>
      <c r="V300" t="n">
        <v>629600000000</v>
      </c>
    </row>
    <row r="301">
      <c r="A301" t="inlineStr">
        <is>
          <t>Philippines</t>
        </is>
      </c>
      <c r="B301" t="inlineStr">
        <is>
          <t>PHL</t>
        </is>
      </c>
      <c r="C301" t="inlineStr">
        <is>
          <t>XPHG.L</t>
        </is>
      </c>
      <c r="D301" t="n">
        <v>2029</v>
      </c>
      <c r="E301" t="inlineStr"/>
      <c r="F301" t="n">
        <v>6.013</v>
      </c>
      <c r="G301" t="n">
        <v>8.913233</v>
      </c>
      <c r="H301" t="n">
        <v>8.913278</v>
      </c>
      <c r="I301" t="inlineStr"/>
      <c r="J301" t="inlineStr">
        <is>
          <t>Philippines|XPHG.L|2029</t>
        </is>
      </c>
      <c r="K301" t="inlineStr">
        <is>
          <t>Philippines|2029</t>
        </is>
      </c>
      <c r="L301" t="inlineStr">
        <is>
          <t>GBp</t>
        </is>
      </c>
      <c r="M301" t="inlineStr"/>
      <c r="N301" t="inlineStr"/>
      <c r="O301" t="inlineStr"/>
      <c r="P301" t="inlineStr"/>
      <c r="Q301" t="n">
        <v>4.138998963565399e-05</v>
      </c>
      <c r="R301" t="inlineStr"/>
      <c r="S301" t="n">
        <v>3.267</v>
      </c>
      <c r="T301" t="n">
        <v>2.203</v>
      </c>
      <c r="U301" t="n">
        <v>1.064</v>
      </c>
      <c r="V301" t="n">
        <v>685718000000</v>
      </c>
    </row>
    <row r="302">
      <c r="A302" t="inlineStr">
        <is>
          <t>Poland</t>
        </is>
      </c>
      <c r="B302" t="inlineStr">
        <is>
          <t>POL</t>
        </is>
      </c>
      <c r="C302" t="inlineStr">
        <is>
          <t>IPOL.L</t>
        </is>
      </c>
      <c r="D302" t="n">
        <v>2015</v>
      </c>
      <c r="E302" t="n">
        <v>-24.55335253145974</v>
      </c>
      <c r="F302" t="n">
        <v>4.432</v>
      </c>
      <c r="G302" t="inlineStr"/>
      <c r="H302" t="inlineStr"/>
      <c r="I302" t="inlineStr"/>
      <c r="J302" t="inlineStr">
        <is>
          <t>Poland|IPOL.L|2015</t>
        </is>
      </c>
      <c r="K302" t="inlineStr">
        <is>
          <t>Poland|2015</t>
        </is>
      </c>
      <c r="L302" t="inlineStr">
        <is>
          <t>USD</t>
        </is>
      </c>
      <c r="M302" t="n">
        <v>-24.55335253145974</v>
      </c>
      <c r="N302" t="n">
        <v>0</v>
      </c>
      <c r="O302" t="n">
        <v>0</v>
      </c>
      <c r="P302" t="n">
        <v>-24.55335253145974</v>
      </c>
      <c r="Q302" t="inlineStr"/>
      <c r="R302" t="inlineStr"/>
      <c r="S302" t="n">
        <v>-0.924</v>
      </c>
      <c r="T302" t="n">
        <v>0.121</v>
      </c>
      <c r="U302" t="n">
        <v>-1.045</v>
      </c>
      <c r="V302" t="n">
        <v>479729000000</v>
      </c>
    </row>
    <row r="303">
      <c r="A303" t="inlineStr">
        <is>
          <t>Poland</t>
        </is>
      </c>
      <c r="B303" t="inlineStr">
        <is>
          <t>POL</t>
        </is>
      </c>
      <c r="C303" t="inlineStr">
        <is>
          <t>IPOL.L</t>
        </is>
      </c>
      <c r="D303" t="n">
        <v>2016</v>
      </c>
      <c r="E303" t="n">
        <v>3.866666158040366</v>
      </c>
      <c r="F303" t="n">
        <v>3.031</v>
      </c>
      <c r="G303" t="n">
        <v>3.116552</v>
      </c>
      <c r="H303" t="n">
        <v>-1.427056</v>
      </c>
      <c r="I303" t="n">
        <v>-5.293722158040366</v>
      </c>
      <c r="J303" t="inlineStr">
        <is>
          <t>Poland|IPOL.L|2016</t>
        </is>
      </c>
      <c r="K303" t="inlineStr">
        <is>
          <t>Poland|2016</t>
        </is>
      </c>
      <c r="L303" t="inlineStr">
        <is>
          <t>USD</t>
        </is>
      </c>
      <c r="M303" t="n">
        <v>3.866666158040366</v>
      </c>
      <c r="N303" t="n">
        <v>0</v>
      </c>
      <c r="O303" t="n">
        <v>0</v>
      </c>
      <c r="P303" t="n">
        <v>3.866666158040366</v>
      </c>
      <c r="Q303" t="n">
        <v>-4.406283417642287</v>
      </c>
      <c r="R303" t="n">
        <v>8.654281757687677</v>
      </c>
      <c r="S303" t="n">
        <v>-0.677</v>
      </c>
      <c r="T303" t="n">
        <v>1.267</v>
      </c>
      <c r="U303" t="n">
        <v>-1.944</v>
      </c>
      <c r="V303" t="n">
        <v>472883000000</v>
      </c>
    </row>
    <row r="304">
      <c r="A304" t="inlineStr">
        <is>
          <t>Poland</t>
        </is>
      </c>
      <c r="B304" t="inlineStr">
        <is>
          <t>POL</t>
        </is>
      </c>
      <c r="C304" t="inlineStr">
        <is>
          <t>IPOL.L</t>
        </is>
      </c>
      <c r="D304" t="n">
        <v>2017</v>
      </c>
      <c r="E304" t="n">
        <v>52.89624697287321</v>
      </c>
      <c r="F304" t="n">
        <v>5.152</v>
      </c>
      <c r="G304" t="n">
        <v>7.01387</v>
      </c>
      <c r="H304" t="n">
        <v>11.760626</v>
      </c>
      <c r="I304" t="n">
        <v>-41.13562097287321</v>
      </c>
      <c r="J304" t="inlineStr">
        <is>
          <t>Poland|IPOL.L|2017</t>
        </is>
      </c>
      <c r="K304" t="inlineStr">
        <is>
          <t>Poland|2017</t>
        </is>
      </c>
      <c r="L304" t="inlineStr">
        <is>
          <t>USD</t>
        </is>
      </c>
      <c r="M304" t="n">
        <v>52.89624697287321</v>
      </c>
      <c r="N304" t="n">
        <v>0</v>
      </c>
      <c r="O304" t="n">
        <v>0</v>
      </c>
      <c r="P304" t="n">
        <v>52.89624697287321</v>
      </c>
      <c r="Q304" t="n">
        <v>4.435645830500357</v>
      </c>
      <c r="R304" t="n">
        <v>46.40235693187045</v>
      </c>
      <c r="S304" t="n">
        <v>1.969</v>
      </c>
      <c r="T304" t="n">
        <v>2.131</v>
      </c>
      <c r="U304" t="n">
        <v>-0.1619999999999997</v>
      </c>
      <c r="V304" t="n">
        <v>528497000000</v>
      </c>
    </row>
    <row r="305">
      <c r="A305" t="inlineStr">
        <is>
          <t>Poland</t>
        </is>
      </c>
      <c r="B305" t="inlineStr">
        <is>
          <t>POL</t>
        </is>
      </c>
      <c r="C305" t="inlineStr">
        <is>
          <t>IPOL.L</t>
        </is>
      </c>
      <c r="D305" t="n">
        <v>2018</v>
      </c>
      <c r="E305" t="n">
        <v>-12.83222658794891</v>
      </c>
      <c r="F305" t="n">
        <v>6.246</v>
      </c>
      <c r="G305" t="n">
        <v>7.549493</v>
      </c>
      <c r="H305" t="n">
        <v>12.515492</v>
      </c>
      <c r="I305" t="n">
        <v>25.34771858794891</v>
      </c>
      <c r="J305" t="inlineStr">
        <is>
          <t>Poland|IPOL.L|2018</t>
        </is>
      </c>
      <c r="K305" t="inlineStr">
        <is>
          <t>Poland|2018</t>
        </is>
      </c>
      <c r="L305" t="inlineStr">
        <is>
          <t>USD</t>
        </is>
      </c>
      <c r="M305" t="n">
        <v>-12.83222658794891</v>
      </c>
      <c r="N305" t="n">
        <v>0</v>
      </c>
      <c r="O305" t="n">
        <v>0</v>
      </c>
      <c r="P305" t="n">
        <v>-12.83222658794891</v>
      </c>
      <c r="Q305" t="n">
        <v>4.617407851598276</v>
      </c>
      <c r="R305" t="n">
        <v>-16.67947504902799</v>
      </c>
      <c r="S305" t="n">
        <v>1.767</v>
      </c>
      <c r="T305" t="n">
        <v>2.439</v>
      </c>
      <c r="U305" t="n">
        <v>-0.6720000000000002</v>
      </c>
      <c r="V305" t="n">
        <v>594641000000</v>
      </c>
    </row>
    <row r="306">
      <c r="A306" t="inlineStr">
        <is>
          <t>Poland</t>
        </is>
      </c>
      <c r="B306" t="inlineStr">
        <is>
          <t>POL</t>
        </is>
      </c>
      <c r="C306" t="inlineStr">
        <is>
          <t>IPOL.L</t>
        </is>
      </c>
      <c r="D306" t="n">
        <v>2019</v>
      </c>
      <c r="E306" t="n">
        <v>-6.94100666991273</v>
      </c>
      <c r="F306" t="n">
        <v>4.581</v>
      </c>
      <c r="G306" t="n">
        <v>7.74553</v>
      </c>
      <c r="H306" t="n">
        <v>1.337109</v>
      </c>
      <c r="I306" t="n">
        <v>8.278115669912731</v>
      </c>
      <c r="J306" t="inlineStr">
        <is>
          <t>Poland|IPOL.L|2019</t>
        </is>
      </c>
      <c r="K306" t="inlineStr">
        <is>
          <t>Poland|2019</t>
        </is>
      </c>
      <c r="L306" t="inlineStr">
        <is>
          <t>USD</t>
        </is>
      </c>
      <c r="M306" t="n">
        <v>-6.94100666991273</v>
      </c>
      <c r="N306" t="n">
        <v>0</v>
      </c>
      <c r="O306" t="n">
        <v>0</v>
      </c>
      <c r="P306" t="n">
        <v>-6.94100666991273</v>
      </c>
      <c r="Q306" t="n">
        <v>-5.947737156331002</v>
      </c>
      <c r="R306" t="n">
        <v>-1.056082526406321</v>
      </c>
      <c r="S306" t="n">
        <v>2.267</v>
      </c>
      <c r="T306" t="n">
        <v>1.813</v>
      </c>
      <c r="U306" t="n">
        <v>0.454</v>
      </c>
      <c r="V306" t="n">
        <v>602592000000</v>
      </c>
    </row>
    <row r="307">
      <c r="A307" t="inlineStr">
        <is>
          <t>Poland</t>
        </is>
      </c>
      <c r="B307" t="inlineStr">
        <is>
          <t>POL</t>
        </is>
      </c>
      <c r="C307" t="inlineStr">
        <is>
          <t>IPOL.L</t>
        </is>
      </c>
      <c r="D307" t="n">
        <v>2020</v>
      </c>
      <c r="E307" t="n">
        <v>-13.32834986178385</v>
      </c>
      <c r="F307" t="n">
        <v>-2.036</v>
      </c>
      <c r="G307" t="n">
        <v>2.116746</v>
      </c>
      <c r="H307" t="n">
        <v>0.55394</v>
      </c>
      <c r="I307" t="n">
        <v>13.88228986178385</v>
      </c>
      <c r="J307" t="inlineStr">
        <is>
          <t>Poland|IPOL.L|2020</t>
        </is>
      </c>
      <c r="K307" t="inlineStr">
        <is>
          <t>Poland|2020</t>
        </is>
      </c>
      <c r="L307" t="inlineStr">
        <is>
          <t>USD</t>
        </is>
      </c>
      <c r="M307" t="n">
        <v>-13.32834986178385</v>
      </c>
      <c r="N307" t="n">
        <v>0</v>
      </c>
      <c r="O307" t="n">
        <v>0</v>
      </c>
      <c r="P307" t="n">
        <v>-13.32834986178385</v>
      </c>
      <c r="Q307" t="n">
        <v>-1.53041079858377</v>
      </c>
      <c r="R307" t="n">
        <v>-11.98130220597122</v>
      </c>
      <c r="S307" t="n">
        <v>3.434</v>
      </c>
      <c r="T307" t="n">
        <v>1.253</v>
      </c>
      <c r="U307" t="n">
        <v>2.181</v>
      </c>
      <c r="V307" t="n">
        <v>605930000000</v>
      </c>
    </row>
    <row r="308">
      <c r="A308" t="inlineStr">
        <is>
          <t>Poland</t>
        </is>
      </c>
      <c r="B308" t="inlineStr">
        <is>
          <t>POL</t>
        </is>
      </c>
      <c r="C308" t="inlineStr">
        <is>
          <t>IPOL.L</t>
        </is>
      </c>
      <c r="D308" t="n">
        <v>2021</v>
      </c>
      <c r="E308" t="n">
        <v>5.569779315299028</v>
      </c>
      <c r="F308" t="n">
        <v>6.927</v>
      </c>
      <c r="G308" t="n">
        <v>12.637347</v>
      </c>
      <c r="H308" t="n">
        <v>13.751258</v>
      </c>
      <c r="I308" t="n">
        <v>8.181478684700972</v>
      </c>
      <c r="J308" t="inlineStr">
        <is>
          <t>Poland|IPOL.L|2021</t>
        </is>
      </c>
      <c r="K308" t="inlineStr">
        <is>
          <t>Poland|2021</t>
        </is>
      </c>
      <c r="L308" t="inlineStr">
        <is>
          <t>USD</t>
        </is>
      </c>
      <c r="M308" t="n">
        <v>5.569779315299028</v>
      </c>
      <c r="N308" t="n">
        <v>0</v>
      </c>
      <c r="O308" t="n">
        <v>0</v>
      </c>
      <c r="P308" t="n">
        <v>5.569779315299028</v>
      </c>
      <c r="Q308" t="n">
        <v>0.9889364737227568</v>
      </c>
      <c r="R308" t="n">
        <v>4.535984833119033</v>
      </c>
      <c r="S308" t="n">
        <v>5.129</v>
      </c>
      <c r="T308" t="n">
        <v>4.679</v>
      </c>
      <c r="U308" t="n">
        <v>0.4499999999999993</v>
      </c>
      <c r="V308" t="n">
        <v>689253000000</v>
      </c>
    </row>
    <row r="309">
      <c r="A309" t="inlineStr">
        <is>
          <t>Poland</t>
        </is>
      </c>
      <c r="B309" t="inlineStr">
        <is>
          <t>POL</t>
        </is>
      </c>
      <c r="C309" t="inlineStr">
        <is>
          <t>IPOL.L</t>
        </is>
      </c>
      <c r="D309" t="n">
        <v>2022</v>
      </c>
      <c r="E309" t="n">
        <v>-28.04459025763768</v>
      </c>
      <c r="F309" t="n">
        <v>5.255</v>
      </c>
      <c r="G309" t="n">
        <v>16.506821</v>
      </c>
      <c r="H309" t="n">
        <v>0.940293</v>
      </c>
      <c r="I309" t="n">
        <v>28.98488325763768</v>
      </c>
      <c r="J309" t="inlineStr">
        <is>
          <t>Poland|IPOL.L|2022</t>
        </is>
      </c>
      <c r="K309" t="inlineStr">
        <is>
          <t>Poland|2022</t>
        </is>
      </c>
      <c r="L309" t="inlineStr">
        <is>
          <t>USD</t>
        </is>
      </c>
      <c r="M309" t="n">
        <v>-28.04459025763768</v>
      </c>
      <c r="N309" t="n">
        <v>0</v>
      </c>
      <c r="O309" t="n">
        <v>0</v>
      </c>
      <c r="P309" t="n">
        <v>-28.04459025763768</v>
      </c>
      <c r="Q309" t="n">
        <v>-13.3610437046137</v>
      </c>
      <c r="R309" t="n">
        <v>-16.94797257594147</v>
      </c>
      <c r="S309" t="n">
        <v>14.21</v>
      </c>
      <c r="T309" t="n">
        <v>7.993</v>
      </c>
      <c r="U309" t="n">
        <v>6.217000000000001</v>
      </c>
      <c r="V309" t="n">
        <v>695734000000</v>
      </c>
    </row>
    <row r="310">
      <c r="A310" t="inlineStr">
        <is>
          <t>Poland</t>
        </is>
      </c>
      <c r="B310" t="inlineStr">
        <is>
          <t>POL</t>
        </is>
      </c>
      <c r="C310" t="inlineStr">
        <is>
          <t>IPOL.L</t>
        </is>
      </c>
      <c r="D310" t="n">
        <v>2023</v>
      </c>
      <c r="E310" t="n">
        <v>48.43636363129584</v>
      </c>
      <c r="F310" t="n">
        <v>0.25</v>
      </c>
      <c r="G310" t="n">
        <v>10.139929</v>
      </c>
      <c r="H310" t="n">
        <v>16.849112</v>
      </c>
      <c r="I310" t="n">
        <v>-31.58725163129584</v>
      </c>
      <c r="J310" t="inlineStr">
        <is>
          <t>Poland|IPOL.L|2023</t>
        </is>
      </c>
      <c r="K310" t="inlineStr">
        <is>
          <t>Poland|2023</t>
        </is>
      </c>
      <c r="L310" t="inlineStr">
        <is>
          <t>USD</t>
        </is>
      </c>
      <c r="M310" t="n">
        <v>48.43636363129584</v>
      </c>
      <c r="N310" t="n">
        <v>0</v>
      </c>
      <c r="O310" t="n">
        <v>0</v>
      </c>
      <c r="P310" t="n">
        <v>48.43636363129584</v>
      </c>
      <c r="Q310" t="n">
        <v>6.091507900116233</v>
      </c>
      <c r="R310" t="n">
        <v>39.91352047804499</v>
      </c>
      <c r="S310" t="n">
        <v>11.473</v>
      </c>
      <c r="T310" t="n">
        <v>4.128</v>
      </c>
      <c r="U310" t="n">
        <v>7.345000000000001</v>
      </c>
      <c r="V310" t="n">
        <v>812959000000</v>
      </c>
    </row>
    <row r="311">
      <c r="A311" t="inlineStr">
        <is>
          <t>Poland</t>
        </is>
      </c>
      <c r="B311" t="inlineStr">
        <is>
          <t>POL</t>
        </is>
      </c>
      <c r="C311" t="inlineStr">
        <is>
          <t>IPOL.L</t>
        </is>
      </c>
      <c r="D311" t="n">
        <v>2024</v>
      </c>
      <c r="E311" t="n">
        <v>-2.90150003330214</v>
      </c>
      <c r="F311" t="n">
        <v>2.923</v>
      </c>
      <c r="G311" t="n">
        <v>6.615399</v>
      </c>
      <c r="H311" t="n">
        <v>12.496817</v>
      </c>
      <c r="I311" t="n">
        <v>15.39831703330214</v>
      </c>
      <c r="J311" t="inlineStr">
        <is>
          <t>Poland|IPOL.L|2024</t>
        </is>
      </c>
      <c r="K311" t="inlineStr">
        <is>
          <t>Poland|2024</t>
        </is>
      </c>
      <c r="L311" t="inlineStr">
        <is>
          <t>USD</t>
        </is>
      </c>
      <c r="M311" t="n">
        <v>-2.90150003330214</v>
      </c>
      <c r="N311" t="n">
        <v>0</v>
      </c>
      <c r="O311" t="n">
        <v>0</v>
      </c>
      <c r="P311" t="n">
        <v>-2.90150003330214</v>
      </c>
      <c r="Q311" t="n">
        <v>5.516481015833197</v>
      </c>
      <c r="R311" t="n">
        <v>-7.977882666379088</v>
      </c>
      <c r="S311" t="n">
        <v>3.723</v>
      </c>
      <c r="T311" t="n">
        <v>2.952</v>
      </c>
      <c r="U311" t="n">
        <v>0.7709999999999999</v>
      </c>
      <c r="V311" t="n">
        <v>914553000000</v>
      </c>
    </row>
    <row r="312">
      <c r="A312" t="inlineStr">
        <is>
          <t>Poland</t>
        </is>
      </c>
      <c r="B312" t="inlineStr">
        <is>
          <t>POL</t>
        </is>
      </c>
      <c r="C312" t="inlineStr">
        <is>
          <t>IPOL.L</t>
        </is>
      </c>
      <c r="D312" t="n">
        <v>2025</v>
      </c>
      <c r="E312" t="n">
        <v>74.00603656381143</v>
      </c>
      <c r="F312" t="n">
        <v>3.243</v>
      </c>
      <c r="G312" t="n">
        <v>6.963458</v>
      </c>
      <c r="H312" t="n">
        <v>13.675096</v>
      </c>
      <c r="I312" t="n">
        <v>-60.33094056381144</v>
      </c>
      <c r="J312" t="inlineStr">
        <is>
          <t>Poland|IPOL.L|2025</t>
        </is>
      </c>
      <c r="K312" t="inlineStr">
        <is>
          <t>Poland|2025</t>
        </is>
      </c>
      <c r="L312" t="inlineStr">
        <is>
          <t>USD</t>
        </is>
      </c>
      <c r="M312" t="n">
        <v>74.00603656381143</v>
      </c>
      <c r="N312" t="n">
        <v>0</v>
      </c>
      <c r="O312" t="n">
        <v>0</v>
      </c>
      <c r="P312" t="n">
        <v>74.00603656381143</v>
      </c>
      <c r="Q312" t="n">
        <v>6.274701424363371</v>
      </c>
      <c r="R312" t="n">
        <v>63.73232220995986</v>
      </c>
      <c r="S312" t="n">
        <v>3.803</v>
      </c>
      <c r="T312" t="n">
        <v>2.715</v>
      </c>
      <c r="U312" t="n">
        <v>1.088</v>
      </c>
      <c r="V312" t="n">
        <v>1039619000000</v>
      </c>
    </row>
    <row r="313">
      <c r="A313" t="inlineStr">
        <is>
          <t>Poland</t>
        </is>
      </c>
      <c r="B313" t="inlineStr">
        <is>
          <t>POL</t>
        </is>
      </c>
      <c r="C313" t="inlineStr">
        <is>
          <t>IPOL.L</t>
        </is>
      </c>
      <c r="D313" t="n">
        <v>2026</v>
      </c>
      <c r="E313" t="n">
        <v>-0.4575046903998348</v>
      </c>
      <c r="F313" t="n">
        <v>3.136</v>
      </c>
      <c r="G313" t="n">
        <v>6.397182</v>
      </c>
      <c r="H313" t="n">
        <v>6.766229</v>
      </c>
      <c r="I313" t="n">
        <v>7.223733690399834</v>
      </c>
      <c r="J313" t="inlineStr">
        <is>
          <t>Poland|IPOL.L|2026</t>
        </is>
      </c>
      <c r="K313" t="inlineStr">
        <is>
          <t>Poland|2026</t>
        </is>
      </c>
      <c r="L313" t="inlineStr">
        <is>
          <t>USD</t>
        </is>
      </c>
      <c r="M313" t="n">
        <v>-0.4575046903998348</v>
      </c>
      <c r="N313" t="n">
        <v>0</v>
      </c>
      <c r="O313" t="n">
        <v>0</v>
      </c>
      <c r="P313" t="n">
        <v>-0.4575046903998348</v>
      </c>
      <c r="Q313" t="n">
        <v>0.3468579952283335</v>
      </c>
      <c r="R313" t="n">
        <v>-0.8015823332170657</v>
      </c>
      <c r="S313" t="n">
        <v>2.776</v>
      </c>
      <c r="T313" t="n">
        <v>2.435</v>
      </c>
      <c r="U313" t="n">
        <v>0.3409999999999997</v>
      </c>
      <c r="V313" t="n">
        <v>1109962000000</v>
      </c>
    </row>
    <row r="314">
      <c r="A314" t="inlineStr">
        <is>
          <t>Poland</t>
        </is>
      </c>
      <c r="B314" t="inlineStr">
        <is>
          <t>POL</t>
        </is>
      </c>
      <c r="C314" t="inlineStr">
        <is>
          <t>IPOL.L</t>
        </is>
      </c>
      <c r="D314" t="n">
        <v>2027</v>
      </c>
      <c r="E314" t="inlineStr"/>
      <c r="F314" t="n">
        <v>2.861</v>
      </c>
      <c r="G314" t="n">
        <v>5.679433</v>
      </c>
      <c r="H314" t="n">
        <v>5.793351</v>
      </c>
      <c r="I314" t="inlineStr"/>
      <c r="J314" t="inlineStr">
        <is>
          <t>Poland|IPOL.L|2027</t>
        </is>
      </c>
      <c r="K314" t="inlineStr">
        <is>
          <t>Poland|2027</t>
        </is>
      </c>
      <c r="L314" t="inlineStr">
        <is>
          <t>USD</t>
        </is>
      </c>
      <c r="M314" t="inlineStr"/>
      <c r="N314" t="inlineStr"/>
      <c r="O314" t="inlineStr"/>
      <c r="P314" t="inlineStr"/>
      <c r="Q314" t="n">
        <v>0.1077960293723423</v>
      </c>
      <c r="R314" t="inlineStr"/>
      <c r="S314" t="n">
        <v>2.717</v>
      </c>
      <c r="T314" t="n">
        <v>2.185</v>
      </c>
      <c r="U314" t="n">
        <v>0.532</v>
      </c>
      <c r="V314" t="n">
        <v>1174266000000</v>
      </c>
    </row>
    <row r="315">
      <c r="A315" t="inlineStr">
        <is>
          <t>Poland</t>
        </is>
      </c>
      <c r="B315" t="inlineStr">
        <is>
          <t>POL</t>
        </is>
      </c>
      <c r="C315" t="inlineStr">
        <is>
          <t>IPOL.L</t>
        </is>
      </c>
      <c r="D315" t="n">
        <v>2028</v>
      </c>
      <c r="E315" t="inlineStr"/>
      <c r="F315" t="n">
        <v>2.802</v>
      </c>
      <c r="G315" t="n">
        <v>5.582508</v>
      </c>
      <c r="H315" t="n">
        <v>5.898323</v>
      </c>
      <c r="I315" t="inlineStr"/>
      <c r="J315" t="inlineStr">
        <is>
          <t>Poland|IPOL.L|2028</t>
        </is>
      </c>
      <c r="K315" t="inlineStr">
        <is>
          <t>Poland|2028</t>
        </is>
      </c>
      <c r="L315" t="inlineStr">
        <is>
          <t>USD</t>
        </is>
      </c>
      <c r="M315" t="inlineStr"/>
      <c r="N315" t="inlineStr"/>
      <c r="O315" t="inlineStr"/>
      <c r="P315" t="inlineStr"/>
      <c r="Q315" t="n">
        <v>0.2991163618569104</v>
      </c>
      <c r="R315" t="inlineStr"/>
      <c r="S315" t="n">
        <v>2.6</v>
      </c>
      <c r="T315" t="n">
        <v>2.206</v>
      </c>
      <c r="U315" t="n">
        <v>0.3940000000000001</v>
      </c>
      <c r="V315" t="n">
        <v>1243528000000</v>
      </c>
    </row>
    <row r="316">
      <c r="A316" t="inlineStr">
        <is>
          <t>Poland</t>
        </is>
      </c>
      <c r="B316" t="inlineStr">
        <is>
          <t>POL</t>
        </is>
      </c>
      <c r="C316" t="inlineStr">
        <is>
          <t>IPOL.L</t>
        </is>
      </c>
      <c r="D316" t="n">
        <v>2029</v>
      </c>
      <c r="E316" t="inlineStr"/>
      <c r="F316" t="n">
        <v>2.666</v>
      </c>
      <c r="G316" t="n">
        <v>5.197545</v>
      </c>
      <c r="H316" t="n">
        <v>5.622793</v>
      </c>
      <c r="I316" t="inlineStr"/>
      <c r="J316" t="inlineStr">
        <is>
          <t>Poland|IPOL.L|2029</t>
        </is>
      </c>
      <c r="K316" t="inlineStr">
        <is>
          <t>Poland|2029</t>
        </is>
      </c>
      <c r="L316" t="inlineStr">
        <is>
          <t>USD</t>
        </is>
      </c>
      <c r="M316" t="inlineStr"/>
      <c r="N316" t="inlineStr"/>
      <c r="O316" t="inlineStr"/>
      <c r="P316" t="inlineStr"/>
      <c r="Q316" t="n">
        <v>0.4042375578623636</v>
      </c>
      <c r="R316" t="inlineStr"/>
      <c r="S316" t="n">
        <v>2.5</v>
      </c>
      <c r="T316" t="n">
        <v>2.203</v>
      </c>
      <c r="U316" t="n">
        <v>0.2970000000000002</v>
      </c>
      <c r="V316" t="n">
        <v>1313449000000</v>
      </c>
    </row>
    <row r="317">
      <c r="A317" t="inlineStr">
        <is>
          <t>Poland</t>
        </is>
      </c>
      <c r="B317" t="inlineStr">
        <is>
          <t>POL</t>
        </is>
      </c>
      <c r="C317" t="inlineStr">
        <is>
          <t>SPOL.L</t>
        </is>
      </c>
      <c r="D317" t="n">
        <v>2015</v>
      </c>
      <c r="E317" t="n">
        <v>-21.83268410313485</v>
      </c>
      <c r="F317" t="n">
        <v>4.432</v>
      </c>
      <c r="G317" t="inlineStr"/>
      <c r="H317" t="inlineStr"/>
      <c r="I317" t="inlineStr"/>
      <c r="J317" t="inlineStr">
        <is>
          <t>Poland|SPOL.L|2015</t>
        </is>
      </c>
      <c r="K317" t="inlineStr">
        <is>
          <t>Poland|2015</t>
        </is>
      </c>
      <c r="L317" t="inlineStr">
        <is>
          <t>GBp</t>
        </is>
      </c>
      <c r="M317" t="n">
        <v>-21.83268410313485</v>
      </c>
      <c r="N317" t="n">
        <v>-4.888855870697362</v>
      </c>
      <c r="O317" t="n">
        <v>-5.407515212426162</v>
      </c>
      <c r="P317" t="n">
        <v>-25.6541715153253</v>
      </c>
      <c r="Q317" t="inlineStr"/>
      <c r="R317" t="inlineStr"/>
      <c r="S317" t="n">
        <v>-0.924</v>
      </c>
      <c r="T317" t="n">
        <v>0.121</v>
      </c>
      <c r="U317" t="n">
        <v>-1.045</v>
      </c>
      <c r="V317" t="n">
        <v>479729000000</v>
      </c>
    </row>
    <row r="318">
      <c r="A318" t="inlineStr">
        <is>
          <t>Poland</t>
        </is>
      </c>
      <c r="B318" t="inlineStr">
        <is>
          <t>POL</t>
        </is>
      </c>
      <c r="C318" t="inlineStr">
        <is>
          <t>SPOL.L</t>
        </is>
      </c>
      <c r="D318" t="n">
        <v>2016</v>
      </c>
      <c r="E318" t="n">
        <v>23.83863080684596</v>
      </c>
      <c r="F318" t="n">
        <v>3.031</v>
      </c>
      <c r="G318" t="n">
        <v>3.116552</v>
      </c>
      <c r="H318" t="n">
        <v>-1.427056</v>
      </c>
      <c r="I318" t="n">
        <v>-4.676636901995497</v>
      </c>
      <c r="J318" t="inlineStr">
        <is>
          <t>Poland|SPOL.L|2016</t>
        </is>
      </c>
      <c r="K318" t="inlineStr">
        <is>
          <t>Poland|2016</t>
        </is>
      </c>
      <c r="L318" t="inlineStr">
        <is>
          <t>GBp</t>
        </is>
      </c>
      <c r="M318" t="n">
        <v>23.83863080684596</v>
      </c>
      <c r="N318" t="n">
        <v>-16.62570861023462</v>
      </c>
      <c r="O318" t="n">
        <v>-16.21181156312136</v>
      </c>
      <c r="P318" t="n">
        <v>3.249580901995497</v>
      </c>
      <c r="Q318" t="n">
        <v>-4.406283417642287</v>
      </c>
      <c r="R318" t="n">
        <v>8.008752660057894</v>
      </c>
      <c r="S318" t="n">
        <v>-0.677</v>
      </c>
      <c r="T318" t="n">
        <v>1.267</v>
      </c>
      <c r="U318" t="n">
        <v>-1.944</v>
      </c>
      <c r="V318" t="n">
        <v>472883000000</v>
      </c>
    </row>
    <row r="319">
      <c r="A319" t="inlineStr">
        <is>
          <t>Poland</t>
        </is>
      </c>
      <c r="B319" t="inlineStr">
        <is>
          <t>POL</t>
        </is>
      </c>
      <c r="C319" t="inlineStr">
        <is>
          <t>SPOL.L</t>
        </is>
      </c>
      <c r="D319" t="n">
        <v>2017</v>
      </c>
      <c r="E319" t="n">
        <v>38.72854914196569</v>
      </c>
      <c r="F319" t="n">
        <v>5.152</v>
      </c>
      <c r="G319" t="n">
        <v>7.01387</v>
      </c>
      <c r="H319" t="n">
        <v>11.760626</v>
      </c>
      <c r="I319" t="n">
        <v>-39.23345253767062</v>
      </c>
      <c r="J319" t="inlineStr">
        <is>
          <t>Poland|SPOL.L|2017</t>
        </is>
      </c>
      <c r="K319" t="inlineStr">
        <is>
          <t>Poland|2017</t>
        </is>
      </c>
      <c r="L319" t="inlineStr">
        <is>
          <t>GBp</t>
        </is>
      </c>
      <c r="M319" t="n">
        <v>38.72854914196569</v>
      </c>
      <c r="N319" t="n">
        <v>8.841388071573641</v>
      </c>
      <c r="O319" t="n">
        <v>9.450435944365921</v>
      </c>
      <c r="P319" t="n">
        <v>50.99407853767062</v>
      </c>
      <c r="Q319" t="n">
        <v>4.435645830500357</v>
      </c>
      <c r="R319" t="n">
        <v>44.58097839767743</v>
      </c>
      <c r="S319" t="n">
        <v>1.969</v>
      </c>
      <c r="T319" t="n">
        <v>2.131</v>
      </c>
      <c r="U319" t="n">
        <v>-0.1619999999999997</v>
      </c>
      <c r="V319" t="n">
        <v>528497000000</v>
      </c>
    </row>
    <row r="320">
      <c r="A320" t="inlineStr">
        <is>
          <t>Poland</t>
        </is>
      </c>
      <c r="B320" t="inlineStr">
        <is>
          <t>POL</t>
        </is>
      </c>
      <c r="C320" t="inlineStr">
        <is>
          <t>SPOL.L</t>
        </is>
      </c>
      <c r="D320" t="n">
        <v>2018</v>
      </c>
      <c r="E320" t="n">
        <v>-7.426416568687122</v>
      </c>
      <c r="F320" t="n">
        <v>6.246</v>
      </c>
      <c r="G320" t="n">
        <v>7.549493</v>
      </c>
      <c r="H320" t="n">
        <v>12.515492</v>
      </c>
      <c r="I320" t="n">
        <v>25.5752927521335</v>
      </c>
      <c r="J320" t="inlineStr">
        <is>
          <t>Poland|SPOL.L|2018</t>
        </is>
      </c>
      <c r="K320" t="inlineStr">
        <is>
          <t>Poland|2018</t>
        </is>
      </c>
      <c r="L320" t="inlineStr">
        <is>
          <t>GBp</t>
        </is>
      </c>
      <c r="M320" t="n">
        <v>-7.426416568687122</v>
      </c>
      <c r="N320" t="n">
        <v>-6.085304224640065</v>
      </c>
      <c r="O320" t="n">
        <v>-5.756316180609423</v>
      </c>
      <c r="P320" t="n">
        <v>-13.0598007521335</v>
      </c>
      <c r="Q320" t="n">
        <v>4.617407851598276</v>
      </c>
      <c r="R320" t="n">
        <v>-16.89700496958137</v>
      </c>
      <c r="S320" t="n">
        <v>1.767</v>
      </c>
      <c r="T320" t="n">
        <v>2.439</v>
      </c>
      <c r="U320" t="n">
        <v>-0.6720000000000002</v>
      </c>
      <c r="V320" t="n">
        <v>594641000000</v>
      </c>
    </row>
    <row r="321">
      <c r="A321" t="inlineStr">
        <is>
          <t>Poland</t>
        </is>
      </c>
      <c r="B321" t="inlineStr">
        <is>
          <t>POL</t>
        </is>
      </c>
      <c r="C321" t="inlineStr">
        <is>
          <t>SPOL.L</t>
        </is>
      </c>
      <c r="D321" t="n">
        <v>2019</v>
      </c>
      <c r="E321" t="n">
        <v>-11.19362207638414</v>
      </c>
      <c r="F321" t="n">
        <v>4.581</v>
      </c>
      <c r="G321" t="n">
        <v>7.74553</v>
      </c>
      <c r="H321" t="n">
        <v>1.337109</v>
      </c>
      <c r="I321" t="n">
        <v>9.916391825979284</v>
      </c>
      <c r="J321" t="inlineStr">
        <is>
          <t>Poland|SPOL.L|2019</t>
        </is>
      </c>
      <c r="K321" t="inlineStr">
        <is>
          <t>Poland|2019</t>
        </is>
      </c>
      <c r="L321" t="inlineStr">
        <is>
          <t>GBp</t>
        </is>
      </c>
      <c r="M321" t="n">
        <v>-11.19362207638414</v>
      </c>
      <c r="N321" t="n">
        <v>2.94386429390634</v>
      </c>
      <c r="O321" t="n">
        <v>4.118031584084703</v>
      </c>
      <c r="P321" t="n">
        <v>-8.579282825979284</v>
      </c>
      <c r="Q321" t="n">
        <v>-5.947737156331002</v>
      </c>
      <c r="R321" t="n">
        <v>-2.797961037920338</v>
      </c>
      <c r="S321" t="n">
        <v>2.267</v>
      </c>
      <c r="T321" t="n">
        <v>1.813</v>
      </c>
      <c r="U321" t="n">
        <v>0.454</v>
      </c>
      <c r="V321" t="n">
        <v>602592000000</v>
      </c>
    </row>
    <row r="322">
      <c r="A322" t="inlineStr">
        <is>
          <t>Poland</t>
        </is>
      </c>
      <c r="B322" t="inlineStr">
        <is>
          <t>POL</t>
        </is>
      </c>
      <c r="C322" t="inlineStr">
        <is>
          <t>SPOL.L</t>
        </is>
      </c>
      <c r="D322" t="n">
        <v>2020</v>
      </c>
      <c r="E322" t="n">
        <v>-16.46533185382913</v>
      </c>
      <c r="F322" t="n">
        <v>-2.036</v>
      </c>
      <c r="G322" t="n">
        <v>2.116746</v>
      </c>
      <c r="H322" t="n">
        <v>0.55394</v>
      </c>
      <c r="I322" t="n">
        <v>14.70101911146956</v>
      </c>
      <c r="J322" t="inlineStr">
        <is>
          <t>Poland|SPOL.L|2020</t>
        </is>
      </c>
      <c r="K322" t="inlineStr">
        <is>
          <t>Poland|2020</t>
        </is>
      </c>
      <c r="L322" t="inlineStr">
        <is>
          <t>GBp</t>
        </is>
      </c>
      <c r="M322" t="n">
        <v>-16.46533185382913</v>
      </c>
      <c r="N322" t="n">
        <v>2.775198362317122</v>
      </c>
      <c r="O322" t="n">
        <v>3.094474617937659</v>
      </c>
      <c r="P322" t="n">
        <v>-14.14707911146956</v>
      </c>
      <c r="Q322" t="n">
        <v>-1.53041079858377</v>
      </c>
      <c r="R322" t="n">
        <v>-12.81275611608253</v>
      </c>
      <c r="S322" t="n">
        <v>3.434</v>
      </c>
      <c r="T322" t="n">
        <v>1.253</v>
      </c>
      <c r="U322" t="n">
        <v>2.181</v>
      </c>
      <c r="V322" t="n">
        <v>605930000000</v>
      </c>
    </row>
    <row r="323">
      <c r="A323" t="inlineStr">
        <is>
          <t>Poland</t>
        </is>
      </c>
      <c r="B323" t="inlineStr">
        <is>
          <t>POL</t>
        </is>
      </c>
      <c r="C323" t="inlineStr">
        <is>
          <t>SPOL.L</t>
        </is>
      </c>
      <c r="D323" t="n">
        <v>2021</v>
      </c>
      <c r="E323" t="n">
        <v>6.55738107253101</v>
      </c>
      <c r="F323" t="n">
        <v>6.927</v>
      </c>
      <c r="G323" t="n">
        <v>12.637347</v>
      </c>
      <c r="H323" t="n">
        <v>13.751258</v>
      </c>
      <c r="I323" t="n">
        <v>8.554849658595598</v>
      </c>
      <c r="J323" t="inlineStr">
        <is>
          <t>Poland|SPOL.L|2021</t>
        </is>
      </c>
      <c r="K323" t="inlineStr">
        <is>
          <t>Poland|2021</t>
        </is>
      </c>
      <c r="L323" t="inlineStr">
        <is>
          <t>GBp</t>
        </is>
      </c>
      <c r="M323" t="n">
        <v>6.55738107253101</v>
      </c>
      <c r="N323" t="n">
        <v>-1.277220514832489</v>
      </c>
      <c r="O323" t="n">
        <v>-1.102343119945948</v>
      </c>
      <c r="P323" t="n">
        <v>5.196408341404402</v>
      </c>
      <c r="Q323" t="n">
        <v>0.9889364737227568</v>
      </c>
      <c r="R323" t="n">
        <v>4.166270103038894</v>
      </c>
      <c r="S323" t="n">
        <v>5.129</v>
      </c>
      <c r="T323" t="n">
        <v>4.679</v>
      </c>
      <c r="U323" t="n">
        <v>0.4499999999999993</v>
      </c>
      <c r="V323" t="n">
        <v>689253000000</v>
      </c>
    </row>
    <row r="324">
      <c r="A324" t="inlineStr">
        <is>
          <t>Poland</t>
        </is>
      </c>
      <c r="B324" t="inlineStr">
        <is>
          <t>POL</t>
        </is>
      </c>
      <c r="C324" t="inlineStr">
        <is>
          <t>SPOL.L</t>
        </is>
      </c>
      <c r="D324" t="n">
        <v>2022</v>
      </c>
      <c r="E324" t="n">
        <v>-19.146042091298</v>
      </c>
      <c r="F324" t="n">
        <v>5.255</v>
      </c>
      <c r="G324" t="n">
        <v>16.506821</v>
      </c>
      <c r="H324" t="n">
        <v>0.940293</v>
      </c>
      <c r="I324" t="n">
        <v>28.85175065458927</v>
      </c>
      <c r="J324" t="inlineStr">
        <is>
          <t>Poland|SPOL.L|2022</t>
        </is>
      </c>
      <c r="K324" t="inlineStr">
        <is>
          <t>Poland|2022</t>
        </is>
      </c>
      <c r="L324" t="inlineStr">
        <is>
          <t>GBp</t>
        </is>
      </c>
      <c r="M324" t="n">
        <v>-19.146042091298</v>
      </c>
      <c r="N324" t="n">
        <v>-10.84104698150823</v>
      </c>
      <c r="O324" t="n">
        <v>-10.36772851390696</v>
      </c>
      <c r="P324" t="n">
        <v>-27.91145765458927</v>
      </c>
      <c r="Q324" t="n">
        <v>-13.3610437046137</v>
      </c>
      <c r="R324" t="n">
        <v>-16.79430890229966</v>
      </c>
      <c r="S324" t="n">
        <v>14.21</v>
      </c>
      <c r="T324" t="n">
        <v>7.993</v>
      </c>
      <c r="U324" t="n">
        <v>6.217000000000001</v>
      </c>
      <c r="V324" t="n">
        <v>695734000000</v>
      </c>
    </row>
    <row r="325">
      <c r="A325" t="inlineStr">
        <is>
          <t>Poland</t>
        </is>
      </c>
      <c r="B325" t="inlineStr">
        <is>
          <t>POL</t>
        </is>
      </c>
      <c r="C325" t="inlineStr">
        <is>
          <t>SPOL.L</t>
        </is>
      </c>
      <c r="D325" t="n">
        <v>2023</v>
      </c>
      <c r="E325" t="n">
        <v>40.03501307781727</v>
      </c>
      <c r="F325" t="n">
        <v>0.25</v>
      </c>
      <c r="G325" t="n">
        <v>10.139929</v>
      </c>
      <c r="H325" t="n">
        <v>16.849112</v>
      </c>
      <c r="I325" t="n">
        <v>-30.27591676069913</v>
      </c>
      <c r="J325" t="inlineStr">
        <is>
          <t>Poland|SPOL.L|2023</t>
        </is>
      </c>
      <c r="K325" t="inlineStr">
        <is>
          <t>Poland|2023</t>
        </is>
      </c>
      <c r="L325" t="inlineStr">
        <is>
          <t>GBp</t>
        </is>
      </c>
      <c r="M325" t="n">
        <v>40.03501307781727</v>
      </c>
      <c r="N325" t="n">
        <v>5.06303068571996</v>
      </c>
      <c r="O325" t="n">
        <v>5.030130998783355</v>
      </c>
      <c r="P325" t="n">
        <v>47.12502876069913</v>
      </c>
      <c r="Q325" t="n">
        <v>6.091507900116233</v>
      </c>
      <c r="R325" t="n">
        <v>38.67747916187167</v>
      </c>
      <c r="S325" t="n">
        <v>11.473</v>
      </c>
      <c r="T325" t="n">
        <v>4.128</v>
      </c>
      <c r="U325" t="n">
        <v>7.345000000000001</v>
      </c>
      <c r="V325" t="n">
        <v>812959000000</v>
      </c>
    </row>
    <row r="326">
      <c r="A326" t="inlineStr">
        <is>
          <t>Poland</t>
        </is>
      </c>
      <c r="B326" t="inlineStr">
        <is>
          <t>POL</t>
        </is>
      </c>
      <c r="C326" t="inlineStr">
        <is>
          <t>SPOL.L</t>
        </is>
      </c>
      <c r="D326" t="n">
        <v>2024</v>
      </c>
      <c r="E326" t="n">
        <v>-2.256652631798706</v>
      </c>
      <c r="F326" t="n">
        <v>2.923</v>
      </c>
      <c r="G326" t="n">
        <v>6.615399</v>
      </c>
      <c r="H326" t="n">
        <v>12.496817</v>
      </c>
      <c r="I326" t="n">
        <v>16.14245491372257</v>
      </c>
      <c r="J326" t="inlineStr">
        <is>
          <t>Poland|SPOL.L|2024</t>
        </is>
      </c>
      <c r="K326" t="inlineStr">
        <is>
          <t>Poland|2024</t>
        </is>
      </c>
      <c r="L326" t="inlineStr">
        <is>
          <t>GBp</t>
        </is>
      </c>
      <c r="M326" t="n">
        <v>-2.256652631798706</v>
      </c>
      <c r="N326" t="n">
        <v>-1.421053523664917</v>
      </c>
      <c r="O326" t="n">
        <v>-1.655539060617606</v>
      </c>
      <c r="P326" t="n">
        <v>-3.645637913722566</v>
      </c>
      <c r="Q326" t="n">
        <v>5.516481015833197</v>
      </c>
      <c r="R326" t="n">
        <v>-8.683116458537832</v>
      </c>
      <c r="S326" t="n">
        <v>3.723</v>
      </c>
      <c r="T326" t="n">
        <v>2.952</v>
      </c>
      <c r="U326" t="n">
        <v>0.7709999999999999</v>
      </c>
      <c r="V326" t="n">
        <v>914553000000</v>
      </c>
    </row>
    <row r="327">
      <c r="A327" t="inlineStr">
        <is>
          <t>Poland</t>
        </is>
      </c>
      <c r="B327" t="inlineStr">
        <is>
          <t>POL</t>
        </is>
      </c>
      <c r="C327" t="inlineStr">
        <is>
          <t>SPOL.L</t>
        </is>
      </c>
      <c r="D327" t="n">
        <v>2025</v>
      </c>
      <c r="E327" t="n">
        <v>60.01501619451324</v>
      </c>
      <c r="F327" t="n">
        <v>3.243</v>
      </c>
      <c r="G327" t="n">
        <v>6.963458</v>
      </c>
      <c r="H327" t="n">
        <v>13.675096</v>
      </c>
      <c r="I327" t="n">
        <v>-58.45614449861613</v>
      </c>
      <c r="J327" t="inlineStr">
        <is>
          <t>Poland|SPOL.L|2025</t>
        </is>
      </c>
      <c r="K327" t="inlineStr">
        <is>
          <t>Poland|2025</t>
        </is>
      </c>
      <c r="L327" t="inlineStr">
        <is>
          <t>GBp</t>
        </is>
      </c>
      <c r="M327" t="n">
        <v>60.01501619451324</v>
      </c>
      <c r="N327" t="n">
        <v>7.571929555270285</v>
      </c>
      <c r="O327" t="n">
        <v>7.623377354227179</v>
      </c>
      <c r="P327" t="n">
        <v>72.13124049861612</v>
      </c>
      <c r="Q327" t="n">
        <v>6.274701424363371</v>
      </c>
      <c r="R327" t="n">
        <v>61.96821839214803</v>
      </c>
      <c r="S327" t="n">
        <v>3.803</v>
      </c>
      <c r="T327" t="n">
        <v>2.715</v>
      </c>
      <c r="U327" t="n">
        <v>1.088</v>
      </c>
      <c r="V327" t="n">
        <v>1039619000000</v>
      </c>
    </row>
    <row r="328">
      <c r="A328" t="inlineStr">
        <is>
          <t>Poland</t>
        </is>
      </c>
      <c r="B328" t="inlineStr">
        <is>
          <t>POL</t>
        </is>
      </c>
      <c r="C328" t="inlineStr">
        <is>
          <t>SPOL.L</t>
        </is>
      </c>
      <c r="D328" t="n">
        <v>2026</v>
      </c>
      <c r="E328" t="n">
        <v>0.4561681872272905</v>
      </c>
      <c r="F328" t="n">
        <v>3.136</v>
      </c>
      <c r="G328" t="n">
        <v>6.397182</v>
      </c>
      <c r="H328" t="n">
        <v>6.766229</v>
      </c>
      <c r="I328" t="n">
        <v>7.957825365250724</v>
      </c>
      <c r="J328" t="inlineStr">
        <is>
          <t>Poland|SPOL.L|2026</t>
        </is>
      </c>
      <c r="K328" t="inlineStr">
        <is>
          <t>Poland|2026</t>
        </is>
      </c>
      <c r="L328" t="inlineStr">
        <is>
          <t>GBp</t>
        </is>
      </c>
      <c r="M328" t="n">
        <v>0.4561681872272905</v>
      </c>
      <c r="N328" t="n">
        <v>-1.640282107323621</v>
      </c>
      <c r="O328" t="inlineStr"/>
      <c r="P328" t="n">
        <v>-1.191596365250724</v>
      </c>
      <c r="Q328" t="n">
        <v>0.3468579952283335</v>
      </c>
      <c r="R328" t="n">
        <v>-1.533136553764558</v>
      </c>
      <c r="S328" t="n">
        <v>2.776</v>
      </c>
      <c r="T328" t="n">
        <v>2.435</v>
      </c>
      <c r="U328" t="n">
        <v>0.3409999999999997</v>
      </c>
      <c r="V328" t="n">
        <v>1109962000000</v>
      </c>
    </row>
    <row r="329">
      <c r="A329" t="inlineStr">
        <is>
          <t>Poland</t>
        </is>
      </c>
      <c r="B329" t="inlineStr">
        <is>
          <t>POL</t>
        </is>
      </c>
      <c r="C329" t="inlineStr">
        <is>
          <t>SPOL.L</t>
        </is>
      </c>
      <c r="D329" t="n">
        <v>2027</v>
      </c>
      <c r="E329" t="inlineStr"/>
      <c r="F329" t="n">
        <v>2.861</v>
      </c>
      <c r="G329" t="n">
        <v>5.679433</v>
      </c>
      <c r="H329" t="n">
        <v>5.793351</v>
      </c>
      <c r="I329" t="inlineStr"/>
      <c r="J329" t="inlineStr">
        <is>
          <t>Poland|SPOL.L|2027</t>
        </is>
      </c>
      <c r="K329" t="inlineStr">
        <is>
          <t>Poland|2027</t>
        </is>
      </c>
      <c r="L329" t="inlineStr">
        <is>
          <t>GBp</t>
        </is>
      </c>
      <c r="M329" t="inlineStr"/>
      <c r="N329" t="inlineStr"/>
      <c r="O329" t="inlineStr"/>
      <c r="P329" t="inlineStr"/>
      <c r="Q329" t="n">
        <v>0.1077960293723423</v>
      </c>
      <c r="R329" t="inlineStr"/>
      <c r="S329" t="n">
        <v>2.717</v>
      </c>
      <c r="T329" t="n">
        <v>2.185</v>
      </c>
      <c r="U329" t="n">
        <v>0.532</v>
      </c>
      <c r="V329" t="n">
        <v>1174266000000</v>
      </c>
    </row>
    <row r="330">
      <c r="A330" t="inlineStr">
        <is>
          <t>Poland</t>
        </is>
      </c>
      <c r="B330" t="inlineStr">
        <is>
          <t>POL</t>
        </is>
      </c>
      <c r="C330" t="inlineStr">
        <is>
          <t>SPOL.L</t>
        </is>
      </c>
      <c r="D330" t="n">
        <v>2028</v>
      </c>
      <c r="E330" t="inlineStr"/>
      <c r="F330" t="n">
        <v>2.802</v>
      </c>
      <c r="G330" t="n">
        <v>5.582508</v>
      </c>
      <c r="H330" t="n">
        <v>5.898323</v>
      </c>
      <c r="I330" t="inlineStr"/>
      <c r="J330" t="inlineStr">
        <is>
          <t>Poland|SPOL.L|2028</t>
        </is>
      </c>
      <c r="K330" t="inlineStr">
        <is>
          <t>Poland|2028</t>
        </is>
      </c>
      <c r="L330" t="inlineStr">
        <is>
          <t>GBp</t>
        </is>
      </c>
      <c r="M330" t="inlineStr"/>
      <c r="N330" t="inlineStr"/>
      <c r="O330" t="inlineStr"/>
      <c r="P330" t="inlineStr"/>
      <c r="Q330" t="n">
        <v>0.2991163618569104</v>
      </c>
      <c r="R330" t="inlineStr"/>
      <c r="S330" t="n">
        <v>2.6</v>
      </c>
      <c r="T330" t="n">
        <v>2.206</v>
      </c>
      <c r="U330" t="n">
        <v>0.3940000000000001</v>
      </c>
      <c r="V330" t="n">
        <v>1243528000000</v>
      </c>
    </row>
    <row r="331">
      <c r="A331" t="inlineStr">
        <is>
          <t>Poland</t>
        </is>
      </c>
      <c r="B331" t="inlineStr">
        <is>
          <t>POL</t>
        </is>
      </c>
      <c r="C331" t="inlineStr">
        <is>
          <t>SPOL.L</t>
        </is>
      </c>
      <c r="D331" t="n">
        <v>2029</v>
      </c>
      <c r="E331" t="inlineStr"/>
      <c r="F331" t="n">
        <v>2.666</v>
      </c>
      <c r="G331" t="n">
        <v>5.197545</v>
      </c>
      <c r="H331" t="n">
        <v>5.622793</v>
      </c>
      <c r="I331" t="inlineStr"/>
      <c r="J331" t="inlineStr">
        <is>
          <t>Poland|SPOL.L|2029</t>
        </is>
      </c>
      <c r="K331" t="inlineStr">
        <is>
          <t>Poland|2029</t>
        </is>
      </c>
      <c r="L331" t="inlineStr">
        <is>
          <t>GBp</t>
        </is>
      </c>
      <c r="M331" t="inlineStr"/>
      <c r="N331" t="inlineStr"/>
      <c r="O331" t="inlineStr"/>
      <c r="P331" t="inlineStr"/>
      <c r="Q331" t="n">
        <v>0.4042375578623636</v>
      </c>
      <c r="R331" t="inlineStr"/>
      <c r="S331" t="n">
        <v>2.5</v>
      </c>
      <c r="T331" t="n">
        <v>2.203</v>
      </c>
      <c r="U331" t="n">
        <v>0.2970000000000002</v>
      </c>
      <c r="V331" t="n">
        <v>1313449000000</v>
      </c>
    </row>
    <row r="332">
      <c r="A332" t="inlineStr">
        <is>
          <t>Saudi Arabia</t>
        </is>
      </c>
      <c r="B332" t="inlineStr">
        <is>
          <t>SAU</t>
        </is>
      </c>
      <c r="C332" t="inlineStr">
        <is>
          <t>IKSA.L</t>
        </is>
      </c>
      <c r="D332" t="n">
        <v>2015</v>
      </c>
      <c r="E332" t="inlineStr"/>
      <c r="F332" t="n">
        <v>4.655</v>
      </c>
      <c r="G332" t="inlineStr"/>
      <c r="H332" t="inlineStr"/>
      <c r="I332" t="inlineStr"/>
      <c r="J332" t="inlineStr">
        <is>
          <t>Saudi Arabia|IKSA.L|2015</t>
        </is>
      </c>
      <c r="K332" t="inlineStr">
        <is>
          <t>Saudi Arabia|2015</t>
        </is>
      </c>
      <c r="L332" t="inlineStr">
        <is>
          <t>USD</t>
        </is>
      </c>
      <c r="M332" t="inlineStr"/>
      <c r="N332" t="n">
        <v>0</v>
      </c>
      <c r="O332" t="n">
        <v>0</v>
      </c>
      <c r="P332" t="inlineStr"/>
      <c r="Q332" t="inlineStr"/>
      <c r="R332" t="inlineStr"/>
      <c r="S332" t="n">
        <v>1.206</v>
      </c>
      <c r="T332" t="n">
        <v>0.121</v>
      </c>
      <c r="U332" t="n">
        <v>1.085</v>
      </c>
      <c r="V332" t="n">
        <v>693415000000</v>
      </c>
    </row>
    <row r="333">
      <c r="A333" t="inlineStr">
        <is>
          <t>Saudi Arabia</t>
        </is>
      </c>
      <c r="B333" t="inlineStr">
        <is>
          <t>SAU</t>
        </is>
      </c>
      <c r="C333" t="inlineStr">
        <is>
          <t>IKSA.L</t>
        </is>
      </c>
      <c r="D333" t="n">
        <v>2016</v>
      </c>
      <c r="E333" t="inlineStr"/>
      <c r="F333" t="n">
        <v>1.704</v>
      </c>
      <c r="G333" t="n">
        <v>-0.596391</v>
      </c>
      <c r="H333" t="n">
        <v>-0.596468</v>
      </c>
      <c r="I333" t="inlineStr"/>
      <c r="J333" t="inlineStr">
        <is>
          <t>Saudi Arabia|IKSA.L|2016</t>
        </is>
      </c>
      <c r="K333" t="inlineStr">
        <is>
          <t>Saudi Arabia|2016</t>
        </is>
      </c>
      <c r="L333" t="inlineStr">
        <is>
          <t>USD</t>
        </is>
      </c>
      <c r="M333" t="inlineStr"/>
      <c r="N333" t="n">
        <v>0</v>
      </c>
      <c r="O333" t="n">
        <v>0</v>
      </c>
      <c r="P333" t="inlineStr"/>
      <c r="Q333" t="n">
        <v>-7.731779541053641e-05</v>
      </c>
      <c r="R333" t="inlineStr"/>
      <c r="S333" t="n">
        <v>2.069</v>
      </c>
      <c r="T333" t="n">
        <v>1.267</v>
      </c>
      <c r="U333" t="n">
        <v>0.802</v>
      </c>
      <c r="V333" t="n">
        <v>689279000000</v>
      </c>
    </row>
    <row r="334">
      <c r="A334" t="inlineStr">
        <is>
          <t>Saudi Arabia</t>
        </is>
      </c>
      <c r="B334" t="inlineStr">
        <is>
          <t>SAU</t>
        </is>
      </c>
      <c r="C334" t="inlineStr">
        <is>
          <t>IKSA.L</t>
        </is>
      </c>
      <c r="D334" t="n">
        <v>2017</v>
      </c>
      <c r="E334" t="inlineStr"/>
      <c r="F334" t="n">
        <v>1.182</v>
      </c>
      <c r="G334" t="n">
        <v>7.542137</v>
      </c>
      <c r="H334" t="n">
        <v>7.542229</v>
      </c>
      <c r="I334" t="inlineStr"/>
      <c r="J334" t="inlineStr">
        <is>
          <t>Saudi Arabia|IKSA.L|2017</t>
        </is>
      </c>
      <c r="K334" t="inlineStr">
        <is>
          <t>Saudi Arabia|2017</t>
        </is>
      </c>
      <c r="L334" t="inlineStr">
        <is>
          <t>USD</t>
        </is>
      </c>
      <c r="M334" t="inlineStr"/>
      <c r="N334" t="n">
        <v>0</v>
      </c>
      <c r="O334" t="n">
        <v>0</v>
      </c>
      <c r="P334" t="inlineStr"/>
      <c r="Q334" t="n">
        <v>8.569085625520501e-05</v>
      </c>
      <c r="R334" t="inlineStr"/>
      <c r="S334" t="n">
        <v>-0.838</v>
      </c>
      <c r="T334" t="n">
        <v>2.131</v>
      </c>
      <c r="U334" t="n">
        <v>-2.969</v>
      </c>
      <c r="V334" t="n">
        <v>741266000000</v>
      </c>
    </row>
    <row r="335">
      <c r="A335" t="inlineStr">
        <is>
          <t>Saudi Arabia</t>
        </is>
      </c>
      <c r="B335" t="inlineStr">
        <is>
          <t>SAU</t>
        </is>
      </c>
      <c r="C335" t="inlineStr">
        <is>
          <t>IKSA.L</t>
        </is>
      </c>
      <c r="D335" t="n">
        <v>2018</v>
      </c>
      <c r="E335" t="inlineStr"/>
      <c r="F335" t="n">
        <v>3.227</v>
      </c>
      <c r="G335" t="n">
        <v>19.601316</v>
      </c>
      <c r="H335" t="n">
        <v>19.601331</v>
      </c>
      <c r="I335" t="inlineStr"/>
      <c r="J335" t="inlineStr">
        <is>
          <t>Saudi Arabia|IKSA.L|2018</t>
        </is>
      </c>
      <c r="K335" t="inlineStr">
        <is>
          <t>Saudi Arabia|2018</t>
        </is>
      </c>
      <c r="L335" t="inlineStr">
        <is>
          <t>USD</t>
        </is>
      </c>
      <c r="M335" t="inlineStr"/>
      <c r="N335" t="n">
        <v>0</v>
      </c>
      <c r="O335" t="n">
        <v>0</v>
      </c>
      <c r="P335" t="inlineStr"/>
      <c r="Q335" t="n">
        <v>1.209142914682104e-05</v>
      </c>
      <c r="R335" t="inlineStr"/>
      <c r="S335" t="n">
        <v>2.458</v>
      </c>
      <c r="T335" t="n">
        <v>2.439</v>
      </c>
      <c r="U335" t="n">
        <v>0.01900000000000013</v>
      </c>
      <c r="V335" t="n">
        <v>886564000000</v>
      </c>
    </row>
    <row r="336">
      <c r="A336" t="inlineStr">
        <is>
          <t>Saudi Arabia</t>
        </is>
      </c>
      <c r="B336" t="inlineStr">
        <is>
          <t>SAU</t>
        </is>
      </c>
      <c r="C336" t="inlineStr">
        <is>
          <t>IKSA.L</t>
        </is>
      </c>
      <c r="D336" t="n">
        <v>2019</v>
      </c>
      <c r="E336" t="n">
        <v>-10.50999641418455</v>
      </c>
      <c r="F336" t="n">
        <v>1.652</v>
      </c>
      <c r="G336" t="n">
        <v>0.262136</v>
      </c>
      <c r="H336" t="n">
        <v>0.262136</v>
      </c>
      <c r="I336" t="n">
        <v>10.77213241418455</v>
      </c>
      <c r="J336" t="inlineStr">
        <is>
          <t>Saudi Arabia|IKSA.L|2019</t>
        </is>
      </c>
      <c r="K336" t="inlineStr">
        <is>
          <t>Saudi Arabia|2019</t>
        </is>
      </c>
      <c r="L336" t="inlineStr">
        <is>
          <t>USD</t>
        </is>
      </c>
      <c r="M336" t="n">
        <v>-10.50999641418455</v>
      </c>
      <c r="N336" t="n">
        <v>0</v>
      </c>
      <c r="O336" t="n">
        <v>0</v>
      </c>
      <c r="P336" t="n">
        <v>-10.50999641418455</v>
      </c>
      <c r="Q336" t="n">
        <v>-7.864078277464159e-08</v>
      </c>
      <c r="R336" t="n">
        <v>-10.50999634380891</v>
      </c>
      <c r="S336" t="n">
        <v>-2.093</v>
      </c>
      <c r="T336" t="n">
        <v>1.813</v>
      </c>
      <c r="U336" t="n">
        <v>-3.906</v>
      </c>
      <c r="V336" t="n">
        <v>888888000000</v>
      </c>
    </row>
    <row r="337">
      <c r="A337" t="inlineStr">
        <is>
          <t>Saudi Arabia</t>
        </is>
      </c>
      <c r="B337" t="inlineStr">
        <is>
          <t>SAU</t>
        </is>
      </c>
      <c r="C337" t="inlineStr">
        <is>
          <t>IKSA.L</t>
        </is>
      </c>
      <c r="D337" t="n">
        <v>2020</v>
      </c>
      <c r="E337" t="n">
        <v>0.06664281421631113</v>
      </c>
      <c r="F337" t="n">
        <v>-3.805</v>
      </c>
      <c r="G337" t="n">
        <v>-13.678308</v>
      </c>
      <c r="H337" t="n">
        <v>-13.678326</v>
      </c>
      <c r="I337" t="n">
        <v>-13.74496881421631</v>
      </c>
      <c r="J337" t="inlineStr">
        <is>
          <t>Saudi Arabia|IKSA.L|2020</t>
        </is>
      </c>
      <c r="K337" t="inlineStr">
        <is>
          <t>Saudi Arabia|2020</t>
        </is>
      </c>
      <c r="L337" t="inlineStr">
        <is>
          <t>USD</t>
        </is>
      </c>
      <c r="M337" t="n">
        <v>0.06664281421631113</v>
      </c>
      <c r="N337" t="n">
        <v>0</v>
      </c>
      <c r="O337" t="n">
        <v>0</v>
      </c>
      <c r="P337" t="n">
        <v>0.06664281421631113</v>
      </c>
      <c r="Q337" t="n">
        <v>-2.131159108076375e-05</v>
      </c>
      <c r="R337" t="n">
        <v>0.06666414001457177</v>
      </c>
      <c r="S337" t="n">
        <v>3.445</v>
      </c>
      <c r="T337" t="n">
        <v>1.253</v>
      </c>
      <c r="U337" t="n">
        <v>2.192</v>
      </c>
      <c r="V337" t="n">
        <v>767303000000</v>
      </c>
    </row>
    <row r="338">
      <c r="A338" t="inlineStr">
        <is>
          <t>Saudi Arabia</t>
        </is>
      </c>
      <c r="B338" t="inlineStr">
        <is>
          <t>SAU</t>
        </is>
      </c>
      <c r="C338" t="inlineStr">
        <is>
          <t>IKSA.L</t>
        </is>
      </c>
      <c r="D338" t="n">
        <v>2021</v>
      </c>
      <c r="E338" t="n">
        <v>37.43165715563745</v>
      </c>
      <c r="F338" t="n">
        <v>6.52</v>
      </c>
      <c r="G338" t="n">
        <v>28.066898</v>
      </c>
      <c r="H338" t="n">
        <v>28.066878</v>
      </c>
      <c r="I338" t="n">
        <v>-9.364779155637454</v>
      </c>
      <c r="J338" t="inlineStr">
        <is>
          <t>Saudi Arabia|IKSA.L|2021</t>
        </is>
      </c>
      <c r="K338" t="inlineStr">
        <is>
          <t>Saudi Arabia|2021</t>
        </is>
      </c>
      <c r="L338" t="inlineStr">
        <is>
          <t>USD</t>
        </is>
      </c>
      <c r="M338" t="n">
        <v>37.43165715563745</v>
      </c>
      <c r="N338" t="n">
        <v>0</v>
      </c>
      <c r="O338" t="n">
        <v>0</v>
      </c>
      <c r="P338" t="n">
        <v>37.43165715563745</v>
      </c>
      <c r="Q338" t="n">
        <v>-1.547273935642579e-05</v>
      </c>
      <c r="R338" t="n">
        <v>37.43167842008286</v>
      </c>
      <c r="S338" t="n">
        <v>3.063</v>
      </c>
      <c r="T338" t="n">
        <v>4.679</v>
      </c>
      <c r="U338" t="n">
        <v>-1.616</v>
      </c>
      <c r="V338" t="n">
        <v>982661000000</v>
      </c>
    </row>
    <row r="339">
      <c r="A339" t="inlineStr">
        <is>
          <t>Saudi Arabia</t>
        </is>
      </c>
      <c r="B339" t="inlineStr">
        <is>
          <t>SAU</t>
        </is>
      </c>
      <c r="C339" t="inlineStr">
        <is>
          <t>IKSA.L</t>
        </is>
      </c>
      <c r="D339" t="n">
        <v>2022</v>
      </c>
      <c r="E339" t="n">
        <v>-6.324523575817764</v>
      </c>
      <c r="F339" t="n">
        <v>12.001</v>
      </c>
      <c r="G339" t="n">
        <v>26.09388</v>
      </c>
      <c r="H339" t="n">
        <v>26.093841</v>
      </c>
      <c r="I339" t="n">
        <v>32.41836457581776</v>
      </c>
      <c r="J339" t="inlineStr">
        <is>
          <t>Saudi Arabia|IKSA.L|2022</t>
        </is>
      </c>
      <c r="K339" t="inlineStr">
        <is>
          <t>Saudi Arabia|2022</t>
        </is>
      </c>
      <c r="L339" t="inlineStr">
        <is>
          <t>USD</t>
        </is>
      </c>
      <c r="M339" t="n">
        <v>-6.324523575817764</v>
      </c>
      <c r="N339" t="n">
        <v>0</v>
      </c>
      <c r="O339" t="n">
        <v>0</v>
      </c>
      <c r="P339" t="n">
        <v>-6.324523575817764</v>
      </c>
      <c r="Q339" t="n">
        <v>-3.087819233638101e-05</v>
      </c>
      <c r="R339" t="n">
        <v>-6.324494650515056</v>
      </c>
      <c r="S339" t="n">
        <v>2.474</v>
      </c>
      <c r="T339" t="n">
        <v>7.993</v>
      </c>
      <c r="U339" t="n">
        <v>-5.519</v>
      </c>
      <c r="V339" t="n">
        <v>1239075000000</v>
      </c>
    </row>
    <row r="340">
      <c r="A340" t="inlineStr">
        <is>
          <t>Saudi Arabia</t>
        </is>
      </c>
      <c r="B340" t="inlineStr">
        <is>
          <t>SAU</t>
        </is>
      </c>
      <c r="C340" t="inlineStr">
        <is>
          <t>IKSA.L</t>
        </is>
      </c>
      <c r="D340" t="n">
        <v>2023</v>
      </c>
      <c r="E340" t="n">
        <v>8.379461836297741</v>
      </c>
      <c r="F340" t="n">
        <v>0.543</v>
      </c>
      <c r="G340" t="n">
        <v>-1.653728</v>
      </c>
      <c r="H340" t="n">
        <v>-1.653653</v>
      </c>
      <c r="I340" t="n">
        <v>-10.03311483629774</v>
      </c>
      <c r="J340" t="inlineStr">
        <is>
          <t>Saudi Arabia|IKSA.L|2023</t>
        </is>
      </c>
      <c r="K340" t="inlineStr">
        <is>
          <t>Saudi Arabia|2023</t>
        </is>
      </c>
      <c r="L340" t="inlineStr">
        <is>
          <t>USD</t>
        </is>
      </c>
      <c r="M340" t="n">
        <v>8.379461836297741</v>
      </c>
      <c r="N340" t="n">
        <v>0</v>
      </c>
      <c r="O340" t="n">
        <v>0</v>
      </c>
      <c r="P340" t="n">
        <v>8.379461836297741</v>
      </c>
      <c r="Q340" t="n">
        <v>7.595831563733668e-05</v>
      </c>
      <c r="R340" t="n">
        <v>8.379379513146556</v>
      </c>
      <c r="S340" t="n">
        <v>2.327</v>
      </c>
      <c r="T340" t="n">
        <v>4.128</v>
      </c>
      <c r="U340" t="n">
        <v>-1.801</v>
      </c>
      <c r="V340" t="n">
        <v>1218585000000</v>
      </c>
    </row>
    <row r="341">
      <c r="A341" t="inlineStr">
        <is>
          <t>Saudi Arabia</t>
        </is>
      </c>
      <c r="B341" t="inlineStr">
        <is>
          <t>SAU</t>
        </is>
      </c>
      <c r="C341" t="inlineStr">
        <is>
          <t>IKSA.L</t>
        </is>
      </c>
      <c r="D341" t="n">
        <v>2024</v>
      </c>
      <c r="E341" t="n">
        <v>-1.739530777835496</v>
      </c>
      <c r="F341" t="n">
        <v>1.997</v>
      </c>
      <c r="G341" t="n">
        <v>1.741387</v>
      </c>
      <c r="H341" t="n">
        <v>1.741364</v>
      </c>
      <c r="I341" t="n">
        <v>3.480894777835496</v>
      </c>
      <c r="J341" t="inlineStr">
        <is>
          <t>Saudi Arabia|IKSA.L|2024</t>
        </is>
      </c>
      <c r="K341" t="inlineStr">
        <is>
          <t>Saudi Arabia|2024</t>
        </is>
      </c>
      <c r="L341" t="inlineStr">
        <is>
          <t>USD</t>
        </is>
      </c>
      <c r="M341" t="n">
        <v>-1.739530777835496</v>
      </c>
      <c r="N341" t="n">
        <v>0</v>
      </c>
      <c r="O341" t="n">
        <v>0</v>
      </c>
      <c r="P341" t="n">
        <v>-1.739530777835496</v>
      </c>
      <c r="Q341" t="n">
        <v>-2.21642174502712e-05</v>
      </c>
      <c r="R341" t="n">
        <v>-1.739508999166606</v>
      </c>
      <c r="S341" t="n">
        <v>1.688</v>
      </c>
      <c r="T341" t="n">
        <v>2.952</v>
      </c>
      <c r="U341" t="n">
        <v>-1.264</v>
      </c>
      <c r="V341" t="n">
        <v>1239805000000</v>
      </c>
    </row>
    <row r="342">
      <c r="A342" t="inlineStr">
        <is>
          <t>Saudi Arabia</t>
        </is>
      </c>
      <c r="B342" t="inlineStr">
        <is>
          <t>SAU</t>
        </is>
      </c>
      <c r="C342" t="inlineStr">
        <is>
          <t>IKSA.L</t>
        </is>
      </c>
      <c r="D342" t="n">
        <v>2025</v>
      </c>
      <c r="E342" t="n">
        <v>-6.082555514391419</v>
      </c>
      <c r="F342" t="n">
        <v>4.021</v>
      </c>
      <c r="G342" t="n">
        <v>2.317311</v>
      </c>
      <c r="H342" t="n">
        <v>2.3173</v>
      </c>
      <c r="I342" t="n">
        <v>8.399855514391419</v>
      </c>
      <c r="J342" t="inlineStr">
        <is>
          <t>Saudi Arabia|IKSA.L|2025</t>
        </is>
      </c>
      <c r="K342" t="inlineStr">
        <is>
          <t>Saudi Arabia|2025</t>
        </is>
      </c>
      <c r="L342" t="inlineStr">
        <is>
          <t>USD</t>
        </is>
      </c>
      <c r="M342" t="n">
        <v>-6.082555514391419</v>
      </c>
      <c r="N342" t="n">
        <v>0</v>
      </c>
      <c r="O342" t="n">
        <v>0</v>
      </c>
      <c r="P342" t="n">
        <v>-6.082555514391419</v>
      </c>
      <c r="Q342" t="n">
        <v>-1.087616346984177e-05</v>
      </c>
      <c r="R342" t="n">
        <v>-6.082545299775521</v>
      </c>
      <c r="S342" t="n">
        <v>2.1</v>
      </c>
      <c r="T342" t="n">
        <v>2.715</v>
      </c>
      <c r="U342" t="n">
        <v>-0.6149999999999998</v>
      </c>
      <c r="V342" t="n">
        <v>1268535000000</v>
      </c>
    </row>
    <row r="343">
      <c r="A343" t="inlineStr">
        <is>
          <t>Saudi Arabia</t>
        </is>
      </c>
      <c r="B343" t="inlineStr">
        <is>
          <t>SAU</t>
        </is>
      </c>
      <c r="C343" t="inlineStr">
        <is>
          <t>IKSA.L</t>
        </is>
      </c>
      <c r="D343" t="n">
        <v>2026</v>
      </c>
      <c r="E343" t="n">
        <v>5.674109691003215</v>
      </c>
      <c r="F343" t="n">
        <v>3.978</v>
      </c>
      <c r="G343" t="n">
        <v>3.761463</v>
      </c>
      <c r="H343" t="n">
        <v>3.761426</v>
      </c>
      <c r="I343" t="n">
        <v>-1.912683691003215</v>
      </c>
      <c r="J343" t="inlineStr">
        <is>
          <t>Saudi Arabia|IKSA.L|2026</t>
        </is>
      </c>
      <c r="K343" t="inlineStr">
        <is>
          <t>Saudi Arabia|2026</t>
        </is>
      </c>
      <c r="L343" t="inlineStr">
        <is>
          <t>USD</t>
        </is>
      </c>
      <c r="M343" t="n">
        <v>5.674109691003215</v>
      </c>
      <c r="N343" t="n">
        <v>0</v>
      </c>
      <c r="O343" t="n">
        <v>0</v>
      </c>
      <c r="P343" t="n">
        <v>5.674109691003215</v>
      </c>
      <c r="Q343" t="n">
        <v>-3.56447590665887e-05</v>
      </c>
      <c r="R343" t="n">
        <v>5.674147358298431</v>
      </c>
      <c r="S343" t="n">
        <v>2</v>
      </c>
      <c r="T343" t="n">
        <v>2.435</v>
      </c>
      <c r="U343" t="n">
        <v>-0.4350000000000001</v>
      </c>
      <c r="V343" t="n">
        <v>1316250000000</v>
      </c>
    </row>
    <row r="344">
      <c r="A344" t="inlineStr">
        <is>
          <t>Saudi Arabia</t>
        </is>
      </c>
      <c r="B344" t="inlineStr">
        <is>
          <t>SAU</t>
        </is>
      </c>
      <c r="C344" t="inlineStr">
        <is>
          <t>IKSA.L</t>
        </is>
      </c>
      <c r="D344" t="n">
        <v>2027</v>
      </c>
      <c r="E344" t="inlineStr"/>
      <c r="F344" t="n">
        <v>3.25</v>
      </c>
      <c r="G344" t="n">
        <v>4.755043</v>
      </c>
      <c r="H344" t="n">
        <v>4.7551</v>
      </c>
      <c r="I344" t="inlineStr"/>
      <c r="J344" t="inlineStr">
        <is>
          <t>Saudi Arabia|IKSA.L|2027</t>
        </is>
      </c>
      <c r="K344" t="inlineStr">
        <is>
          <t>Saudi Arabia|2027</t>
        </is>
      </c>
      <c r="L344" t="inlineStr">
        <is>
          <t>USD</t>
        </is>
      </c>
      <c r="M344" t="inlineStr"/>
      <c r="N344" t="inlineStr"/>
      <c r="O344" t="inlineStr"/>
      <c r="P344" t="inlineStr"/>
      <c r="Q344" t="n">
        <v>5.456430476336038e-05</v>
      </c>
      <c r="R344" t="inlineStr"/>
      <c r="S344" t="n">
        <v>2</v>
      </c>
      <c r="T344" t="n">
        <v>2.185</v>
      </c>
      <c r="U344" t="n">
        <v>-0.1850000000000001</v>
      </c>
      <c r="V344" t="n">
        <v>1378839000000</v>
      </c>
    </row>
    <row r="345">
      <c r="A345" t="inlineStr">
        <is>
          <t>Saudi Arabia</t>
        </is>
      </c>
      <c r="B345" t="inlineStr">
        <is>
          <t>SAU</t>
        </is>
      </c>
      <c r="C345" t="inlineStr">
        <is>
          <t>IKSA.L</t>
        </is>
      </c>
      <c r="D345" t="n">
        <v>2028</v>
      </c>
      <c r="E345" t="inlineStr"/>
      <c r="F345" t="n">
        <v>3.334</v>
      </c>
      <c r="G345" t="n">
        <v>5.052078</v>
      </c>
      <c r="H345" t="n">
        <v>5.052076</v>
      </c>
      <c r="I345" t="inlineStr"/>
      <c r="J345" t="inlineStr">
        <is>
          <t>Saudi Arabia|IKSA.L|2028</t>
        </is>
      </c>
      <c r="K345" t="inlineStr">
        <is>
          <t>Saudi Arabia|2028</t>
        </is>
      </c>
      <c r="L345" t="inlineStr">
        <is>
          <t>USD</t>
        </is>
      </c>
      <c r="M345" t="inlineStr"/>
      <c r="N345" t="inlineStr"/>
      <c r="O345" t="inlineStr"/>
      <c r="P345" t="inlineStr"/>
      <c r="Q345" t="n">
        <v>-1.162600637982791e-06</v>
      </c>
      <c r="R345" t="inlineStr"/>
      <c r="S345" t="n">
        <v>2</v>
      </c>
      <c r="T345" t="n">
        <v>2.206</v>
      </c>
      <c r="U345" t="n">
        <v>-0.206</v>
      </c>
      <c r="V345" t="n">
        <v>1448499000000</v>
      </c>
    </row>
    <row r="346">
      <c r="A346" t="inlineStr">
        <is>
          <t>Saudi Arabia</t>
        </is>
      </c>
      <c r="B346" t="inlineStr">
        <is>
          <t>SAU</t>
        </is>
      </c>
      <c r="C346" t="inlineStr">
        <is>
          <t>IKSA.L</t>
        </is>
      </c>
      <c r="D346" t="n">
        <v>2029</v>
      </c>
      <c r="E346" t="inlineStr"/>
      <c r="F346" t="n">
        <v>3.3</v>
      </c>
      <c r="G346" t="n">
        <v>5.082982</v>
      </c>
      <c r="H346" t="n">
        <v>5.082986</v>
      </c>
      <c r="I346" t="inlineStr"/>
      <c r="J346" t="inlineStr">
        <is>
          <t>Saudi Arabia|IKSA.L|2029</t>
        </is>
      </c>
      <c r="K346" t="inlineStr">
        <is>
          <t>Saudi Arabia|2029</t>
        </is>
      </c>
      <c r="L346" t="inlineStr">
        <is>
          <t>USD</t>
        </is>
      </c>
      <c r="M346" t="inlineStr"/>
      <c r="N346" t="inlineStr"/>
      <c r="O346" t="inlineStr"/>
      <c r="P346" t="inlineStr"/>
      <c r="Q346" t="n">
        <v>3.266706793958463e-06</v>
      </c>
      <c r="R346" t="inlineStr"/>
      <c r="S346" t="n">
        <v>2</v>
      </c>
      <c r="T346" t="n">
        <v>2.203</v>
      </c>
      <c r="U346" t="n">
        <v>-0.2029999999999998</v>
      </c>
      <c r="V346" t="n">
        <v>1522126000000</v>
      </c>
    </row>
    <row r="347">
      <c r="A347" t="inlineStr">
        <is>
          <t>Singapore</t>
        </is>
      </c>
      <c r="B347" t="inlineStr">
        <is>
          <t>SGP</t>
        </is>
      </c>
      <c r="C347" t="inlineStr">
        <is>
          <t>EWS</t>
        </is>
      </c>
      <c r="D347" t="n">
        <v>2015</v>
      </c>
      <c r="E347" t="n">
        <v>-17.62323341405467</v>
      </c>
      <c r="F347" t="n">
        <v>2.977</v>
      </c>
      <c r="G347" t="inlineStr"/>
      <c r="H347" t="inlineStr"/>
      <c r="I347" t="inlineStr"/>
      <c r="J347" t="inlineStr">
        <is>
          <t>Singapore|EWS|2015</t>
        </is>
      </c>
      <c r="K347" t="inlineStr">
        <is>
          <t>Singapore|2015</t>
        </is>
      </c>
      <c r="L347" t="inlineStr">
        <is>
          <t>USD</t>
        </is>
      </c>
      <c r="M347" t="n">
        <v>-17.62323341405467</v>
      </c>
      <c r="N347" t="n">
        <v>0</v>
      </c>
      <c r="O347" t="n">
        <v>0</v>
      </c>
      <c r="P347" t="n">
        <v>-17.62323341405467</v>
      </c>
      <c r="Q347" t="inlineStr"/>
      <c r="R347" t="inlineStr"/>
      <c r="S347" t="n">
        <v>-0.522</v>
      </c>
      <c r="T347" t="n">
        <v>0.121</v>
      </c>
      <c r="U347" t="n">
        <v>-0.643</v>
      </c>
      <c r="V347" t="n">
        <v>307999000000</v>
      </c>
    </row>
    <row r="348">
      <c r="A348" t="inlineStr">
        <is>
          <t>Singapore</t>
        </is>
      </c>
      <c r="B348" t="inlineStr">
        <is>
          <t>SGP</t>
        </is>
      </c>
      <c r="C348" t="inlineStr">
        <is>
          <t>EWS</t>
        </is>
      </c>
      <c r="D348" t="n">
        <v>2016</v>
      </c>
      <c r="E348" t="n">
        <v>2.996312468177686</v>
      </c>
      <c r="F348" t="n">
        <v>3.748</v>
      </c>
      <c r="G348" t="n">
        <v>4.289115</v>
      </c>
      <c r="H348" t="n">
        <v>3.781506</v>
      </c>
      <c r="I348" t="n">
        <v>0.7851935318223133</v>
      </c>
      <c r="J348" t="inlineStr">
        <is>
          <t>Singapore|EWS|2016</t>
        </is>
      </c>
      <c r="K348" t="inlineStr">
        <is>
          <t>Singapore|2016</t>
        </is>
      </c>
      <c r="L348" t="inlineStr">
        <is>
          <t>USD</t>
        </is>
      </c>
      <c r="M348" t="n">
        <v>2.996312468177686</v>
      </c>
      <c r="N348" t="n">
        <v>0</v>
      </c>
      <c r="O348" t="n">
        <v>0</v>
      </c>
      <c r="P348" t="n">
        <v>2.996312468177686</v>
      </c>
      <c r="Q348" t="n">
        <v>-0.4867326638529845</v>
      </c>
      <c r="R348" t="n">
        <v>3.500081170348124</v>
      </c>
      <c r="S348" t="n">
        <v>-0.53</v>
      </c>
      <c r="T348" t="n">
        <v>1.267</v>
      </c>
      <c r="U348" t="n">
        <v>-1.797</v>
      </c>
      <c r="V348" t="n">
        <v>319646000000</v>
      </c>
    </row>
    <row r="349">
      <c r="A349" t="inlineStr">
        <is>
          <t>Singapore</t>
        </is>
      </c>
      <c r="B349" t="inlineStr">
        <is>
          <t>SGP</t>
        </is>
      </c>
      <c r="C349" t="inlineStr">
        <is>
          <t>EWS</t>
        </is>
      </c>
      <c r="D349" t="n">
        <v>2017</v>
      </c>
      <c r="E349" t="n">
        <v>33.44438949043147</v>
      </c>
      <c r="F349" t="n">
        <v>4.477</v>
      </c>
      <c r="G349" t="n">
        <v>7.468422</v>
      </c>
      <c r="H349" t="n">
        <v>7.516753</v>
      </c>
      <c r="I349" t="n">
        <v>-25.92763649043147</v>
      </c>
      <c r="J349" t="inlineStr">
        <is>
          <t>Singapore|EWS|2017</t>
        </is>
      </c>
      <c r="K349" t="inlineStr">
        <is>
          <t>Singapore|2017</t>
        </is>
      </c>
      <c r="L349" t="inlineStr">
        <is>
          <t>USD</t>
        </is>
      </c>
      <c r="M349" t="n">
        <v>33.44438949043147</v>
      </c>
      <c r="N349" t="n">
        <v>0</v>
      </c>
      <c r="O349" t="n">
        <v>0</v>
      </c>
      <c r="P349" t="n">
        <v>33.44438949043147</v>
      </c>
      <c r="Q349" t="n">
        <v>0.04497212238856463</v>
      </c>
      <c r="R349" t="n">
        <v>33.38440369315532</v>
      </c>
      <c r="S349" t="n">
        <v>0.577</v>
      </c>
      <c r="T349" t="n">
        <v>2.131</v>
      </c>
      <c r="U349" t="n">
        <v>-1.554</v>
      </c>
      <c r="V349" t="n">
        <v>343673000000</v>
      </c>
    </row>
    <row r="350">
      <c r="A350" t="inlineStr">
        <is>
          <t>Singapore</t>
        </is>
      </c>
      <c r="B350" t="inlineStr">
        <is>
          <t>SGP</t>
        </is>
      </c>
      <c r="C350" t="inlineStr">
        <is>
          <t>EWS</t>
        </is>
      </c>
      <c r="D350" t="n">
        <v>2018</v>
      </c>
      <c r="E350" t="n">
        <v>-13.05001906194749</v>
      </c>
      <c r="F350" t="n">
        <v>3.452</v>
      </c>
      <c r="G350" t="n">
        <v>7.18372</v>
      </c>
      <c r="H350" t="n">
        <v>9.73338</v>
      </c>
      <c r="I350" t="n">
        <v>22.78339906194749</v>
      </c>
      <c r="J350" t="inlineStr">
        <is>
          <t>Singapore|EWS|2018</t>
        </is>
      </c>
      <c r="K350" t="inlineStr">
        <is>
          <t>Singapore|2018</t>
        </is>
      </c>
      <c r="L350" t="inlineStr">
        <is>
          <t>USD</t>
        </is>
      </c>
      <c r="M350" t="n">
        <v>-13.05001906194749</v>
      </c>
      <c r="N350" t="n">
        <v>0</v>
      </c>
      <c r="O350" t="n">
        <v>0</v>
      </c>
      <c r="P350" t="n">
        <v>-13.05001906194749</v>
      </c>
      <c r="Q350" t="n">
        <v>2.378775940880362</v>
      </c>
      <c r="R350" t="n">
        <v>-15.07030618508016</v>
      </c>
      <c r="S350" t="n">
        <v>0.439</v>
      </c>
      <c r="T350" t="n">
        <v>2.439</v>
      </c>
      <c r="U350" t="n">
        <v>-2</v>
      </c>
      <c r="V350" t="n">
        <v>377124000000</v>
      </c>
    </row>
    <row r="351">
      <c r="A351" t="inlineStr">
        <is>
          <t>Singapore</t>
        </is>
      </c>
      <c r="B351" t="inlineStr">
        <is>
          <t>SGP</t>
        </is>
      </c>
      <c r="C351" t="inlineStr">
        <is>
          <t>EWS</t>
        </is>
      </c>
      <c r="D351" t="n">
        <v>2019</v>
      </c>
      <c r="E351" t="n">
        <v>14.53485751064039</v>
      </c>
      <c r="F351" t="n">
        <v>1.308</v>
      </c>
      <c r="G351" t="n">
        <v>0.877565</v>
      </c>
      <c r="H351" t="n">
        <v>-0.255089</v>
      </c>
      <c r="I351" t="n">
        <v>-14.78994651064039</v>
      </c>
      <c r="J351" t="inlineStr">
        <is>
          <t>Singapore|EWS|2019</t>
        </is>
      </c>
      <c r="K351" t="inlineStr">
        <is>
          <t>Singapore|2019</t>
        </is>
      </c>
      <c r="L351" t="inlineStr">
        <is>
          <t>USD</t>
        </is>
      </c>
      <c r="M351" t="n">
        <v>14.53485751064039</v>
      </c>
      <c r="N351" t="n">
        <v>0</v>
      </c>
      <c r="O351" t="n">
        <v>0</v>
      </c>
      <c r="P351" t="n">
        <v>14.53485751064039</v>
      </c>
      <c r="Q351" t="n">
        <v>-1.122800664696166</v>
      </c>
      <c r="R351" t="n">
        <v>15.8354588121369</v>
      </c>
      <c r="S351" t="n">
        <v>0.5679999999999999</v>
      </c>
      <c r="T351" t="n">
        <v>1.813</v>
      </c>
      <c r="U351" t="n">
        <v>-1.245</v>
      </c>
      <c r="V351" t="n">
        <v>376162000000</v>
      </c>
    </row>
    <row r="352">
      <c r="A352" t="inlineStr">
        <is>
          <t>Singapore</t>
        </is>
      </c>
      <c r="B352" t="inlineStr">
        <is>
          <t>SGP</t>
        </is>
      </c>
      <c r="C352" t="inlineStr">
        <is>
          <t>EWS</t>
        </is>
      </c>
      <c r="D352" t="n">
        <v>2020</v>
      </c>
      <c r="E352" t="n">
        <v>-9.635625016298043</v>
      </c>
      <c r="F352" t="n">
        <v>-3.815</v>
      </c>
      <c r="G352" t="n">
        <v>-6.116217</v>
      </c>
      <c r="H352" t="n">
        <v>-7.176695</v>
      </c>
      <c r="I352" t="n">
        <v>2.458930016298043</v>
      </c>
      <c r="J352" t="inlineStr">
        <is>
          <t>Singapore|EWS|2020</t>
        </is>
      </c>
      <c r="K352" t="inlineStr">
        <is>
          <t>Singapore|2020</t>
        </is>
      </c>
      <c r="L352" t="inlineStr">
        <is>
          <t>USD</t>
        </is>
      </c>
      <c r="M352" t="n">
        <v>-9.635625016298043</v>
      </c>
      <c r="N352" t="n">
        <v>0</v>
      </c>
      <c r="O352" t="n">
        <v>0</v>
      </c>
      <c r="P352" t="n">
        <v>-9.635625016298043</v>
      </c>
      <c r="Q352" t="n">
        <v>-1.129564895866886</v>
      </c>
      <c r="R352" t="n">
        <v>-8.603239291373942</v>
      </c>
      <c r="S352" t="n">
        <v>-0.172</v>
      </c>
      <c r="T352" t="n">
        <v>1.253</v>
      </c>
      <c r="U352" t="n">
        <v>-1.425</v>
      </c>
      <c r="V352" t="n">
        <v>349166000000</v>
      </c>
    </row>
    <row r="353">
      <c r="A353" t="inlineStr">
        <is>
          <t>Singapore</t>
        </is>
      </c>
      <c r="B353" t="inlineStr">
        <is>
          <t>SGP</t>
        </is>
      </c>
      <c r="C353" t="inlineStr">
        <is>
          <t>EWS</t>
        </is>
      </c>
      <c r="D353" t="n">
        <v>2021</v>
      </c>
      <c r="E353" t="n">
        <v>5.077687005866749</v>
      </c>
      <c r="F353" t="n">
        <v>9.757</v>
      </c>
      <c r="G353" t="n">
        <v>21.75237</v>
      </c>
      <c r="H353" t="n">
        <v>25.038234</v>
      </c>
      <c r="I353" t="n">
        <v>19.96054699413325</v>
      </c>
      <c r="J353" t="inlineStr">
        <is>
          <t>Singapore|EWS|2021</t>
        </is>
      </c>
      <c r="K353" t="inlineStr">
        <is>
          <t>Singapore|2021</t>
        </is>
      </c>
      <c r="L353" t="inlineStr">
        <is>
          <t>USD</t>
        </is>
      </c>
      <c r="M353" t="n">
        <v>5.077687005866749</v>
      </c>
      <c r="N353" t="n">
        <v>0</v>
      </c>
      <c r="O353" t="n">
        <v>0</v>
      </c>
      <c r="P353" t="n">
        <v>5.077687005866749</v>
      </c>
      <c r="Q353" t="n">
        <v>2.698809069060415</v>
      </c>
      <c r="R353" t="n">
        <v>2.316363703114255</v>
      </c>
      <c r="S353" t="n">
        <v>2.316</v>
      </c>
      <c r="T353" t="n">
        <v>4.679</v>
      </c>
      <c r="U353" t="n">
        <v>-2.363</v>
      </c>
      <c r="V353" t="n">
        <v>436591000000</v>
      </c>
    </row>
    <row r="354">
      <c r="A354" t="inlineStr">
        <is>
          <t>Singapore</t>
        </is>
      </c>
      <c r="B354" t="inlineStr">
        <is>
          <t>SGP</t>
        </is>
      </c>
      <c r="C354" t="inlineStr">
        <is>
          <t>EWS</t>
        </is>
      </c>
      <c r="D354" t="n">
        <v>2022</v>
      </c>
      <c r="E354" t="n">
        <v>-9.973527363983447</v>
      </c>
      <c r="F354" t="n">
        <v>4.108</v>
      </c>
      <c r="G354" t="n">
        <v>19.642385</v>
      </c>
      <c r="H354" t="n">
        <v>16.58921</v>
      </c>
      <c r="I354" t="n">
        <v>26.56273736398345</v>
      </c>
      <c r="J354" t="inlineStr">
        <is>
          <t>Singapore|EWS|2022</t>
        </is>
      </c>
      <c r="K354" t="inlineStr">
        <is>
          <t>Singapore|2022</t>
        </is>
      </c>
      <c r="L354" t="inlineStr">
        <is>
          <t>USD</t>
        </is>
      </c>
      <c r="M354" t="n">
        <v>-9.973527363983447</v>
      </c>
      <c r="N354" t="n">
        <v>0</v>
      </c>
      <c r="O354" t="n">
        <v>0</v>
      </c>
      <c r="P354" t="n">
        <v>-9.973527363983447</v>
      </c>
      <c r="Q354" t="n">
        <v>-2.551917327829734</v>
      </c>
      <c r="R354" t="n">
        <v>-7.615963118659918</v>
      </c>
      <c r="S354" t="n">
        <v>6.131</v>
      </c>
      <c r="T354" t="n">
        <v>7.993</v>
      </c>
      <c r="U354" t="n">
        <v>-1.862</v>
      </c>
      <c r="V354" t="n">
        <v>509018000000</v>
      </c>
    </row>
    <row r="355">
      <c r="A355" t="inlineStr">
        <is>
          <t>Singapore</t>
        </is>
      </c>
      <c r="B355" t="inlineStr">
        <is>
          <t>SGP</t>
        </is>
      </c>
      <c r="C355" t="inlineStr">
        <is>
          <t>EWS</t>
        </is>
      </c>
      <c r="D355" t="n">
        <v>2023</v>
      </c>
      <c r="E355" t="n">
        <v>6.092725466647475</v>
      </c>
      <c r="F355" t="n">
        <v>1.821</v>
      </c>
      <c r="G355" t="n">
        <v>-3.288561</v>
      </c>
      <c r="H355" t="n">
        <v>-0.702922</v>
      </c>
      <c r="I355" t="n">
        <v>-6.795647466647475</v>
      </c>
      <c r="J355" t="inlineStr">
        <is>
          <t>Singapore|EWS|2023</t>
        </is>
      </c>
      <c r="K355" t="inlineStr">
        <is>
          <t>Singapore|2023</t>
        </is>
      </c>
      <c r="L355" t="inlineStr">
        <is>
          <t>USD</t>
        </is>
      </c>
      <c r="M355" t="n">
        <v>6.092725466647475</v>
      </c>
      <c r="N355" t="n">
        <v>0</v>
      </c>
      <c r="O355" t="n">
        <v>0</v>
      </c>
      <c r="P355" t="n">
        <v>6.092725466647475</v>
      </c>
      <c r="Q355" t="n">
        <v>2.67356012134643</v>
      </c>
      <c r="R355" t="n">
        <v>3.330132257282248</v>
      </c>
      <c r="S355" t="n">
        <v>4.834</v>
      </c>
      <c r="T355" t="n">
        <v>4.128</v>
      </c>
      <c r="U355" t="n">
        <v>0.7059999999999995</v>
      </c>
      <c r="V355" t="n">
        <v>505440000000</v>
      </c>
    </row>
    <row r="356">
      <c r="A356" t="inlineStr">
        <is>
          <t>Singapore</t>
        </is>
      </c>
      <c r="B356" t="inlineStr">
        <is>
          <t>SGP</t>
        </is>
      </c>
      <c r="C356" t="inlineStr">
        <is>
          <t>EWS</t>
        </is>
      </c>
      <c r="D356" t="n">
        <v>2024</v>
      </c>
      <c r="E356" t="n">
        <v>24.2267543208625</v>
      </c>
      <c r="F356" t="n">
        <v>4.388</v>
      </c>
      <c r="G356" t="n">
        <v>7.772054</v>
      </c>
      <c r="H356" t="n">
        <v>8.299106</v>
      </c>
      <c r="I356" t="n">
        <v>-15.9276483208625</v>
      </c>
      <c r="J356" t="inlineStr">
        <is>
          <t>Singapore|EWS|2024</t>
        </is>
      </c>
      <c r="K356" t="inlineStr">
        <is>
          <t>Singapore|2024</t>
        </is>
      </c>
      <c r="L356" t="inlineStr">
        <is>
          <t>USD</t>
        </is>
      </c>
      <c r="M356" t="n">
        <v>24.2267543208625</v>
      </c>
      <c r="N356" t="n">
        <v>0</v>
      </c>
      <c r="O356" t="n">
        <v>0</v>
      </c>
      <c r="P356" t="n">
        <v>24.2267543208625</v>
      </c>
      <c r="Q356" t="n">
        <v>0.4890427453015267</v>
      </c>
      <c r="R356" t="n">
        <v>23.62218897410171</v>
      </c>
      <c r="S356" t="n">
        <v>2.39</v>
      </c>
      <c r="T356" t="n">
        <v>2.952</v>
      </c>
      <c r="U356" t="n">
        <v>-0.5619999999999998</v>
      </c>
      <c r="V356" t="n">
        <v>547387000000</v>
      </c>
    </row>
    <row r="357">
      <c r="A357" t="inlineStr">
        <is>
          <t>Singapore</t>
        </is>
      </c>
      <c r="B357" t="inlineStr">
        <is>
          <t>SGP</t>
        </is>
      </c>
      <c r="C357" t="inlineStr">
        <is>
          <t>EWS</t>
        </is>
      </c>
      <c r="D357" t="n">
        <v>2025</v>
      </c>
      <c r="E357" t="n">
        <v>31.95796861863993</v>
      </c>
      <c r="F357" t="n">
        <v>2.226</v>
      </c>
      <c r="G357" t="n">
        <v>2.294664</v>
      </c>
      <c r="H357" t="n">
        <v>4.895622</v>
      </c>
      <c r="I357" t="n">
        <v>-27.06234661863993</v>
      </c>
      <c r="J357" t="inlineStr">
        <is>
          <t>Singapore|EWS|2025</t>
        </is>
      </c>
      <c r="K357" t="inlineStr">
        <is>
          <t>Singapore|2025</t>
        </is>
      </c>
      <c r="L357" t="inlineStr">
        <is>
          <t>USD</t>
        </is>
      </c>
      <c r="M357" t="n">
        <v>31.95796861863993</v>
      </c>
      <c r="N357" t="n">
        <v>0</v>
      </c>
      <c r="O357" t="n">
        <v>0</v>
      </c>
      <c r="P357" t="n">
        <v>31.95796861863993</v>
      </c>
      <c r="Q357" t="n">
        <v>2.542613652897896</v>
      </c>
      <c r="R357" t="n">
        <v>28.68598128901969</v>
      </c>
      <c r="S357" t="n">
        <v>0.928</v>
      </c>
      <c r="T357" t="n">
        <v>2.715</v>
      </c>
      <c r="U357" t="n">
        <v>-1.787</v>
      </c>
      <c r="V357" t="n">
        <v>574185000000</v>
      </c>
    </row>
    <row r="358">
      <c r="A358" t="inlineStr">
        <is>
          <t>Singapore</t>
        </is>
      </c>
      <c r="B358" t="inlineStr">
        <is>
          <t>SGP</t>
        </is>
      </c>
      <c r="C358" t="inlineStr">
        <is>
          <t>EWS</t>
        </is>
      </c>
      <c r="D358" t="n">
        <v>2026</v>
      </c>
      <c r="E358" t="n">
        <v>1.297299496762383</v>
      </c>
      <c r="F358" t="n">
        <v>1.823</v>
      </c>
      <c r="G358" t="n">
        <v>3.126086</v>
      </c>
      <c r="H358" t="n">
        <v>5.580083</v>
      </c>
      <c r="I358" t="n">
        <v>4.282783503237617</v>
      </c>
      <c r="J358" t="inlineStr">
        <is>
          <t>Singapore|EWS|2026</t>
        </is>
      </c>
      <c r="K358" t="inlineStr">
        <is>
          <t>Singapore|2026</t>
        </is>
      </c>
      <c r="L358" t="inlineStr">
        <is>
          <t>USD</t>
        </is>
      </c>
      <c r="M358" t="n">
        <v>1.297299496762383</v>
      </c>
      <c r="N358" t="n">
        <v>0</v>
      </c>
      <c r="O358" t="n">
        <v>0</v>
      </c>
      <c r="P358" t="n">
        <v>1.297299496762383</v>
      </c>
      <c r="Q358" t="n">
        <v>2.379608555916435</v>
      </c>
      <c r="R358" t="n">
        <v>-1.057152956941543</v>
      </c>
      <c r="S358" t="n">
        <v>1.3</v>
      </c>
      <c r="T358" t="n">
        <v>2.435</v>
      </c>
      <c r="U358" t="n">
        <v>-1.135</v>
      </c>
      <c r="V358" t="n">
        <v>606225000000</v>
      </c>
    </row>
    <row r="359">
      <c r="A359" t="inlineStr">
        <is>
          <t>Singapore</t>
        </is>
      </c>
      <c r="B359" t="inlineStr">
        <is>
          <t>SGP</t>
        </is>
      </c>
      <c r="C359" t="inlineStr">
        <is>
          <t>EWS</t>
        </is>
      </c>
      <c r="D359" t="n">
        <v>2027</v>
      </c>
      <c r="E359" t="inlineStr"/>
      <c r="F359" t="n">
        <v>2.488</v>
      </c>
      <c r="G359" t="n">
        <v>4.417517</v>
      </c>
      <c r="H359" t="n">
        <v>4.439936</v>
      </c>
      <c r="I359" t="inlineStr"/>
      <c r="J359" t="inlineStr">
        <is>
          <t>Singapore|EWS|2027</t>
        </is>
      </c>
      <c r="K359" t="inlineStr">
        <is>
          <t>Singapore|2027</t>
        </is>
      </c>
      <c r="L359" t="inlineStr">
        <is>
          <t>USD</t>
        </is>
      </c>
      <c r="M359" t="inlineStr"/>
      <c r="N359" t="inlineStr"/>
      <c r="O359" t="inlineStr"/>
      <c r="P359" t="inlineStr"/>
      <c r="Q359" t="n">
        <v>0.02147057992250012</v>
      </c>
      <c r="R359" t="inlineStr"/>
      <c r="S359" t="n">
        <v>1.871</v>
      </c>
      <c r="T359" t="n">
        <v>2.185</v>
      </c>
      <c r="U359" t="n">
        <v>-0.3140000000000001</v>
      </c>
      <c r="V359" t="n">
        <v>633141000000</v>
      </c>
    </row>
    <row r="360">
      <c r="A360" t="inlineStr">
        <is>
          <t>Singapore</t>
        </is>
      </c>
      <c r="B360" t="inlineStr">
        <is>
          <t>SGP</t>
        </is>
      </c>
      <c r="C360" t="inlineStr">
        <is>
          <t>EWS</t>
        </is>
      </c>
      <c r="D360" t="n">
        <v>2028</v>
      </c>
      <c r="E360" t="inlineStr"/>
      <c r="F360" t="n">
        <v>2.526</v>
      </c>
      <c r="G360" t="n">
        <v>4.440757</v>
      </c>
      <c r="H360" t="n">
        <v>4.454932</v>
      </c>
      <c r="I360" t="inlineStr"/>
      <c r="J360" t="inlineStr">
        <is>
          <t>Singapore|EWS|2028</t>
        </is>
      </c>
      <c r="K360" t="inlineStr">
        <is>
          <t>Singapore|2028</t>
        </is>
      </c>
      <c r="L360" t="inlineStr">
        <is>
          <t>USD</t>
        </is>
      </c>
      <c r="M360" t="inlineStr"/>
      <c r="N360" t="inlineStr"/>
      <c r="O360" t="inlineStr"/>
      <c r="P360" t="inlineStr"/>
      <c r="Q360" t="n">
        <v>0.01357231482976839</v>
      </c>
      <c r="R360" t="inlineStr"/>
      <c r="S360" t="n">
        <v>1.971</v>
      </c>
      <c r="T360" t="n">
        <v>2.206</v>
      </c>
      <c r="U360" t="n">
        <v>-0.2349999999999999</v>
      </c>
      <c r="V360" t="n">
        <v>661347000000</v>
      </c>
    </row>
    <row r="361">
      <c r="A361" t="inlineStr">
        <is>
          <t>Singapore</t>
        </is>
      </c>
      <c r="B361" t="inlineStr">
        <is>
          <t>SGP</t>
        </is>
      </c>
      <c r="C361" t="inlineStr">
        <is>
          <t>EWS</t>
        </is>
      </c>
      <c r="D361" t="n">
        <v>2029</v>
      </c>
      <c r="E361" t="inlineStr"/>
      <c r="F361" t="n">
        <v>2.485</v>
      </c>
      <c r="G361" t="n">
        <v>4.403577</v>
      </c>
      <c r="H361" t="n">
        <v>4.423548</v>
      </c>
      <c r="I361" t="inlineStr"/>
      <c r="J361" t="inlineStr">
        <is>
          <t>Singapore|EWS|2029</t>
        </is>
      </c>
      <c r="K361" t="inlineStr">
        <is>
          <t>Singapore|2029</t>
        </is>
      </c>
      <c r="L361" t="inlineStr">
        <is>
          <t>USD</t>
        </is>
      </c>
      <c r="M361" t="inlineStr"/>
      <c r="N361" t="inlineStr"/>
      <c r="O361" t="inlineStr"/>
      <c r="P361" t="inlineStr"/>
      <c r="Q361" t="n">
        <v>0.01912831650690006</v>
      </c>
      <c r="R361" t="inlineStr"/>
      <c r="S361" t="n">
        <v>1.971</v>
      </c>
      <c r="T361" t="n">
        <v>2.203</v>
      </c>
      <c r="U361" t="n">
        <v>-0.2319999999999998</v>
      </c>
      <c r="V361" t="n">
        <v>690602000000</v>
      </c>
    </row>
    <row r="362">
      <c r="A362" t="inlineStr">
        <is>
          <t>South Africa</t>
        </is>
      </c>
      <c r="B362" t="inlineStr">
        <is>
          <t>ZAF</t>
        </is>
      </c>
      <c r="C362" t="inlineStr">
        <is>
          <t>IRSA.L</t>
        </is>
      </c>
      <c r="D362" t="n">
        <v>2015</v>
      </c>
      <c r="E362" t="n">
        <v>-24.05351480551538</v>
      </c>
      <c r="F362" t="n">
        <v>1.322</v>
      </c>
      <c r="G362" t="inlineStr"/>
      <c r="H362" t="inlineStr"/>
      <c r="I362" t="inlineStr"/>
      <c r="J362" t="inlineStr">
        <is>
          <t>South Africa|IRSA.L|2015</t>
        </is>
      </c>
      <c r="K362" t="inlineStr">
        <is>
          <t>South Africa|2015</t>
        </is>
      </c>
      <c r="L362" t="inlineStr">
        <is>
          <t>USD</t>
        </is>
      </c>
      <c r="M362" t="n">
        <v>-24.05351480551538</v>
      </c>
      <c r="N362" t="n">
        <v>0</v>
      </c>
      <c r="O362" t="n">
        <v>0</v>
      </c>
      <c r="P362" t="n">
        <v>-24.05351480551538</v>
      </c>
      <c r="Q362" t="inlineStr"/>
      <c r="R362" t="inlineStr"/>
      <c r="S362" t="n">
        <v>4.589</v>
      </c>
      <c r="T362" t="n">
        <v>0.121</v>
      </c>
      <c r="U362" t="n">
        <v>4.468</v>
      </c>
      <c r="V362" t="n">
        <v>346663000000</v>
      </c>
    </row>
    <row r="363">
      <c r="A363" t="inlineStr">
        <is>
          <t>South Africa</t>
        </is>
      </c>
      <c r="B363" t="inlineStr">
        <is>
          <t>ZAF</t>
        </is>
      </c>
      <c r="C363" t="inlineStr">
        <is>
          <t>IRSA.L</t>
        </is>
      </c>
      <c r="D363" t="n">
        <v>2016</v>
      </c>
      <c r="E363" t="n">
        <v>21.89386186222804</v>
      </c>
      <c r="F363" t="n">
        <v>0.665</v>
      </c>
      <c r="G363" t="n">
        <v>7.662924</v>
      </c>
      <c r="H363" t="n">
        <v>-6.683725</v>
      </c>
      <c r="I363" t="n">
        <v>-28.57758686222803</v>
      </c>
      <c r="J363" t="inlineStr">
        <is>
          <t>South Africa|IRSA.L|2016</t>
        </is>
      </c>
      <c r="K363" t="inlineStr">
        <is>
          <t>South Africa|2016</t>
        </is>
      </c>
      <c r="L363" t="inlineStr">
        <is>
          <t>USD</t>
        </is>
      </c>
      <c r="M363" t="n">
        <v>21.89386186222804</v>
      </c>
      <c r="N363" t="n">
        <v>0</v>
      </c>
      <c r="O363" t="n">
        <v>0</v>
      </c>
      <c r="P363" t="n">
        <v>21.89386186222804</v>
      </c>
      <c r="Q363" t="n">
        <v>-13.32552363775227</v>
      </c>
      <c r="R363" t="n">
        <v>40.63409088597689</v>
      </c>
      <c r="S363" t="n">
        <v>6.32</v>
      </c>
      <c r="T363" t="n">
        <v>1.267</v>
      </c>
      <c r="U363" t="n">
        <v>5.053000000000001</v>
      </c>
      <c r="V363" t="n">
        <v>323493000000</v>
      </c>
    </row>
    <row r="364">
      <c r="A364" t="inlineStr">
        <is>
          <t>South Africa</t>
        </is>
      </c>
      <c r="B364" t="inlineStr">
        <is>
          <t>ZAF</t>
        </is>
      </c>
      <c r="C364" t="inlineStr">
        <is>
          <t>IRSA.L</t>
        </is>
      </c>
      <c r="D364" t="n">
        <v>2017</v>
      </c>
      <c r="E364" t="n">
        <v>34.23377729686121</v>
      </c>
      <c r="F364" t="n">
        <v>1.158</v>
      </c>
      <c r="G364" t="n">
        <v>6.694659</v>
      </c>
      <c r="H364" t="n">
        <v>17.874884</v>
      </c>
      <c r="I364" t="n">
        <v>-16.35889329686121</v>
      </c>
      <c r="J364" t="inlineStr">
        <is>
          <t>South Africa|IRSA.L|2017</t>
        </is>
      </c>
      <c r="K364" t="inlineStr">
        <is>
          <t>South Africa|2017</t>
        </is>
      </c>
      <c r="L364" t="inlineStr">
        <is>
          <t>USD</t>
        </is>
      </c>
      <c r="M364" t="n">
        <v>34.23377729686121</v>
      </c>
      <c r="N364" t="n">
        <v>0</v>
      </c>
      <c r="O364" t="n">
        <v>0</v>
      </c>
      <c r="P364" t="n">
        <v>34.23377729686121</v>
      </c>
      <c r="Q364" t="n">
        <v>10.47871096741679</v>
      </c>
      <c r="R364" t="n">
        <v>21.50194016696161</v>
      </c>
      <c r="S364" t="n">
        <v>5.294</v>
      </c>
      <c r="T364" t="n">
        <v>2.131</v>
      </c>
      <c r="U364" t="n">
        <v>3.163</v>
      </c>
      <c r="V364" t="n">
        <v>381317000000</v>
      </c>
    </row>
    <row r="365">
      <c r="A365" t="inlineStr">
        <is>
          <t>South Africa</t>
        </is>
      </c>
      <c r="B365" t="inlineStr">
        <is>
          <t>ZAF</t>
        </is>
      </c>
      <c r="C365" t="inlineStr">
        <is>
          <t>IRSA.L</t>
        </is>
      </c>
      <c r="D365" t="n">
        <v>2018</v>
      </c>
      <c r="E365" t="n">
        <v>-24.79147038938383</v>
      </c>
      <c r="F365" t="n">
        <v>1.557</v>
      </c>
      <c r="G365" t="n">
        <v>5.612215</v>
      </c>
      <c r="H365" t="n">
        <v>6.235232</v>
      </c>
      <c r="I365" t="n">
        <v>31.02670238938383</v>
      </c>
      <c r="J365" t="inlineStr">
        <is>
          <t>South Africa|IRSA.L|2018</t>
        </is>
      </c>
      <c r="K365" t="inlineStr">
        <is>
          <t>South Africa|2018</t>
        </is>
      </c>
      <c r="L365" t="inlineStr">
        <is>
          <t>USD</t>
        </is>
      </c>
      <c r="M365" t="n">
        <v>-24.79147038938383</v>
      </c>
      <c r="N365" t="n">
        <v>0</v>
      </c>
      <c r="O365" t="n">
        <v>0</v>
      </c>
      <c r="P365" t="n">
        <v>-24.79147038938383</v>
      </c>
      <c r="Q365" t="n">
        <v>0.5899100257062306</v>
      </c>
      <c r="R365" t="n">
        <v>-25.2325311838968</v>
      </c>
      <c r="S365" t="n">
        <v>4.596</v>
      </c>
      <c r="T365" t="n">
        <v>2.439</v>
      </c>
      <c r="U365" t="n">
        <v>2.157</v>
      </c>
      <c r="V365" t="n">
        <v>405093000000</v>
      </c>
    </row>
    <row r="366">
      <c r="A366" t="inlineStr">
        <is>
          <t>South Africa</t>
        </is>
      </c>
      <c r="B366" t="inlineStr">
        <is>
          <t>ZAF</t>
        </is>
      </c>
      <c r="C366" t="inlineStr">
        <is>
          <t>IRSA.L</t>
        </is>
      </c>
      <c r="D366" t="n">
        <v>2019</v>
      </c>
      <c r="E366" t="n">
        <v>11.06752716800878</v>
      </c>
      <c r="F366" t="n">
        <v>0.26</v>
      </c>
      <c r="G366" t="n">
        <v>4.885469</v>
      </c>
      <c r="H366" t="n">
        <v>-3.912188</v>
      </c>
      <c r="I366" t="n">
        <v>-14.97971516800878</v>
      </c>
      <c r="J366" t="inlineStr">
        <is>
          <t>South Africa|IRSA.L|2019</t>
        </is>
      </c>
      <c r="K366" t="inlineStr">
        <is>
          <t>South Africa|2019</t>
        </is>
      </c>
      <c r="L366" t="inlineStr">
        <is>
          <t>USD</t>
        </is>
      </c>
      <c r="M366" t="n">
        <v>11.06752716800878</v>
      </c>
      <c r="N366" t="n">
        <v>0</v>
      </c>
      <c r="O366" t="n">
        <v>0</v>
      </c>
      <c r="P366" t="n">
        <v>11.06752716800878</v>
      </c>
      <c r="Q366" t="n">
        <v>-8.387870510503181</v>
      </c>
      <c r="R366" t="n">
        <v>21.23670499411599</v>
      </c>
      <c r="S366" t="n">
        <v>4.115</v>
      </c>
      <c r="T366" t="n">
        <v>1.813</v>
      </c>
      <c r="U366" t="n">
        <v>2.302</v>
      </c>
      <c r="V366" t="n">
        <v>389245000000</v>
      </c>
    </row>
    <row r="367">
      <c r="A367" t="inlineStr">
        <is>
          <t>South Africa</t>
        </is>
      </c>
      <c r="B367" t="inlineStr">
        <is>
          <t>ZAF</t>
        </is>
      </c>
      <c r="C367" t="inlineStr">
        <is>
          <t>IRSA.L</t>
        </is>
      </c>
      <c r="D367" t="n">
        <v>2020</v>
      </c>
      <c r="E367" t="n">
        <v>-3.222364564563518</v>
      </c>
      <c r="F367" t="n">
        <v>-6.169</v>
      </c>
      <c r="G367" t="n">
        <v>-1.110128</v>
      </c>
      <c r="H367" t="n">
        <v>-13.197087</v>
      </c>
      <c r="I367" t="n">
        <v>-9.974722435436481</v>
      </c>
      <c r="J367" t="inlineStr">
        <is>
          <t>South Africa|IRSA.L|2020</t>
        </is>
      </c>
      <c r="K367" t="inlineStr">
        <is>
          <t>South Africa|2020</t>
        </is>
      </c>
      <c r="L367" t="inlineStr">
        <is>
          <t>USD</t>
        </is>
      </c>
      <c r="M367" t="n">
        <v>-3.222364564563518</v>
      </c>
      <c r="N367" t="n">
        <v>0</v>
      </c>
      <c r="O367" t="n">
        <v>0</v>
      </c>
      <c r="P367" t="n">
        <v>-3.222364564563518</v>
      </c>
      <c r="Q367" t="n">
        <v>-12.22264564770048</v>
      </c>
      <c r="R367" t="n">
        <v>10.25353423961015</v>
      </c>
      <c r="S367" t="n">
        <v>3.288</v>
      </c>
      <c r="T367" t="n">
        <v>1.253</v>
      </c>
      <c r="U367" t="n">
        <v>2.035</v>
      </c>
      <c r="V367" t="n">
        <v>337876000000</v>
      </c>
    </row>
    <row r="368">
      <c r="A368" t="inlineStr">
        <is>
          <t>South Africa</t>
        </is>
      </c>
      <c r="B368" t="inlineStr">
        <is>
          <t>ZAF</t>
        </is>
      </c>
      <c r="C368" t="inlineStr">
        <is>
          <t>IRSA.L</t>
        </is>
      </c>
      <c r="D368" t="n">
        <v>2021</v>
      </c>
      <c r="E368" t="n">
        <v>3.746853039929943</v>
      </c>
      <c r="F368" t="n">
        <v>4.859</v>
      </c>
      <c r="G368" t="n">
        <v>11.578443</v>
      </c>
      <c r="H368" t="n">
        <v>24.26985</v>
      </c>
      <c r="I368" t="n">
        <v>20.52299696007006</v>
      </c>
      <c r="J368" t="inlineStr">
        <is>
          <t>South Africa|IRSA.L|2021</t>
        </is>
      </c>
      <c r="K368" t="inlineStr">
        <is>
          <t>South Africa|2021</t>
        </is>
      </c>
      <c r="L368" t="inlineStr">
        <is>
          <t>USD</t>
        </is>
      </c>
      <c r="M368" t="n">
        <v>3.746853039929943</v>
      </c>
      <c r="N368" t="n">
        <v>0</v>
      </c>
      <c r="O368" t="n">
        <v>0</v>
      </c>
      <c r="P368" t="n">
        <v>3.746853039929943</v>
      </c>
      <c r="Q368" t="n">
        <v>11.37442596697338</v>
      </c>
      <c r="R368" t="n">
        <v>-6.848585625308001</v>
      </c>
      <c r="S368" t="n">
        <v>4.553</v>
      </c>
      <c r="T368" t="n">
        <v>4.679</v>
      </c>
      <c r="U368" t="n">
        <v>-0.1260000000000003</v>
      </c>
      <c r="V368" t="n">
        <v>419878000000</v>
      </c>
    </row>
    <row r="369">
      <c r="A369" t="inlineStr">
        <is>
          <t>South Africa</t>
        </is>
      </c>
      <c r="B369" t="inlineStr">
        <is>
          <t>ZAF</t>
        </is>
      </c>
      <c r="C369" t="inlineStr">
        <is>
          <t>IRSA.L</t>
        </is>
      </c>
      <c r="D369" t="n">
        <v>2022</v>
      </c>
      <c r="E369" t="n">
        <v>-4.587850327537191</v>
      </c>
      <c r="F369" t="n">
        <v>2.058</v>
      </c>
      <c r="G369" t="n">
        <v>7.406989</v>
      </c>
      <c r="H369" t="n">
        <v>-2.964671</v>
      </c>
      <c r="I369" t="n">
        <v>1.623179327537191</v>
      </c>
      <c r="J369" t="inlineStr">
        <is>
          <t>South Africa|IRSA.L|2022</t>
        </is>
      </c>
      <c r="K369" t="inlineStr">
        <is>
          <t>South Africa|2022</t>
        </is>
      </c>
      <c r="L369" t="inlineStr">
        <is>
          <t>USD</t>
        </is>
      </c>
      <c r="M369" t="n">
        <v>-4.587850327537191</v>
      </c>
      <c r="N369" t="n">
        <v>0</v>
      </c>
      <c r="O369" t="n">
        <v>0</v>
      </c>
      <c r="P369" t="n">
        <v>-4.587850327537191</v>
      </c>
      <c r="Q369" t="n">
        <v>-9.656410023450967</v>
      </c>
      <c r="R369" t="n">
        <v>5.610314685557038</v>
      </c>
      <c r="S369" t="n">
        <v>6.864</v>
      </c>
      <c r="T369" t="n">
        <v>7.993</v>
      </c>
      <c r="U369" t="n">
        <v>-1.129</v>
      </c>
      <c r="V369" t="n">
        <v>407430000000</v>
      </c>
    </row>
    <row r="370">
      <c r="A370" t="inlineStr">
        <is>
          <t>South Africa</t>
        </is>
      </c>
      <c r="B370" t="inlineStr">
        <is>
          <t>ZAF</t>
        </is>
      </c>
      <c r="C370" t="inlineStr">
        <is>
          <t>IRSA.L</t>
        </is>
      </c>
      <c r="D370" t="n">
        <v>2023</v>
      </c>
      <c r="E370" t="n">
        <v>-1.273890748070561</v>
      </c>
      <c r="F370" t="n">
        <v>0.806</v>
      </c>
      <c r="G370" t="n">
        <v>5.566467</v>
      </c>
      <c r="H370" t="n">
        <v>-6.405027</v>
      </c>
      <c r="I370" t="n">
        <v>-5.131136251929439</v>
      </c>
      <c r="J370" t="inlineStr">
        <is>
          <t>South Africa|IRSA.L|2023</t>
        </is>
      </c>
      <c r="K370" t="inlineStr">
        <is>
          <t>South Africa|2023</t>
        </is>
      </c>
      <c r="L370" t="inlineStr">
        <is>
          <t>USD</t>
        </is>
      </c>
      <c r="M370" t="n">
        <v>-1.273890748070561</v>
      </c>
      <c r="N370" t="n">
        <v>0</v>
      </c>
      <c r="O370" t="n">
        <v>0</v>
      </c>
      <c r="P370" t="n">
        <v>-1.273890748070561</v>
      </c>
      <c r="Q370" t="n">
        <v>-11.3402423639299</v>
      </c>
      <c r="R370" t="n">
        <v>11.353912850946</v>
      </c>
      <c r="S370" t="n">
        <v>5.903</v>
      </c>
      <c r="T370" t="n">
        <v>4.128</v>
      </c>
      <c r="U370" t="n">
        <v>1.774999999999999</v>
      </c>
      <c r="V370" t="n">
        <v>381334000000</v>
      </c>
    </row>
    <row r="371">
      <c r="A371" t="inlineStr">
        <is>
          <t>South Africa</t>
        </is>
      </c>
      <c r="B371" t="inlineStr">
        <is>
          <t>ZAF</t>
        </is>
      </c>
      <c r="C371" t="inlineStr">
        <is>
          <t>IRSA.L</t>
        </is>
      </c>
      <c r="D371" t="n">
        <v>2024</v>
      </c>
      <c r="E371" t="n">
        <v>9.804554511548847</v>
      </c>
      <c r="F371" t="n">
        <v>0.535</v>
      </c>
      <c r="G371" t="n">
        <v>4.472728</v>
      </c>
      <c r="H371" t="n">
        <v>5.177089</v>
      </c>
      <c r="I371" t="n">
        <v>-4.627465511548848</v>
      </c>
      <c r="J371" t="inlineStr">
        <is>
          <t>South Africa|IRSA.L|2024</t>
        </is>
      </c>
      <c r="K371" t="inlineStr">
        <is>
          <t>South Africa|2024</t>
        </is>
      </c>
      <c r="L371" t="inlineStr">
        <is>
          <t>USD</t>
        </is>
      </c>
      <c r="M371" t="n">
        <v>9.804554511548847</v>
      </c>
      <c r="N371" t="n">
        <v>0</v>
      </c>
      <c r="O371" t="n">
        <v>0</v>
      </c>
      <c r="P371" t="n">
        <v>9.804554511548847</v>
      </c>
      <c r="Q371" t="n">
        <v>0.6742056870953972</v>
      </c>
      <c r="R371" t="n">
        <v>9.069203737083754</v>
      </c>
      <c r="S371" t="n">
        <v>4.426</v>
      </c>
      <c r="T371" t="n">
        <v>2.952</v>
      </c>
      <c r="U371" t="n">
        <v>1.474</v>
      </c>
      <c r="V371" t="n">
        <v>401076000000</v>
      </c>
    </row>
    <row r="372">
      <c r="A372" t="inlineStr">
        <is>
          <t>South Africa</t>
        </is>
      </c>
      <c r="B372" t="inlineStr">
        <is>
          <t>ZAF</t>
        </is>
      </c>
      <c r="C372" t="inlineStr">
        <is>
          <t>IRSA.L</t>
        </is>
      </c>
      <c r="D372" t="n">
        <v>2025</v>
      </c>
      <c r="E372" t="n">
        <v>75.04335635161455</v>
      </c>
      <c r="F372" t="n">
        <v>1.149</v>
      </c>
      <c r="G372" t="n">
        <v>4.705452</v>
      </c>
      <c r="H372" t="n">
        <v>6.309777</v>
      </c>
      <c r="I372" t="n">
        <v>-68.73357935161455</v>
      </c>
      <c r="J372" t="inlineStr">
        <is>
          <t>South Africa|IRSA.L|2025</t>
        </is>
      </c>
      <c r="K372" t="inlineStr">
        <is>
          <t>South Africa|2025</t>
        </is>
      </c>
      <c r="L372" t="inlineStr">
        <is>
          <t>USD</t>
        </is>
      </c>
      <c r="M372" t="n">
        <v>75.04335635161455</v>
      </c>
      <c r="N372" t="n">
        <v>0</v>
      </c>
      <c r="O372" t="n">
        <v>0</v>
      </c>
      <c r="P372" t="n">
        <v>75.04335635161455</v>
      </c>
      <c r="Q372" t="n">
        <v>1.532226590883012</v>
      </c>
      <c r="R372" t="n">
        <v>72.40177057964017</v>
      </c>
      <c r="S372" t="n">
        <v>3.359</v>
      </c>
      <c r="T372" t="n">
        <v>2.715</v>
      </c>
      <c r="U372" t="n">
        <v>0.6440000000000001</v>
      </c>
      <c r="V372" t="n">
        <v>426383000000</v>
      </c>
    </row>
    <row r="373">
      <c r="A373" t="inlineStr">
        <is>
          <t>South Africa</t>
        </is>
      </c>
      <c r="B373" t="inlineStr">
        <is>
          <t>ZAF</t>
        </is>
      </c>
      <c r="C373" t="inlineStr">
        <is>
          <t>IRSA.L</t>
        </is>
      </c>
      <c r="D373" t="n">
        <v>2026</v>
      </c>
      <c r="E373" t="n">
        <v>0.3140017297581732</v>
      </c>
      <c r="F373" t="n">
        <v>1.151</v>
      </c>
      <c r="G373" t="n">
        <v>4.860935</v>
      </c>
      <c r="H373" t="n">
        <v>4.048004</v>
      </c>
      <c r="I373" t="n">
        <v>3.734002270241827</v>
      </c>
      <c r="J373" t="inlineStr">
        <is>
          <t>South Africa|IRSA.L|2026</t>
        </is>
      </c>
      <c r="K373" t="inlineStr">
        <is>
          <t>South Africa|2026</t>
        </is>
      </c>
      <c r="L373" t="inlineStr">
        <is>
          <t>USD</t>
        </is>
      </c>
      <c r="M373" t="n">
        <v>0.3140017297581732</v>
      </c>
      <c r="N373" t="n">
        <v>0</v>
      </c>
      <c r="O373" t="n">
        <v>0</v>
      </c>
      <c r="P373" t="n">
        <v>0.3140017297581732</v>
      </c>
      <c r="Q373" t="n">
        <v>-0.7752469863729683</v>
      </c>
      <c r="R373" t="n">
        <v>1.097759060162695</v>
      </c>
      <c r="S373" t="n">
        <v>3.664</v>
      </c>
      <c r="T373" t="n">
        <v>2.435</v>
      </c>
      <c r="U373" t="n">
        <v>1.229</v>
      </c>
      <c r="V373" t="n">
        <v>443643000000</v>
      </c>
    </row>
    <row r="374">
      <c r="A374" t="inlineStr">
        <is>
          <t>South Africa</t>
        </is>
      </c>
      <c r="B374" t="inlineStr">
        <is>
          <t>ZAF</t>
        </is>
      </c>
      <c r="C374" t="inlineStr">
        <is>
          <t>IRSA.L</t>
        </is>
      </c>
      <c r="D374" t="n">
        <v>2027</v>
      </c>
      <c r="E374" t="inlineStr"/>
      <c r="F374" t="n">
        <v>1.512</v>
      </c>
      <c r="G374" t="n">
        <v>4.766922</v>
      </c>
      <c r="H374" t="n">
        <v>3.336016</v>
      </c>
      <c r="I374" t="inlineStr"/>
      <c r="J374" t="inlineStr">
        <is>
          <t>South Africa|IRSA.L|2027</t>
        </is>
      </c>
      <c r="K374" t="inlineStr">
        <is>
          <t>South Africa|2027</t>
        </is>
      </c>
      <c r="L374" t="inlineStr">
        <is>
          <t>USD</t>
        </is>
      </c>
      <c r="M374" t="inlineStr"/>
      <c r="N374" t="inlineStr"/>
      <c r="O374" t="inlineStr"/>
      <c r="P374" t="inlineStr"/>
      <c r="Q374" t="n">
        <v>-1.365799452694705</v>
      </c>
      <c r="R374" t="inlineStr"/>
      <c r="S374" t="n">
        <v>3.232</v>
      </c>
      <c r="T374" t="n">
        <v>2.185</v>
      </c>
      <c r="U374" t="n">
        <v>1.047</v>
      </c>
      <c r="V374" t="n">
        <v>458443000000</v>
      </c>
    </row>
    <row r="375">
      <c r="A375" t="inlineStr">
        <is>
          <t>South Africa</t>
        </is>
      </c>
      <c r="B375" t="inlineStr">
        <is>
          <t>ZAF</t>
        </is>
      </c>
      <c r="C375" t="inlineStr">
        <is>
          <t>IRSA.L</t>
        </is>
      </c>
      <c r="D375" t="n">
        <v>2028</v>
      </c>
      <c r="E375" t="inlineStr"/>
      <c r="F375" t="n">
        <v>1.702</v>
      </c>
      <c r="G375" t="n">
        <v>4.906291</v>
      </c>
      <c r="H375" t="n">
        <v>3.724127</v>
      </c>
      <c r="I375" t="inlineStr"/>
      <c r="J375" t="inlineStr">
        <is>
          <t>South Africa|IRSA.L|2028</t>
        </is>
      </c>
      <c r="K375" t="inlineStr">
        <is>
          <t>South Africa|2028</t>
        </is>
      </c>
      <c r="L375" t="inlineStr">
        <is>
          <t>USD</t>
        </is>
      </c>
      <c r="M375" t="inlineStr"/>
      <c r="N375" t="inlineStr"/>
      <c r="O375" t="inlineStr"/>
      <c r="P375" t="inlineStr"/>
      <c r="Q375" t="n">
        <v>-1.126876515225639</v>
      </c>
      <c r="R375" t="inlineStr"/>
      <c r="S375" t="n">
        <v>3</v>
      </c>
      <c r="T375" t="n">
        <v>2.206</v>
      </c>
      <c r="U375" t="n">
        <v>0.794</v>
      </c>
      <c r="V375" t="n">
        <v>475516000000</v>
      </c>
    </row>
    <row r="376">
      <c r="A376" t="inlineStr">
        <is>
          <t>South Africa</t>
        </is>
      </c>
      <c r="B376" t="inlineStr">
        <is>
          <t>ZAF</t>
        </is>
      </c>
      <c r="C376" t="inlineStr">
        <is>
          <t>IRSA.L</t>
        </is>
      </c>
      <c r="D376" t="n">
        <v>2029</v>
      </c>
      <c r="E376" t="inlineStr"/>
      <c r="F376" t="n">
        <v>1.835</v>
      </c>
      <c r="G376" t="n">
        <v>4.869249</v>
      </c>
      <c r="H376" t="n">
        <v>3.750242</v>
      </c>
      <c r="I376" t="inlineStr"/>
      <c r="J376" t="inlineStr">
        <is>
          <t>South Africa|IRSA.L|2029</t>
        </is>
      </c>
      <c r="K376" t="inlineStr">
        <is>
          <t>South Africa|2029</t>
        </is>
      </c>
      <c r="L376" t="inlineStr">
        <is>
          <t>USD</t>
        </is>
      </c>
      <c r="M376" t="inlineStr"/>
      <c r="N376" t="inlineStr"/>
      <c r="O376" t="inlineStr"/>
      <c r="P376" t="inlineStr"/>
      <c r="Q376" t="n">
        <v>-1.067050310175166</v>
      </c>
      <c r="R376" t="inlineStr"/>
      <c r="S376" t="n">
        <v>3</v>
      </c>
      <c r="T376" t="n">
        <v>2.203</v>
      </c>
      <c r="U376" t="n">
        <v>0.7970000000000002</v>
      </c>
      <c r="V376" t="n">
        <v>493349000000</v>
      </c>
    </row>
    <row r="377">
      <c r="A377" t="inlineStr">
        <is>
          <t>South Africa</t>
        </is>
      </c>
      <c r="B377" t="inlineStr">
        <is>
          <t>ZAF</t>
        </is>
      </c>
      <c r="C377" t="inlineStr">
        <is>
          <t>SRSA.L</t>
        </is>
      </c>
      <c r="D377" t="n">
        <v>2015</v>
      </c>
      <c r="E377" t="n">
        <v>-21.28082271824237</v>
      </c>
      <c r="F377" t="n">
        <v>1.322</v>
      </c>
      <c r="G377" t="inlineStr"/>
      <c r="H377" t="inlineStr"/>
      <c r="I377" t="inlineStr"/>
      <c r="J377" t="inlineStr">
        <is>
          <t>South Africa|SRSA.L|2015</t>
        </is>
      </c>
      <c r="K377" t="inlineStr">
        <is>
          <t>South Africa|2015</t>
        </is>
      </c>
      <c r="L377" t="inlineStr">
        <is>
          <t>GBp</t>
        </is>
      </c>
      <c r="M377" t="n">
        <v>-21.28082271824237</v>
      </c>
      <c r="N377" t="n">
        <v>-4.888855870697362</v>
      </c>
      <c r="O377" t="n">
        <v>-5.407515212426162</v>
      </c>
      <c r="P377" t="n">
        <v>-25.12928983814624</v>
      </c>
      <c r="Q377" t="inlineStr"/>
      <c r="R377" t="inlineStr"/>
      <c r="S377" t="n">
        <v>4.589</v>
      </c>
      <c r="T377" t="n">
        <v>0.121</v>
      </c>
      <c r="U377" t="n">
        <v>4.468</v>
      </c>
      <c r="V377" t="n">
        <v>346663000000</v>
      </c>
    </row>
    <row r="378">
      <c r="A378" t="inlineStr">
        <is>
          <t>South Africa</t>
        </is>
      </c>
      <c r="B378" t="inlineStr">
        <is>
          <t>ZAF</t>
        </is>
      </c>
      <c r="C378" t="inlineStr">
        <is>
          <t>SRSA.L</t>
        </is>
      </c>
      <c r="D378" t="n">
        <v>2016</v>
      </c>
      <c r="E378" t="n">
        <v>45.48229548229548</v>
      </c>
      <c r="F378" t="n">
        <v>0.665</v>
      </c>
      <c r="G378" t="n">
        <v>7.662924</v>
      </c>
      <c r="H378" t="n">
        <v>-6.683725</v>
      </c>
      <c r="I378" t="n">
        <v>-27.97855795592849</v>
      </c>
      <c r="J378" t="inlineStr">
        <is>
          <t>South Africa|SRSA.L|2016</t>
        </is>
      </c>
      <c r="K378" t="inlineStr">
        <is>
          <t>South Africa|2016</t>
        </is>
      </c>
      <c r="L378" t="inlineStr">
        <is>
          <t>GBp</t>
        </is>
      </c>
      <c r="M378" t="n">
        <v>45.48229548229548</v>
      </c>
      <c r="N378" t="n">
        <v>-16.62570861023462</v>
      </c>
      <c r="O378" t="n">
        <v>-16.21181156312136</v>
      </c>
      <c r="P378" t="n">
        <v>21.29483295592849</v>
      </c>
      <c r="Q378" t="n">
        <v>-13.32552363775227</v>
      </c>
      <c r="R378" t="n">
        <v>39.94296596496096</v>
      </c>
      <c r="S378" t="n">
        <v>6.32</v>
      </c>
      <c r="T378" t="n">
        <v>1.267</v>
      </c>
      <c r="U378" t="n">
        <v>5.053000000000001</v>
      </c>
      <c r="V378" t="n">
        <v>323493000000</v>
      </c>
    </row>
    <row r="379">
      <c r="A379" t="inlineStr">
        <is>
          <t>South Africa</t>
        </is>
      </c>
      <c r="B379" t="inlineStr">
        <is>
          <t>ZAF</t>
        </is>
      </c>
      <c r="C379" t="inlineStr">
        <is>
          <t>SRSA.L</t>
        </is>
      </c>
      <c r="D379" t="n">
        <v>2017</v>
      </c>
      <c r="E379" t="n">
        <v>23.73816213966073</v>
      </c>
      <c r="F379" t="n">
        <v>1.158</v>
      </c>
      <c r="G379" t="n">
        <v>6.694659</v>
      </c>
      <c r="H379" t="n">
        <v>17.874884</v>
      </c>
      <c r="I379" t="n">
        <v>-16.80344924706115</v>
      </c>
      <c r="J379" t="inlineStr">
        <is>
          <t>South Africa|SRSA.L|2017</t>
        </is>
      </c>
      <c r="K379" t="inlineStr">
        <is>
          <t>South Africa|2017</t>
        </is>
      </c>
      <c r="L379" t="inlineStr">
        <is>
          <t>GBp</t>
        </is>
      </c>
      <c r="M379" t="n">
        <v>23.73816213966073</v>
      </c>
      <c r="N379" t="n">
        <v>8.841388071573641</v>
      </c>
      <c r="O379" t="n">
        <v>9.450435944365921</v>
      </c>
      <c r="P379" t="n">
        <v>34.67833324706115</v>
      </c>
      <c r="Q379" t="n">
        <v>10.47871096741679</v>
      </c>
      <c r="R379" t="n">
        <v>21.90433076901259</v>
      </c>
      <c r="S379" t="n">
        <v>5.294</v>
      </c>
      <c r="T379" t="n">
        <v>2.131</v>
      </c>
      <c r="U379" t="n">
        <v>3.163</v>
      </c>
      <c r="V379" t="n">
        <v>381317000000</v>
      </c>
    </row>
    <row r="380">
      <c r="A380" t="inlineStr">
        <is>
          <t>South Africa</t>
        </is>
      </c>
      <c r="B380" t="inlineStr">
        <is>
          <t>ZAF</t>
        </is>
      </c>
      <c r="C380" t="inlineStr">
        <is>
          <t>SRSA.L</t>
        </is>
      </c>
      <c r="D380" t="n">
        <v>2018</v>
      </c>
      <c r="E380" t="n">
        <v>-19.97611736608667</v>
      </c>
      <c r="F380" t="n">
        <v>1.557</v>
      </c>
      <c r="G380" t="n">
        <v>5.612215</v>
      </c>
      <c r="H380" t="n">
        <v>6.235232</v>
      </c>
      <c r="I380" t="n">
        <v>31.0810460767292</v>
      </c>
      <c r="J380" t="inlineStr">
        <is>
          <t>South Africa|SRSA.L|2018</t>
        </is>
      </c>
      <c r="K380" t="inlineStr">
        <is>
          <t>South Africa|2018</t>
        </is>
      </c>
      <c r="L380" t="inlineStr">
        <is>
          <t>GBp</t>
        </is>
      </c>
      <c r="M380" t="n">
        <v>-19.97611736608667</v>
      </c>
      <c r="N380" t="n">
        <v>-6.085304224640065</v>
      </c>
      <c r="O380" t="n">
        <v>-5.756316180609423</v>
      </c>
      <c r="P380" t="n">
        <v>-24.8458140767292</v>
      </c>
      <c r="Q380" t="n">
        <v>0.5899100257062306</v>
      </c>
      <c r="R380" t="n">
        <v>-25.2865561724185</v>
      </c>
      <c r="S380" t="n">
        <v>4.596</v>
      </c>
      <c r="T380" t="n">
        <v>2.439</v>
      </c>
      <c r="U380" t="n">
        <v>2.157</v>
      </c>
      <c r="V380" t="n">
        <v>405093000000</v>
      </c>
    </row>
    <row r="381">
      <c r="A381" t="inlineStr">
        <is>
          <t>South Africa</t>
        </is>
      </c>
      <c r="B381" t="inlineStr">
        <is>
          <t>ZAF</t>
        </is>
      </c>
      <c r="C381" t="inlineStr">
        <is>
          <t>SRSA.L</t>
        </is>
      </c>
      <c r="D381" t="n">
        <v>2019</v>
      </c>
      <c r="E381" t="n">
        <v>5.935386927122455</v>
      </c>
      <c r="F381" t="n">
        <v>0.26</v>
      </c>
      <c r="G381" t="n">
        <v>4.885469</v>
      </c>
      <c r="H381" t="n">
        <v>-3.912188</v>
      </c>
      <c r="I381" t="n">
        <v>-12.96616895748153</v>
      </c>
      <c r="J381" t="inlineStr">
        <is>
          <t>South Africa|SRSA.L|2019</t>
        </is>
      </c>
      <c r="K381" t="inlineStr">
        <is>
          <t>South Africa|2019</t>
        </is>
      </c>
      <c r="L381" t="inlineStr">
        <is>
          <t>GBp</t>
        </is>
      </c>
      <c r="M381" t="n">
        <v>5.935386927122455</v>
      </c>
      <c r="N381" t="n">
        <v>2.94386429390634</v>
      </c>
      <c r="O381" t="n">
        <v>4.118031584084703</v>
      </c>
      <c r="P381" t="n">
        <v>9.053980957481533</v>
      </c>
      <c r="Q381" t="n">
        <v>-8.387870510503181</v>
      </c>
      <c r="R381" t="n">
        <v>19.03880148314245</v>
      </c>
      <c r="S381" t="n">
        <v>4.115</v>
      </c>
      <c r="T381" t="n">
        <v>1.813</v>
      </c>
      <c r="U381" t="n">
        <v>2.302</v>
      </c>
      <c r="V381" t="n">
        <v>389245000000</v>
      </c>
    </row>
    <row r="382">
      <c r="A382" t="inlineStr">
        <is>
          <t>South Africa</t>
        </is>
      </c>
      <c r="B382" t="inlineStr">
        <is>
          <t>ZAF</t>
        </is>
      </c>
      <c r="C382" t="inlineStr">
        <is>
          <t>SRSA.L</t>
        </is>
      </c>
      <c r="D382" t="n">
        <v>2020</v>
      </c>
      <c r="E382" t="n">
        <v>-6.724969843184558</v>
      </c>
      <c r="F382" t="n">
        <v>-6.169</v>
      </c>
      <c r="G382" t="n">
        <v>-1.110128</v>
      </c>
      <c r="H382" t="n">
        <v>-13.197087</v>
      </c>
      <c r="I382" t="n">
        <v>-9.06068426617818</v>
      </c>
      <c r="J382" t="inlineStr">
        <is>
          <t>South Africa|SRSA.L|2020</t>
        </is>
      </c>
      <c r="K382" t="inlineStr">
        <is>
          <t>South Africa|2020</t>
        </is>
      </c>
      <c r="L382" t="inlineStr">
        <is>
          <t>GBp</t>
        </is>
      </c>
      <c r="M382" t="n">
        <v>-6.724969843184558</v>
      </c>
      <c r="N382" t="n">
        <v>2.775198362317122</v>
      </c>
      <c r="O382" t="n">
        <v>3.094474617937659</v>
      </c>
      <c r="P382" t="n">
        <v>-4.13640273382182</v>
      </c>
      <c r="Q382" t="n">
        <v>-12.22264564770048</v>
      </c>
      <c r="R382" t="n">
        <v>9.212219909732134</v>
      </c>
      <c r="S382" t="n">
        <v>3.288</v>
      </c>
      <c r="T382" t="n">
        <v>1.253</v>
      </c>
      <c r="U382" t="n">
        <v>2.035</v>
      </c>
      <c r="V382" t="n">
        <v>337876000000</v>
      </c>
    </row>
    <row r="383">
      <c r="A383" t="inlineStr">
        <is>
          <t>South Africa</t>
        </is>
      </c>
      <c r="B383" t="inlineStr">
        <is>
          <t>ZAF</t>
        </is>
      </c>
      <c r="C383" t="inlineStr">
        <is>
          <t>SRSA.L</t>
        </is>
      </c>
      <c r="D383" t="n">
        <v>2021</v>
      </c>
      <c r="E383" t="n">
        <v>4.558099721806119</v>
      </c>
      <c r="F383" t="n">
        <v>4.859</v>
      </c>
      <c r="G383" t="n">
        <v>11.578443</v>
      </c>
      <c r="H383" t="n">
        <v>24.26985</v>
      </c>
      <c r="I383" t="n">
        <v>21.04718777775981</v>
      </c>
      <c r="J383" t="inlineStr">
        <is>
          <t>South Africa|SRSA.L|2021</t>
        </is>
      </c>
      <c r="K383" t="inlineStr">
        <is>
          <t>South Africa|2021</t>
        </is>
      </c>
      <c r="L383" t="inlineStr">
        <is>
          <t>GBp</t>
        </is>
      </c>
      <c r="M383" t="n">
        <v>4.558099721806119</v>
      </c>
      <c r="N383" t="n">
        <v>-1.277220514832489</v>
      </c>
      <c r="O383" t="n">
        <v>-1.102343119945948</v>
      </c>
      <c r="P383" t="n">
        <v>3.222662222240191</v>
      </c>
      <c r="Q383" t="n">
        <v>11.37442596697338</v>
      </c>
      <c r="R383" t="n">
        <v>-7.319241983927693</v>
      </c>
      <c r="S383" t="n">
        <v>4.553</v>
      </c>
      <c r="T383" t="n">
        <v>4.679</v>
      </c>
      <c r="U383" t="n">
        <v>-0.1260000000000003</v>
      </c>
      <c r="V383" t="n">
        <v>419878000000</v>
      </c>
    </row>
    <row r="384">
      <c r="A384" t="inlineStr">
        <is>
          <t>South Africa</t>
        </is>
      </c>
      <c r="B384" t="inlineStr">
        <is>
          <t>ZAF</t>
        </is>
      </c>
      <c r="C384" t="inlineStr">
        <is>
          <t>SRSA.L</t>
        </is>
      </c>
      <c r="D384" t="n">
        <v>2022</v>
      </c>
      <c r="E384" t="n">
        <v>7.076672436615428</v>
      </c>
      <c r="F384" t="n">
        <v>2.058</v>
      </c>
      <c r="G384" t="n">
        <v>7.406989</v>
      </c>
      <c r="H384" t="n">
        <v>-2.964671</v>
      </c>
      <c r="I384" t="n">
        <v>1.566888928473728</v>
      </c>
      <c r="J384" t="inlineStr">
        <is>
          <t>South Africa|SRSA.L|2022</t>
        </is>
      </c>
      <c r="K384" t="inlineStr">
        <is>
          <t>South Africa|2022</t>
        </is>
      </c>
      <c r="L384" t="inlineStr">
        <is>
          <t>GBp</t>
        </is>
      </c>
      <c r="M384" t="n">
        <v>7.076672436615428</v>
      </c>
      <c r="N384" t="n">
        <v>-10.84104698150823</v>
      </c>
      <c r="O384" t="n">
        <v>-10.36772851390696</v>
      </c>
      <c r="P384" t="n">
        <v>-4.531559928473728</v>
      </c>
      <c r="Q384" t="n">
        <v>-9.656410023450967</v>
      </c>
      <c r="R384" t="n">
        <v>5.672621705986591</v>
      </c>
      <c r="S384" t="n">
        <v>6.864</v>
      </c>
      <c r="T384" t="n">
        <v>7.993</v>
      </c>
      <c r="U384" t="n">
        <v>-1.129</v>
      </c>
      <c r="V384" t="n">
        <v>407430000000</v>
      </c>
    </row>
    <row r="385">
      <c r="A385" t="inlineStr">
        <is>
          <t>South Africa</t>
        </is>
      </c>
      <c r="B385" t="inlineStr">
        <is>
          <t>ZAF</t>
        </is>
      </c>
      <c r="C385" t="inlineStr">
        <is>
          <t>SRSA.L</t>
        </is>
      </c>
      <c r="D385" t="n">
        <v>2023</v>
      </c>
      <c r="E385" t="n">
        <v>-7.169459962756052</v>
      </c>
      <c r="F385" t="n">
        <v>0.806</v>
      </c>
      <c r="G385" t="n">
        <v>5.566467</v>
      </c>
      <c r="H385" t="n">
        <v>-6.405027</v>
      </c>
      <c r="I385" t="n">
        <v>-3.935605765049158</v>
      </c>
      <c r="J385" t="inlineStr">
        <is>
          <t>South Africa|SRSA.L|2023</t>
        </is>
      </c>
      <c r="K385" t="inlineStr">
        <is>
          <t>South Africa|2023</t>
        </is>
      </c>
      <c r="L385" t="inlineStr">
        <is>
          <t>GBp</t>
        </is>
      </c>
      <c r="M385" t="n">
        <v>-7.169459962756052</v>
      </c>
      <c r="N385" t="n">
        <v>5.06303068571996</v>
      </c>
      <c r="O385" t="n">
        <v>5.030130998783355</v>
      </c>
      <c r="P385" t="n">
        <v>-2.469421234950842</v>
      </c>
      <c r="Q385" t="n">
        <v>-11.3402423639299</v>
      </c>
      <c r="R385" t="n">
        <v>10.00546512363809</v>
      </c>
      <c r="S385" t="n">
        <v>5.903</v>
      </c>
      <c r="T385" t="n">
        <v>4.128</v>
      </c>
      <c r="U385" t="n">
        <v>1.774999999999999</v>
      </c>
      <c r="V385" t="n">
        <v>381334000000</v>
      </c>
    </row>
    <row r="386">
      <c r="A386" t="inlineStr">
        <is>
          <t>South Africa</t>
        </is>
      </c>
      <c r="B386" t="inlineStr">
        <is>
          <t>ZAF</t>
        </is>
      </c>
      <c r="C386" t="inlineStr">
        <is>
          <t>SRSA.L</t>
        </is>
      </c>
      <c r="D386" t="n">
        <v>2024</v>
      </c>
      <c r="E386" t="n">
        <v>10.55623223710922</v>
      </c>
      <c r="F386" t="n">
        <v>0.535</v>
      </c>
      <c r="G386" t="n">
        <v>4.472728</v>
      </c>
      <c r="H386" t="n">
        <v>5.177089</v>
      </c>
      <c r="I386" t="n">
        <v>-3.808080003272621</v>
      </c>
      <c r="J386" t="inlineStr">
        <is>
          <t>South Africa|SRSA.L|2024</t>
        </is>
      </c>
      <c r="K386" t="inlineStr">
        <is>
          <t>South Africa|2024</t>
        </is>
      </c>
      <c r="L386" t="inlineStr">
        <is>
          <t>GBp</t>
        </is>
      </c>
      <c r="M386" t="n">
        <v>10.55623223710922</v>
      </c>
      <c r="N386" t="n">
        <v>-1.421053523664917</v>
      </c>
      <c r="O386" t="n">
        <v>-1.655539060617606</v>
      </c>
      <c r="P386" t="n">
        <v>8.98516900327262</v>
      </c>
      <c r="Q386" t="n">
        <v>0.6742056870953972</v>
      </c>
      <c r="R386" t="n">
        <v>8.255305576493409</v>
      </c>
      <c r="S386" t="n">
        <v>4.426</v>
      </c>
      <c r="T386" t="n">
        <v>2.952</v>
      </c>
      <c r="U386" t="n">
        <v>1.474</v>
      </c>
      <c r="V386" t="n">
        <v>401076000000</v>
      </c>
    </row>
    <row r="387">
      <c r="A387" t="inlineStr">
        <is>
          <t>South Africa</t>
        </is>
      </c>
      <c r="B387" t="inlineStr">
        <is>
          <t>ZAF</t>
        </is>
      </c>
      <c r="C387" t="inlineStr">
        <is>
          <t>SRSA.L</t>
        </is>
      </c>
      <c r="D387" t="n">
        <v>2025</v>
      </c>
      <c r="E387" t="n">
        <v>61.05545617173524</v>
      </c>
      <c r="F387" t="n">
        <v>1.149</v>
      </c>
      <c r="G387" t="n">
        <v>4.705452</v>
      </c>
      <c r="H387" t="n">
        <v>6.309777</v>
      </c>
      <c r="I387" t="n">
        <v>-66.94068485797825</v>
      </c>
      <c r="J387" t="inlineStr">
        <is>
          <t>South Africa|SRSA.L|2025</t>
        </is>
      </c>
      <c r="K387" t="inlineStr">
        <is>
          <t>South Africa|2025</t>
        </is>
      </c>
      <c r="L387" t="inlineStr">
        <is>
          <t>GBp</t>
        </is>
      </c>
      <c r="M387" t="n">
        <v>61.05545617173524</v>
      </c>
      <c r="N387" t="n">
        <v>7.571929555270285</v>
      </c>
      <c r="O387" t="n">
        <v>7.623377354227179</v>
      </c>
      <c r="P387" t="n">
        <v>73.25046185797825</v>
      </c>
      <c r="Q387" t="n">
        <v>1.532226590883012</v>
      </c>
      <c r="R387" t="n">
        <v>70.63593272319227</v>
      </c>
      <c r="S387" t="n">
        <v>3.359</v>
      </c>
      <c r="T387" t="n">
        <v>2.715</v>
      </c>
      <c r="U387" t="n">
        <v>0.6440000000000001</v>
      </c>
      <c r="V387" t="n">
        <v>426383000000</v>
      </c>
    </row>
    <row r="388">
      <c r="A388" t="inlineStr">
        <is>
          <t>South Africa</t>
        </is>
      </c>
      <c r="B388" t="inlineStr">
        <is>
          <t>ZAF</t>
        </is>
      </c>
      <c r="C388" t="inlineStr">
        <is>
          <t>SRSA.L</t>
        </is>
      </c>
      <c r="D388" t="n">
        <v>2026</v>
      </c>
      <c r="E388" t="n">
        <v>1.502504173622721</v>
      </c>
      <c r="F388" t="n">
        <v>1.151</v>
      </c>
      <c r="G388" t="n">
        <v>4.860935</v>
      </c>
      <c r="H388" t="n">
        <v>4.048004</v>
      </c>
      <c r="I388" t="n">
        <v>4.210427240822629</v>
      </c>
      <c r="J388" t="inlineStr">
        <is>
          <t>South Africa|SRSA.L|2026</t>
        </is>
      </c>
      <c r="K388" t="inlineStr">
        <is>
          <t>South Africa|2026</t>
        </is>
      </c>
      <c r="L388" t="inlineStr">
        <is>
          <t>GBp</t>
        </is>
      </c>
      <c r="M388" t="n">
        <v>1.502504173622721</v>
      </c>
      <c r="N388" t="n">
        <v>-1.640282107323621</v>
      </c>
      <c r="O388" t="inlineStr"/>
      <c r="P388" t="n">
        <v>-0.1624232408226289</v>
      </c>
      <c r="Q388" t="n">
        <v>-0.7752469863729683</v>
      </c>
      <c r="R388" t="n">
        <v>0.6176117621236932</v>
      </c>
      <c r="S388" t="n">
        <v>3.664</v>
      </c>
      <c r="T388" t="n">
        <v>2.435</v>
      </c>
      <c r="U388" t="n">
        <v>1.229</v>
      </c>
      <c r="V388" t="n">
        <v>443643000000</v>
      </c>
    </row>
    <row r="389">
      <c r="A389" t="inlineStr">
        <is>
          <t>South Africa</t>
        </is>
      </c>
      <c r="B389" t="inlineStr">
        <is>
          <t>ZAF</t>
        </is>
      </c>
      <c r="C389" t="inlineStr">
        <is>
          <t>SRSA.L</t>
        </is>
      </c>
      <c r="D389" t="n">
        <v>2027</v>
      </c>
      <c r="E389" t="inlineStr"/>
      <c r="F389" t="n">
        <v>1.512</v>
      </c>
      <c r="G389" t="n">
        <v>4.766922</v>
      </c>
      <c r="H389" t="n">
        <v>3.336016</v>
      </c>
      <c r="I389" t="inlineStr"/>
      <c r="J389" t="inlineStr">
        <is>
          <t>South Africa|SRSA.L|2027</t>
        </is>
      </c>
      <c r="K389" t="inlineStr">
        <is>
          <t>South Africa|2027</t>
        </is>
      </c>
      <c r="L389" t="inlineStr">
        <is>
          <t>GBp</t>
        </is>
      </c>
      <c r="M389" t="inlineStr"/>
      <c r="N389" t="inlineStr"/>
      <c r="O389" t="inlineStr"/>
      <c r="P389" t="inlineStr"/>
      <c r="Q389" t="n">
        <v>-1.365799452694705</v>
      </c>
      <c r="R389" t="inlineStr"/>
      <c r="S389" t="n">
        <v>3.232</v>
      </c>
      <c r="T389" t="n">
        <v>2.185</v>
      </c>
      <c r="U389" t="n">
        <v>1.047</v>
      </c>
      <c r="V389" t="n">
        <v>458443000000</v>
      </c>
    </row>
    <row r="390">
      <c r="A390" t="inlineStr">
        <is>
          <t>South Africa</t>
        </is>
      </c>
      <c r="B390" t="inlineStr">
        <is>
          <t>ZAF</t>
        </is>
      </c>
      <c r="C390" t="inlineStr">
        <is>
          <t>SRSA.L</t>
        </is>
      </c>
      <c r="D390" t="n">
        <v>2028</v>
      </c>
      <c r="E390" t="inlineStr"/>
      <c r="F390" t="n">
        <v>1.702</v>
      </c>
      <c r="G390" t="n">
        <v>4.906291</v>
      </c>
      <c r="H390" t="n">
        <v>3.724127</v>
      </c>
      <c r="I390" t="inlineStr"/>
      <c r="J390" t="inlineStr">
        <is>
          <t>South Africa|SRSA.L|2028</t>
        </is>
      </c>
      <c r="K390" t="inlineStr">
        <is>
          <t>South Africa|2028</t>
        </is>
      </c>
      <c r="L390" t="inlineStr">
        <is>
          <t>GBp</t>
        </is>
      </c>
      <c r="M390" t="inlineStr"/>
      <c r="N390" t="inlineStr"/>
      <c r="O390" t="inlineStr"/>
      <c r="P390" t="inlineStr"/>
      <c r="Q390" t="n">
        <v>-1.126876515225639</v>
      </c>
      <c r="R390" t="inlineStr"/>
      <c r="S390" t="n">
        <v>3</v>
      </c>
      <c r="T390" t="n">
        <v>2.206</v>
      </c>
      <c r="U390" t="n">
        <v>0.794</v>
      </c>
      <c r="V390" t="n">
        <v>475516000000</v>
      </c>
    </row>
    <row r="391">
      <c r="A391" t="inlineStr">
        <is>
          <t>South Africa</t>
        </is>
      </c>
      <c r="B391" t="inlineStr">
        <is>
          <t>ZAF</t>
        </is>
      </c>
      <c r="C391" t="inlineStr">
        <is>
          <t>SRSA.L</t>
        </is>
      </c>
      <c r="D391" t="n">
        <v>2029</v>
      </c>
      <c r="E391" t="inlineStr"/>
      <c r="F391" t="n">
        <v>1.835</v>
      </c>
      <c r="G391" t="n">
        <v>4.869249</v>
      </c>
      <c r="H391" t="n">
        <v>3.750242</v>
      </c>
      <c r="I391" t="inlineStr"/>
      <c r="J391" t="inlineStr">
        <is>
          <t>South Africa|SRSA.L|2029</t>
        </is>
      </c>
      <c r="K391" t="inlineStr">
        <is>
          <t>South Africa|2029</t>
        </is>
      </c>
      <c r="L391" t="inlineStr">
        <is>
          <t>GBp</t>
        </is>
      </c>
      <c r="M391" t="inlineStr"/>
      <c r="N391" t="inlineStr"/>
      <c r="O391" t="inlineStr"/>
      <c r="P391" t="inlineStr"/>
      <c r="Q391" t="n">
        <v>-1.067050310175166</v>
      </c>
      <c r="R391" t="inlineStr"/>
      <c r="S391" t="n">
        <v>3</v>
      </c>
      <c r="T391" t="n">
        <v>2.203</v>
      </c>
      <c r="U391" t="n">
        <v>0.7970000000000002</v>
      </c>
      <c r="V391" t="n">
        <v>493349000000</v>
      </c>
    </row>
    <row r="392">
      <c r="A392" t="inlineStr">
        <is>
          <t>South Korea</t>
        </is>
      </c>
      <c r="B392" t="inlineStr">
        <is>
          <t>KOR</t>
        </is>
      </c>
      <c r="C392" t="inlineStr">
        <is>
          <t>CSKR.L</t>
        </is>
      </c>
      <c r="D392" t="n">
        <v>2015</v>
      </c>
      <c r="E392" t="n">
        <v>-6.759926185702048</v>
      </c>
      <c r="F392" t="n">
        <v>2.92</v>
      </c>
      <c r="G392" t="inlineStr"/>
      <c r="H392" t="inlineStr"/>
      <c r="I392" t="inlineStr"/>
      <c r="J392" t="inlineStr">
        <is>
          <t>South Korea|CSKR.L|2015</t>
        </is>
      </c>
      <c r="K392" t="inlineStr">
        <is>
          <t>South Korea|2015</t>
        </is>
      </c>
      <c r="L392" t="inlineStr">
        <is>
          <t>USD</t>
        </is>
      </c>
      <c r="M392" t="n">
        <v>-6.759926185702048</v>
      </c>
      <c r="N392" t="n">
        <v>0</v>
      </c>
      <c r="O392" t="n">
        <v>0</v>
      </c>
      <c r="P392" t="n">
        <v>-6.759926185702048</v>
      </c>
      <c r="Q392" t="inlineStr"/>
      <c r="R392" t="inlineStr"/>
      <c r="S392" t="n">
        <v>0.706</v>
      </c>
      <c r="T392" t="n">
        <v>0.121</v>
      </c>
      <c r="U392" t="n">
        <v>0.585</v>
      </c>
      <c r="V392" t="n">
        <v>1539212000000</v>
      </c>
    </row>
    <row r="393">
      <c r="A393" t="inlineStr">
        <is>
          <t>South Korea</t>
        </is>
      </c>
      <c r="B393" t="inlineStr">
        <is>
          <t>KOR</t>
        </is>
      </c>
      <c r="C393" t="inlineStr">
        <is>
          <t>CSKR.L</t>
        </is>
      </c>
      <c r="D393" t="n">
        <v>2016</v>
      </c>
      <c r="E393" t="n">
        <v>14.8122080055201</v>
      </c>
      <c r="F393" t="n">
        <v>3.172</v>
      </c>
      <c r="G393" t="n">
        <v>5.299389</v>
      </c>
      <c r="H393" t="n">
        <v>2.573005</v>
      </c>
      <c r="I393" t="n">
        <v>-12.2392030055201</v>
      </c>
      <c r="J393" t="inlineStr">
        <is>
          <t>South Korea|CSKR.L|2016</t>
        </is>
      </c>
      <c r="K393" t="inlineStr">
        <is>
          <t>South Korea|2016</t>
        </is>
      </c>
      <c r="L393" t="inlineStr">
        <is>
          <t>USD</t>
        </is>
      </c>
      <c r="M393" t="n">
        <v>14.8122080055201</v>
      </c>
      <c r="N393" t="n">
        <v>0</v>
      </c>
      <c r="O393" t="n">
        <v>0</v>
      </c>
      <c r="P393" t="n">
        <v>14.8122080055201</v>
      </c>
      <c r="Q393" t="n">
        <v>-2.589174156899388</v>
      </c>
      <c r="R393" t="n">
        <v>17.86390990098765</v>
      </c>
      <c r="S393" t="n">
        <v>0.972</v>
      </c>
      <c r="T393" t="n">
        <v>1.267</v>
      </c>
      <c r="U393" t="n">
        <v>-0.2949999999999999</v>
      </c>
      <c r="V393" t="n">
        <v>1578816000000</v>
      </c>
    </row>
    <row r="394">
      <c r="A394" t="inlineStr">
        <is>
          <t>South Korea</t>
        </is>
      </c>
      <c r="B394" t="inlineStr">
        <is>
          <t>KOR</t>
        </is>
      </c>
      <c r="C394" t="inlineStr">
        <is>
          <t>CSKR.L</t>
        </is>
      </c>
      <c r="D394" t="n">
        <v>2017</v>
      </c>
      <c r="E394" t="n">
        <v>41.917579631142</v>
      </c>
      <c r="F394" t="n">
        <v>3.433</v>
      </c>
      <c r="G394" t="n">
        <v>5.521328</v>
      </c>
      <c r="H394" t="n">
        <v>8.321489</v>
      </c>
      <c r="I394" t="n">
        <v>-33.596090631142</v>
      </c>
      <c r="J394" t="inlineStr">
        <is>
          <t>South Korea|CSKR.L|2017</t>
        </is>
      </c>
      <c r="K394" t="inlineStr">
        <is>
          <t>South Korea|2017</t>
        </is>
      </c>
      <c r="L394" t="inlineStr">
        <is>
          <t>USD</t>
        </is>
      </c>
      <c r="M394" t="n">
        <v>41.917579631142</v>
      </c>
      <c r="N394" t="n">
        <v>0</v>
      </c>
      <c r="O394" t="n">
        <v>0</v>
      </c>
      <c r="P394" t="n">
        <v>41.917579631142</v>
      </c>
      <c r="Q394" t="n">
        <v>2.653644878798755</v>
      </c>
      <c r="R394" t="n">
        <v>38.24894361880813</v>
      </c>
      <c r="S394" t="n">
        <v>1.944</v>
      </c>
      <c r="T394" t="n">
        <v>2.131</v>
      </c>
      <c r="U394" t="n">
        <v>-0.1869999999999998</v>
      </c>
      <c r="V394" t="n">
        <v>1710197000000</v>
      </c>
    </row>
    <row r="395">
      <c r="A395" t="inlineStr">
        <is>
          <t>South Korea</t>
        </is>
      </c>
      <c r="B395" t="inlineStr">
        <is>
          <t>KOR</t>
        </is>
      </c>
      <c r="C395" t="inlineStr">
        <is>
          <t>CSKR.L</t>
        </is>
      </c>
      <c r="D395" t="n">
        <v>2018</v>
      </c>
      <c r="E395" t="n">
        <v>-21.61225548234764</v>
      </c>
      <c r="F395" t="n">
        <v>3.176</v>
      </c>
      <c r="G395" t="n">
        <v>3.760698</v>
      </c>
      <c r="H395" t="n">
        <v>6.669056</v>
      </c>
      <c r="I395" t="n">
        <v>28.28131148234764</v>
      </c>
      <c r="J395" t="inlineStr">
        <is>
          <t>South Korea|CSKR.L|2018</t>
        </is>
      </c>
      <c r="K395" t="inlineStr">
        <is>
          <t>South Korea|2018</t>
        </is>
      </c>
      <c r="L395" t="inlineStr">
        <is>
          <t>USD</t>
        </is>
      </c>
      <c r="M395" t="n">
        <v>-21.61225548234764</v>
      </c>
      <c r="N395" t="n">
        <v>0</v>
      </c>
      <c r="O395" t="n">
        <v>0</v>
      </c>
      <c r="P395" t="n">
        <v>-21.61225548234764</v>
      </c>
      <c r="Q395" t="n">
        <v>2.802947625385244</v>
      </c>
      <c r="R395" t="n">
        <v>-23.74951659625761</v>
      </c>
      <c r="S395" t="n">
        <v>1.476</v>
      </c>
      <c r="T395" t="n">
        <v>2.439</v>
      </c>
      <c r="U395" t="n">
        <v>-0.9630000000000001</v>
      </c>
      <c r="V395" t="n">
        <v>1824251000000</v>
      </c>
    </row>
    <row r="396">
      <c r="A396" t="inlineStr">
        <is>
          <t>South Korea</t>
        </is>
      </c>
      <c r="B396" t="inlineStr">
        <is>
          <t>KOR</t>
        </is>
      </c>
      <c r="C396" t="inlineStr">
        <is>
          <t>CSKR.L</t>
        </is>
      </c>
      <c r="D396" t="n">
        <v>2019</v>
      </c>
      <c r="E396" t="n">
        <v>12.91555933075797</v>
      </c>
      <c r="F396" t="n">
        <v>2.314</v>
      </c>
      <c r="G396" t="n">
        <v>1.675143</v>
      </c>
      <c r="H396" t="n">
        <v>-4.01288</v>
      </c>
      <c r="I396" t="n">
        <v>-16.92843933075796</v>
      </c>
      <c r="J396" t="inlineStr">
        <is>
          <t>South Korea|CSKR.L|2019</t>
        </is>
      </c>
      <c r="K396" t="inlineStr">
        <is>
          <t>South Korea|2019</t>
        </is>
      </c>
      <c r="L396" t="inlineStr">
        <is>
          <t>USD</t>
        </is>
      </c>
      <c r="M396" t="n">
        <v>12.91555933075797</v>
      </c>
      <c r="N396" t="n">
        <v>0</v>
      </c>
      <c r="O396" t="n">
        <v>0</v>
      </c>
      <c r="P396" t="n">
        <v>12.91555933075797</v>
      </c>
      <c r="Q396" t="n">
        <v>-5.594310365672516</v>
      </c>
      <c r="R396" t="n">
        <v>19.6067310859408</v>
      </c>
      <c r="S396" t="n">
        <v>0.383</v>
      </c>
      <c r="T396" t="n">
        <v>1.813</v>
      </c>
      <c r="U396" t="n">
        <v>-1.43</v>
      </c>
      <c r="V396" t="n">
        <v>1751046000000</v>
      </c>
    </row>
    <row r="397">
      <c r="A397" t="inlineStr">
        <is>
          <t>South Korea</t>
        </is>
      </c>
      <c r="B397" t="inlineStr">
        <is>
          <t>KOR</t>
        </is>
      </c>
      <c r="C397" t="inlineStr">
        <is>
          <t>CSKR.L</t>
        </is>
      </c>
      <c r="D397" t="n">
        <v>2020</v>
      </c>
      <c r="E397" t="n">
        <v>44.82757939238946</v>
      </c>
      <c r="F397" t="n">
        <v>-0.7</v>
      </c>
      <c r="G397" t="n">
        <v>0.875833</v>
      </c>
      <c r="H397" t="n">
        <v>-0.376404</v>
      </c>
      <c r="I397" t="n">
        <v>-45.20398339238946</v>
      </c>
      <c r="J397" t="inlineStr">
        <is>
          <t>South Korea|CSKR.L|2020</t>
        </is>
      </c>
      <c r="K397" t="inlineStr">
        <is>
          <t>South Korea|2020</t>
        </is>
      </c>
      <c r="L397" t="inlineStr">
        <is>
          <t>USD</t>
        </is>
      </c>
      <c r="M397" t="n">
        <v>44.82757939238946</v>
      </c>
      <c r="N397" t="n">
        <v>0</v>
      </c>
      <c r="O397" t="n">
        <v>0</v>
      </c>
      <c r="P397" t="n">
        <v>44.82757939238946</v>
      </c>
      <c r="Q397" t="n">
        <v>-1.241364394072031</v>
      </c>
      <c r="R397" t="n">
        <v>46.6480156431973</v>
      </c>
      <c r="S397" t="n">
        <v>0.537</v>
      </c>
      <c r="T397" t="n">
        <v>1.253</v>
      </c>
      <c r="U397" t="n">
        <v>-0.7159999999999999</v>
      </c>
      <c r="V397" t="n">
        <v>1744455000000</v>
      </c>
    </row>
    <row r="398">
      <c r="A398" t="inlineStr">
        <is>
          <t>South Korea</t>
        </is>
      </c>
      <c r="B398" t="inlineStr">
        <is>
          <t>KOR</t>
        </is>
      </c>
      <c r="C398" t="inlineStr">
        <is>
          <t>CSKR.L</t>
        </is>
      </c>
      <c r="D398" t="n">
        <v>2021</v>
      </c>
      <c r="E398" t="n">
        <v>-10.42339775059745</v>
      </c>
      <c r="F398" t="n">
        <v>4.613</v>
      </c>
      <c r="G398" t="n">
        <v>7.940202</v>
      </c>
      <c r="H398" t="n">
        <v>11.342167</v>
      </c>
      <c r="I398" t="n">
        <v>21.76556475059745</v>
      </c>
      <c r="J398" t="inlineStr">
        <is>
          <t>South Korea|CSKR.L|2021</t>
        </is>
      </c>
      <c r="K398" t="inlineStr">
        <is>
          <t>South Korea|2021</t>
        </is>
      </c>
      <c r="L398" t="inlineStr">
        <is>
          <t>USD</t>
        </is>
      </c>
      <c r="M398" t="n">
        <v>-10.42339775059745</v>
      </c>
      <c r="N398" t="n">
        <v>0</v>
      </c>
      <c r="O398" t="n">
        <v>0</v>
      </c>
      <c r="P398" t="n">
        <v>-10.42339775059745</v>
      </c>
      <c r="Q398" t="n">
        <v>3.151712600797096</v>
      </c>
      <c r="R398" t="n">
        <v>-13.1603344327699</v>
      </c>
      <c r="S398" t="n">
        <v>2.498</v>
      </c>
      <c r="T398" t="n">
        <v>4.679</v>
      </c>
      <c r="U398" t="n">
        <v>-2.181</v>
      </c>
      <c r="V398" t="n">
        <v>1942314000000</v>
      </c>
    </row>
    <row r="399">
      <c r="A399" t="inlineStr">
        <is>
          <t>South Korea</t>
        </is>
      </c>
      <c r="B399" t="inlineStr">
        <is>
          <t>KOR</t>
        </is>
      </c>
      <c r="C399" t="inlineStr">
        <is>
          <t>CSKR.L</t>
        </is>
      </c>
      <c r="D399" t="n">
        <v>2022</v>
      </c>
      <c r="E399" t="n">
        <v>-27.74138051300801</v>
      </c>
      <c r="F399" t="n">
        <v>2.728</v>
      </c>
      <c r="G399" t="n">
        <v>4.58473</v>
      </c>
      <c r="H399" t="n">
        <v>-7.35983</v>
      </c>
      <c r="I399" t="n">
        <v>20.38155051300801</v>
      </c>
      <c r="J399" t="inlineStr">
        <is>
          <t>South Korea|CSKR.L|2022</t>
        </is>
      </c>
      <c r="K399" t="inlineStr">
        <is>
          <t>South Korea|2022</t>
        </is>
      </c>
      <c r="L399" t="inlineStr">
        <is>
          <t>USD</t>
        </is>
      </c>
      <c r="M399" t="n">
        <v>-27.74138051300801</v>
      </c>
      <c r="N399" t="n">
        <v>0</v>
      </c>
      <c r="O399" t="n">
        <v>0</v>
      </c>
      <c r="P399" t="n">
        <v>-27.74138051300801</v>
      </c>
      <c r="Q399" t="n">
        <v>-11.42094001016052</v>
      </c>
      <c r="R399" t="n">
        <v>-18.424716298321</v>
      </c>
      <c r="S399" t="n">
        <v>5.09</v>
      </c>
      <c r="T399" t="n">
        <v>7.993</v>
      </c>
      <c r="U399" t="n">
        <v>-2.903</v>
      </c>
      <c r="V399" t="n">
        <v>1799363000000</v>
      </c>
    </row>
    <row r="400">
      <c r="A400" t="inlineStr">
        <is>
          <t>South Korea</t>
        </is>
      </c>
      <c r="B400" t="inlineStr">
        <is>
          <t>KOR</t>
        </is>
      </c>
      <c r="C400" t="inlineStr">
        <is>
          <t>CSKR.L</t>
        </is>
      </c>
      <c r="D400" t="n">
        <v>2023</v>
      </c>
      <c r="E400" t="n">
        <v>23.02142835005658</v>
      </c>
      <c r="F400" t="n">
        <v>1.583</v>
      </c>
      <c r="G400" t="n">
        <v>3.653773</v>
      </c>
      <c r="H400" t="n">
        <v>2.525227</v>
      </c>
      <c r="I400" t="n">
        <v>-20.49620135005658</v>
      </c>
      <c r="J400" t="inlineStr">
        <is>
          <t>South Korea|CSKR.L|2023</t>
        </is>
      </c>
      <c r="K400" t="inlineStr">
        <is>
          <t>South Korea|2023</t>
        </is>
      </c>
      <c r="L400" t="inlineStr">
        <is>
          <t>USD</t>
        </is>
      </c>
      <c r="M400" t="n">
        <v>23.02142835005658</v>
      </c>
      <c r="N400" t="n">
        <v>0</v>
      </c>
      <c r="O400" t="n">
        <v>0</v>
      </c>
      <c r="P400" t="n">
        <v>23.02142835005658</v>
      </c>
      <c r="Q400" t="n">
        <v>-1.08876482258119</v>
      </c>
      <c r="R400" t="n">
        <v>24.37558597806497</v>
      </c>
      <c r="S400" t="n">
        <v>3.597</v>
      </c>
      <c r="T400" t="n">
        <v>4.128</v>
      </c>
      <c r="U400" t="n">
        <v>-0.5310000000000001</v>
      </c>
      <c r="V400" t="n">
        <v>1844801000000</v>
      </c>
    </row>
    <row r="401">
      <c r="A401" t="inlineStr">
        <is>
          <t>South Korea</t>
        </is>
      </c>
      <c r="B401" t="inlineStr">
        <is>
          <t>KOR</t>
        </is>
      </c>
      <c r="C401" t="inlineStr">
        <is>
          <t>CSKR.L</t>
        </is>
      </c>
      <c r="D401" t="n">
        <v>2024</v>
      </c>
      <c r="E401" t="n">
        <v>-21.70154358359101</v>
      </c>
      <c r="F401" t="n">
        <v>2.004</v>
      </c>
      <c r="G401" t="n">
        <v>6.151488</v>
      </c>
      <c r="H401" t="n">
        <v>1.658011</v>
      </c>
      <c r="I401" t="n">
        <v>23.35955458359101</v>
      </c>
      <c r="J401" t="inlineStr">
        <is>
          <t>South Korea|CSKR.L|2024</t>
        </is>
      </c>
      <c r="K401" t="inlineStr">
        <is>
          <t>South Korea|2024</t>
        </is>
      </c>
      <c r="L401" t="inlineStr">
        <is>
          <t>USD</t>
        </is>
      </c>
      <c r="M401" t="n">
        <v>-21.70154358359101</v>
      </c>
      <c r="N401" t="n">
        <v>0</v>
      </c>
      <c r="O401" t="n">
        <v>0</v>
      </c>
      <c r="P401" t="n">
        <v>-21.70154358359101</v>
      </c>
      <c r="Q401" t="n">
        <v>-4.233079411890717</v>
      </c>
      <c r="R401" t="n">
        <v>-18.24060339877863</v>
      </c>
      <c r="S401" t="n">
        <v>2.322</v>
      </c>
      <c r="T401" t="n">
        <v>2.952</v>
      </c>
      <c r="U401" t="n">
        <v>-0.6299999999999999</v>
      </c>
      <c r="V401" t="n">
        <v>1875388000000</v>
      </c>
    </row>
    <row r="402">
      <c r="A402" t="inlineStr">
        <is>
          <t>South Korea</t>
        </is>
      </c>
      <c r="B402" t="inlineStr">
        <is>
          <t>KOR</t>
        </is>
      </c>
      <c r="C402" t="inlineStr">
        <is>
          <t>CSKR.L</t>
        </is>
      </c>
      <c r="D402" t="n">
        <v>2025</v>
      </c>
      <c r="E402" t="n">
        <v>99.25350103748991</v>
      </c>
      <c r="F402" t="n">
        <v>0.896</v>
      </c>
      <c r="G402" t="n">
        <v>2.117764</v>
      </c>
      <c r="H402" t="n">
        <v>-0.896668</v>
      </c>
      <c r="I402" t="n">
        <v>-100.1501690374899</v>
      </c>
      <c r="J402" t="inlineStr">
        <is>
          <t>South Korea|CSKR.L|2025</t>
        </is>
      </c>
      <c r="K402" t="inlineStr">
        <is>
          <t>South Korea|2025</t>
        </is>
      </c>
      <c r="L402" t="inlineStr">
        <is>
          <t>USD</t>
        </is>
      </c>
      <c r="M402" t="n">
        <v>99.25350103748991</v>
      </c>
      <c r="N402" t="n">
        <v>0</v>
      </c>
      <c r="O402" t="n">
        <v>0</v>
      </c>
      <c r="P402" t="n">
        <v>99.25350103748991</v>
      </c>
      <c r="Q402" t="n">
        <v>-2.951916938055843</v>
      </c>
      <c r="R402" t="n">
        <v>105.3142058563998</v>
      </c>
      <c r="S402" t="n">
        <v>1.992</v>
      </c>
      <c r="T402" t="n">
        <v>2.715</v>
      </c>
      <c r="U402" t="n">
        <v>-0.7229999999999999</v>
      </c>
      <c r="V402" t="n">
        <v>1858572000000</v>
      </c>
    </row>
    <row r="403">
      <c r="A403" t="inlineStr">
        <is>
          <t>South Korea</t>
        </is>
      </c>
      <c r="B403" t="inlineStr">
        <is>
          <t>KOR</t>
        </is>
      </c>
      <c r="C403" t="inlineStr">
        <is>
          <t>CSKR.L</t>
        </is>
      </c>
      <c r="D403" t="n">
        <v>2026</v>
      </c>
      <c r="E403" t="n">
        <v>33.86765682512618</v>
      </c>
      <c r="F403" t="n">
        <v>1.83</v>
      </c>
      <c r="G403" t="n">
        <v>2.120058</v>
      </c>
      <c r="H403" t="n">
        <v>4.199192</v>
      </c>
      <c r="I403" t="n">
        <v>-29.66846482512618</v>
      </c>
      <c r="J403" t="inlineStr">
        <is>
          <t>South Korea|CSKR.L|2026</t>
        </is>
      </c>
      <c r="K403" t="inlineStr">
        <is>
          <t>South Korea|2026</t>
        </is>
      </c>
      <c r="L403" t="inlineStr">
        <is>
          <t>USD</t>
        </is>
      </c>
      <c r="M403" t="n">
        <v>33.86765682512618</v>
      </c>
      <c r="N403" t="n">
        <v>0</v>
      </c>
      <c r="O403" t="n">
        <v>0</v>
      </c>
      <c r="P403" t="n">
        <v>33.86765682512618</v>
      </c>
      <c r="Q403" t="n">
        <v>2.035970204912152</v>
      </c>
      <c r="R403" t="n">
        <v>31.19653447337105</v>
      </c>
      <c r="S403" t="n">
        <v>1.846</v>
      </c>
      <c r="T403" t="n">
        <v>2.435</v>
      </c>
      <c r="U403" t="n">
        <v>-0.589</v>
      </c>
      <c r="V403" t="n">
        <v>1936617000000</v>
      </c>
    </row>
    <row r="404">
      <c r="A404" t="inlineStr">
        <is>
          <t>South Korea</t>
        </is>
      </c>
      <c r="B404" t="inlineStr">
        <is>
          <t>KOR</t>
        </is>
      </c>
      <c r="C404" t="inlineStr">
        <is>
          <t>CSKR.L</t>
        </is>
      </c>
      <c r="D404" t="n">
        <v>2027</v>
      </c>
      <c r="E404" t="inlineStr"/>
      <c r="F404" t="n">
        <v>2.152</v>
      </c>
      <c r="G404" t="n">
        <v>4.129526</v>
      </c>
      <c r="H404" t="n">
        <v>4.151208</v>
      </c>
      <c r="I404" t="inlineStr"/>
      <c r="J404" t="inlineStr">
        <is>
          <t>South Korea|CSKR.L|2027</t>
        </is>
      </c>
      <c r="K404" t="inlineStr">
        <is>
          <t>South Korea|2027</t>
        </is>
      </c>
      <c r="L404" t="inlineStr">
        <is>
          <t>USD</t>
        </is>
      </c>
      <c r="M404" t="inlineStr"/>
      <c r="N404" t="inlineStr"/>
      <c r="O404" t="inlineStr"/>
      <c r="P404" t="inlineStr"/>
      <c r="Q404" t="n">
        <v>0.02082204448103919</v>
      </c>
      <c r="R404" t="inlineStr"/>
      <c r="S404" t="n">
        <v>1.972</v>
      </c>
      <c r="T404" t="n">
        <v>2.185</v>
      </c>
      <c r="U404" t="n">
        <v>-0.2130000000000001</v>
      </c>
      <c r="V404" t="n">
        <v>2017010000000</v>
      </c>
    </row>
    <row r="405">
      <c r="A405" t="inlineStr">
        <is>
          <t>South Korea</t>
        </is>
      </c>
      <c r="B405" t="inlineStr">
        <is>
          <t>KOR</t>
        </is>
      </c>
      <c r="C405" t="inlineStr">
        <is>
          <t>CSKR.L</t>
        </is>
      </c>
      <c r="D405" t="n">
        <v>2028</v>
      </c>
      <c r="E405" t="inlineStr"/>
      <c r="F405" t="n">
        <v>2.19</v>
      </c>
      <c r="G405" t="n">
        <v>4.115019</v>
      </c>
      <c r="H405" t="n">
        <v>4.099732</v>
      </c>
      <c r="I405" t="inlineStr"/>
      <c r="J405" t="inlineStr">
        <is>
          <t>South Korea|CSKR.L|2028</t>
        </is>
      </c>
      <c r="K405" t="inlineStr">
        <is>
          <t>South Korea|2028</t>
        </is>
      </c>
      <c r="L405" t="inlineStr">
        <is>
          <t>USD</t>
        </is>
      </c>
      <c r="M405" t="inlineStr"/>
      <c r="N405" t="inlineStr"/>
      <c r="O405" t="inlineStr"/>
      <c r="P405" t="inlineStr"/>
      <c r="Q405" t="n">
        <v>-0.01468306979793832</v>
      </c>
      <c r="R405" t="inlineStr"/>
      <c r="S405" t="n">
        <v>2</v>
      </c>
      <c r="T405" t="n">
        <v>2.206</v>
      </c>
      <c r="U405" t="n">
        <v>-0.206</v>
      </c>
      <c r="V405" t="n">
        <v>2099702000000</v>
      </c>
    </row>
    <row r="406">
      <c r="A406" t="inlineStr">
        <is>
          <t>South Korea</t>
        </is>
      </c>
      <c r="B406" t="inlineStr">
        <is>
          <t>KOR</t>
        </is>
      </c>
      <c r="C406" t="inlineStr">
        <is>
          <t>CSKR.L</t>
        </is>
      </c>
      <c r="D406" t="n">
        <v>2029</v>
      </c>
      <c r="E406" t="inlineStr"/>
      <c r="F406" t="n">
        <v>1.967</v>
      </c>
      <c r="G406" t="n">
        <v>4.062423</v>
      </c>
      <c r="H406" t="n">
        <v>4.053051</v>
      </c>
      <c r="I406" t="inlineStr"/>
      <c r="J406" t="inlineStr">
        <is>
          <t>South Korea|CSKR.L|2029</t>
        </is>
      </c>
      <c r="K406" t="inlineStr">
        <is>
          <t>South Korea|2029</t>
        </is>
      </c>
      <c r="L406" t="inlineStr">
        <is>
          <t>USD</t>
        </is>
      </c>
      <c r="M406" t="inlineStr"/>
      <c r="N406" t="inlineStr"/>
      <c r="O406" t="inlineStr"/>
      <c r="P406" t="inlineStr"/>
      <c r="Q406" t="n">
        <v>-0.009005381036630844</v>
      </c>
      <c r="R406" t="inlineStr"/>
      <c r="S406" t="n">
        <v>2</v>
      </c>
      <c r="T406" t="n">
        <v>2.203</v>
      </c>
      <c r="U406" t="n">
        <v>-0.2029999999999998</v>
      </c>
      <c r="V406" t="n">
        <v>2184804000000</v>
      </c>
    </row>
    <row r="407">
      <c r="A407" t="inlineStr">
        <is>
          <t>Spain</t>
        </is>
      </c>
      <c r="B407" t="inlineStr">
        <is>
          <t>ESP</t>
        </is>
      </c>
      <c r="C407" t="inlineStr">
        <is>
          <t>XESP.DE</t>
        </is>
      </c>
      <c r="D407" t="n">
        <v>2015</v>
      </c>
      <c r="E407" t="n">
        <v>-3.577685650660389</v>
      </c>
      <c r="F407" t="n">
        <v>4.061</v>
      </c>
      <c r="G407" t="inlineStr"/>
      <c r="H407" t="inlineStr"/>
      <c r="I407" t="inlineStr"/>
      <c r="J407" t="inlineStr">
        <is>
          <t>Spain|XESP.DE|2015</t>
        </is>
      </c>
      <c r="K407" t="inlineStr">
        <is>
          <t>Spain|2015</t>
        </is>
      </c>
      <c r="L407" t="inlineStr">
        <is>
          <t>EUR</t>
        </is>
      </c>
      <c r="M407" t="n">
        <v>-3.577685650660389</v>
      </c>
      <c r="N407" t="n">
        <v>-9.626275918027915</v>
      </c>
      <c r="O407" t="n">
        <v>-10.24552508038918</v>
      </c>
      <c r="P407" t="n">
        <v>-12.85956367647605</v>
      </c>
      <c r="Q407" t="inlineStr"/>
      <c r="R407" t="inlineStr"/>
      <c r="S407" t="n">
        <v>-0.629</v>
      </c>
      <c r="T407" t="n">
        <v>0.121</v>
      </c>
      <c r="U407" t="n">
        <v>-0.75</v>
      </c>
      <c r="V407" t="n">
        <v>1206287000000</v>
      </c>
    </row>
    <row r="408">
      <c r="A408" t="inlineStr">
        <is>
          <t>Spain</t>
        </is>
      </c>
      <c r="B408" t="inlineStr">
        <is>
          <t>ESP</t>
        </is>
      </c>
      <c r="C408" t="inlineStr">
        <is>
          <t>XESP.DE</t>
        </is>
      </c>
      <c r="D408" t="n">
        <v>2016</v>
      </c>
      <c r="E408" t="n">
        <v>4.772173868299223</v>
      </c>
      <c r="F408" t="n">
        <v>2.915</v>
      </c>
      <c r="G408" t="n">
        <v>3.298188</v>
      </c>
      <c r="H408" t="n">
        <v>3.016363</v>
      </c>
      <c r="I408" t="n">
        <v>0.982041984766691</v>
      </c>
      <c r="J408" t="inlineStr">
        <is>
          <t>Spain|XESP.DE|2016</t>
        </is>
      </c>
      <c r="K408" t="inlineStr">
        <is>
          <t>Spain|2016</t>
        </is>
      </c>
      <c r="L408" t="inlineStr">
        <is>
          <t>EUR</t>
        </is>
      </c>
      <c r="M408" t="n">
        <v>4.772173868299223</v>
      </c>
      <c r="N408" t="n">
        <v>-2.613148846665581</v>
      </c>
      <c r="O408" t="n">
        <v>-3.058092661956435</v>
      </c>
      <c r="P408" t="n">
        <v>2.034321015233309</v>
      </c>
      <c r="Q408" t="n">
        <v>-0.2728264610386888</v>
      </c>
      <c r="R408" t="n">
        <v>2.313459205148982</v>
      </c>
      <c r="S408" t="n">
        <v>-0.337</v>
      </c>
      <c r="T408" t="n">
        <v>1.267</v>
      </c>
      <c r="U408" t="n">
        <v>-1.604</v>
      </c>
      <c r="V408" t="n">
        <v>1242673000000</v>
      </c>
    </row>
    <row r="409">
      <c r="A409" t="inlineStr">
        <is>
          <t>Spain</t>
        </is>
      </c>
      <c r="B409" t="inlineStr">
        <is>
          <t>ESP</t>
        </is>
      </c>
      <c r="C409" t="inlineStr">
        <is>
          <t>XESP.DE</t>
        </is>
      </c>
      <c r="D409" t="n">
        <v>2017</v>
      </c>
      <c r="E409" t="n">
        <v>11.21210184225454</v>
      </c>
      <c r="F409" t="n">
        <v>2.896</v>
      </c>
      <c r="G409" t="n">
        <v>4.190417</v>
      </c>
      <c r="H409" t="n">
        <v>6.326282</v>
      </c>
      <c r="I409" t="n">
        <v>-19.83185505743104</v>
      </c>
      <c r="J409" t="inlineStr">
        <is>
          <t>Spain|XESP.DE|2017</t>
        </is>
      </c>
      <c r="K409" t="inlineStr">
        <is>
          <t>Spain|2017</t>
        </is>
      </c>
      <c r="L409" t="inlineStr">
        <is>
          <t>EUR</t>
        </is>
      </c>
      <c r="M409" t="n">
        <v>11.21210184225454</v>
      </c>
      <c r="N409" t="n">
        <v>13.43921656689508</v>
      </c>
      <c r="O409" t="n">
        <v>14.03979380502343</v>
      </c>
      <c r="P409" t="n">
        <v>26.15813705743104</v>
      </c>
      <c r="Q409" t="n">
        <v>2.049963138110011</v>
      </c>
      <c r="R409" t="n">
        <v>23.62389282462951</v>
      </c>
      <c r="S409" t="n">
        <v>2.036</v>
      </c>
      <c r="T409" t="n">
        <v>2.131</v>
      </c>
      <c r="U409" t="n">
        <v>-0.09499999999999975</v>
      </c>
      <c r="V409" t="n">
        <v>1321288000000</v>
      </c>
    </row>
    <row r="410">
      <c r="A410" t="inlineStr">
        <is>
          <t>Spain</t>
        </is>
      </c>
      <c r="B410" t="inlineStr">
        <is>
          <t>ESP</t>
        </is>
      </c>
      <c r="C410" t="inlineStr">
        <is>
          <t>XESP.DE</t>
        </is>
      </c>
      <c r="D410" t="n">
        <v>2018</v>
      </c>
      <c r="E410" t="n">
        <v>-12.57059603346495</v>
      </c>
      <c r="F410" t="n">
        <v>2.395</v>
      </c>
      <c r="G410" t="n">
        <v>3.611208</v>
      </c>
      <c r="H410" t="n">
        <v>8.401196000000001</v>
      </c>
      <c r="I410" t="n">
        <v>25.08656929637042</v>
      </c>
      <c r="J410" t="inlineStr">
        <is>
          <t>Spain|XESP.DE|2018</t>
        </is>
      </c>
      <c r="K410" t="inlineStr">
        <is>
          <t>Spain|2018</t>
        </is>
      </c>
      <c r="L410" t="inlineStr">
        <is>
          <t>EUR</t>
        </is>
      </c>
      <c r="M410" t="n">
        <v>-12.57059603346495</v>
      </c>
      <c r="N410" t="n">
        <v>-4.706399765095581</v>
      </c>
      <c r="O410" t="n">
        <v>-4.263928260016236</v>
      </c>
      <c r="P410" t="n">
        <v>-16.68537329637042</v>
      </c>
      <c r="Q410" t="n">
        <v>4.623040814539658</v>
      </c>
      <c r="R410" t="n">
        <v>-20.36684648526179</v>
      </c>
      <c r="S410" t="n">
        <v>1.736</v>
      </c>
      <c r="T410" t="n">
        <v>2.439</v>
      </c>
      <c r="U410" t="n">
        <v>-0.7030000000000001</v>
      </c>
      <c r="V410" t="n">
        <v>1432292000000</v>
      </c>
    </row>
    <row r="411">
      <c r="A411" t="inlineStr">
        <is>
          <t>Spain</t>
        </is>
      </c>
      <c r="B411" t="inlineStr">
        <is>
          <t>ESP</t>
        </is>
      </c>
      <c r="C411" t="inlineStr">
        <is>
          <t>XESP.DE</t>
        </is>
      </c>
      <c r="D411" t="n">
        <v>2019</v>
      </c>
      <c r="E411" t="n">
        <v>15.09029989973729</v>
      </c>
      <c r="F411" t="n">
        <v>1.961</v>
      </c>
      <c r="G411" t="n">
        <v>3.417869</v>
      </c>
      <c r="H411" t="n">
        <v>-1.999662</v>
      </c>
      <c r="I411" t="n">
        <v>-14.17825310697384</v>
      </c>
      <c r="J411" t="inlineStr">
        <is>
          <t>Spain|XESP.DE|2019</t>
        </is>
      </c>
      <c r="K411" t="inlineStr">
        <is>
          <t>Spain|2019</t>
        </is>
      </c>
      <c r="L411" t="inlineStr">
        <is>
          <t>EUR</t>
        </is>
      </c>
      <c r="M411" t="n">
        <v>15.09029989973729</v>
      </c>
      <c r="N411" t="n">
        <v>-2.529934143277091</v>
      </c>
      <c r="O411" t="n">
        <v>-2.368717781750818</v>
      </c>
      <c r="P411" t="n">
        <v>12.17859110697384</v>
      </c>
      <c r="Q411" t="n">
        <v>-5.238486051630298</v>
      </c>
      <c r="R411" t="n">
        <v>18.37990596909811</v>
      </c>
      <c r="S411" t="n">
        <v>0.78</v>
      </c>
      <c r="T411" t="n">
        <v>1.813</v>
      </c>
      <c r="U411" t="n">
        <v>-1.033</v>
      </c>
      <c r="V411" t="n">
        <v>1403651000000</v>
      </c>
    </row>
    <row r="412">
      <c r="A412" t="inlineStr">
        <is>
          <t>Spain</t>
        </is>
      </c>
      <c r="B412" t="inlineStr">
        <is>
          <t>ESP</t>
        </is>
      </c>
      <c r="C412" t="inlineStr">
        <is>
          <t>XESP.DE</t>
        </is>
      </c>
      <c r="D412" t="n">
        <v>2020</v>
      </c>
      <c r="E412" t="n">
        <v>-10.56960575108548</v>
      </c>
      <c r="F412" t="n">
        <v>-10.94</v>
      </c>
      <c r="G412" t="n">
        <v>-9.930206999999999</v>
      </c>
      <c r="H412" t="n">
        <v>-8.185795000000001</v>
      </c>
      <c r="I412" t="n">
        <v>-6.216421272417099</v>
      </c>
      <c r="J412" t="inlineStr">
        <is>
          <t>Spain|XESP.DE|2020</t>
        </is>
      </c>
      <c r="K412" t="inlineStr">
        <is>
          <t>Spain|2020</t>
        </is>
      </c>
      <c r="L412" t="inlineStr">
        <is>
          <t>EUR</t>
        </is>
      </c>
      <c r="M412" t="n">
        <v>-10.56960575108548</v>
      </c>
      <c r="N412" t="n">
        <v>9.616676853246631</v>
      </c>
      <c r="O412" t="n">
        <v>8.550554670168875</v>
      </c>
      <c r="P412" t="n">
        <v>-1.969373727582902</v>
      </c>
      <c r="Q412" t="n">
        <v>1.936733301978055</v>
      </c>
      <c r="R412" t="n">
        <v>-3.831893472581149</v>
      </c>
      <c r="S412" t="n">
        <v>-0.337</v>
      </c>
      <c r="T412" t="n">
        <v>1.253</v>
      </c>
      <c r="U412" t="n">
        <v>-1.59</v>
      </c>
      <c r="V412" t="n">
        <v>1288751000000</v>
      </c>
    </row>
    <row r="413">
      <c r="A413" t="inlineStr">
        <is>
          <t>Spain</t>
        </is>
      </c>
      <c r="B413" t="inlineStr">
        <is>
          <t>ESP</t>
        </is>
      </c>
      <c r="C413" t="inlineStr">
        <is>
          <t>XESP.DE</t>
        </is>
      </c>
      <c r="D413" t="n">
        <v>2021</v>
      </c>
      <c r="E413" t="n">
        <v>11.98327840884073</v>
      </c>
      <c r="F413" t="n">
        <v>6.683</v>
      </c>
      <c r="G413" t="n">
        <v>9.410085</v>
      </c>
      <c r="H413" t="n">
        <v>13.459931</v>
      </c>
      <c r="I413" t="n">
        <v>9.33958836953059</v>
      </c>
      <c r="J413" t="inlineStr">
        <is>
          <t>Spain|XESP.DE|2021</t>
        </is>
      </c>
      <c r="K413" t="inlineStr">
        <is>
          <t>Spain|2021</t>
        </is>
      </c>
      <c r="L413" t="inlineStr">
        <is>
          <t>EUR</t>
        </is>
      </c>
      <c r="M413" t="n">
        <v>11.98327840884073</v>
      </c>
      <c r="N413" t="n">
        <v>-7.021526686925927</v>
      </c>
      <c r="O413" t="n">
        <v>-6.623906905275723</v>
      </c>
      <c r="P413" t="n">
        <v>4.120342630469409</v>
      </c>
      <c r="Q413" t="n">
        <v>3.701529073566867</v>
      </c>
      <c r="R413" t="n">
        <v>0.4038643987644974</v>
      </c>
      <c r="S413" t="n">
        <v>3.008</v>
      </c>
      <c r="T413" t="n">
        <v>4.679</v>
      </c>
      <c r="U413" t="n">
        <v>-1.671</v>
      </c>
      <c r="V413" t="n">
        <v>1462216000000</v>
      </c>
    </row>
    <row r="414">
      <c r="A414" t="inlineStr">
        <is>
          <t>Spain</t>
        </is>
      </c>
      <c r="B414" t="inlineStr">
        <is>
          <t>ESP</t>
        </is>
      </c>
      <c r="C414" t="inlineStr">
        <is>
          <t>XESP.DE</t>
        </is>
      </c>
      <c r="D414" t="n">
        <v>2022</v>
      </c>
      <c r="E414" t="n">
        <v>-2.26617690167058</v>
      </c>
      <c r="F414" t="n">
        <v>6.37</v>
      </c>
      <c r="G414" t="n">
        <v>11.363169</v>
      </c>
      <c r="H414" t="n">
        <v>-0.836128</v>
      </c>
      <c r="I414" t="n">
        <v>7.554436118165876</v>
      </c>
      <c r="J414" t="inlineStr">
        <is>
          <t>Spain|XESP.DE|2022</t>
        </is>
      </c>
      <c r="K414" t="inlineStr">
        <is>
          <t>Spain|2022</t>
        </is>
      </c>
      <c r="L414" t="inlineStr">
        <is>
          <t>EUR</t>
        </is>
      </c>
      <c r="M414" t="n">
        <v>-2.26617690167058</v>
      </c>
      <c r="N414" t="n">
        <v>-6.266394808206355</v>
      </c>
      <c r="O414" t="n">
        <v>-5.835736795926605</v>
      </c>
      <c r="P414" t="n">
        <v>-8.390564118165877</v>
      </c>
      <c r="Q414" t="n">
        <v>-10.95451700107634</v>
      </c>
      <c r="R414" t="n">
        <v>2.879374446137217</v>
      </c>
      <c r="S414" t="n">
        <v>8.323</v>
      </c>
      <c r="T414" t="n">
        <v>7.993</v>
      </c>
      <c r="U414" t="n">
        <v>0.3300000000000001</v>
      </c>
      <c r="V414" t="n">
        <v>1449990000000</v>
      </c>
    </row>
    <row r="415">
      <c r="A415" t="inlineStr">
        <is>
          <t>Spain</t>
        </is>
      </c>
      <c r="B415" t="inlineStr">
        <is>
          <t>ESP</t>
        </is>
      </c>
      <c r="C415" t="inlineStr">
        <is>
          <t>XESP.DE</t>
        </is>
      </c>
      <c r="D415" t="n">
        <v>2023</v>
      </c>
      <c r="E415" t="n">
        <v>24.68905355102518</v>
      </c>
      <c r="F415" t="n">
        <v>2.461</v>
      </c>
      <c r="G415" t="n">
        <v>8.859748</v>
      </c>
      <c r="H415" t="n">
        <v>11.721391</v>
      </c>
      <c r="I415" t="n">
        <v>-17.14103741829765</v>
      </c>
      <c r="J415" t="inlineStr">
        <is>
          <t>Spain|XESP.DE|2023</t>
        </is>
      </c>
      <c r="K415" t="inlineStr">
        <is>
          <t>Spain|2023</t>
        </is>
      </c>
      <c r="L415" t="inlineStr">
        <is>
          <t>EUR</t>
        </is>
      </c>
      <c r="M415" t="n">
        <v>24.68905355102518</v>
      </c>
      <c r="N415" t="n">
        <v>3.347025860264985</v>
      </c>
      <c r="O415" t="n">
        <v>3.23162038723166</v>
      </c>
      <c r="P415" t="n">
        <v>28.86242841829765</v>
      </c>
      <c r="Q415" t="n">
        <v>2.628742793978001</v>
      </c>
      <c r="R415" t="n">
        <v>25.56173339956278</v>
      </c>
      <c r="S415" t="n">
        <v>3.4</v>
      </c>
      <c r="T415" t="n">
        <v>4.128</v>
      </c>
      <c r="U415" t="n">
        <v>-0.7280000000000002</v>
      </c>
      <c r="V415" t="n">
        <v>1619949000000</v>
      </c>
    </row>
    <row r="416">
      <c r="A416" t="inlineStr">
        <is>
          <t>Spain</t>
        </is>
      </c>
      <c r="B416" t="inlineStr">
        <is>
          <t>ESP</t>
        </is>
      </c>
      <c r="C416" t="inlineStr">
        <is>
          <t>XESP.DE</t>
        </is>
      </c>
      <c r="D416" t="n">
        <v>2024</v>
      </c>
      <c r="E416" t="n">
        <v>13.88934756957789</v>
      </c>
      <c r="F416" t="n">
        <v>3.455</v>
      </c>
      <c r="G416" t="n">
        <v>6.447557</v>
      </c>
      <c r="H416" t="n">
        <v>6.494217</v>
      </c>
      <c r="I416" t="n">
        <v>-0.7025885285479783</v>
      </c>
      <c r="J416" t="inlineStr">
        <is>
          <t>Spain|XESP.DE|2024</t>
        </is>
      </c>
      <c r="K416" t="inlineStr">
        <is>
          <t>Spain|2024</t>
        </is>
      </c>
      <c r="L416" t="inlineStr">
        <is>
          <t>EUR</t>
        </is>
      </c>
      <c r="M416" t="n">
        <v>13.88934756957789</v>
      </c>
      <c r="N416" t="n">
        <v>-5.876354710822507</v>
      </c>
      <c r="O416" t="n">
        <v>-6.367421210260094</v>
      </c>
      <c r="P416" t="n">
        <v>7.196805528547978</v>
      </c>
      <c r="Q416" t="n">
        <v>0.04383323306154097</v>
      </c>
      <c r="R416" t="n">
        <v>7.149838290205168</v>
      </c>
      <c r="S416" t="n">
        <v>2.867</v>
      </c>
      <c r="T416" t="n">
        <v>2.952</v>
      </c>
      <c r="U416" t="n">
        <v>-0.08499999999999996</v>
      </c>
      <c r="V416" t="n">
        <v>1725152000000</v>
      </c>
    </row>
    <row r="417">
      <c r="A417" t="inlineStr">
        <is>
          <t>Spain</t>
        </is>
      </c>
      <c r="B417" t="inlineStr">
        <is>
          <t>ESP</t>
        </is>
      </c>
      <c r="C417" t="inlineStr">
        <is>
          <t>XESP.DE</t>
        </is>
      </c>
      <c r="D417" t="n">
        <v>2025</v>
      </c>
      <c r="E417" t="n">
        <v>57.11619394112317</v>
      </c>
      <c r="F417" t="n">
        <v>2.908</v>
      </c>
      <c r="G417" t="n">
        <v>5.025308</v>
      </c>
      <c r="H417" t="n">
        <v>9.635035</v>
      </c>
      <c r="I417" t="n">
        <v>-68.66043643122741</v>
      </c>
      <c r="J417" t="inlineStr">
        <is>
          <t>Spain|XESP.DE|2025</t>
        </is>
      </c>
      <c r="K417" t="inlineStr">
        <is>
          <t>Spain|2025</t>
        </is>
      </c>
      <c r="L417" t="inlineStr">
        <is>
          <t>EUR</t>
        </is>
      </c>
      <c r="M417" t="n">
        <v>57.11619394112317</v>
      </c>
      <c r="N417" t="n">
        <v>13.48000925865149</v>
      </c>
      <c r="O417" t="n">
        <v>13.51067566275939</v>
      </c>
      <c r="P417" t="n">
        <v>78.29547143122741</v>
      </c>
      <c r="Q417" t="n">
        <v>4.389157898815155</v>
      </c>
      <c r="R417" t="n">
        <v>70.7988406267727</v>
      </c>
      <c r="S417" t="n">
        <v>2.359</v>
      </c>
      <c r="T417" t="n">
        <v>2.715</v>
      </c>
      <c r="U417" t="n">
        <v>-0.3559999999999999</v>
      </c>
      <c r="V417" t="n">
        <v>1891371000000</v>
      </c>
    </row>
    <row r="418">
      <c r="A418" t="inlineStr">
        <is>
          <t>Spain</t>
        </is>
      </c>
      <c r="B418" t="inlineStr">
        <is>
          <t>ESP</t>
        </is>
      </c>
      <c r="C418" t="inlineStr">
        <is>
          <t>XESP.DE</t>
        </is>
      </c>
      <c r="D418" t="n">
        <v>2026</v>
      </c>
      <c r="E418" t="n">
        <v>-1.103673973763963</v>
      </c>
      <c r="F418" t="n">
        <v>1.958</v>
      </c>
      <c r="G418" t="n">
        <v>4.480217</v>
      </c>
      <c r="H418" t="n">
        <v>7.955023</v>
      </c>
      <c r="I418" t="n">
        <v>11.52543491800488</v>
      </c>
      <c r="J418" t="inlineStr">
        <is>
          <t>Spain|XESP.DE|2026</t>
        </is>
      </c>
      <c r="K418" t="inlineStr">
        <is>
          <t>Spain|2026</t>
        </is>
      </c>
      <c r="L418" t="inlineStr">
        <is>
          <t>EUR</t>
        </is>
      </c>
      <c r="M418" t="n">
        <v>-1.103673973763963</v>
      </c>
      <c r="N418" t="n">
        <v>-2.494266514598853</v>
      </c>
      <c r="O418" t="inlineStr"/>
      <c r="P418" t="n">
        <v>-3.570411918004879</v>
      </c>
      <c r="Q418" t="n">
        <v>3.325802534156552</v>
      </c>
      <c r="R418" t="n">
        <v>-6.674242331562574</v>
      </c>
      <c r="S418" t="n">
        <v>2.024</v>
      </c>
      <c r="T418" t="n">
        <v>2.435</v>
      </c>
      <c r="U418" t="n">
        <v>-0.411</v>
      </c>
      <c r="V418" t="n">
        <v>2041830000000</v>
      </c>
    </row>
    <row r="419">
      <c r="A419" t="inlineStr">
        <is>
          <t>Spain</t>
        </is>
      </c>
      <c r="B419" t="inlineStr">
        <is>
          <t>ESP</t>
        </is>
      </c>
      <c r="C419" t="inlineStr">
        <is>
          <t>XESP.DE</t>
        </is>
      </c>
      <c r="D419" t="n">
        <v>2027</v>
      </c>
      <c r="E419" t="inlineStr"/>
      <c r="F419" t="n">
        <v>1.731</v>
      </c>
      <c r="G419" t="n">
        <v>4.569901</v>
      </c>
      <c r="H419" t="n">
        <v>4.29933</v>
      </c>
      <c r="I419" t="inlineStr"/>
      <c r="J419" t="inlineStr">
        <is>
          <t>Spain|XESP.DE|2027</t>
        </is>
      </c>
      <c r="K419" t="inlineStr">
        <is>
          <t>Spain|2027</t>
        </is>
      </c>
      <c r="L419" t="inlineStr">
        <is>
          <t>EUR</t>
        </is>
      </c>
      <c r="M419" t="inlineStr"/>
      <c r="N419" t="inlineStr"/>
      <c r="O419" t="inlineStr"/>
      <c r="P419" t="inlineStr"/>
      <c r="Q419" t="n">
        <v>-0.2587469231642991</v>
      </c>
      <c r="R419" t="inlineStr"/>
      <c r="S419" t="n">
        <v>2.5</v>
      </c>
      <c r="T419" t="n">
        <v>2.185</v>
      </c>
      <c r="U419" t="n">
        <v>0.3149999999999999</v>
      </c>
      <c r="V419" t="n">
        <v>2129615000000</v>
      </c>
    </row>
    <row r="420">
      <c r="A420" t="inlineStr">
        <is>
          <t>Spain</t>
        </is>
      </c>
      <c r="B420" t="inlineStr">
        <is>
          <t>ESP</t>
        </is>
      </c>
      <c r="C420" t="inlineStr">
        <is>
          <t>XESP.DE</t>
        </is>
      </c>
      <c r="D420" t="n">
        <v>2028</v>
      </c>
      <c r="E420" t="inlineStr"/>
      <c r="F420" t="n">
        <v>1.6</v>
      </c>
      <c r="G420" t="n">
        <v>3.896868</v>
      </c>
      <c r="H420" t="n">
        <v>3.71377</v>
      </c>
      <c r="I420" t="inlineStr"/>
      <c r="J420" t="inlineStr">
        <is>
          <t>Spain|XESP.DE|2028</t>
        </is>
      </c>
      <c r="K420" t="inlineStr">
        <is>
          <t>Spain|2028</t>
        </is>
      </c>
      <c r="L420" t="inlineStr">
        <is>
          <t>EUR</t>
        </is>
      </c>
      <c r="M420" t="inlineStr"/>
      <c r="N420" t="inlineStr"/>
      <c r="O420" t="inlineStr"/>
      <c r="P420" t="inlineStr"/>
      <c r="Q420" t="n">
        <v>-0.1762304207724052</v>
      </c>
      <c r="R420" t="inlineStr"/>
      <c r="S420" t="n">
        <v>2</v>
      </c>
      <c r="T420" t="n">
        <v>2.206</v>
      </c>
      <c r="U420" t="n">
        <v>-0.206</v>
      </c>
      <c r="V420" t="n">
        <v>2208704000000</v>
      </c>
    </row>
    <row r="421">
      <c r="A421" t="inlineStr">
        <is>
          <t>Spain</t>
        </is>
      </c>
      <c r="B421" t="inlineStr">
        <is>
          <t>ESP</t>
        </is>
      </c>
      <c r="C421" t="inlineStr">
        <is>
          <t>XESP.DE</t>
        </is>
      </c>
      <c r="D421" t="n">
        <v>2029</v>
      </c>
      <c r="E421" t="inlineStr"/>
      <c r="F421" t="n">
        <v>1.598</v>
      </c>
      <c r="G421" t="n">
        <v>3.906176</v>
      </c>
      <c r="H421" t="n">
        <v>3.802501</v>
      </c>
      <c r="I421" t="inlineStr"/>
      <c r="J421" t="inlineStr">
        <is>
          <t>Spain|XESP.DE|2029</t>
        </is>
      </c>
      <c r="K421" t="inlineStr">
        <is>
          <t>Spain|2029</t>
        </is>
      </c>
      <c r="L421" t="inlineStr">
        <is>
          <t>EUR</t>
        </is>
      </c>
      <c r="M421" t="inlineStr"/>
      <c r="N421" t="inlineStr"/>
      <c r="O421" t="inlineStr"/>
      <c r="P421" t="inlineStr"/>
      <c r="Q421" t="n">
        <v>-0.09977716630082956</v>
      </c>
      <c r="R421" t="inlineStr"/>
      <c r="S421" t="n">
        <v>2</v>
      </c>
      <c r="T421" t="n">
        <v>2.203</v>
      </c>
      <c r="U421" t="n">
        <v>-0.2029999999999998</v>
      </c>
      <c r="V421" t="n">
        <v>2292690000000</v>
      </c>
    </row>
    <row r="422">
      <c r="A422" t="inlineStr">
        <is>
          <t>Sweden</t>
        </is>
      </c>
      <c r="B422" t="inlineStr">
        <is>
          <t>SWE</t>
        </is>
      </c>
      <c r="C422" t="inlineStr">
        <is>
          <t>EWD</t>
        </is>
      </c>
      <c r="D422" t="n">
        <v>2015</v>
      </c>
      <c r="E422" t="n">
        <v>-3.906313790304505</v>
      </c>
      <c r="F422" t="n">
        <v>4.388</v>
      </c>
      <c r="G422" t="inlineStr"/>
      <c r="H422" t="inlineStr"/>
      <c r="I422" t="inlineStr"/>
      <c r="J422" t="inlineStr">
        <is>
          <t>Sweden|EWD|2015</t>
        </is>
      </c>
      <c r="K422" t="inlineStr">
        <is>
          <t>Sweden|2015</t>
        </is>
      </c>
      <c r="L422" t="inlineStr">
        <is>
          <t>USD</t>
        </is>
      </c>
      <c r="M422" t="n">
        <v>-3.906313790304505</v>
      </c>
      <c r="N422" t="n">
        <v>0</v>
      </c>
      <c r="O422" t="n">
        <v>0</v>
      </c>
      <c r="P422" t="n">
        <v>-3.906313790304505</v>
      </c>
      <c r="Q422" t="inlineStr"/>
      <c r="R422" t="inlineStr"/>
      <c r="S422" t="n">
        <v>0.703</v>
      </c>
      <c r="T422" t="n">
        <v>0.121</v>
      </c>
      <c r="U422" t="n">
        <v>0.582</v>
      </c>
      <c r="V422" t="n">
        <v>501602000000</v>
      </c>
    </row>
    <row r="423">
      <c r="A423" t="inlineStr">
        <is>
          <t>Sweden</t>
        </is>
      </c>
      <c r="B423" t="inlineStr">
        <is>
          <t>SWE</t>
        </is>
      </c>
      <c r="C423" t="inlineStr">
        <is>
          <t>EWD</t>
        </is>
      </c>
      <c r="D423" t="n">
        <v>2016</v>
      </c>
      <c r="E423" t="n">
        <v>4.52369302111213</v>
      </c>
      <c r="F423" t="n">
        <v>2.131</v>
      </c>
      <c r="G423" t="n">
        <v>3.825749</v>
      </c>
      <c r="H423" t="n">
        <v>2.283882</v>
      </c>
      <c r="I423" t="n">
        <v>-2.239811021112129</v>
      </c>
      <c r="J423" t="inlineStr">
        <is>
          <t>Sweden|EWD|2016</t>
        </is>
      </c>
      <c r="K423" t="inlineStr">
        <is>
          <t>Sweden|2016</t>
        </is>
      </c>
      <c r="L423" t="inlineStr">
        <is>
          <t>USD</t>
        </is>
      </c>
      <c r="M423" t="n">
        <v>4.52369302111213</v>
      </c>
      <c r="N423" t="n">
        <v>0</v>
      </c>
      <c r="O423" t="n">
        <v>0</v>
      </c>
      <c r="P423" t="n">
        <v>4.52369302111213</v>
      </c>
      <c r="Q423" t="n">
        <v>-1.485052375931262</v>
      </c>
      <c r="R423" t="n">
        <v>6.099323546283197</v>
      </c>
      <c r="S423" t="n">
        <v>1.14</v>
      </c>
      <c r="T423" t="n">
        <v>1.267</v>
      </c>
      <c r="U423" t="n">
        <v>-0.127</v>
      </c>
      <c r="V423" t="n">
        <v>513058000000</v>
      </c>
    </row>
    <row r="424">
      <c r="A424" t="inlineStr">
        <is>
          <t>Sweden</t>
        </is>
      </c>
      <c r="B424" t="inlineStr">
        <is>
          <t>SWE</t>
        </is>
      </c>
      <c r="C424" t="inlineStr">
        <is>
          <t>EWD</t>
        </is>
      </c>
      <c r="D424" t="n">
        <v>2017</v>
      </c>
      <c r="E424" t="n">
        <v>21.0142036030081</v>
      </c>
      <c r="F424" t="n">
        <v>1.883</v>
      </c>
      <c r="G424" t="n">
        <v>4.150268</v>
      </c>
      <c r="H424" t="n">
        <v>4.310234</v>
      </c>
      <c r="I424" t="n">
        <v>-16.7039696030081</v>
      </c>
      <c r="J424" t="inlineStr">
        <is>
          <t>Sweden|EWD|2017</t>
        </is>
      </c>
      <c r="K424" t="inlineStr">
        <is>
          <t>Sweden|2017</t>
        </is>
      </c>
      <c r="L424" t="inlineStr">
        <is>
          <t>USD</t>
        </is>
      </c>
      <c r="M424" t="n">
        <v>21.0142036030081</v>
      </c>
      <c r="N424" t="n">
        <v>0</v>
      </c>
      <c r="O424" t="n">
        <v>0</v>
      </c>
      <c r="P424" t="n">
        <v>21.0142036030081</v>
      </c>
      <c r="Q424" t="n">
        <v>0.1535917839132761</v>
      </c>
      <c r="R424" t="n">
        <v>20.82862076889136</v>
      </c>
      <c r="S424" t="n">
        <v>1.867</v>
      </c>
      <c r="T424" t="n">
        <v>2.131</v>
      </c>
      <c r="U424" t="n">
        <v>-0.2639999999999998</v>
      </c>
      <c r="V424" t="n">
        <v>535172000000</v>
      </c>
    </row>
    <row r="425">
      <c r="A425" t="inlineStr">
        <is>
          <t>Sweden</t>
        </is>
      </c>
      <c r="B425" t="inlineStr">
        <is>
          <t>SWE</t>
        </is>
      </c>
      <c r="C425" t="inlineStr">
        <is>
          <t>EWD</t>
        </is>
      </c>
      <c r="D425" t="n">
        <v>2018</v>
      </c>
      <c r="E425" t="n">
        <v>-13.44731015244174</v>
      </c>
      <c r="F425" t="n">
        <v>1.77</v>
      </c>
      <c r="G425" t="n">
        <v>4.430993</v>
      </c>
      <c r="H425" t="n">
        <v>2.705112</v>
      </c>
      <c r="I425" t="n">
        <v>16.15242215244174</v>
      </c>
      <c r="J425" t="inlineStr">
        <is>
          <t>Sweden|EWD|2018</t>
        </is>
      </c>
      <c r="K425" t="inlineStr">
        <is>
          <t>Sweden|2018</t>
        </is>
      </c>
      <c r="L425" t="inlineStr">
        <is>
          <t>USD</t>
        </is>
      </c>
      <c r="M425" t="n">
        <v>-13.44731015244174</v>
      </c>
      <c r="N425" t="n">
        <v>0</v>
      </c>
      <c r="O425" t="n">
        <v>0</v>
      </c>
      <c r="P425" t="n">
        <v>-13.44731015244174</v>
      </c>
      <c r="Q425" t="n">
        <v>-1.652652847033775</v>
      </c>
      <c r="R425" t="n">
        <v>-11.99285760810909</v>
      </c>
      <c r="S425" t="n">
        <v>2.035</v>
      </c>
      <c r="T425" t="n">
        <v>2.439</v>
      </c>
      <c r="U425" t="n">
        <v>-0.4039999999999999</v>
      </c>
      <c r="V425" t="n">
        <v>549649000000</v>
      </c>
    </row>
    <row r="426">
      <c r="A426" t="inlineStr">
        <is>
          <t>Sweden</t>
        </is>
      </c>
      <c r="B426" t="inlineStr">
        <is>
          <t>SWE</t>
        </is>
      </c>
      <c r="C426" t="inlineStr">
        <is>
          <t>EWD</t>
        </is>
      </c>
      <c r="D426" t="n">
        <v>2019</v>
      </c>
      <c r="E426" t="n">
        <v>23.80642443119938</v>
      </c>
      <c r="F426" t="n">
        <v>2.608</v>
      </c>
      <c r="G426" t="n">
        <v>5.09739</v>
      </c>
      <c r="H426" t="n">
        <v>-3.412178</v>
      </c>
      <c r="I426" t="n">
        <v>-27.21860243119938</v>
      </c>
      <c r="J426" t="inlineStr">
        <is>
          <t>Sweden|EWD|2019</t>
        </is>
      </c>
      <c r="K426" t="inlineStr">
        <is>
          <t>Sweden|2019</t>
        </is>
      </c>
      <c r="L426" t="inlineStr">
        <is>
          <t>USD</t>
        </is>
      </c>
      <c r="M426" t="n">
        <v>23.80642443119938</v>
      </c>
      <c r="N426" t="n">
        <v>0</v>
      </c>
      <c r="O426" t="n">
        <v>0</v>
      </c>
      <c r="P426" t="n">
        <v>23.80642443119938</v>
      </c>
      <c r="Q426" t="n">
        <v>-8.096840339697453</v>
      </c>
      <c r="R426" t="n">
        <v>34.71400209614055</v>
      </c>
      <c r="S426" t="n">
        <v>1.722</v>
      </c>
      <c r="T426" t="n">
        <v>1.813</v>
      </c>
      <c r="U426" t="n">
        <v>-0.09099999999999997</v>
      </c>
      <c r="V426" t="n">
        <v>530894000000</v>
      </c>
    </row>
    <row r="427">
      <c r="A427" t="inlineStr">
        <is>
          <t>Sweden</t>
        </is>
      </c>
      <c r="B427" t="inlineStr">
        <is>
          <t>SWE</t>
        </is>
      </c>
      <c r="C427" t="inlineStr">
        <is>
          <t>EWD</t>
        </is>
      </c>
      <c r="D427" t="n">
        <v>2020</v>
      </c>
      <c r="E427" t="n">
        <v>18.94078885853692</v>
      </c>
      <c r="F427" t="n">
        <v>-1.934</v>
      </c>
      <c r="G427" t="n">
        <v>-0.169814</v>
      </c>
      <c r="H427" t="n">
        <v>2.51877</v>
      </c>
      <c r="I427" t="n">
        <v>-16.42201885853692</v>
      </c>
      <c r="J427" t="inlineStr">
        <is>
          <t>Sweden|EWD|2020</t>
        </is>
      </c>
      <c r="K427" t="inlineStr">
        <is>
          <t>Sweden|2020</t>
        </is>
      </c>
      <c r="L427" t="inlineStr">
        <is>
          <t>USD</t>
        </is>
      </c>
      <c r="M427" t="n">
        <v>18.94078885853692</v>
      </c>
      <c r="N427" t="n">
        <v>0</v>
      </c>
      <c r="O427" t="n">
        <v>0</v>
      </c>
      <c r="P427" t="n">
        <v>18.94078885853692</v>
      </c>
      <c r="Q427" t="n">
        <v>2.693157386668488</v>
      </c>
      <c r="R427" t="n">
        <v>15.82153269539814</v>
      </c>
      <c r="S427" t="n">
        <v>0.661</v>
      </c>
      <c r="T427" t="n">
        <v>1.253</v>
      </c>
      <c r="U427" t="n">
        <v>-0.5919999999999999</v>
      </c>
      <c r="V427" t="n">
        <v>544266000000</v>
      </c>
    </row>
    <row r="428">
      <c r="A428" t="inlineStr">
        <is>
          <t>Sweden</t>
        </is>
      </c>
      <c r="B428" t="inlineStr">
        <is>
          <t>SWE</t>
        </is>
      </c>
      <c r="C428" t="inlineStr">
        <is>
          <t>EWD</t>
        </is>
      </c>
      <c r="D428" t="n">
        <v>2021</v>
      </c>
      <c r="E428" t="n">
        <v>21.31068293467511</v>
      </c>
      <c r="F428" t="n">
        <v>5.226</v>
      </c>
      <c r="G428" t="n">
        <v>8.077332999999999</v>
      </c>
      <c r="H428" t="n">
        <v>16.063285</v>
      </c>
      <c r="I428" t="n">
        <v>-5.247397934675107</v>
      </c>
      <c r="J428" t="inlineStr">
        <is>
          <t>Sweden|EWD|2021</t>
        </is>
      </c>
      <c r="K428" t="inlineStr">
        <is>
          <t>Sweden|2021</t>
        </is>
      </c>
      <c r="L428" t="inlineStr">
        <is>
          <t>USD</t>
        </is>
      </c>
      <c r="M428" t="n">
        <v>21.31068293467511</v>
      </c>
      <c r="N428" t="n">
        <v>0</v>
      </c>
      <c r="O428" t="n">
        <v>0</v>
      </c>
      <c r="P428" t="n">
        <v>21.31068293467511</v>
      </c>
      <c r="Q428" t="n">
        <v>7.38910909507311</v>
      </c>
      <c r="R428" t="n">
        <v>12.96367383705272</v>
      </c>
      <c r="S428" t="n">
        <v>2.652</v>
      </c>
      <c r="T428" t="n">
        <v>4.679</v>
      </c>
      <c r="U428" t="n">
        <v>-2.027</v>
      </c>
      <c r="V428" t="n">
        <v>631693000000</v>
      </c>
    </row>
    <row r="429">
      <c r="A429" t="inlineStr">
        <is>
          <t>Sweden</t>
        </is>
      </c>
      <c r="B429" t="inlineStr">
        <is>
          <t>SWE</t>
        </is>
      </c>
      <c r="C429" t="inlineStr">
        <is>
          <t>EWD</t>
        </is>
      </c>
      <c r="D429" t="n">
        <v>2022</v>
      </c>
      <c r="E429" t="n">
        <v>-28.5070392060961</v>
      </c>
      <c r="F429" t="n">
        <v>1.255</v>
      </c>
      <c r="G429" t="n">
        <v>7.358299</v>
      </c>
      <c r="H429" t="n">
        <v>-8.963531</v>
      </c>
      <c r="I429" t="n">
        <v>19.5435082060961</v>
      </c>
      <c r="J429" t="inlineStr">
        <is>
          <t>Sweden|EWD|2022</t>
        </is>
      </c>
      <c r="K429" t="inlineStr">
        <is>
          <t>Sweden|2022</t>
        </is>
      </c>
      <c r="L429" t="inlineStr">
        <is>
          <t>USD</t>
        </is>
      </c>
      <c r="M429" t="n">
        <v>-28.5070392060961</v>
      </c>
      <c r="N429" t="n">
        <v>0</v>
      </c>
      <c r="O429" t="n">
        <v>0</v>
      </c>
      <c r="P429" t="n">
        <v>-28.5070392060961</v>
      </c>
      <c r="Q429" t="n">
        <v>-15.20313827829323</v>
      </c>
      <c r="R429" t="n">
        <v>-15.68914303864769</v>
      </c>
      <c r="S429" t="n">
        <v>8.057</v>
      </c>
      <c r="T429" t="n">
        <v>7.993</v>
      </c>
      <c r="U429" t="n">
        <v>0.06400000000000006</v>
      </c>
      <c r="V429" t="n">
        <v>575071000000</v>
      </c>
    </row>
    <row r="430">
      <c r="A430" t="inlineStr">
        <is>
          <t>Sweden</t>
        </is>
      </c>
      <c r="B430" t="inlineStr">
        <is>
          <t>SWE</t>
        </is>
      </c>
      <c r="C430" t="inlineStr">
        <is>
          <t>EWD</t>
        </is>
      </c>
      <c r="D430" t="n">
        <v>2023</v>
      </c>
      <c r="E430" t="n">
        <v>23.65384782207207</v>
      </c>
      <c r="F430" t="n">
        <v>-0.204</v>
      </c>
      <c r="G430" t="n">
        <v>5.6181</v>
      </c>
      <c r="H430" t="n">
        <v>0.681655</v>
      </c>
      <c r="I430" t="n">
        <v>-22.97219282207207</v>
      </c>
      <c r="J430" t="inlineStr">
        <is>
          <t>Sweden|EWD|2023</t>
        </is>
      </c>
      <c r="K430" t="inlineStr">
        <is>
          <t>Sweden|2023</t>
        </is>
      </c>
      <c r="L430" t="inlineStr">
        <is>
          <t>USD</t>
        </is>
      </c>
      <c r="M430" t="n">
        <v>23.65384782207207</v>
      </c>
      <c r="N430" t="n">
        <v>0</v>
      </c>
      <c r="O430" t="n">
        <v>0</v>
      </c>
      <c r="P430" t="n">
        <v>23.65384782207207</v>
      </c>
      <c r="Q430" t="n">
        <v>-4.67386258318302</v>
      </c>
      <c r="R430" t="n">
        <v>29.71662460358711</v>
      </c>
      <c r="S430" t="n">
        <v>5.909</v>
      </c>
      <c r="T430" t="n">
        <v>4.128</v>
      </c>
      <c r="U430" t="n">
        <v>1.781</v>
      </c>
      <c r="V430" t="n">
        <v>578991000000</v>
      </c>
    </row>
    <row r="431">
      <c r="A431" t="inlineStr">
        <is>
          <t>Sweden</t>
        </is>
      </c>
      <c r="B431" t="inlineStr">
        <is>
          <t>SWE</t>
        </is>
      </c>
      <c r="C431" t="inlineStr">
        <is>
          <t>EWD</t>
        </is>
      </c>
      <c r="D431" t="n">
        <v>2024</v>
      </c>
      <c r="E431" t="n">
        <v>-1.942391317654713</v>
      </c>
      <c r="F431" t="n">
        <v>0.82</v>
      </c>
      <c r="G431" t="n">
        <v>3.852333</v>
      </c>
      <c r="H431" t="n">
        <v>4.270187</v>
      </c>
      <c r="I431" t="n">
        <v>6.212578317654712</v>
      </c>
      <c r="J431" t="inlineStr">
        <is>
          <t>Sweden|EWD|2024</t>
        </is>
      </c>
      <c r="K431" t="inlineStr">
        <is>
          <t>Sweden|2024</t>
        </is>
      </c>
      <c r="L431" t="inlineStr">
        <is>
          <t>USD</t>
        </is>
      </c>
      <c r="M431" t="n">
        <v>-1.942391317654713</v>
      </c>
      <c r="N431" t="n">
        <v>0</v>
      </c>
      <c r="O431" t="n">
        <v>0</v>
      </c>
      <c r="P431" t="n">
        <v>-1.942391317654713</v>
      </c>
      <c r="Q431" t="n">
        <v>0.4023545641516524</v>
      </c>
      <c r="R431" t="n">
        <v>-2.335349496518235</v>
      </c>
      <c r="S431" t="n">
        <v>2.004</v>
      </c>
      <c r="T431" t="n">
        <v>2.952</v>
      </c>
      <c r="U431" t="n">
        <v>-0.948</v>
      </c>
      <c r="V431" t="n">
        <v>603715000000</v>
      </c>
    </row>
    <row r="432">
      <c r="A432" t="inlineStr">
        <is>
          <t>Sweden</t>
        </is>
      </c>
      <c r="B432" t="inlineStr">
        <is>
          <t>SWE</t>
        </is>
      </c>
      <c r="C432" t="inlineStr">
        <is>
          <t>EWD</t>
        </is>
      </c>
      <c r="D432" t="n">
        <v>2025</v>
      </c>
      <c r="E432" t="n">
        <v>36.17857070499866</v>
      </c>
      <c r="F432" t="n">
        <v>0.75</v>
      </c>
      <c r="G432" t="n">
        <v>2.432129</v>
      </c>
      <c r="H432" t="n">
        <v>9.707064000000001</v>
      </c>
      <c r="I432" t="n">
        <v>-26.47150670499865</v>
      </c>
      <c r="J432" t="inlineStr">
        <is>
          <t>Sweden|EWD|2025</t>
        </is>
      </c>
      <c r="K432" t="inlineStr">
        <is>
          <t>Sweden|2025</t>
        </is>
      </c>
      <c r="L432" t="inlineStr">
        <is>
          <t>USD</t>
        </is>
      </c>
      <c r="M432" t="n">
        <v>36.17857070499866</v>
      </c>
      <c r="N432" t="n">
        <v>0</v>
      </c>
      <c r="O432" t="n">
        <v>0</v>
      </c>
      <c r="P432" t="n">
        <v>36.17857070499866</v>
      </c>
      <c r="Q432" t="n">
        <v>7.102200288066274</v>
      </c>
      <c r="R432" t="n">
        <v>27.1482475044653</v>
      </c>
      <c r="S432" t="n">
        <v>2.306</v>
      </c>
      <c r="T432" t="n">
        <v>2.715</v>
      </c>
      <c r="U432" t="n">
        <v>-0.4089999999999998</v>
      </c>
      <c r="V432" t="n">
        <v>662318000000</v>
      </c>
    </row>
    <row r="433">
      <c r="A433" t="inlineStr">
        <is>
          <t>Sweden</t>
        </is>
      </c>
      <c r="B433" t="inlineStr">
        <is>
          <t>SWE</t>
        </is>
      </c>
      <c r="C433" t="inlineStr">
        <is>
          <t>EWD</t>
        </is>
      </c>
      <c r="D433" t="n">
        <v>2026</v>
      </c>
      <c r="E433" t="n">
        <v>1.693548746833451</v>
      </c>
      <c r="F433" t="n">
        <v>1.932</v>
      </c>
      <c r="G433" t="n">
        <v>3.563101</v>
      </c>
      <c r="H433" t="n">
        <v>7.426191</v>
      </c>
      <c r="I433" t="n">
        <v>5.732642253166549</v>
      </c>
      <c r="J433" t="inlineStr">
        <is>
          <t>Sweden|EWD|2026</t>
        </is>
      </c>
      <c r="K433" t="inlineStr">
        <is>
          <t>Sweden|2026</t>
        </is>
      </c>
      <c r="L433" t="inlineStr">
        <is>
          <t>USD</t>
        </is>
      </c>
      <c r="M433" t="n">
        <v>1.693548746833451</v>
      </c>
      <c r="N433" t="n">
        <v>0</v>
      </c>
      <c r="O433" t="n">
        <v>0</v>
      </c>
      <c r="P433" t="n">
        <v>1.693548746833451</v>
      </c>
      <c r="Q433" t="n">
        <v>3.730179520528276</v>
      </c>
      <c r="R433" t="n">
        <v>-1.963392701245426</v>
      </c>
      <c r="S433" t="n">
        <v>1.6</v>
      </c>
      <c r="T433" t="n">
        <v>2.435</v>
      </c>
      <c r="U433" t="n">
        <v>-0.835</v>
      </c>
      <c r="V433" t="n">
        <v>711503000000</v>
      </c>
    </row>
    <row r="434">
      <c r="A434" t="inlineStr">
        <is>
          <t>Sweden</t>
        </is>
      </c>
      <c r="B434" t="inlineStr">
        <is>
          <t>SWE</t>
        </is>
      </c>
      <c r="C434" t="inlineStr">
        <is>
          <t>EWD</t>
        </is>
      </c>
      <c r="D434" t="n">
        <v>2027</v>
      </c>
      <c r="E434" t="inlineStr"/>
      <c r="F434" t="n">
        <v>1.784</v>
      </c>
      <c r="G434" t="n">
        <v>3.717764</v>
      </c>
      <c r="H434" t="n">
        <v>4.077284</v>
      </c>
      <c r="I434" t="inlineStr"/>
      <c r="J434" t="inlineStr">
        <is>
          <t>Sweden|EWD|2027</t>
        </is>
      </c>
      <c r="K434" t="inlineStr">
        <is>
          <t>Sweden|2027</t>
        </is>
      </c>
      <c r="L434" t="inlineStr">
        <is>
          <t>USD</t>
        </is>
      </c>
      <c r="M434" t="inlineStr"/>
      <c r="N434" t="inlineStr"/>
      <c r="O434" t="inlineStr"/>
      <c r="P434" t="inlineStr"/>
      <c r="Q434" t="n">
        <v>0.3466331096054986</v>
      </c>
      <c r="R434" t="inlineStr"/>
      <c r="S434" t="n">
        <v>1.9</v>
      </c>
      <c r="T434" t="n">
        <v>2.185</v>
      </c>
      <c r="U434" t="n">
        <v>-0.2850000000000001</v>
      </c>
      <c r="V434" t="n">
        <v>740513000000</v>
      </c>
    </row>
    <row r="435">
      <c r="A435" t="inlineStr">
        <is>
          <t>Sweden</t>
        </is>
      </c>
      <c r="B435" t="inlineStr">
        <is>
          <t>SWE</t>
        </is>
      </c>
      <c r="C435" t="inlineStr">
        <is>
          <t>EWD</t>
        </is>
      </c>
      <c r="D435" t="n">
        <v>2028</v>
      </c>
      <c r="E435" t="inlineStr"/>
      <c r="F435" t="n">
        <v>1.696</v>
      </c>
      <c r="G435" t="n">
        <v>3.730295</v>
      </c>
      <c r="H435" t="n">
        <v>3.990342</v>
      </c>
      <c r="I435" t="inlineStr"/>
      <c r="J435" t="inlineStr">
        <is>
          <t>Sweden|EWD|2028</t>
        </is>
      </c>
      <c r="K435" t="inlineStr">
        <is>
          <t>Sweden|2028</t>
        </is>
      </c>
      <c r="L435" t="inlineStr">
        <is>
          <t>USD</t>
        </is>
      </c>
      <c r="M435" t="inlineStr"/>
      <c r="N435" t="inlineStr"/>
      <c r="O435" t="inlineStr"/>
      <c r="P435" t="inlineStr"/>
      <c r="Q435" t="n">
        <v>0.2506948274960896</v>
      </c>
      <c r="R435" t="inlineStr"/>
      <c r="S435" t="n">
        <v>2</v>
      </c>
      <c r="T435" t="n">
        <v>2.206</v>
      </c>
      <c r="U435" t="n">
        <v>-0.206</v>
      </c>
      <c r="V435" t="n">
        <v>770062000000</v>
      </c>
    </row>
    <row r="436">
      <c r="A436" t="inlineStr">
        <is>
          <t>Sweden</t>
        </is>
      </c>
      <c r="B436" t="inlineStr">
        <is>
          <t>SWE</t>
        </is>
      </c>
      <c r="C436" t="inlineStr">
        <is>
          <t>EWD</t>
        </is>
      </c>
      <c r="D436" t="n">
        <v>2029</v>
      </c>
      <c r="E436" t="inlineStr"/>
      <c r="F436" t="n">
        <v>1.671</v>
      </c>
      <c r="G436" t="n">
        <v>3.704316</v>
      </c>
      <c r="H436" t="n">
        <v>3.952928</v>
      </c>
      <c r="I436" t="inlineStr"/>
      <c r="J436" t="inlineStr">
        <is>
          <t>Sweden|EWD|2029</t>
        </is>
      </c>
      <c r="K436" t="inlineStr">
        <is>
          <t>Sweden|2029</t>
        </is>
      </c>
      <c r="L436" t="inlineStr">
        <is>
          <t>USD</t>
        </is>
      </c>
      <c r="M436" t="inlineStr"/>
      <c r="N436" t="inlineStr"/>
      <c r="O436" t="inlineStr"/>
      <c r="P436" t="inlineStr"/>
      <c r="Q436" t="n">
        <v>0.2397324009443036</v>
      </c>
      <c r="R436" t="inlineStr"/>
      <c r="S436" t="n">
        <v>2</v>
      </c>
      <c r="T436" t="n">
        <v>2.203</v>
      </c>
      <c r="U436" t="n">
        <v>-0.2029999999999998</v>
      </c>
      <c r="V436" t="n">
        <v>800502000000</v>
      </c>
    </row>
    <row r="437">
      <c r="A437" t="inlineStr">
        <is>
          <t>Switzerland</t>
        </is>
      </c>
      <c r="B437" t="inlineStr">
        <is>
          <t>CHE</t>
        </is>
      </c>
      <c r="C437" t="inlineStr">
        <is>
          <t>CSW.PA</t>
        </is>
      </c>
      <c r="D437" t="n">
        <v>2015</v>
      </c>
      <c r="E437" t="n">
        <v>12.2367174594572</v>
      </c>
      <c r="F437" t="n">
        <v>1.571</v>
      </c>
      <c r="G437" t="inlineStr"/>
      <c r="H437" t="inlineStr"/>
      <c r="I437" t="inlineStr"/>
      <c r="J437" t="inlineStr">
        <is>
          <t>Switzerland|CSW.PA|2015</t>
        </is>
      </c>
      <c r="K437" t="inlineStr">
        <is>
          <t>Switzerland|2015</t>
        </is>
      </c>
      <c r="L437" t="inlineStr">
        <is>
          <t>EUR</t>
        </is>
      </c>
      <c r="M437" t="n">
        <v>12.2367174594572</v>
      </c>
      <c r="N437" t="n">
        <v>-9.626275918027915</v>
      </c>
      <c r="O437" t="n">
        <v>-10.24552508038918</v>
      </c>
      <c r="P437" t="n">
        <v>1.432501355472438</v>
      </c>
      <c r="Q437" t="inlineStr"/>
      <c r="R437" t="inlineStr"/>
      <c r="S437" t="n">
        <v>-1.142</v>
      </c>
      <c r="T437" t="n">
        <v>0.121</v>
      </c>
      <c r="U437" t="n">
        <v>-1.263</v>
      </c>
      <c r="V437" t="n">
        <v>693814000000</v>
      </c>
    </row>
    <row r="438">
      <c r="A438" t="inlineStr">
        <is>
          <t>Switzerland</t>
        </is>
      </c>
      <c r="B438" t="inlineStr">
        <is>
          <t>CHE</t>
        </is>
      </c>
      <c r="C438" t="inlineStr">
        <is>
          <t>CSW.PA</t>
        </is>
      </c>
      <c r="D438" t="n">
        <v>2016</v>
      </c>
      <c r="E438" t="n">
        <v>-0.542205832713305</v>
      </c>
      <c r="F438" t="n">
        <v>2.098</v>
      </c>
      <c r="G438" t="n">
        <v>1.498696</v>
      </c>
      <c r="H438" t="n">
        <v>-0.871703</v>
      </c>
      <c r="I438" t="n">
        <v>2.269483033914789</v>
      </c>
      <c r="J438" t="inlineStr">
        <is>
          <t>Switzerland|CSW.PA|2016</t>
        </is>
      </c>
      <c r="K438" t="inlineStr">
        <is>
          <t>Switzerland|2016</t>
        </is>
      </c>
      <c r="L438" t="inlineStr">
        <is>
          <t>EUR</t>
        </is>
      </c>
      <c r="M438" t="n">
        <v>-0.542205832713305</v>
      </c>
      <c r="N438" t="n">
        <v>-2.613148846665581</v>
      </c>
      <c r="O438" t="n">
        <v>-3.058092661956435</v>
      </c>
      <c r="P438" t="n">
        <v>-3.141186033914789</v>
      </c>
      <c r="Q438" t="n">
        <v>-2.335398404529998</v>
      </c>
      <c r="R438" t="n">
        <v>-0.8250559734246266</v>
      </c>
      <c r="S438" t="n">
        <v>-0.434</v>
      </c>
      <c r="T438" t="n">
        <v>1.267</v>
      </c>
      <c r="U438" t="n">
        <v>-1.701</v>
      </c>
      <c r="V438" t="n">
        <v>687766000000</v>
      </c>
    </row>
    <row r="439">
      <c r="A439" t="inlineStr">
        <is>
          <t>Switzerland</t>
        </is>
      </c>
      <c r="B439" t="inlineStr">
        <is>
          <t>CHE</t>
        </is>
      </c>
      <c r="C439" t="inlineStr">
        <is>
          <t>CSW.PA</t>
        </is>
      </c>
      <c r="D439" t="n">
        <v>2017</v>
      </c>
      <c r="E439" t="n">
        <v>7.275124516117559</v>
      </c>
      <c r="F439" t="n">
        <v>1.428</v>
      </c>
      <c r="G439" t="n">
        <v>1.053383</v>
      </c>
      <c r="H439" t="n">
        <v>1.125528</v>
      </c>
      <c r="I439" t="n">
        <v>-20.56653282224495</v>
      </c>
      <c r="J439" t="inlineStr">
        <is>
          <t>Switzerland|CSW.PA|2017</t>
        </is>
      </c>
      <c r="K439" t="inlineStr">
        <is>
          <t>Switzerland|2017</t>
        </is>
      </c>
      <c r="L439" t="inlineStr">
        <is>
          <t>EUR</t>
        </is>
      </c>
      <c r="M439" t="n">
        <v>7.275124516117559</v>
      </c>
      <c r="N439" t="n">
        <v>13.43921656689508</v>
      </c>
      <c r="O439" t="n">
        <v>14.03979380502343</v>
      </c>
      <c r="P439" t="n">
        <v>21.69206082224495</v>
      </c>
      <c r="Q439" t="n">
        <v>0.07139279508214802</v>
      </c>
      <c r="R439" t="n">
        <v>21.60524343998669</v>
      </c>
      <c r="S439" t="n">
        <v>0.535</v>
      </c>
      <c r="T439" t="n">
        <v>2.131</v>
      </c>
      <c r="U439" t="n">
        <v>-1.596</v>
      </c>
      <c r="V439" t="n">
        <v>695507000000</v>
      </c>
    </row>
    <row r="440">
      <c r="A440" t="inlineStr">
        <is>
          <t>Switzerland</t>
        </is>
      </c>
      <c r="B440" t="inlineStr">
        <is>
          <t>CHE</t>
        </is>
      </c>
      <c r="C440" t="inlineStr">
        <is>
          <t>CSW.PA</t>
        </is>
      </c>
      <c r="D440" t="n">
        <v>2018</v>
      </c>
      <c r="E440" t="n">
        <v>-97.5981169447611</v>
      </c>
      <c r="F440" t="n">
        <v>2.862</v>
      </c>
      <c r="G440" t="n">
        <v>3.647461</v>
      </c>
      <c r="H440" t="n">
        <v>4.368324</v>
      </c>
      <c r="I440" t="n">
        <v>102.0794831632307</v>
      </c>
      <c r="J440" t="inlineStr">
        <is>
          <t>Switzerland|CSW.PA|2018</t>
        </is>
      </c>
      <c r="K440" t="inlineStr">
        <is>
          <t>Switzerland|2018</t>
        </is>
      </c>
      <c r="L440" t="inlineStr">
        <is>
          <t>EUR</t>
        </is>
      </c>
      <c r="M440" t="n">
        <v>-97.5981169447611</v>
      </c>
      <c r="N440" t="n">
        <v>-4.706399765095581</v>
      </c>
      <c r="O440" t="n">
        <v>-4.263928260016236</v>
      </c>
      <c r="P440" t="n">
        <v>-97.71115916323075</v>
      </c>
      <c r="Q440" t="n">
        <v>0.6954953977677203</v>
      </c>
      <c r="R440" t="n">
        <v>-97.72696799620691</v>
      </c>
      <c r="S440" t="n">
        <v>0.9350000000000001</v>
      </c>
      <c r="T440" t="n">
        <v>2.439</v>
      </c>
      <c r="U440" t="n">
        <v>-1.504</v>
      </c>
      <c r="V440" t="n">
        <v>725889000000</v>
      </c>
    </row>
    <row r="441">
      <c r="A441" t="inlineStr">
        <is>
          <t>Switzerland</t>
        </is>
      </c>
      <c r="B441" t="inlineStr">
        <is>
          <t>CHE</t>
        </is>
      </c>
      <c r="C441" t="inlineStr">
        <is>
          <t>CSW.PA</t>
        </is>
      </c>
      <c r="D441" t="n">
        <v>2019</v>
      </c>
      <c r="E441" t="n">
        <v>34.55942289211569</v>
      </c>
      <c r="F441" t="n">
        <v>1.163</v>
      </c>
      <c r="G441" t="n">
        <v>1.058548</v>
      </c>
      <c r="H441" t="n">
        <v>-0.550084</v>
      </c>
      <c r="I441" t="n">
        <v>-31.70524210937144</v>
      </c>
      <c r="J441" t="inlineStr">
        <is>
          <t>Switzerland|CSW.PA|2019</t>
        </is>
      </c>
      <c r="K441" t="inlineStr">
        <is>
          <t>Switzerland|2019</t>
        </is>
      </c>
      <c r="L441" t="inlineStr">
        <is>
          <t>EUR</t>
        </is>
      </c>
      <c r="M441" t="n">
        <v>34.55942289211569</v>
      </c>
      <c r="N441" t="n">
        <v>-2.529934143277091</v>
      </c>
      <c r="O441" t="n">
        <v>-2.368717781750818</v>
      </c>
      <c r="P441" t="n">
        <v>31.15515810937144</v>
      </c>
      <c r="Q441" t="n">
        <v>-1.591782718460655</v>
      </c>
      <c r="R441" t="n">
        <v>33.27663251346713</v>
      </c>
      <c r="S441" t="n">
        <v>0.363</v>
      </c>
      <c r="T441" t="n">
        <v>1.813</v>
      </c>
      <c r="U441" t="n">
        <v>-1.45</v>
      </c>
      <c r="V441" t="n">
        <v>721896000000</v>
      </c>
    </row>
    <row r="442">
      <c r="A442" t="inlineStr">
        <is>
          <t>Switzerland</t>
        </is>
      </c>
      <c r="B442" t="inlineStr">
        <is>
          <t>CHE</t>
        </is>
      </c>
      <c r="C442" t="inlineStr">
        <is>
          <t>CSW.PA</t>
        </is>
      </c>
      <c r="D442" t="n">
        <v>2020</v>
      </c>
      <c r="E442" t="n">
        <v>0.6237905206050387</v>
      </c>
      <c r="F442" t="n">
        <v>-2.293</v>
      </c>
      <c r="G442" t="n">
        <v>-2.970639</v>
      </c>
      <c r="H442" t="n">
        <v>2.68626</v>
      </c>
      <c r="I442" t="n">
        <v>-7.614195292459443</v>
      </c>
      <c r="J442" t="inlineStr">
        <is>
          <t>Switzerland|CSW.PA|2020</t>
        </is>
      </c>
      <c r="K442" t="inlineStr">
        <is>
          <t>Switzerland|2020</t>
        </is>
      </c>
      <c r="L442" t="inlineStr">
        <is>
          <t>EUR</t>
        </is>
      </c>
      <c r="M442" t="n">
        <v>0.6237905206050387</v>
      </c>
      <c r="N442" t="n">
        <v>9.616676853246631</v>
      </c>
      <c r="O442" t="n">
        <v>8.550554670168875</v>
      </c>
      <c r="P442" t="n">
        <v>10.30045529245944</v>
      </c>
      <c r="Q442" t="n">
        <v>5.830089777766312</v>
      </c>
      <c r="R442" t="n">
        <v>4.2240968746039</v>
      </c>
      <c r="S442" t="n">
        <v>-0.724</v>
      </c>
      <c r="T442" t="n">
        <v>1.253</v>
      </c>
      <c r="U442" t="n">
        <v>-1.977</v>
      </c>
      <c r="V442" t="n">
        <v>741288000000</v>
      </c>
    </row>
    <row r="443">
      <c r="A443" t="inlineStr">
        <is>
          <t>Switzerland</t>
        </is>
      </c>
      <c r="B443" t="inlineStr">
        <is>
          <t>CHE</t>
        </is>
      </c>
      <c r="C443" t="inlineStr">
        <is>
          <t>CSW.PA</t>
        </is>
      </c>
      <c r="D443" t="n">
        <v>2021</v>
      </c>
      <c r="E443" t="n">
        <v>27.92607924655868</v>
      </c>
      <c r="F443" t="n">
        <v>5.573</v>
      </c>
      <c r="G443" t="n">
        <v>6.962635</v>
      </c>
      <c r="H443" t="n">
        <v>9.902763999999999</v>
      </c>
      <c r="I443" t="n">
        <v>-9.040951452723553</v>
      </c>
      <c r="J443" t="inlineStr">
        <is>
          <t>Switzerland|CSW.PA|2021</t>
        </is>
      </c>
      <c r="K443" t="inlineStr">
        <is>
          <t>Switzerland|2021</t>
        </is>
      </c>
      <c r="L443" t="inlineStr">
        <is>
          <t>EUR</t>
        </is>
      </c>
      <c r="M443" t="n">
        <v>27.92607924655868</v>
      </c>
      <c r="N443" t="n">
        <v>-7.021526686925927</v>
      </c>
      <c r="O443" t="n">
        <v>-6.623906905275723</v>
      </c>
      <c r="P443" t="n">
        <v>18.94371545272355</v>
      </c>
      <c r="Q443" t="n">
        <v>2.748744273606651</v>
      </c>
      <c r="R443" t="n">
        <v>15.76172175495574</v>
      </c>
      <c r="S443" t="n">
        <v>0.583</v>
      </c>
      <c r="T443" t="n">
        <v>4.679</v>
      </c>
      <c r="U443" t="n">
        <v>-4.096</v>
      </c>
      <c r="V443" t="n">
        <v>814696000000</v>
      </c>
    </row>
    <row r="444">
      <c r="A444" t="inlineStr">
        <is>
          <t>Switzerland</t>
        </is>
      </c>
      <c r="B444" t="inlineStr">
        <is>
          <t>CHE</t>
        </is>
      </c>
      <c r="C444" t="inlineStr">
        <is>
          <t>CSW.PA</t>
        </is>
      </c>
      <c r="D444" t="n">
        <v>2022</v>
      </c>
      <c r="E444" t="n">
        <v>-13.63958999324812</v>
      </c>
      <c r="F444" t="n">
        <v>3.124</v>
      </c>
      <c r="G444" t="n">
        <v>6.257026</v>
      </c>
      <c r="H444" t="n">
        <v>1.69597</v>
      </c>
      <c r="I444" t="n">
        <v>20.74724424225694</v>
      </c>
      <c r="J444" t="inlineStr">
        <is>
          <t>Switzerland|CSW.PA|2022</t>
        </is>
      </c>
      <c r="K444" t="inlineStr">
        <is>
          <t>Switzerland|2022</t>
        </is>
      </c>
      <c r="L444" t="inlineStr">
        <is>
          <t>EUR</t>
        </is>
      </c>
      <c r="M444" t="n">
        <v>-13.63958999324812</v>
      </c>
      <c r="N444" t="n">
        <v>-6.266394808206355</v>
      </c>
      <c r="O444" t="n">
        <v>-5.835736795926605</v>
      </c>
      <c r="P444" t="n">
        <v>-19.05127424225694</v>
      </c>
      <c r="Q444" t="n">
        <v>-4.29247512672184</v>
      </c>
      <c r="R444" t="n">
        <v>-15.42073012030824</v>
      </c>
      <c r="S444" t="n">
        <v>2.834</v>
      </c>
      <c r="T444" t="n">
        <v>7.993</v>
      </c>
      <c r="U444" t="n">
        <v>-5.159000000000001</v>
      </c>
      <c r="V444" t="n">
        <v>828513000000</v>
      </c>
    </row>
    <row r="445">
      <c r="A445" t="inlineStr">
        <is>
          <t>Switzerland</t>
        </is>
      </c>
      <c r="B445" t="inlineStr">
        <is>
          <t>CHE</t>
        </is>
      </c>
      <c r="C445" t="inlineStr">
        <is>
          <t>CSW.PA</t>
        </is>
      </c>
      <c r="D445" t="n">
        <v>2023</v>
      </c>
      <c r="E445" t="n">
        <v>9.945783137920582</v>
      </c>
      <c r="F445" t="n">
        <v>0.737</v>
      </c>
      <c r="G445" t="n">
        <v>1.629522</v>
      </c>
      <c r="H445" t="n">
        <v>8.00253</v>
      </c>
      <c r="I445" t="n">
        <v>-5.623166931817654</v>
      </c>
      <c r="J445" t="inlineStr">
        <is>
          <t>Switzerland|CSW.PA|2023</t>
        </is>
      </c>
      <c r="K445" t="inlineStr">
        <is>
          <t>Switzerland|2023</t>
        </is>
      </c>
      <c r="L445" t="inlineStr">
        <is>
          <t>EUR</t>
        </is>
      </c>
      <c r="M445" t="n">
        <v>9.945783137920582</v>
      </c>
      <c r="N445" t="n">
        <v>3.347025860264985</v>
      </c>
      <c r="O445" t="n">
        <v>3.23162038723166</v>
      </c>
      <c r="P445" t="n">
        <v>13.62569693181765</v>
      </c>
      <c r="Q445" t="n">
        <v>6.270823636061729</v>
      </c>
      <c r="R445" t="n">
        <v>6.920877287018734</v>
      </c>
      <c r="S445" t="n">
        <v>2.135</v>
      </c>
      <c r="T445" t="n">
        <v>4.128</v>
      </c>
      <c r="U445" t="n">
        <v>-1.993</v>
      </c>
      <c r="V445" t="n">
        <v>894815000000</v>
      </c>
    </row>
    <row r="446">
      <c r="A446" t="inlineStr">
        <is>
          <t>Switzerland</t>
        </is>
      </c>
      <c r="B446" t="inlineStr">
        <is>
          <t>CHE</t>
        </is>
      </c>
      <c r="C446" t="inlineStr">
        <is>
          <t>CSW.PA</t>
        </is>
      </c>
      <c r="D446" t="n">
        <v>2024</v>
      </c>
      <c r="E446" t="n">
        <v>3.663137597502431</v>
      </c>
      <c r="F446" t="n">
        <v>1.363</v>
      </c>
      <c r="G446" t="n">
        <v>2.737126</v>
      </c>
      <c r="H446" t="n">
        <v>4.843236</v>
      </c>
      <c r="I446" t="n">
        <v>7.271712072094821</v>
      </c>
      <c r="J446" t="inlineStr">
        <is>
          <t>Switzerland|CSW.PA|2024</t>
        </is>
      </c>
      <c r="K446" t="inlineStr">
        <is>
          <t>Switzerland|2024</t>
        </is>
      </c>
      <c r="L446" t="inlineStr">
        <is>
          <t>EUR</t>
        </is>
      </c>
      <c r="M446" t="n">
        <v>3.663137597502431</v>
      </c>
      <c r="N446" t="n">
        <v>-5.876354710822507</v>
      </c>
      <c r="O446" t="n">
        <v>-6.367421210260094</v>
      </c>
      <c r="P446" t="n">
        <v>-2.428476072094821</v>
      </c>
      <c r="Q446" t="n">
        <v>2.049998749231574</v>
      </c>
      <c r="R446" t="n">
        <v>-4.38851041275502</v>
      </c>
      <c r="S446" t="n">
        <v>1.06</v>
      </c>
      <c r="T446" t="n">
        <v>2.952</v>
      </c>
      <c r="U446" t="n">
        <v>-1.892</v>
      </c>
      <c r="V446" t="n">
        <v>938153000000</v>
      </c>
    </row>
    <row r="447">
      <c r="A447" t="inlineStr">
        <is>
          <t>Switzerland</t>
        </is>
      </c>
      <c r="B447" t="inlineStr">
        <is>
          <t>CHE</t>
        </is>
      </c>
      <c r="C447" t="inlineStr">
        <is>
          <t>CSW.PA</t>
        </is>
      </c>
      <c r="D447" t="n">
        <v>2025</v>
      </c>
      <c r="E447" t="n">
        <v>15.9135972759421</v>
      </c>
      <c r="F447" t="n">
        <v>0.946</v>
      </c>
      <c r="G447" t="n">
        <v>1.031492</v>
      </c>
      <c r="H447" t="n">
        <v>6.876597</v>
      </c>
      <c r="I447" t="n">
        <v>-24.6621639207751</v>
      </c>
      <c r="J447" t="inlineStr">
        <is>
          <t>Switzerland|CSW.PA|2025</t>
        </is>
      </c>
      <c r="K447" t="inlineStr">
        <is>
          <t>Switzerland|2025</t>
        </is>
      </c>
      <c r="L447" t="inlineStr">
        <is>
          <t>EUR</t>
        </is>
      </c>
      <c r="M447" t="n">
        <v>15.9135972759421</v>
      </c>
      <c r="N447" t="n">
        <v>13.48000925865149</v>
      </c>
      <c r="O447" t="n">
        <v>13.51067566275939</v>
      </c>
      <c r="P447" t="n">
        <v>31.5387609207751</v>
      </c>
      <c r="Q447" t="n">
        <v>5.785428671851567</v>
      </c>
      <c r="R447" t="n">
        <v>24.34487676824646</v>
      </c>
      <c r="S447" t="n">
        <v>0.142</v>
      </c>
      <c r="T447" t="n">
        <v>2.715</v>
      </c>
      <c r="U447" t="n">
        <v>-2.573</v>
      </c>
      <c r="V447" t="n">
        <v>1002666000000</v>
      </c>
    </row>
    <row r="448">
      <c r="A448" t="inlineStr">
        <is>
          <t>Switzerland</t>
        </is>
      </c>
      <c r="B448" t="inlineStr">
        <is>
          <t>CHE</t>
        </is>
      </c>
      <c r="C448" t="inlineStr">
        <is>
          <t>CSW.PA</t>
        </is>
      </c>
      <c r="D448" t="n">
        <v>2026</v>
      </c>
      <c r="E448" t="n">
        <v>0.5390396927092089</v>
      </c>
      <c r="F448" t="n">
        <v>1.275</v>
      </c>
      <c r="G448" t="n">
        <v>1.903517</v>
      </c>
      <c r="H448" t="n">
        <v>7.173077</v>
      </c>
      <c r="I448" t="n">
        <v>9.141748908445285</v>
      </c>
      <c r="J448" t="inlineStr">
        <is>
          <t>Switzerland|CSW.PA|2026</t>
        </is>
      </c>
      <c r="K448" t="inlineStr">
        <is>
          <t>Switzerland|2026</t>
        </is>
      </c>
      <c r="L448" t="inlineStr">
        <is>
          <t>EUR</t>
        </is>
      </c>
      <c r="M448" t="n">
        <v>0.5390396927092089</v>
      </c>
      <c r="N448" t="n">
        <v>-2.494266514598853</v>
      </c>
      <c r="O448" t="inlineStr"/>
      <c r="P448" t="n">
        <v>-1.968671908445285</v>
      </c>
      <c r="Q448" t="n">
        <v>5.171126513062774</v>
      </c>
      <c r="R448" t="n">
        <v>-6.788743886489856</v>
      </c>
      <c r="S448" t="n">
        <v>0.555</v>
      </c>
      <c r="T448" t="n">
        <v>2.435</v>
      </c>
      <c r="U448" t="n">
        <v>-1.88</v>
      </c>
      <c r="V448" t="n">
        <v>1074588000000</v>
      </c>
    </row>
    <row r="449">
      <c r="A449" t="inlineStr">
        <is>
          <t>Switzerland</t>
        </is>
      </c>
      <c r="B449" t="inlineStr">
        <is>
          <t>CHE</t>
        </is>
      </c>
      <c r="C449" t="inlineStr">
        <is>
          <t>CSW.PA</t>
        </is>
      </c>
      <c r="D449" t="n">
        <v>2027</v>
      </c>
      <c r="E449" t="inlineStr"/>
      <c r="F449" t="n">
        <v>1.1</v>
      </c>
      <c r="G449" t="n">
        <v>1.785998</v>
      </c>
      <c r="H449" t="n">
        <v>3.702814</v>
      </c>
      <c r="I449" t="inlineStr"/>
      <c r="J449" t="inlineStr">
        <is>
          <t>Switzerland|CSW.PA|2027</t>
        </is>
      </c>
      <c r="K449" t="inlineStr">
        <is>
          <t>Switzerland|2027</t>
        </is>
      </c>
      <c r="L449" t="inlineStr">
        <is>
          <t>EUR</t>
        </is>
      </c>
      <c r="M449" t="inlineStr"/>
      <c r="N449" t="inlineStr"/>
      <c r="O449" t="inlineStr"/>
      <c r="P449" t="inlineStr"/>
      <c r="Q449" t="n">
        <v>1.883183097825403</v>
      </c>
      <c r="R449" t="inlineStr"/>
      <c r="S449" t="n">
        <v>0.656</v>
      </c>
      <c r="T449" t="n">
        <v>2.185</v>
      </c>
      <c r="U449" t="n">
        <v>-1.529</v>
      </c>
      <c r="V449" t="n">
        <v>1114378000000</v>
      </c>
    </row>
    <row r="450">
      <c r="A450" t="inlineStr">
        <is>
          <t>Switzerland</t>
        </is>
      </c>
      <c r="B450" t="inlineStr">
        <is>
          <t>CHE</t>
        </is>
      </c>
      <c r="C450" t="inlineStr">
        <is>
          <t>CSW.PA</t>
        </is>
      </c>
      <c r="D450" t="n">
        <v>2028</v>
      </c>
      <c r="E450" t="inlineStr"/>
      <c r="F450" t="n">
        <v>1.8</v>
      </c>
      <c r="G450" t="n">
        <v>2.508604</v>
      </c>
      <c r="H450" t="n">
        <v>4.374727</v>
      </c>
      <c r="I450" t="inlineStr"/>
      <c r="J450" t="inlineStr">
        <is>
          <t>Switzerland|CSW.PA|2028</t>
        </is>
      </c>
      <c r="K450" t="inlineStr">
        <is>
          <t>Switzerland|2028</t>
        </is>
      </c>
      <c r="L450" t="inlineStr">
        <is>
          <t>EUR</t>
        </is>
      </c>
      <c r="M450" t="inlineStr"/>
      <c r="N450" t="inlineStr"/>
      <c r="O450" t="inlineStr"/>
      <c r="P450" t="inlineStr"/>
      <c r="Q450" t="n">
        <v>1.820455362070983</v>
      </c>
      <c r="R450" t="inlineStr"/>
      <c r="S450" t="n">
        <v>0.706</v>
      </c>
      <c r="T450" t="n">
        <v>2.206</v>
      </c>
      <c r="U450" t="n">
        <v>-1.5</v>
      </c>
      <c r="V450" t="n">
        <v>1163129000000</v>
      </c>
    </row>
    <row r="451">
      <c r="A451" t="inlineStr">
        <is>
          <t>Switzerland</t>
        </is>
      </c>
      <c r="B451" t="inlineStr">
        <is>
          <t>CHE</t>
        </is>
      </c>
      <c r="C451" t="inlineStr">
        <is>
          <t>CSW.PA</t>
        </is>
      </c>
      <c r="D451" t="n">
        <v>2029</v>
      </c>
      <c r="E451" t="inlineStr"/>
      <c r="F451" t="n">
        <v>1.2</v>
      </c>
      <c r="G451" t="n">
        <v>1.87232</v>
      </c>
      <c r="H451" t="n">
        <v>3.731744</v>
      </c>
      <c r="I451" t="inlineStr"/>
      <c r="J451" t="inlineStr">
        <is>
          <t>Switzerland|CSW.PA|2029</t>
        </is>
      </c>
      <c r="K451" t="inlineStr">
        <is>
          <t>Switzerland|2029</t>
        </is>
      </c>
      <c r="L451" t="inlineStr">
        <is>
          <t>EUR</t>
        </is>
      </c>
      <c r="M451" t="inlineStr"/>
      <c r="N451" t="inlineStr"/>
      <c r="O451" t="inlineStr"/>
      <c r="P451" t="inlineStr"/>
      <c r="Q451" t="n">
        <v>1.825249966288545</v>
      </c>
      <c r="R451" t="inlineStr"/>
      <c r="S451" t="n">
        <v>0.711</v>
      </c>
      <c r="T451" t="n">
        <v>2.203</v>
      </c>
      <c r="U451" t="n">
        <v>-1.492</v>
      </c>
      <c r="V451" t="n">
        <v>1206534000000</v>
      </c>
    </row>
    <row r="452">
      <c r="A452" t="inlineStr">
        <is>
          <t>Switzerland</t>
        </is>
      </c>
      <c r="B452" t="inlineStr">
        <is>
          <t>CHE</t>
        </is>
      </c>
      <c r="C452" t="inlineStr">
        <is>
          <t>CSWG.L</t>
        </is>
      </c>
      <c r="D452" t="n">
        <v>2015</v>
      </c>
      <c r="E452" t="n">
        <v>0.9078539495379845</v>
      </c>
      <c r="F452" t="n">
        <v>1.571</v>
      </c>
      <c r="G452" t="inlineStr"/>
      <c r="H452" t="inlineStr"/>
      <c r="I452" t="inlineStr"/>
      <c r="J452" t="inlineStr">
        <is>
          <t>Switzerland|CSWG.L|2015</t>
        </is>
      </c>
      <c r="K452" t="inlineStr">
        <is>
          <t>Switzerland|2015</t>
        </is>
      </c>
      <c r="L452" t="inlineStr">
        <is>
          <t>GBp</t>
        </is>
      </c>
      <c r="M452" t="n">
        <v>0.9078539495379845</v>
      </c>
      <c r="N452" t="n">
        <v>-4.888855870697362</v>
      </c>
      <c r="O452" t="n">
        <v>-5.407515212426162</v>
      </c>
      <c r="P452" t="n">
        <v>-4.025385592268726</v>
      </c>
      <c r="Q452" t="inlineStr"/>
      <c r="R452" t="inlineStr"/>
      <c r="S452" t="n">
        <v>-1.142</v>
      </c>
      <c r="T452" t="n">
        <v>0.121</v>
      </c>
      <c r="U452" t="n">
        <v>-1.263</v>
      </c>
      <c r="V452" t="n">
        <v>693814000000</v>
      </c>
    </row>
    <row r="453">
      <c r="A453" t="inlineStr">
        <is>
          <t>Switzerland</t>
        </is>
      </c>
      <c r="B453" t="inlineStr">
        <is>
          <t>CHE</t>
        </is>
      </c>
      <c r="C453" t="inlineStr">
        <is>
          <t>CSWG.L</t>
        </is>
      </c>
      <c r="D453" t="n">
        <v>2016</v>
      </c>
      <c r="E453" t="n">
        <v>-1.837844670956446</v>
      </c>
      <c r="F453" t="n">
        <v>2.098</v>
      </c>
      <c r="G453" t="n">
        <v>1.498696</v>
      </c>
      <c r="H453" t="n">
        <v>-0.871703</v>
      </c>
      <c r="I453" t="n">
        <v>17.28629558148912</v>
      </c>
      <c r="J453" t="inlineStr">
        <is>
          <t>Switzerland|CSWG.L|2016</t>
        </is>
      </c>
      <c r="K453" t="inlineStr">
        <is>
          <t>Switzerland|2016</t>
        </is>
      </c>
      <c r="L453" t="inlineStr">
        <is>
          <t>GBp</t>
        </is>
      </c>
      <c r="M453" t="n">
        <v>-1.837844670956446</v>
      </c>
      <c r="N453" t="n">
        <v>-16.62570861023462</v>
      </c>
      <c r="O453" t="n">
        <v>-16.21181156312136</v>
      </c>
      <c r="P453" t="n">
        <v>-18.15799858148912</v>
      </c>
      <c r="Q453" t="n">
        <v>-2.335398404529998</v>
      </c>
      <c r="R453" t="n">
        <v>-16.20095706988788</v>
      </c>
      <c r="S453" t="n">
        <v>-0.434</v>
      </c>
      <c r="T453" t="n">
        <v>1.267</v>
      </c>
      <c r="U453" t="n">
        <v>-1.701</v>
      </c>
      <c r="V453" t="n">
        <v>687766000000</v>
      </c>
    </row>
    <row r="454">
      <c r="A454" t="inlineStr">
        <is>
          <t>Switzerland</t>
        </is>
      </c>
      <c r="B454" t="inlineStr">
        <is>
          <t>CHE</t>
        </is>
      </c>
      <c r="C454" t="inlineStr">
        <is>
          <t>CSWG.L</t>
        </is>
      </c>
      <c r="D454" t="n">
        <v>2017</v>
      </c>
      <c r="E454" t="n">
        <v>15.85573149956643</v>
      </c>
      <c r="F454" t="n">
        <v>1.428</v>
      </c>
      <c r="G454" t="n">
        <v>1.053383</v>
      </c>
      <c r="H454" t="n">
        <v>1.125528</v>
      </c>
      <c r="I454" t="n">
        <v>-24.97345832460348</v>
      </c>
      <c r="J454" t="inlineStr">
        <is>
          <t>Switzerland|CSWG.L|2017</t>
        </is>
      </c>
      <c r="K454" t="inlineStr">
        <is>
          <t>Switzerland|2017</t>
        </is>
      </c>
      <c r="L454" t="inlineStr">
        <is>
          <t>GBp</t>
        </is>
      </c>
      <c r="M454" t="n">
        <v>15.85573149956643</v>
      </c>
      <c r="N454" t="n">
        <v>8.841388071573641</v>
      </c>
      <c r="O454" t="n">
        <v>9.450435944365921</v>
      </c>
      <c r="P454" t="n">
        <v>26.09898632460348</v>
      </c>
      <c r="Q454" t="n">
        <v>0.07139279508214802</v>
      </c>
      <c r="R454" t="n">
        <v>26.00902495962904</v>
      </c>
      <c r="S454" t="n">
        <v>0.535</v>
      </c>
      <c r="T454" t="n">
        <v>2.131</v>
      </c>
      <c r="U454" t="n">
        <v>-1.596</v>
      </c>
      <c r="V454" t="n">
        <v>695507000000</v>
      </c>
    </row>
    <row r="455">
      <c r="A455" t="inlineStr">
        <is>
          <t>Switzerland</t>
        </is>
      </c>
      <c r="B455" t="inlineStr">
        <is>
          <t>CHE</t>
        </is>
      </c>
      <c r="C455" t="inlineStr">
        <is>
          <t>CSWG.L</t>
        </is>
      </c>
      <c r="D455" t="n">
        <v>2018</v>
      </c>
      <c r="E455" t="n">
        <v>2835.268561832928</v>
      </c>
      <c r="F455" t="n">
        <v>2.862</v>
      </c>
      <c r="G455" t="n">
        <v>3.647461</v>
      </c>
      <c r="H455" t="n">
        <v>4.368324</v>
      </c>
      <c r="I455" t="n">
        <v>-2652.280216035177</v>
      </c>
      <c r="J455" t="inlineStr">
        <is>
          <t>Switzerland|CSWG.L|2018</t>
        </is>
      </c>
      <c r="K455" t="inlineStr">
        <is>
          <t>Switzerland|2018</t>
        </is>
      </c>
      <c r="L455" t="inlineStr">
        <is>
          <t>GBp</t>
        </is>
      </c>
      <c r="M455" t="n">
        <v>2835.268561832928</v>
      </c>
      <c r="N455" t="n">
        <v>-6.085304224640065</v>
      </c>
      <c r="O455" t="n">
        <v>-5.756316180609423</v>
      </c>
      <c r="P455" t="n">
        <v>2656.648540035177</v>
      </c>
      <c r="Q455" t="n">
        <v>0.6954953977677203</v>
      </c>
      <c r="R455" t="n">
        <v>2637.608598225624</v>
      </c>
      <c r="S455" t="n">
        <v>0.9350000000000001</v>
      </c>
      <c r="T455" t="n">
        <v>2.439</v>
      </c>
      <c r="U455" t="n">
        <v>-1.504</v>
      </c>
      <c r="V455" t="n">
        <v>725889000000</v>
      </c>
    </row>
    <row r="456">
      <c r="A456" t="inlineStr">
        <is>
          <t>Switzerland</t>
        </is>
      </c>
      <c r="B456" t="inlineStr">
        <is>
          <t>CHE</t>
        </is>
      </c>
      <c r="C456" t="inlineStr">
        <is>
          <t>CSWG.L</t>
        </is>
      </c>
      <c r="D456" t="n">
        <v>2019</v>
      </c>
      <c r="E456" t="n">
        <v>26.43935159306876</v>
      </c>
      <c r="F456" t="n">
        <v>1.163</v>
      </c>
      <c r="G456" t="n">
        <v>1.058548</v>
      </c>
      <c r="H456" t="n">
        <v>-0.550084</v>
      </c>
      <c r="I456" t="n">
        <v>-30.71163851806381</v>
      </c>
      <c r="J456" t="inlineStr">
        <is>
          <t>Switzerland|CSWG.L|2019</t>
        </is>
      </c>
      <c r="K456" t="inlineStr">
        <is>
          <t>Switzerland|2019</t>
        </is>
      </c>
      <c r="L456" t="inlineStr">
        <is>
          <t>GBp</t>
        </is>
      </c>
      <c r="M456" t="n">
        <v>26.43935159306876</v>
      </c>
      <c r="N456" t="n">
        <v>2.94386429390634</v>
      </c>
      <c r="O456" t="n">
        <v>4.118031584084703</v>
      </c>
      <c r="P456" t="n">
        <v>30.16155451806382</v>
      </c>
      <c r="Q456" t="n">
        <v>-1.591782718460655</v>
      </c>
      <c r="R456" t="n">
        <v>32.26695708314713</v>
      </c>
      <c r="S456" t="n">
        <v>0.363</v>
      </c>
      <c r="T456" t="n">
        <v>1.813</v>
      </c>
      <c r="U456" t="n">
        <v>-1.45</v>
      </c>
      <c r="V456" t="n">
        <v>721896000000</v>
      </c>
    </row>
    <row r="457">
      <c r="A457" t="inlineStr">
        <is>
          <t>Switzerland</t>
        </is>
      </c>
      <c r="B457" t="inlineStr">
        <is>
          <t>CHE</t>
        </is>
      </c>
      <c r="C457" t="inlineStr">
        <is>
          <t>CSWG.L</t>
        </is>
      </c>
      <c r="D457" t="n">
        <v>2020</v>
      </c>
      <c r="E457" t="n">
        <v>6.910462159080955</v>
      </c>
      <c r="F457" t="n">
        <v>-2.293</v>
      </c>
      <c r="G457" t="n">
        <v>-2.970639</v>
      </c>
      <c r="H457" t="n">
        <v>2.68626</v>
      </c>
      <c r="I457" t="n">
        <v>-7.191179554065436</v>
      </c>
      <c r="J457" t="inlineStr">
        <is>
          <t>Switzerland|CSWG.L|2020</t>
        </is>
      </c>
      <c r="K457" t="inlineStr">
        <is>
          <t>Switzerland|2020</t>
        </is>
      </c>
      <c r="L457" t="inlineStr">
        <is>
          <t>GBp</t>
        </is>
      </c>
      <c r="M457" t="n">
        <v>6.910462159080955</v>
      </c>
      <c r="N457" t="n">
        <v>2.775198362317122</v>
      </c>
      <c r="O457" t="n">
        <v>3.094474617937659</v>
      </c>
      <c r="P457" t="n">
        <v>9.877439554065436</v>
      </c>
      <c r="Q457" t="n">
        <v>5.830089777766312</v>
      </c>
      <c r="R457" t="n">
        <v>3.824384714024331</v>
      </c>
      <c r="S457" t="n">
        <v>-0.724</v>
      </c>
      <c r="T457" t="n">
        <v>1.253</v>
      </c>
      <c r="U457" t="n">
        <v>-1.977</v>
      </c>
      <c r="V457" t="n">
        <v>741288000000</v>
      </c>
    </row>
    <row r="458">
      <c r="A458" t="inlineStr">
        <is>
          <t>Switzerland</t>
        </is>
      </c>
      <c r="B458" t="inlineStr">
        <is>
          <t>CHE</t>
        </is>
      </c>
      <c r="C458" t="inlineStr">
        <is>
          <t>CSWG.L</t>
        </is>
      </c>
      <c r="D458" t="n">
        <v>2021</v>
      </c>
      <c r="E458" t="n">
        <v>18.55310165638193</v>
      </c>
      <c r="F458" t="n">
        <v>5.573</v>
      </c>
      <c r="G458" t="n">
        <v>6.962635</v>
      </c>
      <c r="H458" t="n">
        <v>9.902763999999999</v>
      </c>
      <c r="I458" t="n">
        <v>-7.136153121056408</v>
      </c>
      <c r="J458" t="inlineStr">
        <is>
          <t>Switzerland|CSWG.L|2021</t>
        </is>
      </c>
      <c r="K458" t="inlineStr">
        <is>
          <t>Switzerland|2021</t>
        </is>
      </c>
      <c r="L458" t="inlineStr">
        <is>
          <t>GBp</t>
        </is>
      </c>
      <c r="M458" t="n">
        <v>18.55310165638193</v>
      </c>
      <c r="N458" t="n">
        <v>-1.277220514832489</v>
      </c>
      <c r="O458" t="n">
        <v>-1.102343119945948</v>
      </c>
      <c r="P458" t="n">
        <v>17.03891712105641</v>
      </c>
      <c r="Q458" t="n">
        <v>2.748744273606651</v>
      </c>
      <c r="R458" t="n">
        <v>13.90788077117213</v>
      </c>
      <c r="S458" t="n">
        <v>0.583</v>
      </c>
      <c r="T458" t="n">
        <v>4.679</v>
      </c>
      <c r="U458" t="n">
        <v>-4.096</v>
      </c>
      <c r="V458" t="n">
        <v>814696000000</v>
      </c>
    </row>
    <row r="459">
      <c r="A459" t="inlineStr">
        <is>
          <t>Switzerland</t>
        </is>
      </c>
      <c r="B459" t="inlineStr">
        <is>
          <t>CHE</t>
        </is>
      </c>
      <c r="C459" t="inlineStr">
        <is>
          <t>CSWG.L</t>
        </is>
      </c>
      <c r="D459" t="n">
        <v>2022</v>
      </c>
      <c r="E459" t="n">
        <v>-97.68327164653236</v>
      </c>
      <c r="F459" t="n">
        <v>3.124</v>
      </c>
      <c r="G459" t="n">
        <v>6.257026</v>
      </c>
      <c r="H459" t="n">
        <v>1.69597</v>
      </c>
      <c r="I459" t="n">
        <v>99.63039925576571</v>
      </c>
      <c r="J459" t="inlineStr">
        <is>
          <t>Switzerland|CSWG.L|2022</t>
        </is>
      </c>
      <c r="K459" t="inlineStr">
        <is>
          <t>Switzerland|2022</t>
        </is>
      </c>
      <c r="L459" t="inlineStr">
        <is>
          <t>GBp</t>
        </is>
      </c>
      <c r="M459" t="n">
        <v>-97.68327164653236</v>
      </c>
      <c r="N459" t="n">
        <v>-10.84104698150823</v>
      </c>
      <c r="O459" t="n">
        <v>-10.36772851390696</v>
      </c>
      <c r="P459" t="n">
        <v>-97.93442925576571</v>
      </c>
      <c r="Q459" t="n">
        <v>-4.29247512672184</v>
      </c>
      <c r="R459" t="n">
        <v>-97.84178856681413</v>
      </c>
      <c r="S459" t="n">
        <v>2.834</v>
      </c>
      <c r="T459" t="n">
        <v>7.993</v>
      </c>
      <c r="U459" t="n">
        <v>-5.159000000000001</v>
      </c>
      <c r="V459" t="n">
        <v>828513000000</v>
      </c>
    </row>
    <row r="460">
      <c r="A460" t="inlineStr">
        <is>
          <t>Switzerland</t>
        </is>
      </c>
      <c r="B460" t="inlineStr">
        <is>
          <t>CHE</t>
        </is>
      </c>
      <c r="C460" t="inlineStr">
        <is>
          <t>CSWG.L</t>
        </is>
      </c>
      <c r="D460" t="n">
        <v>2023</v>
      </c>
      <c r="E460" t="n">
        <v>8.021459396061669</v>
      </c>
      <c r="F460" t="n">
        <v>0.737</v>
      </c>
      <c r="G460" t="n">
        <v>1.629522</v>
      </c>
      <c r="H460" t="n">
        <v>8.00253</v>
      </c>
      <c r="I460" t="n">
        <v>-5.488089032446794</v>
      </c>
      <c r="J460" t="inlineStr">
        <is>
          <t>Switzerland|CSWG.L|2023</t>
        </is>
      </c>
      <c r="K460" t="inlineStr">
        <is>
          <t>Switzerland|2023</t>
        </is>
      </c>
      <c r="L460" t="inlineStr">
        <is>
          <t>GBp</t>
        </is>
      </c>
      <c r="M460" t="n">
        <v>8.021459396061669</v>
      </c>
      <c r="N460" t="n">
        <v>5.06303068571996</v>
      </c>
      <c r="O460" t="n">
        <v>5.030130998783355</v>
      </c>
      <c r="P460" t="n">
        <v>13.49061903244679</v>
      </c>
      <c r="Q460" t="n">
        <v>6.270823636061729</v>
      </c>
      <c r="R460" t="n">
        <v>6.793770057819626</v>
      </c>
      <c r="S460" t="n">
        <v>2.135</v>
      </c>
      <c r="T460" t="n">
        <v>4.128</v>
      </c>
      <c r="U460" t="n">
        <v>-1.993</v>
      </c>
      <c r="V460" t="n">
        <v>894815000000</v>
      </c>
    </row>
    <row r="461">
      <c r="A461" t="inlineStr">
        <is>
          <t>Switzerland</t>
        </is>
      </c>
      <c r="B461" t="inlineStr">
        <is>
          <t>CHE</t>
        </is>
      </c>
      <c r="C461" t="inlineStr">
        <is>
          <t>CSWG.L</t>
        </is>
      </c>
      <c r="D461" t="n">
        <v>2024</v>
      </c>
      <c r="E461" t="n">
        <v>-0.7733335992527901</v>
      </c>
      <c r="F461" t="n">
        <v>1.363</v>
      </c>
      <c r="G461" t="n">
        <v>2.737126</v>
      </c>
      <c r="H461" t="n">
        <v>4.843236</v>
      </c>
      <c r="I461" t="n">
        <v>7.02663363855584</v>
      </c>
      <c r="J461" t="inlineStr">
        <is>
          <t>Switzerland|CSWG.L|2024</t>
        </is>
      </c>
      <c r="K461" t="inlineStr">
        <is>
          <t>Switzerland|2024</t>
        </is>
      </c>
      <c r="L461" t="inlineStr">
        <is>
          <t>GBp</t>
        </is>
      </c>
      <c r="M461" t="n">
        <v>-0.7733335992527901</v>
      </c>
      <c r="N461" t="n">
        <v>-1.421053523664917</v>
      </c>
      <c r="O461" t="n">
        <v>-1.655539060617606</v>
      </c>
      <c r="P461" t="n">
        <v>-2.18339763855584</v>
      </c>
      <c r="Q461" t="n">
        <v>2.049998749231574</v>
      </c>
      <c r="R461" t="n">
        <v>-4.148355158915951</v>
      </c>
      <c r="S461" t="n">
        <v>1.06</v>
      </c>
      <c r="T461" t="n">
        <v>2.952</v>
      </c>
      <c r="U461" t="n">
        <v>-1.892</v>
      </c>
      <c r="V461" t="n">
        <v>938153000000</v>
      </c>
    </row>
    <row r="462">
      <c r="A462" t="inlineStr">
        <is>
          <t>Switzerland</t>
        </is>
      </c>
      <c r="B462" t="inlineStr">
        <is>
          <t>CHE</t>
        </is>
      </c>
      <c r="C462" t="inlineStr">
        <is>
          <t>CSWG.L</t>
        </is>
      </c>
      <c r="D462" t="n">
        <v>2025</v>
      </c>
      <c r="E462" t="n">
        <v>22.14977222429994</v>
      </c>
      <c r="F462" t="n">
        <v>0.946</v>
      </c>
      <c r="G462" t="n">
        <v>1.031492</v>
      </c>
      <c r="H462" t="n">
        <v>6.876597</v>
      </c>
      <c r="I462" t="n">
        <v>-24.52226992904705</v>
      </c>
      <c r="J462" t="inlineStr">
        <is>
          <t>Switzerland|CSWG.L|2025</t>
        </is>
      </c>
      <c r="K462" t="inlineStr">
        <is>
          <t>Switzerland|2025</t>
        </is>
      </c>
      <c r="L462" t="inlineStr">
        <is>
          <t>GBp</t>
        </is>
      </c>
      <c r="M462" t="n">
        <v>22.14977222429994</v>
      </c>
      <c r="N462" t="n">
        <v>7.571929555270285</v>
      </c>
      <c r="O462" t="n">
        <v>7.623377354227179</v>
      </c>
      <c r="P462" t="n">
        <v>31.39886692904705</v>
      </c>
      <c r="Q462" t="n">
        <v>5.785428671851567</v>
      </c>
      <c r="R462" t="n">
        <v>24.21263361010604</v>
      </c>
      <c r="S462" t="n">
        <v>0.142</v>
      </c>
      <c r="T462" t="n">
        <v>2.715</v>
      </c>
      <c r="U462" t="n">
        <v>-2.573</v>
      </c>
      <c r="V462" t="n">
        <v>1002666000000</v>
      </c>
    </row>
    <row r="463">
      <c r="A463" t="inlineStr">
        <is>
          <t>Switzerland</t>
        </is>
      </c>
      <c r="B463" t="inlineStr">
        <is>
          <t>CHE</t>
        </is>
      </c>
      <c r="C463" t="inlineStr">
        <is>
          <t>CSWG.L</t>
        </is>
      </c>
      <c r="D463" t="n">
        <v>2026</v>
      </c>
      <c r="E463" t="n">
        <v>-0.08858964889646437</v>
      </c>
      <c r="F463" t="n">
        <v>1.275</v>
      </c>
      <c r="G463" t="n">
        <v>1.903517</v>
      </c>
      <c r="H463" t="n">
        <v>7.173077</v>
      </c>
      <c r="I463" t="n">
        <v>8.900495636060295</v>
      </c>
      <c r="J463" t="inlineStr">
        <is>
          <t>Switzerland|CSWG.L|2026</t>
        </is>
      </c>
      <c r="K463" t="inlineStr">
        <is>
          <t>Switzerland|2026</t>
        </is>
      </c>
      <c r="L463" t="inlineStr">
        <is>
          <t>GBp</t>
        </is>
      </c>
      <c r="M463" t="n">
        <v>-0.08858964889646437</v>
      </c>
      <c r="N463" t="n">
        <v>-1.640282107323621</v>
      </c>
      <c r="O463" t="inlineStr"/>
      <c r="P463" t="n">
        <v>-1.727418636060296</v>
      </c>
      <c r="Q463" t="n">
        <v>5.171126513062774</v>
      </c>
      <c r="R463" t="n">
        <v>-6.559352721458433</v>
      </c>
      <c r="S463" t="n">
        <v>0.555</v>
      </c>
      <c r="T463" t="n">
        <v>2.435</v>
      </c>
      <c r="U463" t="n">
        <v>-1.88</v>
      </c>
      <c r="V463" t="n">
        <v>1074588000000</v>
      </c>
    </row>
    <row r="464">
      <c r="A464" t="inlineStr">
        <is>
          <t>Switzerland</t>
        </is>
      </c>
      <c r="B464" t="inlineStr">
        <is>
          <t>CHE</t>
        </is>
      </c>
      <c r="C464" t="inlineStr">
        <is>
          <t>CSWG.L</t>
        </is>
      </c>
      <c r="D464" t="n">
        <v>2027</v>
      </c>
      <c r="E464" t="inlineStr"/>
      <c r="F464" t="n">
        <v>1.1</v>
      </c>
      <c r="G464" t="n">
        <v>1.785998</v>
      </c>
      <c r="H464" t="n">
        <v>3.702814</v>
      </c>
      <c r="I464" t="inlineStr"/>
      <c r="J464" t="inlineStr">
        <is>
          <t>Switzerland|CSWG.L|2027</t>
        </is>
      </c>
      <c r="K464" t="inlineStr">
        <is>
          <t>Switzerland|2027</t>
        </is>
      </c>
      <c r="L464" t="inlineStr">
        <is>
          <t>GBp</t>
        </is>
      </c>
      <c r="M464" t="inlineStr"/>
      <c r="N464" t="inlineStr"/>
      <c r="O464" t="inlineStr"/>
      <c r="P464" t="inlineStr"/>
      <c r="Q464" t="n">
        <v>1.883183097825403</v>
      </c>
      <c r="R464" t="inlineStr"/>
      <c r="S464" t="n">
        <v>0.656</v>
      </c>
      <c r="T464" t="n">
        <v>2.185</v>
      </c>
      <c r="U464" t="n">
        <v>-1.529</v>
      </c>
      <c r="V464" t="n">
        <v>1114378000000</v>
      </c>
    </row>
    <row r="465">
      <c r="A465" t="inlineStr">
        <is>
          <t>Switzerland</t>
        </is>
      </c>
      <c r="B465" t="inlineStr">
        <is>
          <t>CHE</t>
        </is>
      </c>
      <c r="C465" t="inlineStr">
        <is>
          <t>CSWG.L</t>
        </is>
      </c>
      <c r="D465" t="n">
        <v>2028</v>
      </c>
      <c r="E465" t="inlineStr"/>
      <c r="F465" t="n">
        <v>1.8</v>
      </c>
      <c r="G465" t="n">
        <v>2.508604</v>
      </c>
      <c r="H465" t="n">
        <v>4.374727</v>
      </c>
      <c r="I465" t="inlineStr"/>
      <c r="J465" t="inlineStr">
        <is>
          <t>Switzerland|CSWG.L|2028</t>
        </is>
      </c>
      <c r="K465" t="inlineStr">
        <is>
          <t>Switzerland|2028</t>
        </is>
      </c>
      <c r="L465" t="inlineStr">
        <is>
          <t>GBp</t>
        </is>
      </c>
      <c r="M465" t="inlineStr"/>
      <c r="N465" t="inlineStr"/>
      <c r="O465" t="inlineStr"/>
      <c r="P465" t="inlineStr"/>
      <c r="Q465" t="n">
        <v>1.820455362070983</v>
      </c>
      <c r="R465" t="inlineStr"/>
      <c r="S465" t="n">
        <v>0.706</v>
      </c>
      <c r="T465" t="n">
        <v>2.206</v>
      </c>
      <c r="U465" t="n">
        <v>-1.5</v>
      </c>
      <c r="V465" t="n">
        <v>1163129000000</v>
      </c>
    </row>
    <row r="466">
      <c r="A466" t="inlineStr">
        <is>
          <t>Switzerland</t>
        </is>
      </c>
      <c r="B466" t="inlineStr">
        <is>
          <t>CHE</t>
        </is>
      </c>
      <c r="C466" t="inlineStr">
        <is>
          <t>CSWG.L</t>
        </is>
      </c>
      <c r="D466" t="n">
        <v>2029</v>
      </c>
      <c r="E466" t="inlineStr"/>
      <c r="F466" t="n">
        <v>1.2</v>
      </c>
      <c r="G466" t="n">
        <v>1.87232</v>
      </c>
      <c r="H466" t="n">
        <v>3.731744</v>
      </c>
      <c r="I466" t="inlineStr"/>
      <c r="J466" t="inlineStr">
        <is>
          <t>Switzerland|CSWG.L|2029</t>
        </is>
      </c>
      <c r="K466" t="inlineStr">
        <is>
          <t>Switzerland|2029</t>
        </is>
      </c>
      <c r="L466" t="inlineStr">
        <is>
          <t>GBp</t>
        </is>
      </c>
      <c r="M466" t="inlineStr"/>
      <c r="N466" t="inlineStr"/>
      <c r="O466" t="inlineStr"/>
      <c r="P466" t="inlineStr"/>
      <c r="Q466" t="n">
        <v>1.825249966288545</v>
      </c>
      <c r="R466" t="inlineStr"/>
      <c r="S466" t="n">
        <v>0.711</v>
      </c>
      <c r="T466" t="n">
        <v>2.203</v>
      </c>
      <c r="U466" t="n">
        <v>-1.492</v>
      </c>
      <c r="V466" t="n">
        <v>1206534000000</v>
      </c>
    </row>
    <row r="467">
      <c r="A467" t="inlineStr">
        <is>
          <t>Switzerland</t>
        </is>
      </c>
      <c r="B467" t="inlineStr">
        <is>
          <t>CHE</t>
        </is>
      </c>
      <c r="C467" t="inlineStr">
        <is>
          <t>EWL</t>
        </is>
      </c>
      <c r="D467" t="n">
        <v>2015</v>
      </c>
      <c r="E467" t="n">
        <v>0.7782767197465734</v>
      </c>
      <c r="F467" t="n">
        <v>1.571</v>
      </c>
      <c r="G467" t="inlineStr"/>
      <c r="H467" t="inlineStr"/>
      <c r="I467" t="inlineStr"/>
      <c r="J467" t="inlineStr">
        <is>
          <t>Switzerland|EWL|2015</t>
        </is>
      </c>
      <c r="K467" t="inlineStr">
        <is>
          <t>Switzerland|2015</t>
        </is>
      </c>
      <c r="L467" t="inlineStr">
        <is>
          <t>USD</t>
        </is>
      </c>
      <c r="M467" t="n">
        <v>0.7782767197465734</v>
      </c>
      <c r="N467" t="n">
        <v>0</v>
      </c>
      <c r="O467" t="n">
        <v>0</v>
      </c>
      <c r="P467" t="n">
        <v>0.7782767197465734</v>
      </c>
      <c r="Q467" t="inlineStr"/>
      <c r="R467" t="inlineStr"/>
      <c r="S467" t="n">
        <v>-1.142</v>
      </c>
      <c r="T467" t="n">
        <v>0.121</v>
      </c>
      <c r="U467" t="n">
        <v>-1.263</v>
      </c>
      <c r="V467" t="n">
        <v>693814000000</v>
      </c>
    </row>
    <row r="468">
      <c r="A468" t="inlineStr">
        <is>
          <t>Switzerland</t>
        </is>
      </c>
      <c r="B468" t="inlineStr">
        <is>
          <t>CHE</t>
        </is>
      </c>
      <c r="C468" t="inlineStr">
        <is>
          <t>EWL</t>
        </is>
      </c>
      <c r="D468" t="n">
        <v>2016</v>
      </c>
      <c r="E468" t="n">
        <v>-1.394099470239429</v>
      </c>
      <c r="F468" t="n">
        <v>2.098</v>
      </c>
      <c r="G468" t="n">
        <v>1.498696</v>
      </c>
      <c r="H468" t="n">
        <v>-0.871703</v>
      </c>
      <c r="I468" t="n">
        <v>0.5223964702394294</v>
      </c>
      <c r="J468" t="inlineStr">
        <is>
          <t>Switzerland|EWL|2016</t>
        </is>
      </c>
      <c r="K468" t="inlineStr">
        <is>
          <t>Switzerland|2016</t>
        </is>
      </c>
      <c r="L468" t="inlineStr">
        <is>
          <t>USD</t>
        </is>
      </c>
      <c r="M468" t="n">
        <v>-1.394099470239429</v>
      </c>
      <c r="N468" t="n">
        <v>0</v>
      </c>
      <c r="O468" t="n">
        <v>0</v>
      </c>
      <c r="P468" t="n">
        <v>-1.394099470239429</v>
      </c>
      <c r="Q468" t="n">
        <v>-2.335398404529998</v>
      </c>
      <c r="R468" t="n">
        <v>0.9638076835550402</v>
      </c>
      <c r="S468" t="n">
        <v>-0.434</v>
      </c>
      <c r="T468" t="n">
        <v>1.267</v>
      </c>
      <c r="U468" t="n">
        <v>-1.701</v>
      </c>
      <c r="V468" t="n">
        <v>687766000000</v>
      </c>
    </row>
    <row r="469">
      <c r="A469" t="inlineStr">
        <is>
          <t>Switzerland</t>
        </is>
      </c>
      <c r="B469" t="inlineStr">
        <is>
          <t>CHE</t>
        </is>
      </c>
      <c r="C469" t="inlineStr">
        <is>
          <t>EWL</t>
        </is>
      </c>
      <c r="D469" t="n">
        <v>2017</v>
      </c>
      <c r="E469" t="n">
        <v>22.88281233375184</v>
      </c>
      <c r="F469" t="n">
        <v>1.428</v>
      </c>
      <c r="G469" t="n">
        <v>1.053383</v>
      </c>
      <c r="H469" t="n">
        <v>1.125528</v>
      </c>
      <c r="I469" t="n">
        <v>-21.75728433375184</v>
      </c>
      <c r="J469" t="inlineStr">
        <is>
          <t>Switzerland|EWL|2017</t>
        </is>
      </c>
      <c r="K469" t="inlineStr">
        <is>
          <t>Switzerland|2017</t>
        </is>
      </c>
      <c r="L469" t="inlineStr">
        <is>
          <t>USD</t>
        </is>
      </c>
      <c r="M469" t="n">
        <v>22.88281233375184</v>
      </c>
      <c r="N469" t="n">
        <v>0</v>
      </c>
      <c r="O469" t="n">
        <v>0</v>
      </c>
      <c r="P469" t="n">
        <v>22.88281233375184</v>
      </c>
      <c r="Q469" t="n">
        <v>0.07139279508214802</v>
      </c>
      <c r="R469" t="n">
        <v>22.7951454471919</v>
      </c>
      <c r="S469" t="n">
        <v>0.535</v>
      </c>
      <c r="T469" t="n">
        <v>2.131</v>
      </c>
      <c r="U469" t="n">
        <v>-1.596</v>
      </c>
      <c r="V469" t="n">
        <v>695507000000</v>
      </c>
    </row>
    <row r="470">
      <c r="A470" t="inlineStr">
        <is>
          <t>Switzerland</t>
        </is>
      </c>
      <c r="B470" t="inlineStr">
        <is>
          <t>CHE</t>
        </is>
      </c>
      <c r="C470" t="inlineStr">
        <is>
          <t>EWL</t>
        </is>
      </c>
      <c r="D470" t="n">
        <v>2018</v>
      </c>
      <c r="E470" t="n">
        <v>-9.563163790182427</v>
      </c>
      <c r="F470" t="n">
        <v>2.862</v>
      </c>
      <c r="G470" t="n">
        <v>3.647461</v>
      </c>
      <c r="H470" t="n">
        <v>4.368324</v>
      </c>
      <c r="I470" t="n">
        <v>13.93148779018243</v>
      </c>
      <c r="J470" t="inlineStr">
        <is>
          <t>Switzerland|EWL|2018</t>
        </is>
      </c>
      <c r="K470" t="inlineStr">
        <is>
          <t>Switzerland|2018</t>
        </is>
      </c>
      <c r="L470" t="inlineStr">
        <is>
          <t>USD</t>
        </is>
      </c>
      <c r="M470" t="n">
        <v>-9.563163790182427</v>
      </c>
      <c r="N470" t="n">
        <v>0</v>
      </c>
      <c r="O470" t="n">
        <v>0</v>
      </c>
      <c r="P470" t="n">
        <v>-9.563163790182427</v>
      </c>
      <c r="Q470" t="n">
        <v>0.6954953977677203</v>
      </c>
      <c r="R470" t="n">
        <v>-10.18780348358818</v>
      </c>
      <c r="S470" t="n">
        <v>0.9350000000000001</v>
      </c>
      <c r="T470" t="n">
        <v>2.439</v>
      </c>
      <c r="U470" t="n">
        <v>-1.504</v>
      </c>
      <c r="V470" t="n">
        <v>725889000000</v>
      </c>
    </row>
    <row r="471">
      <c r="A471" t="inlineStr">
        <is>
          <t>Switzerland</t>
        </is>
      </c>
      <c r="B471" t="inlineStr">
        <is>
          <t>CHE</t>
        </is>
      </c>
      <c r="C471" t="inlineStr">
        <is>
          <t>EWL</t>
        </is>
      </c>
      <c r="D471" t="n">
        <v>2019</v>
      </c>
      <c r="E471" t="n">
        <v>32.58998928874497</v>
      </c>
      <c r="F471" t="n">
        <v>1.163</v>
      </c>
      <c r="G471" t="n">
        <v>1.058548</v>
      </c>
      <c r="H471" t="n">
        <v>-0.550084</v>
      </c>
      <c r="I471" t="n">
        <v>-33.14007328874496</v>
      </c>
      <c r="J471" t="inlineStr">
        <is>
          <t>Switzerland|EWL|2019</t>
        </is>
      </c>
      <c r="K471" t="inlineStr">
        <is>
          <t>Switzerland|2019</t>
        </is>
      </c>
      <c r="L471" t="inlineStr">
        <is>
          <t>USD</t>
        </is>
      </c>
      <c r="M471" t="n">
        <v>32.58998928874497</v>
      </c>
      <c r="N471" t="n">
        <v>0</v>
      </c>
      <c r="O471" t="n">
        <v>0</v>
      </c>
      <c r="P471" t="n">
        <v>32.58998928874497</v>
      </c>
      <c r="Q471" t="n">
        <v>-1.591782718460655</v>
      </c>
      <c r="R471" t="n">
        <v>34.73467252172027</v>
      </c>
      <c r="S471" t="n">
        <v>0.363</v>
      </c>
      <c r="T471" t="n">
        <v>1.813</v>
      </c>
      <c r="U471" t="n">
        <v>-1.45</v>
      </c>
      <c r="V471" t="n">
        <v>721896000000</v>
      </c>
    </row>
    <row r="472">
      <c r="A472" t="inlineStr">
        <is>
          <t>Switzerland</t>
        </is>
      </c>
      <c r="B472" t="inlineStr">
        <is>
          <t>CHE</t>
        </is>
      </c>
      <c r="C472" t="inlineStr">
        <is>
          <t>EWL</t>
        </is>
      </c>
      <c r="D472" t="n">
        <v>2020</v>
      </c>
      <c r="E472" t="n">
        <v>10.93254678235371</v>
      </c>
      <c r="F472" t="n">
        <v>-2.293</v>
      </c>
      <c r="G472" t="n">
        <v>-2.970639</v>
      </c>
      <c r="H472" t="n">
        <v>2.68626</v>
      </c>
      <c r="I472" t="n">
        <v>-8.246286782353714</v>
      </c>
      <c r="J472" t="inlineStr">
        <is>
          <t>Switzerland|EWL|2020</t>
        </is>
      </c>
      <c r="K472" t="inlineStr">
        <is>
          <t>Switzerland|2020</t>
        </is>
      </c>
      <c r="L472" t="inlineStr">
        <is>
          <t>USD</t>
        </is>
      </c>
      <c r="M472" t="n">
        <v>10.93254678235371</v>
      </c>
      <c r="N472" t="n">
        <v>0</v>
      </c>
      <c r="O472" t="n">
        <v>0</v>
      </c>
      <c r="P472" t="n">
        <v>10.93254678235371</v>
      </c>
      <c r="Q472" t="n">
        <v>5.830089777766312</v>
      </c>
      <c r="R472" t="n">
        <v>4.821366981075137</v>
      </c>
      <c r="S472" t="n">
        <v>-0.724</v>
      </c>
      <c r="T472" t="n">
        <v>1.253</v>
      </c>
      <c r="U472" t="n">
        <v>-1.977</v>
      </c>
      <c r="V472" t="n">
        <v>741288000000</v>
      </c>
    </row>
    <row r="473">
      <c r="A473" t="inlineStr">
        <is>
          <t>Switzerland</t>
        </is>
      </c>
      <c r="B473" t="inlineStr">
        <is>
          <t>CHE</t>
        </is>
      </c>
      <c r="C473" t="inlineStr">
        <is>
          <t>EWL</t>
        </is>
      </c>
      <c r="D473" t="n">
        <v>2021</v>
      </c>
      <c r="E473" t="n">
        <v>18.89703794815318</v>
      </c>
      <c r="F473" t="n">
        <v>5.573</v>
      </c>
      <c r="G473" t="n">
        <v>6.962635</v>
      </c>
      <c r="H473" t="n">
        <v>9.902763999999999</v>
      </c>
      <c r="I473" t="n">
        <v>-8.994273948153184</v>
      </c>
      <c r="J473" t="inlineStr">
        <is>
          <t>Switzerland|EWL|2021</t>
        </is>
      </c>
      <c r="K473" t="inlineStr">
        <is>
          <t>Switzerland|2021</t>
        </is>
      </c>
      <c r="L473" t="inlineStr">
        <is>
          <t>USD</t>
        </is>
      </c>
      <c r="M473" t="n">
        <v>18.89703794815318</v>
      </c>
      <c r="N473" t="n">
        <v>0</v>
      </c>
      <c r="O473" t="n">
        <v>0</v>
      </c>
      <c r="P473" t="n">
        <v>18.89703794815318</v>
      </c>
      <c r="Q473" t="n">
        <v>2.748744273606651</v>
      </c>
      <c r="R473" t="n">
        <v>15.71629297147001</v>
      </c>
      <c r="S473" t="n">
        <v>0.583</v>
      </c>
      <c r="T473" t="n">
        <v>4.679</v>
      </c>
      <c r="U473" t="n">
        <v>-4.096</v>
      </c>
      <c r="V473" t="n">
        <v>814696000000</v>
      </c>
    </row>
    <row r="474">
      <c r="A474" t="inlineStr">
        <is>
          <t>Switzerland</t>
        </is>
      </c>
      <c r="B474" t="inlineStr">
        <is>
          <t>CHE</t>
        </is>
      </c>
      <c r="C474" t="inlineStr">
        <is>
          <t>EWL</t>
        </is>
      </c>
      <c r="D474" t="n">
        <v>2022</v>
      </c>
      <c r="E474" t="n">
        <v>-19.15358157782965</v>
      </c>
      <c r="F474" t="n">
        <v>3.124</v>
      </c>
      <c r="G474" t="n">
        <v>6.257026</v>
      </c>
      <c r="H474" t="n">
        <v>1.69597</v>
      </c>
      <c r="I474" t="n">
        <v>20.84955157782965</v>
      </c>
      <c r="J474" t="inlineStr">
        <is>
          <t>Switzerland|EWL|2022</t>
        </is>
      </c>
      <c r="K474" t="inlineStr">
        <is>
          <t>Switzerland|2022</t>
        </is>
      </c>
      <c r="L474" t="inlineStr">
        <is>
          <t>USD</t>
        </is>
      </c>
      <c r="M474" t="n">
        <v>-19.15358157782965</v>
      </c>
      <c r="N474" t="n">
        <v>0</v>
      </c>
      <c r="O474" t="n">
        <v>0</v>
      </c>
      <c r="P474" t="n">
        <v>-19.15358157782965</v>
      </c>
      <c r="Q474" t="n">
        <v>-4.29247512672184</v>
      </c>
      <c r="R474" t="n">
        <v>-15.52762593200974</v>
      </c>
      <c r="S474" t="n">
        <v>2.834</v>
      </c>
      <c r="T474" t="n">
        <v>7.993</v>
      </c>
      <c r="U474" t="n">
        <v>-5.159000000000001</v>
      </c>
      <c r="V474" t="n">
        <v>828513000000</v>
      </c>
    </row>
    <row r="475">
      <c r="A475" t="inlineStr">
        <is>
          <t>Switzerland</t>
        </is>
      </c>
      <c r="B475" t="inlineStr">
        <is>
          <t>CHE</t>
        </is>
      </c>
      <c r="C475" t="inlineStr">
        <is>
          <t>EWL</t>
        </is>
      </c>
      <c r="D475" t="n">
        <v>2023</v>
      </c>
      <c r="E475" t="n">
        <v>15.87058181837924</v>
      </c>
      <c r="F475" t="n">
        <v>0.737</v>
      </c>
      <c r="G475" t="n">
        <v>1.629522</v>
      </c>
      <c r="H475" t="n">
        <v>8.00253</v>
      </c>
      <c r="I475" t="n">
        <v>-7.868051818379236</v>
      </c>
      <c r="J475" t="inlineStr">
        <is>
          <t>Switzerland|EWL|2023</t>
        </is>
      </c>
      <c r="K475" t="inlineStr">
        <is>
          <t>Switzerland|2023</t>
        </is>
      </c>
      <c r="L475" t="inlineStr">
        <is>
          <t>USD</t>
        </is>
      </c>
      <c r="M475" t="n">
        <v>15.87058181837924</v>
      </c>
      <c r="N475" t="n">
        <v>0</v>
      </c>
      <c r="O475" t="n">
        <v>0</v>
      </c>
      <c r="P475" t="n">
        <v>15.87058181837924</v>
      </c>
      <c r="Q475" t="n">
        <v>6.270823636061729</v>
      </c>
      <c r="R475" t="n">
        <v>9.033296114456713</v>
      </c>
      <c r="S475" t="n">
        <v>2.135</v>
      </c>
      <c r="T475" t="n">
        <v>4.128</v>
      </c>
      <c r="U475" t="n">
        <v>-1.993</v>
      </c>
      <c r="V475" t="n">
        <v>894815000000</v>
      </c>
    </row>
    <row r="476">
      <c r="A476" t="inlineStr">
        <is>
          <t>Switzerland</t>
        </is>
      </c>
      <c r="B476" t="inlineStr">
        <is>
          <t>CHE</t>
        </is>
      </c>
      <c r="C476" t="inlineStr">
        <is>
          <t>EWL</t>
        </is>
      </c>
      <c r="D476" t="n">
        <v>2024</v>
      </c>
      <c r="E476" t="n">
        <v>-2.156434393728979</v>
      </c>
      <c r="F476" t="n">
        <v>1.363</v>
      </c>
      <c r="G476" t="n">
        <v>2.737126</v>
      </c>
      <c r="H476" t="n">
        <v>4.843236</v>
      </c>
      <c r="I476" t="n">
        <v>6.999670393728978</v>
      </c>
      <c r="J476" t="inlineStr">
        <is>
          <t>Switzerland|EWL|2024</t>
        </is>
      </c>
      <c r="K476" t="inlineStr">
        <is>
          <t>Switzerland|2024</t>
        </is>
      </c>
      <c r="L476" t="inlineStr">
        <is>
          <t>USD</t>
        </is>
      </c>
      <c r="M476" t="n">
        <v>-2.156434393728979</v>
      </c>
      <c r="N476" t="n">
        <v>0</v>
      </c>
      <c r="O476" t="n">
        <v>0</v>
      </c>
      <c r="P476" t="n">
        <v>-2.156434393728979</v>
      </c>
      <c r="Q476" t="n">
        <v>2.049998749231574</v>
      </c>
      <c r="R476" t="n">
        <v>-4.121933556605972</v>
      </c>
      <c r="S476" t="n">
        <v>1.06</v>
      </c>
      <c r="T476" t="n">
        <v>2.952</v>
      </c>
      <c r="U476" t="n">
        <v>-1.892</v>
      </c>
      <c r="V476" t="n">
        <v>938153000000</v>
      </c>
    </row>
    <row r="477">
      <c r="A477" t="inlineStr">
        <is>
          <t>Switzerland</t>
        </is>
      </c>
      <c r="B477" t="inlineStr">
        <is>
          <t>CHE</t>
        </is>
      </c>
      <c r="C477" t="inlineStr">
        <is>
          <t>EWL</t>
        </is>
      </c>
      <c r="D477" t="n">
        <v>2025</v>
      </c>
      <c r="E477" t="n">
        <v>33.24270296086154</v>
      </c>
      <c r="F477" t="n">
        <v>0.946</v>
      </c>
      <c r="G477" t="n">
        <v>1.031492</v>
      </c>
      <c r="H477" t="n">
        <v>6.876597</v>
      </c>
      <c r="I477" t="n">
        <v>-26.36610596086154</v>
      </c>
      <c r="J477" t="inlineStr">
        <is>
          <t>Switzerland|EWL|2025</t>
        </is>
      </c>
      <c r="K477" t="inlineStr">
        <is>
          <t>Switzerland|2025</t>
        </is>
      </c>
      <c r="L477" t="inlineStr">
        <is>
          <t>USD</t>
        </is>
      </c>
      <c r="M477" t="n">
        <v>33.24270296086154</v>
      </c>
      <c r="N477" t="n">
        <v>0</v>
      </c>
      <c r="O477" t="n">
        <v>0</v>
      </c>
      <c r="P477" t="n">
        <v>33.24270296086154</v>
      </c>
      <c r="Q477" t="n">
        <v>5.785428671851567</v>
      </c>
      <c r="R477" t="n">
        <v>25.95562983838064</v>
      </c>
      <c r="S477" t="n">
        <v>0.142</v>
      </c>
      <c r="T477" t="n">
        <v>2.715</v>
      </c>
      <c r="U477" t="n">
        <v>-2.573</v>
      </c>
      <c r="V477" t="n">
        <v>1002666000000</v>
      </c>
    </row>
    <row r="478">
      <c r="A478" t="inlineStr">
        <is>
          <t>Switzerland</t>
        </is>
      </c>
      <c r="B478" t="inlineStr">
        <is>
          <t>CHE</t>
        </is>
      </c>
      <c r="C478" t="inlineStr">
        <is>
          <t>EWL</t>
        </is>
      </c>
      <c r="D478" t="n">
        <v>2026</v>
      </c>
      <c r="E478" t="n">
        <v>-1.325819083588842</v>
      </c>
      <c r="F478" t="n">
        <v>1.275</v>
      </c>
      <c r="G478" t="n">
        <v>1.903517</v>
      </c>
      <c r="H478" t="n">
        <v>7.173077</v>
      </c>
      <c r="I478" t="n">
        <v>8.498896083588843</v>
      </c>
      <c r="J478" t="inlineStr">
        <is>
          <t>Switzerland|EWL|2026</t>
        </is>
      </c>
      <c r="K478" t="inlineStr">
        <is>
          <t>Switzerland|2026</t>
        </is>
      </c>
      <c r="L478" t="inlineStr">
        <is>
          <t>USD</t>
        </is>
      </c>
      <c r="M478" t="n">
        <v>-1.325819083588842</v>
      </c>
      <c r="N478" t="n">
        <v>0</v>
      </c>
      <c r="O478" t="n">
        <v>0</v>
      </c>
      <c r="P478" t="n">
        <v>-1.325819083588842</v>
      </c>
      <c r="Q478" t="n">
        <v>5.171126513062774</v>
      </c>
      <c r="R478" t="n">
        <v>-6.177499292873567</v>
      </c>
      <c r="S478" t="n">
        <v>0.555</v>
      </c>
      <c r="T478" t="n">
        <v>2.435</v>
      </c>
      <c r="U478" t="n">
        <v>-1.88</v>
      </c>
      <c r="V478" t="n">
        <v>1074588000000</v>
      </c>
    </row>
    <row r="479">
      <c r="A479" t="inlineStr">
        <is>
          <t>Switzerland</t>
        </is>
      </c>
      <c r="B479" t="inlineStr">
        <is>
          <t>CHE</t>
        </is>
      </c>
      <c r="C479" t="inlineStr">
        <is>
          <t>EWL</t>
        </is>
      </c>
      <c r="D479" t="n">
        <v>2027</v>
      </c>
      <c r="E479" t="inlineStr"/>
      <c r="F479" t="n">
        <v>1.1</v>
      </c>
      <c r="G479" t="n">
        <v>1.785998</v>
      </c>
      <c r="H479" t="n">
        <v>3.702814</v>
      </c>
      <c r="I479" t="inlineStr"/>
      <c r="J479" t="inlineStr">
        <is>
          <t>Switzerland|EWL|2027</t>
        </is>
      </c>
      <c r="K479" t="inlineStr">
        <is>
          <t>Switzerland|2027</t>
        </is>
      </c>
      <c r="L479" t="inlineStr">
        <is>
          <t>USD</t>
        </is>
      </c>
      <c r="M479" t="inlineStr"/>
      <c r="N479" t="inlineStr"/>
      <c r="O479" t="inlineStr"/>
      <c r="P479" t="inlineStr"/>
      <c r="Q479" t="n">
        <v>1.883183097825403</v>
      </c>
      <c r="R479" t="inlineStr"/>
      <c r="S479" t="n">
        <v>0.656</v>
      </c>
      <c r="T479" t="n">
        <v>2.185</v>
      </c>
      <c r="U479" t="n">
        <v>-1.529</v>
      </c>
      <c r="V479" t="n">
        <v>1114378000000</v>
      </c>
    </row>
    <row r="480">
      <c r="A480" t="inlineStr">
        <is>
          <t>Switzerland</t>
        </is>
      </c>
      <c r="B480" t="inlineStr">
        <is>
          <t>CHE</t>
        </is>
      </c>
      <c r="C480" t="inlineStr">
        <is>
          <t>EWL</t>
        </is>
      </c>
      <c r="D480" t="n">
        <v>2028</v>
      </c>
      <c r="E480" t="inlineStr"/>
      <c r="F480" t="n">
        <v>1.8</v>
      </c>
      <c r="G480" t="n">
        <v>2.508604</v>
      </c>
      <c r="H480" t="n">
        <v>4.374727</v>
      </c>
      <c r="I480" t="inlineStr"/>
      <c r="J480" t="inlineStr">
        <is>
          <t>Switzerland|EWL|2028</t>
        </is>
      </c>
      <c r="K480" t="inlineStr">
        <is>
          <t>Switzerland|2028</t>
        </is>
      </c>
      <c r="L480" t="inlineStr">
        <is>
          <t>USD</t>
        </is>
      </c>
      <c r="M480" t="inlineStr"/>
      <c r="N480" t="inlineStr"/>
      <c r="O480" t="inlineStr"/>
      <c r="P480" t="inlineStr"/>
      <c r="Q480" t="n">
        <v>1.820455362070983</v>
      </c>
      <c r="R480" t="inlineStr"/>
      <c r="S480" t="n">
        <v>0.706</v>
      </c>
      <c r="T480" t="n">
        <v>2.206</v>
      </c>
      <c r="U480" t="n">
        <v>-1.5</v>
      </c>
      <c r="V480" t="n">
        <v>1163129000000</v>
      </c>
    </row>
    <row r="481">
      <c r="A481" t="inlineStr">
        <is>
          <t>Switzerland</t>
        </is>
      </c>
      <c r="B481" t="inlineStr">
        <is>
          <t>CHE</t>
        </is>
      </c>
      <c r="C481" t="inlineStr">
        <is>
          <t>EWL</t>
        </is>
      </c>
      <c r="D481" t="n">
        <v>2029</v>
      </c>
      <c r="E481" t="inlineStr"/>
      <c r="F481" t="n">
        <v>1.2</v>
      </c>
      <c r="G481" t="n">
        <v>1.87232</v>
      </c>
      <c r="H481" t="n">
        <v>3.731744</v>
      </c>
      <c r="I481" t="inlineStr"/>
      <c r="J481" t="inlineStr">
        <is>
          <t>Switzerland|EWL|2029</t>
        </is>
      </c>
      <c r="K481" t="inlineStr">
        <is>
          <t>Switzerland|2029</t>
        </is>
      </c>
      <c r="L481" t="inlineStr">
        <is>
          <t>USD</t>
        </is>
      </c>
      <c r="M481" t="inlineStr"/>
      <c r="N481" t="inlineStr"/>
      <c r="O481" t="inlineStr"/>
      <c r="P481" t="inlineStr"/>
      <c r="Q481" t="n">
        <v>1.825249966288545</v>
      </c>
      <c r="R481" t="inlineStr"/>
      <c r="S481" t="n">
        <v>0.711</v>
      </c>
      <c r="T481" t="n">
        <v>2.203</v>
      </c>
      <c r="U481" t="n">
        <v>-1.492</v>
      </c>
      <c r="V481" t="n">
        <v>1206534000000</v>
      </c>
    </row>
    <row r="482">
      <c r="A482" t="inlineStr">
        <is>
          <t>Taiwan</t>
        </is>
      </c>
      <c r="B482" t="inlineStr">
        <is>
          <t>TWN</t>
        </is>
      </c>
      <c r="C482" t="inlineStr">
        <is>
          <t>XMTW.L</t>
        </is>
      </c>
      <c r="D482" t="n">
        <v>2015</v>
      </c>
      <c r="E482" t="n">
        <v>-7.487702678083441</v>
      </c>
      <c r="F482" t="n">
        <v>1.465</v>
      </c>
      <c r="G482" t="inlineStr"/>
      <c r="H482" t="inlineStr"/>
      <c r="I482" t="inlineStr"/>
      <c r="J482" t="inlineStr">
        <is>
          <t>Taiwan|XMTW.L|2015</t>
        </is>
      </c>
      <c r="K482" t="inlineStr">
        <is>
          <t>Taiwan|2015</t>
        </is>
      </c>
      <c r="L482" t="inlineStr">
        <is>
          <t>GBp</t>
        </is>
      </c>
      <c r="M482" t="n">
        <v>-7.487702678083441</v>
      </c>
      <c r="N482" t="n">
        <v>-4.888855870697362</v>
      </c>
      <c r="O482" t="n">
        <v>-5.407515212426162</v>
      </c>
      <c r="P482" t="n">
        <v>-12.01049555682295</v>
      </c>
      <c r="Q482" t="inlineStr"/>
      <c r="R482" t="inlineStr"/>
      <c r="S482" t="n">
        <v>-0.306</v>
      </c>
      <c r="T482" t="n">
        <v>0.121</v>
      </c>
      <c r="U482" t="n">
        <v>-0.427</v>
      </c>
      <c r="V482" t="n">
        <v>534515000000</v>
      </c>
    </row>
    <row r="483">
      <c r="A483" t="inlineStr">
        <is>
          <t>Taiwan</t>
        </is>
      </c>
      <c r="B483" t="inlineStr">
        <is>
          <t>TWN</t>
        </is>
      </c>
      <c r="C483" t="inlineStr">
        <is>
          <t>XMTW.L</t>
        </is>
      </c>
      <c r="D483" t="n">
        <v>2016</v>
      </c>
      <c r="E483" t="n">
        <v>46.63412649989829</v>
      </c>
      <c r="F483" t="n">
        <v>2.165</v>
      </c>
      <c r="G483" t="n">
        <v>2.93278</v>
      </c>
      <c r="H483" t="n">
        <v>1.602574</v>
      </c>
      <c r="I483" t="n">
        <v>-20.65258990486237</v>
      </c>
      <c r="J483" t="inlineStr">
        <is>
          <t>Taiwan|XMTW.L|2016</t>
        </is>
      </c>
      <c r="K483" t="inlineStr">
        <is>
          <t>Taiwan|2016</t>
        </is>
      </c>
      <c r="L483" t="inlineStr">
        <is>
          <t>GBp</t>
        </is>
      </c>
      <c r="M483" t="n">
        <v>46.63412649989829</v>
      </c>
      <c r="N483" t="n">
        <v>-16.62570861023462</v>
      </c>
      <c r="O483" t="n">
        <v>-16.21181156312136</v>
      </c>
      <c r="P483" t="n">
        <v>22.25516390486237</v>
      </c>
      <c r="Q483" t="n">
        <v>-1.292305373534508</v>
      </c>
      <c r="R483" t="n">
        <v>23.85575852774839</v>
      </c>
      <c r="S483" t="n">
        <v>1.393</v>
      </c>
      <c r="T483" t="n">
        <v>1.267</v>
      </c>
      <c r="U483" t="n">
        <v>0.1260000000000001</v>
      </c>
      <c r="V483" t="n">
        <v>543081000000</v>
      </c>
    </row>
    <row r="484">
      <c r="A484" t="inlineStr">
        <is>
          <t>Taiwan</t>
        </is>
      </c>
      <c r="B484" t="inlineStr">
        <is>
          <t>TWN</t>
        </is>
      </c>
      <c r="C484" t="inlineStr">
        <is>
          <t>XMTW.L</t>
        </is>
      </c>
      <c r="D484" t="n">
        <v>2017</v>
      </c>
      <c r="E484" t="n">
        <v>14.66119096509242</v>
      </c>
      <c r="F484" t="n">
        <v>3.662</v>
      </c>
      <c r="G484" t="n">
        <v>2.603885</v>
      </c>
      <c r="H484" t="n">
        <v>8.950046</v>
      </c>
      <c r="I484" t="n">
        <v>-15.84878582580438</v>
      </c>
      <c r="J484" t="inlineStr">
        <is>
          <t>Taiwan|XMTW.L|2017</t>
        </is>
      </c>
      <c r="K484" t="inlineStr">
        <is>
          <t>Taiwan|2017</t>
        </is>
      </c>
      <c r="L484" t="inlineStr">
        <is>
          <t>GBp</t>
        </is>
      </c>
      <c r="M484" t="n">
        <v>14.66119096509242</v>
      </c>
      <c r="N484" t="n">
        <v>8.841388071573641</v>
      </c>
      <c r="O484" t="n">
        <v>9.450435944365921</v>
      </c>
      <c r="P484" t="n">
        <v>24.79883182580438</v>
      </c>
      <c r="Q484" t="n">
        <v>6.185107967606229</v>
      </c>
      <c r="R484" t="n">
        <v>17.52950504497921</v>
      </c>
      <c r="S484" t="n">
        <v>0.622</v>
      </c>
      <c r="T484" t="n">
        <v>2.131</v>
      </c>
      <c r="U484" t="n">
        <v>-1.509</v>
      </c>
      <c r="V484" t="n">
        <v>591687000000</v>
      </c>
    </row>
    <row r="485">
      <c r="A485" t="inlineStr">
        <is>
          <t>Taiwan</t>
        </is>
      </c>
      <c r="B485" t="inlineStr">
        <is>
          <t>TWN</t>
        </is>
      </c>
      <c r="C485" t="inlineStr">
        <is>
          <t>XMTW.L</t>
        </is>
      </c>
      <c r="D485" t="n">
        <v>2018</v>
      </c>
      <c r="E485" t="n">
        <v>-3.19961795606496</v>
      </c>
      <c r="F485" t="n">
        <v>2.905</v>
      </c>
      <c r="G485" t="n">
        <v>2.263176</v>
      </c>
      <c r="H485" t="n">
        <v>3.211664</v>
      </c>
      <c r="I485" t="n">
        <v>12.30187969405226</v>
      </c>
      <c r="J485" t="inlineStr">
        <is>
          <t>Taiwan|XMTW.L|2018</t>
        </is>
      </c>
      <c r="K485" t="inlineStr">
        <is>
          <t>Taiwan|2018</t>
        </is>
      </c>
      <c r="L485" t="inlineStr">
        <is>
          <t>GBp</t>
        </is>
      </c>
      <c r="M485" t="n">
        <v>-3.19961795606496</v>
      </c>
      <c r="N485" t="n">
        <v>-6.085304224640065</v>
      </c>
      <c r="O485" t="n">
        <v>-5.756316180609423</v>
      </c>
      <c r="P485" t="n">
        <v>-9.090215694052262</v>
      </c>
      <c r="Q485" t="n">
        <v>0.9274974846127604</v>
      </c>
      <c r="R485" t="n">
        <v>-9.925652996788415</v>
      </c>
      <c r="S485" t="n">
        <v>1.35</v>
      </c>
      <c r="T485" t="n">
        <v>2.439</v>
      </c>
      <c r="U485" t="n">
        <v>-1.089</v>
      </c>
      <c r="V485" t="n">
        <v>610690000000</v>
      </c>
    </row>
    <row r="486">
      <c r="A486" t="inlineStr">
        <is>
          <t>Taiwan</t>
        </is>
      </c>
      <c r="B486" t="inlineStr">
        <is>
          <t>TWN</t>
        </is>
      </c>
      <c r="C486" t="inlineStr">
        <is>
          <t>XMTW.L</t>
        </is>
      </c>
      <c r="D486" t="n">
        <v>2019</v>
      </c>
      <c r="E486" t="n">
        <v>31.44426413681187</v>
      </c>
      <c r="F486" t="n">
        <v>3.055</v>
      </c>
      <c r="G486" t="n">
        <v>3.007909</v>
      </c>
      <c r="H486" t="n">
        <v>0.4621</v>
      </c>
      <c r="I486" t="n">
        <v>-34.85170489512341</v>
      </c>
      <c r="J486" t="inlineStr">
        <is>
          <t>Taiwan|XMTW.L|2019</t>
        </is>
      </c>
      <c r="K486" t="inlineStr">
        <is>
          <t>Taiwan|2019</t>
        </is>
      </c>
      <c r="L486" t="inlineStr">
        <is>
          <t>GBp</t>
        </is>
      </c>
      <c r="M486" t="n">
        <v>31.44426413681187</v>
      </c>
      <c r="N486" t="n">
        <v>2.94386429390634</v>
      </c>
      <c r="O486" t="n">
        <v>4.118031584084703</v>
      </c>
      <c r="P486" t="n">
        <v>35.31380489512341</v>
      </c>
      <c r="Q486" t="n">
        <v>-2.471469152051731</v>
      </c>
      <c r="R486" t="n">
        <v>38.74279015448743</v>
      </c>
      <c r="S486" t="n">
        <v>0.5590000000000001</v>
      </c>
      <c r="T486" t="n">
        <v>1.813</v>
      </c>
      <c r="U486" t="n">
        <v>-1.254</v>
      </c>
      <c r="V486" t="n">
        <v>613512000000</v>
      </c>
    </row>
    <row r="487">
      <c r="A487" t="inlineStr">
        <is>
          <t>Taiwan</t>
        </is>
      </c>
      <c r="B487" t="inlineStr">
        <is>
          <t>TWN</t>
        </is>
      </c>
      <c r="C487" t="inlineStr">
        <is>
          <t>XMTW.L</t>
        </is>
      </c>
      <c r="D487" t="n">
        <v>2020</v>
      </c>
      <c r="E487" t="n">
        <v>30.12880343475828</v>
      </c>
      <c r="F487" t="n">
        <v>3.42</v>
      </c>
      <c r="G487" t="n">
        <v>5.532042</v>
      </c>
      <c r="H487" t="n">
        <v>10.325633</v>
      </c>
      <c r="I487" t="n">
        <v>-23.41450285658255</v>
      </c>
      <c r="J487" t="inlineStr">
        <is>
          <t>Taiwan|XMTW.L|2020</t>
        </is>
      </c>
      <c r="K487" t="inlineStr">
        <is>
          <t>Taiwan|2020</t>
        </is>
      </c>
      <c r="L487" t="inlineStr">
        <is>
          <t>GBp</t>
        </is>
      </c>
      <c r="M487" t="n">
        <v>30.12880343475828</v>
      </c>
      <c r="N487" t="n">
        <v>2.775198362317122</v>
      </c>
      <c r="O487" t="n">
        <v>3.094474617937659</v>
      </c>
      <c r="P487" t="n">
        <v>33.74013585658255</v>
      </c>
      <c r="Q487" t="n">
        <v>4.542309042001991</v>
      </c>
      <c r="R487" t="n">
        <v>27.92919640109513</v>
      </c>
      <c r="S487" t="n">
        <v>-0.238</v>
      </c>
      <c r="T487" t="n">
        <v>1.253</v>
      </c>
      <c r="U487" t="n">
        <v>-1.491</v>
      </c>
      <c r="V487" t="n">
        <v>676861000000</v>
      </c>
    </row>
    <row r="488">
      <c r="A488" t="inlineStr">
        <is>
          <t>Taiwan</t>
        </is>
      </c>
      <c r="B488" t="inlineStr">
        <is>
          <t>TWN</t>
        </is>
      </c>
      <c r="C488" t="inlineStr">
        <is>
          <t>XMTW.L</t>
        </is>
      </c>
      <c r="D488" t="n">
        <v>2021</v>
      </c>
      <c r="E488" t="n">
        <v>26.4060742407199</v>
      </c>
      <c r="F488" t="n">
        <v>6.72</v>
      </c>
      <c r="G488" t="n">
        <v>8.737318999999999</v>
      </c>
      <c r="H488" t="n">
        <v>14.789447</v>
      </c>
      <c r="I488" t="n">
        <v>-10.00214292852304</v>
      </c>
      <c r="J488" t="inlineStr">
        <is>
          <t>Taiwan|XMTW.L|2021</t>
        </is>
      </c>
      <c r="K488" t="inlineStr">
        <is>
          <t>Taiwan|2021</t>
        </is>
      </c>
      <c r="L488" t="inlineStr">
        <is>
          <t>GBp</t>
        </is>
      </c>
      <c r="M488" t="n">
        <v>26.4060742407199</v>
      </c>
      <c r="N488" t="n">
        <v>-1.277220514832489</v>
      </c>
      <c r="O488" t="n">
        <v>-1.102343119945948</v>
      </c>
      <c r="P488" t="n">
        <v>24.79158992852304</v>
      </c>
      <c r="Q488" t="n">
        <v>5.565824767673844</v>
      </c>
      <c r="R488" t="n">
        <v>18.21211097735531</v>
      </c>
      <c r="S488" t="n">
        <v>1.971</v>
      </c>
      <c r="T488" t="n">
        <v>4.679</v>
      </c>
      <c r="U488" t="n">
        <v>-2.708</v>
      </c>
      <c r="V488" t="n">
        <v>776965000000</v>
      </c>
    </row>
    <row r="489">
      <c r="A489" t="inlineStr">
        <is>
          <t>Taiwan</t>
        </is>
      </c>
      <c r="B489" t="inlineStr">
        <is>
          <t>TWN</t>
        </is>
      </c>
      <c r="C489" t="inlineStr">
        <is>
          <t>XMTW.L</t>
        </is>
      </c>
      <c r="D489" t="n">
        <v>2022</v>
      </c>
      <c r="E489" t="n">
        <v>-22.55951081022057</v>
      </c>
      <c r="F489" t="n">
        <v>2.684</v>
      </c>
      <c r="G489" t="n">
        <v>4.809282</v>
      </c>
      <c r="H489" t="n">
        <v>-1.459654</v>
      </c>
      <c r="I489" t="n">
        <v>29.49521662599436</v>
      </c>
      <c r="J489" t="inlineStr">
        <is>
          <t>Taiwan|XMTW.L|2022</t>
        </is>
      </c>
      <c r="K489" t="inlineStr">
        <is>
          <t>Taiwan|2022</t>
        </is>
      </c>
      <c r="L489" t="inlineStr">
        <is>
          <t>GBp</t>
        </is>
      </c>
      <c r="M489" t="n">
        <v>-22.55951081022057</v>
      </c>
      <c r="N489" t="n">
        <v>-10.84104698150823</v>
      </c>
      <c r="O489" t="n">
        <v>-10.36772851390696</v>
      </c>
      <c r="P489" t="n">
        <v>-30.95487062599436</v>
      </c>
      <c r="Q489" t="n">
        <v>-5.981279464785949</v>
      </c>
      <c r="R489" t="n">
        <v>-26.56236015449149</v>
      </c>
      <c r="S489" t="n">
        <v>2.947</v>
      </c>
      <c r="T489" t="n">
        <v>7.993</v>
      </c>
      <c r="U489" t="n">
        <v>-5.046</v>
      </c>
      <c r="V489" t="n">
        <v>765624000000</v>
      </c>
    </row>
    <row r="490">
      <c r="A490" t="inlineStr">
        <is>
          <t>Taiwan</t>
        </is>
      </c>
      <c r="B490" t="inlineStr">
        <is>
          <t>TWN</t>
        </is>
      </c>
      <c r="C490" t="inlineStr">
        <is>
          <t>XMTW.L</t>
        </is>
      </c>
      <c r="D490" t="n">
        <v>2023</v>
      </c>
      <c r="E490" t="n">
        <v>20.62071857961694</v>
      </c>
      <c r="F490" t="n">
        <v>1.122</v>
      </c>
      <c r="G490" t="n">
        <v>3.401794</v>
      </c>
      <c r="H490" t="n">
        <v>-1.082646</v>
      </c>
      <c r="I490" t="n">
        <v>-27.81042857463886</v>
      </c>
      <c r="J490" t="inlineStr">
        <is>
          <t>Taiwan|XMTW.L|2023</t>
        </is>
      </c>
      <c r="K490" t="inlineStr">
        <is>
          <t>Taiwan|2023</t>
        </is>
      </c>
      <c r="L490" t="inlineStr">
        <is>
          <t>GBp</t>
        </is>
      </c>
      <c r="M490" t="n">
        <v>20.62071857961694</v>
      </c>
      <c r="N490" t="n">
        <v>5.06303068571996</v>
      </c>
      <c r="O490" t="n">
        <v>5.030130998783355</v>
      </c>
      <c r="P490" t="n">
        <v>26.72778257463886</v>
      </c>
      <c r="Q490" t="n">
        <v>-4.336907572818738</v>
      </c>
      <c r="R490" t="n">
        <v>32.47301478478133</v>
      </c>
      <c r="S490" t="n">
        <v>2.492</v>
      </c>
      <c r="T490" t="n">
        <v>4.128</v>
      </c>
      <c r="U490" t="n">
        <v>-1.636</v>
      </c>
      <c r="V490" t="n">
        <v>757335000000</v>
      </c>
    </row>
    <row r="491">
      <c r="A491" t="inlineStr">
        <is>
          <t>Taiwan</t>
        </is>
      </c>
      <c r="B491" t="inlineStr">
        <is>
          <t>TWN</t>
        </is>
      </c>
      <c r="C491" t="inlineStr">
        <is>
          <t>XMTW.L</t>
        </is>
      </c>
      <c r="D491" t="n">
        <v>2024</v>
      </c>
      <c r="E491" t="n">
        <v>27.73207990599296</v>
      </c>
      <c r="F491" t="n">
        <v>4.837</v>
      </c>
      <c r="G491" t="n">
        <v>8.459306</v>
      </c>
      <c r="H491" t="n">
        <v>5.237973</v>
      </c>
      <c r="I491" t="n">
        <v>-20.67896568363836</v>
      </c>
      <c r="J491" t="inlineStr">
        <is>
          <t>Taiwan|XMTW.L|2024</t>
        </is>
      </c>
      <c r="K491" t="inlineStr">
        <is>
          <t>Taiwan|2024</t>
        </is>
      </c>
      <c r="L491" t="inlineStr">
        <is>
          <t>GBp</t>
        </is>
      </c>
      <c r="M491" t="n">
        <v>27.73207990599296</v>
      </c>
      <c r="N491" t="n">
        <v>-1.421053523664917</v>
      </c>
      <c r="O491" t="n">
        <v>-1.655539060617606</v>
      </c>
      <c r="P491" t="n">
        <v>25.91693868363836</v>
      </c>
      <c r="Q491" t="n">
        <v>-2.970085055963534</v>
      </c>
      <c r="R491" t="n">
        <v>29.77125534559413</v>
      </c>
      <c r="S491" t="n">
        <v>2.181</v>
      </c>
      <c r="T491" t="n">
        <v>2.952</v>
      </c>
      <c r="U491" t="n">
        <v>-0.7709999999999999</v>
      </c>
      <c r="V491" t="n">
        <v>797004000000</v>
      </c>
    </row>
    <row r="492">
      <c r="A492" t="inlineStr">
        <is>
          <t>Taiwan</t>
        </is>
      </c>
      <c r="B492" t="inlineStr">
        <is>
          <t>TWN</t>
        </is>
      </c>
      <c r="C492" t="inlineStr">
        <is>
          <t>XMTW.L</t>
        </is>
      </c>
      <c r="D492" t="n">
        <v>2025</v>
      </c>
      <c r="E492" t="n">
        <v>23.8012125665993</v>
      </c>
      <c r="F492" t="n">
        <v>3.674</v>
      </c>
      <c r="G492" t="n">
        <v>5.468292</v>
      </c>
      <c r="H492" t="n">
        <v>10.963935</v>
      </c>
      <c r="I492" t="n">
        <v>-22.21141817071263</v>
      </c>
      <c r="J492" t="inlineStr">
        <is>
          <t>Taiwan|XMTW.L|2025</t>
        </is>
      </c>
      <c r="K492" t="inlineStr">
        <is>
          <t>Taiwan|2025</t>
        </is>
      </c>
      <c r="L492" t="inlineStr">
        <is>
          <t>GBp</t>
        </is>
      </c>
      <c r="M492" t="n">
        <v>23.8012125665993</v>
      </c>
      <c r="N492" t="n">
        <v>7.571929555270285</v>
      </c>
      <c r="O492" t="n">
        <v>7.623377354227179</v>
      </c>
      <c r="P492" t="n">
        <v>33.17535317071263</v>
      </c>
      <c r="Q492" t="n">
        <v>5.210706253215691</v>
      </c>
      <c r="R492" t="n">
        <v>26.57965896568841</v>
      </c>
      <c r="S492" t="n">
        <v>1.73</v>
      </c>
      <c r="T492" t="n">
        <v>2.715</v>
      </c>
      <c r="U492" t="n">
        <v>-0.9849999999999999</v>
      </c>
      <c r="V492" t="n">
        <v>884387000000</v>
      </c>
    </row>
    <row r="493">
      <c r="A493" t="inlineStr">
        <is>
          <t>Taiwan</t>
        </is>
      </c>
      <c r="B493" t="inlineStr">
        <is>
          <t>TWN</t>
        </is>
      </c>
      <c r="C493" t="inlineStr">
        <is>
          <t>XMTW.L</t>
        </is>
      </c>
      <c r="D493" t="n">
        <v>2026</v>
      </c>
      <c r="E493" t="n">
        <v>15.0455480458419</v>
      </c>
      <c r="F493" t="n">
        <v>2.113</v>
      </c>
      <c r="G493" t="n">
        <v>3.705991</v>
      </c>
      <c r="H493" t="n">
        <v>9.84422</v>
      </c>
      <c r="I493" t="n">
        <v>-3.314256505973571</v>
      </c>
      <c r="J493" t="inlineStr">
        <is>
          <t>Taiwan|XMTW.L|2026</t>
        </is>
      </c>
      <c r="K493" t="inlineStr">
        <is>
          <t>Taiwan|2026</t>
        </is>
      </c>
      <c r="L493" t="inlineStr">
        <is>
          <t>GBp</t>
        </is>
      </c>
      <c r="M493" t="n">
        <v>15.0455480458419</v>
      </c>
      <c r="N493" t="n">
        <v>-1.640282107323621</v>
      </c>
      <c r="O493" t="inlineStr"/>
      <c r="P493" t="n">
        <v>13.15847650597357</v>
      </c>
      <c r="Q493" t="n">
        <v>5.918875450485639</v>
      </c>
      <c r="R493" t="n">
        <v>6.835043352468606</v>
      </c>
      <c r="S493" t="n">
        <v>1.56</v>
      </c>
      <c r="T493" t="n">
        <v>2.435</v>
      </c>
      <c r="U493" t="n">
        <v>-0.875</v>
      </c>
      <c r="V493" t="n">
        <v>971448000000</v>
      </c>
    </row>
    <row r="494">
      <c r="A494" t="inlineStr">
        <is>
          <t>Taiwan</t>
        </is>
      </c>
      <c r="B494" t="inlineStr">
        <is>
          <t>TWN</t>
        </is>
      </c>
      <c r="C494" t="inlineStr">
        <is>
          <t>XMTW.L</t>
        </is>
      </c>
      <c r="D494" t="n">
        <v>2027</v>
      </c>
      <c r="E494" t="inlineStr"/>
      <c r="F494" t="n">
        <v>2.521</v>
      </c>
      <c r="G494" t="n">
        <v>4.103483</v>
      </c>
      <c r="H494" t="n">
        <v>4.841124</v>
      </c>
      <c r="I494" t="inlineStr"/>
      <c r="J494" t="inlineStr">
        <is>
          <t>Taiwan|XMTW.L|2027</t>
        </is>
      </c>
      <c r="K494" t="inlineStr">
        <is>
          <t>Taiwan|2027</t>
        </is>
      </c>
      <c r="L494" t="inlineStr">
        <is>
          <t>GBp</t>
        </is>
      </c>
      <c r="M494" t="inlineStr"/>
      <c r="N494" t="inlineStr"/>
      <c r="O494" t="inlineStr"/>
      <c r="P494" t="inlineStr"/>
      <c r="Q494" t="n">
        <v>0.7085644581493966</v>
      </c>
      <c r="R494" t="inlineStr"/>
      <c r="S494" t="n">
        <v>1.544</v>
      </c>
      <c r="T494" t="n">
        <v>2.185</v>
      </c>
      <c r="U494" t="n">
        <v>-0.641</v>
      </c>
      <c r="V494" t="n">
        <v>1018477000000</v>
      </c>
    </row>
    <row r="495">
      <c r="A495" t="inlineStr">
        <is>
          <t>Taiwan</t>
        </is>
      </c>
      <c r="B495" t="inlineStr">
        <is>
          <t>TWN</t>
        </is>
      </c>
      <c r="C495" t="inlineStr">
        <is>
          <t>XMTW.L</t>
        </is>
      </c>
      <c r="D495" t="n">
        <v>2028</v>
      </c>
      <c r="E495" t="inlineStr"/>
      <c r="F495" t="n">
        <v>2.413</v>
      </c>
      <c r="G495" t="n">
        <v>3.957778</v>
      </c>
      <c r="H495" t="n">
        <v>3.583684</v>
      </c>
      <c r="I495" t="inlineStr"/>
      <c r="J495" t="inlineStr">
        <is>
          <t>Taiwan|XMTW.L|2028</t>
        </is>
      </c>
      <c r="K495" t="inlineStr">
        <is>
          <t>Taiwan|2028</t>
        </is>
      </c>
      <c r="L495" t="inlineStr">
        <is>
          <t>GBp</t>
        </is>
      </c>
      <c r="M495" t="inlineStr"/>
      <c r="N495" t="inlineStr"/>
      <c r="O495" t="inlineStr"/>
      <c r="P495" t="inlineStr"/>
      <c r="Q495" t="n">
        <v>-0.359851155567037</v>
      </c>
      <c r="R495" t="inlineStr"/>
      <c r="S495" t="n">
        <v>1.508</v>
      </c>
      <c r="T495" t="n">
        <v>2.206</v>
      </c>
      <c r="U495" t="n">
        <v>-0.698</v>
      </c>
      <c r="V495" t="n">
        <v>1054976000000</v>
      </c>
    </row>
    <row r="496">
      <c r="A496" t="inlineStr">
        <is>
          <t>Taiwan</t>
        </is>
      </c>
      <c r="B496" t="inlineStr">
        <is>
          <t>TWN</t>
        </is>
      </c>
      <c r="C496" t="inlineStr">
        <is>
          <t>XMTW.L</t>
        </is>
      </c>
      <c r="D496" t="n">
        <v>2029</v>
      </c>
      <c r="E496" t="inlineStr"/>
      <c r="F496" t="n">
        <v>2.38</v>
      </c>
      <c r="G496" t="n">
        <v>4.010899</v>
      </c>
      <c r="H496" t="n">
        <v>2.632951</v>
      </c>
      <c r="I496" t="inlineStr"/>
      <c r="J496" t="inlineStr">
        <is>
          <t>Taiwan|XMTW.L|2029</t>
        </is>
      </c>
      <c r="K496" t="inlineStr">
        <is>
          <t>Taiwan|2029</t>
        </is>
      </c>
      <c r="L496" t="inlineStr">
        <is>
          <t>GBp</t>
        </is>
      </c>
      <c r="M496" t="inlineStr"/>
      <c r="N496" t="inlineStr"/>
      <c r="O496" t="inlineStr"/>
      <c r="P496" t="inlineStr"/>
      <c r="Q496" t="n">
        <v>-1.324811204078746</v>
      </c>
      <c r="R496" t="inlineStr"/>
      <c r="S496" t="n">
        <v>1.593</v>
      </c>
      <c r="T496" t="n">
        <v>2.203</v>
      </c>
      <c r="U496" t="n">
        <v>-0.6099999999999999</v>
      </c>
      <c r="V496" t="n">
        <v>1082753000000</v>
      </c>
    </row>
    <row r="497">
      <c r="A497" t="inlineStr">
        <is>
          <t>Thailand</t>
        </is>
      </c>
      <c r="B497" t="inlineStr">
        <is>
          <t>THA</t>
        </is>
      </c>
      <c r="C497" t="inlineStr">
        <is>
          <t>XCX4.L</t>
        </is>
      </c>
      <c r="D497" t="n">
        <v>2015</v>
      </c>
      <c r="E497" t="n">
        <v>-20.82937036332509</v>
      </c>
      <c r="F497" t="n">
        <v>3.134</v>
      </c>
      <c r="G497" t="inlineStr"/>
      <c r="H497" t="inlineStr"/>
      <c r="I497" t="inlineStr"/>
      <c r="J497" t="inlineStr">
        <is>
          <t>Thailand|XCX4.L|2015</t>
        </is>
      </c>
      <c r="K497" t="inlineStr">
        <is>
          <t>Thailand|2015</t>
        </is>
      </c>
      <c r="L497" t="inlineStr">
        <is>
          <t>GBp</t>
        </is>
      </c>
      <c r="M497" t="n">
        <v>-20.82937036332509</v>
      </c>
      <c r="N497" t="n">
        <v>-4.888855870697362</v>
      </c>
      <c r="O497" t="n">
        <v>-5.407515212426162</v>
      </c>
      <c r="P497" t="n">
        <v>-24.69990833818574</v>
      </c>
      <c r="Q497" t="inlineStr"/>
      <c r="R497" t="inlineStr"/>
      <c r="S497" t="n">
        <v>-0.898</v>
      </c>
      <c r="T497" t="n">
        <v>0.121</v>
      </c>
      <c r="U497" t="n">
        <v>-1.019</v>
      </c>
      <c r="V497" t="n">
        <v>401296000000</v>
      </c>
    </row>
    <row r="498">
      <c r="A498" t="inlineStr">
        <is>
          <t>Thailand</t>
        </is>
      </c>
      <c r="B498" t="inlineStr">
        <is>
          <t>THA</t>
        </is>
      </c>
      <c r="C498" t="inlineStr">
        <is>
          <t>XCX4.L</t>
        </is>
      </c>
      <c r="D498" t="n">
        <v>2016</v>
      </c>
      <c r="E498" t="n">
        <v>56.73147920255968</v>
      </c>
      <c r="F498" t="n">
        <v>3.435</v>
      </c>
      <c r="G498" t="n">
        <v>6.161882</v>
      </c>
      <c r="H498" t="n">
        <v>3.007755</v>
      </c>
      <c r="I498" t="n">
        <v>-27.66600516983163</v>
      </c>
      <c r="J498" t="inlineStr">
        <is>
          <t>Thailand|XCX4.L|2016</t>
        </is>
      </c>
      <c r="K498" t="inlineStr">
        <is>
          <t>Thailand|2016</t>
        </is>
      </c>
      <c r="L498" t="inlineStr">
        <is>
          <t>GBp</t>
        </is>
      </c>
      <c r="M498" t="n">
        <v>56.73147920255968</v>
      </c>
      <c r="N498" t="n">
        <v>-16.62570861023462</v>
      </c>
      <c r="O498" t="n">
        <v>-16.21181156312136</v>
      </c>
      <c r="P498" t="n">
        <v>30.67376016983163</v>
      </c>
      <c r="Q498" t="n">
        <v>-2.971054132706175</v>
      </c>
      <c r="R498" t="n">
        <v>34.67502815969341</v>
      </c>
      <c r="S498" t="n">
        <v>0.186</v>
      </c>
      <c r="T498" t="n">
        <v>1.267</v>
      </c>
      <c r="U498" t="n">
        <v>-1.081</v>
      </c>
      <c r="V498" t="n">
        <v>413366000000</v>
      </c>
    </row>
    <row r="499">
      <c r="A499" t="inlineStr">
        <is>
          <t>Thailand</t>
        </is>
      </c>
      <c r="B499" t="inlineStr">
        <is>
          <t>THA</t>
        </is>
      </c>
      <c r="C499" t="inlineStr">
        <is>
          <t>XCX4.L</t>
        </is>
      </c>
      <c r="D499" t="n">
        <v>2017</v>
      </c>
      <c r="E499" t="n">
        <v>21.08057464084947</v>
      </c>
      <c r="F499" t="n">
        <v>4.178</v>
      </c>
      <c r="G499" t="n">
        <v>6.157</v>
      </c>
      <c r="H499" t="n">
        <v>10.400226</v>
      </c>
      <c r="I499" t="n">
        <v>-21.38555212413836</v>
      </c>
      <c r="J499" t="inlineStr">
        <is>
          <t>Thailand|XCX4.L|2017</t>
        </is>
      </c>
      <c r="K499" t="inlineStr">
        <is>
          <t>Thailand|2017</t>
        </is>
      </c>
      <c r="L499" t="inlineStr">
        <is>
          <t>GBp</t>
        </is>
      </c>
      <c r="M499" t="n">
        <v>21.08057464084947</v>
      </c>
      <c r="N499" t="n">
        <v>8.841388071573641</v>
      </c>
      <c r="O499" t="n">
        <v>9.450435944365921</v>
      </c>
      <c r="P499" t="n">
        <v>31.78577812413836</v>
      </c>
      <c r="Q499" t="n">
        <v>3.997123867122676</v>
      </c>
      <c r="R499" t="n">
        <v>26.72059882398412</v>
      </c>
      <c r="S499" t="n">
        <v>0.664</v>
      </c>
      <c r="T499" t="n">
        <v>2.131</v>
      </c>
      <c r="U499" t="n">
        <v>-1.467</v>
      </c>
      <c r="V499" t="n">
        <v>456357000000</v>
      </c>
    </row>
    <row r="500">
      <c r="A500" t="inlineStr">
        <is>
          <t>Thailand</t>
        </is>
      </c>
      <c r="B500" t="inlineStr">
        <is>
          <t>THA</t>
        </is>
      </c>
      <c r="C500" t="inlineStr">
        <is>
          <t>XCX4.L</t>
        </is>
      </c>
      <c r="D500" t="n">
        <v>2018</v>
      </c>
      <c r="E500" t="n">
        <v>1.171347325591587</v>
      </c>
      <c r="F500" t="n">
        <v>4.223</v>
      </c>
      <c r="G500" t="n">
        <v>5.711784</v>
      </c>
      <c r="H500" t="n">
        <v>11.043328</v>
      </c>
      <c r="I500" t="n">
        <v>16.02856494733791</v>
      </c>
      <c r="J500" t="inlineStr">
        <is>
          <t>Thailand|XCX4.L|2018</t>
        </is>
      </c>
      <c r="K500" t="inlineStr">
        <is>
          <t>Thailand|2018</t>
        </is>
      </c>
      <c r="L500" t="inlineStr">
        <is>
          <t>GBp</t>
        </is>
      </c>
      <c r="M500" t="n">
        <v>1.171347325591587</v>
      </c>
      <c r="N500" t="n">
        <v>-6.085304224640065</v>
      </c>
      <c r="O500" t="n">
        <v>-5.756316180609423</v>
      </c>
      <c r="P500" t="n">
        <v>-4.985236947337912</v>
      </c>
      <c r="Q500" t="n">
        <v>5.043471917048414</v>
      </c>
      <c r="R500" t="n">
        <v>-9.547198584892435</v>
      </c>
      <c r="S500" t="n">
        <v>1.067</v>
      </c>
      <c r="T500" t="n">
        <v>2.439</v>
      </c>
      <c r="U500" t="n">
        <v>-1.372</v>
      </c>
      <c r="V500" t="n">
        <v>506754000000</v>
      </c>
    </row>
    <row r="501">
      <c r="A501" t="inlineStr">
        <is>
          <t>Thailand</t>
        </is>
      </c>
      <c r="B501" t="inlineStr">
        <is>
          <t>THA</t>
        </is>
      </c>
      <c r="C501" t="inlineStr">
        <is>
          <t>XCX4.L</t>
        </is>
      </c>
      <c r="D501" t="n">
        <v>2019</v>
      </c>
      <c r="E501" t="n">
        <v>1.099038341451242</v>
      </c>
      <c r="F501" t="n">
        <v>2.115</v>
      </c>
      <c r="G501" t="n">
        <v>3.150432</v>
      </c>
      <c r="H501" t="n">
        <v>7.345379</v>
      </c>
      <c r="I501" t="n">
        <v>3.270122167332105</v>
      </c>
      <c r="J501" t="inlineStr">
        <is>
          <t>Thailand|XCX4.L|2019</t>
        </is>
      </c>
      <c r="K501" t="inlineStr">
        <is>
          <t>Thailand|2019</t>
        </is>
      </c>
      <c r="L501" t="inlineStr">
        <is>
          <t>GBp</t>
        </is>
      </c>
      <c r="M501" t="n">
        <v>1.099038341451242</v>
      </c>
      <c r="N501" t="n">
        <v>2.94386429390634</v>
      </c>
      <c r="O501" t="n">
        <v>4.118031584084703</v>
      </c>
      <c r="P501" t="n">
        <v>4.075256832667895</v>
      </c>
      <c r="Q501" t="n">
        <v>4.066824327857144</v>
      </c>
      <c r="R501" t="n">
        <v>0.00810297120645842</v>
      </c>
      <c r="S501" t="n">
        <v>0.706</v>
      </c>
      <c r="T501" t="n">
        <v>1.813</v>
      </c>
      <c r="U501" t="n">
        <v>-1.107</v>
      </c>
      <c r="V501" t="n">
        <v>543977000000</v>
      </c>
    </row>
    <row r="502">
      <c r="A502" t="inlineStr">
        <is>
          <t>Thailand</t>
        </is>
      </c>
      <c r="B502" t="inlineStr">
        <is>
          <t>THA</t>
        </is>
      </c>
      <c r="C502" t="inlineStr">
        <is>
          <t>XCX4.L</t>
        </is>
      </c>
      <c r="D502" t="n">
        <v>2020</v>
      </c>
      <c r="E502" t="n">
        <v>-15.33794442422036</v>
      </c>
      <c r="F502" t="n">
        <v>-6.05</v>
      </c>
      <c r="G502" t="n">
        <v>-7.270237</v>
      </c>
      <c r="H502" t="n">
        <v>-7.999419</v>
      </c>
      <c r="I502" t="n">
        <v>4.988985444377311</v>
      </c>
      <c r="J502" t="inlineStr">
        <is>
          <t>Thailand|XCX4.L|2020</t>
        </is>
      </c>
      <c r="K502" t="inlineStr">
        <is>
          <t>Thailand|2020</t>
        </is>
      </c>
      <c r="L502" t="inlineStr">
        <is>
          <t>GBp</t>
        </is>
      </c>
      <c r="M502" t="n">
        <v>-15.33794442422036</v>
      </c>
      <c r="N502" t="n">
        <v>2.775198362317122</v>
      </c>
      <c r="O502" t="n">
        <v>3.094474617937659</v>
      </c>
      <c r="P502" t="n">
        <v>-12.98840444437731</v>
      </c>
      <c r="Q502" t="n">
        <v>-0.7863515825140222</v>
      </c>
      <c r="R502" t="n">
        <v>-12.2987643902759</v>
      </c>
      <c r="S502" t="n">
        <v>-0.846</v>
      </c>
      <c r="T502" t="n">
        <v>1.253</v>
      </c>
      <c r="U502" t="n">
        <v>-2.099</v>
      </c>
      <c r="V502" t="n">
        <v>500462000000</v>
      </c>
    </row>
    <row r="503">
      <c r="A503" t="inlineStr">
        <is>
          <t>Thailand</t>
        </is>
      </c>
      <c r="B503" t="inlineStr">
        <is>
          <t>THA</t>
        </is>
      </c>
      <c r="C503" t="inlineStr">
        <is>
          <t>XCX4.L</t>
        </is>
      </c>
      <c r="D503" t="n">
        <v>2021</v>
      </c>
      <c r="E503" t="n">
        <v>-1.188118811881189</v>
      </c>
      <c r="F503" t="n">
        <v>1.542</v>
      </c>
      <c r="G503" t="n">
        <v>3.354404</v>
      </c>
      <c r="H503" t="n">
        <v>1.145542</v>
      </c>
      <c r="I503" t="n">
        <v>3.595706429507751</v>
      </c>
      <c r="J503" t="inlineStr">
        <is>
          <t>Thailand|XCX4.L|2021</t>
        </is>
      </c>
      <c r="K503" t="inlineStr">
        <is>
          <t>Thailand|2021</t>
        </is>
      </c>
      <c r="L503" t="inlineStr">
        <is>
          <t>GBp</t>
        </is>
      </c>
      <c r="M503" t="n">
        <v>-1.188118811881189</v>
      </c>
      <c r="N503" t="n">
        <v>-1.277220514832489</v>
      </c>
      <c r="O503" t="n">
        <v>-1.102343119945948</v>
      </c>
      <c r="P503" t="n">
        <v>-2.450164429507751</v>
      </c>
      <c r="Q503" t="n">
        <v>-2.137173232458378</v>
      </c>
      <c r="R503" t="n">
        <v>-0.3198264421615749</v>
      </c>
      <c r="S503" t="n">
        <v>1.231</v>
      </c>
      <c r="T503" t="n">
        <v>4.679</v>
      </c>
      <c r="U503" t="n">
        <v>-3.448</v>
      </c>
      <c r="V503" t="n">
        <v>506195000000</v>
      </c>
    </row>
    <row r="504">
      <c r="A504" t="inlineStr">
        <is>
          <t>Thailand</t>
        </is>
      </c>
      <c r="B504" t="inlineStr">
        <is>
          <t>THA</t>
        </is>
      </c>
      <c r="C504" t="inlineStr">
        <is>
          <t>XCX4.L</t>
        </is>
      </c>
      <c r="D504" t="n">
        <v>2022</v>
      </c>
      <c r="E504" t="n">
        <v>16.5872672152447</v>
      </c>
      <c r="F504" t="n">
        <v>2.627</v>
      </c>
      <c r="G504" t="n">
        <v>7.360165</v>
      </c>
      <c r="H504" t="n">
        <v>-2.084177</v>
      </c>
      <c r="I504" t="n">
        <v>-6.032163801983494</v>
      </c>
      <c r="J504" t="inlineStr">
        <is>
          <t>Thailand|XCX4.L|2022</t>
        </is>
      </c>
      <c r="K504" t="inlineStr">
        <is>
          <t>Thailand|2022</t>
        </is>
      </c>
      <c r="L504" t="inlineStr">
        <is>
          <t>GBp</t>
        </is>
      </c>
      <c r="M504" t="n">
        <v>16.5872672152447</v>
      </c>
      <c r="N504" t="n">
        <v>-10.84104698150823</v>
      </c>
      <c r="O504" t="n">
        <v>-10.36772851390696</v>
      </c>
      <c r="P504" t="n">
        <v>3.947986801983494</v>
      </c>
      <c r="Q504" t="n">
        <v>-8.796877513628266</v>
      </c>
      <c r="R504" t="n">
        <v>13.97415348089228</v>
      </c>
      <c r="S504" t="n">
        <v>6.076</v>
      </c>
      <c r="T504" t="n">
        <v>7.993</v>
      </c>
      <c r="U504" t="n">
        <v>-1.917000000000001</v>
      </c>
      <c r="V504" t="n">
        <v>495645000000</v>
      </c>
    </row>
    <row r="505">
      <c r="A505" t="inlineStr">
        <is>
          <t>Thailand</t>
        </is>
      </c>
      <c r="B505" t="inlineStr">
        <is>
          <t>THA</t>
        </is>
      </c>
      <c r="C505" t="inlineStr">
        <is>
          <t>XCX4.L</t>
        </is>
      </c>
      <c r="D505" t="n">
        <v>2023</v>
      </c>
      <c r="E505" t="n">
        <v>-17.71567436208992</v>
      </c>
      <c r="F505" t="n">
        <v>2.009</v>
      </c>
      <c r="G505" t="n">
        <v>3.318397</v>
      </c>
      <c r="H505" t="n">
        <v>4.087805</v>
      </c>
      <c r="I505" t="n">
        <v>17.63739870550479</v>
      </c>
      <c r="J505" t="inlineStr">
        <is>
          <t>Thailand|XCX4.L|2023</t>
        </is>
      </c>
      <c r="K505" t="inlineStr">
        <is>
          <t>Thailand|2023</t>
        </is>
      </c>
      <c r="L505" t="inlineStr">
        <is>
          <t>GBp</t>
        </is>
      </c>
      <c r="M505" t="n">
        <v>-17.71567436208992</v>
      </c>
      <c r="N505" t="n">
        <v>5.06303068571996</v>
      </c>
      <c r="O505" t="n">
        <v>5.030130998783355</v>
      </c>
      <c r="P505" t="n">
        <v>-13.54959370550479</v>
      </c>
      <c r="Q505" t="n">
        <v>0.7446954294563435</v>
      </c>
      <c r="R505" t="n">
        <v>-14.18862707761156</v>
      </c>
      <c r="S505" t="n">
        <v>1.229</v>
      </c>
      <c r="T505" t="n">
        <v>4.128</v>
      </c>
      <c r="U505" t="n">
        <v>-2.899</v>
      </c>
      <c r="V505" t="n">
        <v>515906000000</v>
      </c>
    </row>
    <row r="506">
      <c r="A506" t="inlineStr">
        <is>
          <t>Thailand</t>
        </is>
      </c>
      <c r="B506" t="inlineStr">
        <is>
          <t>THA</t>
        </is>
      </c>
      <c r="C506" t="inlineStr">
        <is>
          <t>XCX4.L</t>
        </is>
      </c>
      <c r="D506" t="n">
        <v>2024</v>
      </c>
      <c r="E506" t="n">
        <v>0.02910360884749164</v>
      </c>
      <c r="F506" t="n">
        <v>2.54</v>
      </c>
      <c r="G506" t="n">
        <v>3.497714</v>
      </c>
      <c r="H506" t="n">
        <v>2.056964</v>
      </c>
      <c r="I506" t="n">
        <v>3.449327492676463</v>
      </c>
      <c r="J506" t="inlineStr">
        <is>
          <t>Thailand|XCX4.L|2024</t>
        </is>
      </c>
      <c r="K506" t="inlineStr">
        <is>
          <t>Thailand|2024</t>
        </is>
      </c>
      <c r="L506" t="inlineStr">
        <is>
          <t>GBp</t>
        </is>
      </c>
      <c r="M506" t="n">
        <v>0.02910360884749164</v>
      </c>
      <c r="N506" t="n">
        <v>-1.421053523664917</v>
      </c>
      <c r="O506" t="n">
        <v>-1.655539060617606</v>
      </c>
      <c r="P506" t="n">
        <v>-1.392363492676463</v>
      </c>
      <c r="Q506" t="n">
        <v>-1.392060199890766</v>
      </c>
      <c r="R506" t="n">
        <v>-0.0003075744065994535</v>
      </c>
      <c r="S506" t="n">
        <v>0.398</v>
      </c>
      <c r="T506" t="n">
        <v>2.952</v>
      </c>
      <c r="U506" t="n">
        <v>-2.554</v>
      </c>
      <c r="V506" t="n">
        <v>526518000000</v>
      </c>
    </row>
    <row r="507">
      <c r="A507" t="inlineStr">
        <is>
          <t>Thailand</t>
        </is>
      </c>
      <c r="B507" t="inlineStr">
        <is>
          <t>THA</t>
        </is>
      </c>
      <c r="C507" t="inlineStr">
        <is>
          <t>XCX4.L</t>
        </is>
      </c>
      <c r="D507" t="n">
        <v>2025</v>
      </c>
      <c r="E507" t="n">
        <v>0.5687618492052016</v>
      </c>
      <c r="F507" t="n">
        <v>2</v>
      </c>
      <c r="G507" t="n">
        <v>2.200039</v>
      </c>
      <c r="H507" t="n">
        <v>6.088111</v>
      </c>
      <c r="I507" t="n">
        <v>-2.095646651034562</v>
      </c>
      <c r="J507" t="inlineStr">
        <is>
          <t>Thailand|XCX4.L|2025</t>
        </is>
      </c>
      <c r="K507" t="inlineStr">
        <is>
          <t>Thailand|2025</t>
        </is>
      </c>
      <c r="L507" t="inlineStr">
        <is>
          <t>GBp</t>
        </is>
      </c>
      <c r="M507" t="n">
        <v>0.5687618492052016</v>
      </c>
      <c r="N507" t="n">
        <v>7.571929555270285</v>
      </c>
      <c r="O507" t="n">
        <v>7.623377354227179</v>
      </c>
      <c r="P507" t="n">
        <v>8.183757651034561</v>
      </c>
      <c r="Q507" t="n">
        <v>3.804374281499756</v>
      </c>
      <c r="R507" t="n">
        <v>4.218881333130198</v>
      </c>
      <c r="S507" t="n">
        <v>0.153</v>
      </c>
      <c r="T507" t="n">
        <v>2.715</v>
      </c>
      <c r="U507" t="n">
        <v>-2.562</v>
      </c>
      <c r="V507" t="n">
        <v>558573000000</v>
      </c>
    </row>
    <row r="508">
      <c r="A508" t="inlineStr">
        <is>
          <t>Thailand</t>
        </is>
      </c>
      <c r="B508" t="inlineStr">
        <is>
          <t>THA</t>
        </is>
      </c>
      <c r="C508" t="inlineStr">
        <is>
          <t>XCX4.L</t>
        </is>
      </c>
      <c r="D508" t="n">
        <v>2026</v>
      </c>
      <c r="E508" t="n">
        <v>17.67589388696656</v>
      </c>
      <c r="F508" t="n">
        <v>1.6</v>
      </c>
      <c r="G508" t="n">
        <v>2.299587</v>
      </c>
      <c r="H508" t="n">
        <v>0.525625</v>
      </c>
      <c r="I508" t="n">
        <v>-15.22005225490552</v>
      </c>
      <c r="J508" t="inlineStr">
        <is>
          <t>Thailand|XCX4.L|2026</t>
        </is>
      </c>
      <c r="K508" t="inlineStr">
        <is>
          <t>Thailand|2026</t>
        </is>
      </c>
      <c r="L508" t="inlineStr">
        <is>
          <t>GBp</t>
        </is>
      </c>
      <c r="M508" t="n">
        <v>17.67589388696656</v>
      </c>
      <c r="N508" t="n">
        <v>-1.640282107323621</v>
      </c>
      <c r="O508" t="inlineStr"/>
      <c r="P508" t="n">
        <v>15.74567725490552</v>
      </c>
      <c r="Q508" t="n">
        <v>-1.734085104727434</v>
      </c>
      <c r="R508" t="n">
        <v>17.78822532539599</v>
      </c>
      <c r="S508" t="n">
        <v>0.706</v>
      </c>
      <c r="T508" t="n">
        <v>2.435</v>
      </c>
      <c r="U508" t="n">
        <v>-1.729</v>
      </c>
      <c r="V508" t="n">
        <v>561509000000</v>
      </c>
    </row>
    <row r="509">
      <c r="A509" t="inlineStr">
        <is>
          <t>Thailand</t>
        </is>
      </c>
      <c r="B509" t="inlineStr">
        <is>
          <t>THA</t>
        </is>
      </c>
      <c r="C509" t="inlineStr">
        <is>
          <t>XCX4.L</t>
        </is>
      </c>
      <c r="D509" t="n">
        <v>2027</v>
      </c>
      <c r="E509" t="inlineStr"/>
      <c r="F509" t="n">
        <v>2.19</v>
      </c>
      <c r="G509" t="n">
        <v>3.402221</v>
      </c>
      <c r="H509" t="n">
        <v>3.402261</v>
      </c>
      <c r="I509" t="inlineStr"/>
      <c r="J509" t="inlineStr">
        <is>
          <t>Thailand|XCX4.L|2027</t>
        </is>
      </c>
      <c r="K509" t="inlineStr">
        <is>
          <t>Thailand|2027</t>
        </is>
      </c>
      <c r="L509" t="inlineStr">
        <is>
          <t>GBp</t>
        </is>
      </c>
      <c r="M509" t="inlineStr"/>
      <c r="N509" t="inlineStr"/>
      <c r="O509" t="inlineStr"/>
      <c r="P509" t="inlineStr"/>
      <c r="Q509" t="n">
        <v>3.880023498048502e-05</v>
      </c>
      <c r="R509" t="inlineStr"/>
      <c r="S509" t="n">
        <v>1.15</v>
      </c>
      <c r="T509" t="n">
        <v>2.185</v>
      </c>
      <c r="U509" t="n">
        <v>-1.035</v>
      </c>
      <c r="V509" t="n">
        <v>580613000000</v>
      </c>
    </row>
    <row r="510">
      <c r="A510" t="inlineStr">
        <is>
          <t>Thailand</t>
        </is>
      </c>
      <c r="B510" t="inlineStr">
        <is>
          <t>THA</t>
        </is>
      </c>
      <c r="C510" t="inlineStr">
        <is>
          <t>XCX4.L</t>
        </is>
      </c>
      <c r="D510" t="n">
        <v>2028</v>
      </c>
      <c r="E510" t="inlineStr"/>
      <c r="F510" t="n">
        <v>2.307</v>
      </c>
      <c r="G510" t="n">
        <v>3.854227</v>
      </c>
      <c r="H510" t="n">
        <v>3.854202</v>
      </c>
      <c r="I510" t="inlineStr"/>
      <c r="J510" t="inlineStr">
        <is>
          <t>Thailand|XCX4.L|2028</t>
        </is>
      </c>
      <c r="K510" t="inlineStr">
        <is>
          <t>Thailand|2028</t>
        </is>
      </c>
      <c r="L510" t="inlineStr">
        <is>
          <t>GBp</t>
        </is>
      </c>
      <c r="M510" t="inlineStr"/>
      <c r="N510" t="inlineStr"/>
      <c r="O510" t="inlineStr"/>
      <c r="P510" t="inlineStr"/>
      <c r="Q510" t="n">
        <v>-2.41480287654916e-05</v>
      </c>
      <c r="R510" t="inlineStr"/>
      <c r="S510" t="n">
        <v>1.6</v>
      </c>
      <c r="T510" t="n">
        <v>2.206</v>
      </c>
      <c r="U510" t="n">
        <v>-0.6059999999999999</v>
      </c>
      <c r="V510" t="n">
        <v>602991000000</v>
      </c>
    </row>
    <row r="511">
      <c r="A511" t="inlineStr">
        <is>
          <t>Thailand</t>
        </is>
      </c>
      <c r="B511" t="inlineStr">
        <is>
          <t>THA</t>
        </is>
      </c>
      <c r="C511" t="inlineStr">
        <is>
          <t>XCX4.L</t>
        </is>
      </c>
      <c r="D511" t="n">
        <v>2029</v>
      </c>
      <c r="E511" t="inlineStr"/>
      <c r="F511" t="n">
        <v>2.454</v>
      </c>
      <c r="G511" t="n">
        <v>4.101575</v>
      </c>
      <c r="H511" t="n">
        <v>4.101554</v>
      </c>
      <c r="I511" t="inlineStr"/>
      <c r="J511" t="inlineStr">
        <is>
          <t>Thailand|XCX4.L|2029</t>
        </is>
      </c>
      <c r="K511" t="inlineStr">
        <is>
          <t>Thailand|2029</t>
        </is>
      </c>
      <c r="L511" t="inlineStr">
        <is>
          <t>GBp</t>
        </is>
      </c>
      <c r="M511" t="inlineStr"/>
      <c r="N511" t="inlineStr"/>
      <c r="O511" t="inlineStr"/>
      <c r="P511" t="inlineStr"/>
      <c r="Q511" t="n">
        <v>-2.032509415217376e-05</v>
      </c>
      <c r="R511" t="inlineStr"/>
      <c r="S511" t="n">
        <v>1.7</v>
      </c>
      <c r="T511" t="n">
        <v>2.203</v>
      </c>
      <c r="U511" t="n">
        <v>-0.5029999999999999</v>
      </c>
      <c r="V511" t="n">
        <v>627723000000</v>
      </c>
    </row>
    <row r="512">
      <c r="A512" t="inlineStr">
        <is>
          <t>Turkey</t>
        </is>
      </c>
      <c r="B512" t="inlineStr">
        <is>
          <t>TUR</t>
        </is>
      </c>
      <c r="C512" t="inlineStr">
        <is>
          <t>TUR</t>
        </is>
      </c>
      <c r="D512" t="n">
        <v>2015</v>
      </c>
      <c r="E512" t="n">
        <v>-30.81457251443326</v>
      </c>
      <c r="F512" t="n">
        <v>5.806</v>
      </c>
      <c r="G512" t="inlineStr"/>
      <c r="H512" t="inlineStr"/>
      <c r="I512" t="inlineStr"/>
      <c r="J512" t="inlineStr">
        <is>
          <t>Turkey|TUR|2015</t>
        </is>
      </c>
      <c r="K512" t="inlineStr">
        <is>
          <t>Turkey|2015</t>
        </is>
      </c>
      <c r="L512" t="inlineStr">
        <is>
          <t>USD</t>
        </is>
      </c>
      <c r="M512" t="n">
        <v>-30.81457251443326</v>
      </c>
      <c r="N512" t="n">
        <v>0</v>
      </c>
      <c r="O512" t="n">
        <v>0</v>
      </c>
      <c r="P512" t="n">
        <v>-30.81457251443326</v>
      </c>
      <c r="Q512" t="inlineStr"/>
      <c r="R512" t="inlineStr"/>
      <c r="S512" t="n">
        <v>7.671</v>
      </c>
      <c r="T512" t="n">
        <v>0.121</v>
      </c>
      <c r="U512" t="n">
        <v>7.550000000000001</v>
      </c>
      <c r="V512" t="n">
        <v>868204000000</v>
      </c>
    </row>
    <row r="513">
      <c r="A513" t="inlineStr">
        <is>
          <t>Turkey</t>
        </is>
      </c>
      <c r="B513" t="inlineStr">
        <is>
          <t>TUR</t>
        </is>
      </c>
      <c r="C513" t="inlineStr">
        <is>
          <t>TUR</t>
        </is>
      </c>
      <c r="D513" t="n">
        <v>2016</v>
      </c>
      <c r="E513" t="n">
        <v>-5.864403177466637</v>
      </c>
      <c r="F513" t="n">
        <v>3.324</v>
      </c>
      <c r="G513" t="n">
        <v>11.721414</v>
      </c>
      <c r="H513" t="n">
        <v>0.24591</v>
      </c>
      <c r="I513" t="n">
        <v>6.110313177466637</v>
      </c>
      <c r="J513" t="inlineStr">
        <is>
          <t>Turkey|TUR|2016</t>
        </is>
      </c>
      <c r="K513" t="inlineStr">
        <is>
          <t>Turkey|2016</t>
        </is>
      </c>
      <c r="L513" t="inlineStr">
        <is>
          <t>USD</t>
        </is>
      </c>
      <c r="M513" t="n">
        <v>-5.864403177466637</v>
      </c>
      <c r="N513" t="n">
        <v>0</v>
      </c>
      <c r="O513" t="n">
        <v>0</v>
      </c>
      <c r="P513" t="n">
        <v>-5.864403177466637</v>
      </c>
      <c r="Q513" t="n">
        <v>-10.2715348796492</v>
      </c>
      <c r="R513" t="n">
        <v>4.911631661448101</v>
      </c>
      <c r="S513" t="n">
        <v>7.775</v>
      </c>
      <c r="T513" t="n">
        <v>1.267</v>
      </c>
      <c r="U513" t="n">
        <v>6.508000000000001</v>
      </c>
      <c r="V513" t="n">
        <v>870339000000</v>
      </c>
    </row>
    <row r="514">
      <c r="A514" t="inlineStr">
        <is>
          <t>Turkey</t>
        </is>
      </c>
      <c r="B514" t="inlineStr">
        <is>
          <t>TUR</t>
        </is>
      </c>
      <c r="C514" t="inlineStr">
        <is>
          <t>TUR</t>
        </is>
      </c>
      <c r="D514" t="n">
        <v>2017</v>
      </c>
      <c r="E514" t="n">
        <v>42.22589660443315</v>
      </c>
      <c r="F514" t="n">
        <v>7.826</v>
      </c>
      <c r="G514" t="n">
        <v>19.830547</v>
      </c>
      <c r="H514" t="n">
        <v>-0.739137</v>
      </c>
      <c r="I514" t="n">
        <v>-42.96503360443315</v>
      </c>
      <c r="J514" t="inlineStr">
        <is>
          <t>Turkey|TUR|2017</t>
        </is>
      </c>
      <c r="K514" t="inlineStr">
        <is>
          <t>Turkey|2017</t>
        </is>
      </c>
      <c r="L514" t="inlineStr">
        <is>
          <t>USD</t>
        </is>
      </c>
      <c r="M514" t="n">
        <v>42.22589660443315</v>
      </c>
      <c r="N514" t="n">
        <v>0</v>
      </c>
      <c r="O514" t="n">
        <v>0</v>
      </c>
      <c r="P514" t="n">
        <v>42.22589660443315</v>
      </c>
      <c r="Q514" t="n">
        <v>-17.16564314442739</v>
      </c>
      <c r="R514" t="n">
        <v>71.69916204264585</v>
      </c>
      <c r="S514" t="n">
        <v>11.144</v>
      </c>
      <c r="T514" t="n">
        <v>2.131</v>
      </c>
      <c r="U514" t="n">
        <v>9.013</v>
      </c>
      <c r="V514" t="n">
        <v>863906000000</v>
      </c>
    </row>
    <row r="515">
      <c r="A515" t="inlineStr">
        <is>
          <t>Turkey</t>
        </is>
      </c>
      <c r="B515" t="inlineStr">
        <is>
          <t>TUR</t>
        </is>
      </c>
      <c r="C515" t="inlineStr">
        <is>
          <t>TUR</t>
        </is>
      </c>
      <c r="D515" t="n">
        <v>2018</v>
      </c>
      <c r="E515" t="n">
        <v>-43.17737620412598</v>
      </c>
      <c r="F515" t="n">
        <v>3.468</v>
      </c>
      <c r="G515" t="n">
        <v>20.781976</v>
      </c>
      <c r="H515" t="n">
        <v>-6.55025</v>
      </c>
      <c r="I515" t="n">
        <v>36.62712620412599</v>
      </c>
      <c r="J515" t="inlineStr">
        <is>
          <t>Turkey|TUR|2018</t>
        </is>
      </c>
      <c r="K515" t="inlineStr">
        <is>
          <t>Turkey|2018</t>
        </is>
      </c>
      <c r="L515" t="inlineStr">
        <is>
          <t>USD</t>
        </is>
      </c>
      <c r="M515" t="n">
        <v>-43.17737620412598</v>
      </c>
      <c r="N515" t="n">
        <v>0</v>
      </c>
      <c r="O515" t="n">
        <v>0</v>
      </c>
      <c r="P515" t="n">
        <v>-43.17737620412598</v>
      </c>
      <c r="Q515" t="n">
        <v>-22.62939105235521</v>
      </c>
      <c r="R515" t="n">
        <v>-26.55786923646317</v>
      </c>
      <c r="S515" t="n">
        <v>16.332</v>
      </c>
      <c r="T515" t="n">
        <v>2.439</v>
      </c>
      <c r="U515" t="n">
        <v>13.893</v>
      </c>
      <c r="V515" t="n">
        <v>807318000000</v>
      </c>
    </row>
    <row r="516">
      <c r="A516" t="inlineStr">
        <is>
          <t>Turkey</t>
        </is>
      </c>
      <c r="B516" t="inlineStr">
        <is>
          <t>TUR</t>
        </is>
      </c>
      <c r="C516" t="inlineStr">
        <is>
          <t>TUR</t>
        </is>
      </c>
      <c r="D516" t="n">
        <v>2019</v>
      </c>
      <c r="E516" t="n">
        <v>17.50106578407962</v>
      </c>
      <c r="F516" t="n">
        <v>1.302</v>
      </c>
      <c r="G516" t="n">
        <v>15.646244</v>
      </c>
      <c r="H516" t="n">
        <v>-3.975509</v>
      </c>
      <c r="I516" t="n">
        <v>-21.47657478407962</v>
      </c>
      <c r="J516" t="inlineStr">
        <is>
          <t>Turkey|TUR|2019</t>
        </is>
      </c>
      <c r="K516" t="inlineStr">
        <is>
          <t>Turkey|2019</t>
        </is>
      </c>
      <c r="L516" t="inlineStr">
        <is>
          <t>USD</t>
        </is>
      </c>
      <c r="M516" t="n">
        <v>17.50106578407962</v>
      </c>
      <c r="N516" t="n">
        <v>0</v>
      </c>
      <c r="O516" t="n">
        <v>0</v>
      </c>
      <c r="P516" t="n">
        <v>17.50106578407962</v>
      </c>
      <c r="Q516" t="n">
        <v>-16.9670475440615</v>
      </c>
      <c r="R516" t="n">
        <v>41.5113666425768</v>
      </c>
      <c r="S516" t="n">
        <v>15.177</v>
      </c>
      <c r="T516" t="n">
        <v>1.813</v>
      </c>
      <c r="U516" t="n">
        <v>13.364</v>
      </c>
      <c r="V516" t="n">
        <v>775223000000</v>
      </c>
    </row>
    <row r="517">
      <c r="A517" t="inlineStr">
        <is>
          <t>Turkey</t>
        </is>
      </c>
      <c r="B517" t="inlineStr">
        <is>
          <t>TUR</t>
        </is>
      </c>
      <c r="C517" t="inlineStr">
        <is>
          <t>TUR</t>
        </is>
      </c>
      <c r="D517" t="n">
        <v>2020</v>
      </c>
      <c r="E517" t="n">
        <v>-3.190674036569985</v>
      </c>
      <c r="F517" t="n">
        <v>1.803</v>
      </c>
      <c r="G517" t="n">
        <v>16.802649</v>
      </c>
      <c r="H517" t="n">
        <v>-5.789044</v>
      </c>
      <c r="I517" t="n">
        <v>-2.598369963430015</v>
      </c>
      <c r="J517" t="inlineStr">
        <is>
          <t>Turkey|TUR|2020</t>
        </is>
      </c>
      <c r="K517" t="inlineStr">
        <is>
          <t>Turkey|2020</t>
        </is>
      </c>
      <c r="L517" t="inlineStr">
        <is>
          <t>USD</t>
        </is>
      </c>
      <c r="M517" t="n">
        <v>-3.190674036569985</v>
      </c>
      <c r="N517" t="n">
        <v>0</v>
      </c>
      <c r="O517" t="n">
        <v>0</v>
      </c>
      <c r="P517" t="n">
        <v>-3.190674036569985</v>
      </c>
      <c r="Q517" t="n">
        <v>-19.34176401933071</v>
      </c>
      <c r="R517" t="n">
        <v>20.02410514734234</v>
      </c>
      <c r="S517" t="n">
        <v>12.279</v>
      </c>
      <c r="T517" t="n">
        <v>1.253</v>
      </c>
      <c r="U517" t="n">
        <v>11.026</v>
      </c>
      <c r="V517" t="n">
        <v>730345000000</v>
      </c>
    </row>
    <row r="518">
      <c r="A518" t="inlineStr">
        <is>
          <t>Turkey</t>
        </is>
      </c>
      <c r="B518" t="inlineStr">
        <is>
          <t>TUR</t>
        </is>
      </c>
      <c r="C518" t="inlineStr">
        <is>
          <t>TUR</t>
        </is>
      </c>
      <c r="D518" t="n">
        <v>2021</v>
      </c>
      <c r="E518" t="n">
        <v>-28.0096999817961</v>
      </c>
      <c r="F518" t="n">
        <v>11.811</v>
      </c>
      <c r="G518" t="n">
        <v>44.578332</v>
      </c>
      <c r="H518" t="n">
        <v>13.326305</v>
      </c>
      <c r="I518" t="n">
        <v>41.3360049817961</v>
      </c>
      <c r="J518" t="inlineStr">
        <is>
          <t>Turkey|TUR|2021</t>
        </is>
      </c>
      <c r="K518" t="inlineStr">
        <is>
          <t>Turkey|2021</t>
        </is>
      </c>
      <c r="L518" t="inlineStr">
        <is>
          <t>USD</t>
        </is>
      </c>
      <c r="M518" t="n">
        <v>-28.0096999817961</v>
      </c>
      <c r="N518" t="n">
        <v>0</v>
      </c>
      <c r="O518" t="n">
        <v>0</v>
      </c>
      <c r="P518" t="n">
        <v>-28.0096999817961</v>
      </c>
      <c r="Q518" t="n">
        <v>-21.61598275145341</v>
      </c>
      <c r="R518" t="n">
        <v>-8.156914451155206</v>
      </c>
      <c r="S518" t="n">
        <v>19.596</v>
      </c>
      <c r="T518" t="n">
        <v>4.679</v>
      </c>
      <c r="U518" t="n">
        <v>14.917</v>
      </c>
      <c r="V518" t="n">
        <v>827673000000</v>
      </c>
    </row>
    <row r="519">
      <c r="A519" t="inlineStr">
        <is>
          <t>Turkey</t>
        </is>
      </c>
      <c r="B519" t="inlineStr">
        <is>
          <t>TUR</t>
        </is>
      </c>
      <c r="C519" t="inlineStr">
        <is>
          <t>TUR</t>
        </is>
      </c>
      <c r="D519" t="n">
        <v>2022</v>
      </c>
      <c r="E519" t="n">
        <v>91.23308036457578</v>
      </c>
      <c r="F519" t="n">
        <v>5.441</v>
      </c>
      <c r="G519" t="n">
        <v>106.164519</v>
      </c>
      <c r="H519" t="n">
        <v>11.729149</v>
      </c>
      <c r="I519" t="n">
        <v>-79.50393136457578</v>
      </c>
      <c r="J519" t="inlineStr">
        <is>
          <t>Turkey|TUR|2022</t>
        </is>
      </c>
      <c r="K519" t="inlineStr">
        <is>
          <t>Turkey|2022</t>
        </is>
      </c>
      <c r="L519" t="inlineStr">
        <is>
          <t>USD</t>
        </is>
      </c>
      <c r="M519" t="n">
        <v>91.23308036457578</v>
      </c>
      <c r="N519" t="n">
        <v>0</v>
      </c>
      <c r="O519" t="n">
        <v>0</v>
      </c>
      <c r="P519" t="n">
        <v>91.23308036457578</v>
      </c>
      <c r="Q519" t="n">
        <v>-45.80583035725595</v>
      </c>
      <c r="R519" t="n">
        <v>252.86651982162</v>
      </c>
      <c r="S519" t="n">
        <v>72.309</v>
      </c>
      <c r="T519" t="n">
        <v>7.993</v>
      </c>
      <c r="U519" t="n">
        <v>64.316</v>
      </c>
      <c r="V519" t="n">
        <v>924752000000</v>
      </c>
    </row>
    <row r="520">
      <c r="A520" t="inlineStr">
        <is>
          <t>Turkey</t>
        </is>
      </c>
      <c r="B520" t="inlineStr">
        <is>
          <t>TUR</t>
        </is>
      </c>
      <c r="C520" t="inlineStr">
        <is>
          <t>TUR</t>
        </is>
      </c>
      <c r="D520" t="n">
        <v>2023</v>
      </c>
      <c r="E520" t="n">
        <v>-10.66087397994741</v>
      </c>
      <c r="F520" t="n">
        <v>5.045</v>
      </c>
      <c r="G520" t="n">
        <v>76.769673</v>
      </c>
      <c r="H520" t="n">
        <v>24.713977</v>
      </c>
      <c r="I520" t="n">
        <v>35.3748509799474</v>
      </c>
      <c r="J520" t="inlineStr">
        <is>
          <t>Turkey|TUR|2023</t>
        </is>
      </c>
      <c r="K520" t="inlineStr">
        <is>
          <t>Turkey|2023</t>
        </is>
      </c>
      <c r="L520" t="inlineStr">
        <is>
          <t>USD</t>
        </is>
      </c>
      <c r="M520" t="n">
        <v>-10.66087397994741</v>
      </c>
      <c r="N520" t="n">
        <v>0</v>
      </c>
      <c r="O520" t="n">
        <v>0</v>
      </c>
      <c r="P520" t="n">
        <v>-10.66087397994741</v>
      </c>
      <c r="Q520" t="n">
        <v>-29.44831792718424</v>
      </c>
      <c r="R520" t="n">
        <v>26.62933525503544</v>
      </c>
      <c r="S520" t="n">
        <v>53.859</v>
      </c>
      <c r="T520" t="n">
        <v>4.128</v>
      </c>
      <c r="U520" t="n">
        <v>49.731</v>
      </c>
      <c r="V520" t="n">
        <v>1153295000000</v>
      </c>
    </row>
    <row r="521">
      <c r="A521" t="inlineStr">
        <is>
          <t>Turkey</t>
        </is>
      </c>
      <c r="B521" t="inlineStr">
        <is>
          <t>TUR</t>
        </is>
      </c>
      <c r="C521" t="inlineStr">
        <is>
          <t>TUR</t>
        </is>
      </c>
      <c r="D521" t="n">
        <v>2024</v>
      </c>
      <c r="E521" t="n">
        <v>11.63464933043661</v>
      </c>
      <c r="F521" t="n">
        <v>3.328</v>
      </c>
      <c r="G521" t="n">
        <v>64.580319</v>
      </c>
      <c r="H521" t="n">
        <v>17.771342</v>
      </c>
      <c r="I521" t="n">
        <v>6.136692669563391</v>
      </c>
      <c r="J521" t="inlineStr">
        <is>
          <t>Turkey|TUR|2024</t>
        </is>
      </c>
      <c r="K521" t="inlineStr">
        <is>
          <t>Turkey|2024</t>
        </is>
      </c>
      <c r="L521" t="inlineStr">
        <is>
          <t>USD</t>
        </is>
      </c>
      <c r="M521" t="n">
        <v>11.63464933043661</v>
      </c>
      <c r="N521" t="n">
        <v>0</v>
      </c>
      <c r="O521" t="n">
        <v>0</v>
      </c>
      <c r="P521" t="n">
        <v>11.63464933043661</v>
      </c>
      <c r="Q521" t="n">
        <v>-28.44141808932529</v>
      </c>
      <c r="R521" t="n">
        <v>56.00455787369869</v>
      </c>
      <c r="S521" t="n">
        <v>58.506</v>
      </c>
      <c r="T521" t="n">
        <v>2.952</v>
      </c>
      <c r="U521" t="n">
        <v>55.554</v>
      </c>
      <c r="V521" t="n">
        <v>1358251000000</v>
      </c>
    </row>
    <row r="522">
      <c r="A522" t="inlineStr">
        <is>
          <t>Turkey</t>
        </is>
      </c>
      <c r="B522" t="inlineStr">
        <is>
          <t>TUR</t>
        </is>
      </c>
      <c r="C522" t="inlineStr">
        <is>
          <t>TUR</t>
        </is>
      </c>
      <c r="D522" t="n">
        <v>2025</v>
      </c>
      <c r="E522" t="n">
        <v>-3.130778552760527</v>
      </c>
      <c r="F522" t="n">
        <v>3.494</v>
      </c>
      <c r="G522" t="n">
        <v>39.453331</v>
      </c>
      <c r="H522" t="n">
        <v>15.256385</v>
      </c>
      <c r="I522" t="n">
        <v>18.38716355276053</v>
      </c>
      <c r="J522" t="inlineStr">
        <is>
          <t>Turkey|TUR|2025</t>
        </is>
      </c>
      <c r="K522" t="inlineStr">
        <is>
          <t>Turkey|2025</t>
        </is>
      </c>
      <c r="L522" t="inlineStr">
        <is>
          <t>USD</t>
        </is>
      </c>
      <c r="M522" t="n">
        <v>-3.130778552760527</v>
      </c>
      <c r="N522" t="n">
        <v>0</v>
      </c>
      <c r="O522" t="n">
        <v>0</v>
      </c>
      <c r="P522" t="n">
        <v>-3.130778552760527</v>
      </c>
      <c r="Q522" t="n">
        <v>-17.35128607190518</v>
      </c>
      <c r="R522" t="n">
        <v>17.20596346062522</v>
      </c>
      <c r="S522" t="n">
        <v>34.89</v>
      </c>
      <c r="T522" t="n">
        <v>2.715</v>
      </c>
      <c r="U522" t="n">
        <v>32.175</v>
      </c>
      <c r="V522" t="n">
        <v>1565471000000</v>
      </c>
    </row>
    <row r="523">
      <c r="A523" t="inlineStr">
        <is>
          <t>Turkey</t>
        </is>
      </c>
      <c r="B523" t="inlineStr">
        <is>
          <t>TUR</t>
        </is>
      </c>
      <c r="C523" t="inlineStr">
        <is>
          <t>TUR</t>
        </is>
      </c>
      <c r="D523" t="n">
        <v>2026</v>
      </c>
      <c r="E523" t="n">
        <v>12.88659861386217</v>
      </c>
      <c r="F523" t="n">
        <v>3.693</v>
      </c>
      <c r="G523" t="n">
        <v>28.538319</v>
      </c>
      <c r="H523" t="n">
        <v>0.679604</v>
      </c>
      <c r="I523" t="n">
        <v>-12.20699461386217</v>
      </c>
      <c r="J523" t="inlineStr">
        <is>
          <t>Turkey|TUR|2026</t>
        </is>
      </c>
      <c r="K523" t="inlineStr">
        <is>
          <t>Turkey|2026</t>
        </is>
      </c>
      <c r="L523" t="inlineStr">
        <is>
          <t>USD</t>
        </is>
      </c>
      <c r="M523" t="n">
        <v>12.88659861386217</v>
      </c>
      <c r="N523" t="n">
        <v>0</v>
      </c>
      <c r="O523" t="n">
        <v>0</v>
      </c>
      <c r="P523" t="n">
        <v>12.88659861386217</v>
      </c>
      <c r="Q523" t="n">
        <v>-21.67347080086092</v>
      </c>
      <c r="R523" t="n">
        <v>44.12307013739471</v>
      </c>
      <c r="S523" t="n">
        <v>24.744</v>
      </c>
      <c r="T523" t="n">
        <v>2.435</v>
      </c>
      <c r="U523" t="n">
        <v>22.309</v>
      </c>
      <c r="V523" t="n">
        <v>1576110000000</v>
      </c>
    </row>
    <row r="524">
      <c r="A524" t="inlineStr">
        <is>
          <t>Turkey</t>
        </is>
      </c>
      <c r="B524" t="inlineStr">
        <is>
          <t>TUR</t>
        </is>
      </c>
      <c r="C524" t="inlineStr">
        <is>
          <t>TUR</t>
        </is>
      </c>
      <c r="D524" t="n">
        <v>2027</v>
      </c>
      <c r="E524" t="inlineStr"/>
      <c r="F524" t="n">
        <v>3.725</v>
      </c>
      <c r="G524" t="n">
        <v>22.873771</v>
      </c>
      <c r="H524" t="n">
        <v>4.108343</v>
      </c>
      <c r="I524" t="inlineStr"/>
      <c r="J524" t="inlineStr">
        <is>
          <t>Turkey|TUR|2027</t>
        </is>
      </c>
      <c r="K524" t="inlineStr">
        <is>
          <t>Turkey|2027</t>
        </is>
      </c>
      <c r="L524" t="inlineStr">
        <is>
          <t>USD</t>
        </is>
      </c>
      <c r="M524" t="inlineStr"/>
      <c r="N524" t="inlineStr"/>
      <c r="O524" t="inlineStr"/>
      <c r="P524" t="inlineStr"/>
      <c r="Q524" t="n">
        <v>-15.27211901748565</v>
      </c>
      <c r="R524" t="inlineStr"/>
      <c r="S524" t="n">
        <v>19.47</v>
      </c>
      <c r="T524" t="n">
        <v>2.185</v>
      </c>
      <c r="U524" t="n">
        <v>17.285</v>
      </c>
      <c r="V524" t="n">
        <v>1640862000000</v>
      </c>
    </row>
    <row r="525">
      <c r="A525" t="inlineStr">
        <is>
          <t>Turkey</t>
        </is>
      </c>
      <c r="B525" t="inlineStr">
        <is>
          <t>TUR</t>
        </is>
      </c>
      <c r="C525" t="inlineStr">
        <is>
          <t>TUR</t>
        </is>
      </c>
      <c r="D525" t="n">
        <v>2028</v>
      </c>
      <c r="E525" t="inlineStr"/>
      <c r="F525" t="n">
        <v>3.82</v>
      </c>
      <c r="G525" t="n">
        <v>22.204735</v>
      </c>
      <c r="H525" t="n">
        <v>7.287084</v>
      </c>
      <c r="I525" t="inlineStr"/>
      <c r="J525" t="inlineStr">
        <is>
          <t>Turkey|TUR|2028</t>
        </is>
      </c>
      <c r="K525" t="inlineStr">
        <is>
          <t>Turkey|2028</t>
        </is>
      </c>
      <c r="L525" t="inlineStr">
        <is>
          <t>USD</t>
        </is>
      </c>
      <c r="M525" t="inlineStr"/>
      <c r="N525" t="inlineStr"/>
      <c r="O525" t="inlineStr"/>
      <c r="P525" t="inlineStr"/>
      <c r="Q525" t="n">
        <v>-12.20709699606487</v>
      </c>
      <c r="R525" t="inlineStr"/>
      <c r="S525" t="n">
        <v>16.218</v>
      </c>
      <c r="T525" t="n">
        <v>2.206</v>
      </c>
      <c r="U525" t="n">
        <v>14.012</v>
      </c>
      <c r="V525" t="n">
        <v>1760433000000</v>
      </c>
    </row>
    <row r="526">
      <c r="A526" t="inlineStr">
        <is>
          <t>Turkey</t>
        </is>
      </c>
      <c r="B526" t="inlineStr">
        <is>
          <t>TUR</t>
        </is>
      </c>
      <c r="C526" t="inlineStr">
        <is>
          <t>TUR</t>
        </is>
      </c>
      <c r="D526" t="n">
        <v>2029</v>
      </c>
      <c r="E526" t="inlineStr"/>
      <c r="F526" t="n">
        <v>3.792</v>
      </c>
      <c r="G526" t="n">
        <v>19.429834</v>
      </c>
      <c r="H526" t="n">
        <v>6.013521</v>
      </c>
      <c r="I526" t="inlineStr"/>
      <c r="J526" t="inlineStr">
        <is>
          <t>Turkey|TUR|2029</t>
        </is>
      </c>
      <c r="K526" t="inlineStr">
        <is>
          <t>Turkey|2029</t>
        </is>
      </c>
      <c r="L526" t="inlineStr">
        <is>
          <t>USD</t>
        </is>
      </c>
      <c r="M526" t="inlineStr"/>
      <c r="N526" t="inlineStr"/>
      <c r="O526" t="inlineStr"/>
      <c r="P526" t="inlineStr"/>
      <c r="Q526" t="n">
        <v>-11.2336367617882</v>
      </c>
      <c r="R526" t="inlineStr"/>
      <c r="S526" t="n">
        <v>15.004</v>
      </c>
      <c r="T526" t="n">
        <v>2.203</v>
      </c>
      <c r="U526" t="n">
        <v>12.801</v>
      </c>
      <c r="V526" t="n">
        <v>1866297000000</v>
      </c>
    </row>
    <row r="527">
      <c r="A527" t="inlineStr">
        <is>
          <t>Turkey</t>
        </is>
      </c>
      <c r="B527" t="inlineStr">
        <is>
          <t>TUR</t>
        </is>
      </c>
      <c r="C527" t="inlineStr">
        <is>
          <t>TURL.L</t>
        </is>
      </c>
      <c r="D527" t="n">
        <v>2015</v>
      </c>
      <c r="E527" t="n">
        <v>-25.52255900399854</v>
      </c>
      <c r="F527" t="n">
        <v>5.806</v>
      </c>
      <c r="G527" t="inlineStr"/>
      <c r="H527" t="inlineStr"/>
      <c r="I527" t="inlineStr"/>
      <c r="J527" t="inlineStr">
        <is>
          <t>Turkey|TURL.L|2015</t>
        </is>
      </c>
      <c r="K527" t="inlineStr">
        <is>
          <t>Turkey|2015</t>
        </is>
      </c>
      <c r="L527" t="inlineStr">
        <is>
          <t>GBp</t>
        </is>
      </c>
      <c r="M527" t="n">
        <v>-25.52255900399854</v>
      </c>
      <c r="N527" t="n">
        <v>-4.888855870697362</v>
      </c>
      <c r="O527" t="n">
        <v>-5.407515212426162</v>
      </c>
      <c r="P527" t="n">
        <v>-29.16365375047673</v>
      </c>
      <c r="Q527" t="inlineStr"/>
      <c r="R527" t="inlineStr"/>
      <c r="S527" t="n">
        <v>7.671</v>
      </c>
      <c r="T527" t="n">
        <v>0.121</v>
      </c>
      <c r="U527" t="n">
        <v>7.550000000000001</v>
      </c>
      <c r="V527" t="n">
        <v>868204000000</v>
      </c>
    </row>
    <row r="528">
      <c r="A528" t="inlineStr">
        <is>
          <t>Turkey</t>
        </is>
      </c>
      <c r="B528" t="inlineStr">
        <is>
          <t>TUR</t>
        </is>
      </c>
      <c r="C528" t="inlineStr">
        <is>
          <t>TURL.L</t>
        </is>
      </c>
      <c r="D528" t="n">
        <v>2016</v>
      </c>
      <c r="E528" t="n">
        <v>-0.3158486147618378</v>
      </c>
      <c r="F528" t="n">
        <v>3.324</v>
      </c>
      <c r="G528" t="n">
        <v>11.721414</v>
      </c>
      <c r="H528" t="n">
        <v>0.24591</v>
      </c>
      <c r="I528" t="n">
        <v>17.1349551546567</v>
      </c>
      <c r="J528" t="inlineStr">
        <is>
          <t>Turkey|TURL.L|2016</t>
        </is>
      </c>
      <c r="K528" t="inlineStr">
        <is>
          <t>Turkey|2016</t>
        </is>
      </c>
      <c r="L528" t="inlineStr">
        <is>
          <t>GBp</t>
        </is>
      </c>
      <c r="M528" t="n">
        <v>-0.3158486147618378</v>
      </c>
      <c r="N528" t="n">
        <v>-16.62570861023462</v>
      </c>
      <c r="O528" t="n">
        <v>-16.21181156312136</v>
      </c>
      <c r="P528" t="n">
        <v>-16.8890451546567</v>
      </c>
      <c r="Q528" t="n">
        <v>-10.2715348796492</v>
      </c>
      <c r="R528" t="n">
        <v>-7.375040090267426</v>
      </c>
      <c r="S528" t="n">
        <v>7.775</v>
      </c>
      <c r="T528" t="n">
        <v>1.267</v>
      </c>
      <c r="U528" t="n">
        <v>6.508000000000001</v>
      </c>
      <c r="V528" t="n">
        <v>870339000000</v>
      </c>
    </row>
    <row r="529">
      <c r="A529" t="inlineStr">
        <is>
          <t>Turkey</t>
        </is>
      </c>
      <c r="B529" t="inlineStr">
        <is>
          <t>TUR</t>
        </is>
      </c>
      <c r="C529" t="inlineStr">
        <is>
          <t>TURL.L</t>
        </is>
      </c>
      <c r="D529" t="n">
        <v>2017</v>
      </c>
      <c r="E529" t="n">
        <v>23.70318302148371</v>
      </c>
      <c r="F529" t="n">
        <v>7.826</v>
      </c>
      <c r="G529" t="n">
        <v>19.830547</v>
      </c>
      <c r="H529" t="n">
        <v>-0.739137</v>
      </c>
      <c r="I529" t="n">
        <v>-35.37939848930208</v>
      </c>
      <c r="J529" t="inlineStr">
        <is>
          <t>Turkey|TURL.L|2017</t>
        </is>
      </c>
      <c r="K529" t="inlineStr">
        <is>
          <t>Turkey|2017</t>
        </is>
      </c>
      <c r="L529" t="inlineStr">
        <is>
          <t>GBp</t>
        </is>
      </c>
      <c r="M529" t="n">
        <v>23.70318302148371</v>
      </c>
      <c r="N529" t="n">
        <v>8.841388071573641</v>
      </c>
      <c r="O529" t="n">
        <v>9.450435944365921</v>
      </c>
      <c r="P529" t="n">
        <v>34.64026148930208</v>
      </c>
      <c r="Q529" t="n">
        <v>-17.16564314442739</v>
      </c>
      <c r="R529" t="n">
        <v>62.54156680911596</v>
      </c>
      <c r="S529" t="n">
        <v>11.144</v>
      </c>
      <c r="T529" t="n">
        <v>2.131</v>
      </c>
      <c r="U529" t="n">
        <v>9.013</v>
      </c>
      <c r="V529" t="n">
        <v>863906000000</v>
      </c>
    </row>
    <row r="530">
      <c r="A530" t="inlineStr">
        <is>
          <t>Turkey</t>
        </is>
      </c>
      <c r="B530" t="inlineStr">
        <is>
          <t>TUR</t>
        </is>
      </c>
      <c r="C530" t="inlineStr">
        <is>
          <t>TURL.L</t>
        </is>
      </c>
      <c r="D530" t="n">
        <v>2018</v>
      </c>
      <c r="E530" t="n">
        <v>-41.33845213022326</v>
      </c>
      <c r="F530" t="n">
        <v>3.468</v>
      </c>
      <c r="G530" t="n">
        <v>20.781976</v>
      </c>
      <c r="H530" t="n">
        <v>-6.55025</v>
      </c>
      <c r="I530" t="n">
        <v>38.35793578098204</v>
      </c>
      <c r="J530" t="inlineStr">
        <is>
          <t>Turkey|TURL.L|2018</t>
        </is>
      </c>
      <c r="K530" t="inlineStr">
        <is>
          <t>Turkey|2018</t>
        </is>
      </c>
      <c r="L530" t="inlineStr">
        <is>
          <t>GBp</t>
        </is>
      </c>
      <c r="M530" t="n">
        <v>-41.33845213022326</v>
      </c>
      <c r="N530" t="n">
        <v>-6.085304224640065</v>
      </c>
      <c r="O530" t="n">
        <v>-5.756316180609423</v>
      </c>
      <c r="P530" t="n">
        <v>-44.90818578098204</v>
      </c>
      <c r="Q530" t="n">
        <v>-22.62939105235521</v>
      </c>
      <c r="R530" t="n">
        <v>-28.79490678909152</v>
      </c>
      <c r="S530" t="n">
        <v>16.332</v>
      </c>
      <c r="T530" t="n">
        <v>2.439</v>
      </c>
      <c r="U530" t="n">
        <v>13.893</v>
      </c>
      <c r="V530" t="n">
        <v>807318000000</v>
      </c>
    </row>
    <row r="531">
      <c r="A531" t="inlineStr">
        <is>
          <t>Turkey</t>
        </is>
      </c>
      <c r="B531" t="inlineStr">
        <is>
          <t>TUR</t>
        </is>
      </c>
      <c r="C531" t="inlineStr">
        <is>
          <t>TURL.L</t>
        </is>
      </c>
      <c r="D531" t="n">
        <v>2019</v>
      </c>
      <c r="E531" t="n">
        <v>-0.8868204404142599</v>
      </c>
      <c r="F531" t="n">
        <v>1.302</v>
      </c>
      <c r="G531" t="n">
        <v>15.646244</v>
      </c>
      <c r="H531" t="n">
        <v>-3.975509</v>
      </c>
      <c r="I531" t="n">
        <v>-6.006446063195659</v>
      </c>
      <c r="J531" t="inlineStr">
        <is>
          <t>Turkey|TURL.L|2019</t>
        </is>
      </c>
      <c r="K531" t="inlineStr">
        <is>
          <t>Turkey|2019</t>
        </is>
      </c>
      <c r="L531" t="inlineStr">
        <is>
          <t>GBp</t>
        </is>
      </c>
      <c r="M531" t="n">
        <v>-0.8868204404142599</v>
      </c>
      <c r="N531" t="n">
        <v>2.94386429390634</v>
      </c>
      <c r="O531" t="n">
        <v>4.118031584084703</v>
      </c>
      <c r="P531" t="n">
        <v>2.030937063195659</v>
      </c>
      <c r="Q531" t="n">
        <v>-16.9670475440615</v>
      </c>
      <c r="R531" t="n">
        <v>22.88005429812754</v>
      </c>
      <c r="S531" t="n">
        <v>15.177</v>
      </c>
      <c r="T531" t="n">
        <v>1.813</v>
      </c>
      <c r="U531" t="n">
        <v>13.364</v>
      </c>
      <c r="V531" t="n">
        <v>775223000000</v>
      </c>
    </row>
    <row r="532">
      <c r="A532" t="inlineStr">
        <is>
          <t>Turkey</t>
        </is>
      </c>
      <c r="B532" t="inlineStr">
        <is>
          <t>TUR</t>
        </is>
      </c>
      <c r="C532" t="inlineStr">
        <is>
          <t>TURL.L</t>
        </is>
      </c>
      <c r="D532" t="n">
        <v>2020</v>
      </c>
      <c r="E532" t="n">
        <v>-14.3073700427641</v>
      </c>
      <c r="F532" t="n">
        <v>1.803</v>
      </c>
      <c r="G532" t="n">
        <v>16.802649</v>
      </c>
      <c r="H532" t="n">
        <v>-5.789044</v>
      </c>
      <c r="I532" t="n">
        <v>6.140185579564416</v>
      </c>
      <c r="J532" t="inlineStr">
        <is>
          <t>Turkey|TURL.L|2020</t>
        </is>
      </c>
      <c r="K532" t="inlineStr">
        <is>
          <t>Turkey|2020</t>
        </is>
      </c>
      <c r="L532" t="inlineStr">
        <is>
          <t>GBp</t>
        </is>
      </c>
      <c r="M532" t="n">
        <v>-14.3073700427641</v>
      </c>
      <c r="N532" t="n">
        <v>2.775198362317122</v>
      </c>
      <c r="O532" t="n">
        <v>3.094474617937659</v>
      </c>
      <c r="P532" t="n">
        <v>-11.92922957956442</v>
      </c>
      <c r="Q532" t="n">
        <v>-19.34176401933071</v>
      </c>
      <c r="R532" t="n">
        <v>9.190052757343704</v>
      </c>
      <c r="S532" t="n">
        <v>12.279</v>
      </c>
      <c r="T532" t="n">
        <v>1.253</v>
      </c>
      <c r="U532" t="n">
        <v>11.026</v>
      </c>
      <c r="V532" t="n">
        <v>730345000000</v>
      </c>
    </row>
    <row r="533">
      <c r="A533" t="inlineStr">
        <is>
          <t>Turkey</t>
        </is>
      </c>
      <c r="B533" t="inlineStr">
        <is>
          <t>TUR</t>
        </is>
      </c>
      <c r="C533" t="inlineStr">
        <is>
          <t>TURL.L</t>
        </is>
      </c>
      <c r="D533" t="n">
        <v>2021</v>
      </c>
      <c r="E533" t="n">
        <v>-26.40840105068237</v>
      </c>
      <c r="F533" t="n">
        <v>11.811</v>
      </c>
      <c r="G533" t="n">
        <v>44.578332</v>
      </c>
      <c r="H533" t="n">
        <v>13.326305</v>
      </c>
      <c r="I533" t="n">
        <v>40.67463304965631</v>
      </c>
      <c r="J533" t="inlineStr">
        <is>
          <t>Turkey|TURL.L|2021</t>
        </is>
      </c>
      <c r="K533" t="inlineStr">
        <is>
          <t>Turkey|2021</t>
        </is>
      </c>
      <c r="L533" t="inlineStr">
        <is>
          <t>GBp</t>
        </is>
      </c>
      <c r="M533" t="n">
        <v>-26.40840105068237</v>
      </c>
      <c r="N533" t="n">
        <v>-1.277220514832489</v>
      </c>
      <c r="O533" t="n">
        <v>-1.102343119945948</v>
      </c>
      <c r="P533" t="n">
        <v>-27.34832804965631</v>
      </c>
      <c r="Q533" t="n">
        <v>-21.61598275145341</v>
      </c>
      <c r="R533" t="n">
        <v>-7.313155793005988</v>
      </c>
      <c r="S533" t="n">
        <v>19.596</v>
      </c>
      <c r="T533" t="n">
        <v>4.679</v>
      </c>
      <c r="U533" t="n">
        <v>14.917</v>
      </c>
      <c r="V533" t="n">
        <v>827673000000</v>
      </c>
    </row>
    <row r="534">
      <c r="A534" t="inlineStr">
        <is>
          <t>Turkey</t>
        </is>
      </c>
      <c r="B534" t="inlineStr">
        <is>
          <t>TUR</t>
        </is>
      </c>
      <c r="C534" t="inlineStr">
        <is>
          <t>TURL.L</t>
        </is>
      </c>
      <c r="D534" t="n">
        <v>2022</v>
      </c>
      <c r="E534" t="n">
        <v>109.6554391742339</v>
      </c>
      <c r="F534" t="n">
        <v>5.441</v>
      </c>
      <c r="G534" t="n">
        <v>106.164519</v>
      </c>
      <c r="H534" t="n">
        <v>11.729149</v>
      </c>
      <c r="I534" t="n">
        <v>-75.19744551406782</v>
      </c>
      <c r="J534" t="inlineStr">
        <is>
          <t>Turkey|TURL.L|2022</t>
        </is>
      </c>
      <c r="K534" t="inlineStr">
        <is>
          <t>Turkey|2022</t>
        </is>
      </c>
      <c r="L534" t="inlineStr">
        <is>
          <t>GBp</t>
        </is>
      </c>
      <c r="M534" t="n">
        <v>109.6554391742339</v>
      </c>
      <c r="N534" t="n">
        <v>-10.84104698150823</v>
      </c>
      <c r="O534" t="n">
        <v>-10.36772851390696</v>
      </c>
      <c r="P534" t="n">
        <v>86.92659451406782</v>
      </c>
      <c r="Q534" t="n">
        <v>-45.80583035725595</v>
      </c>
      <c r="R534" t="n">
        <v>244.9201191683819</v>
      </c>
      <c r="S534" t="n">
        <v>72.309</v>
      </c>
      <c r="T534" t="n">
        <v>7.993</v>
      </c>
      <c r="U534" t="n">
        <v>64.316</v>
      </c>
      <c r="V534" t="n">
        <v>924752000000</v>
      </c>
    </row>
    <row r="535">
      <c r="A535" t="inlineStr">
        <is>
          <t>Turkey</t>
        </is>
      </c>
      <c r="B535" t="inlineStr">
        <is>
          <t>TUR</t>
        </is>
      </c>
      <c r="C535" t="inlineStr">
        <is>
          <t>TURL.L</t>
        </is>
      </c>
      <c r="D535" t="n">
        <v>2023</v>
      </c>
      <c r="E535" t="n">
        <v>-19.83238917593529</v>
      </c>
      <c r="F535" t="n">
        <v>5.045</v>
      </c>
      <c r="G535" t="n">
        <v>76.769673</v>
      </c>
      <c r="H535" t="n">
        <v>24.713977</v>
      </c>
      <c r="I535" t="n">
        <v>40.48745543990434</v>
      </c>
      <c r="J535" t="inlineStr">
        <is>
          <t>Turkey|TURL.L|2023</t>
        </is>
      </c>
      <c r="K535" t="inlineStr">
        <is>
          <t>Turkey|2023</t>
        </is>
      </c>
      <c r="L535" t="inlineStr">
        <is>
          <t>GBp</t>
        </is>
      </c>
      <c r="M535" t="n">
        <v>-19.83238917593529</v>
      </c>
      <c r="N535" t="n">
        <v>5.06303068571996</v>
      </c>
      <c r="O535" t="n">
        <v>5.030130998783355</v>
      </c>
      <c r="P535" t="n">
        <v>-15.77347843990434</v>
      </c>
      <c r="Q535" t="n">
        <v>-29.44831792718424</v>
      </c>
      <c r="R535" t="n">
        <v>19.38272637237226</v>
      </c>
      <c r="S535" t="n">
        <v>53.859</v>
      </c>
      <c r="T535" t="n">
        <v>4.128</v>
      </c>
      <c r="U535" t="n">
        <v>49.731</v>
      </c>
      <c r="V535" t="n">
        <v>1153295000000</v>
      </c>
    </row>
    <row r="536">
      <c r="A536" t="inlineStr">
        <is>
          <t>Turkey</t>
        </is>
      </c>
      <c r="B536" t="inlineStr">
        <is>
          <t>TUR</t>
        </is>
      </c>
      <c r="C536" t="inlineStr">
        <is>
          <t>TURL.L</t>
        </is>
      </c>
      <c r="D536" t="n">
        <v>2024</v>
      </c>
      <c r="E536" t="n">
        <v>0</v>
      </c>
      <c r="F536" t="n">
        <v>3.328</v>
      </c>
      <c r="G536" t="n">
        <v>64.580319</v>
      </c>
      <c r="H536" t="n">
        <v>17.771342</v>
      </c>
      <c r="I536" t="n">
        <v>19.19239552366492</v>
      </c>
      <c r="J536" t="inlineStr">
        <is>
          <t>Turkey|TURL.L|2024</t>
        </is>
      </c>
      <c r="K536" t="inlineStr">
        <is>
          <t>Turkey|2024</t>
        </is>
      </c>
      <c r="L536" t="inlineStr">
        <is>
          <t>GBp</t>
        </is>
      </c>
      <c r="M536" t="n">
        <v>0</v>
      </c>
      <c r="N536" t="n">
        <v>-1.421053523664917</v>
      </c>
      <c r="O536" t="n">
        <v>-1.655539060617606</v>
      </c>
      <c r="P536" t="n">
        <v>-1.421053523664917</v>
      </c>
      <c r="Q536" t="n">
        <v>-28.44141808932529</v>
      </c>
      <c r="R536" t="n">
        <v>37.7597820473712</v>
      </c>
      <c r="S536" t="n">
        <v>58.506</v>
      </c>
      <c r="T536" t="n">
        <v>2.952</v>
      </c>
      <c r="U536" t="n">
        <v>55.554</v>
      </c>
      <c r="V536" t="n">
        <v>1358251000000</v>
      </c>
    </row>
    <row r="537">
      <c r="A537" t="inlineStr">
        <is>
          <t>Turkey</t>
        </is>
      </c>
      <c r="B537" t="inlineStr">
        <is>
          <t>TUR</t>
        </is>
      </c>
      <c r="C537" t="inlineStr">
        <is>
          <t>TURL.L</t>
        </is>
      </c>
      <c r="D537" t="n">
        <v>2025</v>
      </c>
      <c r="E537" t="n">
        <v>0</v>
      </c>
      <c r="F537" t="n">
        <v>3.494</v>
      </c>
      <c r="G537" t="n">
        <v>39.453331</v>
      </c>
      <c r="H537" t="n">
        <v>15.256385</v>
      </c>
      <c r="I537" t="n">
        <v>7.684455444729715</v>
      </c>
      <c r="J537" t="inlineStr">
        <is>
          <t>Turkey|TURL.L|2025</t>
        </is>
      </c>
      <c r="K537" t="inlineStr">
        <is>
          <t>Turkey|2025</t>
        </is>
      </c>
      <c r="L537" t="inlineStr">
        <is>
          <t>GBp</t>
        </is>
      </c>
      <c r="M537" t="n">
        <v>0</v>
      </c>
      <c r="N537" t="n">
        <v>7.571929555270285</v>
      </c>
      <c r="O537" t="n">
        <v>7.623377354227179</v>
      </c>
      <c r="P537" t="n">
        <v>7.571929555270285</v>
      </c>
      <c r="Q537" t="n">
        <v>-17.35128607190518</v>
      </c>
      <c r="R537" t="n">
        <v>30.15560006034566</v>
      </c>
      <c r="S537" t="n">
        <v>34.89</v>
      </c>
      <c r="T537" t="n">
        <v>2.715</v>
      </c>
      <c r="U537" t="n">
        <v>32.175</v>
      </c>
      <c r="V537" t="n">
        <v>1565471000000</v>
      </c>
    </row>
    <row r="538">
      <c r="A538" t="inlineStr">
        <is>
          <t>Turkey</t>
        </is>
      </c>
      <c r="B538" t="inlineStr">
        <is>
          <t>TUR</t>
        </is>
      </c>
      <c r="C538" t="inlineStr">
        <is>
          <t>TURL.L</t>
        </is>
      </c>
      <c r="D538" t="n">
        <v>2026</v>
      </c>
      <c r="E538" t="n">
        <v>0</v>
      </c>
      <c r="F538" t="n">
        <v>3.693</v>
      </c>
      <c r="G538" t="n">
        <v>28.538319</v>
      </c>
      <c r="H538" t="n">
        <v>0.679604</v>
      </c>
      <c r="I538" t="n">
        <v>2.319886107323621</v>
      </c>
      <c r="J538" t="inlineStr">
        <is>
          <t>Turkey|TURL.L|2026</t>
        </is>
      </c>
      <c r="K538" t="inlineStr">
        <is>
          <t>Turkey|2026</t>
        </is>
      </c>
      <c r="L538" t="inlineStr">
        <is>
          <t>GBp</t>
        </is>
      </c>
      <c r="M538" t="n">
        <v>0</v>
      </c>
      <c r="N538" t="n">
        <v>-1.640282107323621</v>
      </c>
      <c r="O538" t="inlineStr"/>
      <c r="P538" t="n">
        <v>-1.640282107323621</v>
      </c>
      <c r="Q538" t="n">
        <v>-21.67347080086092</v>
      </c>
      <c r="R538" t="n">
        <v>25.57650504671856</v>
      </c>
      <c r="S538" t="n">
        <v>24.744</v>
      </c>
      <c r="T538" t="n">
        <v>2.435</v>
      </c>
      <c r="U538" t="n">
        <v>22.309</v>
      </c>
      <c r="V538" t="n">
        <v>1576110000000</v>
      </c>
    </row>
    <row r="539">
      <c r="A539" t="inlineStr">
        <is>
          <t>Turkey</t>
        </is>
      </c>
      <c r="B539" t="inlineStr">
        <is>
          <t>TUR</t>
        </is>
      </c>
      <c r="C539" t="inlineStr">
        <is>
          <t>TURL.L</t>
        </is>
      </c>
      <c r="D539" t="n">
        <v>2027</v>
      </c>
      <c r="E539" t="inlineStr"/>
      <c r="F539" t="n">
        <v>3.725</v>
      </c>
      <c r="G539" t="n">
        <v>22.873771</v>
      </c>
      <c r="H539" t="n">
        <v>4.108343</v>
      </c>
      <c r="I539" t="inlineStr"/>
      <c r="J539" t="inlineStr">
        <is>
          <t>Turkey|TURL.L|2027</t>
        </is>
      </c>
      <c r="K539" t="inlineStr">
        <is>
          <t>Turkey|2027</t>
        </is>
      </c>
      <c r="L539" t="inlineStr">
        <is>
          <t>GBp</t>
        </is>
      </c>
      <c r="M539" t="inlineStr"/>
      <c r="N539" t="inlineStr"/>
      <c r="O539" t="inlineStr"/>
      <c r="P539" t="inlineStr"/>
      <c r="Q539" t="n">
        <v>-15.27211901748565</v>
      </c>
      <c r="R539" t="inlineStr"/>
      <c r="S539" t="n">
        <v>19.47</v>
      </c>
      <c r="T539" t="n">
        <v>2.185</v>
      </c>
      <c r="U539" t="n">
        <v>17.285</v>
      </c>
      <c r="V539" t="n">
        <v>1640862000000</v>
      </c>
    </row>
    <row r="540">
      <c r="A540" t="inlineStr">
        <is>
          <t>Turkey</t>
        </is>
      </c>
      <c r="B540" t="inlineStr">
        <is>
          <t>TUR</t>
        </is>
      </c>
      <c r="C540" t="inlineStr">
        <is>
          <t>TURL.L</t>
        </is>
      </c>
      <c r="D540" t="n">
        <v>2028</v>
      </c>
      <c r="E540" t="inlineStr"/>
      <c r="F540" t="n">
        <v>3.82</v>
      </c>
      <c r="G540" t="n">
        <v>22.204735</v>
      </c>
      <c r="H540" t="n">
        <v>7.287084</v>
      </c>
      <c r="I540" t="inlineStr"/>
      <c r="J540" t="inlineStr">
        <is>
          <t>Turkey|TURL.L|2028</t>
        </is>
      </c>
      <c r="K540" t="inlineStr">
        <is>
          <t>Turkey|2028</t>
        </is>
      </c>
      <c r="L540" t="inlineStr">
        <is>
          <t>GBp</t>
        </is>
      </c>
      <c r="M540" t="inlineStr"/>
      <c r="N540" t="inlineStr"/>
      <c r="O540" t="inlineStr"/>
      <c r="P540" t="inlineStr"/>
      <c r="Q540" t="n">
        <v>-12.20709699606487</v>
      </c>
      <c r="R540" t="inlineStr"/>
      <c r="S540" t="n">
        <v>16.218</v>
      </c>
      <c r="T540" t="n">
        <v>2.206</v>
      </c>
      <c r="U540" t="n">
        <v>14.012</v>
      </c>
      <c r="V540" t="n">
        <v>1760433000000</v>
      </c>
    </row>
    <row r="541">
      <c r="A541" t="inlineStr">
        <is>
          <t>Turkey</t>
        </is>
      </c>
      <c r="B541" t="inlineStr">
        <is>
          <t>TUR</t>
        </is>
      </c>
      <c r="C541" t="inlineStr">
        <is>
          <t>TURL.L</t>
        </is>
      </c>
      <c r="D541" t="n">
        <v>2029</v>
      </c>
      <c r="E541" t="inlineStr"/>
      <c r="F541" t="n">
        <v>3.792</v>
      </c>
      <c r="G541" t="n">
        <v>19.429834</v>
      </c>
      <c r="H541" t="n">
        <v>6.013521</v>
      </c>
      <c r="I541" t="inlineStr"/>
      <c r="J541" t="inlineStr">
        <is>
          <t>Turkey|TURL.L|2029</t>
        </is>
      </c>
      <c r="K541" t="inlineStr">
        <is>
          <t>Turkey|2029</t>
        </is>
      </c>
      <c r="L541" t="inlineStr">
        <is>
          <t>GBp</t>
        </is>
      </c>
      <c r="M541" t="inlineStr"/>
      <c r="N541" t="inlineStr"/>
      <c r="O541" t="inlineStr"/>
      <c r="P541" t="inlineStr"/>
      <c r="Q541" t="n">
        <v>-11.2336367617882</v>
      </c>
      <c r="R541" t="inlineStr"/>
      <c r="S541" t="n">
        <v>15.004</v>
      </c>
      <c r="T541" t="n">
        <v>2.203</v>
      </c>
      <c r="U541" t="n">
        <v>12.801</v>
      </c>
      <c r="V541" t="n">
        <v>1866297000000</v>
      </c>
    </row>
    <row r="542">
      <c r="A542" t="inlineStr">
        <is>
          <t>United Kingdom</t>
        </is>
      </c>
      <c r="B542" t="inlineStr">
        <is>
          <t>GBR</t>
        </is>
      </c>
      <c r="C542" t="inlineStr">
        <is>
          <t>CSUK.L</t>
        </is>
      </c>
      <c r="D542" t="n">
        <v>2015</v>
      </c>
      <c r="E542" t="n">
        <v>-2.0339794209141</v>
      </c>
      <c r="F542" t="n">
        <v>2.223</v>
      </c>
      <c r="G542" t="inlineStr"/>
      <c r="H542" t="inlineStr"/>
      <c r="I542" t="inlineStr"/>
      <c r="J542" t="inlineStr">
        <is>
          <t>United Kingdom|CSUK.L|2015</t>
        </is>
      </c>
      <c r="K542" t="inlineStr">
        <is>
          <t>United Kingdom|2015</t>
        </is>
      </c>
      <c r="L542" t="inlineStr">
        <is>
          <t>GBp</t>
        </is>
      </c>
      <c r="M542" t="n">
        <v>-2.0339794209141</v>
      </c>
      <c r="N542" t="n">
        <v>-4.888855870697362</v>
      </c>
      <c r="O542" t="n">
        <v>-5.407515212426162</v>
      </c>
      <c r="P542" t="n">
        <v>-6.823396969283325</v>
      </c>
      <c r="Q542" t="inlineStr"/>
      <c r="R542" t="inlineStr"/>
      <c r="S542" t="n">
        <v>0.04</v>
      </c>
      <c r="T542" t="n">
        <v>0.121</v>
      </c>
      <c r="U542" t="n">
        <v>-0.08099999999999999</v>
      </c>
      <c r="V542" t="n">
        <v>2928558000000</v>
      </c>
    </row>
    <row r="543">
      <c r="A543" t="inlineStr">
        <is>
          <t>United Kingdom</t>
        </is>
      </c>
      <c r="B543" t="inlineStr">
        <is>
          <t>GBR</t>
        </is>
      </c>
      <c r="C543" t="inlineStr">
        <is>
          <t>CSUK.L</t>
        </is>
      </c>
      <c r="D543" t="n">
        <v>2016</v>
      </c>
      <c r="E543" t="n">
        <v>21.43933685003767</v>
      </c>
      <c r="F543" t="n">
        <v>1.922</v>
      </c>
      <c r="G543" t="n">
        <v>3.923607</v>
      </c>
      <c r="H543" t="n">
        <v>-7.835665</v>
      </c>
      <c r="I543" t="n">
        <v>-9.084851567149119</v>
      </c>
      <c r="J543" t="inlineStr">
        <is>
          <t>United Kingdom|CSUK.L|2016</t>
        </is>
      </c>
      <c r="K543" t="inlineStr">
        <is>
          <t>United Kingdom|2016</t>
        </is>
      </c>
      <c r="L543" t="inlineStr">
        <is>
          <t>GBp</t>
        </is>
      </c>
      <c r="M543" t="n">
        <v>21.43933685003767</v>
      </c>
      <c r="N543" t="n">
        <v>-16.62570861023462</v>
      </c>
      <c r="O543" t="n">
        <v>-16.21181156312136</v>
      </c>
      <c r="P543" t="n">
        <v>1.249186567149119</v>
      </c>
      <c r="Q543" t="n">
        <v>-11.31530388385849</v>
      </c>
      <c r="R543" t="n">
        <v>14.16759711794371</v>
      </c>
      <c r="S543" t="n">
        <v>0.66</v>
      </c>
      <c r="T543" t="n">
        <v>1.267</v>
      </c>
      <c r="U543" t="n">
        <v>-0.6069999999999999</v>
      </c>
      <c r="V543" t="n">
        <v>2699086000000</v>
      </c>
    </row>
    <row r="544">
      <c r="A544" t="inlineStr">
        <is>
          <t>United Kingdom</t>
        </is>
      </c>
      <c r="B544" t="inlineStr">
        <is>
          <t>GBR</t>
        </is>
      </c>
      <c r="C544" t="inlineStr">
        <is>
          <t>CSUK.L</t>
        </is>
      </c>
      <c r="D544" t="n">
        <v>2017</v>
      </c>
      <c r="E544" t="n">
        <v>10.78797808611951</v>
      </c>
      <c r="F544" t="n">
        <v>2.657</v>
      </c>
      <c r="G544" t="n">
        <v>4.560903</v>
      </c>
      <c r="H544" t="n">
        <v>-0.618802</v>
      </c>
      <c r="I544" t="n">
        <v>-21.20197516536329</v>
      </c>
      <c r="J544" t="inlineStr">
        <is>
          <t>United Kingdom|CSUK.L|2017</t>
        </is>
      </c>
      <c r="K544" t="inlineStr">
        <is>
          <t>United Kingdom|2017</t>
        </is>
      </c>
      <c r="L544" t="inlineStr">
        <is>
          <t>GBp</t>
        </is>
      </c>
      <c r="M544" t="n">
        <v>10.78797808611951</v>
      </c>
      <c r="N544" t="n">
        <v>8.841388071573641</v>
      </c>
      <c r="O544" t="n">
        <v>9.450435944365921</v>
      </c>
      <c r="P544" t="n">
        <v>20.58317316536329</v>
      </c>
      <c r="Q544" t="n">
        <v>-4.953768650015422</v>
      </c>
      <c r="R544" t="n">
        <v>26.86791622631006</v>
      </c>
      <c r="S544" t="n">
        <v>2.683</v>
      </c>
      <c r="T544" t="n">
        <v>2.131</v>
      </c>
      <c r="U544" t="n">
        <v>0.552</v>
      </c>
      <c r="V544" t="n">
        <v>2682384000000</v>
      </c>
    </row>
    <row r="545">
      <c r="A545" t="inlineStr">
        <is>
          <t>United Kingdom</t>
        </is>
      </c>
      <c r="B545" t="inlineStr">
        <is>
          <t>GBR</t>
        </is>
      </c>
      <c r="C545" t="inlineStr">
        <is>
          <t>CSUK.L</t>
        </is>
      </c>
      <c r="D545" t="n">
        <v>2018</v>
      </c>
      <c r="E545" t="n">
        <v>-8.762214983713356</v>
      </c>
      <c r="F545" t="n">
        <v>1.405</v>
      </c>
      <c r="G545" t="n">
        <v>3.352826</v>
      </c>
      <c r="H545" t="n">
        <v>7.181671</v>
      </c>
      <c r="I545" t="n">
        <v>21.49598276977746</v>
      </c>
      <c r="J545" t="inlineStr">
        <is>
          <t>United Kingdom|CSUK.L|2018</t>
        </is>
      </c>
      <c r="K545" t="inlineStr">
        <is>
          <t>United Kingdom|2018</t>
        </is>
      </c>
      <c r="L545" t="inlineStr">
        <is>
          <t>GBp</t>
        </is>
      </c>
      <c r="M545" t="n">
        <v>-8.762214983713356</v>
      </c>
      <c r="N545" t="n">
        <v>-6.085304224640065</v>
      </c>
      <c r="O545" t="n">
        <v>-5.756316180609423</v>
      </c>
      <c r="P545" t="n">
        <v>-14.31431176977746</v>
      </c>
      <c r="Q545" t="n">
        <v>3.704635156519487</v>
      </c>
      <c r="R545" t="n">
        <v>-17.37525704526253</v>
      </c>
      <c r="S545" t="n">
        <v>2.478</v>
      </c>
      <c r="T545" t="n">
        <v>2.439</v>
      </c>
      <c r="U545" t="n">
        <v>0.03900000000000015</v>
      </c>
      <c r="V545" t="n">
        <v>2875024000000</v>
      </c>
    </row>
    <row r="546">
      <c r="A546" t="inlineStr">
        <is>
          <t>United Kingdom</t>
        </is>
      </c>
      <c r="B546" t="inlineStr">
        <is>
          <t>GBR</t>
        </is>
      </c>
      <c r="C546" t="inlineStr">
        <is>
          <t>CSUK.L</t>
        </is>
      </c>
      <c r="D546" t="n">
        <v>2019</v>
      </c>
      <c r="E546" t="n">
        <v>16.07315706352846</v>
      </c>
      <c r="F546" t="n">
        <v>1.624</v>
      </c>
      <c r="G546" t="n">
        <v>3.792076</v>
      </c>
      <c r="H546" t="n">
        <v>-0.763472</v>
      </c>
      <c r="I546" t="n">
        <v>-20.25366528913149</v>
      </c>
      <c r="J546" t="inlineStr">
        <is>
          <t>United Kingdom|CSUK.L|2019</t>
        </is>
      </c>
      <c r="K546" t="inlineStr">
        <is>
          <t>United Kingdom|2019</t>
        </is>
      </c>
      <c r="L546" t="inlineStr">
        <is>
          <t>GBp</t>
        </is>
      </c>
      <c r="M546" t="n">
        <v>16.07315706352846</v>
      </c>
      <c r="N546" t="n">
        <v>2.94386429390634</v>
      </c>
      <c r="O546" t="n">
        <v>4.118031584084703</v>
      </c>
      <c r="P546" t="n">
        <v>19.49019328913149</v>
      </c>
      <c r="Q546" t="n">
        <v>-4.389109372013511</v>
      </c>
      <c r="R546" t="n">
        <v>24.97550488684104</v>
      </c>
      <c r="S546" t="n">
        <v>1.791</v>
      </c>
      <c r="T546" t="n">
        <v>1.813</v>
      </c>
      <c r="U546" t="n">
        <v>-0.02200000000000002</v>
      </c>
      <c r="V546" t="n">
        <v>2853074000000</v>
      </c>
    </row>
    <row r="547">
      <c r="A547" t="inlineStr">
        <is>
          <t>United Kingdom</t>
        </is>
      </c>
      <c r="B547" t="inlineStr">
        <is>
          <t>GBR</t>
        </is>
      </c>
      <c r="C547" t="inlineStr">
        <is>
          <t>CSUK.L</t>
        </is>
      </c>
      <c r="D547" t="n">
        <v>2020</v>
      </c>
      <c r="E547" t="n">
        <v>-13.76937815711548</v>
      </c>
      <c r="F547" t="n">
        <v>-10.297</v>
      </c>
      <c r="G547" t="n">
        <v>-5.838837</v>
      </c>
      <c r="H547" t="n">
        <v>-5.41062</v>
      </c>
      <c r="I547" t="n">
        <v>5.965687351915872</v>
      </c>
      <c r="J547" t="inlineStr">
        <is>
          <t>United Kingdom|CSUK.L|2020</t>
        </is>
      </c>
      <c r="K547" t="inlineStr">
        <is>
          <t>United Kingdom|2020</t>
        </is>
      </c>
      <c r="L547" t="inlineStr">
        <is>
          <t>GBp</t>
        </is>
      </c>
      <c r="M547" t="n">
        <v>-13.76937815711548</v>
      </c>
      <c r="N547" t="n">
        <v>2.775198362317122</v>
      </c>
      <c r="O547" t="n">
        <v>3.094474617937659</v>
      </c>
      <c r="P547" t="n">
        <v>-11.37630735191587</v>
      </c>
      <c r="Q547" t="n">
        <v>0.4547697339148282</v>
      </c>
      <c r="R547" t="n">
        <v>-11.77751650535751</v>
      </c>
      <c r="S547" t="n">
        <v>0.851</v>
      </c>
      <c r="T547" t="n">
        <v>1.253</v>
      </c>
      <c r="U547" t="n">
        <v>-0.4019999999999999</v>
      </c>
      <c r="V547" t="n">
        <v>2698705000000</v>
      </c>
    </row>
    <row r="548">
      <c r="A548" t="inlineStr">
        <is>
          <t>United Kingdom</t>
        </is>
      </c>
      <c r="B548" t="inlineStr">
        <is>
          <t>GBR</t>
        </is>
      </c>
      <c r="C548" t="inlineStr">
        <is>
          <t>CSUK.L</t>
        </is>
      </c>
      <c r="D548" t="n">
        <v>2021</v>
      </c>
      <c r="E548" t="n">
        <v>16.31212723658053</v>
      </c>
      <c r="F548" t="n">
        <v>8.576000000000001</v>
      </c>
      <c r="G548" t="n">
        <v>8.648215</v>
      </c>
      <c r="H548" t="n">
        <v>16.503249</v>
      </c>
      <c r="I548" t="n">
        <v>1.676684113723152</v>
      </c>
      <c r="J548" t="inlineStr">
        <is>
          <t>United Kingdom|CSUK.L|2021</t>
        </is>
      </c>
      <c r="K548" t="inlineStr">
        <is>
          <t>United Kingdom|2021</t>
        </is>
      </c>
      <c r="L548" t="inlineStr">
        <is>
          <t>GBp</t>
        </is>
      </c>
      <c r="M548" t="n">
        <v>16.31212723658053</v>
      </c>
      <c r="N548" t="n">
        <v>-1.277220514832489</v>
      </c>
      <c r="O548" t="n">
        <v>-1.102343119945948</v>
      </c>
      <c r="P548" t="n">
        <v>14.82656488627685</v>
      </c>
      <c r="Q548" t="n">
        <v>7.229785929884969</v>
      </c>
      <c r="R548" t="n">
        <v>7.084579056568518</v>
      </c>
      <c r="S548" t="n">
        <v>2.588</v>
      </c>
      <c r="T548" t="n">
        <v>4.679</v>
      </c>
      <c r="U548" t="n">
        <v>-2.091</v>
      </c>
      <c r="V548" t="n">
        <v>3144079000000</v>
      </c>
    </row>
    <row r="549">
      <c r="A549" t="inlineStr">
        <is>
          <t>United Kingdom</t>
        </is>
      </c>
      <c r="B549" t="inlineStr">
        <is>
          <t>GBR</t>
        </is>
      </c>
      <c r="C549" t="inlineStr">
        <is>
          <t>CSUK.L</t>
        </is>
      </c>
      <c r="D549" t="n">
        <v>2022</v>
      </c>
      <c r="E549" t="n">
        <v>5.392692146157074</v>
      </c>
      <c r="F549" t="n">
        <v>4.839</v>
      </c>
      <c r="G549" t="n">
        <v>10.546425</v>
      </c>
      <c r="H549" t="n">
        <v>-0.593974</v>
      </c>
      <c r="I549" t="n">
        <v>5.43900512448415</v>
      </c>
      <c r="J549" t="inlineStr">
        <is>
          <t>United Kingdom|CSUK.L|2022</t>
        </is>
      </c>
      <c r="K549" t="inlineStr">
        <is>
          <t>United Kingdom|2022</t>
        </is>
      </c>
      <c r="L549" t="inlineStr">
        <is>
          <t>GBp</t>
        </is>
      </c>
      <c r="M549" t="n">
        <v>5.392692146157074</v>
      </c>
      <c r="N549" t="n">
        <v>-10.84104698150823</v>
      </c>
      <c r="O549" t="n">
        <v>-10.36772851390696</v>
      </c>
      <c r="P549" t="n">
        <v>-6.03297912448415</v>
      </c>
      <c r="Q549" t="n">
        <v>-10.07757486930515</v>
      </c>
      <c r="R549" t="n">
        <v>4.497872181430296</v>
      </c>
      <c r="S549" t="n">
        <v>9.067</v>
      </c>
      <c r="T549" t="n">
        <v>7.993</v>
      </c>
      <c r="U549" t="n">
        <v>1.074</v>
      </c>
      <c r="V549" t="n">
        <v>3125404000000</v>
      </c>
    </row>
    <row r="550">
      <c r="A550" t="inlineStr">
        <is>
          <t>United Kingdom</t>
        </is>
      </c>
      <c r="B550" t="inlineStr">
        <is>
          <t>GBR</t>
        </is>
      </c>
      <c r="C550" t="inlineStr">
        <is>
          <t>CSUK.L</t>
        </is>
      </c>
      <c r="D550" t="n">
        <v>2023</v>
      </c>
      <c r="E550" t="n">
        <v>5.633026077365488</v>
      </c>
      <c r="F550" t="n">
        <v>0.397</v>
      </c>
      <c r="G550" t="n">
        <v>7.312973</v>
      </c>
      <c r="H550" t="n">
        <v>7.861832</v>
      </c>
      <c r="I550" t="n">
        <v>-3.119426601917077</v>
      </c>
      <c r="J550" t="inlineStr">
        <is>
          <t>United Kingdom|CSUK.L|2023</t>
        </is>
      </c>
      <c r="K550" t="inlineStr">
        <is>
          <t>United Kingdom|2023</t>
        </is>
      </c>
      <c r="L550" t="inlineStr">
        <is>
          <t>GBp</t>
        </is>
      </c>
      <c r="M550" t="n">
        <v>5.633026077365488</v>
      </c>
      <c r="N550" t="n">
        <v>5.06303068571996</v>
      </c>
      <c r="O550" t="n">
        <v>5.030130998783355</v>
      </c>
      <c r="P550" t="n">
        <v>10.98125860191708</v>
      </c>
      <c r="Q550" t="n">
        <v>0.5114558918467793</v>
      </c>
      <c r="R550" t="n">
        <v>10.41652677017841</v>
      </c>
      <c r="S550" t="n">
        <v>7.303</v>
      </c>
      <c r="T550" t="n">
        <v>4.128</v>
      </c>
      <c r="U550" t="n">
        <v>3.175</v>
      </c>
      <c r="V550" t="n">
        <v>3371118000000</v>
      </c>
    </row>
    <row r="551">
      <c r="A551" t="inlineStr">
        <is>
          <t>United Kingdom</t>
        </is>
      </c>
      <c r="B551" t="inlineStr">
        <is>
          <t>GBR</t>
        </is>
      </c>
      <c r="C551" t="inlineStr">
        <is>
          <t>CSUK.L</t>
        </is>
      </c>
      <c r="D551" t="n">
        <v>2024</v>
      </c>
      <c r="E551" t="n">
        <v>8.961349052380241</v>
      </c>
      <c r="F551" t="n">
        <v>1.101</v>
      </c>
      <c r="G551" t="n">
        <v>5.156564</v>
      </c>
      <c r="H551" t="n">
        <v>8.113569</v>
      </c>
      <c r="I551" t="n">
        <v>0.7006190377614425</v>
      </c>
      <c r="J551" t="inlineStr">
        <is>
          <t>United Kingdom|CSUK.L|2024</t>
        </is>
      </c>
      <c r="K551" t="inlineStr">
        <is>
          <t>United Kingdom|2024</t>
        </is>
      </c>
      <c r="L551" t="inlineStr">
        <is>
          <t>GBp</t>
        </is>
      </c>
      <c r="M551" t="n">
        <v>8.961349052380241</v>
      </c>
      <c r="N551" t="n">
        <v>-1.421053523664917</v>
      </c>
      <c r="O551" t="n">
        <v>-1.655539060617606</v>
      </c>
      <c r="P551" t="n">
        <v>7.412949962238558</v>
      </c>
      <c r="Q551" t="n">
        <v>2.812002352695675</v>
      </c>
      <c r="R551" t="n">
        <v>4.475107481867124</v>
      </c>
      <c r="S551" t="n">
        <v>2.53</v>
      </c>
      <c r="T551" t="n">
        <v>2.952</v>
      </c>
      <c r="U551" t="n">
        <v>-0.4220000000000002</v>
      </c>
      <c r="V551" t="n">
        <v>3644636000000</v>
      </c>
    </row>
    <row r="552">
      <c r="A552" t="inlineStr">
        <is>
          <t>United Kingdom</t>
        </is>
      </c>
      <c r="B552" t="inlineStr">
        <is>
          <t>GBR</t>
        </is>
      </c>
      <c r="C552" t="inlineStr">
        <is>
          <t>CSUK.L</t>
        </is>
      </c>
      <c r="D552" t="n">
        <v>2025</v>
      </c>
      <c r="E552" t="n">
        <v>23.79534380075798</v>
      </c>
      <c r="F552" t="n">
        <v>1.308</v>
      </c>
      <c r="G552" t="n">
        <v>4.886901</v>
      </c>
      <c r="H552" t="n">
        <v>8.619351999999999</v>
      </c>
      <c r="I552" t="n">
        <v>-24.54968802605603</v>
      </c>
      <c r="J552" t="inlineStr">
        <is>
          <t>United Kingdom|CSUK.L|2025</t>
        </is>
      </c>
      <c r="K552" t="inlineStr">
        <is>
          <t>United Kingdom|2025</t>
        </is>
      </c>
      <c r="L552" t="inlineStr">
        <is>
          <t>GBp</t>
        </is>
      </c>
      <c r="M552" t="n">
        <v>23.79534380075798</v>
      </c>
      <c r="N552" t="n">
        <v>7.571929555270285</v>
      </c>
      <c r="O552" t="n">
        <v>7.623377354227179</v>
      </c>
      <c r="P552" t="n">
        <v>33.16904002605603</v>
      </c>
      <c r="Q552" t="n">
        <v>3.558548457791244</v>
      </c>
      <c r="R552" t="n">
        <v>28.59299595178619</v>
      </c>
      <c r="S552" t="n">
        <v>3.402</v>
      </c>
      <c r="T552" t="n">
        <v>2.715</v>
      </c>
      <c r="U552" t="n">
        <v>0.6870000000000003</v>
      </c>
      <c r="V552" t="n">
        <v>3958780000000</v>
      </c>
    </row>
    <row r="553">
      <c r="A553" t="inlineStr">
        <is>
          <t>United Kingdom</t>
        </is>
      </c>
      <c r="B553" t="inlineStr">
        <is>
          <t>GBR</t>
        </is>
      </c>
      <c r="C553" t="inlineStr">
        <is>
          <t>CSUK.L</t>
        </is>
      </c>
      <c r="D553" t="n">
        <v>2026</v>
      </c>
      <c r="E553" t="n">
        <v>5.437968088570511</v>
      </c>
      <c r="F553" t="n">
        <v>1.264</v>
      </c>
      <c r="G553" t="n">
        <v>3.62701</v>
      </c>
      <c r="H553" t="n">
        <v>6.74094</v>
      </c>
      <c r="I553" t="n">
        <v>3.032452036311899</v>
      </c>
      <c r="J553" t="inlineStr">
        <is>
          <t>United Kingdom|CSUK.L|2026</t>
        </is>
      </c>
      <c r="K553" t="inlineStr">
        <is>
          <t>United Kingdom|2026</t>
        </is>
      </c>
      <c r="L553" t="inlineStr">
        <is>
          <t>GBp</t>
        </is>
      </c>
      <c r="M553" t="n">
        <v>5.437968088570511</v>
      </c>
      <c r="N553" t="n">
        <v>-1.640282107323621</v>
      </c>
      <c r="O553" t="inlineStr"/>
      <c r="P553" t="n">
        <v>3.708487963688101</v>
      </c>
      <c r="Q553" t="n">
        <v>3.004940479200879</v>
      </c>
      <c r="R553" t="n">
        <v>0.6830230484228927</v>
      </c>
      <c r="S553" t="n">
        <v>2.546</v>
      </c>
      <c r="T553" t="n">
        <v>2.435</v>
      </c>
      <c r="U553" t="n">
        <v>0.1109999999999998</v>
      </c>
      <c r="V553" t="n">
        <v>4225639000000</v>
      </c>
    </row>
    <row r="554">
      <c r="A554" t="inlineStr">
        <is>
          <t>United Kingdom</t>
        </is>
      </c>
      <c r="B554" t="inlineStr">
        <is>
          <t>GBR</t>
        </is>
      </c>
      <c r="C554" t="inlineStr">
        <is>
          <t>CSUK.L</t>
        </is>
      </c>
      <c r="D554" t="n">
        <v>2027</v>
      </c>
      <c r="E554" t="inlineStr"/>
      <c r="F554" t="n">
        <v>1.54</v>
      </c>
      <c r="G554" t="n">
        <v>3.68662</v>
      </c>
      <c r="H554" t="n">
        <v>5.117143</v>
      </c>
      <c r="I554" t="inlineStr"/>
      <c r="J554" t="inlineStr">
        <is>
          <t>United Kingdom|CSUK.L|2027</t>
        </is>
      </c>
      <c r="K554" t="inlineStr">
        <is>
          <t>United Kingdom|2027</t>
        </is>
      </c>
      <c r="L554" t="inlineStr">
        <is>
          <t>GBp</t>
        </is>
      </c>
      <c r="M554" t="inlineStr"/>
      <c r="N554" t="inlineStr"/>
      <c r="O554" t="inlineStr"/>
      <c r="P554" t="inlineStr"/>
      <c r="Q554" t="n">
        <v>1.3796599258461</v>
      </c>
      <c r="R554" t="inlineStr"/>
      <c r="S554" t="n">
        <v>2</v>
      </c>
      <c r="T554" t="n">
        <v>2.185</v>
      </c>
      <c r="U554" t="n">
        <v>-0.1850000000000001</v>
      </c>
      <c r="V554" t="n">
        <v>4441871000000</v>
      </c>
    </row>
    <row r="555">
      <c r="A555" t="inlineStr">
        <is>
          <t>United Kingdom</t>
        </is>
      </c>
      <c r="B555" t="inlineStr">
        <is>
          <t>GBR</t>
        </is>
      </c>
      <c r="C555" t="inlineStr">
        <is>
          <t>CSUK.L</t>
        </is>
      </c>
      <c r="D555" t="n">
        <v>2028</v>
      </c>
      <c r="E555" t="inlineStr"/>
      <c r="F555" t="n">
        <v>1.439</v>
      </c>
      <c r="G555" t="n">
        <v>3.540633</v>
      </c>
      <c r="H555" t="n">
        <v>5.211498</v>
      </c>
      <c r="I555" t="inlineStr"/>
      <c r="J555" t="inlineStr">
        <is>
          <t>United Kingdom|CSUK.L|2028</t>
        </is>
      </c>
      <c r="K555" t="inlineStr">
        <is>
          <t>United Kingdom|2028</t>
        </is>
      </c>
      <c r="L555" t="inlineStr">
        <is>
          <t>GBp</t>
        </is>
      </c>
      <c r="M555" t="inlineStr"/>
      <c r="N555" t="inlineStr"/>
      <c r="O555" t="inlineStr"/>
      <c r="P555" t="inlineStr"/>
      <c r="Q555" t="n">
        <v>1.613728343961585</v>
      </c>
      <c r="R555" t="inlineStr"/>
      <c r="S555" t="n">
        <v>2</v>
      </c>
      <c r="T555" t="n">
        <v>2.206</v>
      </c>
      <c r="U555" t="n">
        <v>-0.206</v>
      </c>
      <c r="V555" t="n">
        <v>4673359000000</v>
      </c>
    </row>
    <row r="556">
      <c r="A556" t="inlineStr">
        <is>
          <t>United Kingdom</t>
        </is>
      </c>
      <c r="B556" t="inlineStr">
        <is>
          <t>GBR</t>
        </is>
      </c>
      <c r="C556" t="inlineStr">
        <is>
          <t>CSUK.L</t>
        </is>
      </c>
      <c r="D556" t="n">
        <v>2029</v>
      </c>
      <c r="E556" t="inlineStr"/>
      <c r="F556" t="n">
        <v>1.432</v>
      </c>
      <c r="G556" t="n">
        <v>3.653419</v>
      </c>
      <c r="H556" t="n">
        <v>5.462345</v>
      </c>
      <c r="I556" t="inlineStr"/>
      <c r="J556" t="inlineStr">
        <is>
          <t>United Kingdom|CSUK.L|2029</t>
        </is>
      </c>
      <c r="K556" t="inlineStr">
        <is>
          <t>United Kingdom|2029</t>
        </is>
      </c>
      <c r="L556" t="inlineStr">
        <is>
          <t>GBp</t>
        </is>
      </c>
      <c r="M556" t="inlineStr"/>
      <c r="N556" t="inlineStr"/>
      <c r="O556" t="inlineStr"/>
      <c r="P556" t="inlineStr"/>
      <c r="Q556" t="n">
        <v>1.745167688599203</v>
      </c>
      <c r="R556" t="inlineStr"/>
      <c r="S556" t="n">
        <v>2</v>
      </c>
      <c r="T556" t="n">
        <v>2.203</v>
      </c>
      <c r="U556" t="n">
        <v>-0.2029999999999998</v>
      </c>
      <c r="V556" t="n">
        <v>4928634000000</v>
      </c>
    </row>
    <row r="557">
      <c r="A557" t="inlineStr">
        <is>
          <t>United Kingdom</t>
        </is>
      </c>
      <c r="B557" t="inlineStr">
        <is>
          <t>GBR</t>
        </is>
      </c>
      <c r="C557" t="inlineStr">
        <is>
          <t>CUKX.L</t>
        </is>
      </c>
      <c r="D557" t="n">
        <v>2015</v>
      </c>
      <c r="E557" t="n">
        <v>-1.165381319622971</v>
      </c>
      <c r="F557" t="n">
        <v>2.223</v>
      </c>
      <c r="G557" t="inlineStr"/>
      <c r="H557" t="inlineStr"/>
      <c r="I557" t="inlineStr"/>
      <c r="J557" t="inlineStr">
        <is>
          <t>United Kingdom|CUKX.L|2015</t>
        </is>
      </c>
      <c r="K557" t="inlineStr">
        <is>
          <t>United Kingdom|2015</t>
        </is>
      </c>
      <c r="L557" t="inlineStr">
        <is>
          <t>GBp</t>
        </is>
      </c>
      <c r="M557" t="n">
        <v>-1.165381319622971</v>
      </c>
      <c r="N557" t="n">
        <v>-4.888855870697362</v>
      </c>
      <c r="O557" t="n">
        <v>-5.407515212426162</v>
      </c>
      <c r="P557" t="n">
        <v>-5.997263377259932</v>
      </c>
      <c r="Q557" t="inlineStr"/>
      <c r="R557" t="inlineStr"/>
      <c r="S557" t="n">
        <v>0.04</v>
      </c>
      <c r="T557" t="n">
        <v>0.121</v>
      </c>
      <c r="U557" t="n">
        <v>-0.08099999999999999</v>
      </c>
      <c r="V557" t="n">
        <v>2928558000000</v>
      </c>
    </row>
    <row r="558">
      <c r="A558" t="inlineStr">
        <is>
          <t>United Kingdom</t>
        </is>
      </c>
      <c r="B558" t="inlineStr">
        <is>
          <t>GBR</t>
        </is>
      </c>
      <c r="C558" t="inlineStr">
        <is>
          <t>CUKX.L</t>
        </is>
      </c>
      <c r="D558" t="n">
        <v>2016</v>
      </c>
      <c r="E558" t="n">
        <v>22.1086413883276</v>
      </c>
      <c r="F558" t="n">
        <v>1.922</v>
      </c>
      <c r="G558" t="n">
        <v>3.923607</v>
      </c>
      <c r="H558" t="n">
        <v>-7.835665</v>
      </c>
      <c r="I558" t="n">
        <v>-9.642879483187901</v>
      </c>
      <c r="J558" t="inlineStr">
        <is>
          <t>United Kingdom|CUKX.L|2016</t>
        </is>
      </c>
      <c r="K558" t="inlineStr">
        <is>
          <t>United Kingdom|2016</t>
        </is>
      </c>
      <c r="L558" t="inlineStr">
        <is>
          <t>GBp</t>
        </is>
      </c>
      <c r="M558" t="n">
        <v>22.1086413883276</v>
      </c>
      <c r="N558" t="n">
        <v>-16.62570861023462</v>
      </c>
      <c r="O558" t="n">
        <v>-16.21181156312136</v>
      </c>
      <c r="P558" t="n">
        <v>1.807214483187902</v>
      </c>
      <c r="Q558" t="n">
        <v>-11.31530388385849</v>
      </c>
      <c r="R558" t="n">
        <v>14.79682396369846</v>
      </c>
      <c r="S558" t="n">
        <v>0.66</v>
      </c>
      <c r="T558" t="n">
        <v>1.267</v>
      </c>
      <c r="U558" t="n">
        <v>-0.6069999999999999</v>
      </c>
      <c r="V558" t="n">
        <v>2699086000000</v>
      </c>
    </row>
    <row r="559">
      <c r="A559" t="inlineStr">
        <is>
          <t>United Kingdom</t>
        </is>
      </c>
      <c r="B559" t="inlineStr">
        <is>
          <t>GBR</t>
        </is>
      </c>
      <c r="C559" t="inlineStr">
        <is>
          <t>CUKX.L</t>
        </is>
      </c>
      <c r="D559" t="n">
        <v>2017</v>
      </c>
      <c r="E559" t="n">
        <v>11.49447473821359</v>
      </c>
      <c r="F559" t="n">
        <v>2.657</v>
      </c>
      <c r="G559" t="n">
        <v>4.560903</v>
      </c>
      <c r="H559" t="n">
        <v>-0.618802</v>
      </c>
      <c r="I559" t="n">
        <v>-21.97093592818169</v>
      </c>
      <c r="J559" t="inlineStr">
        <is>
          <t>United Kingdom|CUKX.L|2017</t>
        </is>
      </c>
      <c r="K559" t="inlineStr">
        <is>
          <t>United Kingdom|2017</t>
        </is>
      </c>
      <c r="L559" t="inlineStr">
        <is>
          <t>GBp</t>
        </is>
      </c>
      <c r="M559" t="n">
        <v>11.49447473821359</v>
      </c>
      <c r="N559" t="n">
        <v>8.841388071573641</v>
      </c>
      <c r="O559" t="n">
        <v>9.450435944365921</v>
      </c>
      <c r="P559" t="n">
        <v>21.35213392818169</v>
      </c>
      <c r="Q559" t="n">
        <v>-4.953768650015422</v>
      </c>
      <c r="R559" t="n">
        <v>27.67695489296367</v>
      </c>
      <c r="S559" t="n">
        <v>2.683</v>
      </c>
      <c r="T559" t="n">
        <v>2.131</v>
      </c>
      <c r="U559" t="n">
        <v>0.552</v>
      </c>
      <c r="V559" t="n">
        <v>2682384000000</v>
      </c>
    </row>
    <row r="560">
      <c r="A560" t="inlineStr">
        <is>
          <t>United Kingdom</t>
        </is>
      </c>
      <c r="B560" t="inlineStr">
        <is>
          <t>GBR</t>
        </is>
      </c>
      <c r="C560" t="inlineStr">
        <is>
          <t>CUKX.L</t>
        </is>
      </c>
      <c r="D560" t="n">
        <v>2018</v>
      </c>
      <c r="E560" t="n">
        <v>-8.379839553540302</v>
      </c>
      <c r="F560" t="n">
        <v>1.405</v>
      </c>
      <c r="G560" t="n">
        <v>3.352826</v>
      </c>
      <c r="H560" t="n">
        <v>7.181671</v>
      </c>
      <c r="I560" t="n">
        <v>21.13687604781072</v>
      </c>
      <c r="J560" t="inlineStr">
        <is>
          <t>United Kingdom|CUKX.L|2018</t>
        </is>
      </c>
      <c r="K560" t="inlineStr">
        <is>
          <t>United Kingdom|2018</t>
        </is>
      </c>
      <c r="L560" t="inlineStr">
        <is>
          <t>GBp</t>
        </is>
      </c>
      <c r="M560" t="n">
        <v>-8.379839553540302</v>
      </c>
      <c r="N560" t="n">
        <v>-6.085304224640065</v>
      </c>
      <c r="O560" t="n">
        <v>-5.756316180609423</v>
      </c>
      <c r="P560" t="n">
        <v>-13.95520504781071</v>
      </c>
      <c r="Q560" t="n">
        <v>3.704635156519487</v>
      </c>
      <c r="R560" t="n">
        <v>-17.0289786735921</v>
      </c>
      <c r="S560" t="n">
        <v>2.478</v>
      </c>
      <c r="T560" t="n">
        <v>2.439</v>
      </c>
      <c r="U560" t="n">
        <v>0.03900000000000015</v>
      </c>
      <c r="V560" t="n">
        <v>2875024000000</v>
      </c>
    </row>
    <row r="561">
      <c r="A561" t="inlineStr">
        <is>
          <t>United Kingdom</t>
        </is>
      </c>
      <c r="B561" t="inlineStr">
        <is>
          <t>GBR</t>
        </is>
      </c>
      <c r="C561" t="inlineStr">
        <is>
          <t>CUKX.L</t>
        </is>
      </c>
      <c r="D561" t="n">
        <v>2019</v>
      </c>
      <c r="E561" t="n">
        <v>17.23776889396536</v>
      </c>
      <c r="F561" t="n">
        <v>1.624</v>
      </c>
      <c r="G561" t="n">
        <v>3.792076</v>
      </c>
      <c r="H561" t="n">
        <v>-0.763472</v>
      </c>
      <c r="I561" t="n">
        <v>-21.45256171140724</v>
      </c>
      <c r="J561" t="inlineStr">
        <is>
          <t>United Kingdom|CUKX.L|2019</t>
        </is>
      </c>
      <c r="K561" t="inlineStr">
        <is>
          <t>United Kingdom|2019</t>
        </is>
      </c>
      <c r="L561" t="inlineStr">
        <is>
          <t>GBp</t>
        </is>
      </c>
      <c r="M561" t="n">
        <v>17.23776889396536</v>
      </c>
      <c r="N561" t="n">
        <v>2.94386429390634</v>
      </c>
      <c r="O561" t="n">
        <v>4.118031584084703</v>
      </c>
      <c r="P561" t="n">
        <v>20.68908971140724</v>
      </c>
      <c r="Q561" t="n">
        <v>-4.389109372013511</v>
      </c>
      <c r="R561" t="n">
        <v>26.22943779594922</v>
      </c>
      <c r="S561" t="n">
        <v>1.791</v>
      </c>
      <c r="T561" t="n">
        <v>1.813</v>
      </c>
      <c r="U561" t="n">
        <v>-0.02200000000000002</v>
      </c>
      <c r="V561" t="n">
        <v>2853074000000</v>
      </c>
    </row>
    <row r="562">
      <c r="A562" t="inlineStr">
        <is>
          <t>United Kingdom</t>
        </is>
      </c>
      <c r="B562" t="inlineStr">
        <is>
          <t>GBR</t>
        </is>
      </c>
      <c r="C562" t="inlineStr">
        <is>
          <t>CUKX.L</t>
        </is>
      </c>
      <c r="D562" t="n">
        <v>2020</v>
      </c>
      <c r="E562" t="n">
        <v>-12.13315108145051</v>
      </c>
      <c r="F562" t="n">
        <v>-10.297</v>
      </c>
      <c r="G562" t="n">
        <v>-5.838837</v>
      </c>
      <c r="H562" t="n">
        <v>-5.41062</v>
      </c>
      <c r="I562" t="n">
        <v>4.284051729243265</v>
      </c>
      <c r="J562" t="inlineStr">
        <is>
          <t>United Kingdom|CUKX.L|2020</t>
        </is>
      </c>
      <c r="K562" t="inlineStr">
        <is>
          <t>United Kingdom|2020</t>
        </is>
      </c>
      <c r="L562" t="inlineStr">
        <is>
          <t>GBp</t>
        </is>
      </c>
      <c r="M562" t="n">
        <v>-12.13315108145051</v>
      </c>
      <c r="N562" t="n">
        <v>2.775198362317122</v>
      </c>
      <c r="O562" t="n">
        <v>3.094474617937659</v>
      </c>
      <c r="P562" t="n">
        <v>-9.694671729243264</v>
      </c>
      <c r="Q562" t="n">
        <v>0.4547697339148282</v>
      </c>
      <c r="R562" t="n">
        <v>-10.10349383114609</v>
      </c>
      <c r="S562" t="n">
        <v>0.851</v>
      </c>
      <c r="T562" t="n">
        <v>1.253</v>
      </c>
      <c r="U562" t="n">
        <v>-0.4019999999999999</v>
      </c>
      <c r="V562" t="n">
        <v>2698705000000</v>
      </c>
    </row>
    <row r="563">
      <c r="A563" t="inlineStr">
        <is>
          <t>United Kingdom</t>
        </is>
      </c>
      <c r="B563" t="inlineStr">
        <is>
          <t>GBR</t>
        </is>
      </c>
      <c r="C563" t="inlineStr">
        <is>
          <t>CUKX.L</t>
        </is>
      </c>
      <c r="D563" t="n">
        <v>2021</v>
      </c>
      <c r="E563" t="n">
        <v>15.65765765765765</v>
      </c>
      <c r="F563" t="n">
        <v>8.576000000000001</v>
      </c>
      <c r="G563" t="n">
        <v>8.648215</v>
      </c>
      <c r="H563" t="n">
        <v>16.503249</v>
      </c>
      <c r="I563" t="n">
        <v>2.322794672920672</v>
      </c>
      <c r="J563" t="inlineStr">
        <is>
          <t>United Kingdom|CUKX.L|2021</t>
        </is>
      </c>
      <c r="K563" t="inlineStr">
        <is>
          <t>United Kingdom|2021</t>
        </is>
      </c>
      <c r="L563" t="inlineStr">
        <is>
          <t>GBp</t>
        </is>
      </c>
      <c r="M563" t="n">
        <v>15.65765765765765</v>
      </c>
      <c r="N563" t="n">
        <v>-1.277220514832489</v>
      </c>
      <c r="O563" t="n">
        <v>-1.102343119945948</v>
      </c>
      <c r="P563" t="n">
        <v>14.18045432707933</v>
      </c>
      <c r="Q563" t="n">
        <v>7.229785929884969</v>
      </c>
      <c r="R563" t="n">
        <v>6.482031402859678</v>
      </c>
      <c r="S563" t="n">
        <v>2.588</v>
      </c>
      <c r="T563" t="n">
        <v>4.679</v>
      </c>
      <c r="U563" t="n">
        <v>-2.091</v>
      </c>
      <c r="V563" t="n">
        <v>3144079000000</v>
      </c>
    </row>
    <row r="564">
      <c r="A564" t="inlineStr">
        <is>
          <t>United Kingdom</t>
        </is>
      </c>
      <c r="B564" t="inlineStr">
        <is>
          <t>GBR</t>
        </is>
      </c>
      <c r="C564" t="inlineStr">
        <is>
          <t>CUKX.L</t>
        </is>
      </c>
      <c r="D564" t="n">
        <v>2022</v>
      </c>
      <c r="E564" t="n">
        <v>3.343558282208581</v>
      </c>
      <c r="F564" t="n">
        <v>4.839</v>
      </c>
      <c r="G564" t="n">
        <v>10.546425</v>
      </c>
      <c r="H564" t="n">
        <v>-0.593974</v>
      </c>
      <c r="I564" t="n">
        <v>7.265991423527992</v>
      </c>
      <c r="J564" t="inlineStr">
        <is>
          <t>United Kingdom|CUKX.L|2022</t>
        </is>
      </c>
      <c r="K564" t="inlineStr">
        <is>
          <t>United Kingdom|2022</t>
        </is>
      </c>
      <c r="L564" t="inlineStr">
        <is>
          <t>GBp</t>
        </is>
      </c>
      <c r="M564" t="n">
        <v>3.343558282208581</v>
      </c>
      <c r="N564" t="n">
        <v>-10.84104698150823</v>
      </c>
      <c r="O564" t="n">
        <v>-10.36772851390696</v>
      </c>
      <c r="P564" t="n">
        <v>-7.859965423527992</v>
      </c>
      <c r="Q564" t="n">
        <v>-10.07757486930515</v>
      </c>
      <c r="R564" t="n">
        <v>2.466136164092592</v>
      </c>
      <c r="S564" t="n">
        <v>9.067</v>
      </c>
      <c r="T564" t="n">
        <v>7.993</v>
      </c>
      <c r="U564" t="n">
        <v>1.074</v>
      </c>
      <c r="V564" t="n">
        <v>3125404000000</v>
      </c>
    </row>
    <row r="565">
      <c r="A565" t="inlineStr">
        <is>
          <t>United Kingdom</t>
        </is>
      </c>
      <c r="B565" t="inlineStr">
        <is>
          <t>GBR</t>
        </is>
      </c>
      <c r="C565" t="inlineStr">
        <is>
          <t>CUKX.L</t>
        </is>
      </c>
      <c r="D565" t="n">
        <v>2023</v>
      </c>
      <c r="E565" t="n">
        <v>6.578560939794431</v>
      </c>
      <c r="F565" t="n">
        <v>0.397</v>
      </c>
      <c r="G565" t="n">
        <v>7.312973</v>
      </c>
      <c r="H565" t="n">
        <v>7.861832</v>
      </c>
      <c r="I565" t="n">
        <v>-4.112834184574968</v>
      </c>
      <c r="J565" t="inlineStr">
        <is>
          <t>United Kingdom|CUKX.L|2023</t>
        </is>
      </c>
      <c r="K565" t="inlineStr">
        <is>
          <t>United Kingdom|2023</t>
        </is>
      </c>
      <c r="L565" t="inlineStr">
        <is>
          <t>GBp</t>
        </is>
      </c>
      <c r="M565" t="n">
        <v>6.578560939794431</v>
      </c>
      <c r="N565" t="n">
        <v>5.06303068571996</v>
      </c>
      <c r="O565" t="n">
        <v>5.030130998783355</v>
      </c>
      <c r="P565" t="n">
        <v>11.97466618457497</v>
      </c>
      <c r="Q565" t="n">
        <v>0.5114558918467793</v>
      </c>
      <c r="R565" t="n">
        <v>11.40487936525656</v>
      </c>
      <c r="S565" t="n">
        <v>7.303</v>
      </c>
      <c r="T565" t="n">
        <v>4.128</v>
      </c>
      <c r="U565" t="n">
        <v>3.175</v>
      </c>
      <c r="V565" t="n">
        <v>3371118000000</v>
      </c>
    </row>
    <row r="566">
      <c r="A566" t="inlineStr">
        <is>
          <t>United Kingdom</t>
        </is>
      </c>
      <c r="B566" t="inlineStr">
        <is>
          <t>GBR</t>
        </is>
      </c>
      <c r="C566" t="inlineStr">
        <is>
          <t>CUKX.L</t>
        </is>
      </c>
      <c r="D566" t="n">
        <v>2024</v>
      </c>
      <c r="E566" t="n">
        <v>9.390512961941532</v>
      </c>
      <c r="F566" t="n">
        <v>1.101</v>
      </c>
      <c r="G566" t="n">
        <v>5.156564</v>
      </c>
      <c r="H566" t="n">
        <v>8.113569</v>
      </c>
      <c r="I566" t="n">
        <v>0.2775537770592713</v>
      </c>
      <c r="J566" t="inlineStr">
        <is>
          <t>United Kingdom|CUKX.L|2024</t>
        </is>
      </c>
      <c r="K566" t="inlineStr">
        <is>
          <t>United Kingdom|2024</t>
        </is>
      </c>
      <c r="L566" t="inlineStr">
        <is>
          <t>GBp</t>
        </is>
      </c>
      <c r="M566" t="n">
        <v>9.390512961941532</v>
      </c>
      <c r="N566" t="n">
        <v>-1.421053523664917</v>
      </c>
      <c r="O566" t="n">
        <v>-1.655539060617606</v>
      </c>
      <c r="P566" t="n">
        <v>7.836015222940729</v>
      </c>
      <c r="Q566" t="n">
        <v>2.812002352695675</v>
      </c>
      <c r="R566" t="n">
        <v>4.886601520521139</v>
      </c>
      <c r="S566" t="n">
        <v>2.53</v>
      </c>
      <c r="T566" t="n">
        <v>2.952</v>
      </c>
      <c r="U566" t="n">
        <v>-0.4220000000000002</v>
      </c>
      <c r="V566" t="n">
        <v>3644636000000</v>
      </c>
    </row>
    <row r="567">
      <c r="A567" t="inlineStr">
        <is>
          <t>United Kingdom</t>
        </is>
      </c>
      <c r="B567" t="inlineStr">
        <is>
          <t>GBR</t>
        </is>
      </c>
      <c r="C567" t="inlineStr">
        <is>
          <t>CUKX.L</t>
        </is>
      </c>
      <c r="D567" t="n">
        <v>2025</v>
      </c>
      <c r="E567" t="n">
        <v>24.46052139204191</v>
      </c>
      <c r="F567" t="n">
        <v>1.308</v>
      </c>
      <c r="G567" t="n">
        <v>4.886901</v>
      </c>
      <c r="H567" t="n">
        <v>8.619351999999999</v>
      </c>
      <c r="I567" t="n">
        <v>-25.26523239596942</v>
      </c>
      <c r="J567" t="inlineStr">
        <is>
          <t>United Kingdom|CUKX.L|2025</t>
        </is>
      </c>
      <c r="K567" t="inlineStr">
        <is>
          <t>United Kingdom|2025</t>
        </is>
      </c>
      <c r="L567" t="inlineStr">
        <is>
          <t>GBp</t>
        </is>
      </c>
      <c r="M567" t="n">
        <v>24.46052139204191</v>
      </c>
      <c r="N567" t="n">
        <v>7.571929555270285</v>
      </c>
      <c r="O567" t="n">
        <v>7.623377354227179</v>
      </c>
      <c r="P567" t="n">
        <v>33.88458439596942</v>
      </c>
      <c r="Q567" t="n">
        <v>3.558548457791244</v>
      </c>
      <c r="R567" t="n">
        <v>29.28395230504661</v>
      </c>
      <c r="S567" t="n">
        <v>3.402</v>
      </c>
      <c r="T567" t="n">
        <v>2.715</v>
      </c>
      <c r="U567" t="n">
        <v>0.6870000000000003</v>
      </c>
      <c r="V567" t="n">
        <v>3958780000000</v>
      </c>
    </row>
    <row r="568">
      <c r="A568" t="inlineStr">
        <is>
          <t>United Kingdom</t>
        </is>
      </c>
      <c r="B568" t="inlineStr">
        <is>
          <t>GBR</t>
        </is>
      </c>
      <c r="C568" t="inlineStr">
        <is>
          <t>CUKX.L</t>
        </is>
      </c>
      <c r="D568" t="n">
        <v>2026</v>
      </c>
      <c r="E568" t="n">
        <v>4.88656195462478</v>
      </c>
      <c r="F568" t="n">
        <v>1.264</v>
      </c>
      <c r="G568" t="n">
        <v>3.62701</v>
      </c>
      <c r="H568" t="n">
        <v>6.74094</v>
      </c>
      <c r="I568" t="n">
        <v>3.574813554103844</v>
      </c>
      <c r="J568" t="inlineStr">
        <is>
          <t>United Kingdom|CUKX.L|2026</t>
        </is>
      </c>
      <c r="K568" t="inlineStr">
        <is>
          <t>United Kingdom|2026</t>
        </is>
      </c>
      <c r="L568" t="inlineStr">
        <is>
          <t>GBp</t>
        </is>
      </c>
      <c r="M568" t="n">
        <v>4.88656195462478</v>
      </c>
      <c r="N568" t="n">
        <v>-1.640282107323621</v>
      </c>
      <c r="O568" t="inlineStr"/>
      <c r="P568" t="n">
        <v>3.166126445896156</v>
      </c>
      <c r="Q568" t="n">
        <v>3.004940479200879</v>
      </c>
      <c r="R568" t="n">
        <v>0.1564837239314887</v>
      </c>
      <c r="S568" t="n">
        <v>2.546</v>
      </c>
      <c r="T568" t="n">
        <v>2.435</v>
      </c>
      <c r="U568" t="n">
        <v>0.1109999999999998</v>
      </c>
      <c r="V568" t="n">
        <v>4225639000000</v>
      </c>
    </row>
    <row r="569">
      <c r="A569" t="inlineStr">
        <is>
          <t>United Kingdom</t>
        </is>
      </c>
      <c r="B569" t="inlineStr">
        <is>
          <t>GBR</t>
        </is>
      </c>
      <c r="C569" t="inlineStr">
        <is>
          <t>CUKX.L</t>
        </is>
      </c>
      <c r="D569" t="n">
        <v>2027</v>
      </c>
      <c r="E569" t="inlineStr"/>
      <c r="F569" t="n">
        <v>1.54</v>
      </c>
      <c r="G569" t="n">
        <v>3.68662</v>
      </c>
      <c r="H569" t="n">
        <v>5.117143</v>
      </c>
      <c r="I569" t="inlineStr"/>
      <c r="J569" t="inlineStr">
        <is>
          <t>United Kingdom|CUKX.L|2027</t>
        </is>
      </c>
      <c r="K569" t="inlineStr">
        <is>
          <t>United Kingdom|2027</t>
        </is>
      </c>
      <c r="L569" t="inlineStr">
        <is>
          <t>GBp</t>
        </is>
      </c>
      <c r="M569" t="inlineStr"/>
      <c r="N569" t="inlineStr"/>
      <c r="O569" t="inlineStr"/>
      <c r="P569" t="inlineStr"/>
      <c r="Q569" t="n">
        <v>1.3796599258461</v>
      </c>
      <c r="R569" t="inlineStr"/>
      <c r="S569" t="n">
        <v>2</v>
      </c>
      <c r="T569" t="n">
        <v>2.185</v>
      </c>
      <c r="U569" t="n">
        <v>-0.1850000000000001</v>
      </c>
      <c r="V569" t="n">
        <v>4441871000000</v>
      </c>
    </row>
    <row r="570">
      <c r="A570" t="inlineStr">
        <is>
          <t>United Kingdom</t>
        </is>
      </c>
      <c r="B570" t="inlineStr">
        <is>
          <t>GBR</t>
        </is>
      </c>
      <c r="C570" t="inlineStr">
        <is>
          <t>CUKX.L</t>
        </is>
      </c>
      <c r="D570" t="n">
        <v>2028</v>
      </c>
      <c r="E570" t="inlineStr"/>
      <c r="F570" t="n">
        <v>1.439</v>
      </c>
      <c r="G570" t="n">
        <v>3.540633</v>
      </c>
      <c r="H570" t="n">
        <v>5.211498</v>
      </c>
      <c r="I570" t="inlineStr"/>
      <c r="J570" t="inlineStr">
        <is>
          <t>United Kingdom|CUKX.L|2028</t>
        </is>
      </c>
      <c r="K570" t="inlineStr">
        <is>
          <t>United Kingdom|2028</t>
        </is>
      </c>
      <c r="L570" t="inlineStr">
        <is>
          <t>GBp</t>
        </is>
      </c>
      <c r="M570" t="inlineStr"/>
      <c r="N570" t="inlineStr"/>
      <c r="O570" t="inlineStr"/>
      <c r="P570" t="inlineStr"/>
      <c r="Q570" t="n">
        <v>1.613728343961585</v>
      </c>
      <c r="R570" t="inlineStr"/>
      <c r="S570" t="n">
        <v>2</v>
      </c>
      <c r="T570" t="n">
        <v>2.206</v>
      </c>
      <c r="U570" t="n">
        <v>-0.206</v>
      </c>
      <c r="V570" t="n">
        <v>4673359000000</v>
      </c>
    </row>
    <row r="571">
      <c r="A571" t="inlineStr">
        <is>
          <t>United Kingdom</t>
        </is>
      </c>
      <c r="B571" t="inlineStr">
        <is>
          <t>GBR</t>
        </is>
      </c>
      <c r="C571" t="inlineStr">
        <is>
          <t>CUKX.L</t>
        </is>
      </c>
      <c r="D571" t="n">
        <v>2029</v>
      </c>
      <c r="E571" t="inlineStr"/>
      <c r="F571" t="n">
        <v>1.432</v>
      </c>
      <c r="G571" t="n">
        <v>3.653419</v>
      </c>
      <c r="H571" t="n">
        <v>5.462345</v>
      </c>
      <c r="I571" t="inlineStr"/>
      <c r="J571" t="inlineStr">
        <is>
          <t>United Kingdom|CUKX.L|2029</t>
        </is>
      </c>
      <c r="K571" t="inlineStr">
        <is>
          <t>United Kingdom|2029</t>
        </is>
      </c>
      <c r="L571" t="inlineStr">
        <is>
          <t>GBp</t>
        </is>
      </c>
      <c r="M571" t="inlineStr"/>
      <c r="N571" t="inlineStr"/>
      <c r="O571" t="inlineStr"/>
      <c r="P571" t="inlineStr"/>
      <c r="Q571" t="n">
        <v>1.745167688599203</v>
      </c>
      <c r="R571" t="inlineStr"/>
      <c r="S571" t="n">
        <v>2</v>
      </c>
      <c r="T571" t="n">
        <v>2.203</v>
      </c>
      <c r="U571" t="n">
        <v>-0.2029999999999998</v>
      </c>
      <c r="V571" t="n">
        <v>4928634000000</v>
      </c>
    </row>
    <row r="572">
      <c r="A572" t="inlineStr">
        <is>
          <t>United States</t>
        </is>
      </c>
      <c r="B572" t="inlineStr">
        <is>
          <t>USA</t>
        </is>
      </c>
      <c r="C572" t="inlineStr">
        <is>
          <t>CSPX.L</t>
        </is>
      </c>
      <c r="D572" t="n">
        <v>2015</v>
      </c>
      <c r="E572" t="n">
        <v>2.070451140200924</v>
      </c>
      <c r="F572" t="n">
        <v>2.946</v>
      </c>
      <c r="G572" t="inlineStr"/>
      <c r="H572" t="inlineStr"/>
      <c r="I572" t="inlineStr"/>
      <c r="J572" t="inlineStr">
        <is>
          <t>United States|CSPX.L|2015</t>
        </is>
      </c>
      <c r="K572" t="inlineStr">
        <is>
          <t>United States|2015</t>
        </is>
      </c>
      <c r="L572" t="inlineStr">
        <is>
          <t>USD</t>
        </is>
      </c>
      <c r="M572" t="n">
        <v>2.070451140200924</v>
      </c>
      <c r="N572" t="n">
        <v>0</v>
      </c>
      <c r="O572" t="n">
        <v>0</v>
      </c>
      <c r="P572" t="n">
        <v>2.070451140200924</v>
      </c>
      <c r="Q572" t="inlineStr"/>
      <c r="R572" t="inlineStr"/>
      <c r="S572" t="n">
        <v>0.121</v>
      </c>
      <c r="T572" t="n">
        <v>0.121</v>
      </c>
      <c r="U572" t="n">
        <v>0</v>
      </c>
      <c r="V572" t="n">
        <v>18295000000000</v>
      </c>
    </row>
    <row r="573">
      <c r="A573" t="inlineStr">
        <is>
          <t>United States</t>
        </is>
      </c>
      <c r="B573" t="inlineStr">
        <is>
          <t>USA</t>
        </is>
      </c>
      <c r="C573" t="inlineStr">
        <is>
          <t>CSPX.L</t>
        </is>
      </c>
      <c r="D573" t="n">
        <v>2016</v>
      </c>
      <c r="E573" t="n">
        <v>15.09546206966357</v>
      </c>
      <c r="F573" t="n">
        <v>1.82</v>
      </c>
      <c r="G573" t="n">
        <v>2.7871</v>
      </c>
      <c r="H573" t="n">
        <v>2.7871</v>
      </c>
      <c r="I573" t="n">
        <v>-12.30836206966357</v>
      </c>
      <c r="J573" t="inlineStr">
        <is>
          <t>United States|CSPX.L|2016</t>
        </is>
      </c>
      <c r="K573" t="inlineStr">
        <is>
          <t>United States|2016</t>
        </is>
      </c>
      <c r="L573" t="inlineStr">
        <is>
          <t>USD</t>
        </is>
      </c>
      <c r="M573" t="n">
        <v>15.09546206966357</v>
      </c>
      <c r="N573" t="n">
        <v>0</v>
      </c>
      <c r="O573" t="n">
        <v>0</v>
      </c>
      <c r="P573" t="n">
        <v>15.09546206966357</v>
      </c>
      <c r="Q573" t="n">
        <v>0</v>
      </c>
      <c r="R573" t="n">
        <v>15.09546206966357</v>
      </c>
      <c r="S573" t="n">
        <v>1.267</v>
      </c>
      <c r="T573" t="n">
        <v>1.267</v>
      </c>
      <c r="U573" t="n">
        <v>0</v>
      </c>
      <c r="V573" t="n">
        <v>18804900000000</v>
      </c>
    </row>
    <row r="574">
      <c r="A574" t="inlineStr">
        <is>
          <t>United States</t>
        </is>
      </c>
      <c r="B574" t="inlineStr">
        <is>
          <t>USA</t>
        </is>
      </c>
      <c r="C574" t="inlineStr">
        <is>
          <t>CSPX.L</t>
        </is>
      </c>
      <c r="D574" t="n">
        <v>2017</v>
      </c>
      <c r="E574" t="n">
        <v>21.75331032463907</v>
      </c>
      <c r="F574" t="n">
        <v>2.458</v>
      </c>
      <c r="G574" t="n">
        <v>4.292498</v>
      </c>
      <c r="H574" t="n">
        <v>4.292498</v>
      </c>
      <c r="I574" t="n">
        <v>-17.46081232463907</v>
      </c>
      <c r="J574" t="inlineStr">
        <is>
          <t>United States|CSPX.L|2017</t>
        </is>
      </c>
      <c r="K574" t="inlineStr">
        <is>
          <t>United States|2017</t>
        </is>
      </c>
      <c r="L574" t="inlineStr">
        <is>
          <t>USD</t>
        </is>
      </c>
      <c r="M574" t="n">
        <v>21.75331032463907</v>
      </c>
      <c r="N574" t="n">
        <v>0</v>
      </c>
      <c r="O574" t="n">
        <v>0</v>
      </c>
      <c r="P574" t="n">
        <v>21.75331032463907</v>
      </c>
      <c r="Q574" t="n">
        <v>0</v>
      </c>
      <c r="R574" t="n">
        <v>21.75331032463907</v>
      </c>
      <c r="S574" t="n">
        <v>2.131</v>
      </c>
      <c r="T574" t="n">
        <v>2.131</v>
      </c>
      <c r="U574" t="n">
        <v>0</v>
      </c>
      <c r="V574" t="n">
        <v>19612100000000</v>
      </c>
    </row>
    <row r="575">
      <c r="A575" t="inlineStr">
        <is>
          <t>United States</t>
        </is>
      </c>
      <c r="B575" t="inlineStr">
        <is>
          <t>USA</t>
        </is>
      </c>
      <c r="C575" t="inlineStr">
        <is>
          <t>CSPX.L</t>
        </is>
      </c>
      <c r="D575" t="n">
        <v>2018</v>
      </c>
      <c r="E575" t="n">
        <v>-5.182610110960129</v>
      </c>
      <c r="F575" t="n">
        <v>2.967</v>
      </c>
      <c r="G575" t="n">
        <v>5.325411</v>
      </c>
      <c r="H575" t="n">
        <v>5.325411</v>
      </c>
      <c r="I575" t="n">
        <v>10.50802111096013</v>
      </c>
      <c r="J575" t="inlineStr">
        <is>
          <t>United States|CSPX.L|2018</t>
        </is>
      </c>
      <c r="K575" t="inlineStr">
        <is>
          <t>United States|2018</t>
        </is>
      </c>
      <c r="L575" t="inlineStr">
        <is>
          <t>USD</t>
        </is>
      </c>
      <c r="M575" t="n">
        <v>-5.182610110960129</v>
      </c>
      <c r="N575" t="n">
        <v>0</v>
      </c>
      <c r="O575" t="n">
        <v>0</v>
      </c>
      <c r="P575" t="n">
        <v>-5.182610110960129</v>
      </c>
      <c r="Q575" t="n">
        <v>0</v>
      </c>
      <c r="R575" t="n">
        <v>-5.182610110960129</v>
      </c>
      <c r="S575" t="n">
        <v>2.439</v>
      </c>
      <c r="T575" t="n">
        <v>2.439</v>
      </c>
      <c r="U575" t="n">
        <v>0</v>
      </c>
      <c r="V575" t="n">
        <v>20656525000000</v>
      </c>
    </row>
    <row r="576">
      <c r="A576" t="inlineStr">
        <is>
          <t>United States</t>
        </is>
      </c>
      <c r="B576" t="inlineStr">
        <is>
          <t>USA</t>
        </is>
      </c>
      <c r="C576" t="inlineStr">
        <is>
          <t>CSPX.L</t>
        </is>
      </c>
      <c r="D576" t="n">
        <v>2019</v>
      </c>
      <c r="E576" t="n">
        <v>30.78807504109404</v>
      </c>
      <c r="F576" t="n">
        <v>2.584</v>
      </c>
      <c r="G576" t="n">
        <v>4.276857</v>
      </c>
      <c r="H576" t="n">
        <v>4.276857</v>
      </c>
      <c r="I576" t="n">
        <v>-26.51121804109404</v>
      </c>
      <c r="J576" t="inlineStr">
        <is>
          <t>United States|CSPX.L|2019</t>
        </is>
      </c>
      <c r="K576" t="inlineStr">
        <is>
          <t>United States|2019</t>
        </is>
      </c>
      <c r="L576" t="inlineStr">
        <is>
          <t>USD</t>
        </is>
      </c>
      <c r="M576" t="n">
        <v>30.78807504109404</v>
      </c>
      <c r="N576" t="n">
        <v>0</v>
      </c>
      <c r="O576" t="n">
        <v>0</v>
      </c>
      <c r="P576" t="n">
        <v>30.78807504109404</v>
      </c>
      <c r="Q576" t="n">
        <v>0</v>
      </c>
      <c r="R576" t="n">
        <v>30.78807504109404</v>
      </c>
      <c r="S576" t="n">
        <v>1.813</v>
      </c>
      <c r="T576" t="n">
        <v>1.813</v>
      </c>
      <c r="U576" t="n">
        <v>0</v>
      </c>
      <c r="V576" t="n">
        <v>21539975000000</v>
      </c>
    </row>
    <row r="577">
      <c r="A577" t="inlineStr">
        <is>
          <t>United States</t>
        </is>
      </c>
      <c r="B577" t="inlineStr">
        <is>
          <t>USA</t>
        </is>
      </c>
      <c r="C577" t="inlineStr">
        <is>
          <t>CSPX.L</t>
        </is>
      </c>
      <c r="D577" t="n">
        <v>2020</v>
      </c>
      <c r="E577" t="n">
        <v>17.10129211912717</v>
      </c>
      <c r="F577" t="n">
        <v>-2.081</v>
      </c>
      <c r="G577" t="n">
        <v>-0.764625</v>
      </c>
      <c r="H577" t="n">
        <v>-0.764625</v>
      </c>
      <c r="I577" t="n">
        <v>-17.86591711912716</v>
      </c>
      <c r="J577" t="inlineStr">
        <is>
          <t>United States|CSPX.L|2020</t>
        </is>
      </c>
      <c r="K577" t="inlineStr">
        <is>
          <t>United States|2020</t>
        </is>
      </c>
      <c r="L577" t="inlineStr">
        <is>
          <t>USD</t>
        </is>
      </c>
      <c r="M577" t="n">
        <v>17.10129211912717</v>
      </c>
      <c r="N577" t="n">
        <v>0</v>
      </c>
      <c r="O577" t="n">
        <v>0</v>
      </c>
      <c r="P577" t="n">
        <v>17.10129211912717</v>
      </c>
      <c r="Q577" t="n">
        <v>0</v>
      </c>
      <c r="R577" t="n">
        <v>17.10129211912717</v>
      </c>
      <c r="S577" t="n">
        <v>1.253</v>
      </c>
      <c r="T577" t="n">
        <v>1.253</v>
      </c>
      <c r="U577" t="n">
        <v>0</v>
      </c>
      <c r="V577" t="n">
        <v>21375275000000</v>
      </c>
    </row>
    <row r="578">
      <c r="A578" t="inlineStr">
        <is>
          <t>United States</t>
        </is>
      </c>
      <c r="B578" t="inlineStr">
        <is>
          <t>USA</t>
        </is>
      </c>
      <c r="C578" t="inlineStr">
        <is>
          <t>CSPX.L</t>
        </is>
      </c>
      <c r="D578" t="n">
        <v>2021</v>
      </c>
      <c r="E578" t="n">
        <v>30.40325324854079</v>
      </c>
      <c r="F578" t="n">
        <v>6.152</v>
      </c>
      <c r="G578" t="n">
        <v>10.995765</v>
      </c>
      <c r="H578" t="n">
        <v>10.995765</v>
      </c>
      <c r="I578" t="n">
        <v>-19.40748824854079</v>
      </c>
      <c r="J578" t="inlineStr">
        <is>
          <t>United States|CSPX.L|2021</t>
        </is>
      </c>
      <c r="K578" t="inlineStr">
        <is>
          <t>United States|2021</t>
        </is>
      </c>
      <c r="L578" t="inlineStr">
        <is>
          <t>USD</t>
        </is>
      </c>
      <c r="M578" t="n">
        <v>30.40325324854079</v>
      </c>
      <c r="N578" t="n">
        <v>0</v>
      </c>
      <c r="O578" t="n">
        <v>0</v>
      </c>
      <c r="P578" t="n">
        <v>30.40325324854079</v>
      </c>
      <c r="Q578" t="n">
        <v>0</v>
      </c>
      <c r="R578" t="n">
        <v>30.40325324854079</v>
      </c>
      <c r="S578" t="n">
        <v>4.679</v>
      </c>
      <c r="T578" t="n">
        <v>4.679</v>
      </c>
      <c r="U578" t="n">
        <v>0</v>
      </c>
      <c r="V578" t="n">
        <v>23725650000000</v>
      </c>
    </row>
    <row r="579">
      <c r="A579" t="inlineStr">
        <is>
          <t>United States</t>
        </is>
      </c>
      <c r="B579" t="inlineStr">
        <is>
          <t>USA</t>
        </is>
      </c>
      <c r="C579" t="inlineStr">
        <is>
          <t>CSPX.L</t>
        </is>
      </c>
      <c r="D579" t="n">
        <v>2022</v>
      </c>
      <c r="E579" t="n">
        <v>-19.03146132154795</v>
      </c>
      <c r="F579" t="n">
        <v>2.524</v>
      </c>
      <c r="G579" t="n">
        <v>9.816169</v>
      </c>
      <c r="H579" t="n">
        <v>9.816169</v>
      </c>
      <c r="I579" t="n">
        <v>28.84763032154795</v>
      </c>
      <c r="J579" t="inlineStr">
        <is>
          <t>United States|CSPX.L|2022</t>
        </is>
      </c>
      <c r="K579" t="inlineStr">
        <is>
          <t>United States|2022</t>
        </is>
      </c>
      <c r="L579" t="inlineStr">
        <is>
          <t>USD</t>
        </is>
      </c>
      <c r="M579" t="n">
        <v>-19.03146132154795</v>
      </c>
      <c r="N579" t="n">
        <v>0</v>
      </c>
      <c r="O579" t="n">
        <v>0</v>
      </c>
      <c r="P579" t="n">
        <v>-19.03146132154795</v>
      </c>
      <c r="Q579" t="n">
        <v>0</v>
      </c>
      <c r="R579" t="n">
        <v>-19.03146132154795</v>
      </c>
      <c r="S579" t="n">
        <v>7.993</v>
      </c>
      <c r="T579" t="n">
        <v>7.993</v>
      </c>
      <c r="U579" t="n">
        <v>0</v>
      </c>
      <c r="V579" t="n">
        <v>26054600000000</v>
      </c>
    </row>
    <row r="580">
      <c r="A580" t="inlineStr">
        <is>
          <t>United States</t>
        </is>
      </c>
      <c r="B580" t="inlineStr">
        <is>
          <t>USA</t>
        </is>
      </c>
      <c r="C580" t="inlineStr">
        <is>
          <t>CSPX.L</t>
        </is>
      </c>
      <c r="D580" t="n">
        <v>2023</v>
      </c>
      <c r="E580" t="n">
        <v>27.32068620122947</v>
      </c>
      <c r="F580" t="n">
        <v>2.935</v>
      </c>
      <c r="G580" t="n">
        <v>6.743147</v>
      </c>
      <c r="H580" t="n">
        <v>6.743147</v>
      </c>
      <c r="I580" t="n">
        <v>-20.57753920122947</v>
      </c>
      <c r="J580" t="inlineStr">
        <is>
          <t>United States|CSPX.L|2023</t>
        </is>
      </c>
      <c r="K580" t="inlineStr">
        <is>
          <t>United States|2023</t>
        </is>
      </c>
      <c r="L580" t="inlineStr">
        <is>
          <t>USD</t>
        </is>
      </c>
      <c r="M580" t="n">
        <v>27.32068620122947</v>
      </c>
      <c r="N580" t="n">
        <v>0</v>
      </c>
      <c r="O580" t="n">
        <v>0</v>
      </c>
      <c r="P580" t="n">
        <v>27.32068620122947</v>
      </c>
      <c r="Q580" t="n">
        <v>0</v>
      </c>
      <c r="R580" t="n">
        <v>27.32068620122947</v>
      </c>
      <c r="S580" t="n">
        <v>4.128</v>
      </c>
      <c r="T580" t="n">
        <v>4.128</v>
      </c>
      <c r="U580" t="n">
        <v>0</v>
      </c>
      <c r="V580" t="n">
        <v>27811500000000</v>
      </c>
    </row>
    <row r="581">
      <c r="A581" t="inlineStr">
        <is>
          <t>United States</t>
        </is>
      </c>
      <c r="B581" t="inlineStr">
        <is>
          <t>USA</t>
        </is>
      </c>
      <c r="C581" t="inlineStr">
        <is>
          <t>CSPX.L</t>
        </is>
      </c>
      <c r="D581" t="n">
        <v>2024</v>
      </c>
      <c r="E581" t="n">
        <v>26.3650865018394</v>
      </c>
      <c r="F581" t="n">
        <v>2.793</v>
      </c>
      <c r="G581" t="n">
        <v>5.345001</v>
      </c>
      <c r="H581" t="n">
        <v>5.345001</v>
      </c>
      <c r="I581" t="n">
        <v>-21.0200855018394</v>
      </c>
      <c r="J581" t="inlineStr">
        <is>
          <t>United States|CSPX.L|2024</t>
        </is>
      </c>
      <c r="K581" t="inlineStr">
        <is>
          <t>United States|2024</t>
        </is>
      </c>
      <c r="L581" t="inlineStr">
        <is>
          <t>USD</t>
        </is>
      </c>
      <c r="M581" t="n">
        <v>26.3650865018394</v>
      </c>
      <c r="N581" t="n">
        <v>0</v>
      </c>
      <c r="O581" t="n">
        <v>0</v>
      </c>
      <c r="P581" t="n">
        <v>26.3650865018394</v>
      </c>
      <c r="Q581" t="n">
        <v>0</v>
      </c>
      <c r="R581" t="n">
        <v>26.3650865018394</v>
      </c>
      <c r="S581" t="n">
        <v>2.952</v>
      </c>
      <c r="T581" t="n">
        <v>2.952</v>
      </c>
      <c r="U581" t="n">
        <v>0</v>
      </c>
      <c r="V581" t="n">
        <v>29298025000000</v>
      </c>
    </row>
    <row r="582">
      <c r="A582" t="inlineStr">
        <is>
          <t>United States</t>
        </is>
      </c>
      <c r="B582" t="inlineStr">
        <is>
          <t>USA</t>
        </is>
      </c>
      <c r="C582" t="inlineStr">
        <is>
          <t>CSPX.L</t>
        </is>
      </c>
      <c r="D582" t="n">
        <v>2025</v>
      </c>
      <c r="E582" t="n">
        <v>18.0137493932327</v>
      </c>
      <c r="F582" t="n">
        <v>2.017</v>
      </c>
      <c r="G582" t="n">
        <v>4.497634</v>
      </c>
      <c r="H582" t="n">
        <v>4.497634</v>
      </c>
      <c r="I582" t="n">
        <v>-13.5161153932327</v>
      </c>
      <c r="J582" t="inlineStr">
        <is>
          <t>United States|CSPX.L|2025</t>
        </is>
      </c>
      <c r="K582" t="inlineStr">
        <is>
          <t>United States|2025</t>
        </is>
      </c>
      <c r="L582" t="inlineStr">
        <is>
          <t>USD</t>
        </is>
      </c>
      <c r="M582" t="n">
        <v>18.0137493932327</v>
      </c>
      <c r="N582" t="n">
        <v>0</v>
      </c>
      <c r="O582" t="n">
        <v>0</v>
      </c>
      <c r="P582" t="n">
        <v>18.0137493932327</v>
      </c>
      <c r="Q582" t="n">
        <v>0</v>
      </c>
      <c r="R582" t="n">
        <v>18.0137493932327</v>
      </c>
      <c r="S582" t="n">
        <v>2.715</v>
      </c>
      <c r="T582" t="n">
        <v>2.715</v>
      </c>
      <c r="U582" t="n">
        <v>0</v>
      </c>
      <c r="V582" t="n">
        <v>30615743000000</v>
      </c>
    </row>
    <row r="583">
      <c r="A583" t="inlineStr">
        <is>
          <t>United States</t>
        </is>
      </c>
      <c r="B583" t="inlineStr">
        <is>
          <t>USA</t>
        </is>
      </c>
      <c r="C583" t="inlineStr">
        <is>
          <t>CSPX.L</t>
        </is>
      </c>
      <c r="D583" t="n">
        <v>2026</v>
      </c>
      <c r="E583" t="n">
        <v>-1.575962107480189</v>
      </c>
      <c r="F583" t="n">
        <v>2.102</v>
      </c>
      <c r="G583" t="n">
        <v>3.93768</v>
      </c>
      <c r="H583" t="n">
        <v>3.93768</v>
      </c>
      <c r="I583" t="n">
        <v>5.513642107480189</v>
      </c>
      <c r="J583" t="inlineStr">
        <is>
          <t>United States|CSPX.L|2026</t>
        </is>
      </c>
      <c r="K583" t="inlineStr">
        <is>
          <t>United States|2026</t>
        </is>
      </c>
      <c r="L583" t="inlineStr">
        <is>
          <t>USD</t>
        </is>
      </c>
      <c r="M583" t="n">
        <v>-1.575962107480189</v>
      </c>
      <c r="N583" t="n">
        <v>0</v>
      </c>
      <c r="O583" t="n">
        <v>0</v>
      </c>
      <c r="P583" t="n">
        <v>-1.575962107480189</v>
      </c>
      <c r="Q583" t="n">
        <v>0</v>
      </c>
      <c r="R583" t="n">
        <v>-1.575962107480189</v>
      </c>
      <c r="S583" t="n">
        <v>2.435</v>
      </c>
      <c r="T583" t="n">
        <v>2.435</v>
      </c>
      <c r="U583" t="n">
        <v>0</v>
      </c>
      <c r="V583" t="n">
        <v>31821293000000</v>
      </c>
    </row>
    <row r="584">
      <c r="A584" t="inlineStr">
        <is>
          <t>United States</t>
        </is>
      </c>
      <c r="B584" t="inlineStr">
        <is>
          <t>USA</t>
        </is>
      </c>
      <c r="C584" t="inlineStr">
        <is>
          <t>CSPX.L</t>
        </is>
      </c>
      <c r="D584" t="n">
        <v>2027</v>
      </c>
      <c r="E584" t="inlineStr"/>
      <c r="F584" t="n">
        <v>2.055</v>
      </c>
      <c r="G584" t="n">
        <v>3.766927</v>
      </c>
      <c r="H584" t="n">
        <v>3.766927</v>
      </c>
      <c r="I584" t="inlineStr"/>
      <c r="J584" t="inlineStr">
        <is>
          <t>United States|CSPX.L|2027</t>
        </is>
      </c>
      <c r="K584" t="inlineStr">
        <is>
          <t>United States|2027</t>
        </is>
      </c>
      <c r="L584" t="inlineStr">
        <is>
          <t>USD</t>
        </is>
      </c>
      <c r="M584" t="inlineStr"/>
      <c r="N584" t="inlineStr"/>
      <c r="O584" t="inlineStr"/>
      <c r="P584" t="inlineStr"/>
      <c r="Q584" t="n">
        <v>0</v>
      </c>
      <c r="R584" t="inlineStr"/>
      <c r="S584" t="n">
        <v>2.185</v>
      </c>
      <c r="T584" t="n">
        <v>2.185</v>
      </c>
      <c r="U584" t="n">
        <v>0</v>
      </c>
      <c r="V584" t="n">
        <v>33019978000000</v>
      </c>
    </row>
    <row r="585">
      <c r="A585" t="inlineStr">
        <is>
          <t>United States</t>
        </is>
      </c>
      <c r="B585" t="inlineStr">
        <is>
          <t>USA</t>
        </is>
      </c>
      <c r="C585" t="inlineStr">
        <is>
          <t>CSPX.L</t>
        </is>
      </c>
      <c r="D585" t="n">
        <v>2028</v>
      </c>
      <c r="E585" t="inlineStr"/>
      <c r="F585" t="n">
        <v>2.093</v>
      </c>
      <c r="G585" t="n">
        <v>3.750526</v>
      </c>
      <c r="H585" t="n">
        <v>3.750526</v>
      </c>
      <c r="I585" t="inlineStr"/>
      <c r="J585" t="inlineStr">
        <is>
          <t>United States|CSPX.L|2028</t>
        </is>
      </c>
      <c r="K585" t="inlineStr">
        <is>
          <t>United States|2028</t>
        </is>
      </c>
      <c r="L585" t="inlineStr">
        <is>
          <t>USD</t>
        </is>
      </c>
      <c r="M585" t="inlineStr"/>
      <c r="N585" t="inlineStr"/>
      <c r="O585" t="inlineStr"/>
      <c r="P585" t="inlineStr"/>
      <c r="Q585" t="n">
        <v>0</v>
      </c>
      <c r="R585" t="inlineStr"/>
      <c r="S585" t="n">
        <v>2.206</v>
      </c>
      <c r="T585" t="n">
        <v>2.206</v>
      </c>
      <c r="U585" t="n">
        <v>0</v>
      </c>
      <c r="V585" t="n">
        <v>34258401000000</v>
      </c>
    </row>
    <row r="586">
      <c r="A586" t="inlineStr">
        <is>
          <t>United States</t>
        </is>
      </c>
      <c r="B586" t="inlineStr">
        <is>
          <t>USA</t>
        </is>
      </c>
      <c r="C586" t="inlineStr">
        <is>
          <t>CSPX.L</t>
        </is>
      </c>
      <c r="D586" t="n">
        <v>2029</v>
      </c>
      <c r="E586" t="inlineStr"/>
      <c r="F586" t="n">
        <v>1.881</v>
      </c>
      <c r="G586" t="n">
        <v>3.66459</v>
      </c>
      <c r="H586" t="n">
        <v>3.66459</v>
      </c>
      <c r="I586" t="inlineStr"/>
      <c r="J586" t="inlineStr">
        <is>
          <t>United States|CSPX.L|2029</t>
        </is>
      </c>
      <c r="K586" t="inlineStr">
        <is>
          <t>United States|2029</t>
        </is>
      </c>
      <c r="L586" t="inlineStr">
        <is>
          <t>USD</t>
        </is>
      </c>
      <c r="M586" t="inlineStr"/>
      <c r="N586" t="inlineStr"/>
      <c r="O586" t="inlineStr"/>
      <c r="P586" t="inlineStr"/>
      <c r="Q586" t="n">
        <v>0</v>
      </c>
      <c r="R586" t="inlineStr"/>
      <c r="S586" t="n">
        <v>2.203</v>
      </c>
      <c r="T586" t="n">
        <v>2.203</v>
      </c>
      <c r="U586" t="n">
        <v>0</v>
      </c>
      <c r="V586" t="n">
        <v>35513831000000</v>
      </c>
    </row>
    <row r="587">
      <c r="A587" t="inlineStr">
        <is>
          <t>United States</t>
        </is>
      </c>
      <c r="B587" t="inlineStr">
        <is>
          <t>USA</t>
        </is>
      </c>
      <c r="C587" t="inlineStr">
        <is>
          <t>CSUS.L</t>
        </is>
      </c>
      <c r="D587" t="n">
        <v>2015</v>
      </c>
      <c r="E587" t="n">
        <v>1.605275913034609</v>
      </c>
      <c r="F587" t="n">
        <v>2.946</v>
      </c>
      <c r="G587" t="inlineStr"/>
      <c r="H587" t="inlineStr"/>
      <c r="I587" t="inlineStr"/>
      <c r="J587" t="inlineStr">
        <is>
          <t>United States|CSUS.L|2015</t>
        </is>
      </c>
      <c r="K587" t="inlineStr">
        <is>
          <t>United States|2015</t>
        </is>
      </c>
      <c r="L587" t="inlineStr">
        <is>
          <t>USD</t>
        </is>
      </c>
      <c r="M587" t="n">
        <v>1.605275913034609</v>
      </c>
      <c r="N587" t="n">
        <v>0</v>
      </c>
      <c r="O587" t="n">
        <v>0</v>
      </c>
      <c r="P587" t="n">
        <v>1.605275913034609</v>
      </c>
      <c r="Q587" t="inlineStr"/>
      <c r="R587" t="inlineStr"/>
      <c r="S587" t="n">
        <v>0.121</v>
      </c>
      <c r="T587" t="n">
        <v>0.121</v>
      </c>
      <c r="U587" t="n">
        <v>0</v>
      </c>
      <c r="V587" t="n">
        <v>18295000000000</v>
      </c>
    </row>
    <row r="588">
      <c r="A588" t="inlineStr">
        <is>
          <t>United States</t>
        </is>
      </c>
      <c r="B588" t="inlineStr">
        <is>
          <t>USA</t>
        </is>
      </c>
      <c r="C588" t="inlineStr">
        <is>
          <t>CSUS.L</t>
        </is>
      </c>
      <c r="D588" t="n">
        <v>2016</v>
      </c>
      <c r="E588" t="n">
        <v>14.42537406556417</v>
      </c>
      <c r="F588" t="n">
        <v>1.82</v>
      </c>
      <c r="G588" t="n">
        <v>2.7871</v>
      </c>
      <c r="H588" t="n">
        <v>2.7871</v>
      </c>
      <c r="I588" t="n">
        <v>-11.63827406556417</v>
      </c>
      <c r="J588" t="inlineStr">
        <is>
          <t>United States|CSUS.L|2016</t>
        </is>
      </c>
      <c r="K588" t="inlineStr">
        <is>
          <t>United States|2016</t>
        </is>
      </c>
      <c r="L588" t="inlineStr">
        <is>
          <t>USD</t>
        </is>
      </c>
      <c r="M588" t="n">
        <v>14.42537406556417</v>
      </c>
      <c r="N588" t="n">
        <v>0</v>
      </c>
      <c r="O588" t="n">
        <v>0</v>
      </c>
      <c r="P588" t="n">
        <v>14.42537406556417</v>
      </c>
      <c r="Q588" t="n">
        <v>0</v>
      </c>
      <c r="R588" t="n">
        <v>14.42537406556417</v>
      </c>
      <c r="S588" t="n">
        <v>1.267</v>
      </c>
      <c r="T588" t="n">
        <v>1.267</v>
      </c>
      <c r="U588" t="n">
        <v>0</v>
      </c>
      <c r="V588" t="n">
        <v>18804900000000</v>
      </c>
    </row>
    <row r="589">
      <c r="A589" t="inlineStr">
        <is>
          <t>United States</t>
        </is>
      </c>
      <c r="B589" t="inlineStr">
        <is>
          <t>USA</t>
        </is>
      </c>
      <c r="C589" t="inlineStr">
        <is>
          <t>CSUS.L</t>
        </is>
      </c>
      <c r="D589" t="n">
        <v>2017</v>
      </c>
      <c r="E589" t="n">
        <v>21.5970017467853</v>
      </c>
      <c r="F589" t="n">
        <v>2.458</v>
      </c>
      <c r="G589" t="n">
        <v>4.292498</v>
      </c>
      <c r="H589" t="n">
        <v>4.292498</v>
      </c>
      <c r="I589" t="n">
        <v>-17.30450374678529</v>
      </c>
      <c r="J589" t="inlineStr">
        <is>
          <t>United States|CSUS.L|2017</t>
        </is>
      </c>
      <c r="K589" t="inlineStr">
        <is>
          <t>United States|2017</t>
        </is>
      </c>
      <c r="L589" t="inlineStr">
        <is>
          <t>USD</t>
        </is>
      </c>
      <c r="M589" t="n">
        <v>21.5970017467853</v>
      </c>
      <c r="N589" t="n">
        <v>0</v>
      </c>
      <c r="O589" t="n">
        <v>0</v>
      </c>
      <c r="P589" t="n">
        <v>21.5970017467853</v>
      </c>
      <c r="Q589" t="n">
        <v>0</v>
      </c>
      <c r="R589" t="n">
        <v>21.5970017467853</v>
      </c>
      <c r="S589" t="n">
        <v>2.131</v>
      </c>
      <c r="T589" t="n">
        <v>2.131</v>
      </c>
      <c r="U589" t="n">
        <v>0</v>
      </c>
      <c r="V589" t="n">
        <v>19612100000000</v>
      </c>
    </row>
    <row r="590">
      <c r="A590" t="inlineStr">
        <is>
          <t>United States</t>
        </is>
      </c>
      <c r="B590" t="inlineStr">
        <is>
          <t>USA</t>
        </is>
      </c>
      <c r="C590" t="inlineStr">
        <is>
          <t>CSUS.L</t>
        </is>
      </c>
      <c r="D590" t="n">
        <v>2018</v>
      </c>
      <c r="E590" t="n">
        <v>-5.524486620253488</v>
      </c>
      <c r="F590" t="n">
        <v>2.967</v>
      </c>
      <c r="G590" t="n">
        <v>5.325411</v>
      </c>
      <c r="H590" t="n">
        <v>5.325411</v>
      </c>
      <c r="I590" t="n">
        <v>10.84989762025349</v>
      </c>
      <c r="J590" t="inlineStr">
        <is>
          <t>United States|CSUS.L|2018</t>
        </is>
      </c>
      <c r="K590" t="inlineStr">
        <is>
          <t>United States|2018</t>
        </is>
      </c>
      <c r="L590" t="inlineStr">
        <is>
          <t>USD</t>
        </is>
      </c>
      <c r="M590" t="n">
        <v>-5.524486620253488</v>
      </c>
      <c r="N590" t="n">
        <v>0</v>
      </c>
      <c r="O590" t="n">
        <v>0</v>
      </c>
      <c r="P590" t="n">
        <v>-5.524486620253488</v>
      </c>
      <c r="Q590" t="n">
        <v>0</v>
      </c>
      <c r="R590" t="n">
        <v>-5.524486620253488</v>
      </c>
      <c r="S590" t="n">
        <v>2.439</v>
      </c>
      <c r="T590" t="n">
        <v>2.439</v>
      </c>
      <c r="U590" t="n">
        <v>0</v>
      </c>
      <c r="V590" t="n">
        <v>20656525000000</v>
      </c>
    </row>
    <row r="591">
      <c r="A591" t="inlineStr">
        <is>
          <t>United States</t>
        </is>
      </c>
      <c r="B591" t="inlineStr">
        <is>
          <t>USA</t>
        </is>
      </c>
      <c r="C591" t="inlineStr">
        <is>
          <t>CSUS.L</t>
        </is>
      </c>
      <c r="D591" t="n">
        <v>2019</v>
      </c>
      <c r="E591" t="n">
        <v>30.75400503868304</v>
      </c>
      <c r="F591" t="n">
        <v>2.584</v>
      </c>
      <c r="G591" t="n">
        <v>4.276857</v>
      </c>
      <c r="H591" t="n">
        <v>4.276857</v>
      </c>
      <c r="I591" t="n">
        <v>-26.47714803868304</v>
      </c>
      <c r="J591" t="inlineStr">
        <is>
          <t>United States|CSUS.L|2019</t>
        </is>
      </c>
      <c r="K591" t="inlineStr">
        <is>
          <t>United States|2019</t>
        </is>
      </c>
      <c r="L591" t="inlineStr">
        <is>
          <t>USD</t>
        </is>
      </c>
      <c r="M591" t="n">
        <v>30.75400503868304</v>
      </c>
      <c r="N591" t="n">
        <v>0</v>
      </c>
      <c r="O591" t="n">
        <v>0</v>
      </c>
      <c r="P591" t="n">
        <v>30.75400503868304</v>
      </c>
      <c r="Q591" t="n">
        <v>0</v>
      </c>
      <c r="R591" t="n">
        <v>30.75400503868304</v>
      </c>
      <c r="S591" t="n">
        <v>1.813</v>
      </c>
      <c r="T591" t="n">
        <v>1.813</v>
      </c>
      <c r="U591" t="n">
        <v>0</v>
      </c>
      <c r="V591" t="n">
        <v>21539975000000</v>
      </c>
    </row>
    <row r="592">
      <c r="A592" t="inlineStr">
        <is>
          <t>United States</t>
        </is>
      </c>
      <c r="B592" t="inlineStr">
        <is>
          <t>USA</t>
        </is>
      </c>
      <c r="C592" t="inlineStr">
        <is>
          <t>CSUS.L</t>
        </is>
      </c>
      <c r="D592" t="n">
        <v>2020</v>
      </c>
      <c r="E592" t="n">
        <v>19.75704880856335</v>
      </c>
      <c r="F592" t="n">
        <v>-2.081</v>
      </c>
      <c r="G592" t="n">
        <v>-0.764625</v>
      </c>
      <c r="H592" t="n">
        <v>-0.764625</v>
      </c>
      <c r="I592" t="n">
        <v>-20.52167380856335</v>
      </c>
      <c r="J592" t="inlineStr">
        <is>
          <t>United States|CSUS.L|2020</t>
        </is>
      </c>
      <c r="K592" t="inlineStr">
        <is>
          <t>United States|2020</t>
        </is>
      </c>
      <c r="L592" t="inlineStr">
        <is>
          <t>USD</t>
        </is>
      </c>
      <c r="M592" t="n">
        <v>19.75704880856335</v>
      </c>
      <c r="N592" t="n">
        <v>0</v>
      </c>
      <c r="O592" t="n">
        <v>0</v>
      </c>
      <c r="P592" t="n">
        <v>19.75704880856335</v>
      </c>
      <c r="Q592" t="n">
        <v>0</v>
      </c>
      <c r="R592" t="n">
        <v>19.75704880856335</v>
      </c>
      <c r="S592" t="n">
        <v>1.253</v>
      </c>
      <c r="T592" t="n">
        <v>1.253</v>
      </c>
      <c r="U592" t="n">
        <v>0</v>
      </c>
      <c r="V592" t="n">
        <v>21375275000000</v>
      </c>
    </row>
    <row r="593">
      <c r="A593" t="inlineStr">
        <is>
          <t>United States</t>
        </is>
      </c>
      <c r="B593" t="inlineStr">
        <is>
          <t>USA</t>
        </is>
      </c>
      <c r="C593" t="inlineStr">
        <is>
          <t>CSUS.L</t>
        </is>
      </c>
      <c r="D593" t="n">
        <v>2021</v>
      </c>
      <c r="E593" t="n">
        <v>28.30945813978041</v>
      </c>
      <c r="F593" t="n">
        <v>6.152</v>
      </c>
      <c r="G593" t="n">
        <v>10.995765</v>
      </c>
      <c r="H593" t="n">
        <v>10.995765</v>
      </c>
      <c r="I593" t="n">
        <v>-17.3136931397804</v>
      </c>
      <c r="J593" t="inlineStr">
        <is>
          <t>United States|CSUS.L|2021</t>
        </is>
      </c>
      <c r="K593" t="inlineStr">
        <is>
          <t>United States|2021</t>
        </is>
      </c>
      <c r="L593" t="inlineStr">
        <is>
          <t>USD</t>
        </is>
      </c>
      <c r="M593" t="n">
        <v>28.30945813978041</v>
      </c>
      <c r="N593" t="n">
        <v>0</v>
      </c>
      <c r="O593" t="n">
        <v>0</v>
      </c>
      <c r="P593" t="n">
        <v>28.30945813978041</v>
      </c>
      <c r="Q593" t="n">
        <v>0</v>
      </c>
      <c r="R593" t="n">
        <v>28.30945813978041</v>
      </c>
      <c r="S593" t="n">
        <v>4.679</v>
      </c>
      <c r="T593" t="n">
        <v>4.679</v>
      </c>
      <c r="U593" t="n">
        <v>0</v>
      </c>
      <c r="V593" t="n">
        <v>23725650000000</v>
      </c>
    </row>
    <row r="594">
      <c r="A594" t="inlineStr">
        <is>
          <t>United States</t>
        </is>
      </c>
      <c r="B594" t="inlineStr">
        <is>
          <t>USA</t>
        </is>
      </c>
      <c r="C594" t="inlineStr">
        <is>
          <t>CSUS.L</t>
        </is>
      </c>
      <c r="D594" t="n">
        <v>2022</v>
      </c>
      <c r="E594" t="n">
        <v>-20.35076946152596</v>
      </c>
      <c r="F594" t="n">
        <v>2.524</v>
      </c>
      <c r="G594" t="n">
        <v>9.816169</v>
      </c>
      <c r="H594" t="n">
        <v>9.816169</v>
      </c>
      <c r="I594" t="n">
        <v>30.16693846152597</v>
      </c>
      <c r="J594" t="inlineStr">
        <is>
          <t>United States|CSUS.L|2022</t>
        </is>
      </c>
      <c r="K594" t="inlineStr">
        <is>
          <t>United States|2022</t>
        </is>
      </c>
      <c r="L594" t="inlineStr">
        <is>
          <t>USD</t>
        </is>
      </c>
      <c r="M594" t="n">
        <v>-20.35076946152596</v>
      </c>
      <c r="N594" t="n">
        <v>0</v>
      </c>
      <c r="O594" t="n">
        <v>0</v>
      </c>
      <c r="P594" t="n">
        <v>-20.35076946152596</v>
      </c>
      <c r="Q594" t="n">
        <v>0</v>
      </c>
      <c r="R594" t="n">
        <v>-20.35076946152596</v>
      </c>
      <c r="S594" t="n">
        <v>7.993</v>
      </c>
      <c r="T594" t="n">
        <v>7.993</v>
      </c>
      <c r="U594" t="n">
        <v>0</v>
      </c>
      <c r="V594" t="n">
        <v>26054600000000</v>
      </c>
    </row>
    <row r="595">
      <c r="A595" t="inlineStr">
        <is>
          <t>United States</t>
        </is>
      </c>
      <c r="B595" t="inlineStr">
        <is>
          <t>USA</t>
        </is>
      </c>
      <c r="C595" t="inlineStr">
        <is>
          <t>CSUS.L</t>
        </is>
      </c>
      <c r="D595" t="n">
        <v>2023</v>
      </c>
      <c r="E595" t="n">
        <v>28.12120170617412</v>
      </c>
      <c r="F595" t="n">
        <v>2.935</v>
      </c>
      <c r="G595" t="n">
        <v>6.743147</v>
      </c>
      <c r="H595" t="n">
        <v>6.743147</v>
      </c>
      <c r="I595" t="n">
        <v>-21.37805470617412</v>
      </c>
      <c r="J595" t="inlineStr">
        <is>
          <t>United States|CSUS.L|2023</t>
        </is>
      </c>
      <c r="K595" t="inlineStr">
        <is>
          <t>United States|2023</t>
        </is>
      </c>
      <c r="L595" t="inlineStr">
        <is>
          <t>USD</t>
        </is>
      </c>
      <c r="M595" t="n">
        <v>28.12120170617412</v>
      </c>
      <c r="N595" t="n">
        <v>0</v>
      </c>
      <c r="O595" t="n">
        <v>0</v>
      </c>
      <c r="P595" t="n">
        <v>28.12120170617412</v>
      </c>
      <c r="Q595" t="n">
        <v>0</v>
      </c>
      <c r="R595" t="n">
        <v>28.12120170617412</v>
      </c>
      <c r="S595" t="n">
        <v>4.128</v>
      </c>
      <c r="T595" t="n">
        <v>4.128</v>
      </c>
      <c r="U595" t="n">
        <v>0</v>
      </c>
      <c r="V595" t="n">
        <v>27811500000000</v>
      </c>
    </row>
    <row r="596">
      <c r="A596" t="inlineStr">
        <is>
          <t>United States</t>
        </is>
      </c>
      <c r="B596" t="inlineStr">
        <is>
          <t>USA</t>
        </is>
      </c>
      <c r="C596" t="inlineStr">
        <is>
          <t>CSUS.L</t>
        </is>
      </c>
      <c r="D596" t="n">
        <v>2024</v>
      </c>
      <c r="E596" t="n">
        <v>26.52359231096537</v>
      </c>
      <c r="F596" t="n">
        <v>2.793</v>
      </c>
      <c r="G596" t="n">
        <v>5.345001</v>
      </c>
      <c r="H596" t="n">
        <v>5.345001</v>
      </c>
      <c r="I596" t="n">
        <v>-21.17859131096537</v>
      </c>
      <c r="J596" t="inlineStr">
        <is>
          <t>United States|CSUS.L|2024</t>
        </is>
      </c>
      <c r="K596" t="inlineStr">
        <is>
          <t>United States|2024</t>
        </is>
      </c>
      <c r="L596" t="inlineStr">
        <is>
          <t>USD</t>
        </is>
      </c>
      <c r="M596" t="n">
        <v>26.52359231096537</v>
      </c>
      <c r="N596" t="n">
        <v>0</v>
      </c>
      <c r="O596" t="n">
        <v>0</v>
      </c>
      <c r="P596" t="n">
        <v>26.52359231096537</v>
      </c>
      <c r="Q596" t="n">
        <v>0</v>
      </c>
      <c r="R596" t="n">
        <v>26.52359231096537</v>
      </c>
      <c r="S596" t="n">
        <v>2.952</v>
      </c>
      <c r="T596" t="n">
        <v>2.952</v>
      </c>
      <c r="U596" t="n">
        <v>0</v>
      </c>
      <c r="V596" t="n">
        <v>29298025000000</v>
      </c>
    </row>
    <row r="597">
      <c r="A597" t="inlineStr">
        <is>
          <t>United States</t>
        </is>
      </c>
      <c r="B597" t="inlineStr">
        <is>
          <t>USA</t>
        </is>
      </c>
      <c r="C597" t="inlineStr">
        <is>
          <t>CSUS.L</t>
        </is>
      </c>
      <c r="D597" t="n">
        <v>2025</v>
      </c>
      <c r="E597" t="n">
        <v>17.75908204481222</v>
      </c>
      <c r="F597" t="n">
        <v>2.017</v>
      </c>
      <c r="G597" t="n">
        <v>4.497634</v>
      </c>
      <c r="H597" t="n">
        <v>4.497634</v>
      </c>
      <c r="I597" t="n">
        <v>-13.26144804481222</v>
      </c>
      <c r="J597" t="inlineStr">
        <is>
          <t>United States|CSUS.L|2025</t>
        </is>
      </c>
      <c r="K597" t="inlineStr">
        <is>
          <t>United States|2025</t>
        </is>
      </c>
      <c r="L597" t="inlineStr">
        <is>
          <t>USD</t>
        </is>
      </c>
      <c r="M597" t="n">
        <v>17.75908204481222</v>
      </c>
      <c r="N597" t="n">
        <v>0</v>
      </c>
      <c r="O597" t="n">
        <v>0</v>
      </c>
      <c r="P597" t="n">
        <v>17.75908204481222</v>
      </c>
      <c r="Q597" t="n">
        <v>0</v>
      </c>
      <c r="R597" t="n">
        <v>17.75908204481222</v>
      </c>
      <c r="S597" t="n">
        <v>2.715</v>
      </c>
      <c r="T597" t="n">
        <v>2.715</v>
      </c>
      <c r="U597" t="n">
        <v>0</v>
      </c>
      <c r="V597" t="n">
        <v>30615743000000</v>
      </c>
    </row>
    <row r="598">
      <c r="A598" t="inlineStr">
        <is>
          <t>United States</t>
        </is>
      </c>
      <c r="B598" t="inlineStr">
        <is>
          <t>USA</t>
        </is>
      </c>
      <c r="C598" t="inlineStr">
        <is>
          <t>CSUS.L</t>
        </is>
      </c>
      <c r="D598" t="n">
        <v>2026</v>
      </c>
      <c r="E598" t="n">
        <v>-1.90866679386279</v>
      </c>
      <c r="F598" t="n">
        <v>2.102</v>
      </c>
      <c r="G598" t="n">
        <v>3.93768</v>
      </c>
      <c r="H598" t="n">
        <v>3.93768</v>
      </c>
      <c r="I598" t="n">
        <v>5.846346793862789</v>
      </c>
      <c r="J598" t="inlineStr">
        <is>
          <t>United States|CSUS.L|2026</t>
        </is>
      </c>
      <c r="K598" t="inlineStr">
        <is>
          <t>United States|2026</t>
        </is>
      </c>
      <c r="L598" t="inlineStr">
        <is>
          <t>USD</t>
        </is>
      </c>
      <c r="M598" t="n">
        <v>-1.90866679386279</v>
      </c>
      <c r="N598" t="n">
        <v>0</v>
      </c>
      <c r="O598" t="n">
        <v>0</v>
      </c>
      <c r="P598" t="n">
        <v>-1.90866679386279</v>
      </c>
      <c r="Q598" t="n">
        <v>0</v>
      </c>
      <c r="R598" t="n">
        <v>-1.90866679386279</v>
      </c>
      <c r="S598" t="n">
        <v>2.435</v>
      </c>
      <c r="T598" t="n">
        <v>2.435</v>
      </c>
      <c r="U598" t="n">
        <v>0</v>
      </c>
      <c r="V598" t="n">
        <v>31821293000000</v>
      </c>
    </row>
    <row r="599">
      <c r="A599" t="inlineStr">
        <is>
          <t>United States</t>
        </is>
      </c>
      <c r="B599" t="inlineStr">
        <is>
          <t>USA</t>
        </is>
      </c>
      <c r="C599" t="inlineStr">
        <is>
          <t>CSUS.L</t>
        </is>
      </c>
      <c r="D599" t="n">
        <v>2027</v>
      </c>
      <c r="E599" t="inlineStr"/>
      <c r="F599" t="n">
        <v>2.055</v>
      </c>
      <c r="G599" t="n">
        <v>3.766927</v>
      </c>
      <c r="H599" t="n">
        <v>3.766927</v>
      </c>
      <c r="I599" t="inlineStr"/>
      <c r="J599" t="inlineStr">
        <is>
          <t>United States|CSUS.L|2027</t>
        </is>
      </c>
      <c r="K599" t="inlineStr">
        <is>
          <t>United States|2027</t>
        </is>
      </c>
      <c r="L599" t="inlineStr">
        <is>
          <t>USD</t>
        </is>
      </c>
      <c r="M599" t="inlineStr"/>
      <c r="N599" t="inlineStr"/>
      <c r="O599" t="inlineStr"/>
      <c r="P599" t="inlineStr"/>
      <c r="Q599" t="n">
        <v>0</v>
      </c>
      <c r="R599" t="inlineStr"/>
      <c r="S599" t="n">
        <v>2.185</v>
      </c>
      <c r="T599" t="n">
        <v>2.185</v>
      </c>
      <c r="U599" t="n">
        <v>0</v>
      </c>
      <c r="V599" t="n">
        <v>33019978000000</v>
      </c>
    </row>
    <row r="600">
      <c r="A600" t="inlineStr">
        <is>
          <t>United States</t>
        </is>
      </c>
      <c r="B600" t="inlineStr">
        <is>
          <t>USA</t>
        </is>
      </c>
      <c r="C600" t="inlineStr">
        <is>
          <t>CSUS.L</t>
        </is>
      </c>
      <c r="D600" t="n">
        <v>2028</v>
      </c>
      <c r="E600" t="inlineStr"/>
      <c r="F600" t="n">
        <v>2.093</v>
      </c>
      <c r="G600" t="n">
        <v>3.750526</v>
      </c>
      <c r="H600" t="n">
        <v>3.750526</v>
      </c>
      <c r="I600" t="inlineStr"/>
      <c r="J600" t="inlineStr">
        <is>
          <t>United States|CSUS.L|2028</t>
        </is>
      </c>
      <c r="K600" t="inlineStr">
        <is>
          <t>United States|2028</t>
        </is>
      </c>
      <c r="L600" t="inlineStr">
        <is>
          <t>USD</t>
        </is>
      </c>
      <c r="M600" t="inlineStr"/>
      <c r="N600" t="inlineStr"/>
      <c r="O600" t="inlineStr"/>
      <c r="P600" t="inlineStr"/>
      <c r="Q600" t="n">
        <v>0</v>
      </c>
      <c r="R600" t="inlineStr"/>
      <c r="S600" t="n">
        <v>2.206</v>
      </c>
      <c r="T600" t="n">
        <v>2.206</v>
      </c>
      <c r="U600" t="n">
        <v>0</v>
      </c>
      <c r="V600" t="n">
        <v>34258401000000</v>
      </c>
    </row>
    <row r="601">
      <c r="A601" t="inlineStr">
        <is>
          <t>United States</t>
        </is>
      </c>
      <c r="B601" t="inlineStr">
        <is>
          <t>USA</t>
        </is>
      </c>
      <c r="C601" t="inlineStr">
        <is>
          <t>CSUS.L</t>
        </is>
      </c>
      <c r="D601" t="n">
        <v>2029</v>
      </c>
      <c r="E601" t="inlineStr"/>
      <c r="F601" t="n">
        <v>1.881</v>
      </c>
      <c r="G601" t="n">
        <v>3.66459</v>
      </c>
      <c r="H601" t="n">
        <v>3.66459</v>
      </c>
      <c r="I601" t="inlineStr"/>
      <c r="J601" t="inlineStr">
        <is>
          <t>United States|CSUS.L|2029</t>
        </is>
      </c>
      <c r="K601" t="inlineStr">
        <is>
          <t>United States|2029</t>
        </is>
      </c>
      <c r="L601" t="inlineStr">
        <is>
          <t>USD</t>
        </is>
      </c>
      <c r="M601" t="inlineStr"/>
      <c r="N601" t="inlineStr"/>
      <c r="O601" t="inlineStr"/>
      <c r="P601" t="inlineStr"/>
      <c r="Q601" t="n">
        <v>0</v>
      </c>
      <c r="R601" t="inlineStr"/>
      <c r="S601" t="n">
        <v>2.203</v>
      </c>
      <c r="T601" t="n">
        <v>2.203</v>
      </c>
      <c r="U601" t="n">
        <v>0</v>
      </c>
      <c r="V601" t="n">
        <v>35513831000000</v>
      </c>
    </row>
    <row r="602">
      <c r="A602" t="inlineStr">
        <is>
          <t>Vietnam</t>
        </is>
      </c>
      <c r="B602" t="inlineStr">
        <is>
          <t>VNM</t>
        </is>
      </c>
      <c r="C602" t="inlineStr">
        <is>
          <t>XFVT.L</t>
        </is>
      </c>
      <c r="D602" t="n">
        <v>2015</v>
      </c>
      <c r="E602" t="n">
        <v>-13.48618627171746</v>
      </c>
      <c r="F602" t="n">
        <v>6.987</v>
      </c>
      <c r="G602" t="inlineStr"/>
      <c r="H602" t="inlineStr"/>
      <c r="I602" t="inlineStr"/>
      <c r="J602" t="inlineStr">
        <is>
          <t>Vietnam|XFVT.L|2015</t>
        </is>
      </c>
      <c r="K602" t="inlineStr">
        <is>
          <t>Vietnam|2015</t>
        </is>
      </c>
      <c r="L602" t="inlineStr">
        <is>
          <t>GBp</t>
        </is>
      </c>
      <c r="M602" t="n">
        <v>-13.48618627171746</v>
      </c>
      <c r="N602" t="n">
        <v>-4.888855870697362</v>
      </c>
      <c r="O602" t="n">
        <v>-5.407515212426162</v>
      </c>
      <c r="P602" t="n">
        <v>-17.71572193313678</v>
      </c>
      <c r="Q602" t="inlineStr"/>
      <c r="R602" t="inlineStr"/>
      <c r="S602" t="n">
        <v>0.647</v>
      </c>
      <c r="T602" t="n">
        <v>0.121</v>
      </c>
      <c r="U602" t="n">
        <v>0.526</v>
      </c>
      <c r="V602" t="n">
        <v>236795000000</v>
      </c>
    </row>
    <row r="603">
      <c r="A603" t="inlineStr">
        <is>
          <t>Vietnam</t>
        </is>
      </c>
      <c r="B603" t="inlineStr">
        <is>
          <t>VNM</t>
        </is>
      </c>
      <c r="C603" t="inlineStr">
        <is>
          <t>XFVT.L</t>
        </is>
      </c>
      <c r="D603" t="n">
        <v>2016</v>
      </c>
      <c r="E603" t="n">
        <v>16.79276315789475</v>
      </c>
      <c r="F603" t="n">
        <v>6.69</v>
      </c>
      <c r="G603" t="n">
        <v>8.631271999999999</v>
      </c>
      <c r="H603" t="n">
        <v>6.482823</v>
      </c>
      <c r="I603" t="n">
        <v>9.107684322578287</v>
      </c>
      <c r="J603" t="inlineStr">
        <is>
          <t>Vietnam|XFVT.L|2016</t>
        </is>
      </c>
      <c r="K603" t="inlineStr">
        <is>
          <t>Vietnam|2016</t>
        </is>
      </c>
      <c r="L603" t="inlineStr">
        <is>
          <t>GBp</t>
        </is>
      </c>
      <c r="M603" t="n">
        <v>16.79276315789475</v>
      </c>
      <c r="N603" t="n">
        <v>-16.62570861023462</v>
      </c>
      <c r="O603" t="n">
        <v>-16.21181156312136</v>
      </c>
      <c r="P603" t="n">
        <v>-2.624861322578287</v>
      </c>
      <c r="Q603" t="n">
        <v>-1.977744747613219</v>
      </c>
      <c r="R603" t="n">
        <v>-0.6601731140534084</v>
      </c>
      <c r="S603" t="n">
        <v>2.675</v>
      </c>
      <c r="T603" t="n">
        <v>1.267</v>
      </c>
      <c r="U603" t="n">
        <v>1.408</v>
      </c>
      <c r="V603" t="n">
        <v>252146000000</v>
      </c>
    </row>
    <row r="604">
      <c r="A604" t="inlineStr">
        <is>
          <t>Vietnam</t>
        </is>
      </c>
      <c r="B604" t="inlineStr">
        <is>
          <t>VNM</t>
        </is>
      </c>
      <c r="C604" t="inlineStr">
        <is>
          <t>XFVT.L</t>
        </is>
      </c>
      <c r="D604" t="n">
        <v>2017</v>
      </c>
      <c r="E604" t="n">
        <v>33.44334433443345</v>
      </c>
      <c r="F604" t="n">
        <v>6.94</v>
      </c>
      <c r="G604" t="n">
        <v>11.605905</v>
      </c>
      <c r="H604" t="n">
        <v>9.885146000000001</v>
      </c>
      <c r="I604" t="n">
        <v>-35.35644226272699</v>
      </c>
      <c r="J604" t="inlineStr">
        <is>
          <t>Vietnam|XFVT.L|2017</t>
        </is>
      </c>
      <c r="K604" t="inlineStr">
        <is>
          <t>Vietnam|2017</t>
        </is>
      </c>
      <c r="L604" t="inlineStr">
        <is>
          <t>GBp</t>
        </is>
      </c>
      <c r="M604" t="n">
        <v>33.44334433443345</v>
      </c>
      <c r="N604" t="n">
        <v>8.841388071573641</v>
      </c>
      <c r="O604" t="n">
        <v>9.450435944365921</v>
      </c>
      <c r="P604" t="n">
        <v>45.24158826272699</v>
      </c>
      <c r="Q604" t="n">
        <v>-1.541817675632007</v>
      </c>
      <c r="R604" t="n">
        <v>47.51601627605946</v>
      </c>
      <c r="S604" t="n">
        <v>3.521</v>
      </c>
      <c r="T604" t="n">
        <v>2.131</v>
      </c>
      <c r="U604" t="n">
        <v>1.39</v>
      </c>
      <c r="V604" t="n">
        <v>277071000000</v>
      </c>
    </row>
    <row r="605">
      <c r="A605" t="inlineStr">
        <is>
          <t>Vietnam</t>
        </is>
      </c>
      <c r="B605" t="inlineStr">
        <is>
          <t>VNM</t>
        </is>
      </c>
      <c r="C605" t="inlineStr">
        <is>
          <t>XFVT.L</t>
        </is>
      </c>
      <c r="D605" t="n">
        <v>2018</v>
      </c>
      <c r="E605" t="n">
        <v>-7.244752394538412</v>
      </c>
      <c r="F605" t="n">
        <v>7.465</v>
      </c>
      <c r="G605" t="n">
        <v>11.362384</v>
      </c>
      <c r="H605" t="n">
        <v>9.888801000000001</v>
      </c>
      <c r="I605" t="n">
        <v>22.77799239564892</v>
      </c>
      <c r="J605" t="inlineStr">
        <is>
          <t>Vietnam|XFVT.L|2018</t>
        </is>
      </c>
      <c r="K605" t="inlineStr">
        <is>
          <t>Vietnam|2018</t>
        </is>
      </c>
      <c r="L605" t="inlineStr">
        <is>
          <t>GBp</t>
        </is>
      </c>
      <c r="M605" t="n">
        <v>-7.244752394538412</v>
      </c>
      <c r="N605" t="n">
        <v>-6.085304224640065</v>
      </c>
      <c r="O605" t="n">
        <v>-5.756316180609423</v>
      </c>
      <c r="P605" t="n">
        <v>-12.88919139564891</v>
      </c>
      <c r="Q605" t="n">
        <v>-1.32323187793989</v>
      </c>
      <c r="R605" t="n">
        <v>-11.72105627071439</v>
      </c>
      <c r="S605" t="n">
        <v>3.54</v>
      </c>
      <c r="T605" t="n">
        <v>2.439</v>
      </c>
      <c r="U605" t="n">
        <v>1.101</v>
      </c>
      <c r="V605" t="n">
        <v>304470000000</v>
      </c>
    </row>
    <row r="606">
      <c r="A606" t="inlineStr">
        <is>
          <t>Vietnam</t>
        </is>
      </c>
      <c r="B606" t="inlineStr">
        <is>
          <t>VNM</t>
        </is>
      </c>
      <c r="C606" t="inlineStr">
        <is>
          <t>XFVT.L</t>
        </is>
      </c>
      <c r="D606" t="n">
        <v>2019</v>
      </c>
      <c r="E606" t="n">
        <v>-1.198186528497414</v>
      </c>
      <c r="F606" t="n">
        <v>7.359</v>
      </c>
      <c r="G606" t="n">
        <v>9.960820999999999</v>
      </c>
      <c r="H606" t="n">
        <v>8.982165999999999</v>
      </c>
      <c r="I606" t="n">
        <v>7.271761219977909</v>
      </c>
      <c r="J606" t="inlineStr">
        <is>
          <t>Vietnam|XFVT.L|2019</t>
        </is>
      </c>
      <c r="K606" t="inlineStr">
        <is>
          <t>Vietnam|2019</t>
        </is>
      </c>
      <c r="L606" t="inlineStr">
        <is>
          <t>GBp</t>
        </is>
      </c>
      <c r="M606" t="n">
        <v>-1.198186528497414</v>
      </c>
      <c r="N606" t="n">
        <v>2.94386429390634</v>
      </c>
      <c r="O606" t="n">
        <v>4.118031584084703</v>
      </c>
      <c r="P606" t="n">
        <v>1.71040478002209</v>
      </c>
      <c r="Q606" t="n">
        <v>-0.8900038557951184</v>
      </c>
      <c r="R606" t="n">
        <v>2.62376020278885</v>
      </c>
      <c r="S606" t="n">
        <v>2.795</v>
      </c>
      <c r="T606" t="n">
        <v>1.813</v>
      </c>
      <c r="U606" t="n">
        <v>0.982</v>
      </c>
      <c r="V606" t="n">
        <v>331818000000</v>
      </c>
    </row>
    <row r="607">
      <c r="A607" t="inlineStr">
        <is>
          <t>Vietnam</t>
        </is>
      </c>
      <c r="B607" t="inlineStr">
        <is>
          <t>VNM</t>
        </is>
      </c>
      <c r="C607" t="inlineStr">
        <is>
          <t>XFVT.L</t>
        </is>
      </c>
      <c r="D607" t="n">
        <v>2020</v>
      </c>
      <c r="E607" t="n">
        <v>12.24511813572122</v>
      </c>
      <c r="F607" t="n">
        <v>2.865</v>
      </c>
      <c r="G607" t="n">
        <v>4.374941</v>
      </c>
      <c r="H607" t="n">
        <v>4.367454</v>
      </c>
      <c r="I607" t="n">
        <v>-10.99268881600469</v>
      </c>
      <c r="J607" t="inlineStr">
        <is>
          <t>Vietnam|XFVT.L|2020</t>
        </is>
      </c>
      <c r="K607" t="inlineStr">
        <is>
          <t>Vietnam|2020</t>
        </is>
      </c>
      <c r="L607" t="inlineStr">
        <is>
          <t>GBp</t>
        </is>
      </c>
      <c r="M607" t="n">
        <v>12.24511813572122</v>
      </c>
      <c r="N607" t="n">
        <v>2.775198362317122</v>
      </c>
      <c r="O607" t="n">
        <v>3.094474617937659</v>
      </c>
      <c r="P607" t="n">
        <v>15.36014281600469</v>
      </c>
      <c r="Q607" t="n">
        <v>-0.007172432347701818</v>
      </c>
      <c r="R607" t="n">
        <v>15.36841753770319</v>
      </c>
      <c r="S607" t="n">
        <v>3.22</v>
      </c>
      <c r="T607" t="n">
        <v>1.253</v>
      </c>
      <c r="U607" t="n">
        <v>1.967</v>
      </c>
      <c r="V607" t="n">
        <v>346310000000</v>
      </c>
    </row>
    <row r="608">
      <c r="A608" t="inlineStr">
        <is>
          <t>Vietnam</t>
        </is>
      </c>
      <c r="B608" t="inlineStr">
        <is>
          <t>VNM</t>
        </is>
      </c>
      <c r="C608" t="inlineStr">
        <is>
          <t>XFVT.L</t>
        </is>
      </c>
      <c r="D608" t="n">
        <v>2021</v>
      </c>
      <c r="E608" t="n">
        <v>31.4366729678639</v>
      </c>
      <c r="F608" t="n">
        <v>2.554</v>
      </c>
      <c r="G608" t="n">
        <v>5.508063</v>
      </c>
      <c r="H608" t="n">
        <v>6.862638</v>
      </c>
      <c r="I608" t="n">
        <v>-22.89529881670504</v>
      </c>
      <c r="J608" t="inlineStr">
        <is>
          <t>Vietnam|XFVT.L|2021</t>
        </is>
      </c>
      <c r="K608" t="inlineStr">
        <is>
          <t>Vietnam|2021</t>
        </is>
      </c>
      <c r="L608" t="inlineStr">
        <is>
          <t>GBp</t>
        </is>
      </c>
      <c r="M608" t="n">
        <v>31.4366729678639</v>
      </c>
      <c r="N608" t="n">
        <v>-1.277220514832489</v>
      </c>
      <c r="O608" t="n">
        <v>-1.102343119945948</v>
      </c>
      <c r="P608" t="n">
        <v>29.75793681670504</v>
      </c>
      <c r="Q608" t="n">
        <v>1.283858341398436</v>
      </c>
      <c r="R608" t="n">
        <v>28.11314551162612</v>
      </c>
      <c r="S608" t="n">
        <v>1.837</v>
      </c>
      <c r="T608" t="n">
        <v>4.679</v>
      </c>
      <c r="U608" t="n">
        <v>-2.842000000000001</v>
      </c>
      <c r="V608" t="n">
        <v>370076000000</v>
      </c>
    </row>
    <row r="609">
      <c r="A609" t="inlineStr">
        <is>
          <t>Vietnam</t>
        </is>
      </c>
      <c r="B609" t="inlineStr">
        <is>
          <t>VNM</t>
        </is>
      </c>
      <c r="C609" t="inlineStr">
        <is>
          <t>XFVT.L</t>
        </is>
      </c>
      <c r="D609" t="n">
        <v>2022</v>
      </c>
      <c r="E609" t="n">
        <v>-39.70095025153717</v>
      </c>
      <c r="F609" t="n">
        <v>8.538</v>
      </c>
      <c r="G609" t="n">
        <v>13.35964</v>
      </c>
      <c r="H609" t="n">
        <v>11.076644</v>
      </c>
      <c r="I609" t="n">
        <v>57.31464256417105</v>
      </c>
      <c r="J609" t="inlineStr">
        <is>
          <t>Vietnam|XFVT.L|2022</t>
        </is>
      </c>
      <c r="K609" t="inlineStr">
        <is>
          <t>Vietnam|2022</t>
        </is>
      </c>
      <c r="L609" t="inlineStr">
        <is>
          <t>GBp</t>
        </is>
      </c>
      <c r="M609" t="n">
        <v>-39.70095025153717</v>
      </c>
      <c r="N609" t="n">
        <v>-10.84104698150823</v>
      </c>
      <c r="O609" t="n">
        <v>-10.36772851390696</v>
      </c>
      <c r="P609" t="n">
        <v>-46.23799856417104</v>
      </c>
      <c r="Q609" t="n">
        <v>-2.01394136818035</v>
      </c>
      <c r="R609" t="n">
        <v>-45.13300954594119</v>
      </c>
      <c r="S609" t="n">
        <v>3.157</v>
      </c>
      <c r="T609" t="n">
        <v>7.993</v>
      </c>
      <c r="U609" t="n">
        <v>-4.836</v>
      </c>
      <c r="V609" t="n">
        <v>411068000000</v>
      </c>
    </row>
    <row r="610">
      <c r="A610" t="inlineStr">
        <is>
          <t>Vietnam</t>
        </is>
      </c>
      <c r="B610" t="inlineStr">
        <is>
          <t>VNM</t>
        </is>
      </c>
      <c r="C610" t="inlineStr">
        <is>
          <t>XFVT.L</t>
        </is>
      </c>
      <c r="D610" t="n">
        <v>2023</v>
      </c>
      <c r="E610" t="n">
        <v>-5.490410958904112</v>
      </c>
      <c r="F610" t="n">
        <v>5.065</v>
      </c>
      <c r="G610" t="n">
        <v>7.264446</v>
      </c>
      <c r="H610" t="n">
        <v>5.337316</v>
      </c>
      <c r="I610" t="n">
        <v>6.042677464805599</v>
      </c>
      <c r="J610" t="inlineStr">
        <is>
          <t>Vietnam|XFVT.L|2023</t>
        </is>
      </c>
      <c r="K610" t="inlineStr">
        <is>
          <t>Vietnam|2023</t>
        </is>
      </c>
      <c r="L610" t="inlineStr">
        <is>
          <t>GBp</t>
        </is>
      </c>
      <c r="M610" t="n">
        <v>-5.490410958904112</v>
      </c>
      <c r="N610" t="n">
        <v>5.06303068571996</v>
      </c>
      <c r="O610" t="n">
        <v>5.030130998783355</v>
      </c>
      <c r="P610" t="n">
        <v>-0.7053614648055984</v>
      </c>
      <c r="Q610" t="n">
        <v>-1.796615007646363</v>
      </c>
      <c r="R610" t="n">
        <v>1.111217849492396</v>
      </c>
      <c r="S610" t="n">
        <v>3.253</v>
      </c>
      <c r="T610" t="n">
        <v>4.128</v>
      </c>
      <c r="U610" t="n">
        <v>-0.875</v>
      </c>
      <c r="V610" t="n">
        <v>433008000000</v>
      </c>
    </row>
    <row r="611">
      <c r="A611" t="inlineStr">
        <is>
          <t>Vietnam</t>
        </is>
      </c>
      <c r="B611" t="inlineStr">
        <is>
          <t>VNM</t>
        </is>
      </c>
      <c r="C611" t="inlineStr">
        <is>
          <t>XFVT.L</t>
        </is>
      </c>
      <c r="D611" t="n">
        <v>2024</v>
      </c>
      <c r="E611" t="n">
        <v>-8.879860708067334</v>
      </c>
      <c r="F611" t="n">
        <v>7.091</v>
      </c>
      <c r="G611" t="n">
        <v>11.545738</v>
      </c>
      <c r="H611" t="n">
        <v>6.111665</v>
      </c>
      <c r="I611" t="n">
        <v>16.28639165824373</v>
      </c>
      <c r="J611" t="inlineStr">
        <is>
          <t>Vietnam|XFVT.L|2024</t>
        </is>
      </c>
      <c r="K611" t="inlineStr">
        <is>
          <t>Vietnam|2024</t>
        </is>
      </c>
      <c r="L611" t="inlineStr">
        <is>
          <t>GBp</t>
        </is>
      </c>
      <c r="M611" t="n">
        <v>-8.879860708067334</v>
      </c>
      <c r="N611" t="n">
        <v>-1.421053523664917</v>
      </c>
      <c r="O611" t="n">
        <v>-1.655539060617606</v>
      </c>
      <c r="P611" t="n">
        <v>-10.17472665824373</v>
      </c>
      <c r="Q611" t="n">
        <v>-4.871609165459379</v>
      </c>
      <c r="R611" t="n">
        <v>-5.574694837431027</v>
      </c>
      <c r="S611" t="n">
        <v>3.624</v>
      </c>
      <c r="T611" t="n">
        <v>2.952</v>
      </c>
      <c r="U611" t="n">
        <v>0.6720000000000002</v>
      </c>
      <c r="V611" t="n">
        <v>459472000000</v>
      </c>
    </row>
    <row r="612">
      <c r="A612" t="inlineStr">
        <is>
          <t>Vietnam</t>
        </is>
      </c>
      <c r="B612" t="inlineStr">
        <is>
          <t>VNM</t>
        </is>
      </c>
      <c r="C612" t="inlineStr">
        <is>
          <t>XFVT.L</t>
        </is>
      </c>
      <c r="D612" t="n">
        <v>2025</v>
      </c>
      <c r="E612" t="n">
        <v>55.06464164679304</v>
      </c>
      <c r="F612" t="n">
        <v>6.457</v>
      </c>
      <c r="G612" t="n">
        <v>9.991490000000001</v>
      </c>
      <c r="H612" t="n">
        <v>5.496309</v>
      </c>
      <c r="I612" t="n">
        <v>-61.30971807742051</v>
      </c>
      <c r="J612" t="inlineStr">
        <is>
          <t>Vietnam|XFVT.L|2025</t>
        </is>
      </c>
      <c r="K612" t="inlineStr">
        <is>
          <t>Vietnam|2025</t>
        </is>
      </c>
      <c r="L612" t="inlineStr">
        <is>
          <t>GBp</t>
        </is>
      </c>
      <c r="M612" t="n">
        <v>55.06464164679304</v>
      </c>
      <c r="N612" t="n">
        <v>7.571929555270285</v>
      </c>
      <c r="O612" t="n">
        <v>7.623377354227179</v>
      </c>
      <c r="P612" t="n">
        <v>66.80602707742051</v>
      </c>
      <c r="Q612" t="n">
        <v>-4.086844476972007</v>
      </c>
      <c r="R612" t="n">
        <v>73.9136056652538</v>
      </c>
      <c r="S612" t="n">
        <v>3.402</v>
      </c>
      <c r="T612" t="n">
        <v>2.715</v>
      </c>
      <c r="U612" t="n">
        <v>0.6870000000000003</v>
      </c>
      <c r="V612" t="n">
        <v>484726000000</v>
      </c>
    </row>
    <row r="613">
      <c r="A613" t="inlineStr">
        <is>
          <t>Vietnam</t>
        </is>
      </c>
      <c r="B613" t="inlineStr">
        <is>
          <t>VNM</t>
        </is>
      </c>
      <c r="C613" t="inlineStr">
        <is>
          <t>XFVT.L</t>
        </is>
      </c>
      <c r="D613" t="n">
        <v>2026</v>
      </c>
      <c r="E613" t="n">
        <v>-8.699147772953841</v>
      </c>
      <c r="F613" t="n">
        <v>5.595</v>
      </c>
      <c r="G613" t="n">
        <v>9.35421</v>
      </c>
      <c r="H613" t="n">
        <v>5.432554</v>
      </c>
      <c r="I613" t="n">
        <v>15.62929331586806</v>
      </c>
      <c r="J613" t="inlineStr">
        <is>
          <t>Vietnam|XFVT.L|2026</t>
        </is>
      </c>
      <c r="K613" t="inlineStr">
        <is>
          <t>Vietnam|2026</t>
        </is>
      </c>
      <c r="L613" t="inlineStr">
        <is>
          <t>GBp</t>
        </is>
      </c>
      <c r="M613" t="n">
        <v>-8.699147772953841</v>
      </c>
      <c r="N613" t="n">
        <v>-1.640282107323621</v>
      </c>
      <c r="O613" t="inlineStr"/>
      <c r="P613" t="n">
        <v>-10.19673931586807</v>
      </c>
      <c r="Q613" t="n">
        <v>-3.586195770893719</v>
      </c>
      <c r="R613" t="n">
        <v>-6.856428493647904</v>
      </c>
      <c r="S613" t="n">
        <v>3.161</v>
      </c>
      <c r="T613" t="n">
        <v>2.435</v>
      </c>
      <c r="U613" t="n">
        <v>0.726</v>
      </c>
      <c r="V613" t="n">
        <v>511059000000</v>
      </c>
    </row>
    <row r="614">
      <c r="A614" t="inlineStr">
        <is>
          <t>Vietnam</t>
        </is>
      </c>
      <c r="B614" t="inlineStr">
        <is>
          <t>VNM</t>
        </is>
      </c>
      <c r="C614" t="inlineStr">
        <is>
          <t>XFVT.L</t>
        </is>
      </c>
      <c r="D614" t="n">
        <v>2027</v>
      </c>
      <c r="E614" t="inlineStr"/>
      <c r="F614" t="n">
        <v>5.76</v>
      </c>
      <c r="G614" t="n">
        <v>8.918058</v>
      </c>
      <c r="H614" t="n">
        <v>6.682986</v>
      </c>
      <c r="I614" t="inlineStr"/>
      <c r="J614" t="inlineStr">
        <is>
          <t>Vietnam|XFVT.L|2027</t>
        </is>
      </c>
      <c r="K614" t="inlineStr">
        <is>
          <t>Vietnam|2027</t>
        </is>
      </c>
      <c r="L614" t="inlineStr">
        <is>
          <t>GBp</t>
        </is>
      </c>
      <c r="M614" t="inlineStr"/>
      <c r="N614" t="inlineStr"/>
      <c r="O614" t="inlineStr"/>
      <c r="P614" t="inlineStr"/>
      <c r="Q614" t="n">
        <v>-2.052067714226302</v>
      </c>
      <c r="R614" t="inlineStr"/>
      <c r="S614" t="n">
        <v>3.3</v>
      </c>
      <c r="T614" t="n">
        <v>2.185</v>
      </c>
      <c r="U614" t="n">
        <v>1.115</v>
      </c>
      <c r="V614" t="n">
        <v>545213000000</v>
      </c>
    </row>
    <row r="615">
      <c r="A615" t="inlineStr">
        <is>
          <t>Vietnam</t>
        </is>
      </c>
      <c r="B615" t="inlineStr">
        <is>
          <t>VNM</t>
        </is>
      </c>
      <c r="C615" t="inlineStr">
        <is>
          <t>XFVT.L</t>
        </is>
      </c>
      <c r="D615" t="n">
        <v>2028</v>
      </c>
      <c r="E615" t="inlineStr"/>
      <c r="F615" t="n">
        <v>5.6</v>
      </c>
      <c r="G615" t="n">
        <v>8.569962</v>
      </c>
      <c r="H615" t="n">
        <v>7.064762</v>
      </c>
      <c r="I615" t="inlineStr"/>
      <c r="J615" t="inlineStr">
        <is>
          <t>Vietnam|XFVT.L|2028</t>
        </is>
      </c>
      <c r="K615" t="inlineStr">
        <is>
          <t>Vietnam|2028</t>
        </is>
      </c>
      <c r="L615" t="inlineStr">
        <is>
          <t>GBp</t>
        </is>
      </c>
      <c r="M615" t="inlineStr"/>
      <c r="N615" t="inlineStr"/>
      <c r="O615" t="inlineStr"/>
      <c r="P615" t="inlineStr"/>
      <c r="Q615" t="n">
        <v>-1.386387438553505</v>
      </c>
      <c r="R615" t="inlineStr"/>
      <c r="S615" t="n">
        <v>3.3</v>
      </c>
      <c r="T615" t="n">
        <v>2.206</v>
      </c>
      <c r="U615" t="n">
        <v>1.094</v>
      </c>
      <c r="V615" t="n">
        <v>583731000000</v>
      </c>
    </row>
    <row r="616">
      <c r="A616" t="inlineStr">
        <is>
          <t>Vietnam</t>
        </is>
      </c>
      <c r="B616" t="inlineStr">
        <is>
          <t>VNM</t>
        </is>
      </c>
      <c r="C616" t="inlineStr">
        <is>
          <t>XFVT.L</t>
        </is>
      </c>
      <c r="D616" t="n">
        <v>2029</v>
      </c>
      <c r="E616" t="inlineStr"/>
      <c r="F616" t="n">
        <v>5.3</v>
      </c>
      <c r="G616" t="n">
        <v>8.106811</v>
      </c>
      <c r="H616" t="n">
        <v>6.916199</v>
      </c>
      <c r="I616" t="inlineStr"/>
      <c r="J616" t="inlineStr">
        <is>
          <t>Vietnam|XFVT.L|2029</t>
        </is>
      </c>
      <c r="K616" t="inlineStr">
        <is>
          <t>Vietnam|2029</t>
        </is>
      </c>
      <c r="L616" t="inlineStr">
        <is>
          <t>GBp</t>
        </is>
      </c>
      <c r="M616" t="inlineStr"/>
      <c r="N616" t="inlineStr"/>
      <c r="O616" t="inlineStr"/>
      <c r="P616" t="inlineStr"/>
      <c r="Q616" t="n">
        <v>-1.101329128657602</v>
      </c>
      <c r="R616" t="inlineStr"/>
      <c r="S616" t="n">
        <v>3.3</v>
      </c>
      <c r="T616" t="n">
        <v>2.203</v>
      </c>
      <c r="U616" t="n">
        <v>1.097</v>
      </c>
      <c r="V616" t="n">
        <v>624103000000</v>
      </c>
    </row>
  </sheetData>
  <autoFilter ref="A1:V6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country_code</t>
        </is>
      </c>
      <c r="C1" t="inlineStr">
        <is>
          <t>ticker</t>
        </is>
      </c>
      <c r="D1" t="inlineStr">
        <is>
          <t>as_of_date</t>
        </is>
      </c>
      <c r="E1" t="inlineStr">
        <is>
          <t>horizon</t>
        </is>
      </c>
      <c r="F1" t="inlineStr">
        <is>
          <t>etf_cagr_pct</t>
        </is>
      </c>
      <c r="G1" t="inlineStr">
        <is>
          <t>gdp_real_cagr_pct</t>
        </is>
      </c>
      <c r="H1" t="inlineStr">
        <is>
          <t>gdp_nominal_lcu_cagr_pct</t>
        </is>
      </c>
      <c r="I1" t="inlineStr">
        <is>
          <t>gdp_nominal_usd_cagr_pct</t>
        </is>
      </c>
      <c r="J1" t="inlineStr">
        <is>
          <t>fx_cagr_pct</t>
        </is>
      </c>
      <c r="K1" t="inlineStr">
        <is>
          <t>fx_jan1_cagr_pct</t>
        </is>
      </c>
      <c r="L1" t="inlineStr">
        <is>
          <t>inflation_local_cagr_pct</t>
        </is>
      </c>
      <c r="M1" t="inlineStr">
        <is>
          <t>inflation_usa_cagr_pct</t>
        </is>
      </c>
      <c r="N1" t="inlineStr">
        <is>
          <t>inflation_diff_cagr_pct</t>
        </is>
      </c>
      <c r="O1" t="inlineStr">
        <is>
          <t>gdp_nominal_usd_minus_etf_cagr_pct</t>
        </is>
      </c>
      <c r="P1" t="inlineStr">
        <is>
          <t>lookup_key</t>
        </is>
      </c>
      <c r="Q1" t="inlineStr">
        <is>
          <t>country_horizon_key</t>
        </is>
      </c>
      <c r="R1" t="inlineStr">
        <is>
          <t>etf_currency</t>
        </is>
      </c>
    </row>
    <row r="2">
      <c r="A2" t="inlineStr">
        <is>
          <t>Australia</t>
        </is>
      </c>
      <c r="B2" t="inlineStr">
        <is>
          <t>AUS</t>
        </is>
      </c>
      <c r="C2" t="inlineStr"/>
      <c r="D2" s="2" t="n">
        <v>46022</v>
      </c>
      <c r="E2" t="inlineStr">
        <is>
          <t>1Y</t>
        </is>
      </c>
      <c r="F2" t="inlineStr"/>
      <c r="G2" t="n">
        <v>1.808999999999994</v>
      </c>
      <c r="H2" t="n">
        <v>4.803760999999995</v>
      </c>
      <c r="I2" t="n">
        <v>1.894522999999992</v>
      </c>
      <c r="J2" t="n">
        <v>-2.775891376567952</v>
      </c>
      <c r="K2" t="n">
        <v>7.815344395661872</v>
      </c>
      <c r="L2" t="n">
        <v>2.576000000000001</v>
      </c>
      <c r="M2" t="n">
        <v>2.715000000000001</v>
      </c>
      <c r="N2" t="n">
        <v>-0.1390000000000002</v>
      </c>
      <c r="O2" t="inlineStr"/>
      <c r="P2" t="inlineStr">
        <is>
          <t>Australia||1Y</t>
        </is>
      </c>
      <c r="Q2" t="inlineStr">
        <is>
          <t>Australia|1Y</t>
        </is>
      </c>
      <c r="R2" t="inlineStr"/>
    </row>
    <row r="3">
      <c r="A3" t="inlineStr">
        <is>
          <t>Australia</t>
        </is>
      </c>
      <c r="B3" t="inlineStr">
        <is>
          <t>AUS</t>
        </is>
      </c>
      <c r="C3" t="inlineStr"/>
      <c r="D3" s="2" t="n">
        <v>46022</v>
      </c>
      <c r="E3" t="inlineStr">
        <is>
          <t>3Y</t>
        </is>
      </c>
      <c r="F3" t="inlineStr"/>
      <c r="G3" t="n">
        <v>1.631696691378837</v>
      </c>
      <c r="H3" t="n">
        <v>4.714209291376426</v>
      </c>
      <c r="I3" t="n">
        <v>1.971483499348792</v>
      </c>
      <c r="J3" t="n">
        <v>-2.619249013720248</v>
      </c>
      <c r="K3" t="n">
        <v>-0.7124530377975224</v>
      </c>
      <c r="L3" t="n">
        <v>3.780882125437479</v>
      </c>
      <c r="M3" t="n">
        <v>3.263156230678832</v>
      </c>
      <c r="N3" t="n">
        <v>0.5177258947586472</v>
      </c>
      <c r="O3" t="inlineStr"/>
      <c r="P3" t="inlineStr">
        <is>
          <t>Australia||3Y</t>
        </is>
      </c>
      <c r="Q3" t="inlineStr">
        <is>
          <t>Australia|3Y</t>
        </is>
      </c>
      <c r="R3" t="inlineStr"/>
    </row>
    <row r="4">
      <c r="A4" t="inlineStr">
        <is>
          <t>Australia</t>
        </is>
      </c>
      <c r="B4" t="inlineStr">
        <is>
          <t>AUS</t>
        </is>
      </c>
      <c r="C4" t="inlineStr"/>
      <c r="D4" s="2" t="n">
        <v>46022</v>
      </c>
      <c r="E4" t="inlineStr">
        <is>
          <t>5Y</t>
        </is>
      </c>
      <c r="F4" t="inlineStr"/>
      <c r="G4" t="n">
        <v>2.876765659684222</v>
      </c>
      <c r="H4" t="n">
        <v>7.630855851544416</v>
      </c>
      <c r="I4" t="n">
        <v>6.069138739652113</v>
      </c>
      <c r="J4" t="n">
        <v>-1.450993823686542</v>
      </c>
      <c r="K4" t="n">
        <v>-2.81449336084405</v>
      </c>
      <c r="L4" t="n">
        <v>4.155883551559447</v>
      </c>
      <c r="M4" t="n">
        <v>4.476417270751631</v>
      </c>
      <c r="N4" t="n">
        <v>-0.3205337191921842</v>
      </c>
      <c r="O4" t="inlineStr"/>
      <c r="P4" t="inlineStr">
        <is>
          <t>Australia||5Y</t>
        </is>
      </c>
      <c r="Q4" t="inlineStr">
        <is>
          <t>Australia|5Y</t>
        </is>
      </c>
      <c r="R4" t="inlineStr"/>
    </row>
    <row r="5">
      <c r="A5" t="inlineStr">
        <is>
          <t>Australia</t>
        </is>
      </c>
      <c r="B5" t="inlineStr">
        <is>
          <t>AUS</t>
        </is>
      </c>
      <c r="C5" t="inlineStr"/>
      <c r="D5" s="2" t="n">
        <v>46022</v>
      </c>
      <c r="E5" t="inlineStr">
        <is>
          <t>10Y</t>
        </is>
      </c>
      <c r="F5" t="inlineStr"/>
      <c r="G5" t="n">
        <v>2.213055120465901</v>
      </c>
      <c r="H5" t="n">
        <v>5.687701418277991</v>
      </c>
      <c r="I5" t="n">
        <v>4.017148053168307</v>
      </c>
      <c r="J5" t="n">
        <v>-1.580650676854467</v>
      </c>
      <c r="K5" t="n">
        <v>-0.8476119290471096</v>
      </c>
      <c r="L5" t="n">
        <v>2.835248638763499</v>
      </c>
      <c r="M5" t="n">
        <v>3.119152472830278</v>
      </c>
      <c r="N5" t="n">
        <v>-0.2839038340667788</v>
      </c>
      <c r="O5" t="inlineStr"/>
      <c r="P5" t="inlineStr">
        <is>
          <t>Australia||10Y</t>
        </is>
      </c>
      <c r="Q5" t="inlineStr">
        <is>
          <t>Australia|10Y</t>
        </is>
      </c>
      <c r="R5" t="inlineStr"/>
    </row>
    <row r="6">
      <c r="A6" t="inlineStr">
        <is>
          <t>Australia</t>
        </is>
      </c>
      <c r="B6" t="inlineStr">
        <is>
          <t>AUS</t>
        </is>
      </c>
      <c r="C6" t="inlineStr">
        <is>
          <t>SAUS.L</t>
        </is>
      </c>
      <c r="D6" s="2" t="n">
        <v>46022</v>
      </c>
      <c r="E6" t="inlineStr">
        <is>
          <t>1Y</t>
        </is>
      </c>
      <c r="F6" t="n">
        <v>12.10857753949155</v>
      </c>
      <c r="G6" t="n">
        <v>1.808999999999994</v>
      </c>
      <c r="H6" t="n">
        <v>4.803760999999995</v>
      </c>
      <c r="I6" t="n">
        <v>1.894522999999992</v>
      </c>
      <c r="J6" t="n">
        <v>-2.775891376567952</v>
      </c>
      <c r="K6" t="n">
        <v>7.815344395661872</v>
      </c>
      <c r="L6" t="n">
        <v>2.576000000000001</v>
      </c>
      <c r="M6" t="n">
        <v>2.715000000000001</v>
      </c>
      <c r="N6" t="n">
        <v>-0.1390000000000002</v>
      </c>
      <c r="O6" t="n">
        <v>-10.21405453949156</v>
      </c>
      <c r="P6" t="inlineStr">
        <is>
          <t>Australia|SAUS.L|1Y</t>
        </is>
      </c>
      <c r="Q6" t="inlineStr">
        <is>
          <t>Australia|1Y</t>
        </is>
      </c>
      <c r="R6" t="inlineStr">
        <is>
          <t>GBp</t>
        </is>
      </c>
    </row>
    <row r="7">
      <c r="A7" t="inlineStr">
        <is>
          <t>Australia</t>
        </is>
      </c>
      <c r="B7" t="inlineStr">
        <is>
          <t>AUS</t>
        </is>
      </c>
      <c r="C7" t="inlineStr">
        <is>
          <t>SAUS.L</t>
        </is>
      </c>
      <c r="D7" s="2" t="n">
        <v>46022</v>
      </c>
      <c r="E7" t="inlineStr">
        <is>
          <t>3Y</t>
        </is>
      </c>
      <c r="F7" t="n">
        <v>3.418237174115868</v>
      </c>
      <c r="G7" t="n">
        <v>1.631696691378837</v>
      </c>
      <c r="H7" t="n">
        <v>4.714209291376426</v>
      </c>
      <c r="I7" t="n">
        <v>1.971483499348792</v>
      </c>
      <c r="J7" t="n">
        <v>-2.619249013720248</v>
      </c>
      <c r="K7" t="n">
        <v>-0.7124530377975224</v>
      </c>
      <c r="L7" t="n">
        <v>3.780882125437479</v>
      </c>
      <c r="M7" t="n">
        <v>3.263156230678832</v>
      </c>
      <c r="N7" t="n">
        <v>0.5177258947586472</v>
      </c>
      <c r="O7" t="n">
        <v>-1.446753674767076</v>
      </c>
      <c r="P7" t="inlineStr">
        <is>
          <t>Australia|SAUS.L|3Y</t>
        </is>
      </c>
      <c r="Q7" t="inlineStr">
        <is>
          <t>Australia|3Y</t>
        </is>
      </c>
      <c r="R7" t="inlineStr">
        <is>
          <t>GBp</t>
        </is>
      </c>
    </row>
    <row r="8">
      <c r="A8" t="inlineStr">
        <is>
          <t>Australia</t>
        </is>
      </c>
      <c r="B8" t="inlineStr">
        <is>
          <t>AUS</t>
        </is>
      </c>
      <c r="C8" t="inlineStr">
        <is>
          <t>SAUS.L</t>
        </is>
      </c>
      <c r="D8" s="2" t="n">
        <v>46022</v>
      </c>
      <c r="E8" t="inlineStr">
        <is>
          <t>5Y</t>
        </is>
      </c>
      <c r="F8" t="n">
        <v>5.914108073588009</v>
      </c>
      <c r="G8" t="n">
        <v>2.876765659684222</v>
      </c>
      <c r="H8" t="n">
        <v>7.630855851544416</v>
      </c>
      <c r="I8" t="n">
        <v>6.069138739652113</v>
      </c>
      <c r="J8" t="n">
        <v>-1.450993823686542</v>
      </c>
      <c r="K8" t="n">
        <v>-2.81449336084405</v>
      </c>
      <c r="L8" t="n">
        <v>4.155883551559447</v>
      </c>
      <c r="M8" t="n">
        <v>4.476417270751631</v>
      </c>
      <c r="N8" t="n">
        <v>-0.3205337191921842</v>
      </c>
      <c r="O8" t="n">
        <v>0.1550306660641043</v>
      </c>
      <c r="P8" t="inlineStr">
        <is>
          <t>Australia|SAUS.L|5Y</t>
        </is>
      </c>
      <c r="Q8" t="inlineStr">
        <is>
          <t>Australia|5Y</t>
        </is>
      </c>
      <c r="R8" t="inlineStr">
        <is>
          <t>GBp</t>
        </is>
      </c>
    </row>
    <row r="9">
      <c r="A9" t="inlineStr">
        <is>
          <t>Australia</t>
        </is>
      </c>
      <c r="B9" t="inlineStr">
        <is>
          <t>AUS</t>
        </is>
      </c>
      <c r="C9" t="inlineStr">
        <is>
          <t>SAUS.L</t>
        </is>
      </c>
      <c r="D9" s="2" t="n">
        <v>46022</v>
      </c>
      <c r="E9" t="inlineStr">
        <is>
          <t>10Y</t>
        </is>
      </c>
      <c r="F9" t="n">
        <v>7.602351011408959</v>
      </c>
      <c r="G9" t="n">
        <v>2.213055120465901</v>
      </c>
      <c r="H9" t="n">
        <v>5.687701418277991</v>
      </c>
      <c r="I9" t="n">
        <v>4.017148053168307</v>
      </c>
      <c r="J9" t="n">
        <v>-1.580650676854467</v>
      </c>
      <c r="K9" t="n">
        <v>-0.8476119290471096</v>
      </c>
      <c r="L9" t="n">
        <v>2.835248638763499</v>
      </c>
      <c r="M9" t="n">
        <v>3.119152472830278</v>
      </c>
      <c r="N9" t="n">
        <v>-0.2839038340667788</v>
      </c>
      <c r="O9" t="n">
        <v>-3.585202958240652</v>
      </c>
      <c r="P9" t="inlineStr">
        <is>
          <t>Australia|SAUS.L|10Y</t>
        </is>
      </c>
      <c r="Q9" t="inlineStr">
        <is>
          <t>Australia|10Y</t>
        </is>
      </c>
      <c r="R9" t="inlineStr">
        <is>
          <t>GBp</t>
        </is>
      </c>
    </row>
    <row r="10">
      <c r="A10" t="inlineStr">
        <is>
          <t>Austria</t>
        </is>
      </c>
      <c r="B10" t="inlineStr">
        <is>
          <t>AUT</t>
        </is>
      </c>
      <c r="C10" t="inlineStr"/>
      <c r="D10" s="2" t="n">
        <v>46022</v>
      </c>
      <c r="E10" t="inlineStr">
        <is>
          <t>1Y</t>
        </is>
      </c>
      <c r="F10" t="inlineStr"/>
      <c r="G10" t="n">
        <v>0.2699999999999925</v>
      </c>
      <c r="H10" t="n">
        <v>3.565711999999999</v>
      </c>
      <c r="I10" t="n">
        <v>8.111368000000008</v>
      </c>
      <c r="J10" t="n">
        <v>4.389151128110114</v>
      </c>
      <c r="K10" t="n">
        <v>13.51067566275939</v>
      </c>
      <c r="L10" t="n">
        <v>3.561999999999999</v>
      </c>
      <c r="M10" t="n">
        <v>2.715000000000001</v>
      </c>
      <c r="N10" t="n">
        <v>0.8469999999999978</v>
      </c>
      <c r="O10" t="inlineStr"/>
      <c r="P10" t="inlineStr">
        <is>
          <t>Austria||1Y</t>
        </is>
      </c>
      <c r="Q10" t="inlineStr">
        <is>
          <t>Austria|1Y</t>
        </is>
      </c>
      <c r="R10" t="inlineStr"/>
    </row>
    <row r="11">
      <c r="A11" t="inlineStr">
        <is>
          <t>Austria</t>
        </is>
      </c>
      <c r="B11" t="inlineStr">
        <is>
          <t>AUT</t>
        </is>
      </c>
      <c r="C11" t="inlineStr"/>
      <c r="D11" s="2" t="n">
        <v>46022</v>
      </c>
      <c r="E11" t="inlineStr">
        <is>
          <t>3Y</t>
        </is>
      </c>
      <c r="F11" t="inlineStr"/>
      <c r="G11" t="n">
        <v>-0.5597198003432946</v>
      </c>
      <c r="H11" t="n">
        <v>3.830641355473641</v>
      </c>
      <c r="I11" t="n">
        <v>6.258478975410275</v>
      </c>
      <c r="J11" t="n">
        <v>2.338266986143167</v>
      </c>
      <c r="K11" t="n">
        <v>3.139608669247629</v>
      </c>
      <c r="L11" t="n">
        <v>4.709307083821779</v>
      </c>
      <c r="M11" t="n">
        <v>3.263156230678832</v>
      </c>
      <c r="N11" t="n">
        <v>1.446150853142947</v>
      </c>
      <c r="O11" t="inlineStr"/>
      <c r="P11" t="inlineStr">
        <is>
          <t>Austria||3Y</t>
        </is>
      </c>
      <c r="Q11" t="inlineStr">
        <is>
          <t>Austria|3Y</t>
        </is>
      </c>
      <c r="R11" t="inlineStr"/>
    </row>
    <row r="12">
      <c r="A12" t="inlineStr">
        <is>
          <t>Austria</t>
        </is>
      </c>
      <c r="B12" t="inlineStr">
        <is>
          <t>AUT</t>
        </is>
      </c>
      <c r="C12" t="inlineStr"/>
      <c r="D12" s="2" t="n">
        <v>46022</v>
      </c>
      <c r="E12" t="inlineStr">
        <is>
          <t>5Y</t>
        </is>
      </c>
      <c r="F12" t="inlineStr"/>
      <c r="G12" t="n">
        <v>1.641962360574434</v>
      </c>
      <c r="H12" t="n">
        <v>5.687325157601042</v>
      </c>
      <c r="I12" t="n">
        <v>5.46911067894349</v>
      </c>
      <c r="J12" t="n">
        <v>-0.2064716611025252</v>
      </c>
      <c r="K12" t="n">
        <v>-0.7159122239312588</v>
      </c>
      <c r="L12" t="n">
        <v>5.084134237638671</v>
      </c>
      <c r="M12" t="n">
        <v>4.476417270751631</v>
      </c>
      <c r="N12" t="n">
        <v>0.6077169668870397</v>
      </c>
      <c r="O12" t="inlineStr"/>
      <c r="P12" t="inlineStr">
        <is>
          <t>Austria||5Y</t>
        </is>
      </c>
      <c r="Q12" t="inlineStr">
        <is>
          <t>Austria|5Y</t>
        </is>
      </c>
      <c r="R12" t="inlineStr"/>
    </row>
    <row r="13">
      <c r="A13" t="inlineStr">
        <is>
          <t>Austria</t>
        </is>
      </c>
      <c r="B13" t="inlineStr">
        <is>
          <t>AUT</t>
        </is>
      </c>
      <c r="C13" t="inlineStr"/>
      <c r="D13" s="2" t="n">
        <v>46022</v>
      </c>
      <c r="E13" t="inlineStr">
        <is>
          <t>10Y</t>
        </is>
      </c>
      <c r="F13" t="inlineStr"/>
      <c r="G13" t="n">
        <v>1.020333584363642</v>
      </c>
      <c r="H13" t="n">
        <v>3.899358260464481</v>
      </c>
      <c r="I13" t="n">
        <v>4.084444379010033</v>
      </c>
      <c r="J13" t="n">
        <v>0.1781398739686635</v>
      </c>
      <c r="K13" t="n">
        <v>0.7920521518232082</v>
      </c>
      <c r="L13" t="n">
        <v>3.34798102463556</v>
      </c>
      <c r="M13" t="n">
        <v>3.119152472830278</v>
      </c>
      <c r="N13" t="n">
        <v>0.2288285518052824</v>
      </c>
      <c r="O13" t="inlineStr"/>
      <c r="P13" t="inlineStr">
        <is>
          <t>Austria||10Y</t>
        </is>
      </c>
      <c r="Q13" t="inlineStr">
        <is>
          <t>Austria|10Y</t>
        </is>
      </c>
      <c r="R13" t="inlineStr"/>
    </row>
    <row r="14">
      <c r="A14" t="inlineStr">
        <is>
          <t>Austria</t>
        </is>
      </c>
      <c r="B14" t="inlineStr">
        <is>
          <t>AUT</t>
        </is>
      </c>
      <c r="C14" t="inlineStr">
        <is>
          <t>EWO</t>
        </is>
      </c>
      <c r="D14" s="2" t="n">
        <v>46022</v>
      </c>
      <c r="E14" t="inlineStr">
        <is>
          <t>1Y</t>
        </is>
      </c>
      <c r="F14" t="n">
        <v>76.7232528375128</v>
      </c>
      <c r="G14" t="n">
        <v>0.2699999999999925</v>
      </c>
      <c r="H14" t="n">
        <v>3.565711999999999</v>
      </c>
      <c r="I14" t="n">
        <v>8.111368000000008</v>
      </c>
      <c r="J14" t="n">
        <v>4.389151128110114</v>
      </c>
      <c r="K14" t="n">
        <v>13.51067566275939</v>
      </c>
      <c r="L14" t="n">
        <v>3.561999999999999</v>
      </c>
      <c r="M14" t="n">
        <v>2.715000000000001</v>
      </c>
      <c r="N14" t="n">
        <v>0.8469999999999978</v>
      </c>
      <c r="O14" t="n">
        <v>-68.61188483751279</v>
      </c>
      <c r="P14" t="inlineStr">
        <is>
          <t>Austria|EWO|1Y</t>
        </is>
      </c>
      <c r="Q14" t="inlineStr">
        <is>
          <t>Austria|1Y</t>
        </is>
      </c>
      <c r="R14" t="inlineStr">
        <is>
          <t>USD</t>
        </is>
      </c>
    </row>
    <row r="15">
      <c r="A15" t="inlineStr">
        <is>
          <t>Austria</t>
        </is>
      </c>
      <c r="B15" t="inlineStr">
        <is>
          <t>AUT</t>
        </is>
      </c>
      <c r="C15" t="inlineStr">
        <is>
          <t>EWO</t>
        </is>
      </c>
      <c r="D15" s="2" t="n">
        <v>46022</v>
      </c>
      <c r="E15" t="inlineStr">
        <is>
          <t>3Y</t>
        </is>
      </c>
      <c r="F15" t="n">
        <v>29.20703325406988</v>
      </c>
      <c r="G15" t="n">
        <v>-0.5597198003432946</v>
      </c>
      <c r="H15" t="n">
        <v>3.830641355473641</v>
      </c>
      <c r="I15" t="n">
        <v>6.258478975410275</v>
      </c>
      <c r="J15" t="n">
        <v>2.338266986143167</v>
      </c>
      <c r="K15" t="n">
        <v>3.139608669247629</v>
      </c>
      <c r="L15" t="n">
        <v>4.709307083821779</v>
      </c>
      <c r="M15" t="n">
        <v>3.263156230678832</v>
      </c>
      <c r="N15" t="n">
        <v>1.446150853142947</v>
      </c>
      <c r="O15" t="n">
        <v>-22.94855427865961</v>
      </c>
      <c r="P15" t="inlineStr">
        <is>
          <t>Austria|EWO|3Y</t>
        </is>
      </c>
      <c r="Q15" t="inlineStr">
        <is>
          <t>Austria|3Y</t>
        </is>
      </c>
      <c r="R15" t="inlineStr">
        <is>
          <t>USD</t>
        </is>
      </c>
    </row>
    <row r="16">
      <c r="A16" t="inlineStr">
        <is>
          <t>Austria</t>
        </is>
      </c>
      <c r="B16" t="inlineStr">
        <is>
          <t>AUT</t>
        </is>
      </c>
      <c r="C16" t="inlineStr">
        <is>
          <t>EWO</t>
        </is>
      </c>
      <c r="D16" s="2" t="n">
        <v>46022</v>
      </c>
      <c r="E16" t="inlineStr">
        <is>
          <t>5Y</t>
        </is>
      </c>
      <c r="F16" t="n">
        <v>17.28922501740371</v>
      </c>
      <c r="G16" t="n">
        <v>1.641962360574434</v>
      </c>
      <c r="H16" t="n">
        <v>5.687325157601042</v>
      </c>
      <c r="I16" t="n">
        <v>5.46911067894349</v>
      </c>
      <c r="J16" t="n">
        <v>-0.2064716611025252</v>
      </c>
      <c r="K16" t="n">
        <v>-0.7159122239312588</v>
      </c>
      <c r="L16" t="n">
        <v>5.084134237638671</v>
      </c>
      <c r="M16" t="n">
        <v>4.476417270751631</v>
      </c>
      <c r="N16" t="n">
        <v>0.6077169668870397</v>
      </c>
      <c r="O16" t="n">
        <v>-11.82011433846022</v>
      </c>
      <c r="P16" t="inlineStr">
        <is>
          <t>Austria|EWO|5Y</t>
        </is>
      </c>
      <c r="Q16" t="inlineStr">
        <is>
          <t>Austria|5Y</t>
        </is>
      </c>
      <c r="R16" t="inlineStr">
        <is>
          <t>USD</t>
        </is>
      </c>
    </row>
    <row r="17">
      <c r="A17" t="inlineStr">
        <is>
          <t>Austria</t>
        </is>
      </c>
      <c r="B17" t="inlineStr">
        <is>
          <t>AUT</t>
        </is>
      </c>
      <c r="C17" t="inlineStr">
        <is>
          <t>EWO</t>
        </is>
      </c>
      <c r="D17" s="2" t="n">
        <v>46022</v>
      </c>
      <c r="E17" t="inlineStr">
        <is>
          <t>10Y</t>
        </is>
      </c>
      <c r="F17" t="n">
        <v>12.50382221454893</v>
      </c>
      <c r="G17" t="n">
        <v>1.020333584363642</v>
      </c>
      <c r="H17" t="n">
        <v>3.899358260464481</v>
      </c>
      <c r="I17" t="n">
        <v>4.084444379010033</v>
      </c>
      <c r="J17" t="n">
        <v>0.1781398739686635</v>
      </c>
      <c r="K17" t="n">
        <v>0.7920521518232082</v>
      </c>
      <c r="L17" t="n">
        <v>3.34798102463556</v>
      </c>
      <c r="M17" t="n">
        <v>3.119152472830278</v>
      </c>
      <c r="N17" t="n">
        <v>0.2288285518052824</v>
      </c>
      <c r="O17" t="n">
        <v>-8.419377835538899</v>
      </c>
      <c r="P17" t="inlineStr">
        <is>
          <t>Austria|EWO|10Y</t>
        </is>
      </c>
      <c r="Q17" t="inlineStr">
        <is>
          <t>Austria|10Y</t>
        </is>
      </c>
      <c r="R17" t="inlineStr">
        <is>
          <t>USD</t>
        </is>
      </c>
    </row>
    <row r="18">
      <c r="A18" t="inlineStr">
        <is>
          <t>Belgium</t>
        </is>
      </c>
      <c r="B18" t="inlineStr">
        <is>
          <t>BEL</t>
        </is>
      </c>
      <c r="C18" t="inlineStr"/>
      <c r="D18" s="2" t="n">
        <v>46022</v>
      </c>
      <c r="E18" t="inlineStr">
        <is>
          <t>1Y</t>
        </is>
      </c>
      <c r="F18" t="inlineStr"/>
      <c r="G18" t="n">
        <v>1.065000000000005</v>
      </c>
      <c r="H18" t="n">
        <v>3.381842000000002</v>
      </c>
      <c r="I18" t="n">
        <v>7.919592000000009</v>
      </c>
      <c r="J18" t="n">
        <v>4.389311263592321</v>
      </c>
      <c r="K18" t="n">
        <v>13.51067566275939</v>
      </c>
      <c r="L18" t="n">
        <v>2.57099999999999</v>
      </c>
      <c r="M18" t="n">
        <v>2.715000000000001</v>
      </c>
      <c r="N18" t="n">
        <v>-0.1440000000000108</v>
      </c>
      <c r="O18" t="inlineStr"/>
      <c r="P18" t="inlineStr">
        <is>
          <t>Belgium||1Y</t>
        </is>
      </c>
      <c r="Q18" t="inlineStr">
        <is>
          <t>Belgium|1Y</t>
        </is>
      </c>
      <c r="R18" t="inlineStr"/>
    </row>
    <row r="19">
      <c r="A19" t="inlineStr">
        <is>
          <t>Belgium</t>
        </is>
      </c>
      <c r="B19" t="inlineStr">
        <is>
          <t>BEL</t>
        </is>
      </c>
      <c r="C19" t="inlineStr"/>
      <c r="D19" s="2" t="n">
        <v>46022</v>
      </c>
      <c r="E19" t="inlineStr">
        <is>
          <t>3Y</t>
        </is>
      </c>
      <c r="F19" t="inlineStr"/>
      <c r="G19" t="n">
        <v>1.095303460892927</v>
      </c>
      <c r="H19" t="n">
        <v>4.035628845517159</v>
      </c>
      <c r="I19" t="n">
        <v>6.468334153287314</v>
      </c>
      <c r="J19" t="n">
        <v>2.338339036694603</v>
      </c>
      <c r="K19" t="n">
        <v>3.139608669247629</v>
      </c>
      <c r="L19" t="n">
        <v>3.058437038101558</v>
      </c>
      <c r="M19" t="n">
        <v>3.263156230678832</v>
      </c>
      <c r="N19" t="n">
        <v>-0.204719192577274</v>
      </c>
      <c r="O19" t="inlineStr"/>
      <c r="P19" t="inlineStr">
        <is>
          <t>Belgium||3Y</t>
        </is>
      </c>
      <c r="Q19" t="inlineStr">
        <is>
          <t>Belgium|3Y</t>
        </is>
      </c>
      <c r="R19" t="inlineStr"/>
    </row>
    <row r="20">
      <c r="A20" t="inlineStr">
        <is>
          <t>Belgium</t>
        </is>
      </c>
      <c r="B20" t="inlineStr">
        <is>
          <t>BEL</t>
        </is>
      </c>
      <c r="C20" t="inlineStr"/>
      <c r="D20" s="2" t="n">
        <v>46022</v>
      </c>
      <c r="E20" t="inlineStr">
        <is>
          <t>5Y</t>
        </is>
      </c>
      <c r="F20" t="inlineStr"/>
      <c r="G20" t="n">
        <v>2.728929042654293</v>
      </c>
      <c r="H20" t="n">
        <v>6.478915963445209</v>
      </c>
      <c r="I20" t="n">
        <v>6.259096021971255</v>
      </c>
      <c r="J20" t="n">
        <v>-0.2064444948057909</v>
      </c>
      <c r="K20" t="n">
        <v>-0.7159122239312588</v>
      </c>
      <c r="L20" t="n">
        <v>4.50567829310613</v>
      </c>
      <c r="M20" t="n">
        <v>4.476417270751631</v>
      </c>
      <c r="N20" t="n">
        <v>0.02926102235449868</v>
      </c>
      <c r="O20" t="inlineStr"/>
      <c r="P20" t="inlineStr">
        <is>
          <t>Belgium||5Y</t>
        </is>
      </c>
      <c r="Q20" t="inlineStr">
        <is>
          <t>Belgium|5Y</t>
        </is>
      </c>
      <c r="R20" t="inlineStr"/>
    </row>
    <row r="21">
      <c r="A21" t="inlineStr">
        <is>
          <t>Belgium</t>
        </is>
      </c>
      <c r="B21" t="inlineStr">
        <is>
          <t>BEL</t>
        </is>
      </c>
      <c r="C21" t="inlineStr"/>
      <c r="D21" s="2" t="n">
        <v>46022</v>
      </c>
      <c r="E21" t="inlineStr">
        <is>
          <t>10Y</t>
        </is>
      </c>
      <c r="F21" t="inlineStr"/>
      <c r="G21" t="n">
        <v>1.559485332753208</v>
      </c>
      <c r="H21" t="n">
        <v>4.327578787081166</v>
      </c>
      <c r="I21" t="n">
        <v>4.513415185860592</v>
      </c>
      <c r="J21" t="n">
        <v>0.178127927233751</v>
      </c>
      <c r="K21" t="n">
        <v>0.7920521518232082</v>
      </c>
      <c r="L21" t="n">
        <v>3.039252941455306</v>
      </c>
      <c r="M21" t="n">
        <v>3.119152472830278</v>
      </c>
      <c r="N21" t="n">
        <v>-0.07989953137497174</v>
      </c>
      <c r="O21" t="inlineStr"/>
      <c r="P21" t="inlineStr">
        <is>
          <t>Belgium||10Y</t>
        </is>
      </c>
      <c r="Q21" t="inlineStr">
        <is>
          <t>Belgium|10Y</t>
        </is>
      </c>
      <c r="R21" t="inlineStr"/>
    </row>
    <row r="22">
      <c r="A22" t="inlineStr">
        <is>
          <t>Belgium</t>
        </is>
      </c>
      <c r="B22" t="inlineStr">
        <is>
          <t>BEL</t>
        </is>
      </c>
      <c r="C22" t="inlineStr">
        <is>
          <t>EWK</t>
        </is>
      </c>
      <c r="D22" s="2" t="n">
        <v>46022</v>
      </c>
      <c r="E22" t="inlineStr">
        <is>
          <t>1Y</t>
        </is>
      </c>
      <c r="F22" t="n">
        <v>35.8567098682157</v>
      </c>
      <c r="G22" t="n">
        <v>1.065000000000005</v>
      </c>
      <c r="H22" t="n">
        <v>3.381842000000002</v>
      </c>
      <c r="I22" t="n">
        <v>7.919592000000009</v>
      </c>
      <c r="J22" t="n">
        <v>4.389311263592321</v>
      </c>
      <c r="K22" t="n">
        <v>13.51067566275939</v>
      </c>
      <c r="L22" t="n">
        <v>2.57099999999999</v>
      </c>
      <c r="M22" t="n">
        <v>2.715000000000001</v>
      </c>
      <c r="N22" t="n">
        <v>-0.1440000000000108</v>
      </c>
      <c r="O22" t="n">
        <v>-27.93711786821569</v>
      </c>
      <c r="P22" t="inlineStr">
        <is>
          <t>Belgium|EWK|1Y</t>
        </is>
      </c>
      <c r="Q22" t="inlineStr">
        <is>
          <t>Belgium|1Y</t>
        </is>
      </c>
      <c r="R22" t="inlineStr">
        <is>
          <t>USD</t>
        </is>
      </c>
    </row>
    <row r="23">
      <c r="A23" t="inlineStr">
        <is>
          <t>Belgium</t>
        </is>
      </c>
      <c r="B23" t="inlineStr">
        <is>
          <t>BEL</t>
        </is>
      </c>
      <c r="C23" t="inlineStr">
        <is>
          <t>EWK</t>
        </is>
      </c>
      <c r="D23" s="2" t="n">
        <v>46022</v>
      </c>
      <c r="E23" t="inlineStr">
        <is>
          <t>3Y</t>
        </is>
      </c>
      <c r="F23" t="n">
        <v>13.25798099382178</v>
      </c>
      <c r="G23" t="n">
        <v>1.095303460892927</v>
      </c>
      <c r="H23" t="n">
        <v>4.035628845517159</v>
      </c>
      <c r="I23" t="n">
        <v>6.468334153287314</v>
      </c>
      <c r="J23" t="n">
        <v>2.338339036694603</v>
      </c>
      <c r="K23" t="n">
        <v>3.139608669247629</v>
      </c>
      <c r="L23" t="n">
        <v>3.058437038101558</v>
      </c>
      <c r="M23" t="n">
        <v>3.263156230678832</v>
      </c>
      <c r="N23" t="n">
        <v>-0.204719192577274</v>
      </c>
      <c r="O23" t="n">
        <v>-6.789646840534468</v>
      </c>
      <c r="P23" t="inlineStr">
        <is>
          <t>Belgium|EWK|3Y</t>
        </is>
      </c>
      <c r="Q23" t="inlineStr">
        <is>
          <t>Belgium|3Y</t>
        </is>
      </c>
      <c r="R23" t="inlineStr">
        <is>
          <t>USD</t>
        </is>
      </c>
    </row>
    <row r="24">
      <c r="A24" t="inlineStr">
        <is>
          <t>Belgium</t>
        </is>
      </c>
      <c r="B24" t="inlineStr">
        <is>
          <t>BEL</t>
        </is>
      </c>
      <c r="C24" t="inlineStr">
        <is>
          <t>EWK</t>
        </is>
      </c>
      <c r="D24" s="2" t="n">
        <v>46022</v>
      </c>
      <c r="E24" t="inlineStr">
        <is>
          <t>5Y</t>
        </is>
      </c>
      <c r="F24" t="n">
        <v>6.939408301654937</v>
      </c>
      <c r="G24" t="n">
        <v>2.728929042654293</v>
      </c>
      <c r="H24" t="n">
        <v>6.478915963445209</v>
      </c>
      <c r="I24" t="n">
        <v>6.259096021971255</v>
      </c>
      <c r="J24" t="n">
        <v>-0.2064444948057909</v>
      </c>
      <c r="K24" t="n">
        <v>-0.7159122239312588</v>
      </c>
      <c r="L24" t="n">
        <v>4.50567829310613</v>
      </c>
      <c r="M24" t="n">
        <v>4.476417270751631</v>
      </c>
      <c r="N24" t="n">
        <v>0.02926102235449868</v>
      </c>
      <c r="O24" t="n">
        <v>-0.6803122796836814</v>
      </c>
      <c r="P24" t="inlineStr">
        <is>
          <t>Belgium|EWK|5Y</t>
        </is>
      </c>
      <c r="Q24" t="inlineStr">
        <is>
          <t>Belgium|5Y</t>
        </is>
      </c>
      <c r="R24" t="inlineStr">
        <is>
          <t>USD</t>
        </is>
      </c>
    </row>
    <row r="25">
      <c r="A25" t="inlineStr">
        <is>
          <t>Belgium</t>
        </is>
      </c>
      <c r="B25" t="inlineStr">
        <is>
          <t>BEL</t>
        </is>
      </c>
      <c r="C25" t="inlineStr">
        <is>
          <t>EWK</t>
        </is>
      </c>
      <c r="D25" s="2" t="n">
        <v>46022</v>
      </c>
      <c r="E25" t="inlineStr">
        <is>
          <t>10Y</t>
        </is>
      </c>
      <c r="F25" t="n">
        <v>5.711669913876816</v>
      </c>
      <c r="G25" t="n">
        <v>1.559485332753208</v>
      </c>
      <c r="H25" t="n">
        <v>4.327578787081166</v>
      </c>
      <c r="I25" t="n">
        <v>4.513415185860592</v>
      </c>
      <c r="J25" t="n">
        <v>0.178127927233751</v>
      </c>
      <c r="K25" t="n">
        <v>0.7920521518232082</v>
      </c>
      <c r="L25" t="n">
        <v>3.039252941455306</v>
      </c>
      <c r="M25" t="n">
        <v>3.119152472830278</v>
      </c>
      <c r="N25" t="n">
        <v>-0.07989953137497174</v>
      </c>
      <c r="O25" t="n">
        <v>-1.198254728016224</v>
      </c>
      <c r="P25" t="inlineStr">
        <is>
          <t>Belgium|EWK|10Y</t>
        </is>
      </c>
      <c r="Q25" t="inlineStr">
        <is>
          <t>Belgium|10Y</t>
        </is>
      </c>
      <c r="R25" t="inlineStr">
        <is>
          <t>USD</t>
        </is>
      </c>
    </row>
    <row r="26">
      <c r="A26" t="inlineStr">
        <is>
          <t>Brazil</t>
        </is>
      </c>
      <c r="B26" t="inlineStr">
        <is>
          <t>BRA</t>
        </is>
      </c>
      <c r="C26" t="inlineStr"/>
      <c r="D26" s="2" t="n">
        <v>46022</v>
      </c>
      <c r="E26" t="inlineStr">
        <is>
          <t>1Y</t>
        </is>
      </c>
      <c r="F26" t="inlineStr"/>
      <c r="G26" t="n">
        <v>2.400000000000002</v>
      </c>
      <c r="H26" t="n">
        <v>7.880595000000001</v>
      </c>
      <c r="I26" t="n">
        <v>3.555865999999996</v>
      </c>
      <c r="J26" t="n">
        <v>-4.008811479073304</v>
      </c>
      <c r="K26" t="n">
        <v>14.19249544694992</v>
      </c>
      <c r="L26" t="n">
        <v>5.187000000000008</v>
      </c>
      <c r="M26" t="n">
        <v>2.715000000000001</v>
      </c>
      <c r="N26" t="n">
        <v>2.472000000000008</v>
      </c>
      <c r="O26" t="inlineStr"/>
      <c r="P26" t="inlineStr">
        <is>
          <t>Brazil||1Y</t>
        </is>
      </c>
      <c r="Q26" t="inlineStr">
        <is>
          <t>Brazil|1Y</t>
        </is>
      </c>
      <c r="R26" t="inlineStr"/>
    </row>
    <row r="27">
      <c r="A27" t="inlineStr">
        <is>
          <t>Brazil</t>
        </is>
      </c>
      <c r="B27" t="inlineStr">
        <is>
          <t>BRA</t>
        </is>
      </c>
      <c r="C27" t="inlineStr"/>
      <c r="D27" s="2" t="n">
        <v>46022</v>
      </c>
      <c r="E27" t="inlineStr">
        <is>
          <t>3Y</t>
        </is>
      </c>
      <c r="F27" t="inlineStr"/>
      <c r="G27" t="n">
        <v>3.011734824017376</v>
      </c>
      <c r="H27" t="n">
        <v>7.922750858447225</v>
      </c>
      <c r="I27" t="n">
        <v>4.959722734469385</v>
      </c>
      <c r="J27" t="n">
        <v>-2.745508583083134</v>
      </c>
      <c r="K27" t="n">
        <v>-1.418741384829625</v>
      </c>
      <c r="L27" t="n">
        <v>4.715429974203089</v>
      </c>
      <c r="M27" t="n">
        <v>3.263156230678832</v>
      </c>
      <c r="N27" t="n">
        <v>1.452273743524257</v>
      </c>
      <c r="O27" t="inlineStr"/>
      <c r="P27" t="inlineStr">
        <is>
          <t>Brazil||3Y</t>
        </is>
      </c>
      <c r="Q27" t="inlineStr">
        <is>
          <t>Brazil|3Y</t>
        </is>
      </c>
      <c r="R27" t="inlineStr"/>
    </row>
    <row r="28">
      <c r="A28" t="inlineStr">
        <is>
          <t>Brazil</t>
        </is>
      </c>
      <c r="B28" t="inlineStr">
        <is>
          <t>BRA</t>
        </is>
      </c>
      <c r="C28" t="inlineStr"/>
      <c r="D28" s="2" t="n">
        <v>46022</v>
      </c>
      <c r="E28" t="inlineStr">
        <is>
          <t>5Y</t>
        </is>
      </c>
      <c r="F28" t="inlineStr"/>
      <c r="G28" t="n">
        <v>3.360686629120346</v>
      </c>
      <c r="H28" t="n">
        <v>10.73496860740488</v>
      </c>
      <c r="I28" t="n">
        <v>8.862966074133084</v>
      </c>
      <c r="J28" t="n">
        <v>-1.690525362648276</v>
      </c>
      <c r="K28" t="n">
        <v>-1.206582699453351</v>
      </c>
      <c r="L28" t="n">
        <v>6.326578977105179</v>
      </c>
      <c r="M28" t="n">
        <v>4.476417270751631</v>
      </c>
      <c r="N28" t="n">
        <v>1.850161706353548</v>
      </c>
      <c r="O28" t="inlineStr"/>
      <c r="P28" t="inlineStr">
        <is>
          <t>Brazil||5Y</t>
        </is>
      </c>
      <c r="Q28" t="inlineStr">
        <is>
          <t>Brazil|5Y</t>
        </is>
      </c>
      <c r="R28" t="inlineStr"/>
    </row>
    <row r="29">
      <c r="A29" t="inlineStr">
        <is>
          <t>Brazil</t>
        </is>
      </c>
      <c r="B29" t="inlineStr">
        <is>
          <t>BRA</t>
        </is>
      </c>
      <c r="C29" t="inlineStr"/>
      <c r="D29" s="2" t="n">
        <v>46022</v>
      </c>
      <c r="E29" t="inlineStr">
        <is>
          <t>10Y</t>
        </is>
      </c>
      <c r="F29" t="inlineStr"/>
      <c r="G29" t="n">
        <v>1.426143163517724</v>
      </c>
      <c r="H29" t="n">
        <v>7.769021553230471</v>
      </c>
      <c r="I29" t="n">
        <v>2.287617784642992</v>
      </c>
      <c r="J29" t="n">
        <v>-5.086251906712747</v>
      </c>
      <c r="K29" t="n">
        <v>-3.285986132349972</v>
      </c>
      <c r="L29" t="n">
        <v>5.428772935012116</v>
      </c>
      <c r="M29" t="n">
        <v>3.119152472830278</v>
      </c>
      <c r="N29" t="n">
        <v>2.309620462181838</v>
      </c>
      <c r="O29" t="inlineStr"/>
      <c r="P29" t="inlineStr">
        <is>
          <t>Brazil||10Y</t>
        </is>
      </c>
      <c r="Q29" t="inlineStr">
        <is>
          <t>Brazil|10Y</t>
        </is>
      </c>
      <c r="R29" t="inlineStr"/>
    </row>
    <row r="30">
      <c r="A30" t="inlineStr">
        <is>
          <t>Brazil</t>
        </is>
      </c>
      <c r="B30" t="inlineStr">
        <is>
          <t>BRA</t>
        </is>
      </c>
      <c r="C30" t="inlineStr">
        <is>
          <t>XMBR.L</t>
        </is>
      </c>
      <c r="D30" s="2" t="n">
        <v>46022</v>
      </c>
      <c r="E30" t="inlineStr">
        <is>
          <t>1Y</t>
        </is>
      </c>
      <c r="F30" t="n">
        <v>46.25667738405066</v>
      </c>
      <c r="G30" t="n">
        <v>2.400000000000002</v>
      </c>
      <c r="H30" t="n">
        <v>7.880595000000001</v>
      </c>
      <c r="I30" t="n">
        <v>3.555865999999996</v>
      </c>
      <c r="J30" t="n">
        <v>-4.008811479073304</v>
      </c>
      <c r="K30" t="n">
        <v>14.19249544694992</v>
      </c>
      <c r="L30" t="n">
        <v>5.187000000000008</v>
      </c>
      <c r="M30" t="n">
        <v>2.715000000000001</v>
      </c>
      <c r="N30" t="n">
        <v>2.472000000000008</v>
      </c>
      <c r="O30" t="n">
        <v>-42.70081138405067</v>
      </c>
      <c r="P30" t="inlineStr">
        <is>
          <t>Brazil|XMBR.L|1Y</t>
        </is>
      </c>
      <c r="Q30" t="inlineStr">
        <is>
          <t>Brazil|1Y</t>
        </is>
      </c>
      <c r="R30" t="inlineStr">
        <is>
          <t>GBp</t>
        </is>
      </c>
    </row>
    <row r="31">
      <c r="A31" t="inlineStr">
        <is>
          <t>Brazil</t>
        </is>
      </c>
      <c r="B31" t="inlineStr">
        <is>
          <t>BRA</t>
        </is>
      </c>
      <c r="C31" t="inlineStr">
        <is>
          <t>XMBR.L</t>
        </is>
      </c>
      <c r="D31" s="2" t="n">
        <v>46022</v>
      </c>
      <c r="E31" t="inlineStr">
        <is>
          <t>3Y</t>
        </is>
      </c>
      <c r="F31" t="n">
        <v>13.23039689777374</v>
      </c>
      <c r="G31" t="n">
        <v>3.011734824017376</v>
      </c>
      <c r="H31" t="n">
        <v>7.922750858447225</v>
      </c>
      <c r="I31" t="n">
        <v>4.959722734469385</v>
      </c>
      <c r="J31" t="n">
        <v>-2.745508583083134</v>
      </c>
      <c r="K31" t="n">
        <v>-1.418741384829625</v>
      </c>
      <c r="L31" t="n">
        <v>4.715429974203089</v>
      </c>
      <c r="M31" t="n">
        <v>3.263156230678832</v>
      </c>
      <c r="N31" t="n">
        <v>1.452273743524257</v>
      </c>
      <c r="O31" t="n">
        <v>-8.27067416330436</v>
      </c>
      <c r="P31" t="inlineStr">
        <is>
          <t>Brazil|XMBR.L|3Y</t>
        </is>
      </c>
      <c r="Q31" t="inlineStr">
        <is>
          <t>Brazil|3Y</t>
        </is>
      </c>
      <c r="R31" t="inlineStr">
        <is>
          <t>GBp</t>
        </is>
      </c>
    </row>
    <row r="32">
      <c r="A32" t="inlineStr">
        <is>
          <t>Brazil</t>
        </is>
      </c>
      <c r="B32" t="inlineStr">
        <is>
          <t>BRA</t>
        </is>
      </c>
      <c r="C32" t="inlineStr">
        <is>
          <t>XMBR.L</t>
        </is>
      </c>
      <c r="D32" s="2" t="n">
        <v>46022</v>
      </c>
      <c r="E32" t="inlineStr">
        <is>
          <t>5Y</t>
        </is>
      </c>
      <c r="F32" t="n">
        <v>4.918415631236828</v>
      </c>
      <c r="G32" t="n">
        <v>3.360686629120346</v>
      </c>
      <c r="H32" t="n">
        <v>10.73496860740488</v>
      </c>
      <c r="I32" t="n">
        <v>8.862966074133084</v>
      </c>
      <c r="J32" t="n">
        <v>-1.690525362648276</v>
      </c>
      <c r="K32" t="n">
        <v>-1.206582699453351</v>
      </c>
      <c r="L32" t="n">
        <v>6.326578977105179</v>
      </c>
      <c r="M32" t="n">
        <v>4.476417270751631</v>
      </c>
      <c r="N32" t="n">
        <v>1.850161706353548</v>
      </c>
      <c r="O32" t="n">
        <v>3.944550442896256</v>
      </c>
      <c r="P32" t="inlineStr">
        <is>
          <t>Brazil|XMBR.L|5Y</t>
        </is>
      </c>
      <c r="Q32" t="inlineStr">
        <is>
          <t>Brazil|5Y</t>
        </is>
      </c>
      <c r="R32" t="inlineStr">
        <is>
          <t>GBp</t>
        </is>
      </c>
    </row>
    <row r="33">
      <c r="A33" t="inlineStr">
        <is>
          <t>Brazil</t>
        </is>
      </c>
      <c r="B33" t="inlineStr">
        <is>
          <t>BRA</t>
        </is>
      </c>
      <c r="C33" t="inlineStr">
        <is>
          <t>XMBR.L</t>
        </is>
      </c>
      <c r="D33" s="2" t="n">
        <v>46022</v>
      </c>
      <c r="E33" t="inlineStr">
        <is>
          <t>10Y</t>
        </is>
      </c>
      <c r="F33" t="n">
        <v>10.03799955124756</v>
      </c>
      <c r="G33" t="n">
        <v>1.426143163517724</v>
      </c>
      <c r="H33" t="n">
        <v>7.769021553230471</v>
      </c>
      <c r="I33" t="n">
        <v>2.287617784642992</v>
      </c>
      <c r="J33" t="n">
        <v>-5.086251906712747</v>
      </c>
      <c r="K33" t="n">
        <v>-3.285986132349972</v>
      </c>
      <c r="L33" t="n">
        <v>5.428772935012116</v>
      </c>
      <c r="M33" t="n">
        <v>3.119152472830278</v>
      </c>
      <c r="N33" t="n">
        <v>2.309620462181838</v>
      </c>
      <c r="O33" t="n">
        <v>-7.750381766604563</v>
      </c>
      <c r="P33" t="inlineStr">
        <is>
          <t>Brazil|XMBR.L|10Y</t>
        </is>
      </c>
      <c r="Q33" t="inlineStr">
        <is>
          <t>Brazil|10Y</t>
        </is>
      </c>
      <c r="R33" t="inlineStr">
        <is>
          <t>GBp</t>
        </is>
      </c>
    </row>
    <row r="34">
      <c r="A34" t="inlineStr">
        <is>
          <t>Canada</t>
        </is>
      </c>
      <c r="B34" t="inlineStr">
        <is>
          <t>CAN</t>
        </is>
      </c>
      <c r="C34" t="inlineStr"/>
      <c r="D34" s="2" t="n">
        <v>46022</v>
      </c>
      <c r="E34" t="inlineStr">
        <is>
          <t>1Y</t>
        </is>
      </c>
      <c r="F34" t="inlineStr"/>
      <c r="G34" t="n">
        <v>1.153000000000004</v>
      </c>
      <c r="H34" t="n">
        <v>3.577136000000003</v>
      </c>
      <c r="I34" t="n">
        <v>1.781126</v>
      </c>
      <c r="J34" t="n">
        <v>-1.733983311730536</v>
      </c>
      <c r="K34" t="n">
        <v>4.801681576005423</v>
      </c>
      <c r="L34" t="n">
        <v>1.963000000000004</v>
      </c>
      <c r="M34" t="n">
        <v>2.715000000000001</v>
      </c>
      <c r="N34" t="n">
        <v>-0.7519999999999971</v>
      </c>
      <c r="O34" t="inlineStr"/>
      <c r="P34" t="inlineStr">
        <is>
          <t>Canada||1Y</t>
        </is>
      </c>
      <c r="Q34" t="inlineStr">
        <is>
          <t>Canada|1Y</t>
        </is>
      </c>
      <c r="R34" t="inlineStr"/>
    </row>
    <row r="35">
      <c r="A35" t="inlineStr">
        <is>
          <t>Canada</t>
        </is>
      </c>
      <c r="B35" t="inlineStr">
        <is>
          <t>CAN</t>
        </is>
      </c>
      <c r="C35" t="inlineStr"/>
      <c r="D35" s="2" t="n">
        <v>46022</v>
      </c>
      <c r="E35" t="inlineStr">
        <is>
          <t>3Y</t>
        </is>
      </c>
      <c r="F35" t="inlineStr"/>
      <c r="G35" t="n">
        <v>1.41216684477361</v>
      </c>
      <c r="H35" t="n">
        <v>3.732612451412498</v>
      </c>
      <c r="I35" t="n">
        <v>1.398472365875003</v>
      </c>
      <c r="J35" t="n">
        <v>-2.250150851035193</v>
      </c>
      <c r="K35" t="n">
        <v>-0.4587463854391349</v>
      </c>
      <c r="L35" t="n">
        <v>2.745381200556363</v>
      </c>
      <c r="M35" t="n">
        <v>3.263156230678832</v>
      </c>
      <c r="N35" t="n">
        <v>-0.5177750301224693</v>
      </c>
      <c r="O35" t="inlineStr"/>
      <c r="P35" t="inlineStr">
        <is>
          <t>Canada||3Y</t>
        </is>
      </c>
      <c r="Q35" t="inlineStr">
        <is>
          <t>Canada|3Y</t>
        </is>
      </c>
      <c r="R35" t="inlineStr"/>
    </row>
    <row r="36">
      <c r="A36" t="inlineStr">
        <is>
          <t>Canada</t>
        </is>
      </c>
      <c r="B36" t="inlineStr">
        <is>
          <t>CAN</t>
        </is>
      </c>
      <c r="C36" t="inlineStr"/>
      <c r="D36" s="2" t="n">
        <v>46022</v>
      </c>
      <c r="E36" t="inlineStr">
        <is>
          <t>5Y</t>
        </is>
      </c>
      <c r="F36" t="inlineStr"/>
      <c r="G36" t="n">
        <v>2.858319210914595</v>
      </c>
      <c r="H36" t="n">
        <v>7.462166819193849</v>
      </c>
      <c r="I36" t="n">
        <v>6.642035799710189</v>
      </c>
      <c r="J36" t="n">
        <v>-0.7631813379923247</v>
      </c>
      <c r="K36" t="n">
        <v>-2.076440891129894</v>
      </c>
      <c r="L36" t="n">
        <v>3.670325481783587</v>
      </c>
      <c r="M36" t="n">
        <v>4.476417270751631</v>
      </c>
      <c r="N36" t="n">
        <v>-0.8060917889680441</v>
      </c>
      <c r="O36" t="inlineStr"/>
      <c r="P36" t="inlineStr">
        <is>
          <t>Canada||5Y</t>
        </is>
      </c>
      <c r="Q36" t="inlineStr">
        <is>
          <t>Canada|5Y</t>
        </is>
      </c>
      <c r="R36" t="inlineStr"/>
    </row>
    <row r="37">
      <c r="A37" t="inlineStr">
        <is>
          <t>Canada</t>
        </is>
      </c>
      <c r="B37" t="inlineStr">
        <is>
          <t>CAN</t>
        </is>
      </c>
      <c r="C37" t="inlineStr"/>
      <c r="D37" s="2" t="n">
        <v>46022</v>
      </c>
      <c r="E37" t="inlineStr">
        <is>
          <t>10Y</t>
        </is>
      </c>
      <c r="F37" t="inlineStr"/>
      <c r="G37" t="n">
        <v>1.76951597941728</v>
      </c>
      <c r="H37" t="n">
        <v>4.804148011819365</v>
      </c>
      <c r="I37" t="n">
        <v>3.907488816771632</v>
      </c>
      <c r="J37" t="n">
        <v>-0.8555569663309726</v>
      </c>
      <c r="K37" t="n">
        <v>0.1331294394846472</v>
      </c>
      <c r="L37" t="n">
        <v>2.62521624045553</v>
      </c>
      <c r="M37" t="n">
        <v>3.119152472830278</v>
      </c>
      <c r="N37" t="n">
        <v>-0.4939362323747476</v>
      </c>
      <c r="O37" t="inlineStr"/>
      <c r="P37" t="inlineStr">
        <is>
          <t>Canada||10Y</t>
        </is>
      </c>
      <c r="Q37" t="inlineStr">
        <is>
          <t>Canada|10Y</t>
        </is>
      </c>
      <c r="R37" t="inlineStr"/>
    </row>
    <row r="38">
      <c r="A38" t="inlineStr">
        <is>
          <t>Canada</t>
        </is>
      </c>
      <c r="B38" t="inlineStr">
        <is>
          <t>CAN</t>
        </is>
      </c>
      <c r="C38" t="inlineStr">
        <is>
          <t>CSCA.L</t>
        </is>
      </c>
      <c r="D38" s="2" t="n">
        <v>46022</v>
      </c>
      <c r="E38" t="inlineStr">
        <is>
          <t>1Y</t>
        </is>
      </c>
      <c r="F38" t="n">
        <v>34.38498623616874</v>
      </c>
      <c r="G38" t="n">
        <v>1.153000000000004</v>
      </c>
      <c r="H38" t="n">
        <v>3.577136000000003</v>
      </c>
      <c r="I38" t="n">
        <v>1.781126</v>
      </c>
      <c r="J38" t="n">
        <v>-1.733983311730536</v>
      </c>
      <c r="K38" t="n">
        <v>4.801681576005423</v>
      </c>
      <c r="L38" t="n">
        <v>1.963000000000004</v>
      </c>
      <c r="M38" t="n">
        <v>2.715000000000001</v>
      </c>
      <c r="N38" t="n">
        <v>-0.7519999999999971</v>
      </c>
      <c r="O38" t="n">
        <v>-32.60386023616874</v>
      </c>
      <c r="P38" t="inlineStr">
        <is>
          <t>Canada|CSCA.L|1Y</t>
        </is>
      </c>
      <c r="Q38" t="inlineStr">
        <is>
          <t>Canada|1Y</t>
        </is>
      </c>
      <c r="R38" t="inlineStr">
        <is>
          <t>GBp</t>
        </is>
      </c>
    </row>
    <row r="39">
      <c r="A39" t="inlineStr">
        <is>
          <t>Canada</t>
        </is>
      </c>
      <c r="B39" t="inlineStr">
        <is>
          <t>CAN</t>
        </is>
      </c>
      <c r="C39" t="inlineStr">
        <is>
          <t>CSCA.L</t>
        </is>
      </c>
      <c r="D39" s="2" t="n">
        <v>46022</v>
      </c>
      <c r="E39" t="inlineStr">
        <is>
          <t>3Y</t>
        </is>
      </c>
      <c r="F39" t="n">
        <v>20.36976059901565</v>
      </c>
      <c r="G39" t="n">
        <v>1.41216684477361</v>
      </c>
      <c r="H39" t="n">
        <v>3.732612451412498</v>
      </c>
      <c r="I39" t="n">
        <v>1.398472365875003</v>
      </c>
      <c r="J39" t="n">
        <v>-2.250150851035193</v>
      </c>
      <c r="K39" t="n">
        <v>-0.4587463854391349</v>
      </c>
      <c r="L39" t="n">
        <v>2.745381200556363</v>
      </c>
      <c r="M39" t="n">
        <v>3.263156230678832</v>
      </c>
      <c r="N39" t="n">
        <v>-0.5177750301224693</v>
      </c>
      <c r="O39" t="n">
        <v>-18.97128823314065</v>
      </c>
      <c r="P39" t="inlineStr">
        <is>
          <t>Canada|CSCA.L|3Y</t>
        </is>
      </c>
      <c r="Q39" t="inlineStr">
        <is>
          <t>Canada|3Y</t>
        </is>
      </c>
      <c r="R39" t="inlineStr">
        <is>
          <t>GBp</t>
        </is>
      </c>
    </row>
    <row r="40">
      <c r="A40" t="inlineStr">
        <is>
          <t>Canada</t>
        </is>
      </c>
      <c r="B40" t="inlineStr">
        <is>
          <t>CAN</t>
        </is>
      </c>
      <c r="C40" t="inlineStr">
        <is>
          <t>CSCA.L</t>
        </is>
      </c>
      <c r="D40" s="2" t="n">
        <v>46022</v>
      </c>
      <c r="E40" t="inlineStr">
        <is>
          <t>5Y</t>
        </is>
      </c>
      <c r="F40" t="n">
        <v>13.58488952119343</v>
      </c>
      <c r="G40" t="n">
        <v>2.858319210914595</v>
      </c>
      <c r="H40" t="n">
        <v>7.462166819193849</v>
      </c>
      <c r="I40" t="n">
        <v>6.642035799710189</v>
      </c>
      <c r="J40" t="n">
        <v>-0.7631813379923247</v>
      </c>
      <c r="K40" t="n">
        <v>-2.076440891129894</v>
      </c>
      <c r="L40" t="n">
        <v>3.670325481783587</v>
      </c>
      <c r="M40" t="n">
        <v>4.476417270751631</v>
      </c>
      <c r="N40" t="n">
        <v>-0.8060917889680441</v>
      </c>
      <c r="O40" t="n">
        <v>-6.942853721483243</v>
      </c>
      <c r="P40" t="inlineStr">
        <is>
          <t>Canada|CSCA.L|5Y</t>
        </is>
      </c>
      <c r="Q40" t="inlineStr">
        <is>
          <t>Canada|5Y</t>
        </is>
      </c>
      <c r="R40" t="inlineStr">
        <is>
          <t>GBp</t>
        </is>
      </c>
    </row>
    <row r="41">
      <c r="A41" t="inlineStr">
        <is>
          <t>Canada</t>
        </is>
      </c>
      <c r="B41" t="inlineStr">
        <is>
          <t>CAN</t>
        </is>
      </c>
      <c r="C41" t="inlineStr">
        <is>
          <t>CSCA.L</t>
        </is>
      </c>
      <c r="D41" s="2" t="n">
        <v>46022</v>
      </c>
      <c r="E41" t="inlineStr">
        <is>
          <t>10Y</t>
        </is>
      </c>
      <c r="F41" t="n">
        <v>11.60632504951762</v>
      </c>
      <c r="G41" t="n">
        <v>1.76951597941728</v>
      </c>
      <c r="H41" t="n">
        <v>4.804148011819365</v>
      </c>
      <c r="I41" t="n">
        <v>3.907488816771632</v>
      </c>
      <c r="J41" t="n">
        <v>-0.8555569663309726</v>
      </c>
      <c r="K41" t="n">
        <v>0.1331294394846472</v>
      </c>
      <c r="L41" t="n">
        <v>2.62521624045553</v>
      </c>
      <c r="M41" t="n">
        <v>3.119152472830278</v>
      </c>
      <c r="N41" t="n">
        <v>-0.4939362323747476</v>
      </c>
      <c r="O41" t="n">
        <v>-7.698836232745987</v>
      </c>
      <c r="P41" t="inlineStr">
        <is>
          <t>Canada|CSCA.L|10Y</t>
        </is>
      </c>
      <c r="Q41" t="inlineStr">
        <is>
          <t>Canada|10Y</t>
        </is>
      </c>
      <c r="R41" t="inlineStr">
        <is>
          <t>GBp</t>
        </is>
      </c>
    </row>
    <row r="42">
      <c r="A42" t="inlineStr">
        <is>
          <t>China</t>
        </is>
      </c>
      <c r="B42" t="inlineStr">
        <is>
          <t>CHN</t>
        </is>
      </c>
      <c r="C42" t="inlineStr"/>
      <c r="D42" s="2" t="n">
        <v>46022</v>
      </c>
      <c r="E42" t="inlineStr">
        <is>
          <t>1Y</t>
        </is>
      </c>
      <c r="F42" t="inlineStr"/>
      <c r="G42" t="n">
        <v>4.796</v>
      </c>
      <c r="H42" t="n">
        <v>3.64467100000001</v>
      </c>
      <c r="I42" t="n">
        <v>3.46040700000001</v>
      </c>
      <c r="J42" t="n">
        <v>-0.1777842601448754</v>
      </c>
      <c r="K42" t="n">
        <v>4.316696587463187</v>
      </c>
      <c r="L42" t="n">
        <v>0.01299999999999635</v>
      </c>
      <c r="M42" t="n">
        <v>2.715000000000001</v>
      </c>
      <c r="N42" t="n">
        <v>-2.702000000000004</v>
      </c>
      <c r="O42" t="inlineStr"/>
      <c r="P42" t="inlineStr">
        <is>
          <t>China||1Y</t>
        </is>
      </c>
      <c r="Q42" t="inlineStr">
        <is>
          <t>China|1Y</t>
        </is>
      </c>
      <c r="R42" t="inlineStr"/>
    </row>
    <row r="43">
      <c r="A43" t="inlineStr">
        <is>
          <t>China</t>
        </is>
      </c>
      <c r="B43" t="inlineStr">
        <is>
          <t>CHN</t>
        </is>
      </c>
      <c r="C43" t="inlineStr"/>
      <c r="D43" s="2" t="n">
        <v>46022</v>
      </c>
      <c r="E43" t="inlineStr">
        <is>
          <t>3Y</t>
        </is>
      </c>
      <c r="F43" t="inlineStr"/>
      <c r="G43" t="n">
        <v>5.058391676643859</v>
      </c>
      <c r="H43" t="n">
        <v>4.273200328892157</v>
      </c>
      <c r="I43" t="n">
        <v>1.947781205188015</v>
      </c>
      <c r="J43" t="n">
        <v>-2.23012168032457</v>
      </c>
      <c r="K43" t="n">
        <v>-0.4748958540134351</v>
      </c>
      <c r="L43" t="n">
        <v>0.1509522272071351</v>
      </c>
      <c r="M43" t="n">
        <v>3.263156230678832</v>
      </c>
      <c r="N43" t="n">
        <v>-3.112204003471697</v>
      </c>
      <c r="O43" t="inlineStr"/>
      <c r="P43" t="inlineStr">
        <is>
          <t>China||3Y</t>
        </is>
      </c>
      <c r="Q43" t="inlineStr">
        <is>
          <t>China|3Y</t>
        </is>
      </c>
      <c r="R43" t="inlineStr"/>
    </row>
    <row r="44">
      <c r="A44" t="inlineStr">
        <is>
          <t>China</t>
        </is>
      </c>
      <c r="B44" t="inlineStr">
        <is>
          <t>CHN</t>
        </is>
      </c>
      <c r="C44" t="inlineStr"/>
      <c r="D44" s="2" t="n">
        <v>46022</v>
      </c>
      <c r="E44" t="inlineStr">
        <is>
          <t>5Y</t>
        </is>
      </c>
      <c r="F44" t="inlineStr"/>
      <c r="G44" t="n">
        <v>5.354006833547209</v>
      </c>
      <c r="H44" t="n">
        <v>6.055050913295212</v>
      </c>
      <c r="I44" t="n">
        <v>5.133053360423401</v>
      </c>
      <c r="J44" t="n">
        <v>-0.8693576098023126</v>
      </c>
      <c r="K44" t="n">
        <v>-1.364318526830477</v>
      </c>
      <c r="L44" t="n">
        <v>0.6666275636938446</v>
      </c>
      <c r="M44" t="n">
        <v>4.476417270751631</v>
      </c>
      <c r="N44" t="n">
        <v>-3.809789707057787</v>
      </c>
      <c r="O44" t="inlineStr"/>
      <c r="P44" t="inlineStr">
        <is>
          <t>China||5Y</t>
        </is>
      </c>
      <c r="Q44" t="inlineStr">
        <is>
          <t>China|5Y</t>
        </is>
      </c>
      <c r="R44" t="inlineStr"/>
    </row>
    <row r="45">
      <c r="A45" t="inlineStr">
        <is>
          <t>China</t>
        </is>
      </c>
      <c r="B45" t="inlineStr">
        <is>
          <t>CHN</t>
        </is>
      </c>
      <c r="C45" t="inlineStr"/>
      <c r="D45" s="2" t="n">
        <v>46022</v>
      </c>
      <c r="E45" t="inlineStr">
        <is>
          <t>10Y</t>
        </is>
      </c>
      <c r="F45" t="inlineStr"/>
      <c r="G45" t="n">
        <v>5.552356836761518</v>
      </c>
      <c r="H45" t="n">
        <v>7.101530095626307</v>
      </c>
      <c r="I45" t="n">
        <v>5.545903235337346</v>
      </c>
      <c r="J45" t="n">
        <v>-1.45247878383683</v>
      </c>
      <c r="K45" t="n">
        <v>-0.7577304075031321</v>
      </c>
      <c r="L45" t="n">
        <v>1.435778522322106</v>
      </c>
      <c r="M45" t="n">
        <v>3.119152472830278</v>
      </c>
      <c r="N45" t="n">
        <v>-1.683373950508171</v>
      </c>
      <c r="O45" t="inlineStr"/>
      <c r="P45" t="inlineStr">
        <is>
          <t>China||10Y</t>
        </is>
      </c>
      <c r="Q45" t="inlineStr">
        <is>
          <t>China|10Y</t>
        </is>
      </c>
      <c r="R45" t="inlineStr"/>
    </row>
    <row r="46">
      <c r="A46" t="inlineStr">
        <is>
          <t>China</t>
        </is>
      </c>
      <c r="B46" t="inlineStr">
        <is>
          <t>CHN</t>
        </is>
      </c>
      <c r="C46" t="inlineStr">
        <is>
          <t>IASH.L</t>
        </is>
      </c>
      <c r="D46" s="2" t="n">
        <v>46022</v>
      </c>
      <c r="E46" t="inlineStr">
        <is>
          <t>1Y</t>
        </is>
      </c>
      <c r="F46" t="n">
        <v>28.54073093385992</v>
      </c>
      <c r="G46" t="n">
        <v>4.796</v>
      </c>
      <c r="H46" t="n">
        <v>3.64467100000001</v>
      </c>
      <c r="I46" t="n">
        <v>3.46040700000001</v>
      </c>
      <c r="J46" t="n">
        <v>-0.1777842601448754</v>
      </c>
      <c r="K46" t="n">
        <v>4.316696587463187</v>
      </c>
      <c r="L46" t="n">
        <v>0.01299999999999635</v>
      </c>
      <c r="M46" t="n">
        <v>2.715000000000001</v>
      </c>
      <c r="N46" t="n">
        <v>-2.702000000000004</v>
      </c>
      <c r="O46" t="n">
        <v>-25.0803239338599</v>
      </c>
      <c r="P46" t="inlineStr">
        <is>
          <t>China|IASH.L|1Y</t>
        </is>
      </c>
      <c r="Q46" t="inlineStr">
        <is>
          <t>China|1Y</t>
        </is>
      </c>
      <c r="R46" t="inlineStr">
        <is>
          <t>GBp</t>
        </is>
      </c>
    </row>
    <row r="47">
      <c r="A47" t="inlineStr">
        <is>
          <t>China</t>
        </is>
      </c>
      <c r="B47" t="inlineStr">
        <is>
          <t>CHN</t>
        </is>
      </c>
      <c r="C47" t="inlineStr">
        <is>
          <t>IASH.L</t>
        </is>
      </c>
      <c r="D47" s="2" t="n">
        <v>46022</v>
      </c>
      <c r="E47" t="inlineStr">
        <is>
          <t>3Y</t>
        </is>
      </c>
      <c r="F47" t="n">
        <v>5.913482170496054</v>
      </c>
      <c r="G47" t="n">
        <v>5.058391676643859</v>
      </c>
      <c r="H47" t="n">
        <v>4.273200328892157</v>
      </c>
      <c r="I47" t="n">
        <v>1.947781205188015</v>
      </c>
      <c r="J47" t="n">
        <v>-2.23012168032457</v>
      </c>
      <c r="K47" t="n">
        <v>-0.4748958540134351</v>
      </c>
      <c r="L47" t="n">
        <v>0.1509522272071351</v>
      </c>
      <c r="M47" t="n">
        <v>3.263156230678832</v>
      </c>
      <c r="N47" t="n">
        <v>-3.112204003471697</v>
      </c>
      <c r="O47" t="n">
        <v>-3.965700965308039</v>
      </c>
      <c r="P47" t="inlineStr">
        <is>
          <t>China|IASH.L|3Y</t>
        </is>
      </c>
      <c r="Q47" t="inlineStr">
        <is>
          <t>China|3Y</t>
        </is>
      </c>
      <c r="R47" t="inlineStr">
        <is>
          <t>GBp</t>
        </is>
      </c>
    </row>
    <row r="48">
      <c r="A48" t="inlineStr">
        <is>
          <t>China</t>
        </is>
      </c>
      <c r="B48" t="inlineStr">
        <is>
          <t>CHN</t>
        </is>
      </c>
      <c r="C48" t="inlineStr">
        <is>
          <t>IASH.L</t>
        </is>
      </c>
      <c r="D48" s="2" t="n">
        <v>46022</v>
      </c>
      <c r="E48" t="inlineStr">
        <is>
          <t>5Y</t>
        </is>
      </c>
      <c r="F48" t="n">
        <v>-2.329493449708742</v>
      </c>
      <c r="G48" t="n">
        <v>5.354006833547209</v>
      </c>
      <c r="H48" t="n">
        <v>6.055050913295212</v>
      </c>
      <c r="I48" t="n">
        <v>5.133053360423401</v>
      </c>
      <c r="J48" t="n">
        <v>-0.8693576098023126</v>
      </c>
      <c r="K48" t="n">
        <v>-1.364318526830477</v>
      </c>
      <c r="L48" t="n">
        <v>0.6666275636938446</v>
      </c>
      <c r="M48" t="n">
        <v>4.476417270751631</v>
      </c>
      <c r="N48" t="n">
        <v>-3.809789707057787</v>
      </c>
      <c r="O48" t="n">
        <v>7.462546810132142</v>
      </c>
      <c r="P48" t="inlineStr">
        <is>
          <t>China|IASH.L|5Y</t>
        </is>
      </c>
      <c r="Q48" t="inlineStr">
        <is>
          <t>China|5Y</t>
        </is>
      </c>
      <c r="R48" t="inlineStr">
        <is>
          <t>GBp</t>
        </is>
      </c>
    </row>
    <row r="49">
      <c r="A49" t="inlineStr">
        <is>
          <t>China</t>
        </is>
      </c>
      <c r="B49" t="inlineStr">
        <is>
          <t>CHN</t>
        </is>
      </c>
      <c r="C49" t="inlineStr">
        <is>
          <t>IASH.L</t>
        </is>
      </c>
      <c r="D49" s="2" t="n">
        <v>46022</v>
      </c>
      <c r="E49" t="inlineStr">
        <is>
          <t>10Y</t>
        </is>
      </c>
      <c r="F49" t="n">
        <v>3.900830683101453</v>
      </c>
      <c r="G49" t="n">
        <v>5.552356836761518</v>
      </c>
      <c r="H49" t="n">
        <v>7.101530095626307</v>
      </c>
      <c r="I49" t="n">
        <v>5.545903235337346</v>
      </c>
      <c r="J49" t="n">
        <v>-1.45247878383683</v>
      </c>
      <c r="K49" t="n">
        <v>-0.7577304075031321</v>
      </c>
      <c r="L49" t="n">
        <v>1.435778522322106</v>
      </c>
      <c r="M49" t="n">
        <v>3.119152472830278</v>
      </c>
      <c r="N49" t="n">
        <v>-1.683373950508171</v>
      </c>
      <c r="O49" t="n">
        <v>1.645072552235893</v>
      </c>
      <c r="P49" t="inlineStr">
        <is>
          <t>China|IASH.L|10Y</t>
        </is>
      </c>
      <c r="Q49" t="inlineStr">
        <is>
          <t>China|10Y</t>
        </is>
      </c>
      <c r="R49" t="inlineStr">
        <is>
          <t>GBp</t>
        </is>
      </c>
    </row>
    <row r="50">
      <c r="A50" t="inlineStr">
        <is>
          <t>France</t>
        </is>
      </c>
      <c r="B50" t="inlineStr">
        <is>
          <t>FRA</t>
        </is>
      </c>
      <c r="C50" t="inlineStr"/>
      <c r="D50" s="2" t="n">
        <v>46022</v>
      </c>
      <c r="E50" t="inlineStr">
        <is>
          <t>1Y</t>
        </is>
      </c>
      <c r="F50" t="inlineStr"/>
      <c r="G50" t="n">
        <v>0.6709999999999994</v>
      </c>
      <c r="H50" t="n">
        <v>1.876520999999998</v>
      </c>
      <c r="I50" t="n">
        <v>6.348029999999993</v>
      </c>
      <c r="J50" t="n">
        <v>4.389145762039726</v>
      </c>
      <c r="K50" t="n">
        <v>13.51067566275939</v>
      </c>
      <c r="L50" t="n">
        <v>1.143000000000005</v>
      </c>
      <c r="M50" t="n">
        <v>2.715000000000001</v>
      </c>
      <c r="N50" t="n">
        <v>-1.571999999999996</v>
      </c>
      <c r="O50" t="inlineStr"/>
      <c r="P50" t="inlineStr">
        <is>
          <t>France||1Y</t>
        </is>
      </c>
      <c r="Q50" t="inlineStr">
        <is>
          <t>France|1Y</t>
        </is>
      </c>
      <c r="R50" t="inlineStr"/>
    </row>
    <row r="51">
      <c r="A51" t="inlineStr">
        <is>
          <t>France</t>
        </is>
      </c>
      <c r="B51" t="inlineStr">
        <is>
          <t>FRA</t>
        </is>
      </c>
      <c r="C51" t="inlineStr"/>
      <c r="D51" s="2" t="n">
        <v>46022</v>
      </c>
      <c r="E51" t="inlineStr">
        <is>
          <t>3Y</t>
        </is>
      </c>
      <c r="F51" t="inlineStr"/>
      <c r="G51" t="n">
        <v>1.12992429258334</v>
      </c>
      <c r="H51" t="n">
        <v>3.891142467355291</v>
      </c>
      <c r="I51" t="n">
        <v>6.320418426652252</v>
      </c>
      <c r="J51" t="n">
        <v>2.338290018735889</v>
      </c>
      <c r="K51" t="n">
        <v>3.139608669247629</v>
      </c>
      <c r="L51" t="n">
        <v>3.023315443187302</v>
      </c>
      <c r="M51" t="n">
        <v>3.263156230678832</v>
      </c>
      <c r="N51" t="n">
        <v>-0.2398407874915298</v>
      </c>
      <c r="O51" t="inlineStr"/>
      <c r="P51" t="inlineStr">
        <is>
          <t>France||3Y</t>
        </is>
      </c>
      <c r="Q51" t="inlineStr">
        <is>
          <t>France|3Y</t>
        </is>
      </c>
      <c r="R51" t="inlineStr"/>
    </row>
    <row r="52">
      <c r="A52" t="inlineStr">
        <is>
          <t>France</t>
        </is>
      </c>
      <c r="B52" t="inlineStr">
        <is>
          <t>FRA</t>
        </is>
      </c>
      <c r="C52" t="inlineStr"/>
      <c r="D52" s="2" t="n">
        <v>46022</v>
      </c>
      <c r="E52" t="inlineStr">
        <is>
          <t>5Y</t>
        </is>
      </c>
      <c r="F52" t="inlineStr"/>
      <c r="G52" t="n">
        <v>2.573847925685979</v>
      </c>
      <c r="H52" t="n">
        <v>5.122134516670918</v>
      </c>
      <c r="I52" t="n">
        <v>4.905074485062877</v>
      </c>
      <c r="J52" t="n">
        <v>-0.206483582656003</v>
      </c>
      <c r="K52" t="n">
        <v>-0.7159122239312588</v>
      </c>
      <c r="L52" t="n">
        <v>3.399872906558121</v>
      </c>
      <c r="M52" t="n">
        <v>4.476417270751631</v>
      </c>
      <c r="N52" t="n">
        <v>-1.07654436419351</v>
      </c>
      <c r="O52" t="inlineStr"/>
      <c r="P52" t="inlineStr">
        <is>
          <t>France||5Y</t>
        </is>
      </c>
      <c r="Q52" t="inlineStr">
        <is>
          <t>France|5Y</t>
        </is>
      </c>
      <c r="R52" t="inlineStr"/>
    </row>
    <row r="53">
      <c r="A53" t="inlineStr">
        <is>
          <t>France</t>
        </is>
      </c>
      <c r="B53" t="inlineStr">
        <is>
          <t>FRA</t>
        </is>
      </c>
      <c r="C53" t="inlineStr"/>
      <c r="D53" s="2" t="n">
        <v>46022</v>
      </c>
      <c r="E53" t="inlineStr">
        <is>
          <t>10Y</t>
        </is>
      </c>
      <c r="F53" t="inlineStr"/>
      <c r="G53" t="n">
        <v>1.148920134256759</v>
      </c>
      <c r="H53" t="n">
        <v>3.060836663187327</v>
      </c>
      <c r="I53" t="n">
        <v>3.244395005951439</v>
      </c>
      <c r="J53" t="n">
        <v>0.1781068274081088</v>
      </c>
      <c r="K53" t="n">
        <v>0.7920521518232082</v>
      </c>
      <c r="L53" t="n">
        <v>2.232055444835557</v>
      </c>
      <c r="M53" t="n">
        <v>3.119152472830278</v>
      </c>
      <c r="N53" t="n">
        <v>-0.887097027994721</v>
      </c>
      <c r="O53" t="inlineStr"/>
      <c r="P53" t="inlineStr">
        <is>
          <t>France||10Y</t>
        </is>
      </c>
      <c r="Q53" t="inlineStr">
        <is>
          <t>France|10Y</t>
        </is>
      </c>
      <c r="R53" t="inlineStr"/>
    </row>
    <row r="54">
      <c r="A54" t="inlineStr">
        <is>
          <t>France</t>
        </is>
      </c>
      <c r="B54" t="inlineStr">
        <is>
          <t>FRA</t>
        </is>
      </c>
      <c r="C54" t="inlineStr">
        <is>
          <t>ISFR.L</t>
        </is>
      </c>
      <c r="D54" s="2" t="n">
        <v>46022</v>
      </c>
      <c r="E54" t="inlineStr">
        <is>
          <t>1Y</t>
        </is>
      </c>
      <c r="F54" t="n">
        <v>28.39745742593078</v>
      </c>
      <c r="G54" t="n">
        <v>0.6709999999999994</v>
      </c>
      <c r="H54" t="n">
        <v>1.876520999999998</v>
      </c>
      <c r="I54" t="n">
        <v>6.348029999999993</v>
      </c>
      <c r="J54" t="n">
        <v>4.389145762039726</v>
      </c>
      <c r="K54" t="n">
        <v>13.51067566275939</v>
      </c>
      <c r="L54" t="n">
        <v>1.143000000000005</v>
      </c>
      <c r="M54" t="n">
        <v>2.715000000000001</v>
      </c>
      <c r="N54" t="n">
        <v>-1.571999999999996</v>
      </c>
      <c r="O54" t="n">
        <v>-22.04942742593079</v>
      </c>
      <c r="P54" t="inlineStr">
        <is>
          <t>France|ISFR.L|1Y</t>
        </is>
      </c>
      <c r="Q54" t="inlineStr">
        <is>
          <t>France|1Y</t>
        </is>
      </c>
      <c r="R54" t="inlineStr">
        <is>
          <t>GBp</t>
        </is>
      </c>
    </row>
    <row r="55">
      <c r="A55" t="inlineStr">
        <is>
          <t>France</t>
        </is>
      </c>
      <c r="B55" t="inlineStr">
        <is>
          <t>FRA</t>
        </is>
      </c>
      <c r="C55" t="inlineStr">
        <is>
          <t>ISFR.L</t>
        </is>
      </c>
      <c r="D55" s="2" t="n">
        <v>46022</v>
      </c>
      <c r="E55" t="inlineStr">
        <is>
          <t>3Y</t>
        </is>
      </c>
      <c r="F55" t="n">
        <v>13.52974391963848</v>
      </c>
      <c r="G55" t="n">
        <v>1.12992429258334</v>
      </c>
      <c r="H55" t="n">
        <v>3.891142467355291</v>
      </c>
      <c r="I55" t="n">
        <v>6.320418426652252</v>
      </c>
      <c r="J55" t="n">
        <v>2.338290018735889</v>
      </c>
      <c r="K55" t="n">
        <v>3.139608669247629</v>
      </c>
      <c r="L55" t="n">
        <v>3.023315443187302</v>
      </c>
      <c r="M55" t="n">
        <v>3.263156230678832</v>
      </c>
      <c r="N55" t="n">
        <v>-0.2398407874915298</v>
      </c>
      <c r="O55" t="n">
        <v>-7.209325492986228</v>
      </c>
      <c r="P55" t="inlineStr">
        <is>
          <t>France|ISFR.L|3Y</t>
        </is>
      </c>
      <c r="Q55" t="inlineStr">
        <is>
          <t>France|3Y</t>
        </is>
      </c>
      <c r="R55" t="inlineStr">
        <is>
          <t>GBp</t>
        </is>
      </c>
    </row>
    <row r="56">
      <c r="A56" t="inlineStr">
        <is>
          <t>France</t>
        </is>
      </c>
      <c r="B56" t="inlineStr">
        <is>
          <t>FRA</t>
        </is>
      </c>
      <c r="C56" t="inlineStr">
        <is>
          <t>ISFR.L</t>
        </is>
      </c>
      <c r="D56" s="2" t="n">
        <v>46022</v>
      </c>
      <c r="E56" t="inlineStr">
        <is>
          <t>5Y</t>
        </is>
      </c>
      <c r="F56" t="n">
        <v>8.893272939196905</v>
      </c>
      <c r="G56" t="n">
        <v>2.573847925685979</v>
      </c>
      <c r="H56" t="n">
        <v>5.122134516670918</v>
      </c>
      <c r="I56" t="n">
        <v>4.905074485062877</v>
      </c>
      <c r="J56" t="n">
        <v>-0.206483582656003</v>
      </c>
      <c r="K56" t="n">
        <v>-0.7159122239312588</v>
      </c>
      <c r="L56" t="n">
        <v>3.399872906558121</v>
      </c>
      <c r="M56" t="n">
        <v>4.476417270751631</v>
      </c>
      <c r="N56" t="n">
        <v>-1.07654436419351</v>
      </c>
      <c r="O56" t="n">
        <v>-3.988198454134028</v>
      </c>
      <c r="P56" t="inlineStr">
        <is>
          <t>France|ISFR.L|5Y</t>
        </is>
      </c>
      <c r="Q56" t="inlineStr">
        <is>
          <t>France|5Y</t>
        </is>
      </c>
      <c r="R56" t="inlineStr">
        <is>
          <t>GBp</t>
        </is>
      </c>
    </row>
    <row r="57">
      <c r="A57" t="inlineStr">
        <is>
          <t>France</t>
        </is>
      </c>
      <c r="B57" t="inlineStr">
        <is>
          <t>FRA</t>
        </is>
      </c>
      <c r="C57" t="inlineStr">
        <is>
          <t>ISFR.L</t>
        </is>
      </c>
      <c r="D57" s="2" t="n">
        <v>46022</v>
      </c>
      <c r="E57" t="inlineStr">
        <is>
          <t>10Y</t>
        </is>
      </c>
      <c r="F57" t="n">
        <v>9.493065340779715</v>
      </c>
      <c r="G57" t="n">
        <v>1.148920134256759</v>
      </c>
      <c r="H57" t="n">
        <v>3.060836663187327</v>
      </c>
      <c r="I57" t="n">
        <v>3.244395005951439</v>
      </c>
      <c r="J57" t="n">
        <v>0.1781068274081088</v>
      </c>
      <c r="K57" t="n">
        <v>0.7920521518232082</v>
      </c>
      <c r="L57" t="n">
        <v>2.232055444835557</v>
      </c>
      <c r="M57" t="n">
        <v>3.119152472830278</v>
      </c>
      <c r="N57" t="n">
        <v>-0.887097027994721</v>
      </c>
      <c r="O57" t="n">
        <v>-6.248670334828276</v>
      </c>
      <c r="P57" t="inlineStr">
        <is>
          <t>France|ISFR.L|10Y</t>
        </is>
      </c>
      <c r="Q57" t="inlineStr">
        <is>
          <t>France|10Y</t>
        </is>
      </c>
      <c r="R57" t="inlineStr">
        <is>
          <t>GBp</t>
        </is>
      </c>
    </row>
    <row r="58">
      <c r="A58" t="inlineStr">
        <is>
          <t>Germany</t>
        </is>
      </c>
      <c r="B58" t="inlineStr">
        <is>
          <t>DEU</t>
        </is>
      </c>
      <c r="C58" t="inlineStr"/>
      <c r="D58" s="2" t="n">
        <v>46022</v>
      </c>
      <c r="E58" t="inlineStr">
        <is>
          <t>1Y</t>
        </is>
      </c>
      <c r="F58" t="inlineStr"/>
      <c r="G58" t="n">
        <v>0.1910000000000078</v>
      </c>
      <c r="H58" t="n">
        <v>2.531733999999997</v>
      </c>
      <c r="I58" t="n">
        <v>7.032006999999996</v>
      </c>
      <c r="J58" t="n">
        <v>4.389151360533838</v>
      </c>
      <c r="K58" t="n">
        <v>13.51067566275939</v>
      </c>
      <c r="L58" t="n">
        <v>2.113999999999994</v>
      </c>
      <c r="M58" t="n">
        <v>2.715000000000001</v>
      </c>
      <c r="N58" t="n">
        <v>-0.6010000000000071</v>
      </c>
      <c r="O58" t="inlineStr"/>
      <c r="P58" t="inlineStr">
        <is>
          <t>Germany||1Y</t>
        </is>
      </c>
      <c r="Q58" t="inlineStr">
        <is>
          <t>Germany|1Y</t>
        </is>
      </c>
      <c r="R58" t="inlineStr"/>
    </row>
    <row r="59">
      <c r="A59" t="inlineStr">
        <is>
          <t>Germany</t>
        </is>
      </c>
      <c r="B59" t="inlineStr">
        <is>
          <t>DEU</t>
        </is>
      </c>
      <c r="C59" t="inlineStr"/>
      <c r="D59" s="2" t="n">
        <v>46022</v>
      </c>
      <c r="E59" t="inlineStr">
        <is>
          <t>3Y</t>
        </is>
      </c>
      <c r="F59" t="inlineStr"/>
      <c r="G59" t="n">
        <v>-0.3933046908136117</v>
      </c>
      <c r="H59" t="n">
        <v>3.620446854152237</v>
      </c>
      <c r="I59" t="n">
        <v>6.043401004617355</v>
      </c>
      <c r="J59" t="n">
        <v>2.338297209914808</v>
      </c>
      <c r="K59" t="n">
        <v>3.139608669247629</v>
      </c>
      <c r="L59" t="n">
        <v>3.529417044594219</v>
      </c>
      <c r="M59" t="n">
        <v>3.263156230678832</v>
      </c>
      <c r="N59" t="n">
        <v>0.2662608139153866</v>
      </c>
      <c r="O59" t="inlineStr"/>
      <c r="P59" t="inlineStr">
        <is>
          <t>Germany||3Y</t>
        </is>
      </c>
      <c r="Q59" t="inlineStr">
        <is>
          <t>Germany|3Y</t>
        </is>
      </c>
      <c r="R59" t="inlineStr"/>
    </row>
    <row r="60">
      <c r="A60" t="inlineStr">
        <is>
          <t>Germany</t>
        </is>
      </c>
      <c r="B60" t="inlineStr">
        <is>
          <t>DEU</t>
        </is>
      </c>
      <c r="C60" t="inlineStr"/>
      <c r="D60" s="2" t="n">
        <v>46022</v>
      </c>
      <c r="E60" t="inlineStr">
        <is>
          <t>5Y</t>
        </is>
      </c>
      <c r="F60" t="inlineStr"/>
      <c r="G60" t="n">
        <v>0.8933688833018039</v>
      </c>
      <c r="H60" t="n">
        <v>5.163887293903424</v>
      </c>
      <c r="I60" t="n">
        <v>4.946742344302257</v>
      </c>
      <c r="J60" t="n">
        <v>-0.2064825636815981</v>
      </c>
      <c r="K60" t="n">
        <v>-0.7159122239312588</v>
      </c>
      <c r="L60" t="n">
        <v>4.472752272190572</v>
      </c>
      <c r="M60" t="n">
        <v>4.476417270751631</v>
      </c>
      <c r="N60" t="n">
        <v>-0.003664998561059285</v>
      </c>
      <c r="O60" t="inlineStr"/>
      <c r="P60" t="inlineStr">
        <is>
          <t>Germany||5Y</t>
        </is>
      </c>
      <c r="Q60" t="inlineStr">
        <is>
          <t>Germany|5Y</t>
        </is>
      </c>
      <c r="R60" t="inlineStr"/>
    </row>
    <row r="61">
      <c r="A61" t="inlineStr">
        <is>
          <t>Germany</t>
        </is>
      </c>
      <c r="B61" t="inlineStr">
        <is>
          <t>DEU</t>
        </is>
      </c>
      <c r="C61" t="inlineStr"/>
      <c r="D61" s="2" t="n">
        <v>46022</v>
      </c>
      <c r="E61" t="inlineStr">
        <is>
          <t>10Y</t>
        </is>
      </c>
      <c r="F61" t="inlineStr"/>
      <c r="G61" t="n">
        <v>0.7314110874349522</v>
      </c>
      <c r="H61" t="n">
        <v>3.697957495850335</v>
      </c>
      <c r="I61" t="n">
        <v>3.882652564606848</v>
      </c>
      <c r="J61" t="n">
        <v>0.1781085607296173</v>
      </c>
      <c r="K61" t="n">
        <v>0.7920521518232082</v>
      </c>
      <c r="L61" t="n">
        <v>2.794720222422908</v>
      </c>
      <c r="M61" t="n">
        <v>3.119152472830278</v>
      </c>
      <c r="N61" t="n">
        <v>-0.3244322504073693</v>
      </c>
      <c r="O61" t="inlineStr"/>
      <c r="P61" t="inlineStr">
        <is>
          <t>Germany||10Y</t>
        </is>
      </c>
      <c r="Q61" t="inlineStr">
        <is>
          <t>Germany|10Y</t>
        </is>
      </c>
      <c r="R61" t="inlineStr"/>
    </row>
    <row r="62">
      <c r="A62" t="inlineStr">
        <is>
          <t>Germany</t>
        </is>
      </c>
      <c r="B62" t="inlineStr">
        <is>
          <t>DEU</t>
        </is>
      </c>
      <c r="C62" t="inlineStr">
        <is>
          <t>EXS1.DE</t>
        </is>
      </c>
      <c r="D62" s="2" t="n">
        <v>46021</v>
      </c>
      <c r="E62" t="inlineStr">
        <is>
          <t>1Y</t>
        </is>
      </c>
      <c r="F62" t="n">
        <v>38.27482183556737</v>
      </c>
      <c r="G62" t="n">
        <v>0.1910000000000078</v>
      </c>
      <c r="H62" t="n">
        <v>2.531733999999997</v>
      </c>
      <c r="I62" t="n">
        <v>7.032006999999996</v>
      </c>
      <c r="J62" t="n">
        <v>4.389151360533838</v>
      </c>
      <c r="K62" t="n">
        <v>13.51067566275939</v>
      </c>
      <c r="L62" t="n">
        <v>2.113999999999994</v>
      </c>
      <c r="M62" t="n">
        <v>2.715000000000001</v>
      </c>
      <c r="N62" t="n">
        <v>-0.6010000000000071</v>
      </c>
      <c r="O62" t="n">
        <v>-31.24281483556737</v>
      </c>
      <c r="P62" t="inlineStr">
        <is>
          <t>Germany|EXS1.DE|1Y</t>
        </is>
      </c>
      <c r="Q62" t="inlineStr">
        <is>
          <t>Germany|1Y</t>
        </is>
      </c>
      <c r="R62" t="inlineStr">
        <is>
          <t>EUR</t>
        </is>
      </c>
    </row>
    <row r="63">
      <c r="A63" t="inlineStr">
        <is>
          <t>Germany</t>
        </is>
      </c>
      <c r="B63" t="inlineStr">
        <is>
          <t>DEU</t>
        </is>
      </c>
      <c r="C63" t="inlineStr">
        <is>
          <t>EXS1.DE</t>
        </is>
      </c>
      <c r="D63" s="2" t="n">
        <v>46021</v>
      </c>
      <c r="E63" t="inlineStr">
        <is>
          <t>3Y</t>
        </is>
      </c>
      <c r="F63" t="n">
        <v>23.6568139787698</v>
      </c>
      <c r="G63" t="n">
        <v>-0.3933046908136117</v>
      </c>
      <c r="H63" t="n">
        <v>3.620446854152237</v>
      </c>
      <c r="I63" t="n">
        <v>6.043401004617355</v>
      </c>
      <c r="J63" t="n">
        <v>2.338297209914808</v>
      </c>
      <c r="K63" t="n">
        <v>3.139608669247629</v>
      </c>
      <c r="L63" t="n">
        <v>3.529417044594219</v>
      </c>
      <c r="M63" t="n">
        <v>3.263156230678832</v>
      </c>
      <c r="N63" t="n">
        <v>0.2662608139153866</v>
      </c>
      <c r="O63" t="n">
        <v>-17.61341297415244</v>
      </c>
      <c r="P63" t="inlineStr">
        <is>
          <t>Germany|EXS1.DE|3Y</t>
        </is>
      </c>
      <c r="Q63" t="inlineStr">
        <is>
          <t>Germany|3Y</t>
        </is>
      </c>
      <c r="R63" t="inlineStr">
        <is>
          <t>EUR</t>
        </is>
      </c>
    </row>
    <row r="64">
      <c r="A64" t="inlineStr">
        <is>
          <t>Germany</t>
        </is>
      </c>
      <c r="B64" t="inlineStr">
        <is>
          <t>DEU</t>
        </is>
      </c>
      <c r="C64" t="inlineStr">
        <is>
          <t>EXS1.DE</t>
        </is>
      </c>
      <c r="D64" s="2" t="n">
        <v>46021</v>
      </c>
      <c r="E64" t="inlineStr">
        <is>
          <t>5Y</t>
        </is>
      </c>
      <c r="F64" t="n">
        <v>10.8486240411046</v>
      </c>
      <c r="G64" t="n">
        <v>0.8933688833018039</v>
      </c>
      <c r="H64" t="n">
        <v>5.163887293903424</v>
      </c>
      <c r="I64" t="n">
        <v>4.946742344302257</v>
      </c>
      <c r="J64" t="n">
        <v>-0.2064825636815981</v>
      </c>
      <c r="K64" t="n">
        <v>-0.7159122239312588</v>
      </c>
      <c r="L64" t="n">
        <v>4.472752272190572</v>
      </c>
      <c r="M64" t="n">
        <v>4.476417270751631</v>
      </c>
      <c r="N64" t="n">
        <v>-0.003664998561059285</v>
      </c>
      <c r="O64" t="n">
        <v>-5.901881696802346</v>
      </c>
      <c r="P64" t="inlineStr">
        <is>
          <t>Germany|EXS1.DE|5Y</t>
        </is>
      </c>
      <c r="Q64" t="inlineStr">
        <is>
          <t>Germany|5Y</t>
        </is>
      </c>
      <c r="R64" t="inlineStr">
        <is>
          <t>EUR</t>
        </is>
      </c>
    </row>
    <row r="65">
      <c r="A65" t="inlineStr">
        <is>
          <t>Germany</t>
        </is>
      </c>
      <c r="B65" t="inlineStr">
        <is>
          <t>DEU</t>
        </is>
      </c>
      <c r="C65" t="inlineStr">
        <is>
          <t>EXS1.DE</t>
        </is>
      </c>
      <c r="D65" s="2" t="n">
        <v>46021</v>
      </c>
      <c r="E65" t="inlineStr">
        <is>
          <t>10Y</t>
        </is>
      </c>
      <c r="F65" t="n">
        <v>9.236820009792535</v>
      </c>
      <c r="G65" t="n">
        <v>0.7314110874349522</v>
      </c>
      <c r="H65" t="n">
        <v>3.697957495850335</v>
      </c>
      <c r="I65" t="n">
        <v>3.882652564606848</v>
      </c>
      <c r="J65" t="n">
        <v>0.1781085607296173</v>
      </c>
      <c r="K65" t="n">
        <v>0.7920521518232082</v>
      </c>
      <c r="L65" t="n">
        <v>2.794720222422908</v>
      </c>
      <c r="M65" t="n">
        <v>3.119152472830278</v>
      </c>
      <c r="N65" t="n">
        <v>-0.3244322504073693</v>
      </c>
      <c r="O65" t="n">
        <v>-5.354167445185687</v>
      </c>
      <c r="P65" t="inlineStr">
        <is>
          <t>Germany|EXS1.DE|10Y</t>
        </is>
      </c>
      <c r="Q65" t="inlineStr">
        <is>
          <t>Germany|10Y</t>
        </is>
      </c>
      <c r="R65" t="inlineStr">
        <is>
          <t>EUR</t>
        </is>
      </c>
    </row>
    <row r="66">
      <c r="A66" t="inlineStr">
        <is>
          <t>Germany</t>
        </is>
      </c>
      <c r="B66" t="inlineStr">
        <is>
          <t>DEU</t>
        </is>
      </c>
      <c r="C66" t="inlineStr">
        <is>
          <t>XDAX.L</t>
        </is>
      </c>
      <c r="D66" s="2" t="n">
        <v>46022</v>
      </c>
      <c r="E66" t="inlineStr">
        <is>
          <t>1Y</t>
        </is>
      </c>
      <c r="F66" t="n">
        <v>38.3865538218239</v>
      </c>
      <c r="G66" t="n">
        <v>0.1910000000000078</v>
      </c>
      <c r="H66" t="n">
        <v>2.531733999999997</v>
      </c>
      <c r="I66" t="n">
        <v>7.032006999999996</v>
      </c>
      <c r="J66" t="n">
        <v>4.389151360533838</v>
      </c>
      <c r="K66" t="n">
        <v>13.51067566275939</v>
      </c>
      <c r="L66" t="n">
        <v>2.113999999999994</v>
      </c>
      <c r="M66" t="n">
        <v>2.715000000000001</v>
      </c>
      <c r="N66" t="n">
        <v>-0.6010000000000071</v>
      </c>
      <c r="O66" t="n">
        <v>-31.3545468218239</v>
      </c>
      <c r="P66" t="inlineStr">
        <is>
          <t>Germany|XDAX.L|1Y</t>
        </is>
      </c>
      <c r="Q66" t="inlineStr">
        <is>
          <t>Germany|1Y</t>
        </is>
      </c>
      <c r="R66" t="inlineStr">
        <is>
          <t>GBp</t>
        </is>
      </c>
    </row>
    <row r="67">
      <c r="A67" t="inlineStr">
        <is>
          <t>Germany</t>
        </is>
      </c>
      <c r="B67" t="inlineStr">
        <is>
          <t>DEU</t>
        </is>
      </c>
      <c r="C67" t="inlineStr">
        <is>
          <t>XDAX.L</t>
        </is>
      </c>
      <c r="D67" s="2" t="n">
        <v>46022</v>
      </c>
      <c r="E67" t="inlineStr">
        <is>
          <t>3Y</t>
        </is>
      </c>
      <c r="F67" t="n">
        <v>23.42652709426989</v>
      </c>
      <c r="G67" t="n">
        <v>-0.3933046908136117</v>
      </c>
      <c r="H67" t="n">
        <v>3.620446854152237</v>
      </c>
      <c r="I67" t="n">
        <v>6.043401004617355</v>
      </c>
      <c r="J67" t="n">
        <v>2.338297209914808</v>
      </c>
      <c r="K67" t="n">
        <v>3.139608669247629</v>
      </c>
      <c r="L67" t="n">
        <v>3.529417044594219</v>
      </c>
      <c r="M67" t="n">
        <v>3.263156230678832</v>
      </c>
      <c r="N67" t="n">
        <v>0.2662608139153866</v>
      </c>
      <c r="O67" t="n">
        <v>-17.38312608965254</v>
      </c>
      <c r="P67" t="inlineStr">
        <is>
          <t>Germany|XDAX.L|3Y</t>
        </is>
      </c>
      <c r="Q67" t="inlineStr">
        <is>
          <t>Germany|3Y</t>
        </is>
      </c>
      <c r="R67" t="inlineStr">
        <is>
          <t>GBp</t>
        </is>
      </c>
    </row>
    <row r="68">
      <c r="A68" t="inlineStr">
        <is>
          <t>Germany</t>
        </is>
      </c>
      <c r="B68" t="inlineStr">
        <is>
          <t>DEU</t>
        </is>
      </c>
      <c r="C68" t="inlineStr">
        <is>
          <t>XDAX.L</t>
        </is>
      </c>
      <c r="D68" s="2" t="n">
        <v>46022</v>
      </c>
      <c r="E68" t="inlineStr">
        <is>
          <t>5Y</t>
        </is>
      </c>
      <c r="F68" t="n">
        <v>10.5719038125536</v>
      </c>
      <c r="G68" t="n">
        <v>0.8933688833018039</v>
      </c>
      <c r="H68" t="n">
        <v>5.163887293903424</v>
      </c>
      <c r="I68" t="n">
        <v>4.946742344302257</v>
      </c>
      <c r="J68" t="n">
        <v>-0.2064825636815981</v>
      </c>
      <c r="K68" t="n">
        <v>-0.7159122239312588</v>
      </c>
      <c r="L68" t="n">
        <v>4.472752272190572</v>
      </c>
      <c r="M68" t="n">
        <v>4.476417270751631</v>
      </c>
      <c r="N68" t="n">
        <v>-0.003664998561059285</v>
      </c>
      <c r="O68" t="n">
        <v>-5.625161468251339</v>
      </c>
      <c r="P68" t="inlineStr">
        <is>
          <t>Germany|XDAX.L|5Y</t>
        </is>
      </c>
      <c r="Q68" t="inlineStr">
        <is>
          <t>Germany|5Y</t>
        </is>
      </c>
      <c r="R68" t="inlineStr">
        <is>
          <t>GBp</t>
        </is>
      </c>
    </row>
    <row r="69">
      <c r="A69" t="inlineStr">
        <is>
          <t>Germany</t>
        </is>
      </c>
      <c r="B69" t="inlineStr">
        <is>
          <t>DEU</t>
        </is>
      </c>
      <c r="C69" t="inlineStr">
        <is>
          <t>XDAX.L</t>
        </is>
      </c>
      <c r="D69" s="2" t="n">
        <v>46022</v>
      </c>
      <c r="E69" t="inlineStr">
        <is>
          <t>10Y</t>
        </is>
      </c>
      <c r="F69" t="n">
        <v>5.794499553093835</v>
      </c>
      <c r="G69" t="n">
        <v>0.7314110874349522</v>
      </c>
      <c r="H69" t="n">
        <v>3.697957495850335</v>
      </c>
      <c r="I69" t="n">
        <v>3.882652564606848</v>
      </c>
      <c r="J69" t="n">
        <v>0.1781085607296173</v>
      </c>
      <c r="K69" t="n">
        <v>0.7920521518232082</v>
      </c>
      <c r="L69" t="n">
        <v>2.794720222422908</v>
      </c>
      <c r="M69" t="n">
        <v>3.119152472830278</v>
      </c>
      <c r="N69" t="n">
        <v>-0.3244322504073693</v>
      </c>
      <c r="O69" t="n">
        <v>-1.911846988486987</v>
      </c>
      <c r="P69" t="inlineStr">
        <is>
          <t>Germany|XDAX.L|10Y</t>
        </is>
      </c>
      <c r="Q69" t="inlineStr">
        <is>
          <t>Germany|10Y</t>
        </is>
      </c>
      <c r="R69" t="inlineStr">
        <is>
          <t>GBp</t>
        </is>
      </c>
    </row>
    <row r="70">
      <c r="A70" t="inlineStr">
        <is>
          <t>Greece</t>
        </is>
      </c>
      <c r="B70" t="inlineStr">
        <is>
          <t>GRC</t>
        </is>
      </c>
      <c r="C70" t="inlineStr"/>
      <c r="D70" s="2" t="n">
        <v>46022</v>
      </c>
      <c r="E70" t="inlineStr">
        <is>
          <t>1Y</t>
        </is>
      </c>
      <c r="F70" t="inlineStr"/>
      <c r="G70" t="n">
        <v>1.96400000000001</v>
      </c>
      <c r="H70" t="n">
        <v>5.093591999999991</v>
      </c>
      <c r="I70" t="n">
        <v>9.706419</v>
      </c>
      <c r="J70" t="n">
        <v>4.38925586567025</v>
      </c>
      <c r="K70" t="n">
        <v>13.51067566275939</v>
      </c>
      <c r="L70" t="n">
        <v>3.105000000000002</v>
      </c>
      <c r="M70" t="n">
        <v>2.715000000000001</v>
      </c>
      <c r="N70" t="n">
        <v>0.3900000000000015</v>
      </c>
      <c r="O70" t="inlineStr"/>
      <c r="P70" t="inlineStr">
        <is>
          <t>Greece||1Y</t>
        </is>
      </c>
      <c r="Q70" t="inlineStr">
        <is>
          <t>Greece|1Y</t>
        </is>
      </c>
      <c r="R70" t="inlineStr"/>
    </row>
    <row r="71">
      <c r="A71" t="inlineStr">
        <is>
          <t>Greece</t>
        </is>
      </c>
      <c r="B71" t="inlineStr">
        <is>
          <t>GRC</t>
        </is>
      </c>
      <c r="C71" t="inlineStr"/>
      <c r="D71" s="2" t="n">
        <v>46022</v>
      </c>
      <c r="E71" t="inlineStr">
        <is>
          <t>3Y</t>
        </is>
      </c>
      <c r="F71" t="inlineStr"/>
      <c r="G71" t="n">
        <v>2.189206094391705</v>
      </c>
      <c r="H71" t="n">
        <v>6.301235329582222</v>
      </c>
      <c r="I71" t="n">
        <v>8.786846459036557</v>
      </c>
      <c r="J71" t="n">
        <v>2.338271354373855</v>
      </c>
      <c r="K71" t="n">
        <v>3.139608669247629</v>
      </c>
      <c r="L71" t="n">
        <v>3.41768415482262</v>
      </c>
      <c r="M71" t="n">
        <v>3.263156230678832</v>
      </c>
      <c r="N71" t="n">
        <v>0.154527924143788</v>
      </c>
      <c r="O71" t="inlineStr"/>
      <c r="P71" t="inlineStr">
        <is>
          <t>Greece||3Y</t>
        </is>
      </c>
      <c r="Q71" t="inlineStr">
        <is>
          <t>Greece|3Y</t>
        </is>
      </c>
      <c r="R71" t="inlineStr"/>
    </row>
    <row r="72">
      <c r="A72" t="inlineStr">
        <is>
          <t>Greece</t>
        </is>
      </c>
      <c r="B72" t="inlineStr">
        <is>
          <t>GRC</t>
        </is>
      </c>
      <c r="C72" t="inlineStr"/>
      <c r="D72" s="2" t="n">
        <v>46022</v>
      </c>
      <c r="E72" t="inlineStr">
        <is>
          <t>5Y</t>
        </is>
      </c>
      <c r="F72" t="inlineStr"/>
      <c r="G72" t="n">
        <v>4.160559922864904</v>
      </c>
      <c r="H72" t="n">
        <v>8.305612233039806</v>
      </c>
      <c r="I72" t="n">
        <v>8.082045077893651</v>
      </c>
      <c r="J72" t="n">
        <v>-0.2064225378067053</v>
      </c>
      <c r="K72" t="n">
        <v>-0.7159122239312588</v>
      </c>
      <c r="L72" t="n">
        <v>3.986763654019732</v>
      </c>
      <c r="M72" t="n">
        <v>4.476417270751631</v>
      </c>
      <c r="N72" t="n">
        <v>-0.4896536167318999</v>
      </c>
      <c r="O72" t="inlineStr"/>
      <c r="P72" t="inlineStr">
        <is>
          <t>Greece||5Y</t>
        </is>
      </c>
      <c r="Q72" t="inlineStr">
        <is>
          <t>Greece|5Y</t>
        </is>
      </c>
      <c r="R72" t="inlineStr"/>
    </row>
    <row r="73">
      <c r="A73" t="inlineStr">
        <is>
          <t>Greece</t>
        </is>
      </c>
      <c r="B73" t="inlineStr">
        <is>
          <t>GRC</t>
        </is>
      </c>
      <c r="C73" t="inlineStr"/>
      <c r="D73" s="2" t="n">
        <v>46022</v>
      </c>
      <c r="E73" t="inlineStr">
        <is>
          <t>10Y</t>
        </is>
      </c>
      <c r="F73" t="inlineStr"/>
      <c r="G73" t="n">
        <v>1.659690542859193</v>
      </c>
      <c r="H73" t="n">
        <v>3.596130878684356</v>
      </c>
      <c r="I73" t="n">
        <v>3.780666267606958</v>
      </c>
      <c r="J73" t="n">
        <v>0.1781297137988691</v>
      </c>
      <c r="K73" t="n">
        <v>0.7920521518232082</v>
      </c>
      <c r="L73" t="n">
        <v>2.092384337006137</v>
      </c>
      <c r="M73" t="n">
        <v>3.119152472830278</v>
      </c>
      <c r="N73" t="n">
        <v>-1.026768135824141</v>
      </c>
      <c r="O73" t="inlineStr"/>
      <c r="P73" t="inlineStr">
        <is>
          <t>Greece||10Y</t>
        </is>
      </c>
      <c r="Q73" t="inlineStr">
        <is>
          <t>Greece|10Y</t>
        </is>
      </c>
      <c r="R73" t="inlineStr"/>
    </row>
    <row r="74">
      <c r="A74" t="inlineStr">
        <is>
          <t>Greece</t>
        </is>
      </c>
      <c r="B74" t="inlineStr">
        <is>
          <t>GRC</t>
        </is>
      </c>
      <c r="C74" t="inlineStr">
        <is>
          <t>GREK</t>
        </is>
      </c>
      <c r="D74" s="2" t="n">
        <v>46022</v>
      </c>
      <c r="E74" t="inlineStr">
        <is>
          <t>1Y</t>
        </is>
      </c>
      <c r="F74" t="n">
        <v>75.70356528125421</v>
      </c>
      <c r="G74" t="n">
        <v>1.96400000000001</v>
      </c>
      <c r="H74" t="n">
        <v>5.093591999999991</v>
      </c>
      <c r="I74" t="n">
        <v>9.706419</v>
      </c>
      <c r="J74" t="n">
        <v>4.38925586567025</v>
      </c>
      <c r="K74" t="n">
        <v>13.51067566275939</v>
      </c>
      <c r="L74" t="n">
        <v>3.105000000000002</v>
      </c>
      <c r="M74" t="n">
        <v>2.715000000000001</v>
      </c>
      <c r="N74" t="n">
        <v>0.3900000000000015</v>
      </c>
      <c r="O74" t="n">
        <v>-65.99714628125422</v>
      </c>
      <c r="P74" t="inlineStr">
        <is>
          <t>Greece|GREK|1Y</t>
        </is>
      </c>
      <c r="Q74" t="inlineStr">
        <is>
          <t>Greece|1Y</t>
        </is>
      </c>
      <c r="R74" t="inlineStr">
        <is>
          <t>USD</t>
        </is>
      </c>
    </row>
    <row r="75">
      <c r="A75" t="inlineStr">
        <is>
          <t>Greece</t>
        </is>
      </c>
      <c r="B75" t="inlineStr">
        <is>
          <t>GRC</t>
        </is>
      </c>
      <c r="C75" t="inlineStr">
        <is>
          <t>GREK</t>
        </is>
      </c>
      <c r="D75" s="2" t="n">
        <v>46022</v>
      </c>
      <c r="E75" t="inlineStr">
        <is>
          <t>3Y</t>
        </is>
      </c>
      <c r="F75" t="n">
        <v>39.83967534607107</v>
      </c>
      <c r="G75" t="n">
        <v>2.189206094391705</v>
      </c>
      <c r="H75" t="n">
        <v>6.301235329582222</v>
      </c>
      <c r="I75" t="n">
        <v>8.786846459036557</v>
      </c>
      <c r="J75" t="n">
        <v>2.338271354373855</v>
      </c>
      <c r="K75" t="n">
        <v>3.139608669247629</v>
      </c>
      <c r="L75" t="n">
        <v>3.41768415482262</v>
      </c>
      <c r="M75" t="n">
        <v>3.263156230678832</v>
      </c>
      <c r="N75" t="n">
        <v>0.154527924143788</v>
      </c>
      <c r="O75" t="n">
        <v>-31.05282888703451</v>
      </c>
      <c r="P75" t="inlineStr">
        <is>
          <t>Greece|GREK|3Y</t>
        </is>
      </c>
      <c r="Q75" t="inlineStr">
        <is>
          <t>Greece|3Y</t>
        </is>
      </c>
      <c r="R75" t="inlineStr">
        <is>
          <t>USD</t>
        </is>
      </c>
    </row>
    <row r="76">
      <c r="A76" t="inlineStr">
        <is>
          <t>Greece</t>
        </is>
      </c>
      <c r="B76" t="inlineStr">
        <is>
          <t>GRC</t>
        </is>
      </c>
      <c r="C76" t="inlineStr">
        <is>
          <t>GREK</t>
        </is>
      </c>
      <c r="D76" s="2" t="n">
        <v>46022</v>
      </c>
      <c r="E76" t="inlineStr">
        <is>
          <t>5Y</t>
        </is>
      </c>
      <c r="F76" t="n">
        <v>24.55404461026329</v>
      </c>
      <c r="G76" t="n">
        <v>4.160559922864904</v>
      </c>
      <c r="H76" t="n">
        <v>8.305612233039806</v>
      </c>
      <c r="I76" t="n">
        <v>8.082045077893651</v>
      </c>
      <c r="J76" t="n">
        <v>-0.2064225378067053</v>
      </c>
      <c r="K76" t="n">
        <v>-0.7159122239312588</v>
      </c>
      <c r="L76" t="n">
        <v>3.986763654019732</v>
      </c>
      <c r="M76" t="n">
        <v>4.476417270751631</v>
      </c>
      <c r="N76" t="n">
        <v>-0.4896536167318999</v>
      </c>
      <c r="O76" t="n">
        <v>-16.47199953236964</v>
      </c>
      <c r="P76" t="inlineStr">
        <is>
          <t>Greece|GREK|5Y</t>
        </is>
      </c>
      <c r="Q76" t="inlineStr">
        <is>
          <t>Greece|5Y</t>
        </is>
      </c>
      <c r="R76" t="inlineStr">
        <is>
          <t>USD</t>
        </is>
      </c>
    </row>
    <row r="77">
      <c r="A77" t="inlineStr">
        <is>
          <t>Greece</t>
        </is>
      </c>
      <c r="B77" t="inlineStr">
        <is>
          <t>GRC</t>
        </is>
      </c>
      <c r="C77" t="inlineStr">
        <is>
          <t>GREK</t>
        </is>
      </c>
      <c r="D77" s="2" t="n">
        <v>46022</v>
      </c>
      <c r="E77" t="inlineStr">
        <is>
          <t>10Y</t>
        </is>
      </c>
      <c r="F77" t="n">
        <v>13.59297582965415</v>
      </c>
      <c r="G77" t="n">
        <v>1.659690542859193</v>
      </c>
      <c r="H77" t="n">
        <v>3.596130878684356</v>
      </c>
      <c r="I77" t="n">
        <v>3.780666267606958</v>
      </c>
      <c r="J77" t="n">
        <v>0.1781297137988691</v>
      </c>
      <c r="K77" t="n">
        <v>0.7920521518232082</v>
      </c>
      <c r="L77" t="n">
        <v>2.092384337006137</v>
      </c>
      <c r="M77" t="n">
        <v>3.119152472830278</v>
      </c>
      <c r="N77" t="n">
        <v>-1.026768135824141</v>
      </c>
      <c r="O77" t="n">
        <v>-9.812309562047194</v>
      </c>
      <c r="P77" t="inlineStr">
        <is>
          <t>Greece|GREK|10Y</t>
        </is>
      </c>
      <c r="Q77" t="inlineStr">
        <is>
          <t>Greece|10Y</t>
        </is>
      </c>
      <c r="R77" t="inlineStr">
        <is>
          <t>USD</t>
        </is>
      </c>
    </row>
    <row r="78">
      <c r="A78" t="inlineStr">
        <is>
          <t>Hong Kong</t>
        </is>
      </c>
      <c r="B78" t="inlineStr">
        <is>
          <t>HKG</t>
        </is>
      </c>
      <c r="C78" t="inlineStr"/>
      <c r="D78" s="2" t="n">
        <v>46022</v>
      </c>
      <c r="E78" t="inlineStr">
        <is>
          <t>1Y</t>
        </is>
      </c>
      <c r="F78" t="inlineStr"/>
      <c r="G78" t="n">
        <v>2.438000000000007</v>
      </c>
      <c r="H78" t="n">
        <v>4.714978999999997</v>
      </c>
      <c r="I78" t="n">
        <v>5.252382</v>
      </c>
      <c r="J78" t="n">
        <v>0.5132061735179327</v>
      </c>
      <c r="K78" t="n">
        <v>-0.2236196990446193</v>
      </c>
      <c r="L78" t="n">
        <v>1.750000000000007</v>
      </c>
      <c r="M78" t="n">
        <v>2.715000000000001</v>
      </c>
      <c r="N78" t="n">
        <v>-0.9649999999999936</v>
      </c>
      <c r="O78" t="inlineStr"/>
      <c r="P78" t="inlineStr">
        <is>
          <t>Hong Kong||1Y</t>
        </is>
      </c>
      <c r="Q78" t="inlineStr">
        <is>
          <t>Hong Kong|1Y</t>
        </is>
      </c>
      <c r="R78" t="inlineStr"/>
    </row>
    <row r="79">
      <c r="A79" t="inlineStr">
        <is>
          <t>Hong Kong</t>
        </is>
      </c>
      <c r="B79" t="inlineStr">
        <is>
          <t>HKG</t>
        </is>
      </c>
      <c r="C79" t="inlineStr"/>
      <c r="D79" s="2" t="n">
        <v>46022</v>
      </c>
      <c r="E79" t="inlineStr">
        <is>
          <t>3Y</t>
        </is>
      </c>
      <c r="F79" t="inlineStr"/>
      <c r="G79" t="n">
        <v>2.721718167923459</v>
      </c>
      <c r="H79" t="n">
        <v>5.780630152015354</v>
      </c>
      <c r="I79" t="n">
        <v>6.085897689731179</v>
      </c>
      <c r="J79" t="n">
        <v>0.2885857708701867</v>
      </c>
      <c r="K79" t="n">
        <v>0.05952235328334776</v>
      </c>
      <c r="L79" t="n">
        <v>1.858860754560232</v>
      </c>
      <c r="M79" t="n">
        <v>3.263156230678832</v>
      </c>
      <c r="N79" t="n">
        <v>-1.4042954761186</v>
      </c>
      <c r="O79" t="inlineStr"/>
      <c r="P79" t="inlineStr">
        <is>
          <t>Hong Kong||3Y</t>
        </is>
      </c>
      <c r="Q79" t="inlineStr">
        <is>
          <t>Hong Kong|3Y</t>
        </is>
      </c>
      <c r="R79" t="inlineStr"/>
    </row>
    <row r="80">
      <c r="A80" t="inlineStr">
        <is>
          <t>Hong Kong</t>
        </is>
      </c>
      <c r="B80" t="inlineStr">
        <is>
          <t>HKG</t>
        </is>
      </c>
      <c r="C80" t="inlineStr"/>
      <c r="D80" s="2" t="n">
        <v>46022</v>
      </c>
      <c r="E80" t="inlineStr">
        <is>
          <t>5Y</t>
        </is>
      </c>
      <c r="F80" t="inlineStr"/>
      <c r="G80" t="n">
        <v>2.133790339577146</v>
      </c>
      <c r="H80" t="n">
        <v>4.438969066059117</v>
      </c>
      <c r="I80" t="n">
        <v>4.420810951896481</v>
      </c>
      <c r="J80" t="n">
        <v>-0.01738616994044762</v>
      </c>
      <c r="K80" t="n">
        <v>-0.08270023846944641</v>
      </c>
      <c r="L80" t="n">
        <v>1.805247443434244</v>
      </c>
      <c r="M80" t="n">
        <v>4.476417270751631</v>
      </c>
      <c r="N80" t="n">
        <v>-2.671169827317388</v>
      </c>
      <c r="O80" t="inlineStr"/>
      <c r="P80" t="inlineStr">
        <is>
          <t>Hong Kong||5Y</t>
        </is>
      </c>
      <c r="Q80" t="inlineStr">
        <is>
          <t>Hong Kong|5Y</t>
        </is>
      </c>
      <c r="R80" t="inlineStr"/>
    </row>
    <row r="81">
      <c r="A81" t="inlineStr">
        <is>
          <t>Hong Kong</t>
        </is>
      </c>
      <c r="B81" t="inlineStr">
        <is>
          <t>HKG</t>
        </is>
      </c>
      <c r="C81" t="inlineStr"/>
      <c r="D81" s="2" t="n">
        <v>46022</v>
      </c>
      <c r="E81" t="inlineStr">
        <is>
          <t>10Y</t>
        </is>
      </c>
      <c r="F81" t="inlineStr"/>
      <c r="G81" t="n">
        <v>1.084458438623792</v>
      </c>
      <c r="H81" t="n">
        <v>3.320512295645028</v>
      </c>
      <c r="I81" t="n">
        <v>3.304192398876693</v>
      </c>
      <c r="J81" t="n">
        <v>-0.01579530903925708</v>
      </c>
      <c r="K81" t="n">
        <v>-0.04534314780662019</v>
      </c>
      <c r="L81" t="n">
        <v>1.844763711197306</v>
      </c>
      <c r="M81" t="n">
        <v>3.119152472830278</v>
      </c>
      <c r="N81" t="n">
        <v>-1.274388761632972</v>
      </c>
      <c r="O81" t="inlineStr"/>
      <c r="P81" t="inlineStr">
        <is>
          <t>Hong Kong||10Y</t>
        </is>
      </c>
      <c r="Q81" t="inlineStr">
        <is>
          <t>Hong Kong|10Y</t>
        </is>
      </c>
      <c r="R81" t="inlineStr"/>
    </row>
    <row r="82">
      <c r="A82" t="inlineStr">
        <is>
          <t>Hong Kong</t>
        </is>
      </c>
      <c r="B82" t="inlineStr">
        <is>
          <t>HKG</t>
        </is>
      </c>
      <c r="C82" t="inlineStr">
        <is>
          <t>EWH</t>
        </is>
      </c>
      <c r="D82" s="2" t="n">
        <v>46022</v>
      </c>
      <c r="E82" t="inlineStr">
        <is>
          <t>1Y</t>
        </is>
      </c>
      <c r="F82" t="n">
        <v>36.63203993571336</v>
      </c>
      <c r="G82" t="n">
        <v>2.438000000000007</v>
      </c>
      <c r="H82" t="n">
        <v>4.714978999999997</v>
      </c>
      <c r="I82" t="n">
        <v>5.252382</v>
      </c>
      <c r="J82" t="n">
        <v>0.5132061735179327</v>
      </c>
      <c r="K82" t="n">
        <v>-0.2236196990446193</v>
      </c>
      <c r="L82" t="n">
        <v>1.750000000000007</v>
      </c>
      <c r="M82" t="n">
        <v>2.715000000000001</v>
      </c>
      <c r="N82" t="n">
        <v>-0.9649999999999936</v>
      </c>
      <c r="O82" t="n">
        <v>-31.37965793571336</v>
      </c>
      <c r="P82" t="inlineStr">
        <is>
          <t>Hong Kong|EWH|1Y</t>
        </is>
      </c>
      <c r="Q82" t="inlineStr">
        <is>
          <t>Hong Kong|1Y</t>
        </is>
      </c>
      <c r="R82" t="inlineStr">
        <is>
          <t>USD</t>
        </is>
      </c>
    </row>
    <row r="83">
      <c r="A83" t="inlineStr">
        <is>
          <t>Hong Kong</t>
        </is>
      </c>
      <c r="B83" t="inlineStr">
        <is>
          <t>HKG</t>
        </is>
      </c>
      <c r="C83" t="inlineStr">
        <is>
          <t>EWH</t>
        </is>
      </c>
      <c r="D83" s="2" t="n">
        <v>46022</v>
      </c>
      <c r="E83" t="inlineStr">
        <is>
          <t>3Y</t>
        </is>
      </c>
      <c r="F83" t="n">
        <v>4.190532539039427</v>
      </c>
      <c r="G83" t="n">
        <v>2.721718167923459</v>
      </c>
      <c r="H83" t="n">
        <v>5.780630152015354</v>
      </c>
      <c r="I83" t="n">
        <v>6.085897689731179</v>
      </c>
      <c r="J83" t="n">
        <v>0.2885857708701867</v>
      </c>
      <c r="K83" t="n">
        <v>0.05952235328334776</v>
      </c>
      <c r="L83" t="n">
        <v>1.858860754560232</v>
      </c>
      <c r="M83" t="n">
        <v>3.263156230678832</v>
      </c>
      <c r="N83" t="n">
        <v>-1.4042954761186</v>
      </c>
      <c r="O83" t="n">
        <v>1.895365150691752</v>
      </c>
      <c r="P83" t="inlineStr">
        <is>
          <t>Hong Kong|EWH|3Y</t>
        </is>
      </c>
      <c r="Q83" t="inlineStr">
        <is>
          <t>Hong Kong|3Y</t>
        </is>
      </c>
      <c r="R83" t="inlineStr">
        <is>
          <t>USD</t>
        </is>
      </c>
    </row>
    <row r="84">
      <c r="A84" t="inlineStr">
        <is>
          <t>Hong Kong</t>
        </is>
      </c>
      <c r="B84" t="inlineStr">
        <is>
          <t>HKG</t>
        </is>
      </c>
      <c r="C84" t="inlineStr">
        <is>
          <t>EWH</t>
        </is>
      </c>
      <c r="D84" s="2" t="n">
        <v>46022</v>
      </c>
      <c r="E84" t="inlineStr">
        <is>
          <t>5Y</t>
        </is>
      </c>
      <c r="F84" t="n">
        <v>0.621502474666169</v>
      </c>
      <c r="G84" t="n">
        <v>2.133790339577146</v>
      </c>
      <c r="H84" t="n">
        <v>4.438969066059117</v>
      </c>
      <c r="I84" t="n">
        <v>4.420810951896481</v>
      </c>
      <c r="J84" t="n">
        <v>-0.01738616994044762</v>
      </c>
      <c r="K84" t="n">
        <v>-0.08270023846944641</v>
      </c>
      <c r="L84" t="n">
        <v>1.805247443434244</v>
      </c>
      <c r="M84" t="n">
        <v>4.476417270751631</v>
      </c>
      <c r="N84" t="n">
        <v>-2.671169827317388</v>
      </c>
      <c r="O84" t="n">
        <v>3.799308477230312</v>
      </c>
      <c r="P84" t="inlineStr">
        <is>
          <t>Hong Kong|EWH|5Y</t>
        </is>
      </c>
      <c r="Q84" t="inlineStr">
        <is>
          <t>Hong Kong|5Y</t>
        </is>
      </c>
      <c r="R84" t="inlineStr">
        <is>
          <t>USD</t>
        </is>
      </c>
    </row>
    <row r="85">
      <c r="A85" t="inlineStr">
        <is>
          <t>Hong Kong</t>
        </is>
      </c>
      <c r="B85" t="inlineStr">
        <is>
          <t>HKG</t>
        </is>
      </c>
      <c r="C85" t="inlineStr">
        <is>
          <t>EWH</t>
        </is>
      </c>
      <c r="D85" s="2" t="n">
        <v>46022</v>
      </c>
      <c r="E85" t="inlineStr">
        <is>
          <t>10Y</t>
        </is>
      </c>
      <c r="F85" t="n">
        <v>4.482293034896179</v>
      </c>
      <c r="G85" t="n">
        <v>1.084458438623792</v>
      </c>
      <c r="H85" t="n">
        <v>3.320512295645028</v>
      </c>
      <c r="I85" t="n">
        <v>3.304192398876693</v>
      </c>
      <c r="J85" t="n">
        <v>-0.01579530903925708</v>
      </c>
      <c r="K85" t="n">
        <v>-0.04534314780662019</v>
      </c>
      <c r="L85" t="n">
        <v>1.844763711197306</v>
      </c>
      <c r="M85" t="n">
        <v>3.119152472830278</v>
      </c>
      <c r="N85" t="n">
        <v>-1.274388761632972</v>
      </c>
      <c r="O85" t="n">
        <v>-1.178100636019486</v>
      </c>
      <c r="P85" t="inlineStr">
        <is>
          <t>Hong Kong|EWH|10Y</t>
        </is>
      </c>
      <c r="Q85" t="inlineStr">
        <is>
          <t>Hong Kong|10Y</t>
        </is>
      </c>
      <c r="R85" t="inlineStr">
        <is>
          <t>USD</t>
        </is>
      </c>
    </row>
    <row r="86">
      <c r="A86" t="inlineStr">
        <is>
          <t>India</t>
        </is>
      </c>
      <c r="B86" t="inlineStr">
        <is>
          <t>IND</t>
        </is>
      </c>
      <c r="C86" t="inlineStr"/>
      <c r="D86" s="2" t="n">
        <v>46022</v>
      </c>
      <c r="E86" t="inlineStr">
        <is>
          <t>1Y</t>
        </is>
      </c>
      <c r="F86" t="inlineStr"/>
      <c r="G86" t="n">
        <v>6.645999999999996</v>
      </c>
      <c r="H86" t="n">
        <v>8.515731000000004</v>
      </c>
      <c r="I86" t="n">
        <v>5.507083000000002</v>
      </c>
      <c r="J86" t="n">
        <v>-2.772545698409046</v>
      </c>
      <c r="K86" t="n">
        <v>-4.642186031944884</v>
      </c>
      <c r="L86" t="n">
        <v>2.821999999999991</v>
      </c>
      <c r="M86" t="n">
        <v>2.715000000000001</v>
      </c>
      <c r="N86" t="n">
        <v>0.1069999999999904</v>
      </c>
      <c r="O86" t="inlineStr"/>
      <c r="P86" t="inlineStr">
        <is>
          <t>India||1Y</t>
        </is>
      </c>
      <c r="Q86" t="inlineStr">
        <is>
          <t>India|1Y</t>
        </is>
      </c>
      <c r="R86" t="inlineStr"/>
    </row>
    <row r="87">
      <c r="A87" t="inlineStr">
        <is>
          <t>India</t>
        </is>
      </c>
      <c r="B87" t="inlineStr">
        <is>
          <t>IND</t>
        </is>
      </c>
      <c r="C87" t="inlineStr"/>
      <c r="D87" s="2" t="n">
        <v>46022</v>
      </c>
      <c r="E87" t="inlineStr">
        <is>
          <t>3Y</t>
        </is>
      </c>
      <c r="F87" t="inlineStr"/>
      <c r="G87" t="n">
        <v>7.436918655360047</v>
      </c>
      <c r="H87" t="n">
        <v>10.09511970244343</v>
      </c>
      <c r="I87" t="n">
        <v>7.226513221012598</v>
      </c>
      <c r="J87" t="n">
        <v>-2.605571116379835</v>
      </c>
      <c r="K87" t="n">
        <v>-2.747048795079654</v>
      </c>
      <c r="L87" t="n">
        <v>4.264192561485403</v>
      </c>
      <c r="M87" t="n">
        <v>3.263156230678832</v>
      </c>
      <c r="N87" t="n">
        <v>1.001036330806571</v>
      </c>
      <c r="O87" t="inlineStr"/>
      <c r="P87" t="inlineStr">
        <is>
          <t>India||3Y</t>
        </is>
      </c>
      <c r="Q87" t="inlineStr">
        <is>
          <t>India|3Y</t>
        </is>
      </c>
      <c r="R87" t="inlineStr"/>
    </row>
    <row r="88">
      <c r="A88" t="inlineStr">
        <is>
          <t>India</t>
        </is>
      </c>
      <c r="B88" t="inlineStr">
        <is>
          <t>IND</t>
        </is>
      </c>
      <c r="C88" t="inlineStr"/>
      <c r="D88" s="2" t="n">
        <v>46022</v>
      </c>
      <c r="E88" t="inlineStr">
        <is>
          <t>5Y</t>
        </is>
      </c>
      <c r="F88" t="inlineStr"/>
      <c r="G88" t="n">
        <v>7.918339116520134</v>
      </c>
      <c r="H88" t="n">
        <v>12.56684095269041</v>
      </c>
      <c r="I88" t="n">
        <v>9.050917372360324</v>
      </c>
      <c r="J88" t="n">
        <v>-3.123409673669764</v>
      </c>
      <c r="K88" t="n">
        <v>-4.069010802674899</v>
      </c>
      <c r="L88" t="n">
        <v>4.985943955445027</v>
      </c>
      <c r="M88" t="n">
        <v>4.476417270751631</v>
      </c>
      <c r="N88" t="n">
        <v>0.5095266846933955</v>
      </c>
      <c r="O88" t="inlineStr"/>
      <c r="P88" t="inlineStr">
        <is>
          <t>India||5Y</t>
        </is>
      </c>
      <c r="Q88" t="inlineStr">
        <is>
          <t>India|5Y</t>
        </is>
      </c>
      <c r="R88" t="inlineStr"/>
    </row>
    <row r="89">
      <c r="A89" t="inlineStr">
        <is>
          <t>India</t>
        </is>
      </c>
      <c r="B89" t="inlineStr">
        <is>
          <t>IND</t>
        </is>
      </c>
      <c r="C89" t="inlineStr"/>
      <c r="D89" s="2" t="n">
        <v>46022</v>
      </c>
      <c r="E89" t="inlineStr">
        <is>
          <t>10Y</t>
        </is>
      </c>
      <c r="F89" t="inlineStr"/>
      <c r="G89" t="n">
        <v>5.834869256968189</v>
      </c>
      <c r="H89" t="n">
        <v>10.05023339700217</v>
      </c>
      <c r="I89" t="n">
        <v>6.966692846003397</v>
      </c>
      <c r="J89" t="n">
        <v>-2.80193913135095</v>
      </c>
      <c r="K89" t="n">
        <v>-3.021525691893889</v>
      </c>
      <c r="L89" t="n">
        <v>4.736358905460736</v>
      </c>
      <c r="M89" t="n">
        <v>3.119152472830278</v>
      </c>
      <c r="N89" t="n">
        <v>1.617206432630458</v>
      </c>
      <c r="O89" t="inlineStr"/>
      <c r="P89" t="inlineStr">
        <is>
          <t>India||10Y</t>
        </is>
      </c>
      <c r="Q89" t="inlineStr">
        <is>
          <t>India|10Y</t>
        </is>
      </c>
      <c r="R89" t="inlineStr"/>
    </row>
    <row r="90">
      <c r="A90" t="inlineStr">
        <is>
          <t>India</t>
        </is>
      </c>
      <c r="B90" t="inlineStr">
        <is>
          <t>IND</t>
        </is>
      </c>
      <c r="C90" t="inlineStr">
        <is>
          <t>LYINR.SW</t>
        </is>
      </c>
      <c r="D90" s="2" t="n">
        <v>46021</v>
      </c>
      <c r="E90" t="inlineStr">
        <is>
          <t>1Y</t>
        </is>
      </c>
      <c r="F90" t="n">
        <v>-0.8894369562915561</v>
      </c>
      <c r="G90" t="n">
        <v>6.645999999999996</v>
      </c>
      <c r="H90" t="n">
        <v>8.515731000000004</v>
      </c>
      <c r="I90" t="n">
        <v>5.507083000000002</v>
      </c>
      <c r="J90" t="n">
        <v>-2.772545698409046</v>
      </c>
      <c r="K90" t="n">
        <v>-4.642186031944884</v>
      </c>
      <c r="L90" t="n">
        <v>2.821999999999991</v>
      </c>
      <c r="M90" t="n">
        <v>2.715000000000001</v>
      </c>
      <c r="N90" t="n">
        <v>0.1069999999999904</v>
      </c>
      <c r="O90" t="n">
        <v>6.396519956291558</v>
      </c>
      <c r="P90" t="inlineStr">
        <is>
          <t>India|LYINR.SW|1Y</t>
        </is>
      </c>
      <c r="Q90" t="inlineStr">
        <is>
          <t>India|1Y</t>
        </is>
      </c>
      <c r="R90" t="inlineStr">
        <is>
          <t>USD</t>
        </is>
      </c>
    </row>
    <row r="91">
      <c r="A91" t="inlineStr">
        <is>
          <t>India</t>
        </is>
      </c>
      <c r="B91" t="inlineStr">
        <is>
          <t>IND</t>
        </is>
      </c>
      <c r="C91" t="inlineStr">
        <is>
          <t>LYINR.SW</t>
        </is>
      </c>
      <c r="D91" s="2" t="n">
        <v>46021</v>
      </c>
      <c r="E91" t="inlineStr">
        <is>
          <t>3Y</t>
        </is>
      </c>
      <c r="F91" t="n">
        <v>9.585913605245278</v>
      </c>
      <c r="G91" t="n">
        <v>7.436918655360047</v>
      </c>
      <c r="H91" t="n">
        <v>10.09511970244343</v>
      </c>
      <c r="I91" t="n">
        <v>7.226513221012598</v>
      </c>
      <c r="J91" t="n">
        <v>-2.605571116379835</v>
      </c>
      <c r="K91" t="n">
        <v>-2.747048795079654</v>
      </c>
      <c r="L91" t="n">
        <v>4.264192561485403</v>
      </c>
      <c r="M91" t="n">
        <v>3.263156230678832</v>
      </c>
      <c r="N91" t="n">
        <v>1.001036330806571</v>
      </c>
      <c r="O91" t="n">
        <v>-2.359400384232679</v>
      </c>
      <c r="P91" t="inlineStr">
        <is>
          <t>India|LYINR.SW|3Y</t>
        </is>
      </c>
      <c r="Q91" t="inlineStr">
        <is>
          <t>India|3Y</t>
        </is>
      </c>
      <c r="R91" t="inlineStr">
        <is>
          <t>USD</t>
        </is>
      </c>
    </row>
    <row r="92">
      <c r="A92" t="inlineStr">
        <is>
          <t>India</t>
        </is>
      </c>
      <c r="B92" t="inlineStr">
        <is>
          <t>IND</t>
        </is>
      </c>
      <c r="C92" t="inlineStr">
        <is>
          <t>LYINR.SW</t>
        </is>
      </c>
      <c r="D92" s="2" t="n">
        <v>46021</v>
      </c>
      <c r="E92" t="inlineStr">
        <is>
          <t>5Y</t>
        </is>
      </c>
      <c r="F92" t="n">
        <v>7.895261547213517</v>
      </c>
      <c r="G92" t="n">
        <v>7.918339116520134</v>
      </c>
      <c r="H92" t="n">
        <v>12.56684095269041</v>
      </c>
      <c r="I92" t="n">
        <v>9.050917372360324</v>
      </c>
      <c r="J92" t="n">
        <v>-3.123409673669764</v>
      </c>
      <c r="K92" t="n">
        <v>-4.069010802674899</v>
      </c>
      <c r="L92" t="n">
        <v>4.985943955445027</v>
      </c>
      <c r="M92" t="n">
        <v>4.476417270751631</v>
      </c>
      <c r="N92" t="n">
        <v>0.5095266846933955</v>
      </c>
      <c r="O92" t="n">
        <v>1.155655825146807</v>
      </c>
      <c r="P92" t="inlineStr">
        <is>
          <t>India|LYINR.SW|5Y</t>
        </is>
      </c>
      <c r="Q92" t="inlineStr">
        <is>
          <t>India|5Y</t>
        </is>
      </c>
      <c r="R92" t="inlineStr">
        <is>
          <t>USD</t>
        </is>
      </c>
    </row>
    <row r="93">
      <c r="A93" t="inlineStr">
        <is>
          <t>India</t>
        </is>
      </c>
      <c r="B93" t="inlineStr">
        <is>
          <t>IND</t>
        </is>
      </c>
      <c r="C93" t="inlineStr">
        <is>
          <t>LYINR.SW</t>
        </is>
      </c>
      <c r="D93" s="2" t="n">
        <v>46021</v>
      </c>
      <c r="E93" t="inlineStr">
        <is>
          <t>10Y</t>
        </is>
      </c>
      <c r="F93" t="n">
        <v>8.291522572806208</v>
      </c>
      <c r="G93" t="n">
        <v>5.834869256968189</v>
      </c>
      <c r="H93" t="n">
        <v>10.05023339700217</v>
      </c>
      <c r="I93" t="n">
        <v>6.966692846003397</v>
      </c>
      <c r="J93" t="n">
        <v>-2.80193913135095</v>
      </c>
      <c r="K93" t="n">
        <v>-3.021525691893889</v>
      </c>
      <c r="L93" t="n">
        <v>4.736358905460736</v>
      </c>
      <c r="M93" t="n">
        <v>3.119152472830278</v>
      </c>
      <c r="N93" t="n">
        <v>1.617206432630458</v>
      </c>
      <c r="O93" t="n">
        <v>-1.324829726802811</v>
      </c>
      <c r="P93" t="inlineStr">
        <is>
          <t>India|LYINR.SW|10Y</t>
        </is>
      </c>
      <c r="Q93" t="inlineStr">
        <is>
          <t>India|10Y</t>
        </is>
      </c>
      <c r="R93" t="inlineStr">
        <is>
          <t>USD</t>
        </is>
      </c>
    </row>
    <row r="94">
      <c r="A94" t="inlineStr">
        <is>
          <t>Indonesia</t>
        </is>
      </c>
      <c r="B94" t="inlineStr">
        <is>
          <t>IDN</t>
        </is>
      </c>
      <c r="C94" t="inlineStr"/>
      <c r="D94" s="2" t="n">
        <v>46022</v>
      </c>
      <c r="E94" t="inlineStr">
        <is>
          <t>1Y</t>
        </is>
      </c>
      <c r="F94" t="inlineStr"/>
      <c r="G94" t="n">
        <v>4.861000000000004</v>
      </c>
      <c r="H94" t="n">
        <v>7.022755999999997</v>
      </c>
      <c r="I94" t="n">
        <v>3.362887999999997</v>
      </c>
      <c r="J94" t="n">
        <v>-3.419710718214619</v>
      </c>
      <c r="K94" t="n">
        <v>-2.624787389334104</v>
      </c>
      <c r="L94" t="n">
        <v>1.838999999999991</v>
      </c>
      <c r="M94" t="n">
        <v>2.715000000000001</v>
      </c>
      <c r="N94" t="n">
        <v>-0.8760000000000101</v>
      </c>
      <c r="O94" t="inlineStr"/>
      <c r="P94" t="inlineStr">
        <is>
          <t>Indonesia||1Y</t>
        </is>
      </c>
      <c r="Q94" t="inlineStr">
        <is>
          <t>Indonesia|1Y</t>
        </is>
      </c>
      <c r="R94" t="inlineStr"/>
    </row>
    <row r="95">
      <c r="A95" t="inlineStr">
        <is>
          <t>Indonesia</t>
        </is>
      </c>
      <c r="B95" t="inlineStr">
        <is>
          <t>IDN</t>
        </is>
      </c>
      <c r="C95" t="inlineStr"/>
      <c r="D95" s="2" t="n">
        <v>46022</v>
      </c>
      <c r="E95" t="inlineStr">
        <is>
          <t>3Y</t>
        </is>
      </c>
      <c r="F95" t="inlineStr"/>
      <c r="G95" t="n">
        <v>4.979965977918921</v>
      </c>
      <c r="H95" t="n">
        <v>6.547773211466579</v>
      </c>
      <c r="I95" t="n">
        <v>3.043778494210758</v>
      </c>
      <c r="J95" t="n">
        <v>-3.288661051716169</v>
      </c>
      <c r="K95" t="n">
        <v>-2.374134061153899</v>
      </c>
      <c r="L95" t="n">
        <v>2.614244557626</v>
      </c>
      <c r="M95" t="n">
        <v>3.263156230678832</v>
      </c>
      <c r="N95" t="n">
        <v>-0.6489116730528321</v>
      </c>
      <c r="O95" t="inlineStr"/>
      <c r="P95" t="inlineStr">
        <is>
          <t>Indonesia||3Y</t>
        </is>
      </c>
      <c r="Q95" t="inlineStr">
        <is>
          <t>Indonesia|3Y</t>
        </is>
      </c>
      <c r="R95" t="inlineStr"/>
    </row>
    <row r="96">
      <c r="A96" t="inlineStr">
        <is>
          <t>Indonesia</t>
        </is>
      </c>
      <c r="B96" t="inlineStr">
        <is>
          <t>IDN</t>
        </is>
      </c>
      <c r="C96" t="inlineStr"/>
      <c r="D96" s="2" t="n">
        <v>46022</v>
      </c>
      <c r="E96" t="inlineStr">
        <is>
          <t>5Y</t>
        </is>
      </c>
      <c r="F96" t="inlineStr"/>
      <c r="G96" t="n">
        <v>4.788486756951071</v>
      </c>
      <c r="H96" t="n">
        <v>8.937740731042876</v>
      </c>
      <c r="I96" t="n">
        <v>6.386120523687699</v>
      </c>
      <c r="J96" t="n">
        <v>-2.342274074121986</v>
      </c>
      <c r="K96" t="n">
        <v>-3.521992596937817</v>
      </c>
      <c r="L96" t="n">
        <v>2.70525509984787</v>
      </c>
      <c r="M96" t="n">
        <v>4.476417270751631</v>
      </c>
      <c r="N96" t="n">
        <v>-1.771162170903762</v>
      </c>
      <c r="O96" t="inlineStr"/>
      <c r="P96" t="inlineStr">
        <is>
          <t>Indonesia||5Y</t>
        </is>
      </c>
      <c r="Q96" t="inlineStr">
        <is>
          <t>Indonesia|5Y</t>
        </is>
      </c>
      <c r="R96" t="inlineStr"/>
    </row>
    <row r="97">
      <c r="A97" t="inlineStr">
        <is>
          <t>Indonesia</t>
        </is>
      </c>
      <c r="B97" t="inlineStr">
        <is>
          <t>IDN</t>
        </is>
      </c>
      <c r="C97" t="inlineStr"/>
      <c r="D97" s="2" t="n">
        <v>46022</v>
      </c>
      <c r="E97" t="inlineStr">
        <is>
          <t>10Y</t>
        </is>
      </c>
      <c r="F97" t="inlineStr"/>
      <c r="G97" t="n">
        <v>4.195319559416921</v>
      </c>
      <c r="H97" t="n">
        <v>7.471726843455895</v>
      </c>
      <c r="I97" t="n">
        <v>5.303156012516141</v>
      </c>
      <c r="J97" t="n">
        <v>-2.017805997005151</v>
      </c>
      <c r="K97" t="n">
        <v>-1.88829716711949</v>
      </c>
      <c r="L97" t="n">
        <v>2.899599745488812</v>
      </c>
      <c r="M97" t="n">
        <v>3.119152472830278</v>
      </c>
      <c r="N97" t="n">
        <v>-0.2195527273414655</v>
      </c>
      <c r="O97" t="inlineStr"/>
      <c r="P97" t="inlineStr">
        <is>
          <t>Indonesia||10Y</t>
        </is>
      </c>
      <c r="Q97" t="inlineStr">
        <is>
          <t>Indonesia|10Y</t>
        </is>
      </c>
      <c r="R97" t="inlineStr"/>
    </row>
    <row r="98">
      <c r="A98" t="inlineStr">
        <is>
          <t>Indonesia</t>
        </is>
      </c>
      <c r="B98" t="inlineStr">
        <is>
          <t>IDN</t>
        </is>
      </c>
      <c r="C98" t="inlineStr">
        <is>
          <t>INDO.PA</t>
        </is>
      </c>
      <c r="D98" s="2" t="n">
        <v>46022</v>
      </c>
      <c r="E98" t="inlineStr">
        <is>
          <t>1Y</t>
        </is>
      </c>
      <c r="F98" t="n">
        <v>-3.36933792862526</v>
      </c>
      <c r="G98" t="n">
        <v>4.861000000000004</v>
      </c>
      <c r="H98" t="n">
        <v>7.022755999999997</v>
      </c>
      <c r="I98" t="n">
        <v>3.362887999999997</v>
      </c>
      <c r="J98" t="n">
        <v>-3.419710718214619</v>
      </c>
      <c r="K98" t="n">
        <v>-2.624787389334104</v>
      </c>
      <c r="L98" t="n">
        <v>1.838999999999991</v>
      </c>
      <c r="M98" t="n">
        <v>2.715000000000001</v>
      </c>
      <c r="N98" t="n">
        <v>-0.8760000000000101</v>
      </c>
      <c r="O98" t="n">
        <v>6.732225928625257</v>
      </c>
      <c r="P98" t="inlineStr">
        <is>
          <t>Indonesia|INDO.PA|1Y</t>
        </is>
      </c>
      <c r="Q98" t="inlineStr">
        <is>
          <t>Indonesia|1Y</t>
        </is>
      </c>
      <c r="R98" t="inlineStr">
        <is>
          <t>EUR</t>
        </is>
      </c>
    </row>
    <row r="99">
      <c r="A99" t="inlineStr">
        <is>
          <t>Indonesia</t>
        </is>
      </c>
      <c r="B99" t="inlineStr">
        <is>
          <t>IDN</t>
        </is>
      </c>
      <c r="C99" t="inlineStr">
        <is>
          <t>INDO.PA</t>
        </is>
      </c>
      <c r="D99" s="2" t="n">
        <v>46022</v>
      </c>
      <c r="E99" t="inlineStr">
        <is>
          <t>3Y</t>
        </is>
      </c>
      <c r="F99" t="n">
        <v>-3.544826922592437</v>
      </c>
      <c r="G99" t="n">
        <v>4.979965977918921</v>
      </c>
      <c r="H99" t="n">
        <v>6.547773211466579</v>
      </c>
      <c r="I99" t="n">
        <v>3.043778494210758</v>
      </c>
      <c r="J99" t="n">
        <v>-3.288661051716169</v>
      </c>
      <c r="K99" t="n">
        <v>-2.374134061153899</v>
      </c>
      <c r="L99" t="n">
        <v>2.614244557626</v>
      </c>
      <c r="M99" t="n">
        <v>3.263156230678832</v>
      </c>
      <c r="N99" t="n">
        <v>-0.6489116730528321</v>
      </c>
      <c r="O99" t="n">
        <v>6.588605416803195</v>
      </c>
      <c r="P99" t="inlineStr">
        <is>
          <t>Indonesia|INDO.PA|3Y</t>
        </is>
      </c>
      <c r="Q99" t="inlineStr">
        <is>
          <t>Indonesia|3Y</t>
        </is>
      </c>
      <c r="R99" t="inlineStr">
        <is>
          <t>EUR</t>
        </is>
      </c>
    </row>
    <row r="100">
      <c r="A100" t="inlineStr">
        <is>
          <t>Indonesia</t>
        </is>
      </c>
      <c r="B100" t="inlineStr">
        <is>
          <t>IDN</t>
        </is>
      </c>
      <c r="C100" t="inlineStr">
        <is>
          <t>INDO.PA</t>
        </is>
      </c>
      <c r="D100" s="2" t="n">
        <v>46022</v>
      </c>
      <c r="E100" t="inlineStr">
        <is>
          <t>5Y</t>
        </is>
      </c>
      <c r="F100" t="n">
        <v>-1.518212236355088</v>
      </c>
      <c r="G100" t="n">
        <v>4.788486756951071</v>
      </c>
      <c r="H100" t="n">
        <v>8.937740731042876</v>
      </c>
      <c r="I100" t="n">
        <v>6.386120523687699</v>
      </c>
      <c r="J100" t="n">
        <v>-2.342274074121986</v>
      </c>
      <c r="K100" t="n">
        <v>-3.521992596937817</v>
      </c>
      <c r="L100" t="n">
        <v>2.70525509984787</v>
      </c>
      <c r="M100" t="n">
        <v>4.476417270751631</v>
      </c>
      <c r="N100" t="n">
        <v>-1.771162170903762</v>
      </c>
      <c r="O100" t="n">
        <v>7.904332760042787</v>
      </c>
      <c r="P100" t="inlineStr">
        <is>
          <t>Indonesia|INDO.PA|5Y</t>
        </is>
      </c>
      <c r="Q100" t="inlineStr">
        <is>
          <t>Indonesia|5Y</t>
        </is>
      </c>
      <c r="R100" t="inlineStr">
        <is>
          <t>EUR</t>
        </is>
      </c>
    </row>
    <row r="101">
      <c r="A101" t="inlineStr">
        <is>
          <t>Indonesia</t>
        </is>
      </c>
      <c r="B101" t="inlineStr">
        <is>
          <t>IDN</t>
        </is>
      </c>
      <c r="C101" t="inlineStr">
        <is>
          <t>INDO.PA</t>
        </is>
      </c>
      <c r="D101" s="2" t="n">
        <v>46022</v>
      </c>
      <c r="E101" t="inlineStr">
        <is>
          <t>10Y</t>
        </is>
      </c>
      <c r="F101" t="n">
        <v>2.173985650103605</v>
      </c>
      <c r="G101" t="n">
        <v>4.195319559416921</v>
      </c>
      <c r="H101" t="n">
        <v>7.471726843455895</v>
      </c>
      <c r="I101" t="n">
        <v>5.303156012516141</v>
      </c>
      <c r="J101" t="n">
        <v>-2.017805997005151</v>
      </c>
      <c r="K101" t="n">
        <v>-1.88829716711949</v>
      </c>
      <c r="L101" t="n">
        <v>2.899599745488812</v>
      </c>
      <c r="M101" t="n">
        <v>3.119152472830278</v>
      </c>
      <c r="N101" t="n">
        <v>-0.2195527273414655</v>
      </c>
      <c r="O101" t="n">
        <v>3.129170362412537</v>
      </c>
      <c r="P101" t="inlineStr">
        <is>
          <t>Indonesia|INDO.PA|10Y</t>
        </is>
      </c>
      <c r="Q101" t="inlineStr">
        <is>
          <t>Indonesia|10Y</t>
        </is>
      </c>
      <c r="R101" t="inlineStr">
        <is>
          <t>EUR</t>
        </is>
      </c>
    </row>
    <row r="102">
      <c r="A102" t="inlineStr">
        <is>
          <t>Italy</t>
        </is>
      </c>
      <c r="B102" t="inlineStr">
        <is>
          <t>ITA</t>
        </is>
      </c>
      <c r="C102" t="inlineStr"/>
      <c r="D102" s="2" t="n">
        <v>46022</v>
      </c>
      <c r="E102" t="inlineStr">
        <is>
          <t>1Y</t>
        </is>
      </c>
      <c r="F102" t="inlineStr"/>
      <c r="G102" t="n">
        <v>0.546000000000002</v>
      </c>
      <c r="H102" t="n">
        <v>2.72618899999999</v>
      </c>
      <c r="I102" t="n">
        <v>7.234980000000002</v>
      </c>
      <c r="J102" t="n">
        <v>4.389134997969357</v>
      </c>
      <c r="K102" t="n">
        <v>13.51067566275939</v>
      </c>
      <c r="L102" t="n">
        <v>1.656999999999997</v>
      </c>
      <c r="M102" t="n">
        <v>2.715000000000001</v>
      </c>
      <c r="N102" t="n">
        <v>-1.058000000000003</v>
      </c>
      <c r="O102" t="inlineStr"/>
      <c r="P102" t="inlineStr">
        <is>
          <t>Italy||1Y</t>
        </is>
      </c>
      <c r="Q102" t="inlineStr">
        <is>
          <t>Italy|1Y</t>
        </is>
      </c>
      <c r="R102" t="inlineStr"/>
    </row>
    <row r="103">
      <c r="A103" t="inlineStr">
        <is>
          <t>Italy</t>
        </is>
      </c>
      <c r="B103" t="inlineStr">
        <is>
          <t>ITA</t>
        </is>
      </c>
      <c r="C103" t="inlineStr"/>
      <c r="D103" s="2" t="n">
        <v>46022</v>
      </c>
      <c r="E103" t="inlineStr">
        <is>
          <t>3Y</t>
        </is>
      </c>
      <c r="F103" t="inlineStr"/>
      <c r="G103" t="n">
        <v>0.6622996093258005</v>
      </c>
      <c r="H103" t="n">
        <v>4.067569460073339</v>
      </c>
      <c r="I103" t="n">
        <v>6.500972649406256</v>
      </c>
      <c r="J103" t="n">
        <v>2.338291504513101</v>
      </c>
      <c r="K103" t="n">
        <v>3.139608669247629</v>
      </c>
      <c r="L103" t="n">
        <v>2.860780990519962</v>
      </c>
      <c r="M103" t="n">
        <v>3.263156230678832</v>
      </c>
      <c r="N103" t="n">
        <v>-0.4023752401588698</v>
      </c>
      <c r="O103" t="inlineStr"/>
      <c r="P103" t="inlineStr">
        <is>
          <t>Italy||3Y</t>
        </is>
      </c>
      <c r="Q103" t="inlineStr">
        <is>
          <t>Italy|3Y</t>
        </is>
      </c>
      <c r="R103" t="inlineStr"/>
    </row>
    <row r="104">
      <c r="A104" t="inlineStr">
        <is>
          <t>Italy</t>
        </is>
      </c>
      <c r="B104" t="inlineStr">
        <is>
          <t>ITA</t>
        </is>
      </c>
      <c r="C104" t="inlineStr"/>
      <c r="D104" s="2" t="n">
        <v>46022</v>
      </c>
      <c r="E104" t="inlineStr">
        <is>
          <t>5Y</t>
        </is>
      </c>
      <c r="F104" t="inlineStr"/>
      <c r="G104" t="n">
        <v>3.095584771926529</v>
      </c>
      <c r="H104" t="n">
        <v>6.161622411620993</v>
      </c>
      <c r="I104" t="n">
        <v>5.942402713846362</v>
      </c>
      <c r="J104" t="n">
        <v>-0.2064961091488127</v>
      </c>
      <c r="K104" t="n">
        <v>-0.7159122239312588</v>
      </c>
      <c r="L104" t="n">
        <v>3.823182917106926</v>
      </c>
      <c r="M104" t="n">
        <v>4.476417270751631</v>
      </c>
      <c r="N104" t="n">
        <v>-0.6532343536447049</v>
      </c>
      <c r="O104" t="inlineStr"/>
      <c r="P104" t="inlineStr">
        <is>
          <t>Italy||5Y</t>
        </is>
      </c>
      <c r="Q104" t="inlineStr">
        <is>
          <t>Italy|5Y</t>
        </is>
      </c>
      <c r="R104" t="inlineStr"/>
    </row>
    <row r="105">
      <c r="A105" t="inlineStr">
        <is>
          <t>Italy</t>
        </is>
      </c>
      <c r="B105" t="inlineStr">
        <is>
          <t>ITA</t>
        </is>
      </c>
      <c r="C105" t="inlineStr"/>
      <c r="D105" s="2" t="n">
        <v>46022</v>
      </c>
      <c r="E105" t="inlineStr">
        <is>
          <t>10Y</t>
        </is>
      </c>
      <c r="F105" t="inlineStr"/>
      <c r="G105" t="n">
        <v>1.007890224510355</v>
      </c>
      <c r="H105" t="n">
        <v>3.07640767700248</v>
      </c>
      <c r="I105" t="n">
        <v>3.259991546995633</v>
      </c>
      <c r="J105" t="n">
        <v>0.1781046938513997</v>
      </c>
      <c r="K105" t="n">
        <v>0.7920521518232082</v>
      </c>
      <c r="L105" t="n">
        <v>2.198729038616576</v>
      </c>
      <c r="M105" t="n">
        <v>3.119152472830278</v>
      </c>
      <c r="N105" t="n">
        <v>-0.9204234342137019</v>
      </c>
      <c r="O105" t="inlineStr"/>
      <c r="P105" t="inlineStr">
        <is>
          <t>Italy||10Y</t>
        </is>
      </c>
      <c r="Q105" t="inlineStr">
        <is>
          <t>Italy|10Y</t>
        </is>
      </c>
      <c r="R105" t="inlineStr"/>
    </row>
    <row r="106">
      <c r="A106" t="inlineStr">
        <is>
          <t>Italy</t>
        </is>
      </c>
      <c r="B106" t="inlineStr">
        <is>
          <t>ITA</t>
        </is>
      </c>
      <c r="C106" t="inlineStr">
        <is>
          <t>EWI</t>
        </is>
      </c>
      <c r="D106" s="2" t="n">
        <v>46022</v>
      </c>
      <c r="E106" t="inlineStr">
        <is>
          <t>1Y</t>
        </is>
      </c>
      <c r="F106" t="n">
        <v>57.55739357786656</v>
      </c>
      <c r="G106" t="n">
        <v>0.546000000000002</v>
      </c>
      <c r="H106" t="n">
        <v>2.72618899999999</v>
      </c>
      <c r="I106" t="n">
        <v>7.234980000000002</v>
      </c>
      <c r="J106" t="n">
        <v>4.389134997969357</v>
      </c>
      <c r="K106" t="n">
        <v>13.51067566275939</v>
      </c>
      <c r="L106" t="n">
        <v>1.656999999999997</v>
      </c>
      <c r="M106" t="n">
        <v>2.715000000000001</v>
      </c>
      <c r="N106" t="n">
        <v>-1.058000000000003</v>
      </c>
      <c r="O106" t="n">
        <v>-50.32241357786656</v>
      </c>
      <c r="P106" t="inlineStr">
        <is>
          <t>Italy|EWI|1Y</t>
        </is>
      </c>
      <c r="Q106" t="inlineStr">
        <is>
          <t>Italy|1Y</t>
        </is>
      </c>
      <c r="R106" t="inlineStr">
        <is>
          <t>USD</t>
        </is>
      </c>
    </row>
    <row r="107">
      <c r="A107" t="inlineStr">
        <is>
          <t>Italy</t>
        </is>
      </c>
      <c r="B107" t="inlineStr">
        <is>
          <t>ITA</t>
        </is>
      </c>
      <c r="C107" t="inlineStr">
        <is>
          <t>EWI</t>
        </is>
      </c>
      <c r="D107" s="2" t="n">
        <v>46022</v>
      </c>
      <c r="E107" t="inlineStr">
        <is>
          <t>3Y</t>
        </is>
      </c>
      <c r="F107" t="n">
        <v>30.13341883730789</v>
      </c>
      <c r="G107" t="n">
        <v>0.6622996093258005</v>
      </c>
      <c r="H107" t="n">
        <v>4.067569460073339</v>
      </c>
      <c r="I107" t="n">
        <v>6.500972649406256</v>
      </c>
      <c r="J107" t="n">
        <v>2.338291504513101</v>
      </c>
      <c r="K107" t="n">
        <v>3.139608669247629</v>
      </c>
      <c r="L107" t="n">
        <v>2.860780990519962</v>
      </c>
      <c r="M107" t="n">
        <v>3.263156230678832</v>
      </c>
      <c r="N107" t="n">
        <v>-0.4023752401588698</v>
      </c>
      <c r="O107" t="n">
        <v>-23.63244618790164</v>
      </c>
      <c r="P107" t="inlineStr">
        <is>
          <t>Italy|EWI|3Y</t>
        </is>
      </c>
      <c r="Q107" t="inlineStr">
        <is>
          <t>Italy|3Y</t>
        </is>
      </c>
      <c r="R107" t="inlineStr">
        <is>
          <t>USD</t>
        </is>
      </c>
    </row>
    <row r="108">
      <c r="A108" t="inlineStr">
        <is>
          <t>Italy</t>
        </is>
      </c>
      <c r="B108" t="inlineStr">
        <is>
          <t>ITA</t>
        </is>
      </c>
      <c r="C108" t="inlineStr">
        <is>
          <t>EWI</t>
        </is>
      </c>
      <c r="D108" s="2" t="n">
        <v>46022</v>
      </c>
      <c r="E108" t="inlineStr">
        <is>
          <t>5Y</t>
        </is>
      </c>
      <c r="F108" t="n">
        <v>16.91531884003992</v>
      </c>
      <c r="G108" t="n">
        <v>3.095584771926529</v>
      </c>
      <c r="H108" t="n">
        <v>6.161622411620993</v>
      </c>
      <c r="I108" t="n">
        <v>5.942402713846362</v>
      </c>
      <c r="J108" t="n">
        <v>-0.2064961091488127</v>
      </c>
      <c r="K108" t="n">
        <v>-0.7159122239312588</v>
      </c>
      <c r="L108" t="n">
        <v>3.823182917106926</v>
      </c>
      <c r="M108" t="n">
        <v>4.476417270751631</v>
      </c>
      <c r="N108" t="n">
        <v>-0.6532343536447049</v>
      </c>
      <c r="O108" t="n">
        <v>-10.97291612619355</v>
      </c>
      <c r="P108" t="inlineStr">
        <is>
          <t>Italy|EWI|5Y</t>
        </is>
      </c>
      <c r="Q108" t="inlineStr">
        <is>
          <t>Italy|5Y</t>
        </is>
      </c>
      <c r="R108" t="inlineStr">
        <is>
          <t>USD</t>
        </is>
      </c>
    </row>
    <row r="109">
      <c r="A109" t="inlineStr">
        <is>
          <t>Italy</t>
        </is>
      </c>
      <c r="B109" t="inlineStr">
        <is>
          <t>ITA</t>
        </is>
      </c>
      <c r="C109" t="inlineStr">
        <is>
          <t>EWI</t>
        </is>
      </c>
      <c r="D109" s="2" t="n">
        <v>46022</v>
      </c>
      <c r="E109" t="inlineStr">
        <is>
          <t>10Y</t>
        </is>
      </c>
      <c r="F109" t="n">
        <v>10.89037344475548</v>
      </c>
      <c r="G109" t="n">
        <v>1.007890224510355</v>
      </c>
      <c r="H109" t="n">
        <v>3.07640767700248</v>
      </c>
      <c r="I109" t="n">
        <v>3.259991546995633</v>
      </c>
      <c r="J109" t="n">
        <v>0.1781046938513997</v>
      </c>
      <c r="K109" t="n">
        <v>0.7920521518232082</v>
      </c>
      <c r="L109" t="n">
        <v>2.198729038616576</v>
      </c>
      <c r="M109" t="n">
        <v>3.119152472830278</v>
      </c>
      <c r="N109" t="n">
        <v>-0.9204234342137019</v>
      </c>
      <c r="O109" t="n">
        <v>-7.630381897759842</v>
      </c>
      <c r="P109" t="inlineStr">
        <is>
          <t>Italy|EWI|10Y</t>
        </is>
      </c>
      <c r="Q109" t="inlineStr">
        <is>
          <t>Italy|10Y</t>
        </is>
      </c>
      <c r="R109" t="inlineStr">
        <is>
          <t>USD</t>
        </is>
      </c>
    </row>
    <row r="110">
      <c r="A110" t="inlineStr">
        <is>
          <t>Japan</t>
        </is>
      </c>
      <c r="B110" t="inlineStr">
        <is>
          <t>JPN</t>
        </is>
      </c>
      <c r="C110" t="inlineStr"/>
      <c r="D110" s="2" t="n">
        <v>46022</v>
      </c>
      <c r="E110" t="inlineStr">
        <is>
          <t>1Y</t>
        </is>
      </c>
      <c r="F110" t="inlineStr"/>
      <c r="G110" t="n">
        <v>1.07600000000001</v>
      </c>
      <c r="H110" t="n">
        <v>3.887970000000007</v>
      </c>
      <c r="I110" t="n">
        <v>6.479751999999994</v>
      </c>
      <c r="J110" t="n">
        <v>2.494785464134441</v>
      </c>
      <c r="K110" t="n">
        <v>0.630374008006096</v>
      </c>
      <c r="L110" t="n">
        <v>3.286999999999995</v>
      </c>
      <c r="M110" t="n">
        <v>2.715000000000001</v>
      </c>
      <c r="N110" t="n">
        <v>0.5719999999999947</v>
      </c>
      <c r="O110" t="inlineStr"/>
      <c r="P110" t="inlineStr">
        <is>
          <t>Japan||1Y</t>
        </is>
      </c>
      <c r="Q110" t="inlineStr">
        <is>
          <t>Japan|1Y</t>
        </is>
      </c>
      <c r="R110" t="inlineStr"/>
    </row>
    <row r="111">
      <c r="A111" t="inlineStr">
        <is>
          <t>Japan</t>
        </is>
      </c>
      <c r="B111" t="inlineStr">
        <is>
          <t>JPN</t>
        </is>
      </c>
      <c r="C111" t="inlineStr"/>
      <c r="D111" s="2" t="n">
        <v>46022</v>
      </c>
      <c r="E111" t="inlineStr">
        <is>
          <t>3Y</t>
        </is>
      </c>
      <c r="F111" t="inlineStr"/>
      <c r="G111" t="n">
        <v>0.8070767384687372</v>
      </c>
      <c r="H111" t="n">
        <v>4.079471863645368</v>
      </c>
      <c r="I111" t="n">
        <v>0.1296002875132762</v>
      </c>
      <c r="J111" t="n">
        <v>-3.79505348620458</v>
      </c>
      <c r="K111" t="n">
        <v>-5.839791574360631</v>
      </c>
      <c r="L111" t="n">
        <v>3.097686824914558</v>
      </c>
      <c r="M111" t="n">
        <v>3.263156230678832</v>
      </c>
      <c r="N111" t="n">
        <v>-0.1654694057642736</v>
      </c>
      <c r="O111" t="inlineStr"/>
      <c r="P111" t="inlineStr">
        <is>
          <t>Japan||3Y</t>
        </is>
      </c>
      <c r="Q111" t="inlineStr">
        <is>
          <t>Japan|3Y</t>
        </is>
      </c>
      <c r="R111" t="inlineStr"/>
    </row>
    <row r="112">
      <c r="A112" t="inlineStr">
        <is>
          <t>Japan</t>
        </is>
      </c>
      <c r="B112" t="inlineStr">
        <is>
          <t>JPN</t>
        </is>
      </c>
      <c r="C112" t="inlineStr"/>
      <c r="D112" s="2" t="n">
        <v>46022</v>
      </c>
      <c r="E112" t="inlineStr">
        <is>
          <t>5Y</t>
        </is>
      </c>
      <c r="F112" t="inlineStr"/>
      <c r="G112" t="n">
        <v>1.212938163621247</v>
      </c>
      <c r="H112" t="n">
        <v>3.211698957264009</v>
      </c>
      <c r="I112" t="n">
        <v>-3.270926251822071</v>
      </c>
      <c r="J112" t="n">
        <v>-6.280901590702559</v>
      </c>
      <c r="K112" t="n">
        <v>-8.012919775629124</v>
      </c>
      <c r="L112" t="n">
        <v>2.302530783405965</v>
      </c>
      <c r="M112" t="n">
        <v>4.476417270751631</v>
      </c>
      <c r="N112" t="n">
        <v>-2.173886487345666</v>
      </c>
      <c r="O112" t="inlineStr"/>
      <c r="P112" t="inlineStr">
        <is>
          <t>Japan||5Y</t>
        </is>
      </c>
      <c r="Q112" t="inlineStr">
        <is>
          <t>Japan|5Y</t>
        </is>
      </c>
      <c r="R112" t="inlineStr"/>
    </row>
    <row r="113">
      <c r="A113" t="inlineStr">
        <is>
          <t>Japan</t>
        </is>
      </c>
      <c r="B113" t="inlineStr">
        <is>
          <t>JPN</t>
        </is>
      </c>
      <c r="C113" t="inlineStr"/>
      <c r="D113" s="2" t="n">
        <v>46022</v>
      </c>
      <c r="E113" t="inlineStr">
        <is>
          <t>10Y</t>
        </is>
      </c>
      <c r="F113" t="inlineStr"/>
      <c r="G113" t="n">
        <v>0.4430022080747165</v>
      </c>
      <c r="H113" t="n">
        <v>1.623588192451919</v>
      </c>
      <c r="I113" t="n">
        <v>-0.3777999050532999</v>
      </c>
      <c r="J113" t="n">
        <v>-1.969412821691119</v>
      </c>
      <c r="K113" t="n">
        <v>-2.61170994625668</v>
      </c>
      <c r="L113" t="n">
        <v>1.325699028823402</v>
      </c>
      <c r="M113" t="n">
        <v>3.119152472830278</v>
      </c>
      <c r="N113" t="n">
        <v>-1.793453444006876</v>
      </c>
      <c r="O113" t="inlineStr"/>
      <c r="P113" t="inlineStr">
        <is>
          <t>Japan||10Y</t>
        </is>
      </c>
      <c r="Q113" t="inlineStr">
        <is>
          <t>Japan|10Y</t>
        </is>
      </c>
      <c r="R113" t="inlineStr"/>
    </row>
    <row r="114">
      <c r="A114" t="inlineStr">
        <is>
          <t>Japan</t>
        </is>
      </c>
      <c r="B114" t="inlineStr">
        <is>
          <t>JPN</t>
        </is>
      </c>
      <c r="C114" t="inlineStr">
        <is>
          <t>CJPU.L</t>
        </is>
      </c>
      <c r="D114" s="2" t="n">
        <v>46022</v>
      </c>
      <c r="E114" t="inlineStr">
        <is>
          <t>1Y</t>
        </is>
      </c>
      <c r="F114" t="n">
        <v>25.89693520558538</v>
      </c>
      <c r="G114" t="n">
        <v>1.07600000000001</v>
      </c>
      <c r="H114" t="n">
        <v>3.887970000000007</v>
      </c>
      <c r="I114" t="n">
        <v>6.479751999999994</v>
      </c>
      <c r="J114" t="n">
        <v>2.494785464134441</v>
      </c>
      <c r="K114" t="n">
        <v>0.630374008006096</v>
      </c>
      <c r="L114" t="n">
        <v>3.286999999999995</v>
      </c>
      <c r="M114" t="n">
        <v>2.715000000000001</v>
      </c>
      <c r="N114" t="n">
        <v>0.5719999999999947</v>
      </c>
      <c r="O114" t="n">
        <v>-19.41718320558538</v>
      </c>
      <c r="P114" t="inlineStr">
        <is>
          <t>Japan|CJPU.L|1Y</t>
        </is>
      </c>
      <c r="Q114" t="inlineStr">
        <is>
          <t>Japan|1Y</t>
        </is>
      </c>
      <c r="R114" t="inlineStr">
        <is>
          <t>USD</t>
        </is>
      </c>
    </row>
    <row r="115">
      <c r="A115" t="inlineStr">
        <is>
          <t>Japan</t>
        </is>
      </c>
      <c r="B115" t="inlineStr">
        <is>
          <t>JPN</t>
        </is>
      </c>
      <c r="C115" t="inlineStr">
        <is>
          <t>CJPU.L</t>
        </is>
      </c>
      <c r="D115" s="2" t="n">
        <v>46022</v>
      </c>
      <c r="E115" t="inlineStr">
        <is>
          <t>3Y</t>
        </is>
      </c>
      <c r="F115" t="n">
        <v>17.49741225724488</v>
      </c>
      <c r="G115" t="n">
        <v>0.8070767384687372</v>
      </c>
      <c r="H115" t="n">
        <v>4.079471863645368</v>
      </c>
      <c r="I115" t="n">
        <v>0.1296002875132762</v>
      </c>
      <c r="J115" t="n">
        <v>-3.79505348620458</v>
      </c>
      <c r="K115" t="n">
        <v>-5.839791574360631</v>
      </c>
      <c r="L115" t="n">
        <v>3.097686824914558</v>
      </c>
      <c r="M115" t="n">
        <v>3.263156230678832</v>
      </c>
      <c r="N115" t="n">
        <v>-0.1654694057642736</v>
      </c>
      <c r="O115" t="n">
        <v>-17.3678119697316</v>
      </c>
      <c r="P115" t="inlineStr">
        <is>
          <t>Japan|CJPU.L|3Y</t>
        </is>
      </c>
      <c r="Q115" t="inlineStr">
        <is>
          <t>Japan|3Y</t>
        </is>
      </c>
      <c r="R115" t="inlineStr">
        <is>
          <t>USD</t>
        </is>
      </c>
    </row>
    <row r="116">
      <c r="A116" t="inlineStr">
        <is>
          <t>Japan</t>
        </is>
      </c>
      <c r="B116" t="inlineStr">
        <is>
          <t>JPN</t>
        </is>
      </c>
      <c r="C116" t="inlineStr">
        <is>
          <t>CJPU.L</t>
        </is>
      </c>
      <c r="D116" s="2" t="n">
        <v>46022</v>
      </c>
      <c r="E116" t="inlineStr">
        <is>
          <t>5Y</t>
        </is>
      </c>
      <c r="F116" t="n">
        <v>6.394042577849657</v>
      </c>
      <c r="G116" t="n">
        <v>1.212938163621247</v>
      </c>
      <c r="H116" t="n">
        <v>3.211698957264009</v>
      </c>
      <c r="I116" t="n">
        <v>-3.270926251822071</v>
      </c>
      <c r="J116" t="n">
        <v>-6.280901590702559</v>
      </c>
      <c r="K116" t="n">
        <v>-8.012919775629124</v>
      </c>
      <c r="L116" t="n">
        <v>2.302530783405965</v>
      </c>
      <c r="M116" t="n">
        <v>4.476417270751631</v>
      </c>
      <c r="N116" t="n">
        <v>-2.173886487345666</v>
      </c>
      <c r="O116" t="n">
        <v>-9.664968829671727</v>
      </c>
      <c r="P116" t="inlineStr">
        <is>
          <t>Japan|CJPU.L|5Y</t>
        </is>
      </c>
      <c r="Q116" t="inlineStr">
        <is>
          <t>Japan|5Y</t>
        </is>
      </c>
      <c r="R116" t="inlineStr">
        <is>
          <t>USD</t>
        </is>
      </c>
    </row>
    <row r="117">
      <c r="A117" t="inlineStr">
        <is>
          <t>Japan</t>
        </is>
      </c>
      <c r="B117" t="inlineStr">
        <is>
          <t>JPN</t>
        </is>
      </c>
      <c r="C117" t="inlineStr">
        <is>
          <t>CJPU.L</t>
        </is>
      </c>
      <c r="D117" s="2" t="n">
        <v>46022</v>
      </c>
      <c r="E117" t="inlineStr">
        <is>
          <t>10Y</t>
        </is>
      </c>
      <c r="F117" t="n">
        <v>7.647721372879213</v>
      </c>
      <c r="G117" t="n">
        <v>0.4430022080747165</v>
      </c>
      <c r="H117" t="n">
        <v>1.623588192451919</v>
      </c>
      <c r="I117" t="n">
        <v>-0.3777999050532999</v>
      </c>
      <c r="J117" t="n">
        <v>-1.969412821691119</v>
      </c>
      <c r="K117" t="n">
        <v>-2.61170994625668</v>
      </c>
      <c r="L117" t="n">
        <v>1.325699028823402</v>
      </c>
      <c r="M117" t="n">
        <v>3.119152472830278</v>
      </c>
      <c r="N117" t="n">
        <v>-1.793453444006876</v>
      </c>
      <c r="O117" t="n">
        <v>-8.025521277932512</v>
      </c>
      <c r="P117" t="inlineStr">
        <is>
          <t>Japan|CJPU.L|10Y</t>
        </is>
      </c>
      <c r="Q117" t="inlineStr">
        <is>
          <t>Japan|10Y</t>
        </is>
      </c>
      <c r="R117" t="inlineStr">
        <is>
          <t>USD</t>
        </is>
      </c>
    </row>
    <row r="118">
      <c r="A118" t="inlineStr">
        <is>
          <t>Malaysia</t>
        </is>
      </c>
      <c r="B118" t="inlineStr">
        <is>
          <t>MYS</t>
        </is>
      </c>
      <c r="C118" t="inlineStr"/>
      <c r="D118" s="2" t="n">
        <v>46022</v>
      </c>
      <c r="E118" t="inlineStr">
        <is>
          <t>1Y</t>
        </is>
      </c>
      <c r="F118" t="inlineStr"/>
      <c r="G118" t="n">
        <v>4.499999999999993</v>
      </c>
      <c r="H118" t="n">
        <v>5.607851000000008</v>
      </c>
      <c r="I118" t="n">
        <v>11.45000199999999</v>
      </c>
      <c r="J118" t="n">
        <v>5.531928703126043</v>
      </c>
      <c r="K118" t="n">
        <v>10.30228861075233</v>
      </c>
      <c r="L118" t="n">
        <v>1.587000000000005</v>
      </c>
      <c r="M118" t="n">
        <v>2.715000000000001</v>
      </c>
      <c r="N118" t="n">
        <v>-1.127999999999996</v>
      </c>
      <c r="O118" t="inlineStr"/>
      <c r="P118" t="inlineStr">
        <is>
          <t>Malaysia||1Y</t>
        </is>
      </c>
      <c r="Q118" t="inlineStr">
        <is>
          <t>Malaysia|1Y</t>
        </is>
      </c>
      <c r="R118" t="inlineStr"/>
    </row>
    <row r="119">
      <c r="A119" t="inlineStr">
        <is>
          <t>Malaysia</t>
        </is>
      </c>
      <c r="B119" t="inlineStr">
        <is>
          <t>MYS</t>
        </is>
      </c>
      <c r="C119" t="inlineStr"/>
      <c r="D119" s="2" t="n">
        <v>46022</v>
      </c>
      <c r="E119" t="inlineStr">
        <is>
          <t>3Y</t>
        </is>
      </c>
      <c r="F119" t="inlineStr"/>
      <c r="G119" t="n">
        <v>4.378667423638438</v>
      </c>
      <c r="H119" t="n">
        <v>4.370250040512258</v>
      </c>
      <c r="I119" t="n">
        <v>4.885544483325233</v>
      </c>
      <c r="J119" t="n">
        <v>0.4937178110189233</v>
      </c>
      <c r="K119" t="n">
        <v>2.799766918958269</v>
      </c>
      <c r="L119" t="n">
        <v>1.969290610324204</v>
      </c>
      <c r="M119" t="n">
        <v>3.263156230678832</v>
      </c>
      <c r="N119" t="n">
        <v>-1.293865620354628</v>
      </c>
      <c r="O119" t="inlineStr"/>
      <c r="P119" t="inlineStr">
        <is>
          <t>Malaysia||3Y</t>
        </is>
      </c>
      <c r="Q119" t="inlineStr">
        <is>
          <t>Malaysia|3Y</t>
        </is>
      </c>
      <c r="R119" t="inlineStr"/>
    </row>
    <row r="120">
      <c r="A120" t="inlineStr">
        <is>
          <t>Malaysia</t>
        </is>
      </c>
      <c r="B120" t="inlineStr">
        <is>
          <t>MYS</t>
        </is>
      </c>
      <c r="C120" t="inlineStr"/>
      <c r="D120" s="2" t="n">
        <v>46022</v>
      </c>
      <c r="E120" t="inlineStr">
        <is>
          <t>5Y</t>
        </is>
      </c>
      <c r="F120" t="inlineStr"/>
      <c r="G120" t="n">
        <v>5.077690900653709</v>
      </c>
      <c r="H120" t="n">
        <v>7.544555745421189</v>
      </c>
      <c r="I120" t="n">
        <v>6.876392291377909</v>
      </c>
      <c r="J120" t="n">
        <v>-0.6212899528280635</v>
      </c>
      <c r="K120" t="n">
        <v>-0.1609099982251005</v>
      </c>
      <c r="L120" t="n">
        <v>2.351305089633104</v>
      </c>
      <c r="M120" t="n">
        <v>4.476417270751631</v>
      </c>
      <c r="N120" t="n">
        <v>-2.125112181118527</v>
      </c>
      <c r="O120" t="inlineStr"/>
      <c r="P120" t="inlineStr">
        <is>
          <t>Malaysia||5Y</t>
        </is>
      </c>
      <c r="Q120" t="inlineStr">
        <is>
          <t>Malaysia|5Y</t>
        </is>
      </c>
      <c r="R120" t="inlineStr"/>
    </row>
    <row r="121">
      <c r="A121" t="inlineStr">
        <is>
          <t>Malaysia</t>
        </is>
      </c>
      <c r="B121" t="inlineStr">
        <is>
          <t>MYS</t>
        </is>
      </c>
      <c r="C121" t="inlineStr"/>
      <c r="D121" s="2" t="n">
        <v>46022</v>
      </c>
      <c r="E121" t="inlineStr">
        <is>
          <t>10Y</t>
        </is>
      </c>
      <c r="F121" t="inlineStr"/>
      <c r="G121" t="n">
        <v>3.89444961245704</v>
      </c>
      <c r="H121" t="n">
        <v>5.657761217890767</v>
      </c>
      <c r="I121" t="n">
        <v>4.557398172221427</v>
      </c>
      <c r="J121" t="n">
        <v>-1.041440765586232</v>
      </c>
      <c r="K121" t="n">
        <v>0.6067302348311543</v>
      </c>
      <c r="L121" t="n">
        <v>1.80442750253671</v>
      </c>
      <c r="M121" t="n">
        <v>3.119152472830278</v>
      </c>
      <c r="N121" t="n">
        <v>-1.314724970293568</v>
      </c>
      <c r="O121" t="inlineStr"/>
      <c r="P121" t="inlineStr">
        <is>
          <t>Malaysia||10Y</t>
        </is>
      </c>
      <c r="Q121" t="inlineStr">
        <is>
          <t>Malaysia|10Y</t>
        </is>
      </c>
      <c r="R121" t="inlineStr"/>
    </row>
    <row r="122">
      <c r="A122" t="inlineStr">
        <is>
          <t>Malaysia</t>
        </is>
      </c>
      <c r="B122" t="inlineStr">
        <is>
          <t>MYS</t>
        </is>
      </c>
      <c r="C122" t="inlineStr">
        <is>
          <t>XCX3.L</t>
        </is>
      </c>
      <c r="D122" s="2" t="n">
        <v>46022</v>
      </c>
      <c r="E122" t="inlineStr">
        <is>
          <t>1Y</t>
        </is>
      </c>
      <c r="F122" t="n">
        <v>15.10072133742288</v>
      </c>
      <c r="G122" t="n">
        <v>4.499999999999993</v>
      </c>
      <c r="H122" t="n">
        <v>5.607851000000008</v>
      </c>
      <c r="I122" t="n">
        <v>11.45000199999999</v>
      </c>
      <c r="J122" t="n">
        <v>5.531928703126043</v>
      </c>
      <c r="K122" t="n">
        <v>10.30228861075233</v>
      </c>
      <c r="L122" t="n">
        <v>1.587000000000005</v>
      </c>
      <c r="M122" t="n">
        <v>2.715000000000001</v>
      </c>
      <c r="N122" t="n">
        <v>-1.127999999999996</v>
      </c>
      <c r="O122" t="n">
        <v>-3.650719337422892</v>
      </c>
      <c r="P122" t="inlineStr">
        <is>
          <t>Malaysia|XCX3.L|1Y</t>
        </is>
      </c>
      <c r="Q122" t="inlineStr">
        <is>
          <t>Malaysia|1Y</t>
        </is>
      </c>
      <c r="R122" t="inlineStr">
        <is>
          <t>GBp</t>
        </is>
      </c>
    </row>
    <row r="123">
      <c r="A123" t="inlineStr">
        <is>
          <t>Malaysia</t>
        </is>
      </c>
      <c r="B123" t="inlineStr">
        <is>
          <t>MYS</t>
        </is>
      </c>
      <c r="C123" t="inlineStr">
        <is>
          <t>XCX3.L</t>
        </is>
      </c>
      <c r="D123" s="2" t="n">
        <v>46022</v>
      </c>
      <c r="E123" t="inlineStr">
        <is>
          <t>3Y</t>
        </is>
      </c>
      <c r="F123" t="n">
        <v>10.2501129643682</v>
      </c>
      <c r="G123" t="n">
        <v>4.378667423638438</v>
      </c>
      <c r="H123" t="n">
        <v>4.370250040512258</v>
      </c>
      <c r="I123" t="n">
        <v>4.885544483325233</v>
      </c>
      <c r="J123" t="n">
        <v>0.4937178110189233</v>
      </c>
      <c r="K123" t="n">
        <v>2.799766918958269</v>
      </c>
      <c r="L123" t="n">
        <v>1.969290610324204</v>
      </c>
      <c r="M123" t="n">
        <v>3.263156230678832</v>
      </c>
      <c r="N123" t="n">
        <v>-1.293865620354628</v>
      </c>
      <c r="O123" t="n">
        <v>-5.364568481042963</v>
      </c>
      <c r="P123" t="inlineStr">
        <is>
          <t>Malaysia|XCX3.L|3Y</t>
        </is>
      </c>
      <c r="Q123" t="inlineStr">
        <is>
          <t>Malaysia|3Y</t>
        </is>
      </c>
      <c r="R123" t="inlineStr">
        <is>
          <t>GBp</t>
        </is>
      </c>
    </row>
    <row r="124">
      <c r="A124" t="inlineStr">
        <is>
          <t>Malaysia</t>
        </is>
      </c>
      <c r="B124" t="inlineStr">
        <is>
          <t>MYS</t>
        </is>
      </c>
      <c r="C124" t="inlineStr">
        <is>
          <t>XCX3.L</t>
        </is>
      </c>
      <c r="D124" s="2" t="n">
        <v>46022</v>
      </c>
      <c r="E124" t="inlineStr">
        <is>
          <t>5Y</t>
        </is>
      </c>
      <c r="F124" t="n">
        <v>3.015219573951078</v>
      </c>
      <c r="G124" t="n">
        <v>5.077690900653709</v>
      </c>
      <c r="H124" t="n">
        <v>7.544555745421189</v>
      </c>
      <c r="I124" t="n">
        <v>6.876392291377909</v>
      </c>
      <c r="J124" t="n">
        <v>-0.6212899528280635</v>
      </c>
      <c r="K124" t="n">
        <v>-0.1609099982251005</v>
      </c>
      <c r="L124" t="n">
        <v>2.351305089633104</v>
      </c>
      <c r="M124" t="n">
        <v>4.476417270751631</v>
      </c>
      <c r="N124" t="n">
        <v>-2.125112181118527</v>
      </c>
      <c r="O124" t="n">
        <v>3.861172717426831</v>
      </c>
      <c r="P124" t="inlineStr">
        <is>
          <t>Malaysia|XCX3.L|5Y</t>
        </is>
      </c>
      <c r="Q124" t="inlineStr">
        <is>
          <t>Malaysia|5Y</t>
        </is>
      </c>
      <c r="R124" t="inlineStr">
        <is>
          <t>GBp</t>
        </is>
      </c>
    </row>
    <row r="125">
      <c r="A125" t="inlineStr">
        <is>
          <t>Malaysia</t>
        </is>
      </c>
      <c r="B125" t="inlineStr">
        <is>
          <t>MYS</t>
        </is>
      </c>
      <c r="C125" t="inlineStr">
        <is>
          <t>XCX3.L</t>
        </is>
      </c>
      <c r="D125" s="2" t="n">
        <v>46022</v>
      </c>
      <c r="E125" t="inlineStr">
        <is>
          <t>10Y</t>
        </is>
      </c>
      <c r="F125" t="n">
        <v>2.707796542307261</v>
      </c>
      <c r="G125" t="n">
        <v>3.89444961245704</v>
      </c>
      <c r="H125" t="n">
        <v>5.657761217890767</v>
      </c>
      <c r="I125" t="n">
        <v>4.557398172221427</v>
      </c>
      <c r="J125" t="n">
        <v>-1.041440765586232</v>
      </c>
      <c r="K125" t="n">
        <v>0.6067302348311543</v>
      </c>
      <c r="L125" t="n">
        <v>1.80442750253671</v>
      </c>
      <c r="M125" t="n">
        <v>3.119152472830278</v>
      </c>
      <c r="N125" t="n">
        <v>-1.314724970293568</v>
      </c>
      <c r="O125" t="n">
        <v>1.849601629914166</v>
      </c>
      <c r="P125" t="inlineStr">
        <is>
          <t>Malaysia|XCX3.L|10Y</t>
        </is>
      </c>
      <c r="Q125" t="inlineStr">
        <is>
          <t>Malaysia|10Y</t>
        </is>
      </c>
      <c r="R125" t="inlineStr">
        <is>
          <t>GBp</t>
        </is>
      </c>
    </row>
    <row r="126">
      <c r="A126" t="inlineStr">
        <is>
          <t>Mexico</t>
        </is>
      </c>
      <c r="B126" t="inlineStr">
        <is>
          <t>MEX</t>
        </is>
      </c>
      <c r="C126" t="inlineStr"/>
      <c r="D126" s="2" t="n">
        <v>46022</v>
      </c>
      <c r="E126" t="inlineStr">
        <is>
          <t>1Y</t>
        </is>
      </c>
      <c r="F126" t="inlineStr"/>
      <c r="G126" t="n">
        <v>0.990000000000002</v>
      </c>
      <c r="H126" t="n">
        <v>6.194170999999993</v>
      </c>
      <c r="I126" t="n">
        <v>0.3433589999999986</v>
      </c>
      <c r="J126" t="n">
        <v>-5.509541994452317</v>
      </c>
      <c r="K126" t="n">
        <v>15.82227260964015</v>
      </c>
      <c r="L126" t="n">
        <v>3.916000000000008</v>
      </c>
      <c r="M126" t="n">
        <v>2.715000000000001</v>
      </c>
      <c r="N126" t="n">
        <v>1.201000000000008</v>
      </c>
      <c r="O126" t="inlineStr"/>
      <c r="P126" t="inlineStr">
        <is>
          <t>Mexico||1Y</t>
        </is>
      </c>
      <c r="Q126" t="inlineStr">
        <is>
          <t>Mexico|1Y</t>
        </is>
      </c>
      <c r="R126" t="inlineStr"/>
    </row>
    <row r="127">
      <c r="A127" t="inlineStr">
        <is>
          <t>Mexico</t>
        </is>
      </c>
      <c r="B127" t="inlineStr">
        <is>
          <t>MEX</t>
        </is>
      </c>
      <c r="C127" t="inlineStr"/>
      <c r="D127" s="2" t="n">
        <v>46022</v>
      </c>
      <c r="E127" t="inlineStr">
        <is>
          <t>3Y</t>
        </is>
      </c>
      <c r="F127" t="inlineStr"/>
      <c r="G127" t="n">
        <v>1.918513449306825</v>
      </c>
      <c r="H127" t="n">
        <v>6.916414971568341</v>
      </c>
      <c r="I127" t="n">
        <v>8.288030696523553</v>
      </c>
      <c r="J127" t="n">
        <v>1.282885908921338</v>
      </c>
      <c r="K127" t="n">
        <v>2.639333672782018</v>
      </c>
      <c r="L127" t="n">
        <v>4.719603905541292</v>
      </c>
      <c r="M127" t="n">
        <v>3.263156230678832</v>
      </c>
      <c r="N127" t="n">
        <v>1.45644767486246</v>
      </c>
      <c r="O127" t="inlineStr"/>
      <c r="P127" t="inlineStr">
        <is>
          <t>Mexico||3Y</t>
        </is>
      </c>
      <c r="Q127" t="inlineStr">
        <is>
          <t>Mexico|3Y</t>
        </is>
      </c>
      <c r="R127" t="inlineStr"/>
    </row>
    <row r="128">
      <c r="A128" t="inlineStr">
        <is>
          <t>Mexico</t>
        </is>
      </c>
      <c r="B128" t="inlineStr">
        <is>
          <t>MEX</t>
        </is>
      </c>
      <c r="C128" t="inlineStr"/>
      <c r="D128" s="2" t="n">
        <v>46022</v>
      </c>
      <c r="E128" t="inlineStr">
        <is>
          <t>5Y</t>
        </is>
      </c>
      <c r="F128" t="inlineStr"/>
      <c r="G128" t="n">
        <v>3.089983868865098</v>
      </c>
      <c r="H128" t="n">
        <v>8.420259177260391</v>
      </c>
      <c r="I128" t="n">
        <v>10.68895551720954</v>
      </c>
      <c r="J128" t="n">
        <v>2.092501933658664</v>
      </c>
      <c r="K128" t="n">
        <v>2.018469397195832</v>
      </c>
      <c r="L128" t="n">
        <v>5.542630332855913</v>
      </c>
      <c r="M128" t="n">
        <v>4.476417270751631</v>
      </c>
      <c r="N128" t="n">
        <v>1.066213062104282</v>
      </c>
      <c r="O128" t="inlineStr"/>
      <c r="P128" t="inlineStr">
        <is>
          <t>Mexico||5Y</t>
        </is>
      </c>
      <c r="Q128" t="inlineStr">
        <is>
          <t>Mexico|5Y</t>
        </is>
      </c>
      <c r="R128" t="inlineStr"/>
    </row>
    <row r="129">
      <c r="A129" t="inlineStr">
        <is>
          <t>Mexico</t>
        </is>
      </c>
      <c r="B129" t="inlineStr">
        <is>
          <t>MEX</t>
        </is>
      </c>
      <c r="C129" t="inlineStr"/>
      <c r="D129" s="2" t="n">
        <v>46022</v>
      </c>
      <c r="E129" t="inlineStr">
        <is>
          <t>10Y</t>
        </is>
      </c>
      <c r="F129" t="inlineStr"/>
      <c r="G129" t="n">
        <v>1.173082287112415</v>
      </c>
      <c r="H129" t="n">
        <v>6.497216116328164</v>
      </c>
      <c r="I129" t="n">
        <v>4.380318769606451</v>
      </c>
      <c r="J129" t="n">
        <v>-1.987749038090125</v>
      </c>
      <c r="K129" t="n">
        <v>-0.4047993557732887</v>
      </c>
      <c r="L129" t="n">
        <v>4.845087747789112</v>
      </c>
      <c r="M129" t="n">
        <v>3.119152472830278</v>
      </c>
      <c r="N129" t="n">
        <v>1.725935274958834</v>
      </c>
      <c r="O129" t="inlineStr"/>
      <c r="P129" t="inlineStr">
        <is>
          <t>Mexico||10Y</t>
        </is>
      </c>
      <c r="Q129" t="inlineStr">
        <is>
          <t>Mexico|10Y</t>
        </is>
      </c>
      <c r="R129" t="inlineStr"/>
    </row>
    <row r="130">
      <c r="A130" t="inlineStr">
        <is>
          <t>Mexico</t>
        </is>
      </c>
      <c r="B130" t="inlineStr">
        <is>
          <t>MEX</t>
        </is>
      </c>
      <c r="C130" t="inlineStr">
        <is>
          <t>XMEX.L</t>
        </is>
      </c>
      <c r="D130" s="2" t="n">
        <v>46022</v>
      </c>
      <c r="E130" t="inlineStr">
        <is>
          <t>1Y</t>
        </is>
      </c>
      <c r="F130" t="n">
        <v>51.79014314508883</v>
      </c>
      <c r="G130" t="n">
        <v>0.990000000000002</v>
      </c>
      <c r="H130" t="n">
        <v>6.194170999999993</v>
      </c>
      <c r="I130" t="n">
        <v>0.3433589999999986</v>
      </c>
      <c r="J130" t="n">
        <v>-5.509541994452317</v>
      </c>
      <c r="K130" t="n">
        <v>15.82227260964015</v>
      </c>
      <c r="L130" t="n">
        <v>3.916000000000008</v>
      </c>
      <c r="M130" t="n">
        <v>2.715000000000001</v>
      </c>
      <c r="N130" t="n">
        <v>1.201000000000008</v>
      </c>
      <c r="O130" t="n">
        <v>-51.44678414508883</v>
      </c>
      <c r="P130" t="inlineStr">
        <is>
          <t>Mexico|XMEX.L|1Y</t>
        </is>
      </c>
      <c r="Q130" t="inlineStr">
        <is>
          <t>Mexico|1Y</t>
        </is>
      </c>
      <c r="R130" t="inlineStr">
        <is>
          <t>GBp</t>
        </is>
      </c>
    </row>
    <row r="131">
      <c r="A131" t="inlineStr">
        <is>
          <t>Mexico</t>
        </is>
      </c>
      <c r="B131" t="inlineStr">
        <is>
          <t>MEX</t>
        </is>
      </c>
      <c r="C131" t="inlineStr">
        <is>
          <t>XMEX.L</t>
        </is>
      </c>
      <c r="D131" s="2" t="n">
        <v>46022</v>
      </c>
      <c r="E131" t="inlineStr">
        <is>
          <t>3Y</t>
        </is>
      </c>
      <c r="F131" t="n">
        <v>15.56375051222438</v>
      </c>
      <c r="G131" t="n">
        <v>1.918513449306825</v>
      </c>
      <c r="H131" t="n">
        <v>6.916414971568341</v>
      </c>
      <c r="I131" t="n">
        <v>8.288030696523553</v>
      </c>
      <c r="J131" t="n">
        <v>1.282885908921338</v>
      </c>
      <c r="K131" t="n">
        <v>2.639333672782018</v>
      </c>
      <c r="L131" t="n">
        <v>4.719603905541292</v>
      </c>
      <c r="M131" t="n">
        <v>3.263156230678832</v>
      </c>
      <c r="N131" t="n">
        <v>1.45644767486246</v>
      </c>
      <c r="O131" t="n">
        <v>-7.275719815700832</v>
      </c>
      <c r="P131" t="inlineStr">
        <is>
          <t>Mexico|XMEX.L|3Y</t>
        </is>
      </c>
      <c r="Q131" t="inlineStr">
        <is>
          <t>Mexico|3Y</t>
        </is>
      </c>
      <c r="R131" t="inlineStr">
        <is>
          <t>GBp</t>
        </is>
      </c>
    </row>
    <row r="132">
      <c r="A132" t="inlineStr">
        <is>
          <t>Mexico</t>
        </is>
      </c>
      <c r="B132" t="inlineStr">
        <is>
          <t>MEX</t>
        </is>
      </c>
      <c r="C132" t="inlineStr">
        <is>
          <t>XMEX.L</t>
        </is>
      </c>
      <c r="D132" s="2" t="n">
        <v>46022</v>
      </c>
      <c r="E132" t="inlineStr">
        <is>
          <t>5Y</t>
        </is>
      </c>
      <c r="F132" t="n">
        <v>12.65706447900565</v>
      </c>
      <c r="G132" t="n">
        <v>3.089983868865098</v>
      </c>
      <c r="H132" t="n">
        <v>8.420259177260391</v>
      </c>
      <c r="I132" t="n">
        <v>10.68895551720954</v>
      </c>
      <c r="J132" t="n">
        <v>2.092501933658664</v>
      </c>
      <c r="K132" t="n">
        <v>2.018469397195832</v>
      </c>
      <c r="L132" t="n">
        <v>5.542630332855913</v>
      </c>
      <c r="M132" t="n">
        <v>4.476417270751631</v>
      </c>
      <c r="N132" t="n">
        <v>1.066213062104282</v>
      </c>
      <c r="O132" t="n">
        <v>-1.96810896179611</v>
      </c>
      <c r="P132" t="inlineStr">
        <is>
          <t>Mexico|XMEX.L|5Y</t>
        </is>
      </c>
      <c r="Q132" t="inlineStr">
        <is>
          <t>Mexico|5Y</t>
        </is>
      </c>
      <c r="R132" t="inlineStr">
        <is>
          <t>GBp</t>
        </is>
      </c>
    </row>
    <row r="133">
      <c r="A133" t="inlineStr">
        <is>
          <t>Mexico</t>
        </is>
      </c>
      <c r="B133" t="inlineStr">
        <is>
          <t>MEX</t>
        </is>
      </c>
      <c r="C133" t="inlineStr">
        <is>
          <t>XMEX.L</t>
        </is>
      </c>
      <c r="D133" s="2" t="n">
        <v>46022</v>
      </c>
      <c r="E133" t="inlineStr">
        <is>
          <t>10Y</t>
        </is>
      </c>
      <c r="F133" t="n">
        <v>5.904962493780075</v>
      </c>
      <c r="G133" t="n">
        <v>1.173082287112415</v>
      </c>
      <c r="H133" t="n">
        <v>6.497216116328164</v>
      </c>
      <c r="I133" t="n">
        <v>4.380318769606451</v>
      </c>
      <c r="J133" t="n">
        <v>-1.987749038090125</v>
      </c>
      <c r="K133" t="n">
        <v>-0.4047993557732887</v>
      </c>
      <c r="L133" t="n">
        <v>4.845087747789112</v>
      </c>
      <c r="M133" t="n">
        <v>3.119152472830278</v>
      </c>
      <c r="N133" t="n">
        <v>1.725935274958834</v>
      </c>
      <c r="O133" t="n">
        <v>-1.524643724173624</v>
      </c>
      <c r="P133" t="inlineStr">
        <is>
          <t>Mexico|XMEX.L|10Y</t>
        </is>
      </c>
      <c r="Q133" t="inlineStr">
        <is>
          <t>Mexico|10Y</t>
        </is>
      </c>
      <c r="R133" t="inlineStr">
        <is>
          <t>GBp</t>
        </is>
      </c>
    </row>
    <row r="134">
      <c r="A134" t="inlineStr">
        <is>
          <t>Netherlands</t>
        </is>
      </c>
      <c r="B134" t="inlineStr">
        <is>
          <t>NLD</t>
        </is>
      </c>
      <c r="C134" t="inlineStr"/>
      <c r="D134" s="2" t="n">
        <v>46022</v>
      </c>
      <c r="E134" t="inlineStr">
        <is>
          <t>1Y</t>
        </is>
      </c>
      <c r="F134" t="inlineStr"/>
      <c r="G134" t="n">
        <v>1.432999999999995</v>
      </c>
      <c r="H134" t="n">
        <v>4.161666000000008</v>
      </c>
      <c r="I134" t="n">
        <v>8.733436000000005</v>
      </c>
      <c r="J134" t="n">
        <v>4.389109819427017</v>
      </c>
      <c r="K134" t="n">
        <v>13.51067566275939</v>
      </c>
      <c r="L134" t="n">
        <v>2.87599999999999</v>
      </c>
      <c r="M134" t="n">
        <v>2.715000000000001</v>
      </c>
      <c r="N134" t="n">
        <v>0.1609999999999889</v>
      </c>
      <c r="O134" t="inlineStr"/>
      <c r="P134" t="inlineStr">
        <is>
          <t>Netherlands||1Y</t>
        </is>
      </c>
      <c r="Q134" t="inlineStr">
        <is>
          <t>Netherlands|1Y</t>
        </is>
      </c>
      <c r="R134" t="inlineStr"/>
    </row>
    <row r="135">
      <c r="A135" t="inlineStr">
        <is>
          <t>Netherlands</t>
        </is>
      </c>
      <c r="B135" t="inlineStr">
        <is>
          <t>NLD</t>
        </is>
      </c>
      <c r="C135" t="inlineStr"/>
      <c r="D135" s="2" t="n">
        <v>46022</v>
      </c>
      <c r="E135" t="inlineStr">
        <is>
          <t>3Y</t>
        </is>
      </c>
      <c r="F135" t="inlineStr"/>
      <c r="G135" t="n">
        <v>0.6334062467186374</v>
      </c>
      <c r="H135" t="n">
        <v>5.565876348347754</v>
      </c>
      <c r="I135" t="n">
        <v>8.034314163042211</v>
      </c>
      <c r="J135" t="n">
        <v>2.338291506065215</v>
      </c>
      <c r="K135" t="n">
        <v>3.139608669247629</v>
      </c>
      <c r="L135" t="n">
        <v>3.404344994828379</v>
      </c>
      <c r="M135" t="n">
        <v>3.263156230678832</v>
      </c>
      <c r="N135" t="n">
        <v>0.1411887641495468</v>
      </c>
      <c r="O135" t="inlineStr"/>
      <c r="P135" t="inlineStr">
        <is>
          <t>Netherlands||3Y</t>
        </is>
      </c>
      <c r="Q135" t="inlineStr">
        <is>
          <t>Netherlands|3Y</t>
        </is>
      </c>
      <c r="R135" t="inlineStr"/>
    </row>
    <row r="136">
      <c r="A136" t="inlineStr">
        <is>
          <t>Netherlands</t>
        </is>
      </c>
      <c r="B136" t="inlineStr">
        <is>
          <t>NLD</t>
        </is>
      </c>
      <c r="C136" t="inlineStr"/>
      <c r="D136" s="2" t="n">
        <v>46022</v>
      </c>
      <c r="E136" t="inlineStr">
        <is>
          <t>5Y</t>
        </is>
      </c>
      <c r="F136" t="inlineStr"/>
      <c r="G136" t="n">
        <v>2.607150877915188</v>
      </c>
      <c r="H136" t="n">
        <v>7.445536676352682</v>
      </c>
      <c r="I136" t="n">
        <v>7.223681304975349</v>
      </c>
      <c r="J136" t="n">
        <v>-0.2064815804423081</v>
      </c>
      <c r="K136" t="n">
        <v>-0.7159122239312588</v>
      </c>
      <c r="L136" t="n">
        <v>4.880479880850586</v>
      </c>
      <c r="M136" t="n">
        <v>4.476417270751631</v>
      </c>
      <c r="N136" t="n">
        <v>0.4040626100989542</v>
      </c>
      <c r="O136" t="inlineStr"/>
      <c r="P136" t="inlineStr">
        <is>
          <t>Netherlands||5Y</t>
        </is>
      </c>
      <c r="Q136" t="inlineStr">
        <is>
          <t>Netherlands|5Y</t>
        </is>
      </c>
      <c r="R136" t="inlineStr"/>
    </row>
    <row r="137">
      <c r="A137" t="inlineStr">
        <is>
          <t>Netherlands</t>
        </is>
      </c>
      <c r="B137" t="inlineStr">
        <is>
          <t>NLD</t>
        </is>
      </c>
      <c r="C137" t="inlineStr"/>
      <c r="D137" s="2" t="n">
        <v>46022</v>
      </c>
      <c r="E137" t="inlineStr">
        <is>
          <t>10Y</t>
        </is>
      </c>
      <c r="F137" t="inlineStr"/>
      <c r="G137" t="n">
        <v>1.873778489039823</v>
      </c>
      <c r="H137" t="n">
        <v>5.275969886643628</v>
      </c>
      <c r="I137" t="n">
        <v>5.463473504350991</v>
      </c>
      <c r="J137" t="n">
        <v>0.178106738849193</v>
      </c>
      <c r="K137" t="n">
        <v>0.7920521518232082</v>
      </c>
      <c r="L137" t="n">
        <v>3.101780083115413</v>
      </c>
      <c r="M137" t="n">
        <v>3.119152472830278</v>
      </c>
      <c r="N137" t="n">
        <v>-0.01737238971486477</v>
      </c>
      <c r="O137" t="inlineStr"/>
      <c r="P137" t="inlineStr">
        <is>
          <t>Netherlands||10Y</t>
        </is>
      </c>
      <c r="Q137" t="inlineStr">
        <is>
          <t>Netherlands|10Y</t>
        </is>
      </c>
      <c r="R137" t="inlineStr"/>
    </row>
    <row r="138">
      <c r="A138" t="inlineStr">
        <is>
          <t>Netherlands</t>
        </is>
      </c>
      <c r="B138" t="inlineStr">
        <is>
          <t>NLD</t>
        </is>
      </c>
      <c r="C138" t="inlineStr">
        <is>
          <t>EWN</t>
        </is>
      </c>
      <c r="D138" s="2" t="n">
        <v>46022</v>
      </c>
      <c r="E138" t="inlineStr">
        <is>
          <t>1Y</t>
        </is>
      </c>
      <c r="F138" t="n">
        <v>35.17014358164619</v>
      </c>
      <c r="G138" t="n">
        <v>1.432999999999995</v>
      </c>
      <c r="H138" t="n">
        <v>4.161666000000008</v>
      </c>
      <c r="I138" t="n">
        <v>8.733436000000005</v>
      </c>
      <c r="J138" t="n">
        <v>4.389109819427017</v>
      </c>
      <c r="K138" t="n">
        <v>13.51067566275939</v>
      </c>
      <c r="L138" t="n">
        <v>2.87599999999999</v>
      </c>
      <c r="M138" t="n">
        <v>2.715000000000001</v>
      </c>
      <c r="N138" t="n">
        <v>0.1609999999999889</v>
      </c>
      <c r="O138" t="n">
        <v>-26.43670758164618</v>
      </c>
      <c r="P138" t="inlineStr">
        <is>
          <t>Netherlands|EWN|1Y</t>
        </is>
      </c>
      <c r="Q138" t="inlineStr">
        <is>
          <t>Netherlands|1Y</t>
        </is>
      </c>
      <c r="R138" t="inlineStr">
        <is>
          <t>USD</t>
        </is>
      </c>
    </row>
    <row r="139">
      <c r="A139" t="inlineStr">
        <is>
          <t>Netherlands</t>
        </is>
      </c>
      <c r="B139" t="inlineStr">
        <is>
          <t>NLD</t>
        </is>
      </c>
      <c r="C139" t="inlineStr">
        <is>
          <t>EWN</t>
        </is>
      </c>
      <c r="D139" s="2" t="n">
        <v>46022</v>
      </c>
      <c r="E139" t="inlineStr">
        <is>
          <t>3Y</t>
        </is>
      </c>
      <c r="F139" t="n">
        <v>17.97137272268383</v>
      </c>
      <c r="G139" t="n">
        <v>0.6334062467186374</v>
      </c>
      <c r="H139" t="n">
        <v>5.565876348347754</v>
      </c>
      <c r="I139" t="n">
        <v>8.034314163042211</v>
      </c>
      <c r="J139" t="n">
        <v>2.338291506065215</v>
      </c>
      <c r="K139" t="n">
        <v>3.139608669247629</v>
      </c>
      <c r="L139" t="n">
        <v>3.404344994828379</v>
      </c>
      <c r="M139" t="n">
        <v>3.263156230678832</v>
      </c>
      <c r="N139" t="n">
        <v>0.1411887641495468</v>
      </c>
      <c r="O139" t="n">
        <v>-9.937058559641621</v>
      </c>
      <c r="P139" t="inlineStr">
        <is>
          <t>Netherlands|EWN|3Y</t>
        </is>
      </c>
      <c r="Q139" t="inlineStr">
        <is>
          <t>Netherlands|3Y</t>
        </is>
      </c>
      <c r="R139" t="inlineStr">
        <is>
          <t>USD</t>
        </is>
      </c>
    </row>
    <row r="140">
      <c r="A140" t="inlineStr">
        <is>
          <t>Netherlands</t>
        </is>
      </c>
      <c r="B140" t="inlineStr">
        <is>
          <t>NLD</t>
        </is>
      </c>
      <c r="C140" t="inlineStr">
        <is>
          <t>EWN</t>
        </is>
      </c>
      <c r="D140" s="2" t="n">
        <v>46022</v>
      </c>
      <c r="E140" t="inlineStr">
        <is>
          <t>5Y</t>
        </is>
      </c>
      <c r="F140" t="n">
        <v>8.864711287473925</v>
      </c>
      <c r="G140" t="n">
        <v>2.607150877915188</v>
      </c>
      <c r="H140" t="n">
        <v>7.445536676352682</v>
      </c>
      <c r="I140" t="n">
        <v>7.223681304975349</v>
      </c>
      <c r="J140" t="n">
        <v>-0.2064815804423081</v>
      </c>
      <c r="K140" t="n">
        <v>-0.7159122239312588</v>
      </c>
      <c r="L140" t="n">
        <v>4.880479880850586</v>
      </c>
      <c r="M140" t="n">
        <v>4.476417270751631</v>
      </c>
      <c r="N140" t="n">
        <v>0.4040626100989542</v>
      </c>
      <c r="O140" t="n">
        <v>-1.641029982498576</v>
      </c>
      <c r="P140" t="inlineStr">
        <is>
          <t>Netherlands|EWN|5Y</t>
        </is>
      </c>
      <c r="Q140" t="inlineStr">
        <is>
          <t>Netherlands|5Y</t>
        </is>
      </c>
      <c r="R140" t="inlineStr">
        <is>
          <t>USD</t>
        </is>
      </c>
    </row>
    <row r="141">
      <c r="A141" t="inlineStr">
        <is>
          <t>Netherlands</t>
        </is>
      </c>
      <c r="B141" t="inlineStr">
        <is>
          <t>NLD</t>
        </is>
      </c>
      <c r="C141" t="inlineStr">
        <is>
          <t>EWN</t>
        </is>
      </c>
      <c r="D141" s="2" t="n">
        <v>46022</v>
      </c>
      <c r="E141" t="inlineStr">
        <is>
          <t>10Y</t>
        </is>
      </c>
      <c r="F141" t="n">
        <v>11.74325432916392</v>
      </c>
      <c r="G141" t="n">
        <v>1.873778489039823</v>
      </c>
      <c r="H141" t="n">
        <v>5.275969886643628</v>
      </c>
      <c r="I141" t="n">
        <v>5.463473504350991</v>
      </c>
      <c r="J141" t="n">
        <v>0.178106738849193</v>
      </c>
      <c r="K141" t="n">
        <v>0.7920521518232082</v>
      </c>
      <c r="L141" t="n">
        <v>3.101780083115413</v>
      </c>
      <c r="M141" t="n">
        <v>3.119152472830278</v>
      </c>
      <c r="N141" t="n">
        <v>-0.01737238971486477</v>
      </c>
      <c r="O141" t="n">
        <v>-6.279780824812931</v>
      </c>
      <c r="P141" t="inlineStr">
        <is>
          <t>Netherlands|EWN|10Y</t>
        </is>
      </c>
      <c r="Q141" t="inlineStr">
        <is>
          <t>Netherlands|10Y</t>
        </is>
      </c>
      <c r="R141" t="inlineStr">
        <is>
          <t>USD</t>
        </is>
      </c>
    </row>
    <row r="142">
      <c r="A142" t="inlineStr">
        <is>
          <t>Pakistan</t>
        </is>
      </c>
      <c r="B142" t="inlineStr">
        <is>
          <t>PAK</t>
        </is>
      </c>
      <c r="C142" t="inlineStr"/>
      <c r="D142" s="2" t="n">
        <v>46022</v>
      </c>
      <c r="E142" t="inlineStr">
        <is>
          <t>1Y</t>
        </is>
      </c>
      <c r="F142" t="inlineStr"/>
      <c r="G142" t="n">
        <v>2.675999999999989</v>
      </c>
      <c r="H142" t="n">
        <v>9.082017999999991</v>
      </c>
      <c r="I142" t="n">
        <v>10.52400600000001</v>
      </c>
      <c r="J142" t="n">
        <v>1.321929806024724</v>
      </c>
      <c r="K142" t="n">
        <v>-0.7545201615210551</v>
      </c>
      <c r="L142" t="n">
        <v>4.495000000000005</v>
      </c>
      <c r="M142" t="n">
        <v>2.715000000000001</v>
      </c>
      <c r="N142" t="n">
        <v>1.780000000000004</v>
      </c>
      <c r="O142" t="inlineStr"/>
      <c r="P142" t="inlineStr">
        <is>
          <t>Pakistan||1Y</t>
        </is>
      </c>
      <c r="Q142" t="inlineStr">
        <is>
          <t>Pakistan|1Y</t>
        </is>
      </c>
      <c r="R142" t="inlineStr"/>
    </row>
    <row r="143">
      <c r="A143" t="inlineStr">
        <is>
          <t>Pakistan</t>
        </is>
      </c>
      <c r="B143" t="inlineStr">
        <is>
          <t>PAK</t>
        </is>
      </c>
      <c r="C143" t="inlineStr"/>
      <c r="D143" s="2" t="n">
        <v>46022</v>
      </c>
      <c r="E143" t="inlineStr">
        <is>
          <t>3Y</t>
        </is>
      </c>
      <c r="F143" t="inlineStr"/>
      <c r="G143" t="n">
        <v>1.649324688558096</v>
      </c>
      <c r="H143" t="n">
        <v>19.82855796166916</v>
      </c>
      <c r="I143" t="n">
        <v>3.074234820321298</v>
      </c>
      <c r="J143" t="n">
        <v>-13.98191181376186</v>
      </c>
      <c r="K143" t="n">
        <v>-6.753300048043154</v>
      </c>
      <c r="L143" t="n">
        <v>18.54484540197672</v>
      </c>
      <c r="M143" t="n">
        <v>3.263156230678832</v>
      </c>
      <c r="N143" t="n">
        <v>15.28168917129788</v>
      </c>
      <c r="O143" t="inlineStr"/>
      <c r="P143" t="inlineStr">
        <is>
          <t>Pakistan||3Y</t>
        </is>
      </c>
      <c r="Q143" t="inlineStr">
        <is>
          <t>Pakistan|3Y</t>
        </is>
      </c>
      <c r="R143" t="inlineStr"/>
    </row>
    <row r="144">
      <c r="A144" t="inlineStr">
        <is>
          <t>Pakistan</t>
        </is>
      </c>
      <c r="B144" t="inlineStr">
        <is>
          <t>PAK</t>
        </is>
      </c>
      <c r="C144" t="inlineStr"/>
      <c r="D144" s="2" t="n">
        <v>46022</v>
      </c>
      <c r="E144" t="inlineStr">
        <is>
          <t>5Y</t>
        </is>
      </c>
      <c r="F144" t="inlineStr"/>
      <c r="G144" t="n">
        <v>3.357915911123643</v>
      </c>
      <c r="H144" t="n">
        <v>19.25975167337741</v>
      </c>
      <c r="I144" t="n">
        <v>6.443390111721992</v>
      </c>
      <c r="J144" t="n">
        <v>-10.74659436916681</v>
      </c>
      <c r="K144" t="n">
        <v>-10.59472939212841</v>
      </c>
      <c r="L144" t="n">
        <v>15.26412804989936</v>
      </c>
      <c r="M144" t="n">
        <v>4.476417270751631</v>
      </c>
      <c r="N144" t="n">
        <v>10.78771077914773</v>
      </c>
      <c r="O144" t="inlineStr"/>
      <c r="P144" t="inlineStr">
        <is>
          <t>Pakistan||5Y</t>
        </is>
      </c>
      <c r="Q144" t="inlineStr">
        <is>
          <t>Pakistan|5Y</t>
        </is>
      </c>
      <c r="R144" t="inlineStr"/>
    </row>
    <row r="145">
      <c r="A145" t="inlineStr">
        <is>
          <t>Pakistan</t>
        </is>
      </c>
      <c r="B145" t="inlineStr">
        <is>
          <t>PAK</t>
        </is>
      </c>
      <c r="C145" t="inlineStr"/>
      <c r="D145" s="2" t="n">
        <v>46022</v>
      </c>
      <c r="E145" t="inlineStr">
        <is>
          <t>10Y</t>
        </is>
      </c>
      <c r="F145" t="inlineStr"/>
      <c r="G145" t="n">
        <v>3.360565219461842</v>
      </c>
      <c r="H145" t="n">
        <v>14.19022457351622</v>
      </c>
      <c r="I145" t="n">
        <v>3.187905469920072</v>
      </c>
      <c r="J145" t="n">
        <v>-9.6350797975423</v>
      </c>
      <c r="K145" t="n">
        <v>-9.323215364984073</v>
      </c>
      <c r="L145" t="n">
        <v>10.50498218210567</v>
      </c>
      <c r="M145" t="n">
        <v>3.119152472830278</v>
      </c>
      <c r="N145" t="n">
        <v>7.385829709275393</v>
      </c>
      <c r="O145" t="inlineStr"/>
      <c r="P145" t="inlineStr">
        <is>
          <t>Pakistan||10Y</t>
        </is>
      </c>
      <c r="Q145" t="inlineStr">
        <is>
          <t>Pakistan|10Y</t>
        </is>
      </c>
      <c r="R145" t="inlineStr"/>
    </row>
    <row r="146">
      <c r="A146" t="inlineStr">
        <is>
          <t>Pakistan</t>
        </is>
      </c>
      <c r="B146" t="inlineStr">
        <is>
          <t>PAK</t>
        </is>
      </c>
      <c r="C146" t="inlineStr">
        <is>
          <t>XBAK.L</t>
        </is>
      </c>
      <c r="D146" s="2" t="n">
        <v>46022</v>
      </c>
      <c r="E146" t="inlineStr">
        <is>
          <t>1Y</t>
        </is>
      </c>
      <c r="F146" t="n">
        <v>34.99065889359694</v>
      </c>
      <c r="G146" t="n">
        <v>2.675999999999989</v>
      </c>
      <c r="H146" t="n">
        <v>9.082017999999991</v>
      </c>
      <c r="I146" t="n">
        <v>10.52400600000001</v>
      </c>
      <c r="J146" t="n">
        <v>1.321929806024724</v>
      </c>
      <c r="K146" t="n">
        <v>-0.7545201615210551</v>
      </c>
      <c r="L146" t="n">
        <v>4.495000000000005</v>
      </c>
      <c r="M146" t="n">
        <v>2.715000000000001</v>
      </c>
      <c r="N146" t="n">
        <v>1.780000000000004</v>
      </c>
      <c r="O146" t="n">
        <v>-24.46665289359693</v>
      </c>
      <c r="P146" t="inlineStr">
        <is>
          <t>Pakistan|XBAK.L|1Y</t>
        </is>
      </c>
      <c r="Q146" t="inlineStr">
        <is>
          <t>Pakistan|1Y</t>
        </is>
      </c>
      <c r="R146" t="inlineStr">
        <is>
          <t>USD</t>
        </is>
      </c>
    </row>
    <row r="147">
      <c r="A147" t="inlineStr">
        <is>
          <t>Pakistan</t>
        </is>
      </c>
      <c r="B147" t="inlineStr">
        <is>
          <t>PAK</t>
        </is>
      </c>
      <c r="C147" t="inlineStr">
        <is>
          <t>XBAK.L</t>
        </is>
      </c>
      <c r="D147" s="2" t="n">
        <v>46022</v>
      </c>
      <c r="E147" t="inlineStr">
        <is>
          <t>3Y</t>
        </is>
      </c>
      <c r="F147" t="n">
        <v>38.47228569219119</v>
      </c>
      <c r="G147" t="n">
        <v>1.649324688558096</v>
      </c>
      <c r="H147" t="n">
        <v>19.82855796166916</v>
      </c>
      <c r="I147" t="n">
        <v>3.074234820321298</v>
      </c>
      <c r="J147" t="n">
        <v>-13.98191181376186</v>
      </c>
      <c r="K147" t="n">
        <v>-6.753300048043154</v>
      </c>
      <c r="L147" t="n">
        <v>18.54484540197672</v>
      </c>
      <c r="M147" t="n">
        <v>3.263156230678832</v>
      </c>
      <c r="N147" t="n">
        <v>15.28168917129788</v>
      </c>
      <c r="O147" t="n">
        <v>-35.39805087186988</v>
      </c>
      <c r="P147" t="inlineStr">
        <is>
          <t>Pakistan|XBAK.L|3Y</t>
        </is>
      </c>
      <c r="Q147" t="inlineStr">
        <is>
          <t>Pakistan|3Y</t>
        </is>
      </c>
      <c r="R147" t="inlineStr">
        <is>
          <t>USD</t>
        </is>
      </c>
    </row>
    <row r="148">
      <c r="A148" t="inlineStr">
        <is>
          <t>Pakistan</t>
        </is>
      </c>
      <c r="B148" t="inlineStr">
        <is>
          <t>PAK</t>
        </is>
      </c>
      <c r="C148" t="inlineStr">
        <is>
          <t>XBAK.L</t>
        </is>
      </c>
      <c r="D148" s="2" t="n">
        <v>46022</v>
      </c>
      <c r="E148" t="inlineStr">
        <is>
          <t>5Y</t>
        </is>
      </c>
      <c r="F148" t="n">
        <v>9.251624829567318</v>
      </c>
      <c r="G148" t="n">
        <v>3.357915911123643</v>
      </c>
      <c r="H148" t="n">
        <v>19.25975167337741</v>
      </c>
      <c r="I148" t="n">
        <v>6.443390111721992</v>
      </c>
      <c r="J148" t="n">
        <v>-10.74659436916681</v>
      </c>
      <c r="K148" t="n">
        <v>-10.59472939212841</v>
      </c>
      <c r="L148" t="n">
        <v>15.26412804989936</v>
      </c>
      <c r="M148" t="n">
        <v>4.476417270751631</v>
      </c>
      <c r="N148" t="n">
        <v>10.78771077914773</v>
      </c>
      <c r="O148" t="n">
        <v>-2.808234717845326</v>
      </c>
      <c r="P148" t="inlineStr">
        <is>
          <t>Pakistan|XBAK.L|5Y</t>
        </is>
      </c>
      <c r="Q148" t="inlineStr">
        <is>
          <t>Pakistan|5Y</t>
        </is>
      </c>
      <c r="R148" t="inlineStr">
        <is>
          <t>USD</t>
        </is>
      </c>
    </row>
    <row r="149">
      <c r="A149" t="inlineStr">
        <is>
          <t>Pakistan</t>
        </is>
      </c>
      <c r="B149" t="inlineStr">
        <is>
          <t>PAK</t>
        </is>
      </c>
      <c r="C149" t="inlineStr">
        <is>
          <t>XBAK.L</t>
        </is>
      </c>
      <c r="D149" s="2" t="n">
        <v>46022</v>
      </c>
      <c r="E149" t="inlineStr">
        <is>
          <t>10Y</t>
        </is>
      </c>
      <c r="F149" t="n">
        <v>0.1423435164196407</v>
      </c>
      <c r="G149" t="n">
        <v>3.360565219461842</v>
      </c>
      <c r="H149" t="n">
        <v>14.19022457351622</v>
      </c>
      <c r="I149" t="n">
        <v>3.187905469920072</v>
      </c>
      <c r="J149" t="n">
        <v>-9.6350797975423</v>
      </c>
      <c r="K149" t="n">
        <v>-9.323215364984073</v>
      </c>
      <c r="L149" t="n">
        <v>10.50498218210567</v>
      </c>
      <c r="M149" t="n">
        <v>3.119152472830278</v>
      </c>
      <c r="N149" t="n">
        <v>7.385829709275393</v>
      </c>
      <c r="O149" t="n">
        <v>3.045561953500431</v>
      </c>
      <c r="P149" t="inlineStr">
        <is>
          <t>Pakistan|XBAK.L|10Y</t>
        </is>
      </c>
      <c r="Q149" t="inlineStr">
        <is>
          <t>Pakistan|10Y</t>
        </is>
      </c>
      <c r="R149" t="inlineStr">
        <is>
          <t>USD</t>
        </is>
      </c>
    </row>
    <row r="150">
      <c r="A150" t="inlineStr">
        <is>
          <t>Philippines</t>
        </is>
      </c>
      <c r="B150" t="inlineStr">
        <is>
          <t>PHL</t>
        </is>
      </c>
      <c r="C150" t="inlineStr"/>
      <c r="D150" s="2" t="n">
        <v>46022</v>
      </c>
      <c r="E150" t="inlineStr">
        <is>
          <t>1Y</t>
        </is>
      </c>
      <c r="F150" t="inlineStr"/>
      <c r="G150" t="n">
        <v>5.43499999999999</v>
      </c>
      <c r="H150" t="n">
        <v>7.04919799999999</v>
      </c>
      <c r="I150" t="n">
        <v>7.049349999999999</v>
      </c>
      <c r="J150" t="n">
        <v>0.000142096061339636</v>
      </c>
      <c r="K150" t="n">
        <v>-2.867317544171888</v>
      </c>
      <c r="L150" t="n">
        <v>1.608000000000009</v>
      </c>
      <c r="M150" t="n">
        <v>2.715000000000001</v>
      </c>
      <c r="N150" t="n">
        <v>-1.106999999999991</v>
      </c>
      <c r="O150" t="inlineStr"/>
      <c r="P150" t="inlineStr">
        <is>
          <t>Philippines||1Y</t>
        </is>
      </c>
      <c r="Q150" t="inlineStr">
        <is>
          <t>Philippines|1Y</t>
        </is>
      </c>
      <c r="R150" t="inlineStr"/>
    </row>
    <row r="151">
      <c r="A151" t="inlineStr">
        <is>
          <t>Philippines</t>
        </is>
      </c>
      <c r="B151" t="inlineStr">
        <is>
          <t>PHL</t>
        </is>
      </c>
      <c r="C151" t="inlineStr"/>
      <c r="D151" s="2" t="n">
        <v>46022</v>
      </c>
      <c r="E151" t="inlineStr">
        <is>
          <t>3Y</t>
        </is>
      </c>
      <c r="F151" t="inlineStr"/>
      <c r="G151" t="n">
        <v>5.5486124491402</v>
      </c>
      <c r="H151" t="n">
        <v>8.723390614114468</v>
      </c>
      <c r="I151" t="n">
        <v>6.914117046183832</v>
      </c>
      <c r="J151" t="n">
        <v>-1.664107021612693</v>
      </c>
      <c r="K151" t="n">
        <v>-1.865201973611774</v>
      </c>
      <c r="L151" t="n">
        <v>3.583999256893966</v>
      </c>
      <c r="M151" t="n">
        <v>3.263156230678832</v>
      </c>
      <c r="N151" t="n">
        <v>0.3208430262151341</v>
      </c>
      <c r="O151" t="inlineStr"/>
      <c r="P151" t="inlineStr">
        <is>
          <t>Philippines||3Y</t>
        </is>
      </c>
      <c r="Q151" t="inlineStr">
        <is>
          <t>Philippines|3Y</t>
        </is>
      </c>
      <c r="R151" t="inlineStr"/>
    </row>
    <row r="152">
      <c r="A152" t="inlineStr">
        <is>
          <t>Philippines</t>
        </is>
      </c>
      <c r="B152" t="inlineStr">
        <is>
          <t>PHL</t>
        </is>
      </c>
      <c r="C152" t="inlineStr"/>
      <c r="D152" s="2" t="n">
        <v>46022</v>
      </c>
      <c r="E152" t="inlineStr">
        <is>
          <t>5Y</t>
        </is>
      </c>
      <c r="F152" t="inlineStr"/>
      <c r="G152" t="n">
        <v>5.98537852939689</v>
      </c>
      <c r="H152" t="n">
        <v>9.539154091663882</v>
      </c>
      <c r="I152" t="n">
        <v>6.43665521117589</v>
      </c>
      <c r="J152" t="n">
        <v>-2.832319642658998</v>
      </c>
      <c r="K152" t="n">
        <v>-3.983825151029652</v>
      </c>
      <c r="L152" t="n">
        <v>4.096386765177096</v>
      </c>
      <c r="M152" t="n">
        <v>4.476417270751631</v>
      </c>
      <c r="N152" t="n">
        <v>-0.3800305055745357</v>
      </c>
      <c r="O152" t="inlineStr"/>
      <c r="P152" t="inlineStr">
        <is>
          <t>Philippines||5Y</t>
        </is>
      </c>
      <c r="Q152" t="inlineStr">
        <is>
          <t>Philippines|5Y</t>
        </is>
      </c>
      <c r="R152" t="inlineStr"/>
    </row>
    <row r="153">
      <c r="A153" t="inlineStr">
        <is>
          <t>Philippines</t>
        </is>
      </c>
      <c r="B153" t="inlineStr">
        <is>
          <t>PHL</t>
        </is>
      </c>
      <c r="C153" t="inlineStr"/>
      <c r="D153" s="2" t="n">
        <v>46022</v>
      </c>
      <c r="E153" t="inlineStr">
        <is>
          <t>10Y</t>
        </is>
      </c>
      <c r="F153" t="inlineStr"/>
      <c r="G153" t="n">
        <v>4.577380856389279</v>
      </c>
      <c r="H153" t="n">
        <v>7.338547585198718</v>
      </c>
      <c r="I153" t="n">
        <v>4.894130513115047</v>
      </c>
      <c r="J153" t="n">
        <v>-2.277296610669788</v>
      </c>
      <c r="K153" t="n">
        <v>-2.292351305228568</v>
      </c>
      <c r="L153" t="n">
        <v>3.460066762879266</v>
      </c>
      <c r="M153" t="n">
        <v>3.119152472830278</v>
      </c>
      <c r="N153" t="n">
        <v>0.3409142900489881</v>
      </c>
      <c r="O153" t="inlineStr"/>
      <c r="P153" t="inlineStr">
        <is>
          <t>Philippines||10Y</t>
        </is>
      </c>
      <c r="Q153" t="inlineStr">
        <is>
          <t>Philippines|10Y</t>
        </is>
      </c>
      <c r="R153" t="inlineStr"/>
    </row>
    <row r="154">
      <c r="A154" t="inlineStr">
        <is>
          <t>Philippines</t>
        </is>
      </c>
      <c r="B154" t="inlineStr">
        <is>
          <t>PHL</t>
        </is>
      </c>
      <c r="C154" t="inlineStr">
        <is>
          <t>XPHG.L</t>
        </is>
      </c>
      <c r="D154" s="2" t="n">
        <v>46022</v>
      </c>
      <c r="E154" t="inlineStr">
        <is>
          <t>1Y</t>
        </is>
      </c>
      <c r="F154" t="n">
        <v>-0.8685311923225081</v>
      </c>
      <c r="G154" t="n">
        <v>5.43499999999999</v>
      </c>
      <c r="H154" t="n">
        <v>7.04919799999999</v>
      </c>
      <c r="I154" t="n">
        <v>7.049349999999999</v>
      </c>
      <c r="J154" t="n">
        <v>0.000142096061339636</v>
      </c>
      <c r="K154" t="n">
        <v>-2.867317544171888</v>
      </c>
      <c r="L154" t="n">
        <v>1.608000000000009</v>
      </c>
      <c r="M154" t="n">
        <v>2.715000000000001</v>
      </c>
      <c r="N154" t="n">
        <v>-1.106999999999991</v>
      </c>
      <c r="O154" t="n">
        <v>7.917881192322507</v>
      </c>
      <c r="P154" t="inlineStr">
        <is>
          <t>Philippines|XPHG.L|1Y</t>
        </is>
      </c>
      <c r="Q154" t="inlineStr">
        <is>
          <t>Philippines|1Y</t>
        </is>
      </c>
      <c r="R154" t="inlineStr">
        <is>
          <t>GBp</t>
        </is>
      </c>
    </row>
    <row r="155">
      <c r="A155" t="inlineStr">
        <is>
          <t>Philippines</t>
        </is>
      </c>
      <c r="B155" t="inlineStr">
        <is>
          <t>PHL</t>
        </is>
      </c>
      <c r="C155" t="inlineStr">
        <is>
          <t>XPHG.L</t>
        </is>
      </c>
      <c r="D155" s="2" t="n">
        <v>46022</v>
      </c>
      <c r="E155" t="inlineStr">
        <is>
          <t>3Y</t>
        </is>
      </c>
      <c r="F155" t="n">
        <v>-0.4816288963851667</v>
      </c>
      <c r="G155" t="n">
        <v>5.5486124491402</v>
      </c>
      <c r="H155" t="n">
        <v>8.723390614114468</v>
      </c>
      <c r="I155" t="n">
        <v>6.914117046183832</v>
      </c>
      <c r="J155" t="n">
        <v>-1.664107021612693</v>
      </c>
      <c r="K155" t="n">
        <v>-1.865201973611774</v>
      </c>
      <c r="L155" t="n">
        <v>3.583999256893966</v>
      </c>
      <c r="M155" t="n">
        <v>3.263156230678832</v>
      </c>
      <c r="N155" t="n">
        <v>0.3208430262151341</v>
      </c>
      <c r="O155" t="n">
        <v>7.395745942568999</v>
      </c>
      <c r="P155" t="inlineStr">
        <is>
          <t>Philippines|XPHG.L|3Y</t>
        </is>
      </c>
      <c r="Q155" t="inlineStr">
        <is>
          <t>Philippines|3Y</t>
        </is>
      </c>
      <c r="R155" t="inlineStr">
        <is>
          <t>GBp</t>
        </is>
      </c>
    </row>
    <row r="156">
      <c r="A156" t="inlineStr">
        <is>
          <t>Philippines</t>
        </is>
      </c>
      <c r="B156" t="inlineStr">
        <is>
          <t>PHL</t>
        </is>
      </c>
      <c r="C156" t="inlineStr">
        <is>
          <t>XPHG.L</t>
        </is>
      </c>
      <c r="D156" s="2" t="n">
        <v>46022</v>
      </c>
      <c r="E156" t="inlineStr">
        <is>
          <t>5Y</t>
        </is>
      </c>
      <c r="F156" t="n">
        <v>-4.09809922309603</v>
      </c>
      <c r="G156" t="n">
        <v>5.98537852939689</v>
      </c>
      <c r="H156" t="n">
        <v>9.539154091663882</v>
      </c>
      <c r="I156" t="n">
        <v>6.43665521117589</v>
      </c>
      <c r="J156" t="n">
        <v>-2.832319642658998</v>
      </c>
      <c r="K156" t="n">
        <v>-3.983825151029652</v>
      </c>
      <c r="L156" t="n">
        <v>4.096386765177096</v>
      </c>
      <c r="M156" t="n">
        <v>4.476417270751631</v>
      </c>
      <c r="N156" t="n">
        <v>-0.3800305055745357</v>
      </c>
      <c r="O156" t="n">
        <v>10.53475443427192</v>
      </c>
      <c r="P156" t="inlineStr">
        <is>
          <t>Philippines|XPHG.L|5Y</t>
        </is>
      </c>
      <c r="Q156" t="inlineStr">
        <is>
          <t>Philippines|5Y</t>
        </is>
      </c>
      <c r="R156" t="inlineStr">
        <is>
          <t>GBp</t>
        </is>
      </c>
    </row>
    <row r="157">
      <c r="A157" t="inlineStr">
        <is>
          <t>Philippines</t>
        </is>
      </c>
      <c r="B157" t="inlineStr">
        <is>
          <t>PHL</t>
        </is>
      </c>
      <c r="C157" t="inlineStr">
        <is>
          <t>XPHG.L</t>
        </is>
      </c>
      <c r="D157" s="2" t="n">
        <v>46022</v>
      </c>
      <c r="E157" t="inlineStr">
        <is>
          <t>10Y</t>
        </is>
      </c>
      <c r="F157" t="n">
        <v>-2.106436791246491</v>
      </c>
      <c r="G157" t="n">
        <v>4.577380856389279</v>
      </c>
      <c r="H157" t="n">
        <v>7.338547585198718</v>
      </c>
      <c r="I157" t="n">
        <v>4.894130513115047</v>
      </c>
      <c r="J157" t="n">
        <v>-2.277296610669788</v>
      </c>
      <c r="K157" t="n">
        <v>-2.292351305228568</v>
      </c>
      <c r="L157" t="n">
        <v>3.460066762879266</v>
      </c>
      <c r="M157" t="n">
        <v>3.119152472830278</v>
      </c>
      <c r="N157" t="n">
        <v>0.3409142900489881</v>
      </c>
      <c r="O157" t="n">
        <v>7.000567304361538</v>
      </c>
      <c r="P157" t="inlineStr">
        <is>
          <t>Philippines|XPHG.L|10Y</t>
        </is>
      </c>
      <c r="Q157" t="inlineStr">
        <is>
          <t>Philippines|10Y</t>
        </is>
      </c>
      <c r="R157" t="inlineStr">
        <is>
          <t>GBp</t>
        </is>
      </c>
    </row>
    <row r="158">
      <c r="A158" t="inlineStr">
        <is>
          <t>Poland</t>
        </is>
      </c>
      <c r="B158" t="inlineStr">
        <is>
          <t>POL</t>
        </is>
      </c>
      <c r="C158" t="inlineStr"/>
      <c r="D158" s="2" t="n">
        <v>46022</v>
      </c>
      <c r="E158" t="inlineStr">
        <is>
          <t>1Y</t>
        </is>
      </c>
      <c r="F158" t="inlineStr"/>
      <c r="G158" t="n">
        <v>3.242999999999996</v>
      </c>
      <c r="H158" t="n">
        <v>6.963458</v>
      </c>
      <c r="I158" t="n">
        <v>13.67509600000001</v>
      </c>
      <c r="J158" t="n">
        <v>6.274701424363371</v>
      </c>
      <c r="K158" t="n">
        <v>15.17225655483938</v>
      </c>
      <c r="L158" t="n">
        <v>3.803000000000001</v>
      </c>
      <c r="M158" t="n">
        <v>2.715000000000001</v>
      </c>
      <c r="N158" t="n">
        <v>1.088</v>
      </c>
      <c r="O158" t="inlineStr"/>
      <c r="P158" t="inlineStr">
        <is>
          <t>Poland||1Y</t>
        </is>
      </c>
      <c r="Q158" t="inlineStr">
        <is>
          <t>Poland|1Y</t>
        </is>
      </c>
      <c r="R158" t="inlineStr"/>
    </row>
    <row r="159">
      <c r="A159" t="inlineStr">
        <is>
          <t>Poland</t>
        </is>
      </c>
      <c r="B159" t="inlineStr">
        <is>
          <t>POL</t>
        </is>
      </c>
      <c r="C159" t="inlineStr"/>
      <c r="D159" s="2" t="n">
        <v>46022</v>
      </c>
      <c r="E159" t="inlineStr">
        <is>
          <t>3Y</t>
        </is>
      </c>
      <c r="F159" t="inlineStr"/>
      <c r="G159" t="n">
        <v>2.129799151051381</v>
      </c>
      <c r="H159" t="n">
        <v>7.894685758453091</v>
      </c>
      <c r="I159" t="n">
        <v>14.3256449842778</v>
      </c>
      <c r="J159" t="n">
        <v>5.960403857299346</v>
      </c>
      <c r="K159" t="n">
        <v>6.756233384087795</v>
      </c>
      <c r="L159" t="n">
        <v>6.27184519205366</v>
      </c>
      <c r="M159" t="n">
        <v>3.263156230678832</v>
      </c>
      <c r="N159" t="n">
        <v>3.008688961374828</v>
      </c>
      <c r="O159" t="inlineStr"/>
      <c r="P159" t="inlineStr">
        <is>
          <t>Poland||3Y</t>
        </is>
      </c>
      <c r="Q159" t="inlineStr">
        <is>
          <t>Poland|3Y</t>
        </is>
      </c>
      <c r="R159" t="inlineStr"/>
    </row>
    <row r="160">
      <c r="A160" t="inlineStr">
        <is>
          <t>Poland</t>
        </is>
      </c>
      <c r="B160" t="inlineStr">
        <is>
          <t>POL</t>
        </is>
      </c>
      <c r="C160" t="inlineStr"/>
      <c r="D160" s="2" t="n">
        <v>46022</v>
      </c>
      <c r="E160" t="inlineStr">
        <is>
          <t>5Y</t>
        </is>
      </c>
      <c r="F160" t="inlineStr"/>
      <c r="G160" t="n">
        <v>3.694927012118776</v>
      </c>
      <c r="H160" t="n">
        <v>10.5113249209076</v>
      </c>
      <c r="I160" t="n">
        <v>11.40132337014548</v>
      </c>
      <c r="J160" t="n">
        <v>0.8053460977281768</v>
      </c>
      <c r="K160" t="n">
        <v>0.7626786007041586</v>
      </c>
      <c r="L160" t="n">
        <v>7.581170644241508</v>
      </c>
      <c r="M160" t="n">
        <v>4.476417270751631</v>
      </c>
      <c r="N160" t="n">
        <v>3.104753373489877</v>
      </c>
      <c r="O160" t="inlineStr"/>
      <c r="P160" t="inlineStr">
        <is>
          <t>Poland||5Y</t>
        </is>
      </c>
      <c r="Q160" t="inlineStr">
        <is>
          <t>Poland|5Y</t>
        </is>
      </c>
      <c r="R160" t="inlineStr"/>
    </row>
    <row r="161">
      <c r="A161" t="inlineStr">
        <is>
          <t>Poland</t>
        </is>
      </c>
      <c r="B161" t="inlineStr">
        <is>
          <t>POL</t>
        </is>
      </c>
      <c r="C161" t="inlineStr"/>
      <c r="D161" s="2" t="n">
        <v>46022</v>
      </c>
      <c r="E161" t="inlineStr">
        <is>
          <t>10Y</t>
        </is>
      </c>
      <c r="F161" t="inlineStr"/>
      <c r="G161" t="n">
        <v>3.523867731974173</v>
      </c>
      <c r="H161" t="n">
        <v>7.966916383506151</v>
      </c>
      <c r="I161" t="n">
        <v>8.040807864819421</v>
      </c>
      <c r="J161" t="n">
        <v>0.06843917427599155</v>
      </c>
      <c r="K161" t="n">
        <v>0.9747993508405495</v>
      </c>
      <c r="L161" t="n">
        <v>4.621396462790495</v>
      </c>
      <c r="M161" t="n">
        <v>3.119152472830278</v>
      </c>
      <c r="N161" t="n">
        <v>1.502243989960217</v>
      </c>
      <c r="O161" t="inlineStr"/>
      <c r="P161" t="inlineStr">
        <is>
          <t>Poland||10Y</t>
        </is>
      </c>
      <c r="Q161" t="inlineStr">
        <is>
          <t>Poland|10Y</t>
        </is>
      </c>
      <c r="R161" t="inlineStr"/>
    </row>
    <row r="162">
      <c r="A162" t="inlineStr">
        <is>
          <t>Poland</t>
        </is>
      </c>
      <c r="B162" t="inlineStr">
        <is>
          <t>POL</t>
        </is>
      </c>
      <c r="C162" t="inlineStr">
        <is>
          <t>IPOL.L</t>
        </is>
      </c>
      <c r="D162" s="2" t="n">
        <v>46022</v>
      </c>
      <c r="E162" t="inlineStr">
        <is>
          <t>1Y</t>
        </is>
      </c>
      <c r="F162" t="n">
        <v>74.00603656381143</v>
      </c>
      <c r="G162" t="n">
        <v>3.242999999999996</v>
      </c>
      <c r="H162" t="n">
        <v>6.963458</v>
      </c>
      <c r="I162" t="n">
        <v>13.67509600000001</v>
      </c>
      <c r="J162" t="n">
        <v>6.274701424363371</v>
      </c>
      <c r="K162" t="n">
        <v>15.17225655483938</v>
      </c>
      <c r="L162" t="n">
        <v>3.803000000000001</v>
      </c>
      <c r="M162" t="n">
        <v>2.715000000000001</v>
      </c>
      <c r="N162" t="n">
        <v>1.088</v>
      </c>
      <c r="O162" t="n">
        <v>-60.33094056381142</v>
      </c>
      <c r="P162" t="inlineStr">
        <is>
          <t>Poland|IPOL.L|1Y</t>
        </is>
      </c>
      <c r="Q162" t="inlineStr">
        <is>
          <t>Poland|1Y</t>
        </is>
      </c>
      <c r="R162" t="inlineStr">
        <is>
          <t>USD</t>
        </is>
      </c>
    </row>
    <row r="163">
      <c r="A163" t="inlineStr">
        <is>
          <t>Poland</t>
        </is>
      </c>
      <c r="B163" t="inlineStr">
        <is>
          <t>POL</t>
        </is>
      </c>
      <c r="C163" t="inlineStr">
        <is>
          <t>IPOL.L</t>
        </is>
      </c>
      <c r="D163" s="2" t="n">
        <v>46022</v>
      </c>
      <c r="E163" t="inlineStr">
        <is>
          <t>3Y</t>
        </is>
      </c>
      <c r="F163" t="n">
        <v>34.03398693830753</v>
      </c>
      <c r="G163" t="n">
        <v>2.129799151051381</v>
      </c>
      <c r="H163" t="n">
        <v>7.894685758453091</v>
      </c>
      <c r="I163" t="n">
        <v>14.3256449842778</v>
      </c>
      <c r="J163" t="n">
        <v>5.960403857299346</v>
      </c>
      <c r="K163" t="n">
        <v>6.756233384087795</v>
      </c>
      <c r="L163" t="n">
        <v>6.27184519205366</v>
      </c>
      <c r="M163" t="n">
        <v>3.263156230678832</v>
      </c>
      <c r="N163" t="n">
        <v>3.008688961374828</v>
      </c>
      <c r="O163" t="n">
        <v>-19.70834195402973</v>
      </c>
      <c r="P163" t="inlineStr">
        <is>
          <t>Poland|IPOL.L|3Y</t>
        </is>
      </c>
      <c r="Q163" t="inlineStr">
        <is>
          <t>Poland|3Y</t>
        </is>
      </c>
      <c r="R163" t="inlineStr">
        <is>
          <t>USD</t>
        </is>
      </c>
    </row>
    <row r="164">
      <c r="A164" t="inlineStr">
        <is>
          <t>Poland</t>
        </is>
      </c>
      <c r="B164" t="inlineStr">
        <is>
          <t>POL</t>
        </is>
      </c>
      <c r="C164" t="inlineStr">
        <is>
          <t>IPOL.L</t>
        </is>
      </c>
      <c r="D164" s="2" t="n">
        <v>46022</v>
      </c>
      <c r="E164" t="inlineStr">
        <is>
          <t>5Y</t>
        </is>
      </c>
      <c r="F164" t="n">
        <v>13.39536914262358</v>
      </c>
      <c r="G164" t="n">
        <v>3.694927012118776</v>
      </c>
      <c r="H164" t="n">
        <v>10.5113249209076</v>
      </c>
      <c r="I164" t="n">
        <v>11.40132337014548</v>
      </c>
      <c r="J164" t="n">
        <v>0.8053460977281768</v>
      </c>
      <c r="K164" t="n">
        <v>0.7626786007041586</v>
      </c>
      <c r="L164" t="n">
        <v>7.581170644241508</v>
      </c>
      <c r="M164" t="n">
        <v>4.476417270751631</v>
      </c>
      <c r="N164" t="n">
        <v>3.104753373489877</v>
      </c>
      <c r="O164" t="n">
        <v>-1.994045772478104</v>
      </c>
      <c r="P164" t="inlineStr">
        <is>
          <t>Poland|IPOL.L|5Y</t>
        </is>
      </c>
      <c r="Q164" t="inlineStr">
        <is>
          <t>Poland|5Y</t>
        </is>
      </c>
      <c r="R164" t="inlineStr">
        <is>
          <t>USD</t>
        </is>
      </c>
    </row>
    <row r="165">
      <c r="A165" t="inlineStr">
        <is>
          <t>Poland</t>
        </is>
      </c>
      <c r="B165" t="inlineStr">
        <is>
          <t>POL</t>
        </is>
      </c>
      <c r="C165" t="inlineStr">
        <is>
          <t>IPOL.L</t>
        </is>
      </c>
      <c r="D165" s="2" t="n">
        <v>46022</v>
      </c>
      <c r="E165" t="inlineStr">
        <is>
          <t>10Y</t>
        </is>
      </c>
      <c r="F165" t="n">
        <v>8.188975465575288</v>
      </c>
      <c r="G165" t="n">
        <v>3.523867731974173</v>
      </c>
      <c r="H165" t="n">
        <v>7.966916383506151</v>
      </c>
      <c r="I165" t="n">
        <v>8.040807864819421</v>
      </c>
      <c r="J165" t="n">
        <v>0.06843917427599155</v>
      </c>
      <c r="K165" t="n">
        <v>0.9747993508405495</v>
      </c>
      <c r="L165" t="n">
        <v>4.621396462790495</v>
      </c>
      <c r="M165" t="n">
        <v>3.119152472830278</v>
      </c>
      <c r="N165" t="n">
        <v>1.502243989960217</v>
      </c>
      <c r="O165" t="n">
        <v>-0.1481676007558672</v>
      </c>
      <c r="P165" t="inlineStr">
        <is>
          <t>Poland|IPOL.L|10Y</t>
        </is>
      </c>
      <c r="Q165" t="inlineStr">
        <is>
          <t>Poland|10Y</t>
        </is>
      </c>
      <c r="R165" t="inlineStr">
        <is>
          <t>USD</t>
        </is>
      </c>
    </row>
    <row r="166">
      <c r="A166" t="inlineStr">
        <is>
          <t>Poland</t>
        </is>
      </c>
      <c r="B166" t="inlineStr">
        <is>
          <t>POL</t>
        </is>
      </c>
      <c r="C166" t="inlineStr">
        <is>
          <t>SPOL.L</t>
        </is>
      </c>
      <c r="D166" s="2" t="n">
        <v>46022</v>
      </c>
      <c r="E166" t="inlineStr">
        <is>
          <t>1Y</t>
        </is>
      </c>
      <c r="F166" t="n">
        <v>72.13124049861612</v>
      </c>
      <c r="G166" t="n">
        <v>3.242999999999996</v>
      </c>
      <c r="H166" t="n">
        <v>6.963458</v>
      </c>
      <c r="I166" t="n">
        <v>13.67509600000001</v>
      </c>
      <c r="J166" t="n">
        <v>6.274701424363371</v>
      </c>
      <c r="K166" t="n">
        <v>15.17225655483938</v>
      </c>
      <c r="L166" t="n">
        <v>3.803000000000001</v>
      </c>
      <c r="M166" t="n">
        <v>2.715000000000001</v>
      </c>
      <c r="N166" t="n">
        <v>1.088</v>
      </c>
      <c r="O166" t="n">
        <v>-58.45614449861611</v>
      </c>
      <c r="P166" t="inlineStr">
        <is>
          <t>Poland|SPOL.L|1Y</t>
        </is>
      </c>
      <c r="Q166" t="inlineStr">
        <is>
          <t>Poland|1Y</t>
        </is>
      </c>
      <c r="R166" t="inlineStr">
        <is>
          <t>GBp</t>
        </is>
      </c>
    </row>
    <row r="167">
      <c r="A167" t="inlineStr">
        <is>
          <t>Poland</t>
        </is>
      </c>
      <c r="B167" t="inlineStr">
        <is>
          <t>POL</t>
        </is>
      </c>
      <c r="C167" t="inlineStr">
        <is>
          <t>SPOL.L</t>
        </is>
      </c>
      <c r="D167" s="2" t="n">
        <v>46022</v>
      </c>
      <c r="E167" t="inlineStr">
        <is>
          <t>3Y</t>
        </is>
      </c>
      <c r="F167" t="n">
        <v>33.71629776031089</v>
      </c>
      <c r="G167" t="n">
        <v>2.129799151051381</v>
      </c>
      <c r="H167" t="n">
        <v>7.894685758453091</v>
      </c>
      <c r="I167" t="n">
        <v>14.3256449842778</v>
      </c>
      <c r="J167" t="n">
        <v>5.960403857299346</v>
      </c>
      <c r="K167" t="n">
        <v>6.756233384087795</v>
      </c>
      <c r="L167" t="n">
        <v>6.27184519205366</v>
      </c>
      <c r="M167" t="n">
        <v>3.263156230678832</v>
      </c>
      <c r="N167" t="n">
        <v>3.008688961374828</v>
      </c>
      <c r="O167" t="n">
        <v>-19.39065277603309</v>
      </c>
      <c r="P167" t="inlineStr">
        <is>
          <t>Poland|SPOL.L|3Y</t>
        </is>
      </c>
      <c r="Q167" t="inlineStr">
        <is>
          <t>Poland|3Y</t>
        </is>
      </c>
      <c r="R167" t="inlineStr">
        <is>
          <t>GBp</t>
        </is>
      </c>
    </row>
    <row r="168">
      <c r="A168" t="inlineStr">
        <is>
          <t>Poland</t>
        </is>
      </c>
      <c r="B168" t="inlineStr">
        <is>
          <t>POL</t>
        </is>
      </c>
      <c r="C168" t="inlineStr">
        <is>
          <t>SPOL.L</t>
        </is>
      </c>
      <c r="D168" s="2" t="n">
        <v>46022</v>
      </c>
      <c r="E168" t="inlineStr">
        <is>
          <t>5Y</t>
        </is>
      </c>
      <c r="F168" t="n">
        <v>13.20488786726455</v>
      </c>
      <c r="G168" t="n">
        <v>3.694927012118776</v>
      </c>
      <c r="H168" t="n">
        <v>10.5113249209076</v>
      </c>
      <c r="I168" t="n">
        <v>11.40132337014548</v>
      </c>
      <c r="J168" t="n">
        <v>0.8053460977281768</v>
      </c>
      <c r="K168" t="n">
        <v>0.7626786007041586</v>
      </c>
      <c r="L168" t="n">
        <v>7.581170644241508</v>
      </c>
      <c r="M168" t="n">
        <v>4.476417270751631</v>
      </c>
      <c r="N168" t="n">
        <v>3.104753373489877</v>
      </c>
      <c r="O168" t="n">
        <v>-1.803564497119071</v>
      </c>
      <c r="P168" t="inlineStr">
        <is>
          <t>Poland|SPOL.L|5Y</t>
        </is>
      </c>
      <c r="Q168" t="inlineStr">
        <is>
          <t>Poland|5Y</t>
        </is>
      </c>
      <c r="R168" t="inlineStr">
        <is>
          <t>GBp</t>
        </is>
      </c>
    </row>
    <row r="169">
      <c r="A169" t="inlineStr">
        <is>
          <t>Poland</t>
        </is>
      </c>
      <c r="B169" t="inlineStr">
        <is>
          <t>POL</t>
        </is>
      </c>
      <c r="C169" t="inlineStr">
        <is>
          <t>SPOL.L</t>
        </is>
      </c>
      <c r="D169" s="2" t="n">
        <v>46022</v>
      </c>
      <c r="E169" t="inlineStr">
        <is>
          <t>10Y</t>
        </is>
      </c>
      <c r="F169" t="n">
        <v>7.804696961693369</v>
      </c>
      <c r="G169" t="n">
        <v>3.523867731974173</v>
      </c>
      <c r="H169" t="n">
        <v>7.966916383506151</v>
      </c>
      <c r="I169" t="n">
        <v>8.040807864819421</v>
      </c>
      <c r="J169" t="n">
        <v>0.06843917427599155</v>
      </c>
      <c r="K169" t="n">
        <v>0.9747993508405495</v>
      </c>
      <c r="L169" t="n">
        <v>4.621396462790495</v>
      </c>
      <c r="M169" t="n">
        <v>3.119152472830278</v>
      </c>
      <c r="N169" t="n">
        <v>1.502243989960217</v>
      </c>
      <c r="O169" t="n">
        <v>0.2361109031260513</v>
      </c>
      <c r="P169" t="inlineStr">
        <is>
          <t>Poland|SPOL.L|10Y</t>
        </is>
      </c>
      <c r="Q169" t="inlineStr">
        <is>
          <t>Poland|10Y</t>
        </is>
      </c>
      <c r="R169" t="inlineStr">
        <is>
          <t>GBp</t>
        </is>
      </c>
    </row>
    <row r="170">
      <c r="A170" t="inlineStr">
        <is>
          <t>Saudi Arabia</t>
        </is>
      </c>
      <c r="B170" t="inlineStr">
        <is>
          <t>SAU</t>
        </is>
      </c>
      <c r="C170" t="inlineStr"/>
      <c r="D170" s="2" t="n">
        <v>46022</v>
      </c>
      <c r="E170" t="inlineStr">
        <is>
          <t>1Y</t>
        </is>
      </c>
      <c r="F170" t="inlineStr"/>
      <c r="G170" t="n">
        <v>4.021000000000008</v>
      </c>
      <c r="H170" t="n">
        <v>2.317311000000011</v>
      </c>
      <c r="I170" t="n">
        <v>2.317299999999989</v>
      </c>
      <c r="J170" t="n">
        <v>-1.087616346984177e-05</v>
      </c>
      <c r="K170" t="n">
        <v>0.1424963777745036</v>
      </c>
      <c r="L170" t="n">
        <v>2.099999999999991</v>
      </c>
      <c r="M170" t="n">
        <v>2.715000000000001</v>
      </c>
      <c r="N170" t="n">
        <v>-0.61500000000001</v>
      </c>
      <c r="O170" t="inlineStr"/>
      <c r="P170" t="inlineStr">
        <is>
          <t>Saudi Arabia||1Y</t>
        </is>
      </c>
      <c r="Q170" t="inlineStr">
        <is>
          <t>Saudi Arabia|1Y</t>
        </is>
      </c>
      <c r="R170" t="inlineStr"/>
    </row>
    <row r="171">
      <c r="A171" t="inlineStr">
        <is>
          <t>Saudi Arabia</t>
        </is>
      </c>
      <c r="B171" t="inlineStr">
        <is>
          <t>SAU</t>
        </is>
      </c>
      <c r="C171" t="inlineStr"/>
      <c r="D171" s="2" t="n">
        <v>46022</v>
      </c>
      <c r="E171" t="inlineStr">
        <is>
          <t>3Y</t>
        </is>
      </c>
      <c r="F171" t="inlineStr"/>
      <c r="G171" t="n">
        <v>2.177064339348544</v>
      </c>
      <c r="H171" t="n">
        <v>0.7863129775983468</v>
      </c>
      <c r="I171" t="n">
        <v>0.7863273913572888</v>
      </c>
      <c r="J171" t="n">
        <v>1.430596863194467e-05</v>
      </c>
      <c r="K171" t="n">
        <v>0.1054265130713494</v>
      </c>
      <c r="L171" t="n">
        <v>2.037990345228513</v>
      </c>
      <c r="M171" t="n">
        <v>3.263156230678832</v>
      </c>
      <c r="N171" t="n">
        <v>-1.225165885450319</v>
      </c>
      <c r="O171" t="inlineStr"/>
      <c r="P171" t="inlineStr">
        <is>
          <t>Saudi Arabia||3Y</t>
        </is>
      </c>
      <c r="Q171" t="inlineStr">
        <is>
          <t>Saudi Arabia|3Y</t>
        </is>
      </c>
      <c r="R171" t="inlineStr"/>
    </row>
    <row r="172">
      <c r="A172" t="inlineStr">
        <is>
          <t>Saudi Arabia</t>
        </is>
      </c>
      <c r="B172" t="inlineStr">
        <is>
          <t>SAU</t>
        </is>
      </c>
      <c r="C172" t="inlineStr"/>
      <c r="D172" s="2" t="n">
        <v>46022</v>
      </c>
      <c r="E172" t="inlineStr">
        <is>
          <t>5Y</t>
        </is>
      </c>
      <c r="F172" t="inlineStr"/>
      <c r="G172" t="n">
        <v>4.94038762998803</v>
      </c>
      <c r="H172" t="n">
        <v>10.57758849202786</v>
      </c>
      <c r="I172" t="n">
        <v>10.57758768652199</v>
      </c>
      <c r="J172" t="n">
        <v>-6.866069601763058e-07</v>
      </c>
      <c r="K172" t="n">
        <v>0.006150630459345052</v>
      </c>
      <c r="L172" t="n">
        <v>2.32940094189702</v>
      </c>
      <c r="M172" t="n">
        <v>4.476417270751631</v>
      </c>
      <c r="N172" t="n">
        <v>-2.147016328854612</v>
      </c>
      <c r="O172" t="inlineStr"/>
      <c r="P172" t="inlineStr">
        <is>
          <t>Saudi Arabia||5Y</t>
        </is>
      </c>
      <c r="Q172" t="inlineStr">
        <is>
          <t>Saudi Arabia|5Y</t>
        </is>
      </c>
      <c r="R172" t="inlineStr"/>
    </row>
    <row r="173">
      <c r="A173" t="inlineStr">
        <is>
          <t>Saudi Arabia</t>
        </is>
      </c>
      <c r="B173" t="inlineStr">
        <is>
          <t>SAU</t>
        </is>
      </c>
      <c r="C173" t="inlineStr"/>
      <c r="D173" s="2" t="n">
        <v>46022</v>
      </c>
      <c r="E173" t="inlineStr">
        <is>
          <t>10Y</t>
        </is>
      </c>
      <c r="F173" t="inlineStr"/>
      <c r="G173" t="n">
        <v>2.830425925653413</v>
      </c>
      <c r="H173" t="n">
        <v>6.226023496121247</v>
      </c>
      <c r="I173" t="n">
        <v>6.226023085343857</v>
      </c>
      <c r="J173" t="n">
        <v>-4.35884628391392e-07</v>
      </c>
      <c r="K173" t="n">
        <v>0.01909933837660471</v>
      </c>
      <c r="L173" t="n">
        <v>1.655537665134199</v>
      </c>
      <c r="M173" t="n">
        <v>3.119152472830278</v>
      </c>
      <c r="N173" t="n">
        <v>-1.463614807696079</v>
      </c>
      <c r="O173" t="inlineStr"/>
      <c r="P173" t="inlineStr">
        <is>
          <t>Saudi Arabia||10Y</t>
        </is>
      </c>
      <c r="Q173" t="inlineStr">
        <is>
          <t>Saudi Arabia|10Y</t>
        </is>
      </c>
      <c r="R173" t="inlineStr"/>
    </row>
    <row r="174">
      <c r="A174" t="inlineStr">
        <is>
          <t>Saudi Arabia</t>
        </is>
      </c>
      <c r="B174" t="inlineStr">
        <is>
          <t>SAU</t>
        </is>
      </c>
      <c r="C174" t="inlineStr">
        <is>
          <t>IKSA.L</t>
        </is>
      </c>
      <c r="D174" s="2" t="n">
        <v>46022</v>
      </c>
      <c r="E174" t="inlineStr">
        <is>
          <t>1Y</t>
        </is>
      </c>
      <c r="F174" t="n">
        <v>-6.082555514391419</v>
      </c>
      <c r="G174" t="n">
        <v>4.021000000000008</v>
      </c>
      <c r="H174" t="n">
        <v>2.317311000000011</v>
      </c>
      <c r="I174" t="n">
        <v>2.317299999999989</v>
      </c>
      <c r="J174" t="n">
        <v>-1.087616346984177e-05</v>
      </c>
      <c r="K174" t="n">
        <v>0.1424963777745036</v>
      </c>
      <c r="L174" t="n">
        <v>2.099999999999991</v>
      </c>
      <c r="M174" t="n">
        <v>2.715000000000001</v>
      </c>
      <c r="N174" t="n">
        <v>-0.61500000000001</v>
      </c>
      <c r="O174" t="n">
        <v>8.399855514391408</v>
      </c>
      <c r="P174" t="inlineStr">
        <is>
          <t>Saudi Arabia|IKSA.L|1Y</t>
        </is>
      </c>
      <c r="Q174" t="inlineStr">
        <is>
          <t>Saudi Arabia|1Y</t>
        </is>
      </c>
      <c r="R174" t="inlineStr">
        <is>
          <t>USD</t>
        </is>
      </c>
    </row>
    <row r="175">
      <c r="A175" t="inlineStr">
        <is>
          <t>Saudi Arabia</t>
        </is>
      </c>
      <c r="B175" t="inlineStr">
        <is>
          <t>SAU</t>
        </is>
      </c>
      <c r="C175" t="inlineStr">
        <is>
          <t>IKSA.L</t>
        </is>
      </c>
      <c r="D175" s="2" t="n">
        <v>46022</v>
      </c>
      <c r="E175" t="inlineStr">
        <is>
          <t>3Y</t>
        </is>
      </c>
      <c r="F175" t="n">
        <v>0.8890605203422997</v>
      </c>
      <c r="G175" t="n">
        <v>2.177064339348544</v>
      </c>
      <c r="H175" t="n">
        <v>0.7863129775983468</v>
      </c>
      <c r="I175" t="n">
        <v>0.7863273913572888</v>
      </c>
      <c r="J175" t="n">
        <v>1.430596863194467e-05</v>
      </c>
      <c r="K175" t="n">
        <v>0.1054265130713494</v>
      </c>
      <c r="L175" t="n">
        <v>2.037990345228513</v>
      </c>
      <c r="M175" t="n">
        <v>3.263156230678832</v>
      </c>
      <c r="N175" t="n">
        <v>-1.225165885450319</v>
      </c>
      <c r="O175" t="n">
        <v>-0.1027331289850109</v>
      </c>
      <c r="P175" t="inlineStr">
        <is>
          <t>Saudi Arabia|IKSA.L|3Y</t>
        </is>
      </c>
      <c r="Q175" t="inlineStr">
        <is>
          <t>Saudi Arabia|3Y</t>
        </is>
      </c>
      <c r="R175" t="inlineStr">
        <is>
          <t>USD</t>
        </is>
      </c>
    </row>
    <row r="176">
      <c r="A176" t="inlineStr">
        <is>
          <t>Saudi Arabia</t>
        </is>
      </c>
      <c r="B176" t="inlineStr">
        <is>
          <t>SAU</t>
        </is>
      </c>
      <c r="C176" t="inlineStr">
        <is>
          <t>IKSA.L</t>
        </is>
      </c>
      <c r="D176" s="2" t="n">
        <v>46022</v>
      </c>
      <c r="E176" t="inlineStr">
        <is>
          <t>5Y</t>
        </is>
      </c>
      <c r="F176" t="n">
        <v>6.113729096202603</v>
      </c>
      <c r="G176" t="n">
        <v>4.94038762998803</v>
      </c>
      <c r="H176" t="n">
        <v>10.57758849202786</v>
      </c>
      <c r="I176" t="n">
        <v>10.57758768652199</v>
      </c>
      <c r="J176" t="n">
        <v>-6.866069601763058e-07</v>
      </c>
      <c r="K176" t="n">
        <v>0.006150630459345052</v>
      </c>
      <c r="L176" t="n">
        <v>2.32940094189702</v>
      </c>
      <c r="M176" t="n">
        <v>4.476417270751631</v>
      </c>
      <c r="N176" t="n">
        <v>-2.147016328854612</v>
      </c>
      <c r="O176" t="n">
        <v>4.463858590319392</v>
      </c>
      <c r="P176" t="inlineStr">
        <is>
          <t>Saudi Arabia|IKSA.L|5Y</t>
        </is>
      </c>
      <c r="Q176" t="inlineStr">
        <is>
          <t>Saudi Arabia|5Y</t>
        </is>
      </c>
      <c r="R176" t="inlineStr">
        <is>
          <t>USD</t>
        </is>
      </c>
    </row>
    <row r="177">
      <c r="A177" t="inlineStr">
        <is>
          <t>Singapore</t>
        </is>
      </c>
      <c r="B177" t="inlineStr">
        <is>
          <t>SGP</t>
        </is>
      </c>
      <c r="C177" t="inlineStr"/>
      <c r="D177" s="2" t="n">
        <v>46022</v>
      </c>
      <c r="E177" t="inlineStr">
        <is>
          <t>1Y</t>
        </is>
      </c>
      <c r="F177" t="inlineStr"/>
      <c r="G177" t="n">
        <v>2.225999999999995</v>
      </c>
      <c r="H177" t="n">
        <v>2.294664000000002</v>
      </c>
      <c r="I177" t="n">
        <v>4.895621999999999</v>
      </c>
      <c r="J177" t="n">
        <v>2.542613652897896</v>
      </c>
      <c r="K177" t="n">
        <v>6.286292836412222</v>
      </c>
      <c r="L177" t="n">
        <v>0.9279999999999955</v>
      </c>
      <c r="M177" t="n">
        <v>2.715000000000001</v>
      </c>
      <c r="N177" t="n">
        <v>-1.787000000000005</v>
      </c>
      <c r="O177" t="inlineStr"/>
      <c r="P177" t="inlineStr">
        <is>
          <t>Singapore||1Y</t>
        </is>
      </c>
      <c r="Q177" t="inlineStr">
        <is>
          <t>Singapore|1Y</t>
        </is>
      </c>
      <c r="R177" t="inlineStr"/>
    </row>
    <row r="178">
      <c r="A178" t="inlineStr">
        <is>
          <t>Singapore</t>
        </is>
      </c>
      <c r="B178" t="inlineStr">
        <is>
          <t>SGP</t>
        </is>
      </c>
      <c r="C178" t="inlineStr"/>
      <c r="D178" s="2" t="n">
        <v>46022</v>
      </c>
      <c r="E178" t="inlineStr">
        <is>
          <t>3Y</t>
        </is>
      </c>
      <c r="F178" t="inlineStr"/>
      <c r="G178" t="n">
        <v>2.805520010477469</v>
      </c>
      <c r="H178" t="n">
        <v>2.159555632240973</v>
      </c>
      <c r="I178" t="n">
        <v>4.097324541001424</v>
      </c>
      <c r="J178" t="n">
        <v>1.896805983897809</v>
      </c>
      <c r="K178" t="n">
        <v>1.347069578678606</v>
      </c>
      <c r="L178" t="n">
        <v>2.704732486570305</v>
      </c>
      <c r="M178" t="n">
        <v>3.263156230678832</v>
      </c>
      <c r="N178" t="n">
        <v>-0.5584237441085271</v>
      </c>
      <c r="O178" t="inlineStr"/>
      <c r="P178" t="inlineStr">
        <is>
          <t>Singapore||3Y</t>
        </is>
      </c>
      <c r="Q178" t="inlineStr">
        <is>
          <t>Singapore|3Y</t>
        </is>
      </c>
      <c r="R178" t="inlineStr"/>
    </row>
    <row r="179">
      <c r="A179" t="inlineStr">
        <is>
          <t>Singapore</t>
        </is>
      </c>
      <c r="B179" t="inlineStr">
        <is>
          <t>SGP</t>
        </is>
      </c>
      <c r="C179" t="inlineStr"/>
      <c r="D179" s="2" t="n">
        <v>46022</v>
      </c>
      <c r="E179" t="inlineStr">
        <is>
          <t>5Y</t>
        </is>
      </c>
      <c r="F179" t="inlineStr"/>
      <c r="G179" t="n">
        <v>4.422269232490406</v>
      </c>
      <c r="H179" t="n">
        <v>9.204338944641011</v>
      </c>
      <c r="I179" t="n">
        <v>10.45973035677419</v>
      </c>
      <c r="J179" t="n">
        <v>1.14958000034866</v>
      </c>
      <c r="K179" t="n">
        <v>0.5679641603553165</v>
      </c>
      <c r="L179" t="n">
        <v>3.302643535631344</v>
      </c>
      <c r="M179" t="n">
        <v>4.476417270751631</v>
      </c>
      <c r="N179" t="n">
        <v>-1.173773735120287</v>
      </c>
      <c r="O179" t="inlineStr"/>
      <c r="P179" t="inlineStr">
        <is>
          <t>Singapore||5Y</t>
        </is>
      </c>
      <c r="Q179" t="inlineStr">
        <is>
          <t>Singapore|5Y</t>
        </is>
      </c>
      <c r="R179" t="inlineStr"/>
    </row>
    <row r="180">
      <c r="A180" t="inlineStr">
        <is>
          <t>Singapore</t>
        </is>
      </c>
      <c r="B180" t="inlineStr">
        <is>
          <t>SGP</t>
        </is>
      </c>
      <c r="C180" t="inlineStr"/>
      <c r="D180" s="2" t="n">
        <v>46022</v>
      </c>
      <c r="E180" t="inlineStr">
        <is>
          <t>10Y</t>
        </is>
      </c>
      <c r="F180" t="inlineStr"/>
      <c r="G180" t="n">
        <v>3.096899412720422</v>
      </c>
      <c r="H180" t="n">
        <v>5.857914146213727</v>
      </c>
      <c r="I180" t="n">
        <v>6.426616016169784</v>
      </c>
      <c r="J180" t="n">
        <v>0.537231233200397</v>
      </c>
      <c r="K180" t="n">
        <v>1.001224185917704</v>
      </c>
      <c r="L180" t="n">
        <v>1.727003876225042</v>
      </c>
      <c r="M180" t="n">
        <v>3.119152472830278</v>
      </c>
      <c r="N180" t="n">
        <v>-1.392148596605236</v>
      </c>
      <c r="O180" t="inlineStr"/>
      <c r="P180" t="inlineStr">
        <is>
          <t>Singapore||10Y</t>
        </is>
      </c>
      <c r="Q180" t="inlineStr">
        <is>
          <t>Singapore|10Y</t>
        </is>
      </c>
      <c r="R180" t="inlineStr"/>
    </row>
    <row r="181">
      <c r="A181" t="inlineStr">
        <is>
          <t>Singapore</t>
        </is>
      </c>
      <c r="B181" t="inlineStr">
        <is>
          <t>SGP</t>
        </is>
      </c>
      <c r="C181" t="inlineStr">
        <is>
          <t>EWS</t>
        </is>
      </c>
      <c r="D181" s="2" t="n">
        <v>46022</v>
      </c>
      <c r="E181" t="inlineStr">
        <is>
          <t>1Y</t>
        </is>
      </c>
      <c r="F181" t="n">
        <v>31.95796861863993</v>
      </c>
      <c r="G181" t="n">
        <v>2.225999999999995</v>
      </c>
      <c r="H181" t="n">
        <v>2.294664000000002</v>
      </c>
      <c r="I181" t="n">
        <v>4.895621999999999</v>
      </c>
      <c r="J181" t="n">
        <v>2.542613652897896</v>
      </c>
      <c r="K181" t="n">
        <v>6.286292836412222</v>
      </c>
      <c r="L181" t="n">
        <v>0.9279999999999955</v>
      </c>
      <c r="M181" t="n">
        <v>2.715000000000001</v>
      </c>
      <c r="N181" t="n">
        <v>-1.787000000000005</v>
      </c>
      <c r="O181" t="n">
        <v>-27.06234661863993</v>
      </c>
      <c r="P181" t="inlineStr">
        <is>
          <t>Singapore|EWS|1Y</t>
        </is>
      </c>
      <c r="Q181" t="inlineStr">
        <is>
          <t>Singapore|1Y</t>
        </is>
      </c>
      <c r="R181" t="inlineStr">
        <is>
          <t>USD</t>
        </is>
      </c>
    </row>
    <row r="182">
      <c r="A182" t="inlineStr">
        <is>
          <t>Singapore</t>
        </is>
      </c>
      <c r="B182" t="inlineStr">
        <is>
          <t>SGP</t>
        </is>
      </c>
      <c r="C182" t="inlineStr">
        <is>
          <t>EWS</t>
        </is>
      </c>
      <c r="D182" s="2" t="n">
        <v>46022</v>
      </c>
      <c r="E182" t="inlineStr">
        <is>
          <t>3Y</t>
        </is>
      </c>
      <c r="F182" t="n">
        <v>19.3848857193166</v>
      </c>
      <c r="G182" t="n">
        <v>2.805520010477469</v>
      </c>
      <c r="H182" t="n">
        <v>2.159555632240973</v>
      </c>
      <c r="I182" t="n">
        <v>4.097324541001424</v>
      </c>
      <c r="J182" t="n">
        <v>1.896805983897809</v>
      </c>
      <c r="K182" t="n">
        <v>1.347069578678606</v>
      </c>
      <c r="L182" t="n">
        <v>2.704732486570305</v>
      </c>
      <c r="M182" t="n">
        <v>3.263156230678832</v>
      </c>
      <c r="N182" t="n">
        <v>-0.5584237441085271</v>
      </c>
      <c r="O182" t="n">
        <v>-15.28756117831518</v>
      </c>
      <c r="P182" t="inlineStr">
        <is>
          <t>Singapore|EWS|3Y</t>
        </is>
      </c>
      <c r="Q182" t="inlineStr">
        <is>
          <t>Singapore|3Y</t>
        </is>
      </c>
      <c r="R182" t="inlineStr">
        <is>
          <t>USD</t>
        </is>
      </c>
    </row>
    <row r="183">
      <c r="A183" t="inlineStr">
        <is>
          <t>Singapore</t>
        </is>
      </c>
      <c r="B183" t="inlineStr">
        <is>
          <t>SGP</t>
        </is>
      </c>
      <c r="C183" t="inlineStr">
        <is>
          <t>EWS</t>
        </is>
      </c>
      <c r="D183" s="2" t="n">
        <v>46022</v>
      </c>
      <c r="E183" t="inlineStr">
        <is>
          <t>5Y</t>
        </is>
      </c>
      <c r="F183" t="n">
        <v>10.04091881411235</v>
      </c>
      <c r="G183" t="n">
        <v>4.422269232490406</v>
      </c>
      <c r="H183" t="n">
        <v>9.204338944641011</v>
      </c>
      <c r="I183" t="n">
        <v>10.45973035677419</v>
      </c>
      <c r="J183" t="n">
        <v>1.14958000034866</v>
      </c>
      <c r="K183" t="n">
        <v>0.5679641603553165</v>
      </c>
      <c r="L183" t="n">
        <v>3.302643535631344</v>
      </c>
      <c r="M183" t="n">
        <v>4.476417270751631</v>
      </c>
      <c r="N183" t="n">
        <v>-1.173773735120287</v>
      </c>
      <c r="O183" t="n">
        <v>0.4188115426618335</v>
      </c>
      <c r="P183" t="inlineStr">
        <is>
          <t>Singapore|EWS|5Y</t>
        </is>
      </c>
      <c r="Q183" t="inlineStr">
        <is>
          <t>Singapore|5Y</t>
        </is>
      </c>
      <c r="R183" t="inlineStr">
        <is>
          <t>USD</t>
        </is>
      </c>
    </row>
    <row r="184">
      <c r="A184" t="inlineStr">
        <is>
          <t>Singapore</t>
        </is>
      </c>
      <c r="B184" t="inlineStr">
        <is>
          <t>SGP</t>
        </is>
      </c>
      <c r="C184" t="inlineStr">
        <is>
          <t>EWS</t>
        </is>
      </c>
      <c r="D184" s="2" t="n">
        <v>46022</v>
      </c>
      <c r="E184" t="inlineStr">
        <is>
          <t>10Y</t>
        </is>
      </c>
      <c r="F184" t="n">
        <v>7.647730449952017</v>
      </c>
      <c r="G184" t="n">
        <v>3.096899412720422</v>
      </c>
      <c r="H184" t="n">
        <v>5.857914146213727</v>
      </c>
      <c r="I184" t="n">
        <v>6.426616016169784</v>
      </c>
      <c r="J184" t="n">
        <v>0.537231233200397</v>
      </c>
      <c r="K184" t="n">
        <v>1.001224185917704</v>
      </c>
      <c r="L184" t="n">
        <v>1.727003876225042</v>
      </c>
      <c r="M184" t="n">
        <v>3.119152472830278</v>
      </c>
      <c r="N184" t="n">
        <v>-1.392148596605236</v>
      </c>
      <c r="O184" t="n">
        <v>-1.221114433782233</v>
      </c>
      <c r="P184" t="inlineStr">
        <is>
          <t>Singapore|EWS|10Y</t>
        </is>
      </c>
      <c r="Q184" t="inlineStr">
        <is>
          <t>Singapore|10Y</t>
        </is>
      </c>
      <c r="R184" t="inlineStr">
        <is>
          <t>USD</t>
        </is>
      </c>
    </row>
    <row r="185">
      <c r="A185" t="inlineStr">
        <is>
          <t>South Africa</t>
        </is>
      </c>
      <c r="B185" t="inlineStr">
        <is>
          <t>ZAF</t>
        </is>
      </c>
      <c r="C185" t="inlineStr"/>
      <c r="D185" s="2" t="n">
        <v>46022</v>
      </c>
      <c r="E185" t="inlineStr">
        <is>
          <t>1Y</t>
        </is>
      </c>
      <c r="F185" t="inlineStr"/>
      <c r="G185" t="n">
        <v>1.149</v>
      </c>
      <c r="H185" t="n">
        <v>4.70545200000001</v>
      </c>
      <c r="I185" t="n">
        <v>6.309776999999994</v>
      </c>
      <c r="J185" t="n">
        <v>1.532226590883012</v>
      </c>
      <c r="K185" t="n">
        <v>13.70593430896334</v>
      </c>
      <c r="L185" t="n">
        <v>3.359000000000001</v>
      </c>
      <c r="M185" t="n">
        <v>2.715000000000001</v>
      </c>
      <c r="N185" t="n">
        <v>0.6440000000000001</v>
      </c>
      <c r="O185" t="inlineStr"/>
      <c r="P185" t="inlineStr">
        <is>
          <t>South Africa||1Y</t>
        </is>
      </c>
      <c r="Q185" t="inlineStr">
        <is>
          <t>South Africa|1Y</t>
        </is>
      </c>
      <c r="R185" t="inlineStr"/>
    </row>
    <row r="186">
      <c r="A186" t="inlineStr">
        <is>
          <t>South Africa</t>
        </is>
      </c>
      <c r="B186" t="inlineStr">
        <is>
          <t>ZAF</t>
        </is>
      </c>
      <c r="C186" t="inlineStr"/>
      <c r="D186" s="2" t="n">
        <v>46022</v>
      </c>
      <c r="E186" t="inlineStr">
        <is>
          <t>3Y</t>
        </is>
      </c>
      <c r="F186" t="inlineStr"/>
      <c r="G186" t="n">
        <v>0.829687067689866</v>
      </c>
      <c r="H186" t="n">
        <v>4.913829447217033</v>
      </c>
      <c r="I186" t="n">
        <v>1.527172730413695</v>
      </c>
      <c r="J186" t="n">
        <v>-3.228036281880897</v>
      </c>
      <c r="K186" t="n">
        <v>0.6967793009640344</v>
      </c>
      <c r="L186" t="n">
        <v>4.557470533314567</v>
      </c>
      <c r="M186" t="n">
        <v>3.263156230678832</v>
      </c>
      <c r="N186" t="n">
        <v>1.294314302635735</v>
      </c>
      <c r="O186" t="inlineStr"/>
      <c r="P186" t="inlineStr">
        <is>
          <t>South Africa||3Y</t>
        </is>
      </c>
      <c r="Q186" t="inlineStr">
        <is>
          <t>South Africa|3Y</t>
        </is>
      </c>
      <c r="R186" t="inlineStr"/>
    </row>
    <row r="187">
      <c r="A187" t="inlineStr">
        <is>
          <t>South Africa</t>
        </is>
      </c>
      <c r="B187" t="inlineStr">
        <is>
          <t>ZAF</t>
        </is>
      </c>
      <c r="C187" t="inlineStr"/>
      <c r="D187" s="2" t="n">
        <v>46022</v>
      </c>
      <c r="E187" t="inlineStr">
        <is>
          <t>5Y</t>
        </is>
      </c>
      <c r="F187" t="inlineStr"/>
      <c r="G187" t="n">
        <v>1.869366313573084</v>
      </c>
      <c r="H187" t="n">
        <v>6.71419962014479</v>
      </c>
      <c r="I187" t="n">
        <v>4.763139999836619</v>
      </c>
      <c r="J187" t="n">
        <v>-1.828303311229729</v>
      </c>
      <c r="K187" t="n">
        <v>-2.637230544907632</v>
      </c>
      <c r="L187" t="n">
        <v>5.013860905021472</v>
      </c>
      <c r="M187" t="n">
        <v>4.476417270751631</v>
      </c>
      <c r="N187" t="n">
        <v>0.5374436342698408</v>
      </c>
      <c r="O187" t="inlineStr"/>
      <c r="P187" t="inlineStr">
        <is>
          <t>South Africa||5Y</t>
        </is>
      </c>
      <c r="Q187" t="inlineStr">
        <is>
          <t>South Africa|5Y</t>
        </is>
      </c>
      <c r="R187" t="inlineStr"/>
    </row>
    <row r="188">
      <c r="A188" t="inlineStr">
        <is>
          <t>South Africa</t>
        </is>
      </c>
      <c r="B188" t="inlineStr">
        <is>
          <t>ZAF</t>
        </is>
      </c>
      <c r="C188" t="inlineStr"/>
      <c r="D188" s="2" t="n">
        <v>46022</v>
      </c>
      <c r="E188" t="inlineStr">
        <is>
          <t>10Y</t>
        </is>
      </c>
      <c r="F188" t="inlineStr"/>
      <c r="G188" t="n">
        <v>0.6533111721663376</v>
      </c>
      <c r="H188" t="n">
        <v>5.703683055668485</v>
      </c>
      <c r="I188" t="n">
        <v>2.091418501604658</v>
      </c>
      <c r="J188" t="n">
        <v>-3.417349512146095</v>
      </c>
      <c r="K188" t="n">
        <v>-0.679944118789555</v>
      </c>
      <c r="L188" t="n">
        <v>4.865588149374522</v>
      </c>
      <c r="M188" t="n">
        <v>3.119152472830278</v>
      </c>
      <c r="N188" t="n">
        <v>1.746435676544245</v>
      </c>
      <c r="O188" t="inlineStr"/>
      <c r="P188" t="inlineStr">
        <is>
          <t>South Africa||10Y</t>
        </is>
      </c>
      <c r="Q188" t="inlineStr">
        <is>
          <t>South Africa|10Y</t>
        </is>
      </c>
      <c r="R188" t="inlineStr"/>
    </row>
    <row r="189">
      <c r="A189" t="inlineStr">
        <is>
          <t>South Africa</t>
        </is>
      </c>
      <c r="B189" t="inlineStr">
        <is>
          <t>ZAF</t>
        </is>
      </c>
      <c r="C189" t="inlineStr">
        <is>
          <t>IRSA.L</t>
        </is>
      </c>
      <c r="D189" s="2" t="n">
        <v>46022</v>
      </c>
      <c r="E189" t="inlineStr">
        <is>
          <t>1Y</t>
        </is>
      </c>
      <c r="F189" t="n">
        <v>75.04335635161455</v>
      </c>
      <c r="G189" t="n">
        <v>1.149</v>
      </c>
      <c r="H189" t="n">
        <v>4.70545200000001</v>
      </c>
      <c r="I189" t="n">
        <v>6.309776999999994</v>
      </c>
      <c r="J189" t="n">
        <v>1.532226590883012</v>
      </c>
      <c r="K189" t="n">
        <v>13.70593430896334</v>
      </c>
      <c r="L189" t="n">
        <v>3.359000000000001</v>
      </c>
      <c r="M189" t="n">
        <v>2.715000000000001</v>
      </c>
      <c r="N189" t="n">
        <v>0.6440000000000001</v>
      </c>
      <c r="O189" t="n">
        <v>-68.73357935161455</v>
      </c>
      <c r="P189" t="inlineStr">
        <is>
          <t>South Africa|IRSA.L|1Y</t>
        </is>
      </c>
      <c r="Q189" t="inlineStr">
        <is>
          <t>South Africa|1Y</t>
        </is>
      </c>
      <c r="R189" t="inlineStr">
        <is>
          <t>USD</t>
        </is>
      </c>
    </row>
    <row r="190">
      <c r="A190" t="inlineStr">
        <is>
          <t>South Africa</t>
        </is>
      </c>
      <c r="B190" t="inlineStr">
        <is>
          <t>ZAF</t>
        </is>
      </c>
      <c r="C190" t="inlineStr">
        <is>
          <t>IRSA.L</t>
        </is>
      </c>
      <c r="D190" s="2" t="n">
        <v>46022</v>
      </c>
      <c r="E190" t="inlineStr">
        <is>
          <t>3Y</t>
        </is>
      </c>
      <c r="F190" t="n">
        <v>23.45899194037075</v>
      </c>
      <c r="G190" t="n">
        <v>0.829687067689866</v>
      </c>
      <c r="H190" t="n">
        <v>4.913829447217033</v>
      </c>
      <c r="I190" t="n">
        <v>1.527172730413695</v>
      </c>
      <c r="J190" t="n">
        <v>-3.228036281880897</v>
      </c>
      <c r="K190" t="n">
        <v>0.6967793009640344</v>
      </c>
      <c r="L190" t="n">
        <v>4.557470533314567</v>
      </c>
      <c r="M190" t="n">
        <v>3.263156230678832</v>
      </c>
      <c r="N190" t="n">
        <v>1.294314302635735</v>
      </c>
      <c r="O190" t="n">
        <v>-21.93181920995706</v>
      </c>
      <c r="P190" t="inlineStr">
        <is>
          <t>South Africa|IRSA.L|3Y</t>
        </is>
      </c>
      <c r="Q190" t="inlineStr">
        <is>
          <t>South Africa|3Y</t>
        </is>
      </c>
      <c r="R190" t="inlineStr">
        <is>
          <t>USD</t>
        </is>
      </c>
    </row>
    <row r="191">
      <c r="A191" t="inlineStr">
        <is>
          <t>South Africa</t>
        </is>
      </c>
      <c r="B191" t="inlineStr">
        <is>
          <t>ZAF</t>
        </is>
      </c>
      <c r="C191" t="inlineStr">
        <is>
          <t>IRSA.L</t>
        </is>
      </c>
      <c r="D191" s="2" t="n">
        <v>46022</v>
      </c>
      <c r="E191" t="inlineStr">
        <is>
          <t>5Y</t>
        </is>
      </c>
      <c r="F191" t="n">
        <v>13.78060611988323</v>
      </c>
      <c r="G191" t="n">
        <v>1.869366313573084</v>
      </c>
      <c r="H191" t="n">
        <v>6.71419962014479</v>
      </c>
      <c r="I191" t="n">
        <v>4.763139999836619</v>
      </c>
      <c r="J191" t="n">
        <v>-1.828303311229729</v>
      </c>
      <c r="K191" t="n">
        <v>-2.637230544907632</v>
      </c>
      <c r="L191" t="n">
        <v>5.013860905021472</v>
      </c>
      <c r="M191" t="n">
        <v>4.476417270751631</v>
      </c>
      <c r="N191" t="n">
        <v>0.5374436342698408</v>
      </c>
      <c r="O191" t="n">
        <v>-9.017466120046613</v>
      </c>
      <c r="P191" t="inlineStr">
        <is>
          <t>South Africa|IRSA.L|5Y</t>
        </is>
      </c>
      <c r="Q191" t="inlineStr">
        <is>
          <t>South Africa|5Y</t>
        </is>
      </c>
      <c r="R191" t="inlineStr">
        <is>
          <t>USD</t>
        </is>
      </c>
    </row>
    <row r="192">
      <c r="A192" t="inlineStr">
        <is>
          <t>South Africa</t>
        </is>
      </c>
      <c r="B192" t="inlineStr">
        <is>
          <t>ZAF</t>
        </is>
      </c>
      <c r="C192" t="inlineStr">
        <is>
          <t>IRSA.L</t>
        </is>
      </c>
      <c r="D192" s="2" t="n">
        <v>46022</v>
      </c>
      <c r="E192" t="inlineStr">
        <is>
          <t>10Y</t>
        </is>
      </c>
      <c r="F192" t="n">
        <v>9.687170171223691</v>
      </c>
      <c r="G192" t="n">
        <v>0.6533111721663376</v>
      </c>
      <c r="H192" t="n">
        <v>5.703683055668485</v>
      </c>
      <c r="I192" t="n">
        <v>2.091418501604658</v>
      </c>
      <c r="J192" t="n">
        <v>-3.417349512146095</v>
      </c>
      <c r="K192" t="n">
        <v>-0.679944118789555</v>
      </c>
      <c r="L192" t="n">
        <v>4.865588149374522</v>
      </c>
      <c r="M192" t="n">
        <v>3.119152472830278</v>
      </c>
      <c r="N192" t="n">
        <v>1.746435676544245</v>
      </c>
      <c r="O192" t="n">
        <v>-7.595751669619033</v>
      </c>
      <c r="P192" t="inlineStr">
        <is>
          <t>South Africa|IRSA.L|10Y</t>
        </is>
      </c>
      <c r="Q192" t="inlineStr">
        <is>
          <t>South Africa|10Y</t>
        </is>
      </c>
      <c r="R192" t="inlineStr">
        <is>
          <t>USD</t>
        </is>
      </c>
    </row>
    <row r="193">
      <c r="A193" t="inlineStr">
        <is>
          <t>South Africa</t>
        </is>
      </c>
      <c r="B193" t="inlineStr">
        <is>
          <t>ZAF</t>
        </is>
      </c>
      <c r="C193" t="inlineStr">
        <is>
          <t>SRSA.L</t>
        </is>
      </c>
      <c r="D193" s="2" t="n">
        <v>46022</v>
      </c>
      <c r="E193" t="inlineStr">
        <is>
          <t>1Y</t>
        </is>
      </c>
      <c r="F193" t="n">
        <v>73.25046185797825</v>
      </c>
      <c r="G193" t="n">
        <v>1.149</v>
      </c>
      <c r="H193" t="n">
        <v>4.70545200000001</v>
      </c>
      <c r="I193" t="n">
        <v>6.309776999999994</v>
      </c>
      <c r="J193" t="n">
        <v>1.532226590883012</v>
      </c>
      <c r="K193" t="n">
        <v>13.70593430896334</v>
      </c>
      <c r="L193" t="n">
        <v>3.359000000000001</v>
      </c>
      <c r="M193" t="n">
        <v>2.715000000000001</v>
      </c>
      <c r="N193" t="n">
        <v>0.6440000000000001</v>
      </c>
      <c r="O193" t="n">
        <v>-66.94068485797825</v>
      </c>
      <c r="P193" t="inlineStr">
        <is>
          <t>South Africa|SRSA.L|1Y</t>
        </is>
      </c>
      <c r="Q193" t="inlineStr">
        <is>
          <t>South Africa|1Y</t>
        </is>
      </c>
      <c r="R193" t="inlineStr">
        <is>
          <t>GBp</t>
        </is>
      </c>
    </row>
    <row r="194">
      <c r="A194" t="inlineStr">
        <is>
          <t>South Africa</t>
        </is>
      </c>
      <c r="B194" t="inlineStr">
        <is>
          <t>ZAF</t>
        </is>
      </c>
      <c r="C194" t="inlineStr">
        <is>
          <t>SRSA.L</t>
        </is>
      </c>
      <c r="D194" s="2" t="n">
        <v>46022</v>
      </c>
      <c r="E194" t="inlineStr">
        <is>
          <t>3Y</t>
        </is>
      </c>
      <c r="F194" t="n">
        <v>23.15404289151002</v>
      </c>
      <c r="G194" t="n">
        <v>0.829687067689866</v>
      </c>
      <c r="H194" t="n">
        <v>4.913829447217033</v>
      </c>
      <c r="I194" t="n">
        <v>1.527172730413695</v>
      </c>
      <c r="J194" t="n">
        <v>-3.228036281880897</v>
      </c>
      <c r="K194" t="n">
        <v>0.6967793009640344</v>
      </c>
      <c r="L194" t="n">
        <v>4.557470533314567</v>
      </c>
      <c r="M194" t="n">
        <v>3.263156230678832</v>
      </c>
      <c r="N194" t="n">
        <v>1.294314302635735</v>
      </c>
      <c r="O194" t="n">
        <v>-21.62687016109632</v>
      </c>
      <c r="P194" t="inlineStr">
        <is>
          <t>South Africa|SRSA.L|3Y</t>
        </is>
      </c>
      <c r="Q194" t="inlineStr">
        <is>
          <t>South Africa|3Y</t>
        </is>
      </c>
      <c r="R194" t="inlineStr">
        <is>
          <t>GBp</t>
        </is>
      </c>
    </row>
    <row r="195">
      <c r="A195" t="inlineStr">
        <is>
          <t>South Africa</t>
        </is>
      </c>
      <c r="B195" t="inlineStr">
        <is>
          <t>ZAF</t>
        </is>
      </c>
      <c r="C195" t="inlineStr">
        <is>
          <t>SRSA.L</t>
        </is>
      </c>
      <c r="D195" s="2" t="n">
        <v>46022</v>
      </c>
      <c r="E195" t="inlineStr">
        <is>
          <t>5Y</t>
        </is>
      </c>
      <c r="F195" t="n">
        <v>13.56941057534642</v>
      </c>
      <c r="G195" t="n">
        <v>1.869366313573084</v>
      </c>
      <c r="H195" t="n">
        <v>6.71419962014479</v>
      </c>
      <c r="I195" t="n">
        <v>4.763139999836619</v>
      </c>
      <c r="J195" t="n">
        <v>-1.828303311229729</v>
      </c>
      <c r="K195" t="n">
        <v>-2.637230544907632</v>
      </c>
      <c r="L195" t="n">
        <v>5.013860905021472</v>
      </c>
      <c r="M195" t="n">
        <v>4.476417270751631</v>
      </c>
      <c r="N195" t="n">
        <v>0.5374436342698408</v>
      </c>
      <c r="O195" t="n">
        <v>-8.806270575509799</v>
      </c>
      <c r="P195" t="inlineStr">
        <is>
          <t>South Africa|SRSA.L|5Y</t>
        </is>
      </c>
      <c r="Q195" t="inlineStr">
        <is>
          <t>South Africa|5Y</t>
        </is>
      </c>
      <c r="R195" t="inlineStr">
        <is>
          <t>GBp</t>
        </is>
      </c>
    </row>
    <row r="196">
      <c r="A196" t="inlineStr">
        <is>
          <t>South Africa</t>
        </is>
      </c>
      <c r="B196" t="inlineStr">
        <is>
          <t>ZAF</t>
        </is>
      </c>
      <c r="C196" t="inlineStr">
        <is>
          <t>SRSA.L</t>
        </is>
      </c>
      <c r="D196" s="2" t="n">
        <v>46022</v>
      </c>
      <c r="E196" t="inlineStr">
        <is>
          <t>10Y</t>
        </is>
      </c>
      <c r="F196" t="n">
        <v>9.285044159321387</v>
      </c>
      <c r="G196" t="n">
        <v>0.6533111721663376</v>
      </c>
      <c r="H196" t="n">
        <v>5.703683055668485</v>
      </c>
      <c r="I196" t="n">
        <v>2.091418501604658</v>
      </c>
      <c r="J196" t="n">
        <v>-3.417349512146095</v>
      </c>
      <c r="K196" t="n">
        <v>-0.679944118789555</v>
      </c>
      <c r="L196" t="n">
        <v>4.865588149374522</v>
      </c>
      <c r="M196" t="n">
        <v>3.119152472830278</v>
      </c>
      <c r="N196" t="n">
        <v>1.746435676544245</v>
      </c>
      <c r="O196" t="n">
        <v>-7.193625657716729</v>
      </c>
      <c r="P196" t="inlineStr">
        <is>
          <t>South Africa|SRSA.L|10Y</t>
        </is>
      </c>
      <c r="Q196" t="inlineStr">
        <is>
          <t>South Africa|10Y</t>
        </is>
      </c>
      <c r="R196" t="inlineStr">
        <is>
          <t>GBp</t>
        </is>
      </c>
    </row>
    <row r="197">
      <c r="A197" t="inlineStr">
        <is>
          <t>South Korea</t>
        </is>
      </c>
      <c r="B197" t="inlineStr">
        <is>
          <t>KOR</t>
        </is>
      </c>
      <c r="C197" t="inlineStr"/>
      <c r="D197" s="2" t="n">
        <v>46022</v>
      </c>
      <c r="E197" t="inlineStr">
        <is>
          <t>1Y</t>
        </is>
      </c>
      <c r="F197" t="inlineStr"/>
      <c r="G197" t="n">
        <v>0.8960000000000079</v>
      </c>
      <c r="H197" t="n">
        <v>2.117764000000011</v>
      </c>
      <c r="I197" t="n">
        <v>-0.8966680000000005</v>
      </c>
      <c r="J197" t="n">
        <v>-2.951916938055843</v>
      </c>
      <c r="K197" t="n">
        <v>2.06977110604134</v>
      </c>
      <c r="L197" t="n">
        <v>1.991999999999994</v>
      </c>
      <c r="M197" t="n">
        <v>2.715000000000001</v>
      </c>
      <c r="N197" t="n">
        <v>-0.723000000000007</v>
      </c>
      <c r="O197" t="inlineStr"/>
      <c r="P197" t="inlineStr">
        <is>
          <t>South Korea||1Y</t>
        </is>
      </c>
      <c r="Q197" t="inlineStr">
        <is>
          <t>South Korea|1Y</t>
        </is>
      </c>
      <c r="R197" t="inlineStr"/>
    </row>
    <row r="198">
      <c r="A198" t="inlineStr">
        <is>
          <t>South Korea</t>
        </is>
      </c>
      <c r="B198" t="inlineStr">
        <is>
          <t>KOR</t>
        </is>
      </c>
      <c r="C198" t="inlineStr"/>
      <c r="D198" s="2" t="n">
        <v>46022</v>
      </c>
      <c r="E198" t="inlineStr">
        <is>
          <t>3Y</t>
        </is>
      </c>
      <c r="F198" t="inlineStr"/>
      <c r="G198" t="n">
        <v>1.493305092303054</v>
      </c>
      <c r="H198" t="n">
        <v>3.961092019769596</v>
      </c>
      <c r="I198" t="n">
        <v>1.085035519760158</v>
      </c>
      <c r="J198" t="n">
        <v>-2.766473655849044</v>
      </c>
      <c r="K198" t="n">
        <v>-4.410894491000428</v>
      </c>
      <c r="L198" t="n">
        <v>2.634672896132972</v>
      </c>
      <c r="M198" t="n">
        <v>3.263156230678832</v>
      </c>
      <c r="N198" t="n">
        <v>-0.6284833345458596</v>
      </c>
      <c r="O198" t="inlineStr"/>
      <c r="P198" t="inlineStr">
        <is>
          <t>South Korea||3Y</t>
        </is>
      </c>
      <c r="Q198" t="inlineStr">
        <is>
          <t>South Korea|3Y</t>
        </is>
      </c>
      <c r="R198" t="inlineStr"/>
    </row>
    <row r="199">
      <c r="A199" t="inlineStr">
        <is>
          <t>South Korea</t>
        </is>
      </c>
      <c r="B199" t="inlineStr">
        <is>
          <t>KOR</t>
        </is>
      </c>
      <c r="C199" t="inlineStr"/>
      <c r="D199" s="2" t="n">
        <v>46022</v>
      </c>
      <c r="E199" t="inlineStr">
        <is>
          <t>5Y</t>
        </is>
      </c>
      <c r="F199" t="inlineStr"/>
      <c r="G199" t="n">
        <v>2.356949693623722</v>
      </c>
      <c r="H199" t="n">
        <v>4.870370138951352</v>
      </c>
      <c r="I199" t="n">
        <v>1.275389793357129</v>
      </c>
      <c r="J199" t="n">
        <v>-3.42802263872809</v>
      </c>
      <c r="K199" t="n">
        <v>-5.557789736520801</v>
      </c>
      <c r="L199" t="n">
        <v>3.093626787360804</v>
      </c>
      <c r="M199" t="n">
        <v>4.476417270751631</v>
      </c>
      <c r="N199" t="n">
        <v>-1.382790483390828</v>
      </c>
      <c r="O199" t="inlineStr"/>
      <c r="P199" t="inlineStr">
        <is>
          <t>South Korea||5Y</t>
        </is>
      </c>
      <c r="Q199" t="inlineStr">
        <is>
          <t>South Korea|5Y</t>
        </is>
      </c>
      <c r="R199" t="inlineStr"/>
    </row>
    <row r="200">
      <c r="A200" t="inlineStr">
        <is>
          <t>South Korea</t>
        </is>
      </c>
      <c r="B200" t="inlineStr">
        <is>
          <t>KOR</t>
        </is>
      </c>
      <c r="C200" t="inlineStr"/>
      <c r="D200" s="2" t="n">
        <v>46022</v>
      </c>
      <c r="E200" t="inlineStr">
        <is>
          <t>10Y</t>
        </is>
      </c>
      <c r="F200" t="inlineStr"/>
      <c r="G200" t="n">
        <v>2.312115483549904</v>
      </c>
      <c r="H200" t="n">
        <v>4.137342685457113</v>
      </c>
      <c r="I200" t="n">
        <v>1.903263894932894</v>
      </c>
      <c r="J200" t="n">
        <v>-2.145319413731539</v>
      </c>
      <c r="K200" t="n">
        <v>-2.045366150062933</v>
      </c>
      <c r="L200" t="n">
        <v>2.072115344123593</v>
      </c>
      <c r="M200" t="n">
        <v>3.119152472830278</v>
      </c>
      <c r="N200" t="n">
        <v>-1.047037128706685</v>
      </c>
      <c r="O200" t="inlineStr"/>
      <c r="P200" t="inlineStr">
        <is>
          <t>South Korea||10Y</t>
        </is>
      </c>
      <c r="Q200" t="inlineStr">
        <is>
          <t>South Korea|10Y</t>
        </is>
      </c>
      <c r="R200" t="inlineStr"/>
    </row>
    <row r="201">
      <c r="A201" t="inlineStr">
        <is>
          <t>South Korea</t>
        </is>
      </c>
      <c r="B201" t="inlineStr">
        <is>
          <t>KOR</t>
        </is>
      </c>
      <c r="C201" t="inlineStr">
        <is>
          <t>CSKR.L</t>
        </is>
      </c>
      <c r="D201" s="2" t="n">
        <v>46022</v>
      </c>
      <c r="E201" t="inlineStr">
        <is>
          <t>1Y</t>
        </is>
      </c>
      <c r="F201" t="n">
        <v>99.25350103748991</v>
      </c>
      <c r="G201" t="n">
        <v>0.8960000000000079</v>
      </c>
      <c r="H201" t="n">
        <v>2.117764000000011</v>
      </c>
      <c r="I201" t="n">
        <v>-0.8966680000000005</v>
      </c>
      <c r="J201" t="n">
        <v>-2.951916938055843</v>
      </c>
      <c r="K201" t="n">
        <v>2.06977110604134</v>
      </c>
      <c r="L201" t="n">
        <v>1.991999999999994</v>
      </c>
      <c r="M201" t="n">
        <v>2.715000000000001</v>
      </c>
      <c r="N201" t="n">
        <v>-0.723000000000007</v>
      </c>
      <c r="O201" t="n">
        <v>-100.1501690374899</v>
      </c>
      <c r="P201" t="inlineStr">
        <is>
          <t>South Korea|CSKR.L|1Y</t>
        </is>
      </c>
      <c r="Q201" t="inlineStr">
        <is>
          <t>South Korea|1Y</t>
        </is>
      </c>
      <c r="R201" t="inlineStr">
        <is>
          <t>USD</t>
        </is>
      </c>
    </row>
    <row r="202">
      <c r="A202" t="inlineStr">
        <is>
          <t>South Korea</t>
        </is>
      </c>
      <c r="B202" t="inlineStr">
        <is>
          <t>KOR</t>
        </is>
      </c>
      <c r="C202" t="inlineStr">
        <is>
          <t>CSKR.L</t>
        </is>
      </c>
      <c r="D202" s="2" t="n">
        <v>46022</v>
      </c>
      <c r="E202" t="inlineStr">
        <is>
          <t>3Y</t>
        </is>
      </c>
      <c r="F202" t="n">
        <v>23.80187708799604</v>
      </c>
      <c r="G202" t="n">
        <v>1.493305092303054</v>
      </c>
      <c r="H202" t="n">
        <v>3.961092019769596</v>
      </c>
      <c r="I202" t="n">
        <v>1.085035519760158</v>
      </c>
      <c r="J202" t="n">
        <v>-2.766473655849044</v>
      </c>
      <c r="K202" t="n">
        <v>-4.410894491000428</v>
      </c>
      <c r="L202" t="n">
        <v>2.634672896132972</v>
      </c>
      <c r="M202" t="n">
        <v>3.263156230678832</v>
      </c>
      <c r="N202" t="n">
        <v>-0.6284833345458596</v>
      </c>
      <c r="O202" t="n">
        <v>-22.71684156823588</v>
      </c>
      <c r="P202" t="inlineStr">
        <is>
          <t>South Korea|CSKR.L|3Y</t>
        </is>
      </c>
      <c r="Q202" t="inlineStr">
        <is>
          <t>South Korea|3Y</t>
        </is>
      </c>
      <c r="R202" t="inlineStr">
        <is>
          <t>USD</t>
        </is>
      </c>
    </row>
    <row r="203">
      <c r="A203" t="inlineStr">
        <is>
          <t>South Korea</t>
        </is>
      </c>
      <c r="B203" t="inlineStr">
        <is>
          <t>KOR</t>
        </is>
      </c>
      <c r="C203" t="inlineStr">
        <is>
          <t>CSKR.L</t>
        </is>
      </c>
      <c r="D203" s="2" t="n">
        <v>46022</v>
      </c>
      <c r="E203" t="inlineStr">
        <is>
          <t>5Y</t>
        </is>
      </c>
      <c r="F203" t="n">
        <v>3.410536753221516</v>
      </c>
      <c r="G203" t="n">
        <v>2.356949693623722</v>
      </c>
      <c r="H203" t="n">
        <v>4.870370138951352</v>
      </c>
      <c r="I203" t="n">
        <v>1.275389793357129</v>
      </c>
      <c r="J203" t="n">
        <v>-3.42802263872809</v>
      </c>
      <c r="K203" t="n">
        <v>-5.557789736520801</v>
      </c>
      <c r="L203" t="n">
        <v>3.093626787360804</v>
      </c>
      <c r="M203" t="n">
        <v>4.476417270751631</v>
      </c>
      <c r="N203" t="n">
        <v>-1.382790483390828</v>
      </c>
      <c r="O203" t="n">
        <v>-2.135146959864387</v>
      </c>
      <c r="P203" t="inlineStr">
        <is>
          <t>South Korea|CSKR.L|5Y</t>
        </is>
      </c>
      <c r="Q203" t="inlineStr">
        <is>
          <t>South Korea|5Y</t>
        </is>
      </c>
      <c r="R203" t="inlineStr">
        <is>
          <t>USD</t>
        </is>
      </c>
    </row>
    <row r="204">
      <c r="A204" t="inlineStr">
        <is>
          <t>South Korea</t>
        </is>
      </c>
      <c r="B204" t="inlineStr">
        <is>
          <t>KOR</t>
        </is>
      </c>
      <c r="C204" t="inlineStr">
        <is>
          <t>CSKR.L</t>
        </is>
      </c>
      <c r="D204" s="2" t="n">
        <v>46022</v>
      </c>
      <c r="E204" t="inlineStr">
        <is>
          <t>10Y</t>
        </is>
      </c>
      <c r="F204" t="n">
        <v>9.786754183672386</v>
      </c>
      <c r="G204" t="n">
        <v>2.312115483549904</v>
      </c>
      <c r="H204" t="n">
        <v>4.137342685457113</v>
      </c>
      <c r="I204" t="n">
        <v>1.903263894932894</v>
      </c>
      <c r="J204" t="n">
        <v>-2.145319413731539</v>
      </c>
      <c r="K204" t="n">
        <v>-2.045366150062933</v>
      </c>
      <c r="L204" t="n">
        <v>2.072115344123593</v>
      </c>
      <c r="M204" t="n">
        <v>3.119152472830278</v>
      </c>
      <c r="N204" t="n">
        <v>-1.047037128706685</v>
      </c>
      <c r="O204" t="n">
        <v>-7.883490288739492</v>
      </c>
      <c r="P204" t="inlineStr">
        <is>
          <t>South Korea|CSKR.L|10Y</t>
        </is>
      </c>
      <c r="Q204" t="inlineStr">
        <is>
          <t>South Korea|10Y</t>
        </is>
      </c>
      <c r="R204" t="inlineStr">
        <is>
          <t>USD</t>
        </is>
      </c>
    </row>
    <row r="205">
      <c r="A205" t="inlineStr">
        <is>
          <t>Spain</t>
        </is>
      </c>
      <c r="B205" t="inlineStr">
        <is>
          <t>ESP</t>
        </is>
      </c>
      <c r="C205" t="inlineStr"/>
      <c r="D205" s="2" t="n">
        <v>46022</v>
      </c>
      <c r="E205" t="inlineStr">
        <is>
          <t>1Y</t>
        </is>
      </c>
      <c r="F205" t="inlineStr"/>
      <c r="G205" t="n">
        <v>2.907999999999999</v>
      </c>
      <c r="H205" t="n">
        <v>5.025308000000006</v>
      </c>
      <c r="I205" t="n">
        <v>9.635035000000002</v>
      </c>
      <c r="J205" t="n">
        <v>4.389157898815155</v>
      </c>
      <c r="K205" t="n">
        <v>13.51067566275939</v>
      </c>
      <c r="L205" t="n">
        <v>2.359</v>
      </c>
      <c r="M205" t="n">
        <v>2.715000000000001</v>
      </c>
      <c r="N205" t="n">
        <v>-0.3560000000000008</v>
      </c>
      <c r="O205" t="inlineStr"/>
      <c r="P205" t="inlineStr">
        <is>
          <t>Spain||1Y</t>
        </is>
      </c>
      <c r="Q205" t="inlineStr">
        <is>
          <t>Spain|1Y</t>
        </is>
      </c>
      <c r="R205" t="inlineStr"/>
    </row>
    <row r="206">
      <c r="A206" t="inlineStr">
        <is>
          <t>Spain</t>
        </is>
      </c>
      <c r="B206" t="inlineStr">
        <is>
          <t>ESP</t>
        </is>
      </c>
      <c r="C206" t="inlineStr"/>
      <c r="D206" s="2" t="n">
        <v>46022</v>
      </c>
      <c r="E206" t="inlineStr">
        <is>
          <t>3Y</t>
        </is>
      </c>
      <c r="F206" t="inlineStr"/>
      <c r="G206" t="n">
        <v>2.940531049927553</v>
      </c>
      <c r="H206" t="n">
        <v>6.765841907431169</v>
      </c>
      <c r="I206" t="n">
        <v>9.26235901856456</v>
      </c>
      <c r="J206" t="n">
        <v>2.33831032441274</v>
      </c>
      <c r="K206" t="n">
        <v>3.139608669247629</v>
      </c>
      <c r="L206" t="n">
        <v>2.874455401139175</v>
      </c>
      <c r="M206" t="n">
        <v>3.263156230678832</v>
      </c>
      <c r="N206" t="n">
        <v>-0.3887008295396566</v>
      </c>
      <c r="O206" t="inlineStr"/>
      <c r="P206" t="inlineStr">
        <is>
          <t>Spain||3Y</t>
        </is>
      </c>
      <c r="Q206" t="inlineStr">
        <is>
          <t>Spain|3Y</t>
        </is>
      </c>
      <c r="R206" t="inlineStr"/>
    </row>
    <row r="207">
      <c r="A207" t="inlineStr">
        <is>
          <t>Spain</t>
        </is>
      </c>
      <c r="B207" t="inlineStr">
        <is>
          <t>ESP</t>
        </is>
      </c>
      <c r="C207" t="inlineStr"/>
      <c r="D207" s="2" t="n">
        <v>46022</v>
      </c>
      <c r="E207" t="inlineStr">
        <is>
          <t>5Y</t>
        </is>
      </c>
      <c r="F207" t="inlineStr"/>
      <c r="G207" t="n">
        <v>4.360155714568359</v>
      </c>
      <c r="H207" t="n">
        <v>8.197987950592477</v>
      </c>
      <c r="I207" t="n">
        <v>7.974584615464853</v>
      </c>
      <c r="J207" t="n">
        <v>-0.2064766837979848</v>
      </c>
      <c r="K207" t="n">
        <v>-0.7159122239312588</v>
      </c>
      <c r="L207" t="n">
        <v>3.968758090700719</v>
      </c>
      <c r="M207" t="n">
        <v>4.476417270751631</v>
      </c>
      <c r="N207" t="n">
        <v>-0.5076591800509123</v>
      </c>
      <c r="O207" t="inlineStr"/>
      <c r="P207" t="inlineStr">
        <is>
          <t>Spain||5Y</t>
        </is>
      </c>
      <c r="Q207" t="inlineStr">
        <is>
          <t>Spain|5Y</t>
        </is>
      </c>
      <c r="R207" t="inlineStr"/>
    </row>
    <row r="208">
      <c r="A208" t="inlineStr">
        <is>
          <t>Spain</t>
        </is>
      </c>
      <c r="B208" t="inlineStr">
        <is>
          <t>ESP</t>
        </is>
      </c>
      <c r="C208" t="inlineStr"/>
      <c r="D208" s="2" t="n">
        <v>46022</v>
      </c>
      <c r="E208" t="inlineStr">
        <is>
          <t>10Y</t>
        </is>
      </c>
      <c r="F208" t="inlineStr"/>
      <c r="G208" t="n">
        <v>1.998698218618267</v>
      </c>
      <c r="H208" t="n">
        <v>4.41425375852782</v>
      </c>
      <c r="I208" t="n">
        <v>4.600222325606351</v>
      </c>
      <c r="J208" t="n">
        <v>0.1781064385509401</v>
      </c>
      <c r="K208" t="n">
        <v>0.7920521518232082</v>
      </c>
      <c r="L208" t="n">
        <v>2.357215538073154</v>
      </c>
      <c r="M208" t="n">
        <v>3.119152472830278</v>
      </c>
      <c r="N208" t="n">
        <v>-0.7619369347571237</v>
      </c>
      <c r="O208" t="inlineStr"/>
      <c r="P208" t="inlineStr">
        <is>
          <t>Spain||10Y</t>
        </is>
      </c>
      <c r="Q208" t="inlineStr">
        <is>
          <t>Spain|10Y</t>
        </is>
      </c>
      <c r="R208" t="inlineStr"/>
    </row>
    <row r="209">
      <c r="A209" t="inlineStr">
        <is>
          <t>Spain</t>
        </is>
      </c>
      <c r="B209" t="inlineStr">
        <is>
          <t>ESP</t>
        </is>
      </c>
      <c r="C209" t="inlineStr">
        <is>
          <t>XESP.DE</t>
        </is>
      </c>
      <c r="D209" s="2" t="n">
        <v>46021</v>
      </c>
      <c r="E209" t="inlineStr">
        <is>
          <t>1Y</t>
        </is>
      </c>
      <c r="F209" t="n">
        <v>78.29547143122741</v>
      </c>
      <c r="G209" t="n">
        <v>2.907999999999999</v>
      </c>
      <c r="H209" t="n">
        <v>5.025308000000006</v>
      </c>
      <c r="I209" t="n">
        <v>9.635035000000002</v>
      </c>
      <c r="J209" t="n">
        <v>4.389157898815155</v>
      </c>
      <c r="K209" t="n">
        <v>13.51067566275939</v>
      </c>
      <c r="L209" t="n">
        <v>2.359</v>
      </c>
      <c r="M209" t="n">
        <v>2.715000000000001</v>
      </c>
      <c r="N209" t="n">
        <v>-0.3560000000000008</v>
      </c>
      <c r="O209" t="n">
        <v>-68.66043643122741</v>
      </c>
      <c r="P209" t="inlineStr">
        <is>
          <t>Spain|XESP.DE|1Y</t>
        </is>
      </c>
      <c r="Q209" t="inlineStr">
        <is>
          <t>Spain|1Y</t>
        </is>
      </c>
      <c r="R209" t="inlineStr">
        <is>
          <t>EUR</t>
        </is>
      </c>
    </row>
    <row r="210">
      <c r="A210" t="inlineStr">
        <is>
          <t>Spain</t>
        </is>
      </c>
      <c r="B210" t="inlineStr">
        <is>
          <t>ESP</t>
        </is>
      </c>
      <c r="C210" t="inlineStr">
        <is>
          <t>XESP.DE</t>
        </is>
      </c>
      <c r="D210" s="2" t="n">
        <v>46021</v>
      </c>
      <c r="E210" t="inlineStr">
        <is>
          <t>3Y</t>
        </is>
      </c>
      <c r="F210" t="n">
        <v>35.78194724975674</v>
      </c>
      <c r="G210" t="n">
        <v>2.940531049927553</v>
      </c>
      <c r="H210" t="n">
        <v>6.765841907431169</v>
      </c>
      <c r="I210" t="n">
        <v>9.26235901856456</v>
      </c>
      <c r="J210" t="n">
        <v>2.33831032441274</v>
      </c>
      <c r="K210" t="n">
        <v>3.139608669247629</v>
      </c>
      <c r="L210" t="n">
        <v>2.874455401139175</v>
      </c>
      <c r="M210" t="n">
        <v>3.263156230678832</v>
      </c>
      <c r="N210" t="n">
        <v>-0.3887008295396566</v>
      </c>
      <c r="O210" t="n">
        <v>-26.51958823119218</v>
      </c>
      <c r="P210" t="inlineStr">
        <is>
          <t>Spain|XESP.DE|3Y</t>
        </is>
      </c>
      <c r="Q210" t="inlineStr">
        <is>
          <t>Spain|3Y</t>
        </is>
      </c>
      <c r="R210" t="inlineStr">
        <is>
          <t>EUR</t>
        </is>
      </c>
    </row>
    <row r="211">
      <c r="A211" t="inlineStr">
        <is>
          <t>Spain</t>
        </is>
      </c>
      <c r="B211" t="inlineStr">
        <is>
          <t>ESP</t>
        </is>
      </c>
      <c r="C211" t="inlineStr">
        <is>
          <t>XESP.DE</t>
        </is>
      </c>
      <c r="D211" s="2" t="n">
        <v>46021</v>
      </c>
      <c r="E211" t="inlineStr">
        <is>
          <t>5Y</t>
        </is>
      </c>
      <c r="F211" t="n">
        <v>19.57142939342942</v>
      </c>
      <c r="G211" t="n">
        <v>4.360155714568359</v>
      </c>
      <c r="H211" t="n">
        <v>8.197987950592477</v>
      </c>
      <c r="I211" t="n">
        <v>7.974584615464853</v>
      </c>
      <c r="J211" t="n">
        <v>-0.2064766837979848</v>
      </c>
      <c r="K211" t="n">
        <v>-0.7159122239312588</v>
      </c>
      <c r="L211" t="n">
        <v>3.968758090700719</v>
      </c>
      <c r="M211" t="n">
        <v>4.476417270751631</v>
      </c>
      <c r="N211" t="n">
        <v>-0.5076591800509123</v>
      </c>
      <c r="O211" t="n">
        <v>-11.59684477796457</v>
      </c>
      <c r="P211" t="inlineStr">
        <is>
          <t>Spain|XESP.DE|5Y</t>
        </is>
      </c>
      <c r="Q211" t="inlineStr">
        <is>
          <t>Spain|5Y</t>
        </is>
      </c>
      <c r="R211" t="inlineStr">
        <is>
          <t>EUR</t>
        </is>
      </c>
    </row>
    <row r="212">
      <c r="A212" t="inlineStr">
        <is>
          <t>Spain</t>
        </is>
      </c>
      <c r="B212" t="inlineStr">
        <is>
          <t>ESP</t>
        </is>
      </c>
      <c r="C212" t="inlineStr">
        <is>
          <t>XESP.DE</t>
        </is>
      </c>
      <c r="D212" s="2" t="n">
        <v>46021</v>
      </c>
      <c r="E212" t="inlineStr">
        <is>
          <t>10Y</t>
        </is>
      </c>
      <c r="F212" t="n">
        <v>11.36949194228052</v>
      </c>
      <c r="G212" t="n">
        <v>1.998698218618267</v>
      </c>
      <c r="H212" t="n">
        <v>4.41425375852782</v>
      </c>
      <c r="I212" t="n">
        <v>4.600222325606351</v>
      </c>
      <c r="J212" t="n">
        <v>0.1781064385509401</v>
      </c>
      <c r="K212" t="n">
        <v>0.7920521518232082</v>
      </c>
      <c r="L212" t="n">
        <v>2.357215538073154</v>
      </c>
      <c r="M212" t="n">
        <v>3.119152472830278</v>
      </c>
      <c r="N212" t="n">
        <v>-0.7619369347571237</v>
      </c>
      <c r="O212" t="n">
        <v>-6.769269616674167</v>
      </c>
      <c r="P212" t="inlineStr">
        <is>
          <t>Spain|XESP.DE|10Y</t>
        </is>
      </c>
      <c r="Q212" t="inlineStr">
        <is>
          <t>Spain|10Y</t>
        </is>
      </c>
      <c r="R212" t="inlineStr">
        <is>
          <t>EUR</t>
        </is>
      </c>
    </row>
    <row r="213">
      <c r="A213" t="inlineStr">
        <is>
          <t>Sweden</t>
        </is>
      </c>
      <c r="B213" t="inlineStr">
        <is>
          <t>SWE</t>
        </is>
      </c>
      <c r="C213" t="inlineStr"/>
      <c r="D213" s="2" t="n">
        <v>46022</v>
      </c>
      <c r="E213" t="inlineStr">
        <is>
          <t>1Y</t>
        </is>
      </c>
      <c r="F213" t="inlineStr"/>
      <c r="G213" t="n">
        <v>0.7500000000000062</v>
      </c>
      <c r="H213" t="n">
        <v>2.432129000000005</v>
      </c>
      <c r="I213" t="n">
        <v>9.70706400000001</v>
      </c>
      <c r="J213" t="n">
        <v>7.102200288066274</v>
      </c>
      <c r="K213" t="n">
        <v>20.05199075555508</v>
      </c>
      <c r="L213" t="n">
        <v>2.306000000000008</v>
      </c>
      <c r="M213" t="n">
        <v>2.715000000000001</v>
      </c>
      <c r="N213" t="n">
        <v>-0.4089999999999927</v>
      </c>
      <c r="O213" t="inlineStr"/>
      <c r="P213" t="inlineStr">
        <is>
          <t>Sweden||1Y</t>
        </is>
      </c>
      <c r="Q213" t="inlineStr">
        <is>
          <t>Sweden|1Y</t>
        </is>
      </c>
      <c r="R213" t="inlineStr"/>
    </row>
    <row r="214">
      <c r="A214" t="inlineStr">
        <is>
          <t>Sweden</t>
        </is>
      </c>
      <c r="B214" t="inlineStr">
        <is>
          <t>SWE</t>
        </is>
      </c>
      <c r="C214" t="inlineStr"/>
      <c r="D214" s="2" t="n">
        <v>46022</v>
      </c>
      <c r="E214" t="inlineStr">
        <is>
          <t>3Y</t>
        </is>
      </c>
      <c r="F214" t="inlineStr"/>
      <c r="G214" t="n">
        <v>0.4542450414806831</v>
      </c>
      <c r="H214" t="n">
        <v>3.959361240613513</v>
      </c>
      <c r="I214" t="n">
        <v>4.821015691858244</v>
      </c>
      <c r="J214" t="n">
        <v>0.8288379995900375</v>
      </c>
      <c r="K214" t="n">
        <v>4.20500822310208</v>
      </c>
      <c r="L214" t="n">
        <v>3.391235466250642</v>
      </c>
      <c r="M214" t="n">
        <v>3.263156230678832</v>
      </c>
      <c r="N214" t="n">
        <v>0.1280792355718097</v>
      </c>
      <c r="O214" t="inlineStr"/>
      <c r="P214" t="inlineStr">
        <is>
          <t>Sweden||3Y</t>
        </is>
      </c>
      <c r="Q214" t="inlineStr">
        <is>
          <t>Sweden|3Y</t>
        </is>
      </c>
      <c r="R214" t="inlineStr"/>
    </row>
    <row r="215">
      <c r="A215" t="inlineStr">
        <is>
          <t>Sweden</t>
        </is>
      </c>
      <c r="B215" t="inlineStr">
        <is>
          <t>SWE</t>
        </is>
      </c>
      <c r="C215" t="inlineStr"/>
      <c r="D215" s="2" t="n">
        <v>46022</v>
      </c>
      <c r="E215" t="inlineStr">
        <is>
          <t>5Y</t>
        </is>
      </c>
      <c r="F215" t="inlineStr"/>
      <c r="G215" t="n">
        <v>1.5520943328027</v>
      </c>
      <c r="H215" t="n">
        <v>5.446509835445701</v>
      </c>
      <c r="I215" t="n">
        <v>4.004246220294672</v>
      </c>
      <c r="J215" t="n">
        <v>-1.367767995517144</v>
      </c>
      <c r="K215" t="n">
        <v>-2.366003722647869</v>
      </c>
      <c r="L215" t="n">
        <v>4.158399815340341</v>
      </c>
      <c r="M215" t="n">
        <v>4.476417270751631</v>
      </c>
      <c r="N215" t="n">
        <v>-0.3180174554112902</v>
      </c>
      <c r="O215" t="inlineStr"/>
      <c r="P215" t="inlineStr">
        <is>
          <t>Sweden||5Y</t>
        </is>
      </c>
      <c r="Q215" t="inlineStr">
        <is>
          <t>Sweden|5Y</t>
        </is>
      </c>
      <c r="R215" t="inlineStr"/>
    </row>
    <row r="216">
      <c r="A216" t="inlineStr">
        <is>
          <t>Sweden</t>
        </is>
      </c>
      <c r="B216" t="inlineStr">
        <is>
          <t>SWE</t>
        </is>
      </c>
      <c r="C216" t="inlineStr"/>
      <c r="D216" s="2" t="n">
        <v>46022</v>
      </c>
      <c r="E216" t="inlineStr">
        <is>
          <t>10Y</t>
        </is>
      </c>
      <c r="F216" t="inlineStr"/>
      <c r="G216" t="n">
        <v>1.415028937020568</v>
      </c>
      <c r="H216" t="n">
        <v>4.443393256159789</v>
      </c>
      <c r="I216" t="n">
        <v>2.818373558130216</v>
      </c>
      <c r="J216" t="n">
        <v>-1.555885593159678</v>
      </c>
      <c r="K216" t="n">
        <v>-0.8544216162892027</v>
      </c>
      <c r="L216" t="n">
        <v>2.812359501125994</v>
      </c>
      <c r="M216" t="n">
        <v>3.119152472830278</v>
      </c>
      <c r="N216" t="n">
        <v>-0.3067929717042839</v>
      </c>
      <c r="O216" t="inlineStr"/>
      <c r="P216" t="inlineStr">
        <is>
          <t>Sweden||10Y</t>
        </is>
      </c>
      <c r="Q216" t="inlineStr">
        <is>
          <t>Sweden|10Y</t>
        </is>
      </c>
      <c r="R216" t="inlineStr"/>
    </row>
    <row r="217">
      <c r="A217" t="inlineStr">
        <is>
          <t>Sweden</t>
        </is>
      </c>
      <c r="B217" t="inlineStr">
        <is>
          <t>SWE</t>
        </is>
      </c>
      <c r="C217" t="inlineStr">
        <is>
          <t>EWD</t>
        </is>
      </c>
      <c r="D217" s="2" t="n">
        <v>46022</v>
      </c>
      <c r="E217" t="inlineStr">
        <is>
          <t>1Y</t>
        </is>
      </c>
      <c r="F217" t="n">
        <v>36.17857070499866</v>
      </c>
      <c r="G217" t="n">
        <v>0.7500000000000062</v>
      </c>
      <c r="H217" t="n">
        <v>2.432129000000005</v>
      </c>
      <c r="I217" t="n">
        <v>9.70706400000001</v>
      </c>
      <c r="J217" t="n">
        <v>7.102200288066274</v>
      </c>
      <c r="K217" t="n">
        <v>20.05199075555508</v>
      </c>
      <c r="L217" t="n">
        <v>2.306000000000008</v>
      </c>
      <c r="M217" t="n">
        <v>2.715000000000001</v>
      </c>
      <c r="N217" t="n">
        <v>-0.4089999999999927</v>
      </c>
      <c r="O217" t="n">
        <v>-26.47150670499865</v>
      </c>
      <c r="P217" t="inlineStr">
        <is>
          <t>Sweden|EWD|1Y</t>
        </is>
      </c>
      <c r="Q217" t="inlineStr">
        <is>
          <t>Sweden|1Y</t>
        </is>
      </c>
      <c r="R217" t="inlineStr">
        <is>
          <t>USD</t>
        </is>
      </c>
    </row>
    <row r="218">
      <c r="A218" t="inlineStr">
        <is>
          <t>Sweden</t>
        </is>
      </c>
      <c r="B218" t="inlineStr">
        <is>
          <t>SWE</t>
        </is>
      </c>
      <c r="C218" t="inlineStr">
        <is>
          <t>EWD</t>
        </is>
      </c>
      <c r="D218" s="2" t="n">
        <v>46022</v>
      </c>
      <c r="E218" t="inlineStr">
        <is>
          <t>3Y</t>
        </is>
      </c>
      <c r="F218" t="n">
        <v>17.50588658274264</v>
      </c>
      <c r="G218" t="n">
        <v>0.4542450414806831</v>
      </c>
      <c r="H218" t="n">
        <v>3.959361240613513</v>
      </c>
      <c r="I218" t="n">
        <v>4.821015691858244</v>
      </c>
      <c r="J218" t="n">
        <v>0.8288379995900375</v>
      </c>
      <c r="K218" t="n">
        <v>4.20500822310208</v>
      </c>
      <c r="L218" t="n">
        <v>3.391235466250642</v>
      </c>
      <c r="M218" t="n">
        <v>3.263156230678832</v>
      </c>
      <c r="N218" t="n">
        <v>0.1280792355718097</v>
      </c>
      <c r="O218" t="n">
        <v>-12.68487089088439</v>
      </c>
      <c r="P218" t="inlineStr">
        <is>
          <t>Sweden|EWD|3Y</t>
        </is>
      </c>
      <c r="Q218" t="inlineStr">
        <is>
          <t>Sweden|3Y</t>
        </is>
      </c>
      <c r="R218" t="inlineStr">
        <is>
          <t>USD</t>
        </is>
      </c>
    </row>
    <row r="219">
      <c r="A219" t="inlineStr">
        <is>
          <t>Sweden</t>
        </is>
      </c>
      <c r="B219" t="inlineStr">
        <is>
          <t>SWE</t>
        </is>
      </c>
      <c r="C219" t="inlineStr">
        <is>
          <t>EWD</t>
        </is>
      </c>
      <c r="D219" s="2" t="n">
        <v>46022</v>
      </c>
      <c r="E219" t="inlineStr">
        <is>
          <t>5Y</t>
        </is>
      </c>
      <c r="F219" t="n">
        <v>7.512530434733256</v>
      </c>
      <c r="G219" t="n">
        <v>1.5520943328027</v>
      </c>
      <c r="H219" t="n">
        <v>5.446509835445701</v>
      </c>
      <c r="I219" t="n">
        <v>4.004246220294672</v>
      </c>
      <c r="J219" t="n">
        <v>-1.367767995517144</v>
      </c>
      <c r="K219" t="n">
        <v>-2.366003722647869</v>
      </c>
      <c r="L219" t="n">
        <v>4.158399815340341</v>
      </c>
      <c r="M219" t="n">
        <v>4.476417270751631</v>
      </c>
      <c r="N219" t="n">
        <v>-0.3180174554112902</v>
      </c>
      <c r="O219" t="n">
        <v>-3.508284214438584</v>
      </c>
      <c r="P219" t="inlineStr">
        <is>
          <t>Sweden|EWD|5Y</t>
        </is>
      </c>
      <c r="Q219" t="inlineStr">
        <is>
          <t>Sweden|5Y</t>
        </is>
      </c>
      <c r="R219" t="inlineStr">
        <is>
          <t>USD</t>
        </is>
      </c>
    </row>
    <row r="220">
      <c r="A220" t="inlineStr">
        <is>
          <t>Sweden</t>
        </is>
      </c>
      <c r="B220" t="inlineStr">
        <is>
          <t>SWE</t>
        </is>
      </c>
      <c r="C220" t="inlineStr">
        <is>
          <t>EWD</t>
        </is>
      </c>
      <c r="D220" s="2" t="n">
        <v>46022</v>
      </c>
      <c r="E220" t="inlineStr">
        <is>
          <t>10Y</t>
        </is>
      </c>
      <c r="F220" t="n">
        <v>9.1727626037591</v>
      </c>
      <c r="G220" t="n">
        <v>1.415028937020568</v>
      </c>
      <c r="H220" t="n">
        <v>4.443393256159789</v>
      </c>
      <c r="I220" t="n">
        <v>2.818373558130216</v>
      </c>
      <c r="J220" t="n">
        <v>-1.555885593159678</v>
      </c>
      <c r="K220" t="n">
        <v>-0.8544216162892027</v>
      </c>
      <c r="L220" t="n">
        <v>2.812359501125994</v>
      </c>
      <c r="M220" t="n">
        <v>3.119152472830278</v>
      </c>
      <c r="N220" t="n">
        <v>-0.3067929717042839</v>
      </c>
      <c r="O220" t="n">
        <v>-6.354389045628884</v>
      </c>
      <c r="P220" t="inlineStr">
        <is>
          <t>Sweden|EWD|10Y</t>
        </is>
      </c>
      <c r="Q220" t="inlineStr">
        <is>
          <t>Sweden|10Y</t>
        </is>
      </c>
      <c r="R220" t="inlineStr">
        <is>
          <t>USD</t>
        </is>
      </c>
    </row>
    <row r="221">
      <c r="A221" t="inlineStr">
        <is>
          <t>Switzerland</t>
        </is>
      </c>
      <c r="B221" t="inlineStr">
        <is>
          <t>CHE</t>
        </is>
      </c>
      <c r="C221" t="inlineStr"/>
      <c r="D221" s="2" t="n">
        <v>46022</v>
      </c>
      <c r="E221" t="inlineStr">
        <is>
          <t>1Y</t>
        </is>
      </c>
      <c r="F221" t="inlineStr"/>
      <c r="G221" t="n">
        <v>0.9460000000000024</v>
      </c>
      <c r="H221" t="n">
        <v>1.031491999999989</v>
      </c>
      <c r="I221" t="n">
        <v>6.876597000000007</v>
      </c>
      <c r="J221" t="n">
        <v>5.785428671851567</v>
      </c>
      <c r="K221" t="n">
        <v>14.61056742277083</v>
      </c>
      <c r="L221" t="n">
        <v>0.1419999999999977</v>
      </c>
      <c r="M221" t="n">
        <v>2.715000000000001</v>
      </c>
      <c r="N221" t="n">
        <v>-2.573000000000003</v>
      </c>
      <c r="O221" t="inlineStr"/>
      <c r="P221" t="inlineStr">
        <is>
          <t>Switzerland||1Y</t>
        </is>
      </c>
      <c r="Q221" t="inlineStr">
        <is>
          <t>Switzerland|1Y</t>
        </is>
      </c>
      <c r="R221" t="inlineStr"/>
    </row>
    <row r="222">
      <c r="A222" t="inlineStr">
        <is>
          <t>Switzerland</t>
        </is>
      </c>
      <c r="B222" t="inlineStr">
        <is>
          <t>CHE</t>
        </is>
      </c>
      <c r="C222" t="inlineStr"/>
      <c r="D222" s="2" t="n">
        <v>46022</v>
      </c>
      <c r="E222" t="inlineStr">
        <is>
          <t>3Y</t>
        </is>
      </c>
      <c r="F222" t="inlineStr"/>
      <c r="G222" t="n">
        <v>1.014998373451514</v>
      </c>
      <c r="H222" t="n">
        <v>1.79693154984033</v>
      </c>
      <c r="I222" t="n">
        <v>6.566079289818028</v>
      </c>
      <c r="J222" t="n">
        <v>4.684962106572099</v>
      </c>
      <c r="K222" t="n">
        <v>5.263734642195783</v>
      </c>
      <c r="L222" t="n">
        <v>1.109054521385811</v>
      </c>
      <c r="M222" t="n">
        <v>3.263156230678832</v>
      </c>
      <c r="N222" t="n">
        <v>-2.154101709293021</v>
      </c>
      <c r="O222" t="inlineStr"/>
      <c r="P222" t="inlineStr">
        <is>
          <t>Switzerland||3Y</t>
        </is>
      </c>
      <c r="Q222" t="inlineStr">
        <is>
          <t>Switzerland|3Y</t>
        </is>
      </c>
      <c r="R222" t="inlineStr"/>
    </row>
    <row r="223">
      <c r="A223" t="inlineStr">
        <is>
          <t>Switzerland</t>
        </is>
      </c>
      <c r="B223" t="inlineStr">
        <is>
          <t>CHE</t>
        </is>
      </c>
      <c r="C223" t="inlineStr"/>
      <c r="D223" s="2" t="n">
        <v>46022</v>
      </c>
      <c r="E223" t="inlineStr">
        <is>
          <t>5Y</t>
        </is>
      </c>
      <c r="F223" t="inlineStr"/>
      <c r="G223" t="n">
        <v>2.332607250104335</v>
      </c>
      <c r="H223" t="n">
        <v>3.695225959222448</v>
      </c>
      <c r="I223" t="n">
        <v>6.226742610230285</v>
      </c>
      <c r="J223" t="n">
        <v>2.441304850727843</v>
      </c>
      <c r="K223" t="n">
        <v>2.545502567937263</v>
      </c>
      <c r="L223" t="n">
        <v>1.345925338791432</v>
      </c>
      <c r="M223" t="n">
        <v>4.476417270751631</v>
      </c>
      <c r="N223" t="n">
        <v>-3.1304919319602</v>
      </c>
      <c r="O223" t="inlineStr"/>
      <c r="P223" t="inlineStr">
        <is>
          <t>Switzerland||5Y</t>
        </is>
      </c>
      <c r="Q223" t="inlineStr">
        <is>
          <t>Switzerland|5Y</t>
        </is>
      </c>
      <c r="R223" t="inlineStr"/>
    </row>
    <row r="224">
      <c r="A224" t="inlineStr">
        <is>
          <t>Switzerland</t>
        </is>
      </c>
      <c r="B224" t="inlineStr">
        <is>
          <t>CHE</t>
        </is>
      </c>
      <c r="C224" t="inlineStr"/>
      <c r="D224" s="2" t="n">
        <v>46022</v>
      </c>
      <c r="E224" t="inlineStr">
        <is>
          <t>10Y</t>
        </is>
      </c>
      <c r="F224" t="inlineStr"/>
      <c r="G224" t="n">
        <v>1.682160098409158</v>
      </c>
      <c r="H224" t="n">
        <v>2.25487036017904</v>
      </c>
      <c r="I224" t="n">
        <v>3.750768791677905</v>
      </c>
      <c r="J224" t="n">
        <v>1.46291159328249</v>
      </c>
      <c r="K224" t="n">
        <v>2.372866740815294</v>
      </c>
      <c r="L224" t="n">
        <v>0.7376811243145376</v>
      </c>
      <c r="M224" t="n">
        <v>3.119152472830278</v>
      </c>
      <c r="N224" t="n">
        <v>-2.38147134851574</v>
      </c>
      <c r="O224" t="inlineStr"/>
      <c r="P224" t="inlineStr">
        <is>
          <t>Switzerland||10Y</t>
        </is>
      </c>
      <c r="Q224" t="inlineStr">
        <is>
          <t>Switzerland|10Y</t>
        </is>
      </c>
      <c r="R224" t="inlineStr"/>
    </row>
    <row r="225">
      <c r="A225" t="inlineStr">
        <is>
          <t>Switzerland</t>
        </is>
      </c>
      <c r="B225" t="inlineStr">
        <is>
          <t>CHE</t>
        </is>
      </c>
      <c r="C225" t="inlineStr">
        <is>
          <t>CSW.PA</t>
        </is>
      </c>
      <c r="D225" s="2" t="n">
        <v>46022</v>
      </c>
      <c r="E225" t="inlineStr">
        <is>
          <t>1Y</t>
        </is>
      </c>
      <c r="F225" t="n">
        <v>31.5387609207751</v>
      </c>
      <c r="G225" t="n">
        <v>0.9460000000000024</v>
      </c>
      <c r="H225" t="n">
        <v>1.031491999999989</v>
      </c>
      <c r="I225" t="n">
        <v>6.876597000000007</v>
      </c>
      <c r="J225" t="n">
        <v>5.785428671851567</v>
      </c>
      <c r="K225" t="n">
        <v>14.61056742277083</v>
      </c>
      <c r="L225" t="n">
        <v>0.1419999999999977</v>
      </c>
      <c r="M225" t="n">
        <v>2.715000000000001</v>
      </c>
      <c r="N225" t="n">
        <v>-2.573000000000003</v>
      </c>
      <c r="O225" t="n">
        <v>-24.66216392077509</v>
      </c>
      <c r="P225" t="inlineStr">
        <is>
          <t>Switzerland|CSW.PA|1Y</t>
        </is>
      </c>
      <c r="Q225" t="inlineStr">
        <is>
          <t>Switzerland|1Y</t>
        </is>
      </c>
      <c r="R225" t="inlineStr">
        <is>
          <t>EUR</t>
        </is>
      </c>
    </row>
    <row r="226">
      <c r="A226" t="inlineStr">
        <is>
          <t>Switzerland</t>
        </is>
      </c>
      <c r="B226" t="inlineStr">
        <is>
          <t>CHE</t>
        </is>
      </c>
      <c r="C226" t="inlineStr">
        <is>
          <t>CSW.PA</t>
        </is>
      </c>
      <c r="D226" s="2" t="n">
        <v>46022</v>
      </c>
      <c r="E226" t="inlineStr">
        <is>
          <t>3Y</t>
        </is>
      </c>
      <c r="F226" t="n">
        <v>14.01231945924497</v>
      </c>
      <c r="G226" t="n">
        <v>1.014998373451514</v>
      </c>
      <c r="H226" t="n">
        <v>1.79693154984033</v>
      </c>
      <c r="I226" t="n">
        <v>6.566079289818028</v>
      </c>
      <c r="J226" t="n">
        <v>4.684962106572099</v>
      </c>
      <c r="K226" t="n">
        <v>5.263734642195783</v>
      </c>
      <c r="L226" t="n">
        <v>1.109054521385811</v>
      </c>
      <c r="M226" t="n">
        <v>3.263156230678832</v>
      </c>
      <c r="N226" t="n">
        <v>-2.154101709293021</v>
      </c>
      <c r="O226" t="n">
        <v>-7.446240169426943</v>
      </c>
      <c r="P226" t="inlineStr">
        <is>
          <t>Switzerland|CSW.PA|3Y</t>
        </is>
      </c>
      <c r="Q226" t="inlineStr">
        <is>
          <t>Switzerland|3Y</t>
        </is>
      </c>
      <c r="R226" t="inlineStr">
        <is>
          <t>EUR</t>
        </is>
      </c>
    </row>
    <row r="227">
      <c r="A227" t="inlineStr">
        <is>
          <t>Switzerland</t>
        </is>
      </c>
      <c r="B227" t="inlineStr">
        <is>
          <t>CHE</t>
        </is>
      </c>
      <c r="C227" t="inlineStr">
        <is>
          <t>CSW.PA</t>
        </is>
      </c>
      <c r="D227" s="2" t="n">
        <v>46022</v>
      </c>
      <c r="E227" t="inlineStr">
        <is>
          <t>5Y</t>
        </is>
      </c>
      <c r="F227" t="n">
        <v>7.769296224234834</v>
      </c>
      <c r="G227" t="n">
        <v>2.332607250104335</v>
      </c>
      <c r="H227" t="n">
        <v>3.695225959222448</v>
      </c>
      <c r="I227" t="n">
        <v>6.226742610230285</v>
      </c>
      <c r="J227" t="n">
        <v>2.441304850727843</v>
      </c>
      <c r="K227" t="n">
        <v>2.545502567937263</v>
      </c>
      <c r="L227" t="n">
        <v>1.345925338791432</v>
      </c>
      <c r="M227" t="n">
        <v>4.476417270751631</v>
      </c>
      <c r="N227" t="n">
        <v>-3.1304919319602</v>
      </c>
      <c r="O227" t="n">
        <v>-1.542553614004549</v>
      </c>
      <c r="P227" t="inlineStr">
        <is>
          <t>Switzerland|CSW.PA|5Y</t>
        </is>
      </c>
      <c r="Q227" t="inlineStr">
        <is>
          <t>Switzerland|5Y</t>
        </is>
      </c>
      <c r="R227" t="inlineStr">
        <is>
          <t>EUR</t>
        </is>
      </c>
    </row>
    <row r="228">
      <c r="A228" t="inlineStr">
        <is>
          <t>Switzerland</t>
        </is>
      </c>
      <c r="B228" t="inlineStr">
        <is>
          <t>CHE</t>
        </is>
      </c>
      <c r="C228" t="inlineStr">
        <is>
          <t>CSW.PA</t>
        </is>
      </c>
      <c r="D228" s="2" t="n">
        <v>46022</v>
      </c>
      <c r="E228" t="inlineStr">
        <is>
          <t>10Y</t>
        </is>
      </c>
      <c r="F228" t="n">
        <v>-24.87107245594601</v>
      </c>
      <c r="G228" t="n">
        <v>1.682160098409158</v>
      </c>
      <c r="H228" t="n">
        <v>2.25487036017904</v>
      </c>
      <c r="I228" t="n">
        <v>3.750768791677905</v>
      </c>
      <c r="J228" t="n">
        <v>1.46291159328249</v>
      </c>
      <c r="K228" t="n">
        <v>2.372866740815294</v>
      </c>
      <c r="L228" t="n">
        <v>0.7376811243145376</v>
      </c>
      <c r="M228" t="n">
        <v>3.119152472830278</v>
      </c>
      <c r="N228" t="n">
        <v>-2.38147134851574</v>
      </c>
      <c r="O228" t="n">
        <v>28.62184124762392</v>
      </c>
      <c r="P228" t="inlineStr">
        <is>
          <t>Switzerland|CSW.PA|10Y</t>
        </is>
      </c>
      <c r="Q228" t="inlineStr">
        <is>
          <t>Switzerland|10Y</t>
        </is>
      </c>
      <c r="R228" t="inlineStr">
        <is>
          <t>EUR</t>
        </is>
      </c>
    </row>
    <row r="229">
      <c r="A229" t="inlineStr">
        <is>
          <t>Switzerland</t>
        </is>
      </c>
      <c r="B229" t="inlineStr">
        <is>
          <t>CHE</t>
        </is>
      </c>
      <c r="C229" t="inlineStr">
        <is>
          <t>CSWG.L</t>
        </is>
      </c>
      <c r="D229" s="2" t="n">
        <v>46022</v>
      </c>
      <c r="E229" t="inlineStr">
        <is>
          <t>1Y</t>
        </is>
      </c>
      <c r="F229" t="n">
        <v>31.39886692904705</v>
      </c>
      <c r="G229" t="n">
        <v>0.9460000000000024</v>
      </c>
      <c r="H229" t="n">
        <v>1.031491999999989</v>
      </c>
      <c r="I229" t="n">
        <v>6.876597000000007</v>
      </c>
      <c r="J229" t="n">
        <v>5.785428671851567</v>
      </c>
      <c r="K229" t="n">
        <v>14.61056742277083</v>
      </c>
      <c r="L229" t="n">
        <v>0.1419999999999977</v>
      </c>
      <c r="M229" t="n">
        <v>2.715000000000001</v>
      </c>
      <c r="N229" t="n">
        <v>-2.573000000000003</v>
      </c>
      <c r="O229" t="n">
        <v>-24.52226992904705</v>
      </c>
      <c r="P229" t="inlineStr">
        <is>
          <t>Switzerland|CSWG.L|1Y</t>
        </is>
      </c>
      <c r="Q229" t="inlineStr">
        <is>
          <t>Switzerland|1Y</t>
        </is>
      </c>
      <c r="R229" t="inlineStr">
        <is>
          <t>GBp</t>
        </is>
      </c>
    </row>
    <row r="230">
      <c r="A230" t="inlineStr">
        <is>
          <t>Switzerland</t>
        </is>
      </c>
      <c r="B230" t="inlineStr">
        <is>
          <t>CHE</t>
        </is>
      </c>
      <c r="C230" t="inlineStr">
        <is>
          <t>CSWG.L</t>
        </is>
      </c>
      <c r="D230" s="2" t="n">
        <v>46022</v>
      </c>
      <c r="E230" t="inlineStr">
        <is>
          <t>3Y</t>
        </is>
      </c>
      <c r="F230" t="n">
        <v>13.85756586806508</v>
      </c>
      <c r="G230" t="n">
        <v>1.014998373451514</v>
      </c>
      <c r="H230" t="n">
        <v>1.79693154984033</v>
      </c>
      <c r="I230" t="n">
        <v>6.566079289818028</v>
      </c>
      <c r="J230" t="n">
        <v>4.684962106572099</v>
      </c>
      <c r="K230" t="n">
        <v>5.263734642195783</v>
      </c>
      <c r="L230" t="n">
        <v>1.109054521385811</v>
      </c>
      <c r="M230" t="n">
        <v>3.263156230678832</v>
      </c>
      <c r="N230" t="n">
        <v>-2.154101709293021</v>
      </c>
      <c r="O230" t="n">
        <v>-7.291486578247053</v>
      </c>
      <c r="P230" t="inlineStr">
        <is>
          <t>Switzerland|CSWG.L|3Y</t>
        </is>
      </c>
      <c r="Q230" t="inlineStr">
        <is>
          <t>Switzerland|3Y</t>
        </is>
      </c>
      <c r="R230" t="inlineStr">
        <is>
          <t>GBp</t>
        </is>
      </c>
    </row>
    <row r="231">
      <c r="A231" t="inlineStr">
        <is>
          <t>Switzerland</t>
        </is>
      </c>
      <c r="B231" t="inlineStr">
        <is>
          <t>CHE</t>
        </is>
      </c>
      <c r="C231" t="inlineStr">
        <is>
          <t>CSWG.L</t>
        </is>
      </c>
      <c r="D231" s="2" t="n">
        <v>46022</v>
      </c>
      <c r="E231" t="inlineStr">
        <is>
          <t>5Y</t>
        </is>
      </c>
      <c r="F231" t="n">
        <v>-48.62324429668489</v>
      </c>
      <c r="G231" t="n">
        <v>2.332607250104335</v>
      </c>
      <c r="H231" t="n">
        <v>3.695225959222448</v>
      </c>
      <c r="I231" t="n">
        <v>6.226742610230285</v>
      </c>
      <c r="J231" t="n">
        <v>2.441304850727843</v>
      </c>
      <c r="K231" t="n">
        <v>2.545502567937263</v>
      </c>
      <c r="L231" t="n">
        <v>1.345925338791432</v>
      </c>
      <c r="M231" t="n">
        <v>4.476417270751631</v>
      </c>
      <c r="N231" t="n">
        <v>-3.1304919319602</v>
      </c>
      <c r="O231" t="n">
        <v>54.84998690691517</v>
      </c>
      <c r="P231" t="inlineStr">
        <is>
          <t>Switzerland|CSWG.L|5Y</t>
        </is>
      </c>
      <c r="Q231" t="inlineStr">
        <is>
          <t>Switzerland|5Y</t>
        </is>
      </c>
      <c r="R231" t="inlineStr">
        <is>
          <t>GBp</t>
        </is>
      </c>
    </row>
    <row r="232">
      <c r="A232" t="inlineStr">
        <is>
          <t>Switzerland</t>
        </is>
      </c>
      <c r="B232" t="inlineStr">
        <is>
          <t>CHE</t>
        </is>
      </c>
      <c r="C232" t="inlineStr">
        <is>
          <t>CSWG.L</t>
        </is>
      </c>
      <c r="D232" s="2" t="n">
        <v>46022</v>
      </c>
      <c r="E232" t="inlineStr">
        <is>
          <t>10Y</t>
        </is>
      </c>
      <c r="F232" t="n">
        <v>4.169748920164595</v>
      </c>
      <c r="G232" t="n">
        <v>1.682160098409158</v>
      </c>
      <c r="H232" t="n">
        <v>2.25487036017904</v>
      </c>
      <c r="I232" t="n">
        <v>3.750768791677905</v>
      </c>
      <c r="J232" t="n">
        <v>1.46291159328249</v>
      </c>
      <c r="K232" t="n">
        <v>2.372866740815294</v>
      </c>
      <c r="L232" t="n">
        <v>0.7376811243145376</v>
      </c>
      <c r="M232" t="n">
        <v>3.119152472830278</v>
      </c>
      <c r="N232" t="n">
        <v>-2.38147134851574</v>
      </c>
      <c r="O232" t="n">
        <v>-0.4189801284866901</v>
      </c>
      <c r="P232" t="inlineStr">
        <is>
          <t>Switzerland|CSWG.L|10Y</t>
        </is>
      </c>
      <c r="Q232" t="inlineStr">
        <is>
          <t>Switzerland|10Y</t>
        </is>
      </c>
      <c r="R232" t="inlineStr">
        <is>
          <t>GBp</t>
        </is>
      </c>
    </row>
    <row r="233">
      <c r="A233" t="inlineStr">
        <is>
          <t>Switzerland</t>
        </is>
      </c>
      <c r="B233" t="inlineStr">
        <is>
          <t>CHE</t>
        </is>
      </c>
      <c r="C233" t="inlineStr">
        <is>
          <t>EWL</t>
        </is>
      </c>
      <c r="D233" s="2" t="n">
        <v>46022</v>
      </c>
      <c r="E233" t="inlineStr">
        <is>
          <t>1Y</t>
        </is>
      </c>
      <c r="F233" t="n">
        <v>33.24270296086154</v>
      </c>
      <c r="G233" t="n">
        <v>0.9460000000000024</v>
      </c>
      <c r="H233" t="n">
        <v>1.031491999999989</v>
      </c>
      <c r="I233" t="n">
        <v>6.876597000000007</v>
      </c>
      <c r="J233" t="n">
        <v>5.785428671851567</v>
      </c>
      <c r="K233" t="n">
        <v>14.61056742277083</v>
      </c>
      <c r="L233" t="n">
        <v>0.1419999999999977</v>
      </c>
      <c r="M233" t="n">
        <v>2.715000000000001</v>
      </c>
      <c r="N233" t="n">
        <v>-2.573000000000003</v>
      </c>
      <c r="O233" t="n">
        <v>-26.36610596086153</v>
      </c>
      <c r="P233" t="inlineStr">
        <is>
          <t>Switzerland|EWL|1Y</t>
        </is>
      </c>
      <c r="Q233" t="inlineStr">
        <is>
          <t>Switzerland|1Y</t>
        </is>
      </c>
      <c r="R233" t="inlineStr">
        <is>
          <t>USD</t>
        </is>
      </c>
    </row>
    <row r="234">
      <c r="A234" t="inlineStr">
        <is>
          <t>Switzerland</t>
        </is>
      </c>
      <c r="B234" t="inlineStr">
        <is>
          <t>CHE</t>
        </is>
      </c>
      <c r="C234" t="inlineStr">
        <is>
          <t>EWL</t>
        </is>
      </c>
      <c r="D234" s="2" t="n">
        <v>46022</v>
      </c>
      <c r="E234" t="inlineStr">
        <is>
          <t>3Y</t>
        </is>
      </c>
      <c r="F234" t="n">
        <v>14.39486246203525</v>
      </c>
      <c r="G234" t="n">
        <v>1.014998373451514</v>
      </c>
      <c r="H234" t="n">
        <v>1.79693154984033</v>
      </c>
      <c r="I234" t="n">
        <v>6.566079289818028</v>
      </c>
      <c r="J234" t="n">
        <v>4.684962106572099</v>
      </c>
      <c r="K234" t="n">
        <v>5.263734642195783</v>
      </c>
      <c r="L234" t="n">
        <v>1.109054521385811</v>
      </c>
      <c r="M234" t="n">
        <v>3.263156230678832</v>
      </c>
      <c r="N234" t="n">
        <v>-2.154101709293021</v>
      </c>
      <c r="O234" t="n">
        <v>-7.828783172217225</v>
      </c>
      <c r="P234" t="inlineStr">
        <is>
          <t>Switzerland|EWL|3Y</t>
        </is>
      </c>
      <c r="Q234" t="inlineStr">
        <is>
          <t>Switzerland|3Y</t>
        </is>
      </c>
      <c r="R234" t="inlineStr">
        <is>
          <t>USD</t>
        </is>
      </c>
    </row>
    <row r="235">
      <c r="A235" t="inlineStr">
        <is>
          <t>Switzerland</t>
        </is>
      </c>
      <c r="B235" t="inlineStr">
        <is>
          <t>CHE</t>
        </is>
      </c>
      <c r="C235" t="inlineStr">
        <is>
          <t>EWL</t>
        </is>
      </c>
      <c r="D235" s="2" t="n">
        <v>46022</v>
      </c>
      <c r="E235" t="inlineStr">
        <is>
          <t>5Y</t>
        </is>
      </c>
      <c r="F235" t="n">
        <v>7.950839047000957</v>
      </c>
      <c r="G235" t="n">
        <v>2.332607250104335</v>
      </c>
      <c r="H235" t="n">
        <v>3.695225959222448</v>
      </c>
      <c r="I235" t="n">
        <v>6.226742610230285</v>
      </c>
      <c r="J235" t="n">
        <v>2.441304850727843</v>
      </c>
      <c r="K235" t="n">
        <v>2.545502567937263</v>
      </c>
      <c r="L235" t="n">
        <v>1.345925338791432</v>
      </c>
      <c r="M235" t="n">
        <v>4.476417270751631</v>
      </c>
      <c r="N235" t="n">
        <v>-3.1304919319602</v>
      </c>
      <c r="O235" t="n">
        <v>-1.724096436770672</v>
      </c>
      <c r="P235" t="inlineStr">
        <is>
          <t>Switzerland|EWL|5Y</t>
        </is>
      </c>
      <c r="Q235" t="inlineStr">
        <is>
          <t>Switzerland|5Y</t>
        </is>
      </c>
      <c r="R235" t="inlineStr">
        <is>
          <t>USD</t>
        </is>
      </c>
    </row>
    <row r="236">
      <c r="A236" t="inlineStr">
        <is>
          <t>Switzerland</t>
        </is>
      </c>
      <c r="B236" t="inlineStr">
        <is>
          <t>CHE</t>
        </is>
      </c>
      <c r="C236" t="inlineStr">
        <is>
          <t>EWL</t>
        </is>
      </c>
      <c r="D236" s="2" t="n">
        <v>46022</v>
      </c>
      <c r="E236" t="inlineStr">
        <is>
          <t>10Y</t>
        </is>
      </c>
      <c r="F236" t="n">
        <v>9.183926886061045</v>
      </c>
      <c r="G236" t="n">
        <v>1.682160098409158</v>
      </c>
      <c r="H236" t="n">
        <v>2.25487036017904</v>
      </c>
      <c r="I236" t="n">
        <v>3.750768791677905</v>
      </c>
      <c r="J236" t="n">
        <v>1.46291159328249</v>
      </c>
      <c r="K236" t="n">
        <v>2.372866740815294</v>
      </c>
      <c r="L236" t="n">
        <v>0.7376811243145376</v>
      </c>
      <c r="M236" t="n">
        <v>3.119152472830278</v>
      </c>
      <c r="N236" t="n">
        <v>-2.38147134851574</v>
      </c>
      <c r="O236" t="n">
        <v>-5.433158094383139</v>
      </c>
      <c r="P236" t="inlineStr">
        <is>
          <t>Switzerland|EWL|10Y</t>
        </is>
      </c>
      <c r="Q236" t="inlineStr">
        <is>
          <t>Switzerland|10Y</t>
        </is>
      </c>
      <c r="R236" t="inlineStr">
        <is>
          <t>USD</t>
        </is>
      </c>
    </row>
    <row r="237">
      <c r="A237" t="inlineStr">
        <is>
          <t>Taiwan</t>
        </is>
      </c>
      <c r="B237" t="inlineStr">
        <is>
          <t>TWN</t>
        </is>
      </c>
      <c r="C237" t="inlineStr"/>
      <c r="D237" s="2" t="n">
        <v>46022</v>
      </c>
      <c r="E237" t="inlineStr">
        <is>
          <t>1Y</t>
        </is>
      </c>
      <c r="F237" t="inlineStr"/>
      <c r="G237" t="n">
        <v>3.673999999999999</v>
      </c>
      <c r="H237" t="n">
        <v>5.468292000000008</v>
      </c>
      <c r="I237" t="n">
        <v>10.96393499999999</v>
      </c>
      <c r="J237" t="n">
        <v>5.210706253215691</v>
      </c>
      <c r="K237" t="n">
        <v>4.783810519335341</v>
      </c>
      <c r="L237" t="n">
        <v>1.730000000000009</v>
      </c>
      <c r="M237" t="n">
        <v>2.715000000000001</v>
      </c>
      <c r="N237" t="n">
        <v>-0.9849999999999914</v>
      </c>
      <c r="O237" t="inlineStr"/>
      <c r="P237" t="inlineStr">
        <is>
          <t>Taiwan||1Y</t>
        </is>
      </c>
      <c r="Q237" t="inlineStr">
        <is>
          <t>Taiwan|1Y</t>
        </is>
      </c>
      <c r="R237" t="inlineStr"/>
    </row>
    <row r="238">
      <c r="A238" t="inlineStr">
        <is>
          <t>Taiwan</t>
        </is>
      </c>
      <c r="B238" t="inlineStr">
        <is>
          <t>TWN</t>
        </is>
      </c>
      <c r="C238" t="inlineStr"/>
      <c r="D238" s="2" t="n">
        <v>46022</v>
      </c>
      <c r="E238" t="inlineStr">
        <is>
          <t>3Y</t>
        </is>
      </c>
      <c r="F238" t="inlineStr"/>
      <c r="G238" t="n">
        <v>3.199286997583917</v>
      </c>
      <c r="H238" t="n">
        <v>5.756142806055453</v>
      </c>
      <c r="I238" t="n">
        <v>4.924185071867271</v>
      </c>
      <c r="J238" t="n">
        <v>-0.7866758783641514</v>
      </c>
      <c r="K238" t="n">
        <v>-0.703147389105141</v>
      </c>
      <c r="L238" t="n">
        <v>2.133854026342386</v>
      </c>
      <c r="M238" t="n">
        <v>3.263156230678832</v>
      </c>
      <c r="N238" t="n">
        <v>-1.129302204336446</v>
      </c>
      <c r="O238" t="inlineStr"/>
      <c r="P238" t="inlineStr">
        <is>
          <t>Taiwan||3Y</t>
        </is>
      </c>
      <c r="Q238" t="inlineStr">
        <is>
          <t>Taiwan|3Y</t>
        </is>
      </c>
      <c r="R238" t="inlineStr"/>
    </row>
    <row r="239">
      <c r="A239" t="inlineStr">
        <is>
          <t>Taiwan</t>
        </is>
      </c>
      <c r="B239" t="inlineStr">
        <is>
          <t>TWN</t>
        </is>
      </c>
      <c r="C239" t="inlineStr"/>
      <c r="D239" s="2" t="n">
        <v>46022</v>
      </c>
      <c r="E239" t="inlineStr">
        <is>
          <t>5Y</t>
        </is>
      </c>
      <c r="F239" t="inlineStr"/>
      <c r="G239" t="n">
        <v>3.790053779043401</v>
      </c>
      <c r="H239" t="n">
        <v>6.154652973093233</v>
      </c>
      <c r="I239" t="n">
        <v>5.494197356395891</v>
      </c>
      <c r="J239" t="n">
        <v>-0.6221636968846589</v>
      </c>
      <c r="K239" t="n">
        <v>-2.150903326260079</v>
      </c>
      <c r="L239" t="n">
        <v>2.263324437219949</v>
      </c>
      <c r="M239" t="n">
        <v>4.476417270751631</v>
      </c>
      <c r="N239" t="n">
        <v>-2.213092833531682</v>
      </c>
      <c r="O239" t="inlineStr"/>
      <c r="P239" t="inlineStr">
        <is>
          <t>Taiwan||5Y</t>
        </is>
      </c>
      <c r="Q239" t="inlineStr">
        <is>
          <t>Taiwan|5Y</t>
        </is>
      </c>
      <c r="R239" t="inlineStr"/>
    </row>
    <row r="240">
      <c r="A240" t="inlineStr">
        <is>
          <t>Taiwan</t>
        </is>
      </c>
      <c r="B240" t="inlineStr">
        <is>
          <t>TWN</t>
        </is>
      </c>
      <c r="C240" t="inlineStr"/>
      <c r="D240" s="2" t="n">
        <v>46022</v>
      </c>
      <c r="E240" t="inlineStr">
        <is>
          <t>10Y</t>
        </is>
      </c>
      <c r="F240" t="inlineStr"/>
      <c r="G240" t="n">
        <v>3.414407627179994</v>
      </c>
      <c r="H240" t="n">
        <v>4.698072696184274</v>
      </c>
      <c r="I240" t="n">
        <v>5.164278093211339</v>
      </c>
      <c r="J240" t="n">
        <v>0.4452856452293874</v>
      </c>
      <c r="K240" t="n">
        <v>0.2412670360182334</v>
      </c>
      <c r="L240" t="n">
        <v>1.496491490317919</v>
      </c>
      <c r="M240" t="n">
        <v>3.119152472830278</v>
      </c>
      <c r="N240" t="n">
        <v>-1.622660982512358</v>
      </c>
      <c r="O240" t="inlineStr"/>
      <c r="P240" t="inlineStr">
        <is>
          <t>Taiwan||10Y</t>
        </is>
      </c>
      <c r="Q240" t="inlineStr">
        <is>
          <t>Taiwan|10Y</t>
        </is>
      </c>
      <c r="R240" t="inlineStr"/>
    </row>
    <row r="241">
      <c r="A241" t="inlineStr">
        <is>
          <t>Taiwan</t>
        </is>
      </c>
      <c r="B241" t="inlineStr">
        <is>
          <t>TWN</t>
        </is>
      </c>
      <c r="C241" t="inlineStr">
        <is>
          <t>XMTW.L</t>
        </is>
      </c>
      <c r="D241" s="2" t="n">
        <v>46022</v>
      </c>
      <c r="E241" t="inlineStr">
        <is>
          <t>1Y</t>
        </is>
      </c>
      <c r="F241" t="n">
        <v>33.17535317071263</v>
      </c>
      <c r="G241" t="n">
        <v>3.673999999999999</v>
      </c>
      <c r="H241" t="n">
        <v>5.468292000000008</v>
      </c>
      <c r="I241" t="n">
        <v>10.96393499999999</v>
      </c>
      <c r="J241" t="n">
        <v>5.210706253215691</v>
      </c>
      <c r="K241" t="n">
        <v>4.783810519335341</v>
      </c>
      <c r="L241" t="n">
        <v>1.730000000000009</v>
      </c>
      <c r="M241" t="n">
        <v>2.715000000000001</v>
      </c>
      <c r="N241" t="n">
        <v>-0.9849999999999914</v>
      </c>
      <c r="O241" t="n">
        <v>-22.21141817071263</v>
      </c>
      <c r="P241" t="inlineStr">
        <is>
          <t>Taiwan|XMTW.L|1Y</t>
        </is>
      </c>
      <c r="Q241" t="inlineStr">
        <is>
          <t>Taiwan|1Y</t>
        </is>
      </c>
      <c r="R241" t="inlineStr">
        <is>
          <t>GBp</t>
        </is>
      </c>
    </row>
    <row r="242">
      <c r="A242" t="inlineStr">
        <is>
          <t>Taiwan</t>
        </is>
      </c>
      <c r="B242" t="inlineStr">
        <is>
          <t>TWN</t>
        </is>
      </c>
      <c r="C242" t="inlineStr">
        <is>
          <t>XMTW.L</t>
        </is>
      </c>
      <c r="D242" s="2" t="n">
        <v>46022</v>
      </c>
      <c r="E242" t="inlineStr">
        <is>
          <t>3Y</t>
        </is>
      </c>
      <c r="F242" t="n">
        <v>28.04010443105349</v>
      </c>
      <c r="G242" t="n">
        <v>3.199286997583917</v>
      </c>
      <c r="H242" t="n">
        <v>5.756142806055453</v>
      </c>
      <c r="I242" t="n">
        <v>4.924185071867271</v>
      </c>
      <c r="J242" t="n">
        <v>-0.7866758783641514</v>
      </c>
      <c r="K242" t="n">
        <v>-0.703147389105141</v>
      </c>
      <c r="L242" t="n">
        <v>2.133854026342386</v>
      </c>
      <c r="M242" t="n">
        <v>3.263156230678832</v>
      </c>
      <c r="N242" t="n">
        <v>-1.129302204336446</v>
      </c>
      <c r="O242" t="n">
        <v>-23.11591935918622</v>
      </c>
      <c r="P242" t="inlineStr">
        <is>
          <t>Taiwan|XMTW.L|3Y</t>
        </is>
      </c>
      <c r="Q242" t="inlineStr">
        <is>
          <t>Taiwan|3Y</t>
        </is>
      </c>
      <c r="R242" t="inlineStr">
        <is>
          <t>GBp</t>
        </is>
      </c>
    </row>
    <row r="243">
      <c r="A243" t="inlineStr">
        <is>
          <t>Taiwan</t>
        </is>
      </c>
      <c r="B243" t="inlineStr">
        <is>
          <t>TWN</t>
        </is>
      </c>
      <c r="C243" t="inlineStr">
        <is>
          <t>XMTW.L</t>
        </is>
      </c>
      <c r="D243" s="2" t="n">
        <v>46022</v>
      </c>
      <c r="E243" t="inlineStr">
        <is>
          <t>5Y</t>
        </is>
      </c>
      <c r="F243" t="n">
        <v>13.19399138875445</v>
      </c>
      <c r="G243" t="n">
        <v>3.790053779043401</v>
      </c>
      <c r="H243" t="n">
        <v>6.154652973093233</v>
      </c>
      <c r="I243" t="n">
        <v>5.494197356395891</v>
      </c>
      <c r="J243" t="n">
        <v>-0.6221636968846589</v>
      </c>
      <c r="K243" t="n">
        <v>-2.150903326260079</v>
      </c>
      <c r="L243" t="n">
        <v>2.263324437219949</v>
      </c>
      <c r="M243" t="n">
        <v>4.476417270751631</v>
      </c>
      <c r="N243" t="n">
        <v>-2.213092833531682</v>
      </c>
      <c r="O243" t="n">
        <v>-7.699794032358564</v>
      </c>
      <c r="P243" t="inlineStr">
        <is>
          <t>Taiwan|XMTW.L|5Y</t>
        </is>
      </c>
      <c r="Q243" t="inlineStr">
        <is>
          <t>Taiwan|5Y</t>
        </is>
      </c>
      <c r="R243" t="inlineStr">
        <is>
          <t>GBp</t>
        </is>
      </c>
    </row>
    <row r="244">
      <c r="A244" t="inlineStr">
        <is>
          <t>Taiwan</t>
        </is>
      </c>
      <c r="B244" t="inlineStr">
        <is>
          <t>TWN</t>
        </is>
      </c>
      <c r="C244" t="inlineStr">
        <is>
          <t>XMTW.L</t>
        </is>
      </c>
      <c r="D244" s="2" t="n">
        <v>46022</v>
      </c>
      <c r="E244" t="inlineStr">
        <is>
          <t>10Y</t>
        </is>
      </c>
      <c r="F244" t="n">
        <v>17.0977898112201</v>
      </c>
      <c r="G244" t="n">
        <v>3.414407627179994</v>
      </c>
      <c r="H244" t="n">
        <v>4.698072696184274</v>
      </c>
      <c r="I244" t="n">
        <v>5.164278093211339</v>
      </c>
      <c r="J244" t="n">
        <v>0.4452856452293874</v>
      </c>
      <c r="K244" t="n">
        <v>0.2412670360182334</v>
      </c>
      <c r="L244" t="n">
        <v>1.496491490317919</v>
      </c>
      <c r="M244" t="n">
        <v>3.119152472830278</v>
      </c>
      <c r="N244" t="n">
        <v>-1.622660982512358</v>
      </c>
      <c r="O244" t="n">
        <v>-11.93351171800876</v>
      </c>
      <c r="P244" t="inlineStr">
        <is>
          <t>Taiwan|XMTW.L|10Y</t>
        </is>
      </c>
      <c r="Q244" t="inlineStr">
        <is>
          <t>Taiwan|10Y</t>
        </is>
      </c>
      <c r="R244" t="inlineStr">
        <is>
          <t>GBp</t>
        </is>
      </c>
    </row>
    <row r="245">
      <c r="A245" t="inlineStr">
        <is>
          <t>Thailand</t>
        </is>
      </c>
      <c r="B245" t="inlineStr">
        <is>
          <t>THA</t>
        </is>
      </c>
      <c r="C245" t="inlineStr"/>
      <c r="D245" s="2" t="n">
        <v>46022</v>
      </c>
      <c r="E245" t="inlineStr">
        <is>
          <t>1Y</t>
        </is>
      </c>
      <c r="F245" t="inlineStr"/>
      <c r="G245" t="n">
        <v>2.000000000000002</v>
      </c>
      <c r="H245" t="n">
        <v>2.200039000000009</v>
      </c>
      <c r="I245" t="n">
        <v>6.088110999999996</v>
      </c>
      <c r="J245" t="n">
        <v>3.804374281499756</v>
      </c>
      <c r="K245" t="n">
        <v>8.857154955965708</v>
      </c>
      <c r="L245" t="n">
        <v>0.1530000000000031</v>
      </c>
      <c r="M245" t="n">
        <v>2.715000000000001</v>
      </c>
      <c r="N245" t="n">
        <v>-2.561999999999998</v>
      </c>
      <c r="O245" t="inlineStr"/>
      <c r="P245" t="inlineStr">
        <is>
          <t>Thailand||1Y</t>
        </is>
      </c>
      <c r="Q245" t="inlineStr">
        <is>
          <t>Thailand|1Y</t>
        </is>
      </c>
      <c r="R245" t="inlineStr"/>
    </row>
    <row r="246">
      <c r="A246" t="inlineStr">
        <is>
          <t>Thailand</t>
        </is>
      </c>
      <c r="B246" t="inlineStr">
        <is>
          <t>THA</t>
        </is>
      </c>
      <c r="C246" t="inlineStr"/>
      <c r="D246" s="2" t="n">
        <v>46022</v>
      </c>
      <c r="E246" t="inlineStr">
        <is>
          <t>3Y</t>
        </is>
      </c>
      <c r="F246" t="inlineStr"/>
      <c r="G246" t="n">
        <v>2.182688480328676</v>
      </c>
      <c r="H246" t="n">
        <v>3.003779255805794</v>
      </c>
      <c r="I246" t="n">
        <v>4.06461227936048</v>
      </c>
      <c r="J246" t="n">
        <v>1.02989682499437</v>
      </c>
      <c r="K246" t="n">
        <v>3.022041696769251</v>
      </c>
      <c r="L246" t="n">
        <v>0.592281175698206</v>
      </c>
      <c r="M246" t="n">
        <v>3.263156230678832</v>
      </c>
      <c r="N246" t="n">
        <v>-2.670875054980626</v>
      </c>
      <c r="O246" t="inlineStr"/>
      <c r="P246" t="inlineStr">
        <is>
          <t>Thailand||3Y</t>
        </is>
      </c>
      <c r="Q246" t="inlineStr">
        <is>
          <t>Thailand|3Y</t>
        </is>
      </c>
      <c r="R246" t="inlineStr"/>
    </row>
    <row r="247">
      <c r="A247" t="inlineStr">
        <is>
          <t>Thailand</t>
        </is>
      </c>
      <c r="B247" t="inlineStr">
        <is>
          <t>THA</t>
        </is>
      </c>
      <c r="C247" t="inlineStr"/>
      <c r="D247" s="2" t="n">
        <v>46022</v>
      </c>
      <c r="E247" t="inlineStr">
        <is>
          <t>5Y</t>
        </is>
      </c>
      <c r="F247" t="inlineStr"/>
      <c r="G247" t="n">
        <v>2.142824827726608</v>
      </c>
      <c r="H247" t="n">
        <v>3.93129222977171</v>
      </c>
      <c r="I247" t="n">
        <v>2.221386476761178</v>
      </c>
      <c r="J247" t="n">
        <v>-1.645227450314057</v>
      </c>
      <c r="K247" t="n">
        <v>-1.036501738602258</v>
      </c>
      <c r="L247" t="n">
        <v>1.794643676338215</v>
      </c>
      <c r="M247" t="n">
        <v>4.476417270751631</v>
      </c>
      <c r="N247" t="n">
        <v>-2.681773594413417</v>
      </c>
      <c r="O247" t="inlineStr"/>
      <c r="P247" t="inlineStr">
        <is>
          <t>Thailand||5Y</t>
        </is>
      </c>
      <c r="Q247" t="inlineStr">
        <is>
          <t>Thailand|5Y</t>
        </is>
      </c>
      <c r="R247" t="inlineStr"/>
    </row>
    <row r="248">
      <c r="A248" t="inlineStr">
        <is>
          <t>Thailand</t>
        </is>
      </c>
      <c r="B248" t="inlineStr">
        <is>
          <t>THA</t>
        </is>
      </c>
      <c r="C248" t="inlineStr"/>
      <c r="D248" s="2" t="n">
        <v>46022</v>
      </c>
      <c r="E248" t="inlineStr">
        <is>
          <t>10Y</t>
        </is>
      </c>
      <c r="F248" t="inlineStr"/>
      <c r="G248" t="n">
        <v>1.822387316345764</v>
      </c>
      <c r="H248" t="n">
        <v>3.287139139093043</v>
      </c>
      <c r="I248" t="n">
        <v>3.362144523071686</v>
      </c>
      <c r="J248" t="n">
        <v>0.07261820181074796</v>
      </c>
      <c r="K248" t="n">
        <v>1.180082851420816</v>
      </c>
      <c r="L248" t="n">
        <v>1.071353436101807</v>
      </c>
      <c r="M248" t="n">
        <v>3.119152472830278</v>
      </c>
      <c r="N248" t="n">
        <v>-2.04779903672847</v>
      </c>
      <c r="O248" t="inlineStr"/>
      <c r="P248" t="inlineStr">
        <is>
          <t>Thailand||10Y</t>
        </is>
      </c>
      <c r="Q248" t="inlineStr">
        <is>
          <t>Thailand|10Y</t>
        </is>
      </c>
      <c r="R248" t="inlineStr"/>
    </row>
    <row r="249">
      <c r="A249" t="inlineStr">
        <is>
          <t>Thailand</t>
        </is>
      </c>
      <c r="B249" t="inlineStr">
        <is>
          <t>THA</t>
        </is>
      </c>
      <c r="C249" t="inlineStr">
        <is>
          <t>XCX4.L</t>
        </is>
      </c>
      <c r="D249" s="2" t="n">
        <v>46022</v>
      </c>
      <c r="E249" t="inlineStr">
        <is>
          <t>1Y</t>
        </is>
      </c>
      <c r="F249" t="n">
        <v>8.183757651034561</v>
      </c>
      <c r="G249" t="n">
        <v>2.000000000000002</v>
      </c>
      <c r="H249" t="n">
        <v>2.200039000000009</v>
      </c>
      <c r="I249" t="n">
        <v>6.088110999999996</v>
      </c>
      <c r="J249" t="n">
        <v>3.804374281499756</v>
      </c>
      <c r="K249" t="n">
        <v>8.857154955965708</v>
      </c>
      <c r="L249" t="n">
        <v>0.1530000000000031</v>
      </c>
      <c r="M249" t="n">
        <v>2.715000000000001</v>
      </c>
      <c r="N249" t="n">
        <v>-2.561999999999998</v>
      </c>
      <c r="O249" t="n">
        <v>-2.095646651034565</v>
      </c>
      <c r="P249" t="inlineStr">
        <is>
          <t>Thailand|XCX4.L|1Y</t>
        </is>
      </c>
      <c r="Q249" t="inlineStr">
        <is>
          <t>Thailand|1Y</t>
        </is>
      </c>
      <c r="R249" t="inlineStr">
        <is>
          <t>GBp</t>
        </is>
      </c>
    </row>
    <row r="250">
      <c r="A250" t="inlineStr">
        <is>
          <t>Thailand</t>
        </is>
      </c>
      <c r="B250" t="inlineStr">
        <is>
          <t>THA</t>
        </is>
      </c>
      <c r="C250" t="inlineStr">
        <is>
          <t>XCX4.L</t>
        </is>
      </c>
      <c r="D250" s="2" t="n">
        <v>46022</v>
      </c>
      <c r="E250" t="inlineStr">
        <is>
          <t>3Y</t>
        </is>
      </c>
      <c r="F250" t="n">
        <v>-2.266491166089812</v>
      </c>
      <c r="G250" t="n">
        <v>2.182688480328676</v>
      </c>
      <c r="H250" t="n">
        <v>3.003779255805794</v>
      </c>
      <c r="I250" t="n">
        <v>4.06461227936048</v>
      </c>
      <c r="J250" t="n">
        <v>1.02989682499437</v>
      </c>
      <c r="K250" t="n">
        <v>3.022041696769251</v>
      </c>
      <c r="L250" t="n">
        <v>0.592281175698206</v>
      </c>
      <c r="M250" t="n">
        <v>3.263156230678832</v>
      </c>
      <c r="N250" t="n">
        <v>-2.670875054980626</v>
      </c>
      <c r="O250" t="n">
        <v>6.331103445450292</v>
      </c>
      <c r="P250" t="inlineStr">
        <is>
          <t>Thailand|XCX4.L|3Y</t>
        </is>
      </c>
      <c r="Q250" t="inlineStr">
        <is>
          <t>Thailand|3Y</t>
        </is>
      </c>
      <c r="R250" t="inlineStr">
        <is>
          <t>GBp</t>
        </is>
      </c>
    </row>
    <row r="251">
      <c r="A251" t="inlineStr">
        <is>
          <t>Thailand</t>
        </is>
      </c>
      <c r="B251" t="inlineStr">
        <is>
          <t>THA</t>
        </is>
      </c>
      <c r="C251" t="inlineStr">
        <is>
          <t>XCX4.L</t>
        </is>
      </c>
      <c r="D251" s="2" t="n">
        <v>46022</v>
      </c>
      <c r="E251" t="inlineStr">
        <is>
          <t>5Y</t>
        </is>
      </c>
      <c r="F251" t="n">
        <v>-0.8851687739693581</v>
      </c>
      <c r="G251" t="n">
        <v>2.142824827726608</v>
      </c>
      <c r="H251" t="n">
        <v>3.93129222977171</v>
      </c>
      <c r="I251" t="n">
        <v>2.221386476761178</v>
      </c>
      <c r="J251" t="n">
        <v>-1.645227450314057</v>
      </c>
      <c r="K251" t="n">
        <v>-1.036501738602258</v>
      </c>
      <c r="L251" t="n">
        <v>1.794643676338215</v>
      </c>
      <c r="M251" t="n">
        <v>4.476417270751631</v>
      </c>
      <c r="N251" t="n">
        <v>-2.681773594413417</v>
      </c>
      <c r="O251" t="n">
        <v>3.106555250730536</v>
      </c>
      <c r="P251" t="inlineStr">
        <is>
          <t>Thailand|XCX4.L|5Y</t>
        </is>
      </c>
      <c r="Q251" t="inlineStr">
        <is>
          <t>Thailand|5Y</t>
        </is>
      </c>
      <c r="R251" t="inlineStr">
        <is>
          <t>GBp</t>
        </is>
      </c>
    </row>
    <row r="252">
      <c r="A252" t="inlineStr">
        <is>
          <t>Thailand</t>
        </is>
      </c>
      <c r="B252" t="inlineStr">
        <is>
          <t>THA</t>
        </is>
      </c>
      <c r="C252" t="inlineStr">
        <is>
          <t>XCX4.L</t>
        </is>
      </c>
      <c r="D252" s="2" t="n">
        <v>46022</v>
      </c>
      <c r="E252" t="inlineStr">
        <is>
          <t>10Y</t>
        </is>
      </c>
      <c r="F252" t="n">
        <v>4.143325020858679</v>
      </c>
      <c r="G252" t="n">
        <v>1.822387316345764</v>
      </c>
      <c r="H252" t="n">
        <v>3.287139139093043</v>
      </c>
      <c r="I252" t="n">
        <v>3.362144523071686</v>
      </c>
      <c r="J252" t="n">
        <v>0.07261820181074796</v>
      </c>
      <c r="K252" t="n">
        <v>1.180082851420816</v>
      </c>
      <c r="L252" t="n">
        <v>1.071353436101807</v>
      </c>
      <c r="M252" t="n">
        <v>3.119152472830278</v>
      </c>
      <c r="N252" t="n">
        <v>-2.04779903672847</v>
      </c>
      <c r="O252" t="n">
        <v>-0.7811804977869929</v>
      </c>
      <c r="P252" t="inlineStr">
        <is>
          <t>Thailand|XCX4.L|10Y</t>
        </is>
      </c>
      <c r="Q252" t="inlineStr">
        <is>
          <t>Thailand|10Y</t>
        </is>
      </c>
      <c r="R252" t="inlineStr">
        <is>
          <t>GBp</t>
        </is>
      </c>
    </row>
    <row r="253">
      <c r="A253" t="inlineStr">
        <is>
          <t>Turkey</t>
        </is>
      </c>
      <c r="B253" t="inlineStr">
        <is>
          <t>TUR</t>
        </is>
      </c>
      <c r="C253" t="inlineStr"/>
      <c r="D253" s="2" t="n">
        <v>46022</v>
      </c>
      <c r="E253" t="inlineStr">
        <is>
          <t>1Y</t>
        </is>
      </c>
      <c r="F253" t="inlineStr"/>
      <c r="G253" t="n">
        <v>3.493999999999997</v>
      </c>
      <c r="H253" t="n">
        <v>39.45333099999999</v>
      </c>
      <c r="I253" t="n">
        <v>15.25638499999999</v>
      </c>
      <c r="J253" t="n">
        <v>-17.35128607190518</v>
      </c>
      <c r="K253" t="n">
        <v>-17.72339999915662</v>
      </c>
      <c r="L253" t="n">
        <v>34.89</v>
      </c>
      <c r="M253" t="n">
        <v>2.715000000000001</v>
      </c>
      <c r="N253" t="n">
        <v>32.175</v>
      </c>
      <c r="O253" t="inlineStr"/>
      <c r="P253" t="inlineStr">
        <is>
          <t>Turkey||1Y</t>
        </is>
      </c>
      <c r="Q253" t="inlineStr">
        <is>
          <t>Turkey|1Y</t>
        </is>
      </c>
      <c r="R253" t="inlineStr"/>
    </row>
    <row r="254">
      <c r="A254" t="inlineStr">
        <is>
          <t>Turkey</t>
        </is>
      </c>
      <c r="B254" t="inlineStr">
        <is>
          <t>TUR</t>
        </is>
      </c>
      <c r="C254" t="inlineStr"/>
      <c r="D254" s="2" t="n">
        <v>46022</v>
      </c>
      <c r="E254" t="inlineStr">
        <is>
          <t>3Y</t>
        </is>
      </c>
      <c r="F254" t="inlineStr"/>
      <c r="G254" t="n">
        <v>3.95280050096356</v>
      </c>
      <c r="H254" t="n">
        <v>59.49173539936783</v>
      </c>
      <c r="I254" t="n">
        <v>19.18087843836862</v>
      </c>
      <c r="J254" t="n">
        <v>-25.27457403819189</v>
      </c>
      <c r="K254" t="n">
        <v>-24.30809848352511</v>
      </c>
      <c r="L254" t="n">
        <v>48.72459290774773</v>
      </c>
      <c r="M254" t="n">
        <v>3.263156230678832</v>
      </c>
      <c r="N254" t="n">
        <v>45.4614366770689</v>
      </c>
      <c r="O254" t="inlineStr"/>
      <c r="P254" t="inlineStr">
        <is>
          <t>Turkey||3Y</t>
        </is>
      </c>
      <c r="Q254" t="inlineStr">
        <is>
          <t>Turkey|3Y</t>
        </is>
      </c>
      <c r="R254" t="inlineStr"/>
    </row>
    <row r="255">
      <c r="A255" t="inlineStr">
        <is>
          <t>Turkey</t>
        </is>
      </c>
      <c r="B255" t="inlineStr">
        <is>
          <t>TUR</t>
        </is>
      </c>
      <c r="C255" t="inlineStr"/>
      <c r="D255" s="2" t="n">
        <v>46022</v>
      </c>
      <c r="E255" t="inlineStr">
        <is>
          <t>5Y</t>
        </is>
      </c>
      <c r="F255" t="inlineStr"/>
      <c r="G255" t="n">
        <v>5.77926032137992</v>
      </c>
      <c r="H255" t="n">
        <v>64.62899885264861</v>
      </c>
      <c r="I255" t="n">
        <v>16.47249888199764</v>
      </c>
      <c r="J255" t="n">
        <v>-29.25152932308978</v>
      </c>
      <c r="K255" t="n">
        <v>-29.60195263197215</v>
      </c>
      <c r="L255" t="n">
        <v>46.63397124601288</v>
      </c>
      <c r="M255" t="n">
        <v>4.476417270751631</v>
      </c>
      <c r="N255" t="n">
        <v>42.15755397526124</v>
      </c>
      <c r="O255" t="inlineStr"/>
      <c r="P255" t="inlineStr">
        <is>
          <t>Turkey||5Y</t>
        </is>
      </c>
      <c r="Q255" t="inlineStr">
        <is>
          <t>Turkey|5Y</t>
        </is>
      </c>
      <c r="R255" t="inlineStr"/>
    </row>
    <row r="256">
      <c r="A256" t="inlineStr">
        <is>
          <t>Turkey</t>
        </is>
      </c>
      <c r="B256" t="inlineStr">
        <is>
          <t>TUR</t>
        </is>
      </c>
      <c r="C256" t="inlineStr"/>
      <c r="D256" s="2" t="n">
        <v>46022</v>
      </c>
      <c r="E256" t="inlineStr">
        <is>
          <t>10Y</t>
        </is>
      </c>
      <c r="F256" t="inlineStr"/>
      <c r="G256" t="n">
        <v>4.643244943240665</v>
      </c>
      <c r="H256" t="n">
        <v>38.7337739966562</v>
      </c>
      <c r="I256" t="n">
        <v>6.072382672649201</v>
      </c>
      <c r="J256" t="n">
        <v>-23.5424945946352</v>
      </c>
      <c r="K256" t="n">
        <v>-23.60290197661619</v>
      </c>
      <c r="L256" t="n">
        <v>28.43815342456906</v>
      </c>
      <c r="M256" t="n">
        <v>3.119152472830278</v>
      </c>
      <c r="N256" t="n">
        <v>25.31900095173878</v>
      </c>
      <c r="O256" t="inlineStr"/>
      <c r="P256" t="inlineStr">
        <is>
          <t>Turkey||10Y</t>
        </is>
      </c>
      <c r="Q256" t="inlineStr">
        <is>
          <t>Turkey|10Y</t>
        </is>
      </c>
      <c r="R256" t="inlineStr"/>
    </row>
    <row r="257">
      <c r="A257" t="inlineStr">
        <is>
          <t>Turkey</t>
        </is>
      </c>
      <c r="B257" t="inlineStr">
        <is>
          <t>TUR</t>
        </is>
      </c>
      <c r="C257" t="inlineStr">
        <is>
          <t>TUR</t>
        </is>
      </c>
      <c r="D257" s="2" t="n">
        <v>46022</v>
      </c>
      <c r="E257" t="inlineStr">
        <is>
          <t>1Y</t>
        </is>
      </c>
      <c r="F257" t="n">
        <v>-3.130778552760527</v>
      </c>
      <c r="G257" t="n">
        <v>3.493999999999997</v>
      </c>
      <c r="H257" t="n">
        <v>39.45333099999999</v>
      </c>
      <c r="I257" t="n">
        <v>15.25638499999999</v>
      </c>
      <c r="J257" t="n">
        <v>-17.35128607190518</v>
      </c>
      <c r="K257" t="n">
        <v>-17.72339999915662</v>
      </c>
      <c r="L257" t="n">
        <v>34.89</v>
      </c>
      <c r="M257" t="n">
        <v>2.715000000000001</v>
      </c>
      <c r="N257" t="n">
        <v>32.175</v>
      </c>
      <c r="O257" t="n">
        <v>18.38716355276052</v>
      </c>
      <c r="P257" t="inlineStr">
        <is>
          <t>Turkey|TUR|1Y</t>
        </is>
      </c>
      <c r="Q257" t="inlineStr">
        <is>
          <t>Turkey|1Y</t>
        </is>
      </c>
      <c r="R257" t="inlineStr">
        <is>
          <t>USD</t>
        </is>
      </c>
    </row>
    <row r="258">
      <c r="A258" t="inlineStr">
        <is>
          <t>Turkey</t>
        </is>
      </c>
      <c r="B258" t="inlineStr">
        <is>
          <t>TUR</t>
        </is>
      </c>
      <c r="C258" t="inlineStr">
        <is>
          <t>TUR</t>
        </is>
      </c>
      <c r="D258" s="2" t="n">
        <v>46022</v>
      </c>
      <c r="E258" t="inlineStr">
        <is>
          <t>3Y</t>
        </is>
      </c>
      <c r="F258" t="n">
        <v>-0.2251342614117302</v>
      </c>
      <c r="G258" t="n">
        <v>3.95280050096356</v>
      </c>
      <c r="H258" t="n">
        <v>59.49173539936783</v>
      </c>
      <c r="I258" t="n">
        <v>19.18087843836862</v>
      </c>
      <c r="J258" t="n">
        <v>-25.27457403819189</v>
      </c>
      <c r="K258" t="n">
        <v>-24.30809848352511</v>
      </c>
      <c r="L258" t="n">
        <v>48.72459290774773</v>
      </c>
      <c r="M258" t="n">
        <v>3.263156230678832</v>
      </c>
      <c r="N258" t="n">
        <v>45.4614366770689</v>
      </c>
      <c r="O258" t="n">
        <v>19.40601269978035</v>
      </c>
      <c r="P258" t="inlineStr">
        <is>
          <t>Turkey|TUR|3Y</t>
        </is>
      </c>
      <c r="Q258" t="inlineStr">
        <is>
          <t>Turkey|3Y</t>
        </is>
      </c>
      <c r="R258" t="inlineStr">
        <is>
          <t>USD</t>
        </is>
      </c>
    </row>
    <row r="259">
      <c r="A259" t="inlineStr">
        <is>
          <t>Turkey</t>
        </is>
      </c>
      <c r="B259" t="inlineStr">
        <is>
          <t>TUR</t>
        </is>
      </c>
      <c r="C259" t="inlineStr">
        <is>
          <t>TUR</t>
        </is>
      </c>
      <c r="D259" s="2" t="n">
        <v>46022</v>
      </c>
      <c r="E259" t="inlineStr">
        <is>
          <t>5Y</t>
        </is>
      </c>
      <c r="F259" t="n">
        <v>8.467483765758832</v>
      </c>
      <c r="G259" t="n">
        <v>5.77926032137992</v>
      </c>
      <c r="H259" t="n">
        <v>64.62899885264861</v>
      </c>
      <c r="I259" t="n">
        <v>16.47249888199764</v>
      </c>
      <c r="J259" t="n">
        <v>-29.25152932308978</v>
      </c>
      <c r="K259" t="n">
        <v>-29.60195263197215</v>
      </c>
      <c r="L259" t="n">
        <v>46.63397124601288</v>
      </c>
      <c r="M259" t="n">
        <v>4.476417270751631</v>
      </c>
      <c r="N259" t="n">
        <v>42.15755397526124</v>
      </c>
      <c r="O259" t="n">
        <v>8.005015116238813</v>
      </c>
      <c r="P259" t="inlineStr">
        <is>
          <t>Turkey|TUR|5Y</t>
        </is>
      </c>
      <c r="Q259" t="inlineStr">
        <is>
          <t>Turkey|5Y</t>
        </is>
      </c>
      <c r="R259" t="inlineStr">
        <is>
          <t>USD</t>
        </is>
      </c>
    </row>
    <row r="260">
      <c r="A260" t="inlineStr">
        <is>
          <t>Turkey</t>
        </is>
      </c>
      <c r="B260" t="inlineStr">
        <is>
          <t>TUR</t>
        </is>
      </c>
      <c r="C260" t="inlineStr">
        <is>
          <t>TUR</t>
        </is>
      </c>
      <c r="D260" s="2" t="n">
        <v>46022</v>
      </c>
      <c r="E260" t="inlineStr">
        <is>
          <t>10Y</t>
        </is>
      </c>
      <c r="F260" t="n">
        <v>2.645270259670918</v>
      </c>
      <c r="G260" t="n">
        <v>4.643244943240665</v>
      </c>
      <c r="H260" t="n">
        <v>38.7337739966562</v>
      </c>
      <c r="I260" t="n">
        <v>6.072382672649201</v>
      </c>
      <c r="J260" t="n">
        <v>-23.5424945946352</v>
      </c>
      <c r="K260" t="n">
        <v>-23.60290197661619</v>
      </c>
      <c r="L260" t="n">
        <v>28.43815342456906</v>
      </c>
      <c r="M260" t="n">
        <v>3.119152472830278</v>
      </c>
      <c r="N260" t="n">
        <v>25.31900095173878</v>
      </c>
      <c r="O260" t="n">
        <v>3.427112412978284</v>
      </c>
      <c r="P260" t="inlineStr">
        <is>
          <t>Turkey|TUR|10Y</t>
        </is>
      </c>
      <c r="Q260" t="inlineStr">
        <is>
          <t>Turkey|10Y</t>
        </is>
      </c>
      <c r="R260" t="inlineStr">
        <is>
          <t>USD</t>
        </is>
      </c>
    </row>
    <row r="261">
      <c r="A261" t="inlineStr">
        <is>
          <t>Turkey</t>
        </is>
      </c>
      <c r="B261" t="inlineStr">
        <is>
          <t>TUR</t>
        </is>
      </c>
      <c r="C261" t="inlineStr">
        <is>
          <t>TURL.L</t>
        </is>
      </c>
      <c r="D261" s="2" t="n">
        <v>46022</v>
      </c>
      <c r="E261" t="inlineStr">
        <is>
          <t>1Y</t>
        </is>
      </c>
      <c r="F261" t="n">
        <v>7.571929555270285</v>
      </c>
      <c r="G261" t="n">
        <v>3.493999999999997</v>
      </c>
      <c r="H261" t="n">
        <v>39.45333099999999</v>
      </c>
      <c r="I261" t="n">
        <v>15.25638499999999</v>
      </c>
      <c r="J261" t="n">
        <v>-17.35128607190518</v>
      </c>
      <c r="K261" t="n">
        <v>-17.72339999915662</v>
      </c>
      <c r="L261" t="n">
        <v>34.89</v>
      </c>
      <c r="M261" t="n">
        <v>2.715000000000001</v>
      </c>
      <c r="N261" t="n">
        <v>32.175</v>
      </c>
      <c r="O261" t="n">
        <v>7.68445544472971</v>
      </c>
      <c r="P261" t="inlineStr">
        <is>
          <t>Turkey|TURL.L|1Y</t>
        </is>
      </c>
      <c r="Q261" t="inlineStr">
        <is>
          <t>Turkey|1Y</t>
        </is>
      </c>
      <c r="R261" t="inlineStr">
        <is>
          <t>GBp</t>
        </is>
      </c>
    </row>
    <row r="262">
      <c r="A262" t="inlineStr">
        <is>
          <t>Turkey</t>
        </is>
      </c>
      <c r="B262" t="inlineStr">
        <is>
          <t>TUR</t>
        </is>
      </c>
      <c r="C262" t="inlineStr">
        <is>
          <t>TURL.L</t>
        </is>
      </c>
      <c r="D262" s="2" t="n">
        <v>46022</v>
      </c>
      <c r="E262" t="inlineStr">
        <is>
          <t>3Y</t>
        </is>
      </c>
      <c r="F262" t="n">
        <v>-3.696072538823703</v>
      </c>
      <c r="G262" t="n">
        <v>3.95280050096356</v>
      </c>
      <c r="H262" t="n">
        <v>59.49173539936783</v>
      </c>
      <c r="I262" t="n">
        <v>19.18087843836862</v>
      </c>
      <c r="J262" t="n">
        <v>-25.27457403819189</v>
      </c>
      <c r="K262" t="n">
        <v>-24.30809848352511</v>
      </c>
      <c r="L262" t="n">
        <v>48.72459290774773</v>
      </c>
      <c r="M262" t="n">
        <v>3.263156230678832</v>
      </c>
      <c r="N262" t="n">
        <v>45.4614366770689</v>
      </c>
      <c r="O262" t="n">
        <v>22.87695097719232</v>
      </c>
      <c r="P262" t="inlineStr">
        <is>
          <t>Turkey|TURL.L|3Y</t>
        </is>
      </c>
      <c r="Q262" t="inlineStr">
        <is>
          <t>Turkey|3Y</t>
        </is>
      </c>
      <c r="R262" t="inlineStr">
        <is>
          <t>GBp</t>
        </is>
      </c>
    </row>
    <row r="263">
      <c r="A263" t="inlineStr">
        <is>
          <t>Turkey</t>
        </is>
      </c>
      <c r="B263" t="inlineStr">
        <is>
          <t>TUR</t>
        </is>
      </c>
      <c r="C263" t="inlineStr">
        <is>
          <t>TURL.L</t>
        </is>
      </c>
      <c r="D263" s="2" t="n">
        <v>46022</v>
      </c>
      <c r="E263" t="inlineStr">
        <is>
          <t>5Y</t>
        </is>
      </c>
      <c r="F263" t="n">
        <v>4.603693326194813</v>
      </c>
      <c r="G263" t="n">
        <v>5.77926032137992</v>
      </c>
      <c r="H263" t="n">
        <v>64.62899885264861</v>
      </c>
      <c r="I263" t="n">
        <v>16.47249888199764</v>
      </c>
      <c r="J263" t="n">
        <v>-29.25152932308978</v>
      </c>
      <c r="K263" t="n">
        <v>-29.60195263197215</v>
      </c>
      <c r="L263" t="n">
        <v>46.63397124601288</v>
      </c>
      <c r="M263" t="n">
        <v>4.476417270751631</v>
      </c>
      <c r="N263" t="n">
        <v>42.15755397526124</v>
      </c>
      <c r="O263" t="n">
        <v>11.86880555580283</v>
      </c>
      <c r="P263" t="inlineStr">
        <is>
          <t>Turkey|TURL.L|5Y</t>
        </is>
      </c>
      <c r="Q263" t="inlineStr">
        <is>
          <t>Turkey|5Y</t>
        </is>
      </c>
      <c r="R263" t="inlineStr">
        <is>
          <t>GBp</t>
        </is>
      </c>
    </row>
    <row r="264">
      <c r="A264" t="inlineStr">
        <is>
          <t>Turkey</t>
        </is>
      </c>
      <c r="B264" t="inlineStr">
        <is>
          <t>TUR</t>
        </is>
      </c>
      <c r="C264" t="inlineStr">
        <is>
          <t>TURL.L</t>
        </is>
      </c>
      <c r="D264" s="2" t="n">
        <v>46022</v>
      </c>
      <c r="E264" t="inlineStr">
        <is>
          <t>10Y</t>
        </is>
      </c>
      <c r="F264" t="n">
        <v>-3.692303541049458</v>
      </c>
      <c r="G264" t="n">
        <v>4.643244943240665</v>
      </c>
      <c r="H264" t="n">
        <v>38.7337739966562</v>
      </c>
      <c r="I264" t="n">
        <v>6.072382672649201</v>
      </c>
      <c r="J264" t="n">
        <v>-23.5424945946352</v>
      </c>
      <c r="K264" t="n">
        <v>-23.60290197661619</v>
      </c>
      <c r="L264" t="n">
        <v>28.43815342456906</v>
      </c>
      <c r="M264" t="n">
        <v>3.119152472830278</v>
      </c>
      <c r="N264" t="n">
        <v>25.31900095173878</v>
      </c>
      <c r="O264" t="n">
        <v>9.76468621369866</v>
      </c>
      <c r="P264" t="inlineStr">
        <is>
          <t>Turkey|TURL.L|10Y</t>
        </is>
      </c>
      <c r="Q264" t="inlineStr">
        <is>
          <t>Turkey|10Y</t>
        </is>
      </c>
      <c r="R264" t="inlineStr">
        <is>
          <t>GBp</t>
        </is>
      </c>
    </row>
    <row r="265">
      <c r="A265" t="inlineStr">
        <is>
          <t>United Kingdom</t>
        </is>
      </c>
      <c r="B265" t="inlineStr">
        <is>
          <t>GBR</t>
        </is>
      </c>
      <c r="C265" t="inlineStr"/>
      <c r="D265" s="2" t="n">
        <v>46022</v>
      </c>
      <c r="E265" t="inlineStr">
        <is>
          <t>1Y</t>
        </is>
      </c>
      <c r="F265" t="inlineStr"/>
      <c r="G265" t="n">
        <v>1.307999999999998</v>
      </c>
      <c r="H265" t="n">
        <v>4.886900999999999</v>
      </c>
      <c r="I265" t="n">
        <v>8.619351999999992</v>
      </c>
      <c r="J265" t="n">
        <v>3.558548457791244</v>
      </c>
      <c r="K265" t="n">
        <v>7.623377354227179</v>
      </c>
      <c r="L265" t="n">
        <v>3.401999999999994</v>
      </c>
      <c r="M265" t="n">
        <v>2.715000000000001</v>
      </c>
      <c r="N265" t="n">
        <v>0.6869999999999932</v>
      </c>
      <c r="O265" t="inlineStr"/>
      <c r="P265" t="inlineStr">
        <is>
          <t>United Kingdom||1Y</t>
        </is>
      </c>
      <c r="Q265" t="inlineStr">
        <is>
          <t>United Kingdom|1Y</t>
        </is>
      </c>
      <c r="R265" t="inlineStr"/>
    </row>
    <row r="266">
      <c r="A266" t="inlineStr">
        <is>
          <t>United Kingdom</t>
        </is>
      </c>
      <c r="B266" t="inlineStr">
        <is>
          <t>GBR</t>
        </is>
      </c>
      <c r="C266" t="inlineStr"/>
      <c r="D266" s="2" t="n">
        <v>46022</v>
      </c>
      <c r="E266" t="inlineStr">
        <is>
          <t>3Y</t>
        </is>
      </c>
      <c r="F266" t="inlineStr"/>
      <c r="G266" t="n">
        <v>0.934579070475805</v>
      </c>
      <c r="H266" t="n">
        <v>5.779933394896974</v>
      </c>
      <c r="I266" t="n">
        <v>8.197792806603864</v>
      </c>
      <c r="J266" t="n">
        <v>2.285744808393497</v>
      </c>
      <c r="K266" t="n">
        <v>3.591345982133687</v>
      </c>
      <c r="L266" t="n">
        <v>4.391207274119235</v>
      </c>
      <c r="M266" t="n">
        <v>3.263156230678832</v>
      </c>
      <c r="N266" t="n">
        <v>1.128051043440403</v>
      </c>
      <c r="O266" t="inlineStr"/>
      <c r="P266" t="inlineStr">
        <is>
          <t>United Kingdom||3Y</t>
        </is>
      </c>
      <c r="Q266" t="inlineStr">
        <is>
          <t>United Kingdom|3Y</t>
        </is>
      </c>
      <c r="R266" t="inlineStr"/>
    </row>
    <row r="267">
      <c r="A267" t="inlineStr">
        <is>
          <t>United Kingdom</t>
        </is>
      </c>
      <c r="B267" t="inlineStr">
        <is>
          <t>GBR</t>
        </is>
      </c>
      <c r="C267" t="inlineStr"/>
      <c r="D267" s="2" t="n">
        <v>46022</v>
      </c>
      <c r="E267" t="inlineStr">
        <is>
          <t>5Y</t>
        </is>
      </c>
      <c r="F267" t="inlineStr"/>
      <c r="G267" t="n">
        <v>3.198961574222303</v>
      </c>
      <c r="H267" t="n">
        <v>7.289058230505674</v>
      </c>
      <c r="I267" t="n">
        <v>7.964552917353718</v>
      </c>
      <c r="J267" t="n">
        <v>0.6296024866336847</v>
      </c>
      <c r="K267" t="n">
        <v>-0.2933404216605595</v>
      </c>
      <c r="L267" t="n">
        <v>4.943691833111097</v>
      </c>
      <c r="M267" t="n">
        <v>4.476417270751631</v>
      </c>
      <c r="N267" t="n">
        <v>0.4672745623594654</v>
      </c>
      <c r="O267" t="inlineStr"/>
      <c r="P267" t="inlineStr">
        <is>
          <t>United Kingdom||5Y</t>
        </is>
      </c>
      <c r="Q267" t="inlineStr">
        <is>
          <t>United Kingdom|5Y</t>
        </is>
      </c>
      <c r="R267" t="inlineStr"/>
    </row>
    <row r="268">
      <c r="A268" t="inlineStr">
        <is>
          <t>United Kingdom</t>
        </is>
      </c>
      <c r="B268" t="inlineStr">
        <is>
          <t>GBR</t>
        </is>
      </c>
      <c r="C268" t="inlineStr"/>
      <c r="D268" s="2" t="n">
        <v>46022</v>
      </c>
      <c r="E268" t="inlineStr">
        <is>
          <t>10Y</t>
        </is>
      </c>
      <c r="F268" t="inlineStr"/>
      <c r="G268" t="n">
        <v>1.248728139241617</v>
      </c>
      <c r="H268" t="n">
        <v>4.549487231423588</v>
      </c>
      <c r="I268" t="n">
        <v>3.060146113533135</v>
      </c>
      <c r="J268" t="n">
        <v>-1.424532290257197</v>
      </c>
      <c r="K268" t="n">
        <v>-0.893195788090595</v>
      </c>
      <c r="L268" t="n">
        <v>3.303667380071795</v>
      </c>
      <c r="M268" t="n">
        <v>3.119152472830278</v>
      </c>
      <c r="N268" t="n">
        <v>0.1845149072415175</v>
      </c>
      <c r="O268" t="inlineStr"/>
      <c r="P268" t="inlineStr">
        <is>
          <t>United Kingdom||10Y</t>
        </is>
      </c>
      <c r="Q268" t="inlineStr">
        <is>
          <t>United Kingdom|10Y</t>
        </is>
      </c>
      <c r="R268" t="inlineStr"/>
    </row>
    <row r="269">
      <c r="A269" t="inlineStr">
        <is>
          <t>United Kingdom</t>
        </is>
      </c>
      <c r="B269" t="inlineStr">
        <is>
          <t>GBR</t>
        </is>
      </c>
      <c r="C269" t="inlineStr">
        <is>
          <t>CSUK.L</t>
        </is>
      </c>
      <c r="D269" s="2" t="n">
        <v>46022</v>
      </c>
      <c r="E269" t="inlineStr">
        <is>
          <t>1Y</t>
        </is>
      </c>
      <c r="F269" t="n">
        <v>33.16904002605603</v>
      </c>
      <c r="G269" t="n">
        <v>1.307999999999998</v>
      </c>
      <c r="H269" t="n">
        <v>4.886900999999999</v>
      </c>
      <c r="I269" t="n">
        <v>8.619351999999992</v>
      </c>
      <c r="J269" t="n">
        <v>3.558548457791244</v>
      </c>
      <c r="K269" t="n">
        <v>7.623377354227179</v>
      </c>
      <c r="L269" t="n">
        <v>3.401999999999994</v>
      </c>
      <c r="M269" t="n">
        <v>2.715000000000001</v>
      </c>
      <c r="N269" t="n">
        <v>0.6869999999999932</v>
      </c>
      <c r="O269" t="n">
        <v>-24.54968802605604</v>
      </c>
      <c r="P269" t="inlineStr">
        <is>
          <t>United Kingdom|CSUK.L|1Y</t>
        </is>
      </c>
      <c r="Q269" t="inlineStr">
        <is>
          <t>United Kingdom|1Y</t>
        </is>
      </c>
      <c r="R269" t="inlineStr">
        <is>
          <t>GBp</t>
        </is>
      </c>
    </row>
    <row r="270">
      <c r="A270" t="inlineStr">
        <is>
          <t>United Kingdom</t>
        </is>
      </c>
      <c r="B270" t="inlineStr">
        <is>
          <t>GBR</t>
        </is>
      </c>
      <c r="C270" t="inlineStr">
        <is>
          <t>CSUK.L</t>
        </is>
      </c>
      <c r="D270" s="2" t="n">
        <v>46022</v>
      </c>
      <c r="E270" t="inlineStr">
        <is>
          <t>3Y</t>
        </is>
      </c>
      <c r="F270" t="n">
        <v>17.09634052839633</v>
      </c>
      <c r="G270" t="n">
        <v>0.934579070475805</v>
      </c>
      <c r="H270" t="n">
        <v>5.779933394896974</v>
      </c>
      <c r="I270" t="n">
        <v>8.197792806603864</v>
      </c>
      <c r="J270" t="n">
        <v>2.285744808393497</v>
      </c>
      <c r="K270" t="n">
        <v>3.591345982133687</v>
      </c>
      <c r="L270" t="n">
        <v>4.391207274119235</v>
      </c>
      <c r="M270" t="n">
        <v>3.263156230678832</v>
      </c>
      <c r="N270" t="n">
        <v>1.128051043440403</v>
      </c>
      <c r="O270" t="n">
        <v>-8.898547721792461</v>
      </c>
      <c r="P270" t="inlineStr">
        <is>
          <t>United Kingdom|CSUK.L|3Y</t>
        </is>
      </c>
      <c r="Q270" t="inlineStr">
        <is>
          <t>United Kingdom|3Y</t>
        </is>
      </c>
      <c r="R270" t="inlineStr">
        <is>
          <t>GBp</t>
        </is>
      </c>
    </row>
    <row r="271">
      <c r="A271" t="inlineStr">
        <is>
          <t>United Kingdom</t>
        </is>
      </c>
      <c r="B271" t="inlineStr">
        <is>
          <t>GBR</t>
        </is>
      </c>
      <c r="C271" t="inlineStr">
        <is>
          <t>CSUK.L</t>
        </is>
      </c>
      <c r="D271" s="2" t="n">
        <v>46022</v>
      </c>
      <c r="E271" t="inlineStr">
        <is>
          <t>5Y</t>
        </is>
      </c>
      <c r="F271" t="n">
        <v>12.26276133262585</v>
      </c>
      <c r="G271" t="n">
        <v>3.198961574222303</v>
      </c>
      <c r="H271" t="n">
        <v>7.289058230505674</v>
      </c>
      <c r="I271" t="n">
        <v>7.964552917353718</v>
      </c>
      <c r="J271" t="n">
        <v>0.6296024866336847</v>
      </c>
      <c r="K271" t="n">
        <v>-0.2933404216605595</v>
      </c>
      <c r="L271" t="n">
        <v>4.943691833111097</v>
      </c>
      <c r="M271" t="n">
        <v>4.476417270751631</v>
      </c>
      <c r="N271" t="n">
        <v>0.4672745623594654</v>
      </c>
      <c r="O271" t="n">
        <v>-4.298208415272132</v>
      </c>
      <c r="P271" t="inlineStr">
        <is>
          <t>United Kingdom|CSUK.L|5Y</t>
        </is>
      </c>
      <c r="Q271" t="inlineStr">
        <is>
          <t>United Kingdom|5Y</t>
        </is>
      </c>
      <c r="R271" t="inlineStr">
        <is>
          <t>GBp</t>
        </is>
      </c>
    </row>
    <row r="272">
      <c r="A272" t="inlineStr">
        <is>
          <t>United Kingdom</t>
        </is>
      </c>
      <c r="B272" t="inlineStr">
        <is>
          <t>GBR</t>
        </is>
      </c>
      <c r="C272" t="inlineStr">
        <is>
          <t>CSUK.L</t>
        </is>
      </c>
      <c r="D272" s="2" t="n">
        <v>46022</v>
      </c>
      <c r="E272" t="inlineStr">
        <is>
          <t>10Y</t>
        </is>
      </c>
      <c r="F272" t="n">
        <v>7.344623806201511</v>
      </c>
      <c r="G272" t="n">
        <v>1.248728139241617</v>
      </c>
      <c r="H272" t="n">
        <v>4.549487231423588</v>
      </c>
      <c r="I272" t="n">
        <v>3.060146113533135</v>
      </c>
      <c r="J272" t="n">
        <v>-1.424532290257197</v>
      </c>
      <c r="K272" t="n">
        <v>-0.893195788090595</v>
      </c>
      <c r="L272" t="n">
        <v>3.303667380071795</v>
      </c>
      <c r="M272" t="n">
        <v>3.119152472830278</v>
      </c>
      <c r="N272" t="n">
        <v>0.1845149072415175</v>
      </c>
      <c r="O272" t="n">
        <v>-4.284477692668376</v>
      </c>
      <c r="P272" t="inlineStr">
        <is>
          <t>United Kingdom|CSUK.L|10Y</t>
        </is>
      </c>
      <c r="Q272" t="inlineStr">
        <is>
          <t>United Kingdom|10Y</t>
        </is>
      </c>
      <c r="R272" t="inlineStr">
        <is>
          <t>GBp</t>
        </is>
      </c>
    </row>
    <row r="273">
      <c r="A273" t="inlineStr">
        <is>
          <t>United Kingdom</t>
        </is>
      </c>
      <c r="B273" t="inlineStr">
        <is>
          <t>GBR</t>
        </is>
      </c>
      <c r="C273" t="inlineStr">
        <is>
          <t>CUKX.L</t>
        </is>
      </c>
      <c r="D273" s="2" t="n">
        <v>46022</v>
      </c>
      <c r="E273" t="inlineStr">
        <is>
          <t>1Y</t>
        </is>
      </c>
      <c r="F273" t="n">
        <v>33.88458439596942</v>
      </c>
      <c r="G273" t="n">
        <v>1.307999999999998</v>
      </c>
      <c r="H273" t="n">
        <v>4.886900999999999</v>
      </c>
      <c r="I273" t="n">
        <v>8.619351999999992</v>
      </c>
      <c r="J273" t="n">
        <v>3.558548457791244</v>
      </c>
      <c r="K273" t="n">
        <v>7.623377354227179</v>
      </c>
      <c r="L273" t="n">
        <v>3.401999999999994</v>
      </c>
      <c r="M273" t="n">
        <v>2.715000000000001</v>
      </c>
      <c r="N273" t="n">
        <v>0.6869999999999932</v>
      </c>
      <c r="O273" t="n">
        <v>-25.26523239596943</v>
      </c>
      <c r="P273" t="inlineStr">
        <is>
          <t>United Kingdom|CUKX.L|1Y</t>
        </is>
      </c>
      <c r="Q273" t="inlineStr">
        <is>
          <t>United Kingdom|1Y</t>
        </is>
      </c>
      <c r="R273" t="inlineStr">
        <is>
          <t>GBp</t>
        </is>
      </c>
    </row>
    <row r="274">
      <c r="A274" t="inlineStr">
        <is>
          <t>United Kingdom</t>
        </is>
      </c>
      <c r="B274" t="inlineStr">
        <is>
          <t>GBR</t>
        </is>
      </c>
      <c r="C274" t="inlineStr">
        <is>
          <t>CUKX.L</t>
        </is>
      </c>
      <c r="D274" s="2" t="n">
        <v>46022</v>
      </c>
      <c r="E274" t="inlineStr">
        <is>
          <t>3Y</t>
        </is>
      </c>
      <c r="F274" t="n">
        <v>17.74518267401215</v>
      </c>
      <c r="G274" t="n">
        <v>0.934579070475805</v>
      </c>
      <c r="H274" t="n">
        <v>5.779933394896974</v>
      </c>
      <c r="I274" t="n">
        <v>8.197792806603864</v>
      </c>
      <c r="J274" t="n">
        <v>2.285744808393497</v>
      </c>
      <c r="K274" t="n">
        <v>3.591345982133687</v>
      </c>
      <c r="L274" t="n">
        <v>4.391207274119235</v>
      </c>
      <c r="M274" t="n">
        <v>3.263156230678832</v>
      </c>
      <c r="N274" t="n">
        <v>1.128051043440403</v>
      </c>
      <c r="O274" t="n">
        <v>-9.547389867408285</v>
      </c>
      <c r="P274" t="inlineStr">
        <is>
          <t>United Kingdom|CUKX.L|3Y</t>
        </is>
      </c>
      <c r="Q274" t="inlineStr">
        <is>
          <t>United Kingdom|3Y</t>
        </is>
      </c>
      <c r="R274" t="inlineStr">
        <is>
          <t>GBp</t>
        </is>
      </c>
    </row>
    <row r="275">
      <c r="A275" t="inlineStr">
        <is>
          <t>United Kingdom</t>
        </is>
      </c>
      <c r="B275" t="inlineStr">
        <is>
          <t>GBR</t>
        </is>
      </c>
      <c r="C275" t="inlineStr">
        <is>
          <t>CUKX.L</t>
        </is>
      </c>
      <c r="D275" s="2" t="n">
        <v>46022</v>
      </c>
      <c r="E275" t="inlineStr">
        <is>
          <t>5Y</t>
        </is>
      </c>
      <c r="F275" t="n">
        <v>12.00906740336205</v>
      </c>
      <c r="G275" t="n">
        <v>3.198961574222303</v>
      </c>
      <c r="H275" t="n">
        <v>7.289058230505674</v>
      </c>
      <c r="I275" t="n">
        <v>7.964552917353718</v>
      </c>
      <c r="J275" t="n">
        <v>0.6296024866336847</v>
      </c>
      <c r="K275" t="n">
        <v>-0.2933404216605595</v>
      </c>
      <c r="L275" t="n">
        <v>4.943691833111097</v>
      </c>
      <c r="M275" t="n">
        <v>4.476417270751631</v>
      </c>
      <c r="N275" t="n">
        <v>0.4672745623594654</v>
      </c>
      <c r="O275" t="n">
        <v>-4.044514486008332</v>
      </c>
      <c r="P275" t="inlineStr">
        <is>
          <t>United Kingdom|CUKX.L|5Y</t>
        </is>
      </c>
      <c r="Q275" t="inlineStr">
        <is>
          <t>United Kingdom|5Y</t>
        </is>
      </c>
      <c r="R275" t="inlineStr">
        <is>
          <t>GBp</t>
        </is>
      </c>
    </row>
    <row r="276">
      <c r="A276" t="inlineStr">
        <is>
          <t>United Kingdom</t>
        </is>
      </c>
      <c r="B276" t="inlineStr">
        <is>
          <t>GBR</t>
        </is>
      </c>
      <c r="C276" t="inlineStr">
        <is>
          <t>CUKX.L</t>
        </is>
      </c>
      <c r="D276" s="2" t="n">
        <v>46022</v>
      </c>
      <c r="E276" t="inlineStr">
        <is>
          <t>10Y</t>
        </is>
      </c>
      <c r="F276" t="n">
        <v>7.688333700279237</v>
      </c>
      <c r="G276" t="n">
        <v>1.248728139241617</v>
      </c>
      <c r="H276" t="n">
        <v>4.549487231423588</v>
      </c>
      <c r="I276" t="n">
        <v>3.060146113533135</v>
      </c>
      <c r="J276" t="n">
        <v>-1.424532290257197</v>
      </c>
      <c r="K276" t="n">
        <v>-0.893195788090595</v>
      </c>
      <c r="L276" t="n">
        <v>3.303667380071795</v>
      </c>
      <c r="M276" t="n">
        <v>3.119152472830278</v>
      </c>
      <c r="N276" t="n">
        <v>0.1845149072415175</v>
      </c>
      <c r="O276" t="n">
        <v>-4.628187586746102</v>
      </c>
      <c r="P276" t="inlineStr">
        <is>
          <t>United Kingdom|CUKX.L|10Y</t>
        </is>
      </c>
      <c r="Q276" t="inlineStr">
        <is>
          <t>United Kingdom|10Y</t>
        </is>
      </c>
      <c r="R276" t="inlineStr">
        <is>
          <t>GBp</t>
        </is>
      </c>
    </row>
    <row r="277">
      <c r="A277" t="inlineStr">
        <is>
          <t>United States</t>
        </is>
      </c>
      <c r="B277" t="inlineStr">
        <is>
          <t>USA</t>
        </is>
      </c>
      <c r="C277" t="inlineStr"/>
      <c r="D277" s="2" t="n">
        <v>46022</v>
      </c>
      <c r="E277" t="inlineStr">
        <is>
          <t>1Y</t>
        </is>
      </c>
      <c r="F277" t="inlineStr"/>
      <c r="G277" t="n">
        <v>2.017000000000002</v>
      </c>
      <c r="H277" t="n">
        <v>4.497634000000006</v>
      </c>
      <c r="I277" t="n">
        <v>4.497634000000006</v>
      </c>
      <c r="J277" t="n">
        <v>0</v>
      </c>
      <c r="K277" t="n">
        <v>0</v>
      </c>
      <c r="L277" t="n">
        <v>2.715000000000001</v>
      </c>
      <c r="M277" t="n">
        <v>2.715000000000001</v>
      </c>
      <c r="N277" t="n">
        <v>0</v>
      </c>
      <c r="O277" t="inlineStr"/>
      <c r="P277" t="inlineStr">
        <is>
          <t>United States||1Y</t>
        </is>
      </c>
      <c r="Q277" t="inlineStr">
        <is>
          <t>United States|1Y</t>
        </is>
      </c>
      <c r="R277" t="inlineStr"/>
    </row>
    <row r="278">
      <c r="A278" t="inlineStr">
        <is>
          <t>United States</t>
        </is>
      </c>
      <c r="B278" t="inlineStr">
        <is>
          <t>USA</t>
        </is>
      </c>
      <c r="C278" t="inlineStr"/>
      <c r="D278" s="2" t="n">
        <v>46022</v>
      </c>
      <c r="E278" t="inlineStr">
        <is>
          <t>3Y</t>
        </is>
      </c>
      <c r="F278" t="inlineStr"/>
      <c r="G278" t="n">
        <v>2.580871884428859</v>
      </c>
      <c r="H278" t="n">
        <v>5.524539071077084</v>
      </c>
      <c r="I278" t="n">
        <v>5.524539071077084</v>
      </c>
      <c r="J278" t="n">
        <v>0</v>
      </c>
      <c r="K278" t="n">
        <v>0</v>
      </c>
      <c r="L278" t="n">
        <v>3.263156230678832</v>
      </c>
      <c r="M278" t="n">
        <v>3.263156230678832</v>
      </c>
      <c r="N278" t="n">
        <v>0</v>
      </c>
      <c r="O278" t="inlineStr"/>
      <c r="P278" t="inlineStr">
        <is>
          <t>United States||3Y</t>
        </is>
      </c>
      <c r="Q278" t="inlineStr">
        <is>
          <t>United States|3Y</t>
        </is>
      </c>
      <c r="R278" t="inlineStr"/>
    </row>
    <row r="279">
      <c r="A279" t="inlineStr">
        <is>
          <t>United States</t>
        </is>
      </c>
      <c r="B279" t="inlineStr">
        <is>
          <t>USA</t>
        </is>
      </c>
      <c r="C279" t="inlineStr"/>
      <c r="D279" s="2" t="n">
        <v>46022</v>
      </c>
      <c r="E279" t="inlineStr">
        <is>
          <t>5Y</t>
        </is>
      </c>
      <c r="F279" t="inlineStr"/>
      <c r="G279" t="n">
        <v>3.273899606073449</v>
      </c>
      <c r="H279" t="n">
        <v>7.450048996640191</v>
      </c>
      <c r="I279" t="n">
        <v>7.450048996640191</v>
      </c>
      <c r="J279" t="n">
        <v>0</v>
      </c>
      <c r="K279" t="n">
        <v>0</v>
      </c>
      <c r="L279" t="n">
        <v>4.476417270751631</v>
      </c>
      <c r="M279" t="n">
        <v>4.476417270751631</v>
      </c>
      <c r="N279" t="n">
        <v>0</v>
      </c>
      <c r="O279" t="inlineStr"/>
      <c r="P279" t="inlineStr">
        <is>
          <t>United States||5Y</t>
        </is>
      </c>
      <c r="Q279" t="inlineStr">
        <is>
          <t>United States|5Y</t>
        </is>
      </c>
      <c r="R279" t="inlineStr"/>
    </row>
    <row r="280">
      <c r="A280" t="inlineStr">
        <is>
          <t>United States</t>
        </is>
      </c>
      <c r="B280" t="inlineStr">
        <is>
          <t>USA</t>
        </is>
      </c>
      <c r="C280" t="inlineStr"/>
      <c r="D280" s="2" t="n">
        <v>46022</v>
      </c>
      <c r="E280" t="inlineStr">
        <is>
          <t>10Y</t>
        </is>
      </c>
      <c r="F280" t="inlineStr"/>
      <c r="G280" t="n">
        <v>2.399456279066103</v>
      </c>
      <c r="H280" t="n">
        <v>5.283724060684203</v>
      </c>
      <c r="I280" t="n">
        <v>5.283724060684203</v>
      </c>
      <c r="J280" t="n">
        <v>0</v>
      </c>
      <c r="K280" t="n">
        <v>0</v>
      </c>
      <c r="L280" t="n">
        <v>3.119152472830278</v>
      </c>
      <c r="M280" t="n">
        <v>3.119152472830278</v>
      </c>
      <c r="N280" t="n">
        <v>0</v>
      </c>
      <c r="O280" t="inlineStr"/>
      <c r="P280" t="inlineStr">
        <is>
          <t>United States||10Y</t>
        </is>
      </c>
      <c r="Q280" t="inlineStr">
        <is>
          <t>United States|10Y</t>
        </is>
      </c>
      <c r="R280" t="inlineStr"/>
    </row>
    <row r="281">
      <c r="A281" t="inlineStr">
        <is>
          <t>United States</t>
        </is>
      </c>
      <c r="B281" t="inlineStr">
        <is>
          <t>USA</t>
        </is>
      </c>
      <c r="C281" t="inlineStr">
        <is>
          <t>CSPX.L</t>
        </is>
      </c>
      <c r="D281" s="2" t="n">
        <v>46022</v>
      </c>
      <c r="E281" t="inlineStr">
        <is>
          <t>1Y</t>
        </is>
      </c>
      <c r="F281" t="n">
        <v>18.0137493932327</v>
      </c>
      <c r="G281" t="n">
        <v>2.017000000000002</v>
      </c>
      <c r="H281" t="n">
        <v>4.497634000000006</v>
      </c>
      <c r="I281" t="n">
        <v>4.497634000000006</v>
      </c>
      <c r="J281" t="n">
        <v>0</v>
      </c>
      <c r="K281" t="n">
        <v>0</v>
      </c>
      <c r="L281" t="n">
        <v>2.715000000000001</v>
      </c>
      <c r="M281" t="n">
        <v>2.715000000000001</v>
      </c>
      <c r="N281" t="n">
        <v>0</v>
      </c>
      <c r="O281" t="n">
        <v>-13.5161153932327</v>
      </c>
      <c r="P281" t="inlineStr">
        <is>
          <t>United States|CSPX.L|1Y</t>
        </is>
      </c>
      <c r="Q281" t="inlineStr">
        <is>
          <t>United States|1Y</t>
        </is>
      </c>
      <c r="R281" t="inlineStr">
        <is>
          <t>USD</t>
        </is>
      </c>
    </row>
    <row r="282">
      <c r="A282" t="inlineStr">
        <is>
          <t>United States</t>
        </is>
      </c>
      <c r="B282" t="inlineStr">
        <is>
          <t>USA</t>
        </is>
      </c>
      <c r="C282" t="inlineStr">
        <is>
          <t>CSPX.L</t>
        </is>
      </c>
      <c r="D282" s="2" t="n">
        <v>46022</v>
      </c>
      <c r="E282" t="inlineStr">
        <is>
          <t>3Y</t>
        </is>
      </c>
      <c r="F282" t="n">
        <v>23.26916970836443</v>
      </c>
      <c r="G282" t="n">
        <v>2.580871884428859</v>
      </c>
      <c r="H282" t="n">
        <v>5.524539071077084</v>
      </c>
      <c r="I282" t="n">
        <v>5.524539071077084</v>
      </c>
      <c r="J282" t="n">
        <v>0</v>
      </c>
      <c r="K282" t="n">
        <v>0</v>
      </c>
      <c r="L282" t="n">
        <v>3.263156230678832</v>
      </c>
      <c r="M282" t="n">
        <v>3.263156230678832</v>
      </c>
      <c r="N282" t="n">
        <v>0</v>
      </c>
      <c r="O282" t="n">
        <v>-17.74463063728735</v>
      </c>
      <c r="P282" t="inlineStr">
        <is>
          <t>United States|CSPX.L|3Y</t>
        </is>
      </c>
      <c r="Q282" t="inlineStr">
        <is>
          <t>United States|3Y</t>
        </is>
      </c>
      <c r="R282" t="inlineStr">
        <is>
          <t>USD</t>
        </is>
      </c>
    </row>
    <row r="283">
      <c r="A283" t="inlineStr">
        <is>
          <t>United States</t>
        </is>
      </c>
      <c r="B283" t="inlineStr">
        <is>
          <t>USA</t>
        </is>
      </c>
      <c r="C283" t="inlineStr">
        <is>
          <t>CSPX.L</t>
        </is>
      </c>
      <c r="D283" s="2" t="n">
        <v>46022</v>
      </c>
      <c r="E283" t="inlineStr">
        <is>
          <t>5Y</t>
        </is>
      </c>
      <c r="F283" t="n">
        <v>14.59526939900584</v>
      </c>
      <c r="G283" t="n">
        <v>3.273899606073449</v>
      </c>
      <c r="H283" t="n">
        <v>7.450048996640191</v>
      </c>
      <c r="I283" t="n">
        <v>7.450048996640191</v>
      </c>
      <c r="J283" t="n">
        <v>0</v>
      </c>
      <c r="K283" t="n">
        <v>0</v>
      </c>
      <c r="L283" t="n">
        <v>4.476417270751631</v>
      </c>
      <c r="M283" t="n">
        <v>4.476417270751631</v>
      </c>
      <c r="N283" t="n">
        <v>0</v>
      </c>
      <c r="O283" t="n">
        <v>-7.145220402365649</v>
      </c>
      <c r="P283" t="inlineStr">
        <is>
          <t>United States|CSPX.L|5Y</t>
        </is>
      </c>
      <c r="Q283" t="inlineStr">
        <is>
          <t>United States|5Y</t>
        </is>
      </c>
      <c r="R283" t="inlineStr">
        <is>
          <t>USD</t>
        </is>
      </c>
    </row>
    <row r="284">
      <c r="A284" t="inlineStr">
        <is>
          <t>United States</t>
        </is>
      </c>
      <c r="B284" t="inlineStr">
        <is>
          <t>USA</t>
        </is>
      </c>
      <c r="C284" t="inlineStr">
        <is>
          <t>CSPX.L</t>
        </is>
      </c>
      <c r="D284" s="2" t="n">
        <v>46022</v>
      </c>
      <c r="E284" t="inlineStr">
        <is>
          <t>10Y</t>
        </is>
      </c>
      <c r="F284" t="n">
        <v>14.82095603987432</v>
      </c>
      <c r="G284" t="n">
        <v>2.399456279066103</v>
      </c>
      <c r="H284" t="n">
        <v>5.283724060684203</v>
      </c>
      <c r="I284" t="n">
        <v>5.283724060684203</v>
      </c>
      <c r="J284" t="n">
        <v>0</v>
      </c>
      <c r="K284" t="n">
        <v>0</v>
      </c>
      <c r="L284" t="n">
        <v>3.119152472830278</v>
      </c>
      <c r="M284" t="n">
        <v>3.119152472830278</v>
      </c>
      <c r="N284" t="n">
        <v>0</v>
      </c>
      <c r="O284" t="n">
        <v>-9.537231979190118</v>
      </c>
      <c r="P284" t="inlineStr">
        <is>
          <t>United States|CSPX.L|10Y</t>
        </is>
      </c>
      <c r="Q284" t="inlineStr">
        <is>
          <t>United States|10Y</t>
        </is>
      </c>
      <c r="R284" t="inlineStr">
        <is>
          <t>USD</t>
        </is>
      </c>
    </row>
    <row r="285">
      <c r="A285" t="inlineStr">
        <is>
          <t>United States</t>
        </is>
      </c>
      <c r="B285" t="inlineStr">
        <is>
          <t>USA</t>
        </is>
      </c>
      <c r="C285" t="inlineStr">
        <is>
          <t>CSUS.L</t>
        </is>
      </c>
      <c r="D285" s="2" t="n">
        <v>46022</v>
      </c>
      <c r="E285" t="inlineStr">
        <is>
          <t>1Y</t>
        </is>
      </c>
      <c r="F285" t="n">
        <v>17.75908204481222</v>
      </c>
      <c r="G285" t="n">
        <v>2.017000000000002</v>
      </c>
      <c r="H285" t="n">
        <v>4.497634000000006</v>
      </c>
      <c r="I285" t="n">
        <v>4.497634000000006</v>
      </c>
      <c r="J285" t="n">
        <v>0</v>
      </c>
      <c r="K285" t="n">
        <v>0</v>
      </c>
      <c r="L285" t="n">
        <v>2.715000000000001</v>
      </c>
      <c r="M285" t="n">
        <v>2.715000000000001</v>
      </c>
      <c r="N285" t="n">
        <v>0</v>
      </c>
      <c r="O285" t="n">
        <v>-13.26144804481222</v>
      </c>
      <c r="P285" t="inlineStr">
        <is>
          <t>United States|CSUS.L|1Y</t>
        </is>
      </c>
      <c r="Q285" t="inlineStr">
        <is>
          <t>United States|1Y</t>
        </is>
      </c>
      <c r="R285" t="inlineStr">
        <is>
          <t>USD</t>
        </is>
      </c>
    </row>
    <row r="286">
      <c r="A286" t="inlineStr">
        <is>
          <t>United States</t>
        </is>
      </c>
      <c r="B286" t="inlineStr">
        <is>
          <t>USA</t>
        </is>
      </c>
      <c r="C286" t="inlineStr">
        <is>
          <t>CSUS.L</t>
        </is>
      </c>
      <c r="D286" s="2" t="n">
        <v>46022</v>
      </c>
      <c r="E286" t="inlineStr">
        <is>
          <t>3Y</t>
        </is>
      </c>
      <c r="F286" t="n">
        <v>23.45762734462473</v>
      </c>
      <c r="G286" t="n">
        <v>2.580871884428859</v>
      </c>
      <c r="H286" t="n">
        <v>5.524539071077084</v>
      </c>
      <c r="I286" t="n">
        <v>5.524539071077084</v>
      </c>
      <c r="J286" t="n">
        <v>0</v>
      </c>
      <c r="K286" t="n">
        <v>0</v>
      </c>
      <c r="L286" t="n">
        <v>3.263156230678832</v>
      </c>
      <c r="M286" t="n">
        <v>3.263156230678832</v>
      </c>
      <c r="N286" t="n">
        <v>0</v>
      </c>
      <c r="O286" t="n">
        <v>-17.93308827354765</v>
      </c>
      <c r="P286" t="inlineStr">
        <is>
          <t>United States|CSUS.L|3Y</t>
        </is>
      </c>
      <c r="Q286" t="inlineStr">
        <is>
          <t>United States|3Y</t>
        </is>
      </c>
      <c r="R286" t="inlineStr">
        <is>
          <t>USD</t>
        </is>
      </c>
    </row>
    <row r="287">
      <c r="A287" t="inlineStr">
        <is>
          <t>United States</t>
        </is>
      </c>
      <c r="B287" t="inlineStr">
        <is>
          <t>USA</t>
        </is>
      </c>
      <c r="C287" t="inlineStr">
        <is>
          <t>CSUS.L</t>
        </is>
      </c>
      <c r="D287" s="2" t="n">
        <v>46022</v>
      </c>
      <c r="E287" t="inlineStr">
        <is>
          <t>5Y</t>
        </is>
      </c>
      <c r="F287" t="n">
        <v>13.9582543446956</v>
      </c>
      <c r="G287" t="n">
        <v>3.273899606073449</v>
      </c>
      <c r="H287" t="n">
        <v>7.450048996640191</v>
      </c>
      <c r="I287" t="n">
        <v>7.450048996640191</v>
      </c>
      <c r="J287" t="n">
        <v>0</v>
      </c>
      <c r="K287" t="n">
        <v>0</v>
      </c>
      <c r="L287" t="n">
        <v>4.476417270751631</v>
      </c>
      <c r="M287" t="n">
        <v>4.476417270751631</v>
      </c>
      <c r="N287" t="n">
        <v>0</v>
      </c>
      <c r="O287" t="n">
        <v>-6.508205348055406</v>
      </c>
      <c r="P287" t="inlineStr">
        <is>
          <t>United States|CSUS.L|5Y</t>
        </is>
      </c>
      <c r="Q287" t="inlineStr">
        <is>
          <t>United States|5Y</t>
        </is>
      </c>
      <c r="R287" t="inlineStr">
        <is>
          <t>USD</t>
        </is>
      </c>
    </row>
    <row r="288">
      <c r="A288" t="inlineStr">
        <is>
          <t>United States</t>
        </is>
      </c>
      <c r="B288" t="inlineStr">
        <is>
          <t>USA</t>
        </is>
      </c>
      <c r="C288" t="inlineStr">
        <is>
          <t>CSUS.L</t>
        </is>
      </c>
      <c r="D288" s="2" t="n">
        <v>46022</v>
      </c>
      <c r="E288" t="inlineStr">
        <is>
          <t>10Y</t>
        </is>
      </c>
      <c r="F288" t="n">
        <v>14.59562438379896</v>
      </c>
      <c r="G288" t="n">
        <v>2.399456279066103</v>
      </c>
      <c r="H288" t="n">
        <v>5.283724060684203</v>
      </c>
      <c r="I288" t="n">
        <v>5.283724060684203</v>
      </c>
      <c r="J288" t="n">
        <v>0</v>
      </c>
      <c r="K288" t="n">
        <v>0</v>
      </c>
      <c r="L288" t="n">
        <v>3.119152472830278</v>
      </c>
      <c r="M288" t="n">
        <v>3.119152472830278</v>
      </c>
      <c r="N288" t="n">
        <v>0</v>
      </c>
      <c r="O288" t="n">
        <v>-9.311900323114752</v>
      </c>
      <c r="P288" t="inlineStr">
        <is>
          <t>United States|CSUS.L|10Y</t>
        </is>
      </c>
      <c r="Q288" t="inlineStr">
        <is>
          <t>United States|10Y</t>
        </is>
      </c>
      <c r="R288" t="inlineStr">
        <is>
          <t>USD</t>
        </is>
      </c>
    </row>
    <row r="289">
      <c r="A289" t="inlineStr">
        <is>
          <t>Vietnam</t>
        </is>
      </c>
      <c r="B289" t="inlineStr">
        <is>
          <t>VNM</t>
        </is>
      </c>
      <c r="C289" t="inlineStr"/>
      <c r="D289" s="2" t="n">
        <v>46022</v>
      </c>
      <c r="E289" t="inlineStr">
        <is>
          <t>1Y</t>
        </is>
      </c>
      <c r="F289" t="inlineStr"/>
      <c r="G289" t="n">
        <v>6.457000000000002</v>
      </c>
      <c r="H289" t="n">
        <v>9.991489999999992</v>
      </c>
      <c r="I289" t="n">
        <v>5.496308999999999</v>
      </c>
      <c r="J289" t="n">
        <v>-4.086844476972007</v>
      </c>
      <c r="K289" t="n">
        <v>-3.099447561440327</v>
      </c>
      <c r="L289" t="n">
        <v>3.401999999999994</v>
      </c>
      <c r="M289" t="n">
        <v>2.715000000000001</v>
      </c>
      <c r="N289" t="n">
        <v>0.6869999999999932</v>
      </c>
      <c r="O289" t="inlineStr"/>
      <c r="P289" t="inlineStr">
        <is>
          <t>Vietnam||1Y</t>
        </is>
      </c>
      <c r="Q289" t="inlineStr">
        <is>
          <t>Vietnam|1Y</t>
        </is>
      </c>
      <c r="R289" t="inlineStr"/>
    </row>
    <row r="290">
      <c r="A290" t="inlineStr">
        <is>
          <t>Vietnam</t>
        </is>
      </c>
      <c r="B290" t="inlineStr">
        <is>
          <t>VNM</t>
        </is>
      </c>
      <c r="C290" t="inlineStr"/>
      <c r="D290" s="2" t="n">
        <v>46022</v>
      </c>
      <c r="E290" t="inlineStr">
        <is>
          <t>3Y</t>
        </is>
      </c>
      <c r="F290" t="inlineStr"/>
      <c r="G290" t="n">
        <v>6.200954667276259</v>
      </c>
      <c r="H290" t="n">
        <v>9.586221664232486</v>
      </c>
      <c r="I290" t="n">
        <v>5.647902927923876</v>
      </c>
      <c r="J290" t="n">
        <v>-3.593807899927282</v>
      </c>
      <c r="K290" t="n">
        <v>-3.526595966874346</v>
      </c>
      <c r="L290" t="n">
        <v>3.426221026956733</v>
      </c>
      <c r="M290" t="n">
        <v>3.263156230678832</v>
      </c>
      <c r="N290" t="n">
        <v>0.1630647962779008</v>
      </c>
      <c r="O290" t="inlineStr"/>
      <c r="P290" t="inlineStr">
        <is>
          <t>Vietnam||3Y</t>
        </is>
      </c>
      <c r="Q290" t="inlineStr">
        <is>
          <t>Vietnam|3Y</t>
        </is>
      </c>
      <c r="R290" t="inlineStr"/>
    </row>
    <row r="291">
      <c r="A291" t="inlineStr">
        <is>
          <t>Vietnam</t>
        </is>
      </c>
      <c r="B291" t="inlineStr">
        <is>
          <t>VNM</t>
        </is>
      </c>
      <c r="C291" t="inlineStr"/>
      <c r="D291" s="2" t="n">
        <v>46022</v>
      </c>
      <c r="E291" t="inlineStr">
        <is>
          <t>5Y</t>
        </is>
      </c>
      <c r="F291" t="inlineStr"/>
      <c r="G291" t="n">
        <v>5.92145460004414</v>
      </c>
      <c r="H291" t="n">
        <v>9.497043660655734</v>
      </c>
      <c r="I291" t="n">
        <v>6.956271913500278</v>
      </c>
      <c r="J291" t="n">
        <v>-2.320402186641246</v>
      </c>
      <c r="K291" t="n">
        <v>-2.582969157664805</v>
      </c>
      <c r="L291" t="n">
        <v>3.052671364630988</v>
      </c>
      <c r="M291" t="n">
        <v>4.476417270751631</v>
      </c>
      <c r="N291" t="n">
        <v>-1.423745906120644</v>
      </c>
      <c r="O291" t="inlineStr"/>
      <c r="P291" t="inlineStr">
        <is>
          <t>Vietnam||5Y</t>
        </is>
      </c>
      <c r="Q291" t="inlineStr">
        <is>
          <t>Vietnam|5Y</t>
        </is>
      </c>
      <c r="R291" t="inlineStr"/>
    </row>
    <row r="292">
      <c r="A292" t="inlineStr">
        <is>
          <t>Vietnam</t>
        </is>
      </c>
      <c r="B292" t="inlineStr">
        <is>
          <t>VNM</t>
        </is>
      </c>
      <c r="C292" t="inlineStr"/>
      <c r="D292" s="2" t="n">
        <v>46022</v>
      </c>
      <c r="E292" t="inlineStr">
        <is>
          <t>10Y</t>
        </is>
      </c>
      <c r="F292" t="inlineStr"/>
      <c r="G292" t="n">
        <v>6.085412813467572</v>
      </c>
      <c r="H292" t="n">
        <v>9.325802594010124</v>
      </c>
      <c r="I292" t="n">
        <v>7.426735577916199</v>
      </c>
      <c r="J292" t="n">
        <v>-1.7370712221633</v>
      </c>
      <c r="K292" t="n">
        <v>-1.687478250702557</v>
      </c>
      <c r="L292" t="n">
        <v>3.101110889575409</v>
      </c>
      <c r="M292" t="n">
        <v>3.119152472830278</v>
      </c>
      <c r="N292" t="n">
        <v>-0.0180415832548686</v>
      </c>
      <c r="O292" t="inlineStr"/>
      <c r="P292" t="inlineStr">
        <is>
          <t>Vietnam||10Y</t>
        </is>
      </c>
      <c r="Q292" t="inlineStr">
        <is>
          <t>Vietnam|10Y</t>
        </is>
      </c>
      <c r="R292" t="inlineStr"/>
    </row>
    <row r="293">
      <c r="A293" t="inlineStr">
        <is>
          <t>Vietnam</t>
        </is>
      </c>
      <c r="B293" t="inlineStr">
        <is>
          <t>VNM</t>
        </is>
      </c>
      <c r="C293" t="inlineStr">
        <is>
          <t>XFVT.L</t>
        </is>
      </c>
      <c r="D293" s="2" t="n">
        <v>46022</v>
      </c>
      <c r="E293" t="inlineStr">
        <is>
          <t>1Y</t>
        </is>
      </c>
      <c r="F293" t="n">
        <v>66.8060270774205</v>
      </c>
      <c r="G293" t="n">
        <v>6.457000000000002</v>
      </c>
      <c r="H293" t="n">
        <v>9.991489999999992</v>
      </c>
      <c r="I293" t="n">
        <v>5.496308999999999</v>
      </c>
      <c r="J293" t="n">
        <v>-4.086844476972007</v>
      </c>
      <c r="K293" t="n">
        <v>-3.099447561440327</v>
      </c>
      <c r="L293" t="n">
        <v>3.401999999999994</v>
      </c>
      <c r="M293" t="n">
        <v>2.715000000000001</v>
      </c>
      <c r="N293" t="n">
        <v>0.6869999999999932</v>
      </c>
      <c r="O293" t="n">
        <v>-61.3097180774205</v>
      </c>
      <c r="P293" t="inlineStr">
        <is>
          <t>Vietnam|XFVT.L|1Y</t>
        </is>
      </c>
      <c r="Q293" t="inlineStr">
        <is>
          <t>Vietnam|1Y</t>
        </is>
      </c>
      <c r="R293" t="inlineStr">
        <is>
          <t>GBp</t>
        </is>
      </c>
    </row>
    <row r="294">
      <c r="A294" t="inlineStr">
        <is>
          <t>Vietnam</t>
        </is>
      </c>
      <c r="B294" t="inlineStr">
        <is>
          <t>VNM</t>
        </is>
      </c>
      <c r="C294" t="inlineStr">
        <is>
          <t>XFVT.L</t>
        </is>
      </c>
      <c r="D294" s="2" t="n">
        <v>46022</v>
      </c>
      <c r="E294" t="inlineStr">
        <is>
          <t>3Y</t>
        </is>
      </c>
      <c r="F294" t="n">
        <v>14.68393692650922</v>
      </c>
      <c r="G294" t="n">
        <v>6.200954667276259</v>
      </c>
      <c r="H294" t="n">
        <v>9.586221664232486</v>
      </c>
      <c r="I294" t="n">
        <v>5.647902927923876</v>
      </c>
      <c r="J294" t="n">
        <v>-3.593807899927282</v>
      </c>
      <c r="K294" t="n">
        <v>-3.526595966874346</v>
      </c>
      <c r="L294" t="n">
        <v>3.426221026956733</v>
      </c>
      <c r="M294" t="n">
        <v>3.263156230678832</v>
      </c>
      <c r="N294" t="n">
        <v>0.1630647962779008</v>
      </c>
      <c r="O294" t="n">
        <v>-9.036033998585346</v>
      </c>
      <c r="P294" t="inlineStr">
        <is>
          <t>Vietnam|XFVT.L|3Y</t>
        </is>
      </c>
      <c r="Q294" t="inlineStr">
        <is>
          <t>Vietnam|3Y</t>
        </is>
      </c>
      <c r="R294" t="inlineStr">
        <is>
          <t>GBp</t>
        </is>
      </c>
    </row>
    <row r="295">
      <c r="A295" t="inlineStr">
        <is>
          <t>Vietnam</t>
        </is>
      </c>
      <c r="B295" t="inlineStr">
        <is>
          <t>VNM</t>
        </is>
      </c>
      <c r="C295" t="inlineStr">
        <is>
          <t>XFVT.L</t>
        </is>
      </c>
      <c r="D295" s="2" t="n">
        <v>46022</v>
      </c>
      <c r="E295" t="inlineStr">
        <is>
          <t>5Y</t>
        </is>
      </c>
      <c r="F295" t="n">
        <v>2.746601027955986</v>
      </c>
      <c r="G295" t="n">
        <v>5.92145460004414</v>
      </c>
      <c r="H295" t="n">
        <v>9.497043660655734</v>
      </c>
      <c r="I295" t="n">
        <v>6.956271913500278</v>
      </c>
      <c r="J295" t="n">
        <v>-2.320402186641246</v>
      </c>
      <c r="K295" t="n">
        <v>-2.582969157664805</v>
      </c>
      <c r="L295" t="n">
        <v>3.052671364630988</v>
      </c>
      <c r="M295" t="n">
        <v>4.476417270751631</v>
      </c>
      <c r="N295" t="n">
        <v>-1.423745906120644</v>
      </c>
      <c r="O295" t="n">
        <v>4.209670885544292</v>
      </c>
      <c r="P295" t="inlineStr">
        <is>
          <t>Vietnam|XFVT.L|5Y</t>
        </is>
      </c>
      <c r="Q295" t="inlineStr">
        <is>
          <t>Vietnam|5Y</t>
        </is>
      </c>
      <c r="R295" t="inlineStr">
        <is>
          <t>GBp</t>
        </is>
      </c>
    </row>
    <row r="296">
      <c r="A296" t="inlineStr">
        <is>
          <t>Vietnam</t>
        </is>
      </c>
      <c r="B296" t="inlineStr">
        <is>
          <t>VNM</t>
        </is>
      </c>
      <c r="C296" t="inlineStr">
        <is>
          <t>XFVT.L</t>
        </is>
      </c>
      <c r="D296" s="2" t="n">
        <v>46022</v>
      </c>
      <c r="E296" t="inlineStr">
        <is>
          <t>10Y</t>
        </is>
      </c>
      <c r="F296" t="n">
        <v>6.034403639833208</v>
      </c>
      <c r="G296" t="n">
        <v>6.085412813467572</v>
      </c>
      <c r="H296" t="n">
        <v>9.325802594010124</v>
      </c>
      <c r="I296" t="n">
        <v>7.426735577916199</v>
      </c>
      <c r="J296" t="n">
        <v>-1.7370712221633</v>
      </c>
      <c r="K296" t="n">
        <v>-1.687478250702557</v>
      </c>
      <c r="L296" t="n">
        <v>3.101110889575409</v>
      </c>
      <c r="M296" t="n">
        <v>3.119152472830278</v>
      </c>
      <c r="N296" t="n">
        <v>-0.0180415832548686</v>
      </c>
      <c r="O296" t="n">
        <v>1.392331938082991</v>
      </c>
      <c r="P296" t="inlineStr">
        <is>
          <t>Vietnam|XFVT.L|10Y</t>
        </is>
      </c>
      <c r="Q296" t="inlineStr">
        <is>
          <t>Vietnam|10Y</t>
        </is>
      </c>
      <c r="R296" t="inlineStr">
        <is>
          <t>GBp</t>
        </is>
      </c>
    </row>
  </sheetData>
  <autoFilter ref="A1:R2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bis_code</t>
        </is>
      </c>
      <c r="C1" t="inlineStr">
        <is>
          <t>current_reer</t>
        </is>
      </c>
      <c r="D1" t="inlineStr">
        <is>
          <t>avg_10y_reer</t>
        </is>
      </c>
      <c r="E1" t="inlineStr">
        <is>
          <t>reer_pct_diff</t>
        </is>
      </c>
    </row>
    <row r="2">
      <c r="A2" t="inlineStr">
        <is>
          <t>Austria</t>
        </is>
      </c>
      <c r="B2" t="inlineStr">
        <is>
          <t>AT</t>
        </is>
      </c>
      <c r="C2" t="n">
        <v>107.49</v>
      </c>
      <c r="D2" t="n">
        <v>100.415041322314</v>
      </c>
      <c r="E2" t="n">
        <v>7.045716044647757</v>
      </c>
    </row>
    <row r="3">
      <c r="A3" t="inlineStr">
        <is>
          <t>Australia</t>
        </is>
      </c>
      <c r="B3" t="inlineStr">
        <is>
          <t>AU</t>
        </is>
      </c>
      <c r="C3" t="n">
        <v>110.52</v>
      </c>
      <c r="D3" t="n">
        <v>105.8846280991736</v>
      </c>
      <c r="E3" t="n">
        <v>4.377757172159933</v>
      </c>
    </row>
    <row r="4">
      <c r="A4" t="inlineStr">
        <is>
          <t>Belgium</t>
        </is>
      </c>
      <c r="B4" t="inlineStr">
        <is>
          <t>BE</t>
        </is>
      </c>
      <c r="C4" t="n">
        <v>104.96</v>
      </c>
      <c r="D4" t="n">
        <v>99.95107438016528</v>
      </c>
      <c r="E4" t="n">
        <v>5.011377467322873</v>
      </c>
    </row>
    <row r="5">
      <c r="A5" t="inlineStr">
        <is>
          <t>Bulgaria</t>
        </is>
      </c>
      <c r="B5" t="inlineStr">
        <is>
          <t>BG</t>
        </is>
      </c>
      <c r="C5" t="n">
        <v>116.21</v>
      </c>
      <c r="D5" t="n">
        <v>102.4822314049587</v>
      </c>
      <c r="E5" t="n">
        <v>13.39526706907467</v>
      </c>
    </row>
    <row r="6">
      <c r="A6" t="inlineStr">
        <is>
          <t>Brazil</t>
        </is>
      </c>
      <c r="B6" t="inlineStr">
        <is>
          <t>BR</t>
        </is>
      </c>
      <c r="C6" t="n">
        <v>109.71</v>
      </c>
      <c r="D6" t="n">
        <v>116.377520661157</v>
      </c>
      <c r="E6" t="n">
        <v>-5.729216968429894</v>
      </c>
    </row>
    <row r="7">
      <c r="A7" t="inlineStr">
        <is>
          <t>Canada</t>
        </is>
      </c>
      <c r="B7" t="inlineStr">
        <is>
          <t>CA</t>
        </is>
      </c>
      <c r="C7" t="n">
        <v>96.52</v>
      </c>
      <c r="D7" t="n">
        <v>101.1932231404959</v>
      </c>
      <c r="E7" t="n">
        <v>-4.618118679753497</v>
      </c>
    </row>
    <row r="8">
      <c r="A8" t="inlineStr">
        <is>
          <t>Switzerland</t>
        </is>
      </c>
      <c r="B8" t="inlineStr">
        <is>
          <t>CH</t>
        </is>
      </c>
      <c r="C8" t="n">
        <v>103.82</v>
      </c>
      <c r="D8" t="n">
        <v>98.92528925619834</v>
      </c>
      <c r="E8" t="n">
        <v>4.947886208475217</v>
      </c>
    </row>
    <row r="9">
      <c r="A9" t="inlineStr">
        <is>
          <t>China</t>
        </is>
      </c>
      <c r="B9" t="inlineStr">
        <is>
          <t>CN</t>
        </is>
      </c>
      <c r="C9" t="n">
        <v>89.84999999999999</v>
      </c>
      <c r="D9" t="n">
        <v>97.15685950413224</v>
      </c>
      <c r="E9" t="n">
        <v>-7.52068309064835</v>
      </c>
    </row>
    <row r="10">
      <c r="A10" t="inlineStr">
        <is>
          <t>Germany</t>
        </is>
      </c>
      <c r="B10" t="inlineStr">
        <is>
          <t>DE</t>
        </is>
      </c>
      <c r="C10" t="n">
        <v>102.04</v>
      </c>
      <c r="D10" t="n">
        <v>99.61355371900828</v>
      </c>
      <c r="E10" t="n">
        <v>2.435859569709048</v>
      </c>
    </row>
    <row r="11">
      <c r="A11" t="inlineStr">
        <is>
          <t>Spain</t>
        </is>
      </c>
      <c r="B11" t="inlineStr">
        <is>
          <t>ES</t>
        </is>
      </c>
      <c r="C11" t="n">
        <v>103.63</v>
      </c>
      <c r="D11" t="n">
        <v>100.4239669421488</v>
      </c>
      <c r="E11" t="n">
        <v>3.192497922033038</v>
      </c>
    </row>
    <row r="12">
      <c r="A12" t="inlineStr">
        <is>
          <t>France</t>
        </is>
      </c>
      <c r="B12" t="inlineStr">
        <is>
          <t>FR</t>
        </is>
      </c>
      <c r="C12" t="n">
        <v>96.52</v>
      </c>
      <c r="D12" t="n">
        <v>98.14719008264464</v>
      </c>
      <c r="E12" t="n">
        <v>-1.657907965856662</v>
      </c>
    </row>
    <row r="13">
      <c r="A13" t="inlineStr">
        <is>
          <t>United Kingdom</t>
        </is>
      </c>
      <c r="B13" t="inlineStr">
        <is>
          <t>GB</t>
        </is>
      </c>
      <c r="C13" t="n">
        <v>111.8</v>
      </c>
      <c r="D13" t="n">
        <v>103.8205785123967</v>
      </c>
      <c r="E13" t="n">
        <v>7.685780220007656</v>
      </c>
    </row>
    <row r="14">
      <c r="A14" t="inlineStr">
        <is>
          <t>Greece</t>
        </is>
      </c>
      <c r="B14" t="inlineStr">
        <is>
          <t>GR</t>
        </is>
      </c>
      <c r="C14" t="n">
        <v>101.05</v>
      </c>
      <c r="D14" t="n">
        <v>100.574214876033</v>
      </c>
      <c r="E14" t="n">
        <v>0.4730686931569809</v>
      </c>
    </row>
    <row r="15">
      <c r="A15" t="inlineStr">
        <is>
          <t>Hong Kong</t>
        </is>
      </c>
      <c r="B15" t="inlineStr">
        <is>
          <t>HK</t>
        </is>
      </c>
      <c r="C15" t="n">
        <v>97.38</v>
      </c>
      <c r="D15" t="n">
        <v>98.34752066115702</v>
      </c>
      <c r="E15" t="n">
        <v>-0.9837773790866424</v>
      </c>
    </row>
    <row r="16">
      <c r="A16" t="inlineStr">
        <is>
          <t>Indonesia</t>
        </is>
      </c>
      <c r="B16" t="inlineStr">
        <is>
          <t>ID</t>
        </is>
      </c>
      <c r="C16" t="n">
        <v>92.06</v>
      </c>
      <c r="D16" t="n">
        <v>100.190826446281</v>
      </c>
      <c r="E16" t="n">
        <v>-8.115340230914725</v>
      </c>
    </row>
    <row r="17">
      <c r="A17" t="inlineStr">
        <is>
          <t>India</t>
        </is>
      </c>
      <c r="B17" t="inlineStr">
        <is>
          <t>IN</t>
        </is>
      </c>
      <c r="C17" t="n">
        <v>90.65000000000001</v>
      </c>
      <c r="D17" t="n">
        <v>99.4577685950413</v>
      </c>
      <c r="E17" t="n">
        <v>-8.855787455782943</v>
      </c>
    </row>
    <row r="18">
      <c r="A18" t="inlineStr">
        <is>
          <t>Italy</t>
        </is>
      </c>
      <c r="B18" t="inlineStr">
        <is>
          <t>IT</t>
        </is>
      </c>
      <c r="C18" t="n">
        <v>99.77</v>
      </c>
      <c r="D18" t="n">
        <v>99.84876033057851</v>
      </c>
      <c r="E18" t="n">
        <v>-0.07887962786694511</v>
      </c>
    </row>
    <row r="19">
      <c r="A19" t="inlineStr">
        <is>
          <t>Japan</t>
        </is>
      </c>
      <c r="B19" t="inlineStr">
        <is>
          <t>JP</t>
        </is>
      </c>
      <c r="C19" t="n">
        <v>67.73</v>
      </c>
      <c r="D19" t="n">
        <v>88.08413223140495</v>
      </c>
      <c r="E19" t="n">
        <v>-23.10760373722342</v>
      </c>
    </row>
    <row r="20">
      <c r="A20" t="inlineStr">
        <is>
          <t>South Korea</t>
        </is>
      </c>
      <c r="B20" t="inlineStr">
        <is>
          <t>KR</t>
        </is>
      </c>
      <c r="C20" t="n">
        <v>86.86</v>
      </c>
      <c r="D20" t="n">
        <v>99.2311570247934</v>
      </c>
      <c r="E20" t="n">
        <v>-12.46700874575352</v>
      </c>
    </row>
    <row r="21">
      <c r="A21" t="inlineStr">
        <is>
          <t>Mexico</t>
        </is>
      </c>
      <c r="B21" t="inlineStr">
        <is>
          <t>MX</t>
        </is>
      </c>
      <c r="C21" t="n">
        <v>136.8</v>
      </c>
      <c r="D21" t="n">
        <v>112.7354545454545</v>
      </c>
      <c r="E21" t="n">
        <v>21.34603133643527</v>
      </c>
    </row>
    <row r="22">
      <c r="A22" t="inlineStr">
        <is>
          <t>Malaysia</t>
        </is>
      </c>
      <c r="B22" t="inlineStr">
        <is>
          <t>MY</t>
        </is>
      </c>
      <c r="C22" t="n">
        <v>106.47</v>
      </c>
      <c r="D22" t="n">
        <v>100.2585123966942</v>
      </c>
      <c r="E22" t="n">
        <v>6.195471541337764</v>
      </c>
    </row>
    <row r="23">
      <c r="A23" t="inlineStr">
        <is>
          <t>Netherlands</t>
        </is>
      </c>
      <c r="B23" t="inlineStr">
        <is>
          <t>NL</t>
        </is>
      </c>
      <c r="C23" t="n">
        <v>105.38</v>
      </c>
      <c r="D23" t="n">
        <v>100.0323140495868</v>
      </c>
      <c r="E23" t="n">
        <v>5.345958454747281</v>
      </c>
    </row>
    <row r="24">
      <c r="A24" t="inlineStr">
        <is>
          <t>Philippines</t>
        </is>
      </c>
      <c r="B24" t="inlineStr">
        <is>
          <t>PH</t>
        </is>
      </c>
      <c r="C24" t="n">
        <v>97.47</v>
      </c>
      <c r="D24" t="n">
        <v>97.66801652892562</v>
      </c>
      <c r="E24" t="n">
        <v>-0.2027444970861833</v>
      </c>
    </row>
    <row r="25">
      <c r="A25" t="inlineStr">
        <is>
          <t>Poland</t>
        </is>
      </c>
      <c r="B25" t="inlineStr">
        <is>
          <t>PL</t>
        </is>
      </c>
      <c r="C25" t="n">
        <v>128.8</v>
      </c>
      <c r="D25" t="n">
        <v>105.8085123966942</v>
      </c>
      <c r="E25" t="n">
        <v>21.72933640452933</v>
      </c>
    </row>
    <row r="26">
      <c r="A26" t="inlineStr">
        <is>
          <t>Saudi Arabia</t>
        </is>
      </c>
      <c r="B26" t="inlineStr">
        <is>
          <t>SA</t>
        </is>
      </c>
      <c r="C26" t="n">
        <v>100.08</v>
      </c>
      <c r="D26" t="n">
        <v>100.3194214876033</v>
      </c>
      <c r="E26" t="n">
        <v>-0.2386591589674336</v>
      </c>
    </row>
    <row r="27">
      <c r="A27" t="inlineStr">
        <is>
          <t>Sweden</t>
        </is>
      </c>
      <c r="B27" t="inlineStr">
        <is>
          <t>SE</t>
        </is>
      </c>
      <c r="C27" t="n">
        <v>101.8</v>
      </c>
      <c r="D27" t="n">
        <v>100.115041322314</v>
      </c>
      <c r="E27" t="n">
        <v>1.683022506339819</v>
      </c>
    </row>
    <row r="28">
      <c r="A28" t="inlineStr">
        <is>
          <t>Singapore</t>
        </is>
      </c>
      <c r="B28" t="inlineStr">
        <is>
          <t>SG</t>
        </is>
      </c>
      <c r="C28" t="n">
        <v>115.62</v>
      </c>
      <c r="D28" t="n">
        <v>106.2247107438017</v>
      </c>
      <c r="E28" t="n">
        <v>8.844730374327298</v>
      </c>
    </row>
    <row r="29">
      <c r="A29" t="inlineStr">
        <is>
          <t>Thailand</t>
        </is>
      </c>
      <c r="B29" t="inlineStr">
        <is>
          <t>TH</t>
        </is>
      </c>
      <c r="C29" t="n">
        <v>100.98</v>
      </c>
      <c r="D29" t="n">
        <v>96.20280991735538</v>
      </c>
      <c r="E29" t="n">
        <v>4.965749011643784</v>
      </c>
    </row>
    <row r="30">
      <c r="A30" t="inlineStr">
        <is>
          <t>Turkey</t>
        </is>
      </c>
      <c r="B30" t="inlineStr">
        <is>
          <t>TR</t>
        </is>
      </c>
      <c r="C30" t="n">
        <v>103.63</v>
      </c>
      <c r="D30" t="n">
        <v>105.5743801652892</v>
      </c>
      <c r="E30" t="n">
        <v>-1.84171591843124</v>
      </c>
    </row>
    <row r="31">
      <c r="A31" t="inlineStr">
        <is>
          <t>Taiwan</t>
        </is>
      </c>
      <c r="B31" t="inlineStr">
        <is>
          <t>TW</t>
        </is>
      </c>
      <c r="C31" t="n">
        <v>98.05</v>
      </c>
      <c r="D31" t="n">
        <v>98.81578512396692</v>
      </c>
      <c r="E31" t="n">
        <v>-0.7749623433201877</v>
      </c>
    </row>
    <row r="32">
      <c r="A32" t="inlineStr">
        <is>
          <t>United States</t>
        </is>
      </c>
      <c r="B32" t="inlineStr">
        <is>
          <t>US</t>
        </is>
      </c>
      <c r="C32" t="n">
        <v>106.94</v>
      </c>
      <c r="D32" t="n">
        <v>102.0623966942149</v>
      </c>
      <c r="E32" t="n">
        <v>4.779040531841233</v>
      </c>
    </row>
    <row r="33">
      <c r="A33" t="inlineStr">
        <is>
          <t>South Africa</t>
        </is>
      </c>
      <c r="B33" t="inlineStr">
        <is>
          <t>ZA</t>
        </is>
      </c>
      <c r="C33" t="n">
        <v>112.14</v>
      </c>
      <c r="D33" t="n">
        <v>106.081652892562</v>
      </c>
      <c r="E33" t="n">
        <v>5.711022539942716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ticker</t>
        </is>
      </c>
      <c r="C1" t="inlineStr">
        <is>
          <t>country_for_default</t>
        </is>
      </c>
      <c r="D1" t="inlineStr">
        <is>
          <t>default_ticker</t>
        </is>
      </c>
      <c r="E1" t="inlineStr">
        <is>
          <t>region</t>
        </is>
      </c>
      <c r="F1" t="inlineStr">
        <is>
          <t>country_name</t>
        </is>
      </c>
      <c r="G1" t="inlineStr">
        <is>
          <t>ticker</t>
        </is>
      </c>
      <c r="H1" t="inlineStr">
        <is>
          <t>ticker_display</t>
        </is>
      </c>
      <c r="J1" t="inlineStr">
        <is>
          <t>ticker</t>
        </is>
      </c>
      <c r="K1" t="inlineStr">
        <is>
          <t>ticker_display</t>
        </is>
      </c>
      <c r="L1" t="inlineStr">
        <is>
          <t>ticker_exchange</t>
        </is>
      </c>
      <c r="M1" t="inlineStr">
        <is>
          <t>ticker_currency</t>
        </is>
      </c>
    </row>
    <row r="2">
      <c r="A2" t="inlineStr">
        <is>
          <t>Australia</t>
        </is>
      </c>
      <c r="B2" t="inlineStr">
        <is>
          <t>CJPU.L</t>
        </is>
      </c>
      <c r="C2" t="inlineStr">
        <is>
          <t>Australia</t>
        </is>
      </c>
      <c r="D2" t="inlineStr">
        <is>
          <t>SAUS.L</t>
        </is>
      </c>
      <c r="E2" t="inlineStr">
        <is>
          <t>Oceania</t>
        </is>
      </c>
      <c r="F2" t="inlineStr">
        <is>
          <t>Australia</t>
        </is>
      </c>
      <c r="G2" t="inlineStr">
        <is>
          <t>SAUS.L</t>
        </is>
      </c>
      <c r="H2" t="inlineStr">
        <is>
          <t>SAUS.L</t>
        </is>
      </c>
      <c r="J2" t="inlineStr">
        <is>
          <t>CJPU.L</t>
        </is>
      </c>
      <c r="K2" t="inlineStr">
        <is>
          <t>CJPU.L</t>
        </is>
      </c>
      <c r="L2" t="inlineStr">
        <is>
          <t>London Stock Exchange</t>
        </is>
      </c>
      <c r="M2" t="inlineStr">
        <is>
          <t>USD</t>
        </is>
      </c>
    </row>
    <row r="3">
      <c r="A3" t="inlineStr">
        <is>
          <t>Austria</t>
        </is>
      </c>
      <c r="B3" t="inlineStr">
        <is>
          <t>CSCA.L</t>
        </is>
      </c>
      <c r="C3" t="inlineStr">
        <is>
          <t>Austria</t>
        </is>
      </c>
      <c r="D3" t="inlineStr">
        <is>
          <t>EWO*</t>
        </is>
      </c>
      <c r="E3" t="inlineStr">
        <is>
          <t>Europe</t>
        </is>
      </c>
      <c r="F3" t="inlineStr">
        <is>
          <t>Austria</t>
        </is>
      </c>
      <c r="G3" t="inlineStr">
        <is>
          <t>EWO</t>
        </is>
      </c>
      <c r="H3" t="inlineStr">
        <is>
          <t>EWO*</t>
        </is>
      </c>
      <c r="J3" t="inlineStr">
        <is>
          <t>CSCA.L</t>
        </is>
      </c>
      <c r="K3" t="inlineStr">
        <is>
          <t>CSCA.L</t>
        </is>
      </c>
      <c r="L3" t="inlineStr">
        <is>
          <t>London Stock Exchange</t>
        </is>
      </c>
      <c r="M3" t="inlineStr">
        <is>
          <t>GBp</t>
        </is>
      </c>
    </row>
    <row r="4">
      <c r="A4" t="inlineStr">
        <is>
          <t>Belgium</t>
        </is>
      </c>
      <c r="B4" t="inlineStr">
        <is>
          <t>CSKR.L</t>
        </is>
      </c>
      <c r="C4" t="inlineStr">
        <is>
          <t>Belgium</t>
        </is>
      </c>
      <c r="D4" t="inlineStr">
        <is>
          <t>EWK*</t>
        </is>
      </c>
      <c r="E4" t="inlineStr">
        <is>
          <t>Europe</t>
        </is>
      </c>
      <c r="F4" t="inlineStr">
        <is>
          <t>Belgium</t>
        </is>
      </c>
      <c r="G4" t="inlineStr">
        <is>
          <t>EWK</t>
        </is>
      </c>
      <c r="H4" t="inlineStr">
        <is>
          <t>EWK*</t>
        </is>
      </c>
      <c r="J4" t="inlineStr">
        <is>
          <t>CSKR.L</t>
        </is>
      </c>
      <c r="K4" t="inlineStr">
        <is>
          <t>CSKR.L</t>
        </is>
      </c>
      <c r="L4" t="inlineStr">
        <is>
          <t>London Stock Exchange</t>
        </is>
      </c>
      <c r="M4" t="inlineStr">
        <is>
          <t>USD</t>
        </is>
      </c>
    </row>
    <row r="5">
      <c r="A5" t="inlineStr">
        <is>
          <t>Brazil</t>
        </is>
      </c>
      <c r="B5" t="inlineStr">
        <is>
          <t>CSPX.L</t>
        </is>
      </c>
      <c r="C5" t="inlineStr">
        <is>
          <t>Brazil</t>
        </is>
      </c>
      <c r="D5" t="inlineStr">
        <is>
          <t>XMBR.L</t>
        </is>
      </c>
      <c r="E5" t="inlineStr">
        <is>
          <t>Latin America</t>
        </is>
      </c>
      <c r="F5" t="inlineStr">
        <is>
          <t>Brazil</t>
        </is>
      </c>
      <c r="G5" t="inlineStr">
        <is>
          <t>XMBR.L</t>
        </is>
      </c>
      <c r="H5" t="inlineStr">
        <is>
          <t>XMBR.L</t>
        </is>
      </c>
      <c r="J5" t="inlineStr">
        <is>
          <t>CSPX.L</t>
        </is>
      </c>
      <c r="K5" t="inlineStr">
        <is>
          <t>CSPX.L</t>
        </is>
      </c>
      <c r="L5" t="inlineStr">
        <is>
          <t>London Stock Exchange</t>
        </is>
      </c>
      <c r="M5" t="inlineStr">
        <is>
          <t>USD</t>
        </is>
      </c>
    </row>
    <row r="6">
      <c r="A6" t="inlineStr">
        <is>
          <t>Canada</t>
        </is>
      </c>
      <c r="B6" t="inlineStr">
        <is>
          <t>CSUK.L</t>
        </is>
      </c>
      <c r="C6" t="inlineStr">
        <is>
          <t>Canada</t>
        </is>
      </c>
      <c r="D6" t="inlineStr">
        <is>
          <t>CSCA.L</t>
        </is>
      </c>
      <c r="E6" t="inlineStr">
        <is>
          <t>North America</t>
        </is>
      </c>
      <c r="F6" t="inlineStr">
        <is>
          <t>Canada</t>
        </is>
      </c>
      <c r="G6" t="inlineStr">
        <is>
          <t>CSCA.L</t>
        </is>
      </c>
      <c r="H6" t="inlineStr">
        <is>
          <t>CSCA.L</t>
        </is>
      </c>
      <c r="J6" t="inlineStr">
        <is>
          <t>CSUK.L</t>
        </is>
      </c>
      <c r="K6" t="inlineStr">
        <is>
          <t>CSUK.L</t>
        </is>
      </c>
      <c r="L6" t="inlineStr">
        <is>
          <t>London Stock Exchange</t>
        </is>
      </c>
      <c r="M6" t="inlineStr">
        <is>
          <t>GBp</t>
        </is>
      </c>
    </row>
    <row r="7">
      <c r="A7" t="inlineStr">
        <is>
          <t>China</t>
        </is>
      </c>
      <c r="B7" t="inlineStr">
        <is>
          <t>CSUS.L</t>
        </is>
      </c>
      <c r="C7" t="inlineStr">
        <is>
          <t>China</t>
        </is>
      </c>
      <c r="D7" t="inlineStr">
        <is>
          <t>IASH.L</t>
        </is>
      </c>
      <c r="E7" t="inlineStr">
        <is>
          <t>Asia</t>
        </is>
      </c>
      <c r="F7" t="inlineStr">
        <is>
          <t>China</t>
        </is>
      </c>
      <c r="G7" t="inlineStr">
        <is>
          <t>IASH.L</t>
        </is>
      </c>
      <c r="H7" t="inlineStr">
        <is>
          <t>IASH.L</t>
        </is>
      </c>
      <c r="J7" t="inlineStr">
        <is>
          <t>CSUS.L</t>
        </is>
      </c>
      <c r="K7" t="inlineStr">
        <is>
          <t>CSUS.L</t>
        </is>
      </c>
      <c r="L7" t="inlineStr">
        <is>
          <t>London Stock Exchange</t>
        </is>
      </c>
      <c r="M7" t="inlineStr">
        <is>
          <t>USD</t>
        </is>
      </c>
    </row>
    <row r="8">
      <c r="A8" t="inlineStr">
        <is>
          <t>France</t>
        </is>
      </c>
      <c r="B8" t="inlineStr">
        <is>
          <t>CSW.PA</t>
        </is>
      </c>
      <c r="C8" t="inlineStr">
        <is>
          <t>France</t>
        </is>
      </c>
      <c r="D8" t="inlineStr">
        <is>
          <t>ISFR.L</t>
        </is>
      </c>
      <c r="E8" t="inlineStr">
        <is>
          <t>Europe</t>
        </is>
      </c>
      <c r="F8" t="inlineStr">
        <is>
          <t>France</t>
        </is>
      </c>
      <c r="G8" t="inlineStr">
        <is>
          <t>ISFR.L</t>
        </is>
      </c>
      <c r="H8" t="inlineStr">
        <is>
          <t>ISFR.L</t>
        </is>
      </c>
      <c r="J8" t="inlineStr">
        <is>
          <t>CSW.PA</t>
        </is>
      </c>
      <c r="K8" t="inlineStr">
        <is>
          <t>CSW.PA</t>
        </is>
      </c>
      <c r="L8" t="inlineStr">
        <is>
          <t>PAR</t>
        </is>
      </c>
      <c r="M8" t="inlineStr">
        <is>
          <t>EUR</t>
        </is>
      </c>
    </row>
    <row r="9">
      <c r="A9" t="inlineStr">
        <is>
          <t>Germany</t>
        </is>
      </c>
      <c r="B9" t="inlineStr">
        <is>
          <t>CSWG.L</t>
        </is>
      </c>
      <c r="C9" t="inlineStr">
        <is>
          <t>Germany</t>
        </is>
      </c>
      <c r="D9" t="inlineStr">
        <is>
          <t>EXS1.DE</t>
        </is>
      </c>
      <c r="E9" t="inlineStr">
        <is>
          <t>Europe</t>
        </is>
      </c>
      <c r="F9" t="inlineStr">
        <is>
          <t>Germany</t>
        </is>
      </c>
      <c r="G9" t="inlineStr">
        <is>
          <t>EXS1.DE</t>
        </is>
      </c>
      <c r="H9" t="inlineStr">
        <is>
          <t>EXS1.DE</t>
        </is>
      </c>
      <c r="J9" t="inlineStr">
        <is>
          <t>CSWG.L</t>
        </is>
      </c>
      <c r="K9" t="inlineStr">
        <is>
          <t>CSWG.L</t>
        </is>
      </c>
      <c r="L9" t="inlineStr">
        <is>
          <t>London Stock Exchange</t>
        </is>
      </c>
      <c r="M9" t="inlineStr">
        <is>
          <t>GBp</t>
        </is>
      </c>
    </row>
    <row r="10">
      <c r="A10" t="inlineStr">
        <is>
          <t>Greece</t>
        </is>
      </c>
      <c r="B10" t="inlineStr">
        <is>
          <t>CUKX.L</t>
        </is>
      </c>
      <c r="C10" t="inlineStr">
        <is>
          <t>Greece</t>
        </is>
      </c>
      <c r="D10" t="inlineStr">
        <is>
          <t>GREK*</t>
        </is>
      </c>
      <c r="E10" t="inlineStr">
        <is>
          <t>Europe</t>
        </is>
      </c>
      <c r="F10" t="inlineStr">
        <is>
          <t>Germany</t>
        </is>
      </c>
      <c r="G10" t="inlineStr">
        <is>
          <t>XDAX.L</t>
        </is>
      </c>
      <c r="H10" t="inlineStr">
        <is>
          <t>XDAX.L</t>
        </is>
      </c>
      <c r="J10" t="inlineStr">
        <is>
          <t>CUKX.L</t>
        </is>
      </c>
      <c r="K10" t="inlineStr">
        <is>
          <t>CUKX.L</t>
        </is>
      </c>
      <c r="L10" t="inlineStr">
        <is>
          <t>London Stock Exchange</t>
        </is>
      </c>
      <c r="M10" t="inlineStr">
        <is>
          <t>GBp</t>
        </is>
      </c>
    </row>
    <row r="11">
      <c r="A11" t="inlineStr">
        <is>
          <t>Hong Kong</t>
        </is>
      </c>
      <c r="B11" t="inlineStr">
        <is>
          <t>EWD</t>
        </is>
      </c>
      <c r="C11" t="inlineStr">
        <is>
          <t>Hong Kong</t>
        </is>
      </c>
      <c r="D11" t="inlineStr">
        <is>
          <t>EWH*</t>
        </is>
      </c>
      <c r="E11" t="inlineStr">
        <is>
          <t>Asia</t>
        </is>
      </c>
      <c r="F11" t="inlineStr">
        <is>
          <t>Greece</t>
        </is>
      </c>
      <c r="G11" t="inlineStr">
        <is>
          <t>GREK</t>
        </is>
      </c>
      <c r="H11" t="inlineStr">
        <is>
          <t>GREK*</t>
        </is>
      </c>
      <c r="J11" t="inlineStr">
        <is>
          <t>EWD</t>
        </is>
      </c>
      <c r="K11" t="inlineStr">
        <is>
          <t>EWD*</t>
        </is>
      </c>
      <c r="L11" t="inlineStr">
        <is>
          <t>NYSE Arca</t>
        </is>
      </c>
      <c r="M11" t="inlineStr">
        <is>
          <t>USD</t>
        </is>
      </c>
    </row>
    <row r="12">
      <c r="A12" t="inlineStr">
        <is>
          <t>India</t>
        </is>
      </c>
      <c r="B12" t="inlineStr">
        <is>
          <t>EWH</t>
        </is>
      </c>
      <c r="C12" t="inlineStr">
        <is>
          <t>India</t>
        </is>
      </c>
      <c r="D12" t="inlineStr">
        <is>
          <t>LYINR.SW</t>
        </is>
      </c>
      <c r="E12" t="inlineStr">
        <is>
          <t>Asia</t>
        </is>
      </c>
      <c r="F12" t="inlineStr">
        <is>
          <t>Hong Kong</t>
        </is>
      </c>
      <c r="G12" t="inlineStr">
        <is>
          <t>EWH</t>
        </is>
      </c>
      <c r="H12" t="inlineStr">
        <is>
          <t>EWH*</t>
        </is>
      </c>
      <c r="J12" t="inlineStr">
        <is>
          <t>EWH</t>
        </is>
      </c>
      <c r="K12" t="inlineStr">
        <is>
          <t>EWH*</t>
        </is>
      </c>
      <c r="L12" t="inlineStr">
        <is>
          <t>NYSE Arca</t>
        </is>
      </c>
      <c r="M12" t="inlineStr">
        <is>
          <t>USD</t>
        </is>
      </c>
    </row>
    <row r="13">
      <c r="A13" t="inlineStr">
        <is>
          <t>Indonesia</t>
        </is>
      </c>
      <c r="B13" t="inlineStr">
        <is>
          <t>EWI</t>
        </is>
      </c>
      <c r="C13" t="inlineStr">
        <is>
          <t>Indonesia</t>
        </is>
      </c>
      <c r="D13" t="inlineStr">
        <is>
          <t>INDO.PA</t>
        </is>
      </c>
      <c r="E13" t="inlineStr">
        <is>
          <t>Asia</t>
        </is>
      </c>
      <c r="F13" t="inlineStr">
        <is>
          <t>India</t>
        </is>
      </c>
      <c r="G13" t="inlineStr">
        <is>
          <t>LYINR.SW</t>
        </is>
      </c>
      <c r="H13" t="inlineStr">
        <is>
          <t>LYINR.SW</t>
        </is>
      </c>
      <c r="J13" t="inlineStr">
        <is>
          <t>EWI</t>
        </is>
      </c>
      <c r="K13" t="inlineStr">
        <is>
          <t>EWI*</t>
        </is>
      </c>
      <c r="L13" t="inlineStr">
        <is>
          <t>NYSE Arca</t>
        </is>
      </c>
      <c r="M13" t="inlineStr">
        <is>
          <t>USD</t>
        </is>
      </c>
    </row>
    <row r="14">
      <c r="A14" t="inlineStr">
        <is>
          <t>Italy</t>
        </is>
      </c>
      <c r="B14" t="inlineStr">
        <is>
          <t>EWK</t>
        </is>
      </c>
      <c r="C14" t="inlineStr">
        <is>
          <t>Italy</t>
        </is>
      </c>
      <c r="D14" t="inlineStr">
        <is>
          <t>EWI*</t>
        </is>
      </c>
      <c r="E14" t="inlineStr">
        <is>
          <t>Europe</t>
        </is>
      </c>
      <c r="F14" t="inlineStr">
        <is>
          <t>Indonesia</t>
        </is>
      </c>
      <c r="G14" t="inlineStr">
        <is>
          <t>INDO.PA</t>
        </is>
      </c>
      <c r="H14" t="inlineStr">
        <is>
          <t>INDO.PA</t>
        </is>
      </c>
      <c r="J14" t="inlineStr">
        <is>
          <t>EWK</t>
        </is>
      </c>
      <c r="K14" t="inlineStr">
        <is>
          <t>EWK*</t>
        </is>
      </c>
      <c r="L14" t="inlineStr">
        <is>
          <t>NYSE Arca</t>
        </is>
      </c>
      <c r="M14" t="inlineStr">
        <is>
          <t>USD</t>
        </is>
      </c>
    </row>
    <row r="15">
      <c r="A15" t="inlineStr">
        <is>
          <t>Japan</t>
        </is>
      </c>
      <c r="B15" t="inlineStr">
        <is>
          <t>EWL</t>
        </is>
      </c>
      <c r="C15" t="inlineStr">
        <is>
          <t>Japan</t>
        </is>
      </c>
      <c r="D15" t="inlineStr">
        <is>
          <t>CJPU.L</t>
        </is>
      </c>
      <c r="E15" t="inlineStr">
        <is>
          <t>Asia</t>
        </is>
      </c>
      <c r="F15" t="inlineStr">
        <is>
          <t>Italy</t>
        </is>
      </c>
      <c r="G15" t="inlineStr">
        <is>
          <t>EWI</t>
        </is>
      </c>
      <c r="H15" t="inlineStr">
        <is>
          <t>EWI*</t>
        </is>
      </c>
      <c r="J15" t="inlineStr">
        <is>
          <t>EWL</t>
        </is>
      </c>
      <c r="K15" t="inlineStr">
        <is>
          <t>EWL*</t>
        </is>
      </c>
      <c r="L15" t="inlineStr">
        <is>
          <t>NYSE Arca</t>
        </is>
      </c>
      <c r="M15" t="inlineStr">
        <is>
          <t>USD</t>
        </is>
      </c>
    </row>
    <row r="16">
      <c r="A16" t="inlineStr">
        <is>
          <t>Malaysia</t>
        </is>
      </c>
      <c r="B16" t="inlineStr">
        <is>
          <t>EWN</t>
        </is>
      </c>
      <c r="C16" t="inlineStr">
        <is>
          <t>Malaysia</t>
        </is>
      </c>
      <c r="D16" t="inlineStr">
        <is>
          <t>XCX3.L</t>
        </is>
      </c>
      <c r="E16" t="inlineStr">
        <is>
          <t>Asia</t>
        </is>
      </c>
      <c r="F16" t="inlineStr">
        <is>
          <t>Japan</t>
        </is>
      </c>
      <c r="G16" t="inlineStr">
        <is>
          <t>CJPU.L</t>
        </is>
      </c>
      <c r="H16" t="inlineStr">
        <is>
          <t>CJPU.L</t>
        </is>
      </c>
      <c r="J16" t="inlineStr">
        <is>
          <t>EWN</t>
        </is>
      </c>
      <c r="K16" t="inlineStr">
        <is>
          <t>EWN*</t>
        </is>
      </c>
      <c r="L16" t="inlineStr">
        <is>
          <t>NYSE Arca</t>
        </is>
      </c>
      <c r="M16" t="inlineStr">
        <is>
          <t>USD</t>
        </is>
      </c>
    </row>
    <row r="17">
      <c r="A17" t="inlineStr">
        <is>
          <t>Mexico</t>
        </is>
      </c>
      <c r="B17" t="inlineStr">
        <is>
          <t>EWO</t>
        </is>
      </c>
      <c r="C17" t="inlineStr">
        <is>
          <t>Mexico</t>
        </is>
      </c>
      <c r="D17" t="inlineStr">
        <is>
          <t>XMEX.L</t>
        </is>
      </c>
      <c r="E17" t="inlineStr">
        <is>
          <t>Latin America</t>
        </is>
      </c>
      <c r="F17" t="inlineStr">
        <is>
          <t>Malaysia</t>
        </is>
      </c>
      <c r="G17" t="inlineStr">
        <is>
          <t>XCX3.L</t>
        </is>
      </c>
      <c r="H17" t="inlineStr">
        <is>
          <t>XCX3.L</t>
        </is>
      </c>
      <c r="J17" t="inlineStr">
        <is>
          <t>EWO</t>
        </is>
      </c>
      <c r="K17" t="inlineStr">
        <is>
          <t>EWO*</t>
        </is>
      </c>
      <c r="L17" t="inlineStr">
        <is>
          <t>NYSE Arca</t>
        </is>
      </c>
      <c r="M17" t="inlineStr">
        <is>
          <t>USD</t>
        </is>
      </c>
    </row>
    <row r="18">
      <c r="A18" t="inlineStr">
        <is>
          <t>Netherlands</t>
        </is>
      </c>
      <c r="B18" t="inlineStr">
        <is>
          <t>EWS</t>
        </is>
      </c>
      <c r="C18" t="inlineStr">
        <is>
          <t>Netherlands</t>
        </is>
      </c>
      <c r="D18" t="inlineStr">
        <is>
          <t>EWN*</t>
        </is>
      </c>
      <c r="E18" t="inlineStr">
        <is>
          <t>Europe</t>
        </is>
      </c>
      <c r="F18" t="inlineStr">
        <is>
          <t>Mexico</t>
        </is>
      </c>
      <c r="G18" t="inlineStr">
        <is>
          <t>XMEX.L</t>
        </is>
      </c>
      <c r="H18" t="inlineStr">
        <is>
          <t>XMEX.L</t>
        </is>
      </c>
      <c r="J18" t="inlineStr">
        <is>
          <t>EWS</t>
        </is>
      </c>
      <c r="K18" t="inlineStr">
        <is>
          <t>EWS*</t>
        </is>
      </c>
      <c r="L18" t="inlineStr">
        <is>
          <t>NYSE Arca</t>
        </is>
      </c>
      <c r="M18" t="inlineStr">
        <is>
          <t>USD</t>
        </is>
      </c>
    </row>
    <row r="19">
      <c r="A19" t="inlineStr">
        <is>
          <t>Pakistan</t>
        </is>
      </c>
      <c r="B19" t="inlineStr">
        <is>
          <t>EXS1.DE</t>
        </is>
      </c>
      <c r="C19" t="inlineStr">
        <is>
          <t>Pakistan</t>
        </is>
      </c>
      <c r="D19" t="inlineStr">
        <is>
          <t>XBAK.L</t>
        </is>
      </c>
      <c r="E19" t="inlineStr">
        <is>
          <t>Asia</t>
        </is>
      </c>
      <c r="F19" t="inlineStr">
        <is>
          <t>Netherlands</t>
        </is>
      </c>
      <c r="G19" t="inlineStr">
        <is>
          <t>EWN</t>
        </is>
      </c>
      <c r="H19" t="inlineStr">
        <is>
          <t>EWN*</t>
        </is>
      </c>
      <c r="J19" t="inlineStr">
        <is>
          <t>EXS1.DE</t>
        </is>
      </c>
      <c r="K19" t="inlineStr">
        <is>
          <t>EXS1.DE</t>
        </is>
      </c>
      <c r="L19" t="inlineStr">
        <is>
          <t>GER</t>
        </is>
      </c>
      <c r="M19" t="inlineStr">
        <is>
          <t>EUR</t>
        </is>
      </c>
    </row>
    <row r="20">
      <c r="A20" t="inlineStr">
        <is>
          <t>Philippines</t>
        </is>
      </c>
      <c r="B20" t="inlineStr">
        <is>
          <t>GREK</t>
        </is>
      </c>
      <c r="C20" t="inlineStr">
        <is>
          <t>Philippines</t>
        </is>
      </c>
      <c r="D20" t="inlineStr">
        <is>
          <t>XPHG.L</t>
        </is>
      </c>
      <c r="E20" t="inlineStr">
        <is>
          <t>Asia</t>
        </is>
      </c>
      <c r="F20" t="inlineStr">
        <is>
          <t>Pakistan</t>
        </is>
      </c>
      <c r="G20" t="inlineStr">
        <is>
          <t>XBAK.L</t>
        </is>
      </c>
      <c r="H20" t="inlineStr">
        <is>
          <t>XBAK.L</t>
        </is>
      </c>
      <c r="J20" t="inlineStr">
        <is>
          <t>GREK</t>
        </is>
      </c>
      <c r="K20" t="inlineStr">
        <is>
          <t>GREK*</t>
        </is>
      </c>
      <c r="L20" t="inlineStr">
        <is>
          <t>NYSE Arca</t>
        </is>
      </c>
      <c r="M20" t="inlineStr">
        <is>
          <t>USD</t>
        </is>
      </c>
    </row>
    <row r="21">
      <c r="A21" t="inlineStr">
        <is>
          <t>Poland</t>
        </is>
      </c>
      <c r="B21" t="inlineStr">
        <is>
          <t>IASH.L</t>
        </is>
      </c>
      <c r="C21" t="inlineStr">
        <is>
          <t>Poland</t>
        </is>
      </c>
      <c r="D21" t="inlineStr">
        <is>
          <t>IPOL.L</t>
        </is>
      </c>
      <c r="E21" t="inlineStr">
        <is>
          <t>Europe</t>
        </is>
      </c>
      <c r="F21" t="inlineStr">
        <is>
          <t>Philippines</t>
        </is>
      </c>
      <c r="G21" t="inlineStr">
        <is>
          <t>XPHG.L</t>
        </is>
      </c>
      <c r="H21" t="inlineStr">
        <is>
          <t>XPHG.L</t>
        </is>
      </c>
      <c r="J21" t="inlineStr">
        <is>
          <t>IASH.L</t>
        </is>
      </c>
      <c r="K21" t="inlineStr">
        <is>
          <t>IASH.L</t>
        </is>
      </c>
      <c r="L21" t="inlineStr">
        <is>
          <t>London Stock Exchange</t>
        </is>
      </c>
      <c r="M21" t="inlineStr">
        <is>
          <t>GBp</t>
        </is>
      </c>
    </row>
    <row r="22">
      <c r="A22" t="inlineStr">
        <is>
          <t>Saudi Arabia</t>
        </is>
      </c>
      <c r="B22" t="inlineStr">
        <is>
          <t>IKSA.L</t>
        </is>
      </c>
      <c r="C22" t="inlineStr">
        <is>
          <t>Saudi Arabia</t>
        </is>
      </c>
      <c r="D22" t="inlineStr">
        <is>
          <t>IKSA.L</t>
        </is>
      </c>
      <c r="E22" t="inlineStr">
        <is>
          <t>Middle East</t>
        </is>
      </c>
      <c r="F22" t="inlineStr">
        <is>
          <t>Poland</t>
        </is>
      </c>
      <c r="G22" t="inlineStr">
        <is>
          <t>IPOL.L</t>
        </is>
      </c>
      <c r="H22" t="inlineStr">
        <is>
          <t>IPOL.L</t>
        </is>
      </c>
      <c r="J22" t="inlineStr">
        <is>
          <t>IKSA.L</t>
        </is>
      </c>
      <c r="K22" t="inlineStr">
        <is>
          <t>IKSA.L</t>
        </is>
      </c>
      <c r="L22" t="inlineStr">
        <is>
          <t>London Stock Exchange</t>
        </is>
      </c>
      <c r="M22" t="inlineStr">
        <is>
          <t>USD</t>
        </is>
      </c>
    </row>
    <row r="23">
      <c r="A23" t="inlineStr">
        <is>
          <t>Singapore</t>
        </is>
      </c>
      <c r="B23" t="inlineStr">
        <is>
          <t>INDO.PA</t>
        </is>
      </c>
      <c r="C23" t="inlineStr">
        <is>
          <t>Singapore</t>
        </is>
      </c>
      <c r="D23" t="inlineStr">
        <is>
          <t>EWS*</t>
        </is>
      </c>
      <c r="E23" t="inlineStr">
        <is>
          <t>Asia</t>
        </is>
      </c>
      <c r="F23" t="inlineStr">
        <is>
          <t>Poland</t>
        </is>
      </c>
      <c r="G23" t="inlineStr">
        <is>
          <t>SPOL.L</t>
        </is>
      </c>
      <c r="H23" t="inlineStr">
        <is>
          <t>SPOL.L</t>
        </is>
      </c>
      <c r="J23" t="inlineStr">
        <is>
          <t>INDO.PA</t>
        </is>
      </c>
      <c r="K23" t="inlineStr">
        <is>
          <t>INDO.PA</t>
        </is>
      </c>
      <c r="L23" t="inlineStr">
        <is>
          <t>PAR</t>
        </is>
      </c>
      <c r="M23" t="inlineStr">
        <is>
          <t>EUR</t>
        </is>
      </c>
    </row>
    <row r="24">
      <c r="A24" t="inlineStr">
        <is>
          <t>South Africa</t>
        </is>
      </c>
      <c r="B24" t="inlineStr">
        <is>
          <t>IPOL.L</t>
        </is>
      </c>
      <c r="C24" t="inlineStr">
        <is>
          <t>South Africa</t>
        </is>
      </c>
      <c r="D24" t="inlineStr">
        <is>
          <t>IRSA.L</t>
        </is>
      </c>
      <c r="E24" t="inlineStr">
        <is>
          <t>Africa</t>
        </is>
      </c>
      <c r="F24" t="inlineStr">
        <is>
          <t>Saudi Arabia</t>
        </is>
      </c>
      <c r="G24" t="inlineStr">
        <is>
          <t>IKSA.L</t>
        </is>
      </c>
      <c r="H24" t="inlineStr">
        <is>
          <t>IKSA.L</t>
        </is>
      </c>
      <c r="J24" t="inlineStr">
        <is>
          <t>IPOL.L</t>
        </is>
      </c>
      <c r="K24" t="inlineStr">
        <is>
          <t>IPOL.L</t>
        </is>
      </c>
      <c r="L24" t="inlineStr">
        <is>
          <t>London Stock Exchange</t>
        </is>
      </c>
      <c r="M24" t="inlineStr">
        <is>
          <t>USD</t>
        </is>
      </c>
    </row>
    <row r="25">
      <c r="A25" t="inlineStr">
        <is>
          <t>South Korea</t>
        </is>
      </c>
      <c r="B25" t="inlineStr">
        <is>
          <t>IRSA.L</t>
        </is>
      </c>
      <c r="C25" t="inlineStr">
        <is>
          <t>South Korea</t>
        </is>
      </c>
      <c r="D25" t="inlineStr">
        <is>
          <t>CSKR.L</t>
        </is>
      </c>
      <c r="E25" t="inlineStr">
        <is>
          <t>Asia</t>
        </is>
      </c>
      <c r="F25" t="inlineStr">
        <is>
          <t>Singapore</t>
        </is>
      </c>
      <c r="G25" t="inlineStr">
        <is>
          <t>EWS</t>
        </is>
      </c>
      <c r="H25" t="inlineStr">
        <is>
          <t>EWS*</t>
        </is>
      </c>
      <c r="J25" t="inlineStr">
        <is>
          <t>IRSA.L</t>
        </is>
      </c>
      <c r="K25" t="inlineStr">
        <is>
          <t>IRSA.L</t>
        </is>
      </c>
      <c r="L25" t="inlineStr">
        <is>
          <t>London Stock Exchange</t>
        </is>
      </c>
      <c r="M25" t="inlineStr">
        <is>
          <t>USD</t>
        </is>
      </c>
    </row>
    <row r="26">
      <c r="A26" t="inlineStr">
        <is>
          <t>Spain</t>
        </is>
      </c>
      <c r="B26" t="inlineStr">
        <is>
          <t>ISFR.L</t>
        </is>
      </c>
      <c r="C26" t="inlineStr">
        <is>
          <t>Spain</t>
        </is>
      </c>
      <c r="D26" t="inlineStr">
        <is>
          <t>XESP.DE</t>
        </is>
      </c>
      <c r="E26" t="inlineStr">
        <is>
          <t>Europe</t>
        </is>
      </c>
      <c r="F26" t="inlineStr">
        <is>
          <t>South Africa</t>
        </is>
      </c>
      <c r="G26" t="inlineStr">
        <is>
          <t>IRSA.L</t>
        </is>
      </c>
      <c r="H26" t="inlineStr">
        <is>
          <t>IRSA.L</t>
        </is>
      </c>
      <c r="J26" t="inlineStr">
        <is>
          <t>ISFR.L</t>
        </is>
      </c>
      <c r="K26" t="inlineStr">
        <is>
          <t>ISFR.L</t>
        </is>
      </c>
      <c r="L26" t="inlineStr">
        <is>
          <t>London Stock Exchange</t>
        </is>
      </c>
      <c r="M26" t="inlineStr">
        <is>
          <t>GBp</t>
        </is>
      </c>
    </row>
    <row r="27">
      <c r="A27" t="inlineStr">
        <is>
          <t>Sweden</t>
        </is>
      </c>
      <c r="B27" t="inlineStr">
        <is>
          <t>LYINR.SW</t>
        </is>
      </c>
      <c r="C27" t="inlineStr">
        <is>
          <t>Sweden</t>
        </is>
      </c>
      <c r="D27" t="inlineStr">
        <is>
          <t>EWD*</t>
        </is>
      </c>
      <c r="E27" t="inlineStr">
        <is>
          <t>Europe</t>
        </is>
      </c>
      <c r="F27" t="inlineStr">
        <is>
          <t>South Africa</t>
        </is>
      </c>
      <c r="G27" t="inlineStr">
        <is>
          <t>SRSA.L</t>
        </is>
      </c>
      <c r="H27" t="inlineStr">
        <is>
          <t>SRSA.L</t>
        </is>
      </c>
      <c r="J27" t="inlineStr">
        <is>
          <t>LYINR.SW</t>
        </is>
      </c>
      <c r="K27" t="inlineStr">
        <is>
          <t>LYINR.SW</t>
        </is>
      </c>
      <c r="L27" t="inlineStr">
        <is>
          <t>EBS</t>
        </is>
      </c>
      <c r="M27" t="inlineStr">
        <is>
          <t>USD</t>
        </is>
      </c>
    </row>
    <row r="28">
      <c r="A28" t="inlineStr">
        <is>
          <t>Switzerland</t>
        </is>
      </c>
      <c r="B28" t="inlineStr">
        <is>
          <t>SAUS.L</t>
        </is>
      </c>
      <c r="C28" t="inlineStr">
        <is>
          <t>Switzerland</t>
        </is>
      </c>
      <c r="D28" t="inlineStr">
        <is>
          <t>EWL*</t>
        </is>
      </c>
      <c r="E28" t="inlineStr">
        <is>
          <t>Europe</t>
        </is>
      </c>
      <c r="F28" t="inlineStr">
        <is>
          <t>South Korea</t>
        </is>
      </c>
      <c r="G28" t="inlineStr">
        <is>
          <t>CSKR.L</t>
        </is>
      </c>
      <c r="H28" t="inlineStr">
        <is>
          <t>CSKR.L</t>
        </is>
      </c>
      <c r="J28" t="inlineStr">
        <is>
          <t>SAUS.L</t>
        </is>
      </c>
      <c r="K28" t="inlineStr">
        <is>
          <t>SAUS.L</t>
        </is>
      </c>
      <c r="L28" t="inlineStr">
        <is>
          <t>London Stock Exchange</t>
        </is>
      </c>
      <c r="M28" t="inlineStr">
        <is>
          <t>GBp</t>
        </is>
      </c>
    </row>
    <row r="29">
      <c r="A29" t="inlineStr">
        <is>
          <t>Taiwan</t>
        </is>
      </c>
      <c r="B29" t="inlineStr">
        <is>
          <t>SPOL.L</t>
        </is>
      </c>
      <c r="C29" t="inlineStr">
        <is>
          <t>Taiwan</t>
        </is>
      </c>
      <c r="D29" t="inlineStr">
        <is>
          <t>XMTW.L</t>
        </is>
      </c>
      <c r="E29" t="inlineStr">
        <is>
          <t>Asia</t>
        </is>
      </c>
      <c r="F29" t="inlineStr">
        <is>
          <t>Spain</t>
        </is>
      </c>
      <c r="G29" t="inlineStr">
        <is>
          <t>XESP.DE</t>
        </is>
      </c>
      <c r="H29" t="inlineStr">
        <is>
          <t>XESP.DE</t>
        </is>
      </c>
      <c r="J29" t="inlineStr">
        <is>
          <t>SPOL.L</t>
        </is>
      </c>
      <c r="K29" t="inlineStr">
        <is>
          <t>SPOL.L</t>
        </is>
      </c>
      <c r="L29" t="inlineStr">
        <is>
          <t>London Stock Exchange</t>
        </is>
      </c>
      <c r="M29" t="inlineStr">
        <is>
          <t>GBp</t>
        </is>
      </c>
    </row>
    <row r="30">
      <c r="A30" t="inlineStr">
        <is>
          <t>Thailand</t>
        </is>
      </c>
      <c r="B30" t="inlineStr">
        <is>
          <t>SRSA.L</t>
        </is>
      </c>
      <c r="C30" t="inlineStr">
        <is>
          <t>Thailand</t>
        </is>
      </c>
      <c r="D30" t="inlineStr">
        <is>
          <t>XCX4.L</t>
        </is>
      </c>
      <c r="E30" t="inlineStr">
        <is>
          <t>Asia</t>
        </is>
      </c>
      <c r="F30" t="inlineStr">
        <is>
          <t>Sweden</t>
        </is>
      </c>
      <c r="G30" t="inlineStr">
        <is>
          <t>EWD</t>
        </is>
      </c>
      <c r="H30" t="inlineStr">
        <is>
          <t>EWD*</t>
        </is>
      </c>
      <c r="J30" t="inlineStr">
        <is>
          <t>SRSA.L</t>
        </is>
      </c>
      <c r="K30" t="inlineStr">
        <is>
          <t>SRSA.L</t>
        </is>
      </c>
      <c r="L30" t="inlineStr">
        <is>
          <t>London Stock Exchange</t>
        </is>
      </c>
      <c r="M30" t="inlineStr">
        <is>
          <t>GBp</t>
        </is>
      </c>
    </row>
    <row r="31">
      <c r="A31" t="inlineStr">
        <is>
          <t>Turkey</t>
        </is>
      </c>
      <c r="B31" t="inlineStr">
        <is>
          <t>TUR</t>
        </is>
      </c>
      <c r="C31" t="inlineStr">
        <is>
          <t>Turkey</t>
        </is>
      </c>
      <c r="D31" t="inlineStr">
        <is>
          <t>TUR*</t>
        </is>
      </c>
      <c r="E31" t="inlineStr">
        <is>
          <t>Europe</t>
        </is>
      </c>
      <c r="F31" t="inlineStr">
        <is>
          <t>Switzerland</t>
        </is>
      </c>
      <c r="G31" t="inlineStr">
        <is>
          <t>CSW.PA</t>
        </is>
      </c>
      <c r="H31" t="inlineStr">
        <is>
          <t>CSW.PA</t>
        </is>
      </c>
      <c r="J31" t="inlineStr">
        <is>
          <t>TUR</t>
        </is>
      </c>
      <c r="K31" t="inlineStr">
        <is>
          <t>TUR*</t>
        </is>
      </c>
      <c r="L31" t="inlineStr">
        <is>
          <t>Nasdaq Global Market</t>
        </is>
      </c>
      <c r="M31" t="inlineStr">
        <is>
          <t>USD</t>
        </is>
      </c>
    </row>
    <row r="32">
      <c r="A32" t="inlineStr">
        <is>
          <t>United Kingdom</t>
        </is>
      </c>
      <c r="B32" t="inlineStr">
        <is>
          <t>TURL.L</t>
        </is>
      </c>
      <c r="C32" t="inlineStr">
        <is>
          <t>United Kingdom</t>
        </is>
      </c>
      <c r="D32" t="inlineStr">
        <is>
          <t>CUKX.L</t>
        </is>
      </c>
      <c r="E32" t="inlineStr">
        <is>
          <t>Europe</t>
        </is>
      </c>
      <c r="F32" t="inlineStr">
        <is>
          <t>Switzerland</t>
        </is>
      </c>
      <c r="G32" t="inlineStr">
        <is>
          <t>CSWG.L</t>
        </is>
      </c>
      <c r="H32" t="inlineStr">
        <is>
          <t>CSWG.L</t>
        </is>
      </c>
      <c r="J32" t="inlineStr">
        <is>
          <t>TURL.L</t>
        </is>
      </c>
      <c r="K32" t="inlineStr">
        <is>
          <t>TURL.L</t>
        </is>
      </c>
      <c r="L32" t="inlineStr">
        <is>
          <t>London Stock Exchange</t>
        </is>
      </c>
      <c r="M32" t="inlineStr">
        <is>
          <t>GBp</t>
        </is>
      </c>
    </row>
    <row r="33">
      <c r="A33" t="inlineStr">
        <is>
          <t>United States</t>
        </is>
      </c>
      <c r="B33" t="inlineStr">
        <is>
          <t>XBAK.L</t>
        </is>
      </c>
      <c r="C33" t="inlineStr">
        <is>
          <t>United States</t>
        </is>
      </c>
      <c r="D33" t="inlineStr">
        <is>
          <t>CSUS.L</t>
        </is>
      </c>
      <c r="E33" t="inlineStr">
        <is>
          <t>North America</t>
        </is>
      </c>
      <c r="F33" t="inlineStr">
        <is>
          <t>Switzerland</t>
        </is>
      </c>
      <c r="G33" t="inlineStr">
        <is>
          <t>EWL</t>
        </is>
      </c>
      <c r="H33" t="inlineStr">
        <is>
          <t>EWL*</t>
        </is>
      </c>
      <c r="J33" t="inlineStr">
        <is>
          <t>XBAK.L</t>
        </is>
      </c>
      <c r="K33" t="inlineStr">
        <is>
          <t>XBAK.L</t>
        </is>
      </c>
      <c r="L33" t="inlineStr">
        <is>
          <t>London Stock Exchange</t>
        </is>
      </c>
      <c r="M33" t="inlineStr">
        <is>
          <t>USD</t>
        </is>
      </c>
    </row>
    <row r="34">
      <c r="A34" t="inlineStr">
        <is>
          <t>Vietnam</t>
        </is>
      </c>
      <c r="B34" t="inlineStr">
        <is>
          <t>XCX3.L</t>
        </is>
      </c>
      <c r="C34" t="inlineStr">
        <is>
          <t>Vietnam</t>
        </is>
      </c>
      <c r="D34" t="inlineStr">
        <is>
          <t>XFVT.L</t>
        </is>
      </c>
      <c r="E34" t="inlineStr">
        <is>
          <t>Asia</t>
        </is>
      </c>
      <c r="F34" t="inlineStr">
        <is>
          <t>Taiwan</t>
        </is>
      </c>
      <c r="G34" t="inlineStr">
        <is>
          <t>XMTW.L</t>
        </is>
      </c>
      <c r="H34" t="inlineStr">
        <is>
          <t>XMTW.L</t>
        </is>
      </c>
      <c r="J34" t="inlineStr">
        <is>
          <t>XCX3.L</t>
        </is>
      </c>
      <c r="K34" t="inlineStr">
        <is>
          <t>XCX3.L</t>
        </is>
      </c>
      <c r="L34" t="inlineStr">
        <is>
          <t>London Stock Exchange</t>
        </is>
      </c>
      <c r="M34" t="inlineStr">
        <is>
          <t>GBp</t>
        </is>
      </c>
    </row>
    <row r="35">
      <c r="A35" t="inlineStr"/>
      <c r="B35" t="inlineStr">
        <is>
          <t>XCX4.L</t>
        </is>
      </c>
      <c r="C35" t="inlineStr"/>
      <c r="D35" t="inlineStr"/>
      <c r="E35" t="inlineStr">
        <is>
          <t>Other</t>
        </is>
      </c>
      <c r="F35" t="inlineStr">
        <is>
          <t>Thailand</t>
        </is>
      </c>
      <c r="G35" t="inlineStr">
        <is>
          <t>XCX4.L</t>
        </is>
      </c>
      <c r="H35" t="inlineStr">
        <is>
          <t>XCX4.L</t>
        </is>
      </c>
      <c r="J35" t="inlineStr">
        <is>
          <t>XCX4.L</t>
        </is>
      </c>
      <c r="K35" t="inlineStr">
        <is>
          <t>XCX4.L</t>
        </is>
      </c>
      <c r="L35" t="inlineStr">
        <is>
          <t>London Stock Exchange</t>
        </is>
      </c>
      <c r="M35" t="inlineStr">
        <is>
          <t>GBp</t>
        </is>
      </c>
    </row>
    <row r="36">
      <c r="A36" t="inlineStr"/>
      <c r="B36" t="inlineStr">
        <is>
          <t>XDAX.L</t>
        </is>
      </c>
      <c r="C36" t="inlineStr"/>
      <c r="D36" t="inlineStr"/>
      <c r="E36" t="inlineStr">
        <is>
          <t>Other</t>
        </is>
      </c>
      <c r="F36" t="inlineStr">
        <is>
          <t>Turkey</t>
        </is>
      </c>
      <c r="G36" t="inlineStr">
        <is>
          <t>TUR</t>
        </is>
      </c>
      <c r="H36" t="inlineStr">
        <is>
          <t>TUR*</t>
        </is>
      </c>
      <c r="J36" t="inlineStr">
        <is>
          <t>XDAX.L</t>
        </is>
      </c>
      <c r="K36" t="inlineStr">
        <is>
          <t>XDAX.L</t>
        </is>
      </c>
      <c r="L36" t="inlineStr">
        <is>
          <t>London Stock Exchange</t>
        </is>
      </c>
      <c r="M36" t="inlineStr">
        <is>
          <t>GBp</t>
        </is>
      </c>
    </row>
    <row r="37">
      <c r="A37" t="inlineStr"/>
      <c r="B37" t="inlineStr">
        <is>
          <t>XESP.DE</t>
        </is>
      </c>
      <c r="C37" t="inlineStr"/>
      <c r="D37" t="inlineStr"/>
      <c r="E37" t="inlineStr">
        <is>
          <t>Other</t>
        </is>
      </c>
      <c r="F37" t="inlineStr">
        <is>
          <t>Turkey</t>
        </is>
      </c>
      <c r="G37" t="inlineStr">
        <is>
          <t>TURL.L</t>
        </is>
      </c>
      <c r="H37" t="inlineStr">
        <is>
          <t>TURL.L</t>
        </is>
      </c>
      <c r="J37" t="inlineStr">
        <is>
          <t>XESP.DE</t>
        </is>
      </c>
      <c r="K37" t="inlineStr">
        <is>
          <t>XESP.DE</t>
        </is>
      </c>
      <c r="L37" t="inlineStr">
        <is>
          <t>GER</t>
        </is>
      </c>
      <c r="M37" t="inlineStr">
        <is>
          <t>EUR</t>
        </is>
      </c>
    </row>
    <row r="38">
      <c r="A38" t="inlineStr"/>
      <c r="B38" t="inlineStr">
        <is>
          <t>XFVT.L</t>
        </is>
      </c>
      <c r="C38" t="inlineStr"/>
      <c r="D38" t="inlineStr"/>
      <c r="E38" t="inlineStr">
        <is>
          <t>Other</t>
        </is>
      </c>
      <c r="F38" t="inlineStr">
        <is>
          <t>United Kingdom</t>
        </is>
      </c>
      <c r="G38" t="inlineStr">
        <is>
          <t>CSUK.L</t>
        </is>
      </c>
      <c r="H38" t="inlineStr">
        <is>
          <t>CSUK.L</t>
        </is>
      </c>
      <c r="J38" t="inlineStr">
        <is>
          <t>XFVT.L</t>
        </is>
      </c>
      <c r="K38" t="inlineStr">
        <is>
          <t>XFVT.L</t>
        </is>
      </c>
      <c r="L38" t="inlineStr">
        <is>
          <t>London Stock Exchange</t>
        </is>
      </c>
      <c r="M38" t="inlineStr">
        <is>
          <t>GBp</t>
        </is>
      </c>
    </row>
    <row r="39">
      <c r="A39" t="inlineStr"/>
      <c r="B39" t="inlineStr">
        <is>
          <t>XMBR.L</t>
        </is>
      </c>
      <c r="C39" t="inlineStr"/>
      <c r="D39" t="inlineStr"/>
      <c r="E39" t="inlineStr">
        <is>
          <t>Other</t>
        </is>
      </c>
      <c r="F39" t="inlineStr">
        <is>
          <t>United Kingdom</t>
        </is>
      </c>
      <c r="G39" t="inlineStr">
        <is>
          <t>CUKX.L</t>
        </is>
      </c>
      <c r="H39" t="inlineStr">
        <is>
          <t>CUKX.L</t>
        </is>
      </c>
      <c r="J39" t="inlineStr">
        <is>
          <t>XMBR.L</t>
        </is>
      </c>
      <c r="K39" t="inlineStr">
        <is>
          <t>XMBR.L</t>
        </is>
      </c>
      <c r="L39" t="inlineStr">
        <is>
          <t>London Stock Exchange</t>
        </is>
      </c>
      <c r="M39" t="inlineStr">
        <is>
          <t>GBp</t>
        </is>
      </c>
    </row>
    <row r="40">
      <c r="A40" t="inlineStr"/>
      <c r="B40" t="inlineStr">
        <is>
          <t>XMEX.L</t>
        </is>
      </c>
      <c r="C40" t="inlineStr"/>
      <c r="D40" t="inlineStr"/>
      <c r="E40" t="inlineStr">
        <is>
          <t>Other</t>
        </is>
      </c>
      <c r="F40" t="inlineStr">
        <is>
          <t>United States</t>
        </is>
      </c>
      <c r="G40" t="inlineStr">
        <is>
          <t>CSPX.L</t>
        </is>
      </c>
      <c r="H40" t="inlineStr">
        <is>
          <t>CSPX.L</t>
        </is>
      </c>
      <c r="J40" t="inlineStr">
        <is>
          <t>XMEX.L</t>
        </is>
      </c>
      <c r="K40" t="inlineStr">
        <is>
          <t>XMEX.L</t>
        </is>
      </c>
      <c r="L40" t="inlineStr">
        <is>
          <t>London Stock Exchange</t>
        </is>
      </c>
      <c r="M40" t="inlineStr">
        <is>
          <t>GBp</t>
        </is>
      </c>
    </row>
    <row r="41">
      <c r="A41" t="inlineStr"/>
      <c r="B41" t="inlineStr">
        <is>
          <t>XMTW.L</t>
        </is>
      </c>
      <c r="C41" t="inlineStr"/>
      <c r="D41" t="inlineStr"/>
      <c r="E41" t="inlineStr">
        <is>
          <t>Other</t>
        </is>
      </c>
      <c r="F41" t="inlineStr">
        <is>
          <t>United States</t>
        </is>
      </c>
      <c r="G41" t="inlineStr">
        <is>
          <t>CSUS.L</t>
        </is>
      </c>
      <c r="H41" t="inlineStr">
        <is>
          <t>CSUS.L</t>
        </is>
      </c>
      <c r="J41" t="inlineStr">
        <is>
          <t>XMTW.L</t>
        </is>
      </c>
      <c r="K41" t="inlineStr">
        <is>
          <t>XMTW.L</t>
        </is>
      </c>
      <c r="L41" t="inlineStr">
        <is>
          <t>London Stock Exchange</t>
        </is>
      </c>
      <c r="M41" t="inlineStr">
        <is>
          <t>GBp</t>
        </is>
      </c>
    </row>
    <row r="42">
      <c r="A42" t="inlineStr"/>
      <c r="B42" t="inlineStr">
        <is>
          <t>XPHG.L</t>
        </is>
      </c>
      <c r="C42" t="inlineStr"/>
      <c r="D42" t="inlineStr"/>
      <c r="E42" t="inlineStr">
        <is>
          <t>Other</t>
        </is>
      </c>
      <c r="F42" t="inlineStr">
        <is>
          <t>Vietnam</t>
        </is>
      </c>
      <c r="G42" t="inlineStr">
        <is>
          <t>XFVT.L</t>
        </is>
      </c>
      <c r="H42" t="inlineStr">
        <is>
          <t>XFVT.L</t>
        </is>
      </c>
      <c r="J42" t="inlineStr">
        <is>
          <t>XPHG.L</t>
        </is>
      </c>
      <c r="K42" t="inlineStr">
        <is>
          <t>XPHG.L</t>
        </is>
      </c>
      <c r="L42" t="inlineStr">
        <is>
          <t>London Stock Exchange</t>
        </is>
      </c>
      <c r="M42" t="inlineStr">
        <is>
          <t>GBp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hidden="1" width="15" customWidth="1" min="5" max="5"/>
    <col width="12" customWidth="1" min="6" max="6"/>
    <col width="15" customWidth="1" min="7" max="7"/>
    <col width="15" customWidth="1" min="8" max="8"/>
    <col width="12" customWidth="1" min="9" max="9"/>
    <col width="12" customWidth="1" min="10" max="10"/>
    <col hidden="1" width="15" customWidth="1" min="11" max="11"/>
    <col width="15" customWidth="1" min="13" max="13"/>
    <col width="15" customWidth="1" min="14" max="14"/>
    <col width="15" customWidth="1" min="15" max="15"/>
    <col width="12" customWidth="1" min="17" max="17"/>
    <col width="15" customWidth="1" min="18" max="18"/>
    <col width="15" customWidth="1" min="19" max="19"/>
    <col hidden="1" width="15" customWidth="1" min="20" max="20"/>
    <col width="15" customWidth="1" min="22" max="22"/>
    <col width="15" customWidth="1" min="24" max="24"/>
    <col width="12" customWidth="1" min="26" max="26"/>
    <col width="12" customWidth="1" min="27" max="27"/>
    <col width="20" customWidth="1" min="29" max="29"/>
    <col width="12" customWidth="1" min="30" max="30"/>
  </cols>
  <sheetData>
    <row r="1">
      <c r="A1" s="3" t="inlineStr">
        <is>
          <t>Country Disconnect Dashboard (As of Mar 18, 2026)</t>
        </is>
      </c>
    </row>
    <row r="2">
      <c r="A2" s="4" t="inlineStr">
        <is>
          <t>Horizon (choice between 1Y, 3Y, 5Y, 10Y)</t>
        </is>
      </c>
      <c r="B2" t="inlineStr">
        <is>
          <t>10Y</t>
        </is>
      </c>
      <c r="D2" t="inlineStr">
        <is>
          <t>Region Filter (using hidden reference columns)</t>
        </is>
      </c>
      <c r="E2" t="inlineStr">
        <is>
          <t>(asia, europe, etc.)</t>
        </is>
      </c>
      <c r="G2" t="inlineStr">
        <is>
          <t>Sort by (choice of GDP size)</t>
        </is>
      </c>
      <c r="H2" t="inlineStr">
        <is>
          <t>nGDP</t>
        </is>
      </c>
    </row>
    <row r="4">
      <c r="A4" s="4" t="inlineStr">
        <is>
          <t>Country</t>
        </is>
      </c>
      <c r="B4" s="4" t="inlineStr">
        <is>
          <t>ETF Ticker</t>
        </is>
      </c>
      <c r="C4" s="4" t="inlineStr">
        <is>
          <t>nGDP (USD) CAGR (%)</t>
        </is>
      </c>
      <c r="D4" s="4" t="inlineStr">
        <is>
          <t>ETF Return (USD) CAGR (%)</t>
        </is>
      </c>
      <c r="E4" s="4" t="inlineStr">
        <is>
          <t>MSCI Index Retrun (USD) CAGR (%)</t>
        </is>
      </c>
      <c r="F4" s="4" t="inlineStr">
        <is>
          <t>Macro Gap (%)</t>
        </is>
      </c>
      <c r="G4" s="4" t="inlineStr">
        <is>
          <t>Projected Growth (2026-28) CAGR (%)</t>
        </is>
      </c>
      <c r="H4" s="4" t="inlineStr">
        <is>
          <t>Impact of $10 Oil Price change relative to GDP (%)</t>
        </is>
      </c>
      <c r="I4" s="4" t="inlineStr">
        <is>
          <t>REER Index</t>
        </is>
      </c>
      <c r="J4" s="4" t="inlineStr">
        <is>
          <t>REER vs 10Y</t>
        </is>
      </c>
      <c r="K4" s="4" t="inlineStr">
        <is>
          <t>Futures rate for USD/LCU 2 years out (%)</t>
        </is>
      </c>
      <c r="L4" s="4" t="inlineStr">
        <is>
          <t>GDP Metrics</t>
        </is>
      </c>
      <c r="M4" s="4" t="inlineStr">
        <is>
          <t>nGDP (USD) 2025</t>
        </is>
      </c>
      <c r="N4" s="4" t="inlineStr">
        <is>
          <t>nGDP (LCU) CAGR (%)</t>
        </is>
      </c>
      <c r="O4" s="4" t="inlineStr">
        <is>
          <t>rGDP (LCU) CAGR (%)</t>
        </is>
      </c>
      <c r="P4" s="4" t="inlineStr">
        <is>
          <t>Exchange Rate Metrics</t>
        </is>
      </c>
      <c r="Q4" s="4" t="inlineStr">
        <is>
          <t>FX CAGR %</t>
        </is>
      </c>
      <c r="R4" s="4" t="inlineStr">
        <is>
          <t>FX Jan 1st CAGR %</t>
        </is>
      </c>
      <c r="S4" s="4" t="inlineStr">
        <is>
          <t>USD/LCU spot rate as of "today"</t>
        </is>
      </c>
      <c r="T4" s="4" t="inlineStr">
        <is>
          <t>Futures rate for USD/LCU (2 years out from "today")</t>
        </is>
      </c>
      <c r="U4" s="4" t="inlineStr">
        <is>
          <t>Inflation Metrics</t>
        </is>
      </c>
      <c r="V4" s="4" t="inlineStr">
        <is>
          <t>Inf. Diff CAGR %</t>
        </is>
      </c>
      <c r="W4" s="4" t="inlineStr">
        <is>
          <t>Differential</t>
        </is>
      </c>
      <c r="X4" s="4" t="inlineStr">
        <is>
          <t>Currency Gap %</t>
        </is>
      </c>
      <c r="Y4" s="4" t="inlineStr">
        <is>
          <t>Country Info</t>
        </is>
      </c>
      <c r="Z4" s="4" t="inlineStr">
        <is>
          <t>Region</t>
        </is>
      </c>
      <c r="AA4" s="4" t="inlineStr">
        <is>
          <t>Local Currency Unit (LCU)</t>
        </is>
      </c>
      <c r="AB4" s="4" t="inlineStr">
        <is>
          <t>ETF Info</t>
        </is>
      </c>
      <c r="AC4" s="4" t="inlineStr">
        <is>
          <t>Exchange name for ETF ticker</t>
        </is>
      </c>
      <c r="AD4" s="4" t="inlineStr">
        <is>
          <t>ETF ticker currency</t>
        </is>
      </c>
    </row>
    <row r="5">
      <c r="A5" t="inlineStr">
        <is>
          <t>Australia</t>
        </is>
      </c>
      <c r="B5" t="inlineStr">
        <is>
          <t>SAUS.L</t>
        </is>
      </c>
      <c r="C5" s="5">
        <f>IFERROR(1*INDEX(CAGR!$I:$I, MATCH($A5&amp;"|"&amp;$B$2, CAGR!$Q:$Q, 0)), NA())</f>
        <v/>
      </c>
      <c r="D5" s="5">
        <f>IFERROR(1*INDEX(CAGR!$F:$F, MATCH($A5&amp;"|"&amp;$B5&amp;"|"&amp;$B$2, CAGR!$P:$P, 0)), NA())</f>
        <v/>
      </c>
      <c r="E5">
        <f>IFERROR(INDEX(MSCI!$B:$E, MATCH("Australia", MSCI!$A:$A, 0), MATCH($B$2, MSCI!$B$1:$E$1, 0)), NA())</f>
        <v/>
      </c>
      <c r="F5" s="5">
        <f>IF(AND(ISNUMBER(C5),ISNUMBER(D5)),C5-D5,NA())</f>
        <v/>
      </c>
      <c r="G5" s="5">
        <f>IFERROR((( (1+INDEX(Annual!$H:$H, MATCH($A5&amp;"|2026", Annual!$K:$K, 0))/100)*(1+INDEX(Annual!$H:$H, MATCH($A5&amp;"|2027", Annual!$K:$K, 0))/100)*(1+INDEX(Annual!$H:$H, MATCH($A5&amp;"|2028", Annual!$K:$K, 0))/100) )^(1/3)-1)*100, NA())</f>
        <v/>
      </c>
      <c r="H5" s="5">
        <f>IFERROR(INDEX(Crude_Oil_Impact!$H:$H, MATCH($A5, Crude_Oil_Impact!$A:$A, 0)), NA())</f>
        <v/>
      </c>
      <c r="I5" s="5">
        <f>IFERROR(INDEX(REER_Data!$C:$C, MATCH($A5, REER_Data!$A:$A, 0)), NA())</f>
        <v/>
      </c>
      <c r="J5" s="5">
        <f>IFERROR(INDEX(REER_Data!$E:$E, MATCH($A5, REER_Data!$A:$A, 0)) / 100, NA())</f>
        <v/>
      </c>
      <c r="K5" t="inlineStr">
        <is>
          <t>NA()</t>
        </is>
      </c>
      <c r="M5" t="n">
        <v>1829508000000</v>
      </c>
      <c r="N5" s="5">
        <f>IFERROR(1*INDEX(CAGR!$H:$H, MATCH($A5&amp;"|"&amp;$B$2, CAGR!$Q:$Q, 0)), NA())</f>
        <v/>
      </c>
      <c r="O5" s="5">
        <f>IFERROR(1*INDEX(CAGR!$G:$G, MATCH($A5&amp;"|"&amp;$B$2, CAGR!$Q:$Q, 0)), NA())</f>
        <v/>
      </c>
      <c r="Q5" s="5">
        <f>IFERROR(1*INDEX(CAGR!$J:$J, MATCH($A5&amp;"|"&amp;$B$2, CAGR!$Q:$Q, 0)), NA())</f>
        <v/>
      </c>
      <c r="R5" s="5">
        <f>IFERROR(1*INDEX(CAGR!$K:$K, MATCH($A5&amp;"|"&amp;$B$2, CAGR!$Q:$Q, 0)), NA())</f>
        <v/>
      </c>
      <c r="S5" s="6" t="n"/>
      <c r="T5" t="inlineStr">
        <is>
          <t>NA()</t>
        </is>
      </c>
      <c r="V5" s="5">
        <f>IFERROR(1*INDEX(CAGR!$N:$N, MATCH($A5&amp;"|"&amp;$B$2, CAGR!$Q:$Q, 0)), NA())</f>
        <v/>
      </c>
      <c r="X5" s="5">
        <f>IF(AND(ISNUMBER(Q5),ISNUMBER(V5)),Q5+V5,NA())</f>
        <v/>
      </c>
      <c r="Z5" t="inlineStr">
        <is>
          <t>Oceania</t>
        </is>
      </c>
      <c r="AA5" t="inlineStr">
        <is>
          <t>AUD</t>
        </is>
      </c>
      <c r="AC5">
        <f>IFERROR(INDEX(Lists!$J$2:$J$42, MATCH($B5, Lists!$I$2:$I$42, 0)),"")</f>
        <v/>
      </c>
      <c r="AD5">
        <f>IFERROR(INDEX(Lists!$K$2:$K$42, MATCH($B5, Lists!$I$2:$I$42, 0)),"")</f>
        <v/>
      </c>
    </row>
    <row r="6">
      <c r="A6" t="inlineStr">
        <is>
          <t>Austria</t>
        </is>
      </c>
      <c r="B6" t="inlineStr">
        <is>
          <t>EWO</t>
        </is>
      </c>
      <c r="C6" s="5">
        <f>IFERROR(1*INDEX(CAGR!$I:$I, MATCH($A6&amp;"|"&amp;$B$2, CAGR!$Q:$Q, 0)), NA())</f>
        <v/>
      </c>
      <c r="D6" s="5">
        <f>IFERROR(1*INDEX(CAGR!$F:$F, MATCH($A6&amp;"|"&amp;$B6&amp;"|"&amp;$B$2, CAGR!$P:$P, 0)), NA())</f>
        <v/>
      </c>
      <c r="E6">
        <f>IFERROR(INDEX(MSCI!$B:$E, MATCH("Austria", MSCI!$A:$A, 0), MATCH($B$2, MSCI!$B$1:$E$1, 0)), NA())</f>
        <v/>
      </c>
      <c r="F6" s="5">
        <f>IF(AND(ISNUMBER(C6),ISNUMBER(D6)),C6-D6,NA())</f>
        <v/>
      </c>
      <c r="G6" s="5">
        <f>IFERROR((( (1+INDEX(Annual!$H:$H, MATCH($A6&amp;"|2026", Annual!$K:$K, 0))/100)*(1+INDEX(Annual!$H:$H, MATCH($A6&amp;"|2027", Annual!$K:$K, 0))/100)*(1+INDEX(Annual!$H:$H, MATCH($A6&amp;"|2028", Annual!$K:$K, 0))/100) )^(1/3)-1)*100, NA())</f>
        <v/>
      </c>
      <c r="H6" s="5">
        <f>IFERROR(INDEX(Crude_Oil_Impact!$H:$H, MATCH($A6, Crude_Oil_Impact!$A:$A, 0)), NA())</f>
        <v/>
      </c>
      <c r="I6" s="5">
        <f>IFERROR(INDEX(REER_Data!$C:$C, MATCH($A6, REER_Data!$A:$A, 0)), NA())</f>
        <v/>
      </c>
      <c r="J6" s="5">
        <f>IFERROR(INDEX(REER_Data!$E:$E, MATCH($A6, REER_Data!$A:$A, 0)) / 100, NA())</f>
        <v/>
      </c>
      <c r="K6" t="inlineStr">
        <is>
          <t>NA()</t>
        </is>
      </c>
      <c r="M6" t="n">
        <v>566456000000</v>
      </c>
      <c r="N6" s="5">
        <f>IFERROR(1*INDEX(CAGR!$H:$H, MATCH($A6&amp;"|"&amp;$B$2, CAGR!$Q:$Q, 0)), NA())</f>
        <v/>
      </c>
      <c r="O6" s="5">
        <f>IFERROR(1*INDEX(CAGR!$G:$G, MATCH($A6&amp;"|"&amp;$B$2, CAGR!$Q:$Q, 0)), NA())</f>
        <v/>
      </c>
      <c r="Q6" s="5">
        <f>IFERROR(1*INDEX(CAGR!$J:$J, MATCH($A6&amp;"|"&amp;$B$2, CAGR!$Q:$Q, 0)), NA())</f>
        <v/>
      </c>
      <c r="R6" s="5">
        <f>IFERROR(1*INDEX(CAGR!$K:$K, MATCH($A6&amp;"|"&amp;$B$2, CAGR!$Q:$Q, 0)), NA())</f>
        <v/>
      </c>
      <c r="S6" s="6" t="n">
        <v>1</v>
      </c>
      <c r="T6" t="inlineStr">
        <is>
          <t>NA()</t>
        </is>
      </c>
      <c r="V6" s="5">
        <f>IFERROR(1*INDEX(CAGR!$N:$N, MATCH($A6&amp;"|"&amp;$B$2, CAGR!$Q:$Q, 0)), NA())</f>
        <v/>
      </c>
      <c r="X6" s="5">
        <f>IF(AND(ISNUMBER(Q6),ISNUMBER(V6)),Q6+V6,NA())</f>
        <v/>
      </c>
      <c r="Z6" t="inlineStr">
        <is>
          <t>Europe</t>
        </is>
      </c>
      <c r="AA6" t="inlineStr">
        <is>
          <t>EUR</t>
        </is>
      </c>
      <c r="AC6">
        <f>IFERROR(INDEX(Lists!$J$2:$J$42, MATCH($B6, Lists!$I$2:$I$42, 0)),"")</f>
        <v/>
      </c>
      <c r="AD6">
        <f>IFERROR(INDEX(Lists!$K$2:$K$42, MATCH($B6, Lists!$I$2:$I$42, 0)),"")</f>
        <v/>
      </c>
    </row>
    <row r="7">
      <c r="A7" t="inlineStr">
        <is>
          <t>Belgium</t>
        </is>
      </c>
      <c r="B7" t="inlineStr">
        <is>
          <t>EWK</t>
        </is>
      </c>
      <c r="C7" s="5">
        <f>IFERROR(1*INDEX(CAGR!$I:$I, MATCH($A7&amp;"|"&amp;$B$2, CAGR!$Q:$Q, 0)), NA())</f>
        <v/>
      </c>
      <c r="D7" s="5">
        <f>IFERROR(1*INDEX(CAGR!$F:$F, MATCH($A7&amp;"|"&amp;$B7&amp;"|"&amp;$B$2, CAGR!$P:$P, 0)), NA())</f>
        <v/>
      </c>
      <c r="E7">
        <f>IFERROR(INDEX(MSCI!$B:$E, MATCH("Belgium", MSCI!$A:$A, 0), MATCH($B$2, MSCI!$B$1:$E$1, 0)), NA())</f>
        <v/>
      </c>
      <c r="F7" s="5">
        <f>IF(AND(ISNUMBER(C7),ISNUMBER(D7)),C7-D7,NA())</f>
        <v/>
      </c>
      <c r="G7" s="5">
        <f>IFERROR((( (1+INDEX(Annual!$H:$H, MATCH($A7&amp;"|2026", Annual!$K:$K, 0))/100)*(1+INDEX(Annual!$H:$H, MATCH($A7&amp;"|2027", Annual!$K:$K, 0))/100)*(1+INDEX(Annual!$H:$H, MATCH($A7&amp;"|2028", Annual!$K:$K, 0))/100) )^(1/3)-1)*100, NA())</f>
        <v/>
      </c>
      <c r="H7" s="5">
        <f>IFERROR(INDEX(Crude_Oil_Impact!$H:$H, MATCH($A7, Crude_Oil_Impact!$A:$A, 0)), NA())</f>
        <v/>
      </c>
      <c r="I7" s="5">
        <f>IFERROR(INDEX(REER_Data!$C:$C, MATCH($A7, REER_Data!$A:$A, 0)), NA())</f>
        <v/>
      </c>
      <c r="J7" s="5">
        <f>IFERROR(INDEX(REER_Data!$E:$E, MATCH($A7, REER_Data!$A:$A, 0)) / 100, NA())</f>
        <v/>
      </c>
      <c r="K7" t="inlineStr">
        <is>
          <t>NA()</t>
        </is>
      </c>
      <c r="M7" t="n">
        <v>716980000000</v>
      </c>
      <c r="N7" s="5">
        <f>IFERROR(1*INDEX(CAGR!$H:$H, MATCH($A7&amp;"|"&amp;$B$2, CAGR!$Q:$Q, 0)), NA())</f>
        <v/>
      </c>
      <c r="O7" s="5">
        <f>IFERROR(1*INDEX(CAGR!$G:$G, MATCH($A7&amp;"|"&amp;$B$2, CAGR!$Q:$Q, 0)), NA())</f>
        <v/>
      </c>
      <c r="Q7" s="5">
        <f>IFERROR(1*INDEX(CAGR!$J:$J, MATCH($A7&amp;"|"&amp;$B$2, CAGR!$Q:$Q, 0)), NA())</f>
        <v/>
      </c>
      <c r="R7" s="5">
        <f>IFERROR(1*INDEX(CAGR!$K:$K, MATCH($A7&amp;"|"&amp;$B$2, CAGR!$Q:$Q, 0)), NA())</f>
        <v/>
      </c>
      <c r="S7" s="6" t="n">
        <v>1</v>
      </c>
      <c r="T7" t="inlineStr">
        <is>
          <t>NA()</t>
        </is>
      </c>
      <c r="V7" s="5">
        <f>IFERROR(1*INDEX(CAGR!$N:$N, MATCH($A7&amp;"|"&amp;$B$2, CAGR!$Q:$Q, 0)), NA())</f>
        <v/>
      </c>
      <c r="X7" s="5">
        <f>IF(AND(ISNUMBER(Q7),ISNUMBER(V7)),Q7+V7,NA())</f>
        <v/>
      </c>
      <c r="Z7" t="inlineStr">
        <is>
          <t>Europe</t>
        </is>
      </c>
      <c r="AA7" t="inlineStr">
        <is>
          <t>EUR</t>
        </is>
      </c>
      <c r="AC7">
        <f>IFERROR(INDEX(Lists!$J$2:$J$42, MATCH($B7, Lists!$I$2:$I$42, 0)),"")</f>
        <v/>
      </c>
      <c r="AD7">
        <f>IFERROR(INDEX(Lists!$K$2:$K$42, MATCH($B7, Lists!$I$2:$I$42, 0)),"")</f>
        <v/>
      </c>
    </row>
    <row r="8">
      <c r="A8" t="inlineStr">
        <is>
          <t>Brazil</t>
        </is>
      </c>
      <c r="B8" t="inlineStr">
        <is>
          <t>XMBR.L</t>
        </is>
      </c>
      <c r="C8" s="5">
        <f>IFERROR(1*INDEX(CAGR!$I:$I, MATCH($A8&amp;"|"&amp;$B$2, CAGR!$Q:$Q, 0)), NA())</f>
        <v/>
      </c>
      <c r="D8" s="5">
        <f>IFERROR(1*INDEX(CAGR!$F:$F, MATCH($A8&amp;"|"&amp;$B8&amp;"|"&amp;$B$2, CAGR!$P:$P, 0)), NA())</f>
        <v/>
      </c>
      <c r="E8">
        <f>IFERROR(INDEX(MSCI!$B:$E, MATCH("Brazil", MSCI!$A:$A, 0), MATCH($B$2, MSCI!$B$1:$E$1, 0)), NA())</f>
        <v/>
      </c>
      <c r="F8" s="5">
        <f>IF(AND(ISNUMBER(C8),ISNUMBER(D8)),C8-D8,NA())</f>
        <v/>
      </c>
      <c r="G8" s="5">
        <f>IFERROR((( (1+INDEX(Annual!$H:$H, MATCH($A8&amp;"|2026", Annual!$K:$K, 0))/100)*(1+INDEX(Annual!$H:$H, MATCH($A8&amp;"|2027", Annual!$K:$K, 0))/100)*(1+INDEX(Annual!$H:$H, MATCH($A8&amp;"|2028", Annual!$K:$K, 0))/100) )^(1/3)-1)*100, NA())</f>
        <v/>
      </c>
      <c r="H8" s="7">
        <f>IFERROR(INDEX(Crude_Oil_Impact!$H:$H, MATCH($A8, Crude_Oil_Impact!$A:$A, 0)), NA())</f>
        <v/>
      </c>
      <c r="I8" s="5">
        <f>IFERROR(INDEX(REER_Data!$C:$C, MATCH($A8, REER_Data!$A:$A, 0)), NA())</f>
        <v/>
      </c>
      <c r="J8" s="5">
        <f>IFERROR(INDEX(REER_Data!$E:$E, MATCH($A8, REER_Data!$A:$A, 0)) / 100, NA())</f>
        <v/>
      </c>
      <c r="K8" t="inlineStr">
        <is>
          <t>NA()</t>
        </is>
      </c>
      <c r="M8" t="n">
        <v>2256910000000</v>
      </c>
      <c r="N8" s="5">
        <f>IFERROR(1*INDEX(CAGR!$H:$H, MATCH($A8&amp;"|"&amp;$B$2, CAGR!$Q:$Q, 0)), NA())</f>
        <v/>
      </c>
      <c r="O8" s="5">
        <f>IFERROR(1*INDEX(CAGR!$G:$G, MATCH($A8&amp;"|"&amp;$B$2, CAGR!$Q:$Q, 0)), NA())</f>
        <v/>
      </c>
      <c r="Q8" s="5">
        <f>IFERROR(1*INDEX(CAGR!$J:$J, MATCH($A8&amp;"|"&amp;$B$2, CAGR!$Q:$Q, 0)), NA())</f>
        <v/>
      </c>
      <c r="R8" s="5">
        <f>IFERROR(1*INDEX(CAGR!$K:$K, MATCH($A8&amp;"|"&amp;$B$2, CAGR!$Q:$Q, 0)), NA())</f>
        <v/>
      </c>
      <c r="S8" s="6" t="n"/>
      <c r="T8" t="inlineStr">
        <is>
          <t>NA()</t>
        </is>
      </c>
      <c r="V8" s="5">
        <f>IFERROR(1*INDEX(CAGR!$N:$N, MATCH($A8&amp;"|"&amp;$B$2, CAGR!$Q:$Q, 0)), NA())</f>
        <v/>
      </c>
      <c r="X8" s="5">
        <f>IF(AND(ISNUMBER(Q8),ISNUMBER(V8)),Q8+V8,NA())</f>
        <v/>
      </c>
      <c r="Z8" t="inlineStr">
        <is>
          <t>Latin America</t>
        </is>
      </c>
      <c r="AA8" t="inlineStr">
        <is>
          <t>BRL</t>
        </is>
      </c>
      <c r="AC8">
        <f>IFERROR(INDEX(Lists!$J$2:$J$42, MATCH($B8, Lists!$I$2:$I$42, 0)),"")</f>
        <v/>
      </c>
      <c r="AD8">
        <f>IFERROR(INDEX(Lists!$K$2:$K$42, MATCH($B8, Lists!$I$2:$I$42, 0)),"")</f>
        <v/>
      </c>
    </row>
    <row r="9">
      <c r="A9" t="inlineStr">
        <is>
          <t>Canada</t>
        </is>
      </c>
      <c r="B9" t="inlineStr">
        <is>
          <t>CSCA.L</t>
        </is>
      </c>
      <c r="C9" s="5">
        <f>IFERROR(1*INDEX(CAGR!$I:$I, MATCH($A9&amp;"|"&amp;$B$2, CAGR!$Q:$Q, 0)), NA())</f>
        <v/>
      </c>
      <c r="D9" s="5">
        <f>IFERROR(1*INDEX(CAGR!$F:$F, MATCH($A9&amp;"|"&amp;$B9&amp;"|"&amp;$B$2, CAGR!$P:$P, 0)), NA())</f>
        <v/>
      </c>
      <c r="E9">
        <f>IFERROR(INDEX(MSCI!$B:$E, MATCH("Canada", MSCI!$A:$A, 0), MATCH($B$2, MSCI!$B$1:$E$1, 0)), NA())</f>
        <v/>
      </c>
      <c r="F9" s="5">
        <f>IF(AND(ISNUMBER(C9),ISNUMBER(D9)),C9-D9,NA())</f>
        <v/>
      </c>
      <c r="G9" s="5">
        <f>IFERROR((( (1+INDEX(Annual!$H:$H, MATCH($A9&amp;"|2026", Annual!$K:$K, 0))/100)*(1+INDEX(Annual!$H:$H, MATCH($A9&amp;"|2027", Annual!$K:$K, 0))/100)*(1+INDEX(Annual!$H:$H, MATCH($A9&amp;"|2028", Annual!$K:$K, 0))/100) )^(1/3)-1)*100, NA())</f>
        <v/>
      </c>
      <c r="H9" s="5">
        <f>IFERROR(INDEX(Crude_Oil_Impact!$H:$H, MATCH($A9, Crude_Oil_Impact!$A:$A, 0)), NA())</f>
        <v/>
      </c>
      <c r="I9" s="5">
        <f>IFERROR(INDEX(REER_Data!$C:$C, MATCH($A9, REER_Data!$A:$A, 0)), NA())</f>
        <v/>
      </c>
      <c r="J9" s="5">
        <f>IFERROR(INDEX(REER_Data!$E:$E, MATCH($A9, REER_Data!$A:$A, 0)) / 100, NA())</f>
        <v/>
      </c>
      <c r="K9" t="inlineStr">
        <is>
          <t>NA()</t>
        </is>
      </c>
      <c r="M9" t="n">
        <v>2283599000000</v>
      </c>
      <c r="N9" s="5">
        <f>IFERROR(1*INDEX(CAGR!$H:$H, MATCH($A9&amp;"|"&amp;$B$2, CAGR!$Q:$Q, 0)), NA())</f>
        <v/>
      </c>
      <c r="O9" s="5">
        <f>IFERROR(1*INDEX(CAGR!$G:$G, MATCH($A9&amp;"|"&amp;$B$2, CAGR!$Q:$Q, 0)), NA())</f>
        <v/>
      </c>
      <c r="Q9" s="5">
        <f>IFERROR(1*INDEX(CAGR!$J:$J, MATCH($A9&amp;"|"&amp;$B$2, CAGR!$Q:$Q, 0)), NA())</f>
        <v/>
      </c>
      <c r="R9" s="5">
        <f>IFERROR(1*INDEX(CAGR!$K:$K, MATCH($A9&amp;"|"&amp;$B$2, CAGR!$Q:$Q, 0)), NA())</f>
        <v/>
      </c>
      <c r="S9" s="6" t="n"/>
      <c r="T9" t="inlineStr">
        <is>
          <t>NA()</t>
        </is>
      </c>
      <c r="V9" s="5">
        <f>IFERROR(1*INDEX(CAGR!$N:$N, MATCH($A9&amp;"|"&amp;$B$2, CAGR!$Q:$Q, 0)), NA())</f>
        <v/>
      </c>
      <c r="X9" s="5">
        <f>IF(AND(ISNUMBER(Q9),ISNUMBER(V9)),Q9+V9,NA())</f>
        <v/>
      </c>
      <c r="Z9" t="inlineStr">
        <is>
          <t>North America</t>
        </is>
      </c>
      <c r="AA9" t="inlineStr">
        <is>
          <t>CAD</t>
        </is>
      </c>
      <c r="AC9">
        <f>IFERROR(INDEX(Lists!$J$2:$J$42, MATCH($B9, Lists!$I$2:$I$42, 0)),"")</f>
        <v/>
      </c>
      <c r="AD9">
        <f>IFERROR(INDEX(Lists!$K$2:$K$42, MATCH($B9, Lists!$I$2:$I$42, 0)),"")</f>
        <v/>
      </c>
    </row>
    <row r="10">
      <c r="A10" t="inlineStr">
        <is>
          <t>China</t>
        </is>
      </c>
      <c r="B10" t="inlineStr">
        <is>
          <t>IASH.L</t>
        </is>
      </c>
      <c r="C10" s="5">
        <f>IFERROR(1*INDEX(CAGR!$I:$I, MATCH($A10&amp;"|"&amp;$B$2, CAGR!$Q:$Q, 0)), NA())</f>
        <v/>
      </c>
      <c r="D10" s="5">
        <f>IFERROR(1*INDEX(CAGR!$F:$F, MATCH($A10&amp;"|"&amp;$B10&amp;"|"&amp;$B$2, CAGR!$P:$P, 0)), NA())</f>
        <v/>
      </c>
      <c r="E10">
        <f>IFERROR(INDEX(MSCI!$B:$E, MATCH("China", MSCI!$A:$A, 0), MATCH($B$2, MSCI!$B$1:$E$1, 0)), NA())</f>
        <v/>
      </c>
      <c r="F10" s="5">
        <f>IF(AND(ISNUMBER(C10),ISNUMBER(D10)),C10-D10,NA())</f>
        <v/>
      </c>
      <c r="G10" s="5">
        <f>IFERROR((( (1+INDEX(Annual!$H:$H, MATCH($A10&amp;"|2026", Annual!$K:$K, 0))/100)*(1+INDEX(Annual!$H:$H, MATCH($A10&amp;"|2027", Annual!$K:$K, 0))/100)*(1+INDEX(Annual!$H:$H, MATCH($A10&amp;"|2028", Annual!$K:$K, 0))/100) )^(1/3)-1)*100, NA())</f>
        <v/>
      </c>
      <c r="H10" s="5">
        <f>IFERROR(INDEX(Crude_Oil_Impact!$H:$H, MATCH($A10, Crude_Oil_Impact!$A:$A, 0)), NA())</f>
        <v/>
      </c>
      <c r="I10" s="5">
        <f>IFERROR(INDEX(REER_Data!$C:$C, MATCH($A10, REER_Data!$A:$A, 0)), NA())</f>
        <v/>
      </c>
      <c r="J10" s="5">
        <f>IFERROR(INDEX(REER_Data!$E:$E, MATCH($A10, REER_Data!$A:$A, 0)) / 100, NA())</f>
        <v/>
      </c>
      <c r="K10" t="inlineStr">
        <is>
          <t>NA()</t>
        </is>
      </c>
      <c r="M10" t="n">
        <v>19398577000000</v>
      </c>
      <c r="N10" s="5">
        <f>IFERROR(1*INDEX(CAGR!$H:$H, MATCH($A10&amp;"|"&amp;$B$2, CAGR!$Q:$Q, 0)), NA())</f>
        <v/>
      </c>
      <c r="O10" s="5">
        <f>IFERROR(1*INDEX(CAGR!$G:$G, MATCH($A10&amp;"|"&amp;$B$2, CAGR!$Q:$Q, 0)), NA())</f>
        <v/>
      </c>
      <c r="Q10" s="5">
        <f>IFERROR(1*INDEX(CAGR!$J:$J, MATCH($A10&amp;"|"&amp;$B$2, CAGR!$Q:$Q, 0)), NA())</f>
        <v/>
      </c>
      <c r="R10" s="5">
        <f>IFERROR(1*INDEX(CAGR!$K:$K, MATCH($A10&amp;"|"&amp;$B$2, CAGR!$Q:$Q, 0)), NA())</f>
        <v/>
      </c>
      <c r="S10" s="6" t="n"/>
      <c r="T10" t="inlineStr">
        <is>
          <t>NA()</t>
        </is>
      </c>
      <c r="V10" s="5">
        <f>IFERROR(1*INDEX(CAGR!$N:$N, MATCH($A10&amp;"|"&amp;$B$2, CAGR!$Q:$Q, 0)), NA())</f>
        <v/>
      </c>
      <c r="X10" s="5">
        <f>IF(AND(ISNUMBER(Q10),ISNUMBER(V10)),Q10+V10,NA())</f>
        <v/>
      </c>
      <c r="Z10" t="inlineStr">
        <is>
          <t>Asia</t>
        </is>
      </c>
      <c r="AA10" t="inlineStr">
        <is>
          <t>CNY</t>
        </is>
      </c>
      <c r="AC10">
        <f>IFERROR(INDEX(Lists!$J$2:$J$42, MATCH($B10, Lists!$I$2:$I$42, 0)),"")</f>
        <v/>
      </c>
      <c r="AD10">
        <f>IFERROR(INDEX(Lists!$K$2:$K$42, MATCH($B10, Lists!$I$2:$I$42, 0)),"")</f>
        <v/>
      </c>
    </row>
    <row r="11">
      <c r="A11" t="inlineStr">
        <is>
          <t>France</t>
        </is>
      </c>
      <c r="B11" t="inlineStr">
        <is>
          <t>ISFR.L</t>
        </is>
      </c>
      <c r="C11" s="5">
        <f>IFERROR(1*INDEX(CAGR!$I:$I, MATCH($A11&amp;"|"&amp;$B$2, CAGR!$Q:$Q, 0)), NA())</f>
        <v/>
      </c>
      <c r="D11" s="5">
        <f>IFERROR(1*INDEX(CAGR!$F:$F, MATCH($A11&amp;"|"&amp;$B11&amp;"|"&amp;$B$2, CAGR!$P:$P, 0)), NA())</f>
        <v/>
      </c>
      <c r="E11">
        <f>IFERROR(INDEX(MSCI!$B:$E, MATCH("France", MSCI!$A:$A, 0), MATCH($B$2, MSCI!$B$1:$E$1, 0)), NA())</f>
        <v/>
      </c>
      <c r="F11" s="5">
        <f>IF(AND(ISNUMBER(C11),ISNUMBER(D11)),C11-D11,NA())</f>
        <v/>
      </c>
      <c r="G11" s="5">
        <f>IFERROR((( (1+INDEX(Annual!$H:$H, MATCH($A11&amp;"|2026", Annual!$K:$K, 0))/100)*(1+INDEX(Annual!$H:$H, MATCH($A11&amp;"|2027", Annual!$K:$K, 0))/100)*(1+INDEX(Annual!$H:$H, MATCH($A11&amp;"|2028", Annual!$K:$K, 0))/100) )^(1/3)-1)*100, NA())</f>
        <v/>
      </c>
      <c r="H11" s="5">
        <f>IFERROR(INDEX(Crude_Oil_Impact!$H:$H, MATCH($A11, Crude_Oil_Impact!$A:$A, 0)), NA())</f>
        <v/>
      </c>
      <c r="I11" s="5">
        <f>IFERROR(INDEX(REER_Data!$C:$C, MATCH($A11, REER_Data!$A:$A, 0)), NA())</f>
        <v/>
      </c>
      <c r="J11" s="5">
        <f>IFERROR(INDEX(REER_Data!$E:$E, MATCH($A11, REER_Data!$A:$A, 0)) / 100, NA())</f>
        <v/>
      </c>
      <c r="K11" t="inlineStr">
        <is>
          <t>NA()</t>
        </is>
      </c>
      <c r="M11" t="n">
        <v>3361557000000</v>
      </c>
      <c r="N11" s="5">
        <f>IFERROR(1*INDEX(CAGR!$H:$H, MATCH($A11&amp;"|"&amp;$B$2, CAGR!$Q:$Q, 0)), NA())</f>
        <v/>
      </c>
      <c r="O11" s="5">
        <f>IFERROR(1*INDEX(CAGR!$G:$G, MATCH($A11&amp;"|"&amp;$B$2, CAGR!$Q:$Q, 0)), NA())</f>
        <v/>
      </c>
      <c r="Q11" s="5">
        <f>IFERROR(1*INDEX(CAGR!$J:$J, MATCH($A11&amp;"|"&amp;$B$2, CAGR!$Q:$Q, 0)), NA())</f>
        <v/>
      </c>
      <c r="R11" s="5">
        <f>IFERROR(1*INDEX(CAGR!$K:$K, MATCH($A11&amp;"|"&amp;$B$2, CAGR!$Q:$Q, 0)), NA())</f>
        <v/>
      </c>
      <c r="S11" s="6" t="n"/>
      <c r="T11" t="inlineStr">
        <is>
          <t>NA()</t>
        </is>
      </c>
      <c r="V11" s="5">
        <f>IFERROR(1*INDEX(CAGR!$N:$N, MATCH($A11&amp;"|"&amp;$B$2, CAGR!$Q:$Q, 0)), NA())</f>
        <v/>
      </c>
      <c r="X11" s="5">
        <f>IF(AND(ISNUMBER(Q11),ISNUMBER(V11)),Q11+V11,NA())</f>
        <v/>
      </c>
      <c r="Z11" t="inlineStr">
        <is>
          <t>Europe</t>
        </is>
      </c>
      <c r="AA11" t="inlineStr">
        <is>
          <t>EUR</t>
        </is>
      </c>
      <c r="AC11">
        <f>IFERROR(INDEX(Lists!$J$2:$J$42, MATCH($B11, Lists!$I$2:$I$42, 0)),"")</f>
        <v/>
      </c>
      <c r="AD11">
        <f>IFERROR(INDEX(Lists!$K$2:$K$42, MATCH($B11, Lists!$I$2:$I$42, 0)),"")</f>
        <v/>
      </c>
    </row>
    <row r="12">
      <c r="A12" t="inlineStr">
        <is>
          <t>Germany</t>
        </is>
      </c>
      <c r="B12" t="inlineStr">
        <is>
          <t>EXS1.DE</t>
        </is>
      </c>
      <c r="C12" s="5">
        <f>IFERROR(1*INDEX(CAGR!$I:$I, MATCH($A12&amp;"|"&amp;$B$2, CAGR!$Q:$Q, 0)), NA())</f>
        <v/>
      </c>
      <c r="D12" s="5">
        <f>IFERROR(1*INDEX(CAGR!$F:$F, MATCH($A12&amp;"|"&amp;$B12&amp;"|"&amp;$B$2, CAGR!$P:$P, 0)), NA())</f>
        <v/>
      </c>
      <c r="E12">
        <f>IFERROR(INDEX(MSCI!$B:$E, MATCH("Germany", MSCI!$A:$A, 0), MATCH($B$2, MSCI!$B$1:$E$1, 0)), NA())</f>
        <v/>
      </c>
      <c r="F12" s="5">
        <f>IF(AND(ISNUMBER(C12),ISNUMBER(D12)),C12-D12,NA())</f>
        <v/>
      </c>
      <c r="G12" s="5">
        <f>IFERROR((( (1+INDEX(Annual!$H:$H, MATCH($A12&amp;"|2026", Annual!$K:$K, 0))/100)*(1+INDEX(Annual!$H:$H, MATCH($A12&amp;"|2027", Annual!$K:$K, 0))/100)*(1+INDEX(Annual!$H:$H, MATCH($A12&amp;"|2028", Annual!$K:$K, 0))/100) )^(1/3)-1)*100, NA())</f>
        <v/>
      </c>
      <c r="H12" s="5">
        <f>IFERROR(INDEX(Crude_Oil_Impact!$H:$H, MATCH($A12, Crude_Oil_Impact!$A:$A, 0)), NA())</f>
        <v/>
      </c>
      <c r="I12" s="5">
        <f>IFERROR(INDEX(REER_Data!$C:$C, MATCH($A12, REER_Data!$A:$A, 0)), NA())</f>
        <v/>
      </c>
      <c r="J12" s="5">
        <f>IFERROR(INDEX(REER_Data!$E:$E, MATCH($A12, REER_Data!$A:$A, 0)) / 100, NA())</f>
        <v/>
      </c>
      <c r="K12" t="inlineStr">
        <is>
          <t>NA()</t>
        </is>
      </c>
      <c r="M12" t="n">
        <v>5013574000000</v>
      </c>
      <c r="N12" s="5">
        <f>IFERROR(1*INDEX(CAGR!$H:$H, MATCH($A12&amp;"|"&amp;$B$2, CAGR!$Q:$Q, 0)), NA())</f>
        <v/>
      </c>
      <c r="O12" s="5">
        <f>IFERROR(1*INDEX(CAGR!$G:$G, MATCH($A12&amp;"|"&amp;$B$2, CAGR!$Q:$Q, 0)), NA())</f>
        <v/>
      </c>
      <c r="Q12" s="5">
        <f>IFERROR(1*INDEX(CAGR!$J:$J, MATCH($A12&amp;"|"&amp;$B$2, CAGR!$Q:$Q, 0)), NA())</f>
        <v/>
      </c>
      <c r="R12" s="5">
        <f>IFERROR(1*INDEX(CAGR!$K:$K, MATCH($A12&amp;"|"&amp;$B$2, CAGR!$Q:$Q, 0)), NA())</f>
        <v/>
      </c>
      <c r="S12" s="6" t="n">
        <v>0.872799976194306</v>
      </c>
      <c r="T12" t="inlineStr">
        <is>
          <t>NA()</t>
        </is>
      </c>
      <c r="V12" s="5">
        <f>IFERROR(1*INDEX(CAGR!$N:$N, MATCH($A12&amp;"|"&amp;$B$2, CAGR!$Q:$Q, 0)), NA())</f>
        <v/>
      </c>
      <c r="X12" s="5">
        <f>IF(AND(ISNUMBER(Q12),ISNUMBER(V12)),Q12+V12,NA())</f>
        <v/>
      </c>
      <c r="Z12" t="inlineStr">
        <is>
          <t>Europe</t>
        </is>
      </c>
      <c r="AA12" t="inlineStr">
        <is>
          <t>EUR</t>
        </is>
      </c>
      <c r="AC12">
        <f>IFERROR(INDEX(Lists!$J$2:$J$42, MATCH($B12, Lists!$I$2:$I$42, 0)),"")</f>
        <v/>
      </c>
      <c r="AD12">
        <f>IFERROR(INDEX(Lists!$K$2:$K$42, MATCH($B12, Lists!$I$2:$I$42, 0)),"")</f>
        <v/>
      </c>
    </row>
    <row r="13">
      <c r="A13" t="inlineStr">
        <is>
          <t>Greece</t>
        </is>
      </c>
      <c r="B13" t="inlineStr">
        <is>
          <t>GREK</t>
        </is>
      </c>
      <c r="C13" s="5">
        <f>IFERROR(1*INDEX(CAGR!$I:$I, MATCH($A13&amp;"|"&amp;$B$2, CAGR!$Q:$Q, 0)), NA())</f>
        <v/>
      </c>
      <c r="D13" s="5">
        <f>IFERROR(1*INDEX(CAGR!$F:$F, MATCH($A13&amp;"|"&amp;$B13&amp;"|"&amp;$B$2, CAGR!$P:$P, 0)), NA())</f>
        <v/>
      </c>
      <c r="E13">
        <f>IFERROR(INDEX(MSCI!$B:$E, MATCH("Greece", MSCI!$A:$A, 0), MATCH($B$2, MSCI!$B$1:$E$1, 0)), NA())</f>
        <v/>
      </c>
      <c r="F13" s="5">
        <f>IF(AND(ISNUMBER(C13),ISNUMBER(D13)),C13-D13,NA())</f>
        <v/>
      </c>
      <c r="G13" s="5">
        <f>IFERROR((( (1+INDEX(Annual!$H:$H, MATCH($A13&amp;"|2026", Annual!$K:$K, 0))/100)*(1+INDEX(Annual!$H:$H, MATCH($A13&amp;"|2027", Annual!$K:$K, 0))/100)*(1+INDEX(Annual!$H:$H, MATCH($A13&amp;"|2028", Annual!$K:$K, 0))/100) )^(1/3)-1)*100, NA())</f>
        <v/>
      </c>
      <c r="H13" s="5">
        <f>IFERROR(INDEX(Crude_Oil_Impact!$H:$H, MATCH($A13, Crude_Oil_Impact!$A:$A, 0)), NA())</f>
        <v/>
      </c>
      <c r="I13" s="5">
        <f>IFERROR(INDEX(REER_Data!$C:$C, MATCH($A13, REER_Data!$A:$A, 0)), NA())</f>
        <v/>
      </c>
      <c r="J13" s="5">
        <f>IFERROR(INDEX(REER_Data!$E:$E, MATCH($A13, REER_Data!$A:$A, 0)) / 100, NA())</f>
        <v/>
      </c>
      <c r="K13" t="inlineStr">
        <is>
          <t>NA()</t>
        </is>
      </c>
      <c r="M13" t="n">
        <v>282019000000</v>
      </c>
      <c r="N13" s="5">
        <f>IFERROR(1*INDEX(CAGR!$H:$H, MATCH($A13&amp;"|"&amp;$B$2, CAGR!$Q:$Q, 0)), NA())</f>
        <v/>
      </c>
      <c r="O13" s="5">
        <f>IFERROR(1*INDEX(CAGR!$G:$G, MATCH($A13&amp;"|"&amp;$B$2, CAGR!$Q:$Q, 0)), NA())</f>
        <v/>
      </c>
      <c r="Q13" s="5">
        <f>IFERROR(1*INDEX(CAGR!$J:$J, MATCH($A13&amp;"|"&amp;$B$2, CAGR!$Q:$Q, 0)), NA())</f>
        <v/>
      </c>
      <c r="R13" s="5">
        <f>IFERROR(1*INDEX(CAGR!$K:$K, MATCH($A13&amp;"|"&amp;$B$2, CAGR!$Q:$Q, 0)), NA())</f>
        <v/>
      </c>
      <c r="S13" s="6" t="n">
        <v>1</v>
      </c>
      <c r="T13" t="inlineStr">
        <is>
          <t>NA()</t>
        </is>
      </c>
      <c r="V13" s="5">
        <f>IFERROR(1*INDEX(CAGR!$N:$N, MATCH($A13&amp;"|"&amp;$B$2, CAGR!$Q:$Q, 0)), NA())</f>
        <v/>
      </c>
      <c r="X13" s="5">
        <f>IF(AND(ISNUMBER(Q13),ISNUMBER(V13)),Q13+V13,NA())</f>
        <v/>
      </c>
      <c r="Z13" t="inlineStr">
        <is>
          <t>Europe</t>
        </is>
      </c>
      <c r="AA13" t="inlineStr">
        <is>
          <t>EUR</t>
        </is>
      </c>
      <c r="AC13">
        <f>IFERROR(INDEX(Lists!$J$2:$J$42, MATCH($B13, Lists!$I$2:$I$42, 0)),"")</f>
        <v/>
      </c>
      <c r="AD13">
        <f>IFERROR(INDEX(Lists!$K$2:$K$42, MATCH($B13, Lists!$I$2:$I$42, 0)),"")</f>
        <v/>
      </c>
    </row>
    <row r="14">
      <c r="A14" t="inlineStr">
        <is>
          <t>Hong Kong</t>
        </is>
      </c>
      <c r="B14" t="inlineStr">
        <is>
          <t>EWH</t>
        </is>
      </c>
      <c r="C14" s="5">
        <f>IFERROR(1*INDEX(CAGR!$I:$I, MATCH($A14&amp;"|"&amp;$B$2, CAGR!$Q:$Q, 0)), NA())</f>
        <v/>
      </c>
      <c r="D14" s="5">
        <f>IFERROR(1*INDEX(CAGR!$F:$F, MATCH($A14&amp;"|"&amp;$B14&amp;"|"&amp;$B$2, CAGR!$P:$P, 0)), NA())</f>
        <v/>
      </c>
      <c r="E14">
        <f>IFERROR(INDEX(MSCI!$B:$E, MATCH("Hong Kong", MSCI!$A:$A, 0), MATCH($B$2, MSCI!$B$1:$E$1, 0)), NA())</f>
        <v/>
      </c>
      <c r="F14" s="5">
        <f>IF(AND(ISNUMBER(C14),ISNUMBER(D14)),C14-D14,NA())</f>
        <v/>
      </c>
      <c r="G14" s="5">
        <f>IFERROR((( (1+INDEX(Annual!$H:$H, MATCH($A14&amp;"|2026", Annual!$K:$K, 0))/100)*(1+INDEX(Annual!$H:$H, MATCH($A14&amp;"|2027", Annual!$K:$K, 0))/100)*(1+INDEX(Annual!$H:$H, MATCH($A14&amp;"|2028", Annual!$K:$K, 0))/100) )^(1/3)-1)*100, NA())</f>
        <v/>
      </c>
      <c r="H14" s="5">
        <f>IFERROR(INDEX(Crude_Oil_Impact!$H:$H, MATCH($A14, Crude_Oil_Impact!$A:$A, 0)), NA())</f>
        <v/>
      </c>
      <c r="I14" s="5">
        <f>IFERROR(INDEX(REER_Data!$C:$C, MATCH($A14, REER_Data!$A:$A, 0)), NA())</f>
        <v/>
      </c>
      <c r="J14" s="5">
        <f>IFERROR(INDEX(REER_Data!$E:$E, MATCH($A14, REER_Data!$A:$A, 0)) / 100, NA())</f>
        <v/>
      </c>
      <c r="K14" t="inlineStr">
        <is>
          <t>NA()</t>
        </is>
      </c>
      <c r="M14" t="n">
        <v>428233000000</v>
      </c>
      <c r="N14" s="5">
        <f>IFERROR(1*INDEX(CAGR!$H:$H, MATCH($A14&amp;"|"&amp;$B$2, CAGR!$Q:$Q, 0)), NA())</f>
        <v/>
      </c>
      <c r="O14" s="5">
        <f>IFERROR(1*INDEX(CAGR!$G:$G, MATCH($A14&amp;"|"&amp;$B$2, CAGR!$Q:$Q, 0)), NA())</f>
        <v/>
      </c>
      <c r="Q14" s="5">
        <f>IFERROR(1*INDEX(CAGR!$J:$J, MATCH($A14&amp;"|"&amp;$B$2, CAGR!$Q:$Q, 0)), NA())</f>
        <v/>
      </c>
      <c r="R14" s="5">
        <f>IFERROR(1*INDEX(CAGR!$K:$K, MATCH($A14&amp;"|"&amp;$B$2, CAGR!$Q:$Q, 0)), NA())</f>
        <v/>
      </c>
      <c r="S14" s="6" t="n">
        <v>1</v>
      </c>
      <c r="T14" t="inlineStr">
        <is>
          <t>NA()</t>
        </is>
      </c>
      <c r="V14" s="5">
        <f>IFERROR(1*INDEX(CAGR!$N:$N, MATCH($A14&amp;"|"&amp;$B$2, CAGR!$Q:$Q, 0)), NA())</f>
        <v/>
      </c>
      <c r="X14" s="5">
        <f>IF(AND(ISNUMBER(Q14),ISNUMBER(V14)),Q14+V14,NA())</f>
        <v/>
      </c>
      <c r="Z14" t="inlineStr">
        <is>
          <t>Asia</t>
        </is>
      </c>
      <c r="AA14" t="inlineStr">
        <is>
          <t>HKD</t>
        </is>
      </c>
      <c r="AC14">
        <f>IFERROR(INDEX(Lists!$J$2:$J$42, MATCH($B14, Lists!$I$2:$I$42, 0)),"")</f>
        <v/>
      </c>
      <c r="AD14">
        <f>IFERROR(INDEX(Lists!$K$2:$K$42, MATCH($B14, Lists!$I$2:$I$42, 0)),"")</f>
        <v/>
      </c>
    </row>
    <row r="15">
      <c r="A15" t="inlineStr">
        <is>
          <t>India</t>
        </is>
      </c>
      <c r="B15" t="inlineStr">
        <is>
          <t>LYINR.SW</t>
        </is>
      </c>
      <c r="C15" s="5">
        <f>IFERROR(1*INDEX(CAGR!$I:$I, MATCH($A15&amp;"|"&amp;$B$2, CAGR!$Q:$Q, 0)), NA())</f>
        <v/>
      </c>
      <c r="D15" s="5">
        <f>IFERROR(1*INDEX(CAGR!$F:$F, MATCH($A15&amp;"|"&amp;$B15&amp;"|"&amp;$B$2, CAGR!$P:$P, 0)), NA())</f>
        <v/>
      </c>
      <c r="E15">
        <f>IFERROR(INDEX(MSCI!$B:$E, MATCH("India", MSCI!$A:$A, 0), MATCH($B$2, MSCI!$B$1:$E$1, 0)), NA())</f>
        <v/>
      </c>
      <c r="F15" s="5">
        <f>IF(AND(ISNUMBER(C15),ISNUMBER(D15)),C15-D15,NA())</f>
        <v/>
      </c>
      <c r="G15" s="5">
        <f>IFERROR((( (1+INDEX(Annual!$H:$H, MATCH($A15&amp;"|2026", Annual!$K:$K, 0))/100)*(1+INDEX(Annual!$H:$H, MATCH($A15&amp;"|2027", Annual!$K:$K, 0))/100)*(1+INDEX(Annual!$H:$H, MATCH($A15&amp;"|2028", Annual!$K:$K, 0))/100) )^(1/3)-1)*100, NA())</f>
        <v/>
      </c>
      <c r="H15" s="5">
        <f>IFERROR(INDEX(Crude_Oil_Impact!$H:$H, MATCH($A15, Crude_Oil_Impact!$A:$A, 0)), NA())</f>
        <v/>
      </c>
      <c r="I15" s="5">
        <f>IFERROR(INDEX(REER_Data!$C:$C, MATCH($A15, REER_Data!$A:$A, 0)), NA())</f>
        <v/>
      </c>
      <c r="J15" s="5">
        <f>IFERROR(INDEX(REER_Data!$E:$E, MATCH($A15, REER_Data!$A:$A, 0)) / 100, NA())</f>
        <v/>
      </c>
      <c r="K15" t="inlineStr">
        <is>
          <t>NA()</t>
        </is>
      </c>
      <c r="M15" t="n">
        <v>4125213000000</v>
      </c>
      <c r="N15" s="5">
        <f>IFERROR(1*INDEX(CAGR!$H:$H, MATCH($A15&amp;"|"&amp;$B$2, CAGR!$Q:$Q, 0)), NA())</f>
        <v/>
      </c>
      <c r="O15" s="5">
        <f>IFERROR(1*INDEX(CAGR!$G:$G, MATCH($A15&amp;"|"&amp;$B$2, CAGR!$Q:$Q, 0)), NA())</f>
        <v/>
      </c>
      <c r="Q15" s="5">
        <f>IFERROR(1*INDEX(CAGR!$J:$J, MATCH($A15&amp;"|"&amp;$B$2, CAGR!$Q:$Q, 0)), NA())</f>
        <v/>
      </c>
      <c r="R15" s="5">
        <f>IFERROR(1*INDEX(CAGR!$K:$K, MATCH($A15&amp;"|"&amp;$B$2, CAGR!$Q:$Q, 0)), NA())</f>
        <v/>
      </c>
      <c r="S15" s="6" t="n">
        <v>1</v>
      </c>
      <c r="T15" t="inlineStr">
        <is>
          <t>NA()</t>
        </is>
      </c>
      <c r="V15" s="5">
        <f>IFERROR(1*INDEX(CAGR!$N:$N, MATCH($A15&amp;"|"&amp;$B$2, CAGR!$Q:$Q, 0)), NA())</f>
        <v/>
      </c>
      <c r="X15" s="5">
        <f>IF(AND(ISNUMBER(Q15),ISNUMBER(V15)),Q15+V15,NA())</f>
        <v/>
      </c>
      <c r="Z15" t="inlineStr">
        <is>
          <t>Asia</t>
        </is>
      </c>
      <c r="AA15" t="inlineStr">
        <is>
          <t>INR</t>
        </is>
      </c>
      <c r="AC15">
        <f>IFERROR(INDEX(Lists!$J$2:$J$42, MATCH($B15, Lists!$I$2:$I$42, 0)),"")</f>
        <v/>
      </c>
      <c r="AD15">
        <f>IFERROR(INDEX(Lists!$K$2:$K$42, MATCH($B15, Lists!$I$2:$I$42, 0)),"")</f>
        <v/>
      </c>
    </row>
    <row r="16">
      <c r="A16" t="inlineStr">
        <is>
          <t>Indonesia</t>
        </is>
      </c>
      <c r="B16" t="inlineStr">
        <is>
          <t>INDO.PA</t>
        </is>
      </c>
      <c r="C16" s="5">
        <f>IFERROR(1*INDEX(CAGR!$I:$I, MATCH($A16&amp;"|"&amp;$B$2, CAGR!$Q:$Q, 0)), NA())</f>
        <v/>
      </c>
      <c r="D16" s="5">
        <f>IFERROR(1*INDEX(CAGR!$F:$F, MATCH($A16&amp;"|"&amp;$B16&amp;"|"&amp;$B$2, CAGR!$P:$P, 0)), NA())</f>
        <v/>
      </c>
      <c r="E16">
        <f>IFERROR(INDEX(MSCI!$B:$E, MATCH("Indonesia", MSCI!$A:$A, 0), MATCH($B$2, MSCI!$B$1:$E$1, 0)), NA())</f>
        <v/>
      </c>
      <c r="F16" s="5">
        <f>IF(AND(ISNUMBER(C16),ISNUMBER(D16)),C16-D16,NA())</f>
        <v/>
      </c>
      <c r="G16" s="5">
        <f>IFERROR((( (1+INDEX(Annual!$H:$H, MATCH($A16&amp;"|2026", Annual!$K:$K, 0))/100)*(1+INDEX(Annual!$H:$H, MATCH($A16&amp;"|2027", Annual!$K:$K, 0))/100)*(1+INDEX(Annual!$H:$H, MATCH($A16&amp;"|2028", Annual!$K:$K, 0))/100) )^(1/3)-1)*100, NA())</f>
        <v/>
      </c>
      <c r="H16" s="7">
        <f>IFERROR(INDEX(Crude_Oil_Impact!$H:$H, MATCH($A16, Crude_Oil_Impact!$A:$A, 0)), NA())</f>
        <v/>
      </c>
      <c r="I16" s="5">
        <f>IFERROR(INDEX(REER_Data!$C:$C, MATCH($A16, REER_Data!$A:$A, 0)), NA())</f>
        <v/>
      </c>
      <c r="J16" s="5">
        <f>IFERROR(INDEX(REER_Data!$E:$E, MATCH($A16, REER_Data!$A:$A, 0)) / 100, NA())</f>
        <v/>
      </c>
      <c r="K16" t="inlineStr">
        <is>
          <t>NA()</t>
        </is>
      </c>
      <c r="M16" t="n">
        <v>1443256000000</v>
      </c>
      <c r="N16" s="5">
        <f>IFERROR(1*INDEX(CAGR!$H:$H, MATCH($A16&amp;"|"&amp;$B$2, CAGR!$Q:$Q, 0)), NA())</f>
        <v/>
      </c>
      <c r="O16" s="5">
        <f>IFERROR(1*INDEX(CAGR!$G:$G, MATCH($A16&amp;"|"&amp;$B$2, CAGR!$Q:$Q, 0)), NA())</f>
        <v/>
      </c>
      <c r="Q16" s="5">
        <f>IFERROR(1*INDEX(CAGR!$J:$J, MATCH($A16&amp;"|"&amp;$B$2, CAGR!$Q:$Q, 0)), NA())</f>
        <v/>
      </c>
      <c r="R16" s="5">
        <f>IFERROR(1*INDEX(CAGR!$K:$K, MATCH($A16&amp;"|"&amp;$B$2, CAGR!$Q:$Q, 0)), NA())</f>
        <v/>
      </c>
      <c r="S16" s="6" t="n">
        <v>0.872799976194306</v>
      </c>
      <c r="T16" t="inlineStr">
        <is>
          <t>NA()</t>
        </is>
      </c>
      <c r="V16" s="5">
        <f>IFERROR(1*INDEX(CAGR!$N:$N, MATCH($A16&amp;"|"&amp;$B$2, CAGR!$Q:$Q, 0)), NA())</f>
        <v/>
      </c>
      <c r="X16" s="5">
        <f>IF(AND(ISNUMBER(Q16),ISNUMBER(V16)),Q16+V16,NA())</f>
        <v/>
      </c>
      <c r="Z16" t="inlineStr">
        <is>
          <t>Asia</t>
        </is>
      </c>
      <c r="AA16" t="inlineStr">
        <is>
          <t>IDR</t>
        </is>
      </c>
      <c r="AC16">
        <f>IFERROR(INDEX(Lists!$J$2:$J$42, MATCH($B16, Lists!$I$2:$I$42, 0)),"")</f>
        <v/>
      </c>
      <c r="AD16">
        <f>IFERROR(INDEX(Lists!$K$2:$K$42, MATCH($B16, Lists!$I$2:$I$42, 0)),"")</f>
        <v/>
      </c>
    </row>
    <row r="17">
      <c r="A17" t="inlineStr">
        <is>
          <t>Italy</t>
        </is>
      </c>
      <c r="B17" t="inlineStr">
        <is>
          <t>EWI</t>
        </is>
      </c>
      <c r="C17" s="5">
        <f>IFERROR(1*INDEX(CAGR!$I:$I, MATCH($A17&amp;"|"&amp;$B$2, CAGR!$Q:$Q, 0)), NA())</f>
        <v/>
      </c>
      <c r="D17" s="5">
        <f>IFERROR(1*INDEX(CAGR!$F:$F, MATCH($A17&amp;"|"&amp;$B17&amp;"|"&amp;$B$2, CAGR!$P:$P, 0)), NA())</f>
        <v/>
      </c>
      <c r="E17">
        <f>IFERROR(INDEX(MSCI!$B:$E, MATCH("Italy", MSCI!$A:$A, 0), MATCH($B$2, MSCI!$B$1:$E$1, 0)), NA())</f>
        <v/>
      </c>
      <c r="F17" s="5">
        <f>IF(AND(ISNUMBER(C17),ISNUMBER(D17)),C17-D17,NA())</f>
        <v/>
      </c>
      <c r="G17" s="5">
        <f>IFERROR((( (1+INDEX(Annual!$H:$H, MATCH($A17&amp;"|2026", Annual!$K:$K, 0))/100)*(1+INDEX(Annual!$H:$H, MATCH($A17&amp;"|2027", Annual!$K:$K, 0))/100)*(1+INDEX(Annual!$H:$H, MATCH($A17&amp;"|2028", Annual!$K:$K, 0))/100) )^(1/3)-1)*100, NA())</f>
        <v/>
      </c>
      <c r="H17" s="5">
        <f>IFERROR(INDEX(Crude_Oil_Impact!$H:$H, MATCH($A17, Crude_Oil_Impact!$A:$A, 0)), NA())</f>
        <v/>
      </c>
      <c r="I17" s="5">
        <f>IFERROR(INDEX(REER_Data!$C:$C, MATCH($A17, REER_Data!$A:$A, 0)), NA())</f>
        <v/>
      </c>
      <c r="J17" s="5">
        <f>IFERROR(INDEX(REER_Data!$E:$E, MATCH($A17, REER_Data!$A:$A, 0)) / 100, NA())</f>
        <v/>
      </c>
      <c r="K17" t="inlineStr">
        <is>
          <t>NA()</t>
        </is>
      </c>
      <c r="M17" t="n">
        <v>2543677000000</v>
      </c>
      <c r="N17" s="5">
        <f>IFERROR(1*INDEX(CAGR!$H:$H, MATCH($A17&amp;"|"&amp;$B$2, CAGR!$Q:$Q, 0)), NA())</f>
        <v/>
      </c>
      <c r="O17" s="5">
        <f>IFERROR(1*INDEX(CAGR!$G:$G, MATCH($A17&amp;"|"&amp;$B$2, CAGR!$Q:$Q, 0)), NA())</f>
        <v/>
      </c>
      <c r="Q17" s="5">
        <f>IFERROR(1*INDEX(CAGR!$J:$J, MATCH($A17&amp;"|"&amp;$B$2, CAGR!$Q:$Q, 0)), NA())</f>
        <v/>
      </c>
      <c r="R17" s="5">
        <f>IFERROR(1*INDEX(CAGR!$K:$K, MATCH($A17&amp;"|"&amp;$B$2, CAGR!$Q:$Q, 0)), NA())</f>
        <v/>
      </c>
      <c r="S17" s="6" t="n">
        <v>1</v>
      </c>
      <c r="T17" t="inlineStr">
        <is>
          <t>NA()</t>
        </is>
      </c>
      <c r="V17" s="5">
        <f>IFERROR(1*INDEX(CAGR!$N:$N, MATCH($A17&amp;"|"&amp;$B$2, CAGR!$Q:$Q, 0)), NA())</f>
        <v/>
      </c>
      <c r="X17" s="5">
        <f>IF(AND(ISNUMBER(Q17),ISNUMBER(V17)),Q17+V17,NA())</f>
        <v/>
      </c>
      <c r="Z17" t="inlineStr">
        <is>
          <t>Europe</t>
        </is>
      </c>
      <c r="AA17" t="inlineStr">
        <is>
          <t>EUR</t>
        </is>
      </c>
      <c r="AC17">
        <f>IFERROR(INDEX(Lists!$J$2:$J$42, MATCH($B17, Lists!$I$2:$I$42, 0)),"")</f>
        <v/>
      </c>
      <c r="AD17">
        <f>IFERROR(INDEX(Lists!$K$2:$K$42, MATCH($B17, Lists!$I$2:$I$42, 0)),"")</f>
        <v/>
      </c>
    </row>
    <row r="18">
      <c r="A18" t="inlineStr">
        <is>
          <t>Japan</t>
        </is>
      </c>
      <c r="B18" t="inlineStr">
        <is>
          <t>CJPU.L</t>
        </is>
      </c>
      <c r="C18" s="5">
        <f>IFERROR(1*INDEX(CAGR!$I:$I, MATCH($A18&amp;"|"&amp;$B$2, CAGR!$Q:$Q, 0)), NA())</f>
        <v/>
      </c>
      <c r="D18" s="5">
        <f>IFERROR(1*INDEX(CAGR!$F:$F, MATCH($A18&amp;"|"&amp;$B18&amp;"|"&amp;$B$2, CAGR!$P:$P, 0)), NA())</f>
        <v/>
      </c>
      <c r="E18">
        <f>IFERROR(INDEX(MSCI!$B:$E, MATCH("Japan", MSCI!$A:$A, 0), MATCH($B$2, MSCI!$B$1:$E$1, 0)), NA())</f>
        <v/>
      </c>
      <c r="F18" s="5">
        <f>IF(AND(ISNUMBER(C18),ISNUMBER(D18)),C18-D18,NA())</f>
        <v/>
      </c>
      <c r="G18" s="5">
        <f>IFERROR((( (1+INDEX(Annual!$H:$H, MATCH($A18&amp;"|2026", Annual!$K:$K, 0))/100)*(1+INDEX(Annual!$H:$H, MATCH($A18&amp;"|2027", Annual!$K:$K, 0))/100)*(1+INDEX(Annual!$H:$H, MATCH($A18&amp;"|2028", Annual!$K:$K, 0))/100) )^(1/3)-1)*100, NA())</f>
        <v/>
      </c>
      <c r="H18" s="5">
        <f>IFERROR(INDEX(Crude_Oil_Impact!$H:$H, MATCH($A18, Crude_Oil_Impact!$A:$A, 0)), NA())</f>
        <v/>
      </c>
      <c r="I18" s="5">
        <f>IFERROR(INDEX(REER_Data!$C:$C, MATCH($A18, REER_Data!$A:$A, 0)), NA())</f>
        <v/>
      </c>
      <c r="J18" s="5">
        <f>IFERROR(INDEX(REER_Data!$E:$E, MATCH($A18, REER_Data!$A:$A, 0)) / 100, NA())</f>
        <v/>
      </c>
      <c r="K18" t="inlineStr">
        <is>
          <t>NA()</t>
        </is>
      </c>
      <c r="M18" t="n">
        <v>4279828000000</v>
      </c>
      <c r="N18" s="5">
        <f>IFERROR(1*INDEX(CAGR!$H:$H, MATCH($A18&amp;"|"&amp;$B$2, CAGR!$Q:$Q, 0)), NA())</f>
        <v/>
      </c>
      <c r="O18" s="5">
        <f>IFERROR(1*INDEX(CAGR!$G:$G, MATCH($A18&amp;"|"&amp;$B$2, CAGR!$Q:$Q, 0)), NA())</f>
        <v/>
      </c>
      <c r="Q18" s="5">
        <f>IFERROR(1*INDEX(CAGR!$J:$J, MATCH($A18&amp;"|"&amp;$B$2, CAGR!$Q:$Q, 0)), NA())</f>
        <v/>
      </c>
      <c r="R18" s="5">
        <f>IFERROR(1*INDEX(CAGR!$K:$K, MATCH($A18&amp;"|"&amp;$B$2, CAGR!$Q:$Q, 0)), NA())</f>
        <v/>
      </c>
      <c r="S18" s="6" t="n">
        <v>1</v>
      </c>
      <c r="T18" t="inlineStr">
        <is>
          <t>NA()</t>
        </is>
      </c>
      <c r="V18" s="5">
        <f>IFERROR(1*INDEX(CAGR!$N:$N, MATCH($A18&amp;"|"&amp;$B$2, CAGR!$Q:$Q, 0)), NA())</f>
        <v/>
      </c>
      <c r="X18" s="5">
        <f>IF(AND(ISNUMBER(Q18),ISNUMBER(V18)),Q18+V18,NA())</f>
        <v/>
      </c>
      <c r="Z18" t="inlineStr">
        <is>
          <t>Asia</t>
        </is>
      </c>
      <c r="AA18" t="inlineStr">
        <is>
          <t>JPY</t>
        </is>
      </c>
      <c r="AC18">
        <f>IFERROR(INDEX(Lists!$J$2:$J$42, MATCH($B18, Lists!$I$2:$I$42, 0)),"")</f>
        <v/>
      </c>
      <c r="AD18">
        <f>IFERROR(INDEX(Lists!$K$2:$K$42, MATCH($B18, Lists!$I$2:$I$42, 0)),"")</f>
        <v/>
      </c>
    </row>
    <row r="19">
      <c r="A19" t="inlineStr">
        <is>
          <t>Malaysia</t>
        </is>
      </c>
      <c r="B19" t="inlineStr">
        <is>
          <t>XCX3.L</t>
        </is>
      </c>
      <c r="C19" s="5">
        <f>IFERROR(1*INDEX(CAGR!$I:$I, MATCH($A19&amp;"|"&amp;$B$2, CAGR!$Q:$Q, 0)), NA())</f>
        <v/>
      </c>
      <c r="D19" s="5">
        <f>IFERROR(1*INDEX(CAGR!$F:$F, MATCH($A19&amp;"|"&amp;$B19&amp;"|"&amp;$B$2, CAGR!$P:$P, 0)), NA())</f>
        <v/>
      </c>
      <c r="E19">
        <f>IFERROR(INDEX(MSCI!$B:$E, MATCH("Malaysia", MSCI!$A:$A, 0), MATCH($B$2, MSCI!$B$1:$E$1, 0)), NA())</f>
        <v/>
      </c>
      <c r="F19" s="5">
        <f>IF(AND(ISNUMBER(C19),ISNUMBER(D19)),C19-D19,NA())</f>
        <v/>
      </c>
      <c r="G19" s="5">
        <f>IFERROR((( (1+INDEX(Annual!$H:$H, MATCH($A19&amp;"|2026", Annual!$K:$K, 0))/100)*(1+INDEX(Annual!$H:$H, MATCH($A19&amp;"|2027", Annual!$K:$K, 0))/100)*(1+INDEX(Annual!$H:$H, MATCH($A19&amp;"|2028", Annual!$K:$K, 0))/100) )^(1/3)-1)*100, NA())</f>
        <v/>
      </c>
      <c r="H19" s="5">
        <f>IFERROR(INDEX(Crude_Oil_Impact!$H:$H, MATCH($A19, Crude_Oil_Impact!$A:$A, 0)), NA())</f>
        <v/>
      </c>
      <c r="I19" s="5">
        <f>IFERROR(INDEX(REER_Data!$C:$C, MATCH($A19, REER_Data!$A:$A, 0)), NA())</f>
        <v/>
      </c>
      <c r="J19" s="5">
        <f>IFERROR(INDEX(REER_Data!$E:$E, MATCH($A19, REER_Data!$A:$A, 0)) / 100, NA())</f>
        <v/>
      </c>
      <c r="K19" t="inlineStr">
        <is>
          <t>NA()</t>
        </is>
      </c>
      <c r="M19" t="n">
        <v>470572000000</v>
      </c>
      <c r="N19" s="5">
        <f>IFERROR(1*INDEX(CAGR!$H:$H, MATCH($A19&amp;"|"&amp;$B$2, CAGR!$Q:$Q, 0)), NA())</f>
        <v/>
      </c>
      <c r="O19" s="5">
        <f>IFERROR(1*INDEX(CAGR!$G:$G, MATCH($A19&amp;"|"&amp;$B$2, CAGR!$Q:$Q, 0)), NA())</f>
        <v/>
      </c>
      <c r="Q19" s="5">
        <f>IFERROR(1*INDEX(CAGR!$J:$J, MATCH($A19&amp;"|"&amp;$B$2, CAGR!$Q:$Q, 0)), NA())</f>
        <v/>
      </c>
      <c r="R19" s="5">
        <f>IFERROR(1*INDEX(CAGR!$K:$K, MATCH($A19&amp;"|"&amp;$B$2, CAGR!$Q:$Q, 0)), NA())</f>
        <v/>
      </c>
      <c r="S19" s="6" t="n"/>
      <c r="T19" t="inlineStr">
        <is>
          <t>NA()</t>
        </is>
      </c>
      <c r="V19" s="5">
        <f>IFERROR(1*INDEX(CAGR!$N:$N, MATCH($A19&amp;"|"&amp;$B$2, CAGR!$Q:$Q, 0)), NA())</f>
        <v/>
      </c>
      <c r="X19" s="5">
        <f>IF(AND(ISNUMBER(Q19),ISNUMBER(V19)),Q19+V19,NA())</f>
        <v/>
      </c>
      <c r="Z19" t="inlineStr">
        <is>
          <t>Asia</t>
        </is>
      </c>
      <c r="AA19" t="inlineStr">
        <is>
          <t>MYR</t>
        </is>
      </c>
      <c r="AC19">
        <f>IFERROR(INDEX(Lists!$J$2:$J$42, MATCH($B19, Lists!$I$2:$I$42, 0)),"")</f>
        <v/>
      </c>
      <c r="AD19">
        <f>IFERROR(INDEX(Lists!$K$2:$K$42, MATCH($B19, Lists!$I$2:$I$42, 0)),"")</f>
        <v/>
      </c>
    </row>
    <row r="20">
      <c r="A20" t="inlineStr">
        <is>
          <t>Mexico</t>
        </is>
      </c>
      <c r="B20" t="inlineStr">
        <is>
          <t>XMEX.L</t>
        </is>
      </c>
      <c r="C20" s="5">
        <f>IFERROR(1*INDEX(CAGR!$I:$I, MATCH($A20&amp;"|"&amp;$B$2, CAGR!$Q:$Q, 0)), NA())</f>
        <v/>
      </c>
      <c r="D20" s="5">
        <f>IFERROR(1*INDEX(CAGR!$F:$F, MATCH($A20&amp;"|"&amp;$B20&amp;"|"&amp;$B$2, CAGR!$P:$P, 0)), NA())</f>
        <v/>
      </c>
      <c r="E20">
        <f>IFERROR(INDEX(MSCI!$B:$E, MATCH("Mexico", MSCI!$A:$A, 0), MATCH($B$2, MSCI!$B$1:$E$1, 0)), NA())</f>
        <v/>
      </c>
      <c r="F20" s="5">
        <f>IF(AND(ISNUMBER(C20),ISNUMBER(D20)),C20-D20,NA())</f>
        <v/>
      </c>
      <c r="G20" s="5">
        <f>IFERROR((( (1+INDEX(Annual!$H:$H, MATCH($A20&amp;"|2026", Annual!$K:$K, 0))/100)*(1+INDEX(Annual!$H:$H, MATCH($A20&amp;"|2027", Annual!$K:$K, 0))/100)*(1+INDEX(Annual!$H:$H, MATCH($A20&amp;"|2028", Annual!$K:$K, 0))/100) )^(1/3)-1)*100, NA())</f>
        <v/>
      </c>
      <c r="H20" s="7">
        <f>IFERROR(INDEX(Crude_Oil_Impact!$H:$H, MATCH($A20, Crude_Oil_Impact!$A:$A, 0)), NA())</f>
        <v/>
      </c>
      <c r="I20" s="5">
        <f>IFERROR(INDEX(REER_Data!$C:$C, MATCH($A20, REER_Data!$A:$A, 0)), NA())</f>
        <v/>
      </c>
      <c r="J20" s="5">
        <f>IFERROR(INDEX(REER_Data!$E:$E, MATCH($A20, REER_Data!$A:$A, 0)) / 100, NA())</f>
        <v/>
      </c>
      <c r="K20" t="inlineStr">
        <is>
          <t>NA()</t>
        </is>
      </c>
      <c r="M20" t="n">
        <v>1862740000000</v>
      </c>
      <c r="N20" s="5">
        <f>IFERROR(1*INDEX(CAGR!$H:$H, MATCH($A20&amp;"|"&amp;$B$2, CAGR!$Q:$Q, 0)), NA())</f>
        <v/>
      </c>
      <c r="O20" s="5">
        <f>IFERROR(1*INDEX(CAGR!$G:$G, MATCH($A20&amp;"|"&amp;$B$2, CAGR!$Q:$Q, 0)), NA())</f>
        <v/>
      </c>
      <c r="Q20" s="5">
        <f>IFERROR(1*INDEX(CAGR!$J:$J, MATCH($A20&amp;"|"&amp;$B$2, CAGR!$Q:$Q, 0)), NA())</f>
        <v/>
      </c>
      <c r="R20" s="5">
        <f>IFERROR(1*INDEX(CAGR!$K:$K, MATCH($A20&amp;"|"&amp;$B$2, CAGR!$Q:$Q, 0)), NA())</f>
        <v/>
      </c>
      <c r="S20" s="6" t="n"/>
      <c r="T20" t="inlineStr">
        <is>
          <t>NA()</t>
        </is>
      </c>
      <c r="V20" s="5">
        <f>IFERROR(1*INDEX(CAGR!$N:$N, MATCH($A20&amp;"|"&amp;$B$2, CAGR!$Q:$Q, 0)), NA())</f>
        <v/>
      </c>
      <c r="X20" s="5">
        <f>IF(AND(ISNUMBER(Q20),ISNUMBER(V20)),Q20+V20,NA())</f>
        <v/>
      </c>
      <c r="Z20" t="inlineStr">
        <is>
          <t>Latin America</t>
        </is>
      </c>
      <c r="AA20" t="inlineStr">
        <is>
          <t>MXN</t>
        </is>
      </c>
      <c r="AC20">
        <f>IFERROR(INDEX(Lists!$J$2:$J$42, MATCH($B20, Lists!$I$2:$I$42, 0)),"")</f>
        <v/>
      </c>
      <c r="AD20">
        <f>IFERROR(INDEX(Lists!$K$2:$K$42, MATCH($B20, Lists!$I$2:$I$42, 0)),"")</f>
        <v/>
      </c>
    </row>
    <row r="21">
      <c r="A21" t="inlineStr">
        <is>
          <t>Netherlands</t>
        </is>
      </c>
      <c r="B21" t="inlineStr">
        <is>
          <t>EWN</t>
        </is>
      </c>
      <c r="C21" s="5">
        <f>IFERROR(1*INDEX(CAGR!$I:$I, MATCH($A21&amp;"|"&amp;$B$2, CAGR!$Q:$Q, 0)), NA())</f>
        <v/>
      </c>
      <c r="D21" s="5">
        <f>IFERROR(1*INDEX(CAGR!$F:$F, MATCH($A21&amp;"|"&amp;$B21&amp;"|"&amp;$B$2, CAGR!$P:$P, 0)), NA())</f>
        <v/>
      </c>
      <c r="E21">
        <f>IFERROR(INDEX(MSCI!$B:$E, MATCH("Netherlands", MSCI!$A:$A, 0), MATCH($B$2, MSCI!$B$1:$E$1, 0)), NA())</f>
        <v/>
      </c>
      <c r="F21" s="5">
        <f>IF(AND(ISNUMBER(C21),ISNUMBER(D21)),C21-D21,NA())</f>
        <v/>
      </c>
      <c r="G21" s="5">
        <f>IFERROR((( (1+INDEX(Annual!$H:$H, MATCH($A21&amp;"|2026", Annual!$K:$K, 0))/100)*(1+INDEX(Annual!$H:$H, MATCH($A21&amp;"|2027", Annual!$K:$K, 0))/100)*(1+INDEX(Annual!$H:$H, MATCH($A21&amp;"|2028", Annual!$K:$K, 0))/100) )^(1/3)-1)*100, NA())</f>
        <v/>
      </c>
      <c r="H21" s="5">
        <f>IFERROR(INDEX(Crude_Oil_Impact!$H:$H, MATCH($A21, Crude_Oil_Impact!$A:$A, 0)), NA())</f>
        <v/>
      </c>
      <c r="I21" s="5">
        <f>IFERROR(INDEX(REER_Data!$C:$C, MATCH($A21, REER_Data!$A:$A, 0)), NA())</f>
        <v/>
      </c>
      <c r="J21" s="5">
        <f>IFERROR(INDEX(REER_Data!$E:$E, MATCH($A21, REER_Data!$A:$A, 0)) / 100, NA())</f>
        <v/>
      </c>
      <c r="K21" t="inlineStr">
        <is>
          <t>NA()</t>
        </is>
      </c>
      <c r="M21" t="n">
        <v>1320635000000</v>
      </c>
      <c r="N21" s="5">
        <f>IFERROR(1*INDEX(CAGR!$H:$H, MATCH($A21&amp;"|"&amp;$B$2, CAGR!$Q:$Q, 0)), NA())</f>
        <v/>
      </c>
      <c r="O21" s="5">
        <f>IFERROR(1*INDEX(CAGR!$G:$G, MATCH($A21&amp;"|"&amp;$B$2, CAGR!$Q:$Q, 0)), NA())</f>
        <v/>
      </c>
      <c r="Q21" s="5">
        <f>IFERROR(1*INDEX(CAGR!$J:$J, MATCH($A21&amp;"|"&amp;$B$2, CAGR!$Q:$Q, 0)), NA())</f>
        <v/>
      </c>
      <c r="R21" s="5">
        <f>IFERROR(1*INDEX(CAGR!$K:$K, MATCH($A21&amp;"|"&amp;$B$2, CAGR!$Q:$Q, 0)), NA())</f>
        <v/>
      </c>
      <c r="S21" s="6" t="n">
        <v>1</v>
      </c>
      <c r="T21" t="inlineStr">
        <is>
          <t>NA()</t>
        </is>
      </c>
      <c r="V21" s="5">
        <f>IFERROR(1*INDEX(CAGR!$N:$N, MATCH($A21&amp;"|"&amp;$B$2, CAGR!$Q:$Q, 0)), NA())</f>
        <v/>
      </c>
      <c r="X21" s="5">
        <f>IF(AND(ISNUMBER(Q21),ISNUMBER(V21)),Q21+V21,NA())</f>
        <v/>
      </c>
      <c r="Z21" t="inlineStr">
        <is>
          <t>Europe</t>
        </is>
      </c>
      <c r="AA21" t="inlineStr">
        <is>
          <t>EUR</t>
        </is>
      </c>
      <c r="AC21">
        <f>IFERROR(INDEX(Lists!$J$2:$J$42, MATCH($B21, Lists!$I$2:$I$42, 0)),"")</f>
        <v/>
      </c>
      <c r="AD21">
        <f>IFERROR(INDEX(Lists!$K$2:$K$42, MATCH($B21, Lists!$I$2:$I$42, 0)),"")</f>
        <v/>
      </c>
    </row>
    <row r="22">
      <c r="A22" t="inlineStr">
        <is>
          <t>Pakistan</t>
        </is>
      </c>
      <c r="B22" t="inlineStr">
        <is>
          <t>XBAK.L</t>
        </is>
      </c>
      <c r="C22" s="5">
        <f>IFERROR(1*INDEX(CAGR!$I:$I, MATCH($A22&amp;"|"&amp;$B$2, CAGR!$Q:$Q, 0)), NA())</f>
        <v/>
      </c>
      <c r="D22" s="5">
        <f>IFERROR(1*INDEX(CAGR!$F:$F, MATCH($A22&amp;"|"&amp;$B22&amp;"|"&amp;$B$2, CAGR!$P:$P, 0)), NA())</f>
        <v/>
      </c>
      <c r="E22">
        <f>IFERROR(INDEX(MSCI!$B:$E, MATCH("Pakistan", MSCI!$A:$A, 0), MATCH($B$2, MSCI!$B$1:$E$1, 0)), NA())</f>
        <v/>
      </c>
      <c r="F22" s="5">
        <f>IF(AND(ISNUMBER(C22),ISNUMBER(D22)),C22-D22,NA())</f>
        <v/>
      </c>
      <c r="G22" s="5">
        <f>IFERROR((( (1+INDEX(Annual!$H:$H, MATCH($A22&amp;"|2026", Annual!$K:$K, 0))/100)*(1+INDEX(Annual!$H:$H, MATCH($A22&amp;"|2027", Annual!$K:$K, 0))/100)*(1+INDEX(Annual!$H:$H, MATCH($A22&amp;"|2028", Annual!$K:$K, 0))/100) )^(1/3)-1)*100, NA())</f>
        <v/>
      </c>
      <c r="H22" s="5">
        <f>IFERROR(INDEX(Crude_Oil_Impact!$H:$H, MATCH($A22, Crude_Oil_Impact!$A:$A, 0)), NA())</f>
        <v/>
      </c>
      <c r="I22" s="5">
        <f>IFERROR(INDEX(REER_Data!$C:$C, MATCH($A22, REER_Data!$A:$A, 0)), NA())</f>
        <v/>
      </c>
      <c r="J22" s="5">
        <f>IFERROR(INDEX(REER_Data!$E:$E, MATCH($A22, REER_Data!$A:$A, 0)) / 100, NA())</f>
        <v/>
      </c>
      <c r="K22" t="inlineStr">
        <is>
          <t>NA()</t>
        </is>
      </c>
      <c r="M22" t="n">
        <v>410495000000</v>
      </c>
      <c r="N22" s="5">
        <f>IFERROR(1*INDEX(CAGR!$H:$H, MATCH($A22&amp;"|"&amp;$B$2, CAGR!$Q:$Q, 0)), NA())</f>
        <v/>
      </c>
      <c r="O22" s="5">
        <f>IFERROR(1*INDEX(CAGR!$G:$G, MATCH($A22&amp;"|"&amp;$B$2, CAGR!$Q:$Q, 0)), NA())</f>
        <v/>
      </c>
      <c r="Q22" s="5">
        <f>IFERROR(1*INDEX(CAGR!$J:$J, MATCH($A22&amp;"|"&amp;$B$2, CAGR!$Q:$Q, 0)), NA())</f>
        <v/>
      </c>
      <c r="R22" s="5">
        <f>IFERROR(1*INDEX(CAGR!$K:$K, MATCH($A22&amp;"|"&amp;$B$2, CAGR!$Q:$Q, 0)), NA())</f>
        <v/>
      </c>
      <c r="S22" s="6" t="n">
        <v>1</v>
      </c>
      <c r="T22" t="inlineStr">
        <is>
          <t>NA()</t>
        </is>
      </c>
      <c r="V22" s="5">
        <f>IFERROR(1*INDEX(CAGR!$N:$N, MATCH($A22&amp;"|"&amp;$B$2, CAGR!$Q:$Q, 0)), NA())</f>
        <v/>
      </c>
      <c r="X22" s="5">
        <f>IF(AND(ISNUMBER(Q22),ISNUMBER(V22)),Q22+V22,NA())</f>
        <v/>
      </c>
      <c r="Z22" t="inlineStr">
        <is>
          <t>Asia</t>
        </is>
      </c>
      <c r="AA22" t="inlineStr">
        <is>
          <t>PKR</t>
        </is>
      </c>
      <c r="AC22">
        <f>IFERROR(INDEX(Lists!$J$2:$J$42, MATCH($B22, Lists!$I$2:$I$42, 0)),"")</f>
        <v/>
      </c>
      <c r="AD22">
        <f>IFERROR(INDEX(Lists!$K$2:$K$42, MATCH($B22, Lists!$I$2:$I$42, 0)),"")</f>
        <v/>
      </c>
    </row>
    <row r="23">
      <c r="A23" t="inlineStr">
        <is>
          <t>Philippines</t>
        </is>
      </c>
      <c r="B23" t="inlineStr">
        <is>
          <t>XPHG.L</t>
        </is>
      </c>
      <c r="C23" s="5">
        <f>IFERROR(1*INDEX(CAGR!$I:$I, MATCH($A23&amp;"|"&amp;$B$2, CAGR!$Q:$Q, 0)), NA())</f>
        <v/>
      </c>
      <c r="D23" s="5">
        <f>IFERROR(1*INDEX(CAGR!$F:$F, MATCH($A23&amp;"|"&amp;$B23&amp;"|"&amp;$B$2, CAGR!$P:$P, 0)), NA())</f>
        <v/>
      </c>
      <c r="E23">
        <f>IFERROR(INDEX(MSCI!$B:$E, MATCH("Philippines", MSCI!$A:$A, 0), MATCH($B$2, MSCI!$B$1:$E$1, 0)), NA())</f>
        <v/>
      </c>
      <c r="F23" s="5">
        <f>IF(AND(ISNUMBER(C23),ISNUMBER(D23)),C23-D23,NA())</f>
        <v/>
      </c>
      <c r="G23" s="5">
        <f>IFERROR((( (1+INDEX(Annual!$H:$H, MATCH($A23&amp;"|2026", Annual!$K:$K, 0))/100)*(1+INDEX(Annual!$H:$H, MATCH($A23&amp;"|2027", Annual!$K:$K, 0))/100)*(1+INDEX(Annual!$H:$H, MATCH($A23&amp;"|2028", Annual!$K:$K, 0))/100) )^(1/3)-1)*100, NA())</f>
        <v/>
      </c>
      <c r="H23" s="7">
        <f>IFERROR(INDEX(Crude_Oil_Impact!$H:$H, MATCH($A23, Crude_Oil_Impact!$A:$A, 0)), NA())</f>
        <v/>
      </c>
      <c r="I23" s="5">
        <f>IFERROR(INDEX(REER_Data!$C:$C, MATCH($A23, REER_Data!$A:$A, 0)), NA())</f>
        <v/>
      </c>
      <c r="J23" s="5">
        <f>IFERROR(INDEX(REER_Data!$E:$E, MATCH($A23, REER_Data!$A:$A, 0)) / 100, NA())</f>
        <v/>
      </c>
      <c r="K23" t="inlineStr">
        <is>
          <t>NA()</t>
        </is>
      </c>
      <c r="M23" t="n">
        <v>494158000000</v>
      </c>
      <c r="N23" s="5">
        <f>IFERROR(1*INDEX(CAGR!$H:$H, MATCH($A23&amp;"|"&amp;$B$2, CAGR!$Q:$Q, 0)), NA())</f>
        <v/>
      </c>
      <c r="O23" s="5">
        <f>IFERROR(1*INDEX(CAGR!$G:$G, MATCH($A23&amp;"|"&amp;$B$2, CAGR!$Q:$Q, 0)), NA())</f>
        <v/>
      </c>
      <c r="Q23" s="5">
        <f>IFERROR(1*INDEX(CAGR!$J:$J, MATCH($A23&amp;"|"&amp;$B$2, CAGR!$Q:$Q, 0)), NA())</f>
        <v/>
      </c>
      <c r="R23" s="5">
        <f>IFERROR(1*INDEX(CAGR!$K:$K, MATCH($A23&amp;"|"&amp;$B$2, CAGR!$Q:$Q, 0)), NA())</f>
        <v/>
      </c>
      <c r="S23" s="6" t="n"/>
      <c r="T23" t="inlineStr">
        <is>
          <t>NA()</t>
        </is>
      </c>
      <c r="V23" s="5">
        <f>IFERROR(1*INDEX(CAGR!$N:$N, MATCH($A23&amp;"|"&amp;$B$2, CAGR!$Q:$Q, 0)), NA())</f>
        <v/>
      </c>
      <c r="X23" s="5">
        <f>IF(AND(ISNUMBER(Q23),ISNUMBER(V23)),Q23+V23,NA())</f>
        <v/>
      </c>
      <c r="Z23" t="inlineStr">
        <is>
          <t>Asia</t>
        </is>
      </c>
      <c r="AA23" t="inlineStr">
        <is>
          <t>PHP</t>
        </is>
      </c>
      <c r="AC23">
        <f>IFERROR(INDEX(Lists!$J$2:$J$42, MATCH($B23, Lists!$I$2:$I$42, 0)),"")</f>
        <v/>
      </c>
      <c r="AD23">
        <f>IFERROR(INDEX(Lists!$K$2:$K$42, MATCH($B23, Lists!$I$2:$I$42, 0)),"")</f>
        <v/>
      </c>
    </row>
    <row r="24">
      <c r="A24" t="inlineStr">
        <is>
          <t>Poland</t>
        </is>
      </c>
      <c r="B24" t="inlineStr">
        <is>
          <t>IPOL.L</t>
        </is>
      </c>
      <c r="C24" s="5">
        <f>IFERROR(1*INDEX(CAGR!$I:$I, MATCH($A24&amp;"|"&amp;$B$2, CAGR!$Q:$Q, 0)), NA())</f>
        <v/>
      </c>
      <c r="D24" s="5">
        <f>IFERROR(1*INDEX(CAGR!$F:$F, MATCH($A24&amp;"|"&amp;$B24&amp;"|"&amp;$B$2, CAGR!$P:$P, 0)), NA())</f>
        <v/>
      </c>
      <c r="E24">
        <f>IFERROR(INDEX(MSCI!$B:$E, MATCH("Poland", MSCI!$A:$A, 0), MATCH($B$2, MSCI!$B$1:$E$1, 0)), NA())</f>
        <v/>
      </c>
      <c r="F24" s="5">
        <f>IF(AND(ISNUMBER(C24),ISNUMBER(D24)),C24-D24,NA())</f>
        <v/>
      </c>
      <c r="G24" s="5">
        <f>IFERROR((( (1+INDEX(Annual!$H:$H, MATCH($A24&amp;"|2026", Annual!$K:$K, 0))/100)*(1+INDEX(Annual!$H:$H, MATCH($A24&amp;"|2027", Annual!$K:$K, 0))/100)*(1+INDEX(Annual!$H:$H, MATCH($A24&amp;"|2028", Annual!$K:$K, 0))/100) )^(1/3)-1)*100, NA())</f>
        <v/>
      </c>
      <c r="H24" s="5">
        <f>IFERROR(INDEX(Crude_Oil_Impact!$H:$H, MATCH($A24, Crude_Oil_Impact!$A:$A, 0)), NA())</f>
        <v/>
      </c>
      <c r="I24" s="5">
        <f>IFERROR(INDEX(REER_Data!$C:$C, MATCH($A24, REER_Data!$A:$A, 0)), NA())</f>
        <v/>
      </c>
      <c r="J24" s="5">
        <f>IFERROR(INDEX(REER_Data!$E:$E, MATCH($A24, REER_Data!$A:$A, 0)) / 100, NA())</f>
        <v/>
      </c>
      <c r="K24" t="inlineStr">
        <is>
          <t>NA()</t>
        </is>
      </c>
      <c r="M24" t="n">
        <v>1039619000000</v>
      </c>
      <c r="N24" s="5">
        <f>IFERROR(1*INDEX(CAGR!$H:$H, MATCH($A24&amp;"|"&amp;$B$2, CAGR!$Q:$Q, 0)), NA())</f>
        <v/>
      </c>
      <c r="O24" s="5">
        <f>IFERROR(1*INDEX(CAGR!$G:$G, MATCH($A24&amp;"|"&amp;$B$2, CAGR!$Q:$Q, 0)), NA())</f>
        <v/>
      </c>
      <c r="Q24" s="5">
        <f>IFERROR(1*INDEX(CAGR!$J:$J, MATCH($A24&amp;"|"&amp;$B$2, CAGR!$Q:$Q, 0)), NA())</f>
        <v/>
      </c>
      <c r="R24" s="5">
        <f>IFERROR(1*INDEX(CAGR!$K:$K, MATCH($A24&amp;"|"&amp;$B$2, CAGR!$Q:$Q, 0)), NA())</f>
        <v/>
      </c>
      <c r="S24" s="6" t="n">
        <v>1</v>
      </c>
      <c r="T24" t="inlineStr">
        <is>
          <t>NA()</t>
        </is>
      </c>
      <c r="V24" s="5">
        <f>IFERROR(1*INDEX(CAGR!$N:$N, MATCH($A24&amp;"|"&amp;$B$2, CAGR!$Q:$Q, 0)), NA())</f>
        <v/>
      </c>
      <c r="X24" s="5">
        <f>IF(AND(ISNUMBER(Q24),ISNUMBER(V24)),Q24+V24,NA())</f>
        <v/>
      </c>
      <c r="Z24" t="inlineStr">
        <is>
          <t>Europe</t>
        </is>
      </c>
      <c r="AA24" t="inlineStr">
        <is>
          <t>PLN</t>
        </is>
      </c>
      <c r="AC24">
        <f>IFERROR(INDEX(Lists!$J$2:$J$42, MATCH($B24, Lists!$I$2:$I$42, 0)),"")</f>
        <v/>
      </c>
      <c r="AD24">
        <f>IFERROR(INDEX(Lists!$K$2:$K$42, MATCH($B24, Lists!$I$2:$I$42, 0)),"")</f>
        <v/>
      </c>
    </row>
    <row r="25">
      <c r="A25" t="inlineStr">
        <is>
          <t>Saudi Arabia</t>
        </is>
      </c>
      <c r="B25" t="inlineStr">
        <is>
          <t>IKSA.L</t>
        </is>
      </c>
      <c r="C25" s="5">
        <f>IFERROR(1*INDEX(CAGR!$I:$I, MATCH($A25&amp;"|"&amp;$B$2, CAGR!$Q:$Q, 0)), NA())</f>
        <v/>
      </c>
      <c r="D25" s="5">
        <f>IFERROR(1*INDEX(CAGR!$F:$F, MATCH($A25&amp;"|"&amp;$B25&amp;"|"&amp;$B$2, CAGR!$P:$P, 0)), NA())</f>
        <v/>
      </c>
      <c r="E25">
        <f>IFERROR(INDEX(MSCI!$B:$E, MATCH("Saudi Arabia", MSCI!$A:$A, 0), MATCH($B$2, MSCI!$B$1:$E$1, 0)), NA())</f>
        <v/>
      </c>
      <c r="F25" s="5">
        <f>IF(AND(ISNUMBER(C25),ISNUMBER(D25)),C25-D25,NA())</f>
        <v/>
      </c>
      <c r="G25" s="5">
        <f>IFERROR((( (1+INDEX(Annual!$H:$H, MATCH($A25&amp;"|2026", Annual!$K:$K, 0))/100)*(1+INDEX(Annual!$H:$H, MATCH($A25&amp;"|2027", Annual!$K:$K, 0))/100)*(1+INDEX(Annual!$H:$H, MATCH($A25&amp;"|2028", Annual!$K:$K, 0))/100) )^(1/3)-1)*100, NA())</f>
        <v/>
      </c>
      <c r="H25" s="5">
        <f>IFERROR(INDEX(Crude_Oil_Impact!$H:$H, MATCH($A25, Crude_Oil_Impact!$A:$A, 0)), NA())</f>
        <v/>
      </c>
      <c r="I25" s="5">
        <f>IFERROR(INDEX(REER_Data!$C:$C, MATCH($A25, REER_Data!$A:$A, 0)), NA())</f>
        <v/>
      </c>
      <c r="J25" s="5">
        <f>IFERROR(INDEX(REER_Data!$E:$E, MATCH($A25, REER_Data!$A:$A, 0)) / 100, NA())</f>
        <v/>
      </c>
      <c r="K25" t="inlineStr">
        <is>
          <t>NA()</t>
        </is>
      </c>
      <c r="M25" t="n">
        <v>1268535000000</v>
      </c>
      <c r="N25" s="5">
        <f>IFERROR(1*INDEX(CAGR!$H:$H, MATCH($A25&amp;"|"&amp;$B$2, CAGR!$Q:$Q, 0)), NA())</f>
        <v/>
      </c>
      <c r="O25" s="5">
        <f>IFERROR(1*INDEX(CAGR!$G:$G, MATCH($A25&amp;"|"&amp;$B$2, CAGR!$Q:$Q, 0)), NA())</f>
        <v/>
      </c>
      <c r="Q25" s="5">
        <f>IFERROR(1*INDEX(CAGR!$J:$J, MATCH($A25&amp;"|"&amp;$B$2, CAGR!$Q:$Q, 0)), NA())</f>
        <v/>
      </c>
      <c r="R25" s="5">
        <f>IFERROR(1*INDEX(CAGR!$K:$K, MATCH($A25&amp;"|"&amp;$B$2, CAGR!$Q:$Q, 0)), NA())</f>
        <v/>
      </c>
      <c r="S25" s="6" t="n">
        <v>1</v>
      </c>
      <c r="T25" t="inlineStr">
        <is>
          <t>NA()</t>
        </is>
      </c>
      <c r="V25" s="5">
        <f>IFERROR(1*INDEX(CAGR!$N:$N, MATCH($A25&amp;"|"&amp;$B$2, CAGR!$Q:$Q, 0)), NA())</f>
        <v/>
      </c>
      <c r="X25" s="5">
        <f>IF(AND(ISNUMBER(Q25),ISNUMBER(V25)),Q25+V25,NA())</f>
        <v/>
      </c>
      <c r="Z25" t="inlineStr">
        <is>
          <t>Middle East</t>
        </is>
      </c>
      <c r="AA25" t="inlineStr">
        <is>
          <t>SAR</t>
        </is>
      </c>
      <c r="AC25">
        <f>IFERROR(INDEX(Lists!$J$2:$J$42, MATCH($B25, Lists!$I$2:$I$42, 0)),"")</f>
        <v/>
      </c>
      <c r="AD25">
        <f>IFERROR(INDEX(Lists!$K$2:$K$42, MATCH($B25, Lists!$I$2:$I$42, 0)),"")</f>
        <v/>
      </c>
    </row>
    <row r="26">
      <c r="A26" t="inlineStr">
        <is>
          <t>Singapore</t>
        </is>
      </c>
      <c r="B26" t="inlineStr">
        <is>
          <t>EWS</t>
        </is>
      </c>
      <c r="C26" s="5">
        <f>IFERROR(1*INDEX(CAGR!$I:$I, MATCH($A26&amp;"|"&amp;$B$2, CAGR!$Q:$Q, 0)), NA())</f>
        <v/>
      </c>
      <c r="D26" s="5">
        <f>IFERROR(1*INDEX(CAGR!$F:$F, MATCH($A26&amp;"|"&amp;$B26&amp;"|"&amp;$B$2, CAGR!$P:$P, 0)), NA())</f>
        <v/>
      </c>
      <c r="E26">
        <f>IFERROR(INDEX(MSCI!$B:$E, MATCH("Singapore", MSCI!$A:$A, 0), MATCH($B$2, MSCI!$B$1:$E$1, 0)), NA())</f>
        <v/>
      </c>
      <c r="F26" s="5">
        <f>IF(AND(ISNUMBER(C26),ISNUMBER(D26)),C26-D26,NA())</f>
        <v/>
      </c>
      <c r="G26" s="5">
        <f>IFERROR((( (1+INDEX(Annual!$H:$H, MATCH($A26&amp;"|2026", Annual!$K:$K, 0))/100)*(1+INDEX(Annual!$H:$H, MATCH($A26&amp;"|2027", Annual!$K:$K, 0))/100)*(1+INDEX(Annual!$H:$H, MATCH($A26&amp;"|2028", Annual!$K:$K, 0))/100) )^(1/3)-1)*100, NA())</f>
        <v/>
      </c>
      <c r="H26" s="5">
        <f>IFERROR(INDEX(Crude_Oil_Impact!$H:$H, MATCH($A26, Crude_Oil_Impact!$A:$A, 0)), NA())</f>
        <v/>
      </c>
      <c r="I26" s="5">
        <f>IFERROR(INDEX(REER_Data!$C:$C, MATCH($A26, REER_Data!$A:$A, 0)), NA())</f>
        <v/>
      </c>
      <c r="J26" s="5">
        <f>IFERROR(INDEX(REER_Data!$E:$E, MATCH($A26, REER_Data!$A:$A, 0)) / 100, NA())</f>
        <v/>
      </c>
      <c r="K26" t="inlineStr">
        <is>
          <t>NA()</t>
        </is>
      </c>
      <c r="M26" t="n">
        <v>574185000000</v>
      </c>
      <c r="N26" s="5">
        <f>IFERROR(1*INDEX(CAGR!$H:$H, MATCH($A26&amp;"|"&amp;$B$2, CAGR!$Q:$Q, 0)), NA())</f>
        <v/>
      </c>
      <c r="O26" s="5">
        <f>IFERROR(1*INDEX(CAGR!$G:$G, MATCH($A26&amp;"|"&amp;$B$2, CAGR!$Q:$Q, 0)), NA())</f>
        <v/>
      </c>
      <c r="Q26" s="5">
        <f>IFERROR(1*INDEX(CAGR!$J:$J, MATCH($A26&amp;"|"&amp;$B$2, CAGR!$Q:$Q, 0)), NA())</f>
        <v/>
      </c>
      <c r="R26" s="5">
        <f>IFERROR(1*INDEX(CAGR!$K:$K, MATCH($A26&amp;"|"&amp;$B$2, CAGR!$Q:$Q, 0)), NA())</f>
        <v/>
      </c>
      <c r="S26" s="6" t="n">
        <v>1</v>
      </c>
      <c r="T26" t="inlineStr">
        <is>
          <t>NA()</t>
        </is>
      </c>
      <c r="V26" s="5">
        <f>IFERROR(1*INDEX(CAGR!$N:$N, MATCH($A26&amp;"|"&amp;$B$2, CAGR!$Q:$Q, 0)), NA())</f>
        <v/>
      </c>
      <c r="X26" s="5">
        <f>IF(AND(ISNUMBER(Q26),ISNUMBER(V26)),Q26+V26,NA())</f>
        <v/>
      </c>
      <c r="Z26" t="inlineStr">
        <is>
          <t>Asia</t>
        </is>
      </c>
      <c r="AA26" t="inlineStr">
        <is>
          <t>SGD</t>
        </is>
      </c>
      <c r="AC26">
        <f>IFERROR(INDEX(Lists!$J$2:$J$42, MATCH($B26, Lists!$I$2:$I$42, 0)),"")</f>
        <v/>
      </c>
      <c r="AD26">
        <f>IFERROR(INDEX(Lists!$K$2:$K$42, MATCH($B26, Lists!$I$2:$I$42, 0)),"")</f>
        <v/>
      </c>
    </row>
    <row r="27">
      <c r="A27" t="inlineStr">
        <is>
          <t>South Africa</t>
        </is>
      </c>
      <c r="B27" t="inlineStr">
        <is>
          <t>IRSA.L</t>
        </is>
      </c>
      <c r="C27" s="5">
        <f>IFERROR(1*INDEX(CAGR!$I:$I, MATCH($A27&amp;"|"&amp;$B$2, CAGR!$Q:$Q, 0)), NA())</f>
        <v/>
      </c>
      <c r="D27" s="5">
        <f>IFERROR(1*INDEX(CAGR!$F:$F, MATCH($A27&amp;"|"&amp;$B27&amp;"|"&amp;$B$2, CAGR!$P:$P, 0)), NA())</f>
        <v/>
      </c>
      <c r="E27">
        <f>IFERROR(INDEX(MSCI!$B:$E, MATCH("South Africa", MSCI!$A:$A, 0), MATCH($B$2, MSCI!$B$1:$E$1, 0)), NA())</f>
        <v/>
      </c>
      <c r="F27" s="5">
        <f>IF(AND(ISNUMBER(C27),ISNUMBER(D27)),C27-D27,NA())</f>
        <v/>
      </c>
      <c r="G27" s="5">
        <f>IFERROR((( (1+INDEX(Annual!$H:$H, MATCH($A27&amp;"|2026", Annual!$K:$K, 0))/100)*(1+INDEX(Annual!$H:$H, MATCH($A27&amp;"|2027", Annual!$K:$K, 0))/100)*(1+INDEX(Annual!$H:$H, MATCH($A27&amp;"|2028", Annual!$K:$K, 0))/100) )^(1/3)-1)*100, NA())</f>
        <v/>
      </c>
      <c r="H27" s="5">
        <f>IFERROR(INDEX(Crude_Oil_Impact!$H:$H, MATCH($A27, Crude_Oil_Impact!$A:$A, 0)), NA())</f>
        <v/>
      </c>
      <c r="I27" s="5">
        <f>IFERROR(INDEX(REER_Data!$C:$C, MATCH($A27, REER_Data!$A:$A, 0)), NA())</f>
        <v/>
      </c>
      <c r="J27" s="5">
        <f>IFERROR(INDEX(REER_Data!$E:$E, MATCH($A27, REER_Data!$A:$A, 0)) / 100, NA())</f>
        <v/>
      </c>
      <c r="K27" t="inlineStr">
        <is>
          <t>NA()</t>
        </is>
      </c>
      <c r="M27" t="n">
        <v>426383000000</v>
      </c>
      <c r="N27" s="5">
        <f>IFERROR(1*INDEX(CAGR!$H:$H, MATCH($A27&amp;"|"&amp;$B$2, CAGR!$Q:$Q, 0)), NA())</f>
        <v/>
      </c>
      <c r="O27" s="5">
        <f>IFERROR(1*INDEX(CAGR!$G:$G, MATCH($A27&amp;"|"&amp;$B$2, CAGR!$Q:$Q, 0)), NA())</f>
        <v/>
      </c>
      <c r="Q27" s="5">
        <f>IFERROR(1*INDEX(CAGR!$J:$J, MATCH($A27&amp;"|"&amp;$B$2, CAGR!$Q:$Q, 0)), NA())</f>
        <v/>
      </c>
      <c r="R27" s="5">
        <f>IFERROR(1*INDEX(CAGR!$K:$K, MATCH($A27&amp;"|"&amp;$B$2, CAGR!$Q:$Q, 0)), NA())</f>
        <v/>
      </c>
      <c r="S27" s="6" t="n">
        <v>1</v>
      </c>
      <c r="T27" t="inlineStr">
        <is>
          <t>NA()</t>
        </is>
      </c>
      <c r="V27" s="5">
        <f>IFERROR(1*INDEX(CAGR!$N:$N, MATCH($A27&amp;"|"&amp;$B$2, CAGR!$Q:$Q, 0)), NA())</f>
        <v/>
      </c>
      <c r="X27" s="5">
        <f>IF(AND(ISNUMBER(Q27),ISNUMBER(V27)),Q27+V27,NA())</f>
        <v/>
      </c>
      <c r="Z27" t="inlineStr">
        <is>
          <t>Africa</t>
        </is>
      </c>
      <c r="AA27" t="inlineStr">
        <is>
          <t>ZAR</t>
        </is>
      </c>
      <c r="AC27">
        <f>IFERROR(INDEX(Lists!$J$2:$J$42, MATCH($B27, Lists!$I$2:$I$42, 0)),"")</f>
        <v/>
      </c>
      <c r="AD27">
        <f>IFERROR(INDEX(Lists!$K$2:$K$42, MATCH($B27, Lists!$I$2:$I$42, 0)),"")</f>
        <v/>
      </c>
    </row>
    <row r="28">
      <c r="A28" t="inlineStr">
        <is>
          <t>South Korea</t>
        </is>
      </c>
      <c r="B28" t="inlineStr">
        <is>
          <t>CSKR.L</t>
        </is>
      </c>
      <c r="C28" s="5">
        <f>IFERROR(1*INDEX(CAGR!$I:$I, MATCH($A28&amp;"|"&amp;$B$2, CAGR!$Q:$Q, 0)), NA())</f>
        <v/>
      </c>
      <c r="D28" s="5">
        <f>IFERROR(1*INDEX(CAGR!$F:$F, MATCH($A28&amp;"|"&amp;$B28&amp;"|"&amp;$B$2, CAGR!$P:$P, 0)), NA())</f>
        <v/>
      </c>
      <c r="E28">
        <f>IFERROR(INDEX(MSCI!$B:$E, MATCH("South Korea", MSCI!$A:$A, 0), MATCH($B$2, MSCI!$B$1:$E$1, 0)), NA())</f>
        <v/>
      </c>
      <c r="F28" s="5">
        <f>IF(AND(ISNUMBER(C28),ISNUMBER(D28)),C28-D28,NA())</f>
        <v/>
      </c>
      <c r="G28" s="5">
        <f>IFERROR((( (1+INDEX(Annual!$H:$H, MATCH($A28&amp;"|2026", Annual!$K:$K, 0))/100)*(1+INDEX(Annual!$H:$H, MATCH($A28&amp;"|2027", Annual!$K:$K, 0))/100)*(1+INDEX(Annual!$H:$H, MATCH($A28&amp;"|2028", Annual!$K:$K, 0))/100) )^(1/3)-1)*100, NA())</f>
        <v/>
      </c>
      <c r="H28" s="5">
        <f>IFERROR(INDEX(Crude_Oil_Impact!$H:$H, MATCH($A28, Crude_Oil_Impact!$A:$A, 0)), NA())</f>
        <v/>
      </c>
      <c r="I28" s="5">
        <f>IFERROR(INDEX(REER_Data!$C:$C, MATCH($A28, REER_Data!$A:$A, 0)), NA())</f>
        <v/>
      </c>
      <c r="J28" s="5">
        <f>IFERROR(INDEX(REER_Data!$E:$E, MATCH($A28, REER_Data!$A:$A, 0)) / 100, NA())</f>
        <v/>
      </c>
      <c r="K28" t="inlineStr">
        <is>
          <t>NA()</t>
        </is>
      </c>
      <c r="M28" t="n">
        <v>1858572000000</v>
      </c>
      <c r="N28" s="5">
        <f>IFERROR(1*INDEX(CAGR!$H:$H, MATCH($A28&amp;"|"&amp;$B$2, CAGR!$Q:$Q, 0)), NA())</f>
        <v/>
      </c>
      <c r="O28" s="5">
        <f>IFERROR(1*INDEX(CAGR!$G:$G, MATCH($A28&amp;"|"&amp;$B$2, CAGR!$Q:$Q, 0)), NA())</f>
        <v/>
      </c>
      <c r="Q28" s="5">
        <f>IFERROR(1*INDEX(CAGR!$J:$J, MATCH($A28&amp;"|"&amp;$B$2, CAGR!$Q:$Q, 0)), NA())</f>
        <v/>
      </c>
      <c r="R28" s="5">
        <f>IFERROR(1*INDEX(CAGR!$K:$K, MATCH($A28&amp;"|"&amp;$B$2, CAGR!$Q:$Q, 0)), NA())</f>
        <v/>
      </c>
      <c r="S28" s="6" t="n">
        <v>1</v>
      </c>
      <c r="T28" t="inlineStr">
        <is>
          <t>NA()</t>
        </is>
      </c>
      <c r="V28" s="5">
        <f>IFERROR(1*INDEX(CAGR!$N:$N, MATCH($A28&amp;"|"&amp;$B$2, CAGR!$Q:$Q, 0)), NA())</f>
        <v/>
      </c>
      <c r="X28" s="5">
        <f>IF(AND(ISNUMBER(Q28),ISNUMBER(V28)),Q28+V28,NA())</f>
        <v/>
      </c>
      <c r="Z28" t="inlineStr">
        <is>
          <t>Asia</t>
        </is>
      </c>
      <c r="AA28" t="inlineStr">
        <is>
          <t>KRW</t>
        </is>
      </c>
      <c r="AC28">
        <f>IFERROR(INDEX(Lists!$J$2:$J$42, MATCH($B28, Lists!$I$2:$I$42, 0)),"")</f>
        <v/>
      </c>
      <c r="AD28">
        <f>IFERROR(INDEX(Lists!$K$2:$K$42, MATCH($B28, Lists!$I$2:$I$42, 0)),"")</f>
        <v/>
      </c>
    </row>
    <row r="29">
      <c r="A29" t="inlineStr">
        <is>
          <t>Spain</t>
        </is>
      </c>
      <c r="B29" t="inlineStr">
        <is>
          <t>XESP.DE</t>
        </is>
      </c>
      <c r="C29" s="5">
        <f>IFERROR(1*INDEX(CAGR!$I:$I, MATCH($A29&amp;"|"&amp;$B$2, CAGR!$Q:$Q, 0)), NA())</f>
        <v/>
      </c>
      <c r="D29" s="5">
        <f>IFERROR(1*INDEX(CAGR!$F:$F, MATCH($A29&amp;"|"&amp;$B29&amp;"|"&amp;$B$2, CAGR!$P:$P, 0)), NA())</f>
        <v/>
      </c>
      <c r="E29">
        <f>IFERROR(INDEX(MSCI!$B:$E, MATCH("Spain", MSCI!$A:$A, 0), MATCH($B$2, MSCI!$B$1:$E$1, 0)), NA())</f>
        <v/>
      </c>
      <c r="F29" s="5">
        <f>IF(AND(ISNUMBER(C29),ISNUMBER(D29)),C29-D29,NA())</f>
        <v/>
      </c>
      <c r="G29" s="5">
        <f>IFERROR((( (1+INDEX(Annual!$H:$H, MATCH($A29&amp;"|2026", Annual!$K:$K, 0))/100)*(1+INDEX(Annual!$H:$H, MATCH($A29&amp;"|2027", Annual!$K:$K, 0))/100)*(1+INDEX(Annual!$H:$H, MATCH($A29&amp;"|2028", Annual!$K:$K, 0))/100) )^(1/3)-1)*100, NA())</f>
        <v/>
      </c>
      <c r="H29" s="7">
        <f>IFERROR(INDEX(Crude_Oil_Impact!$H:$H, MATCH($A29, Crude_Oil_Impact!$A:$A, 0)), NA())</f>
        <v/>
      </c>
      <c r="I29" s="5">
        <f>IFERROR(INDEX(REER_Data!$C:$C, MATCH($A29, REER_Data!$A:$A, 0)), NA())</f>
        <v/>
      </c>
      <c r="J29" s="5">
        <f>IFERROR(INDEX(REER_Data!$E:$E, MATCH($A29, REER_Data!$A:$A, 0)) / 100, NA())</f>
        <v/>
      </c>
      <c r="K29" t="inlineStr">
        <is>
          <t>NA()</t>
        </is>
      </c>
      <c r="M29" t="n">
        <v>1891371000000</v>
      </c>
      <c r="N29" s="5">
        <f>IFERROR(1*INDEX(CAGR!$H:$H, MATCH($A29&amp;"|"&amp;$B$2, CAGR!$Q:$Q, 0)), NA())</f>
        <v/>
      </c>
      <c r="O29" s="5">
        <f>IFERROR(1*INDEX(CAGR!$G:$G, MATCH($A29&amp;"|"&amp;$B$2, CAGR!$Q:$Q, 0)), NA())</f>
        <v/>
      </c>
      <c r="Q29" s="5">
        <f>IFERROR(1*INDEX(CAGR!$J:$J, MATCH($A29&amp;"|"&amp;$B$2, CAGR!$Q:$Q, 0)), NA())</f>
        <v/>
      </c>
      <c r="R29" s="5">
        <f>IFERROR(1*INDEX(CAGR!$K:$K, MATCH($A29&amp;"|"&amp;$B$2, CAGR!$Q:$Q, 0)), NA())</f>
        <v/>
      </c>
      <c r="S29" s="6" t="n">
        <v>0.872799976194306</v>
      </c>
      <c r="T29" t="inlineStr">
        <is>
          <t>NA()</t>
        </is>
      </c>
      <c r="V29" s="5">
        <f>IFERROR(1*INDEX(CAGR!$N:$N, MATCH($A29&amp;"|"&amp;$B$2, CAGR!$Q:$Q, 0)), NA())</f>
        <v/>
      </c>
      <c r="X29" s="5">
        <f>IF(AND(ISNUMBER(Q29),ISNUMBER(V29)),Q29+V29,NA())</f>
        <v/>
      </c>
      <c r="Z29" t="inlineStr">
        <is>
          <t>Europe</t>
        </is>
      </c>
      <c r="AA29" t="inlineStr">
        <is>
          <t>EUR</t>
        </is>
      </c>
      <c r="AC29">
        <f>IFERROR(INDEX(Lists!$J$2:$J$42, MATCH($B29, Lists!$I$2:$I$42, 0)),"")</f>
        <v/>
      </c>
      <c r="AD29">
        <f>IFERROR(INDEX(Lists!$K$2:$K$42, MATCH($B29, Lists!$I$2:$I$42, 0)),"")</f>
        <v/>
      </c>
    </row>
    <row r="30">
      <c r="A30" t="inlineStr">
        <is>
          <t>Sweden</t>
        </is>
      </c>
      <c r="B30" t="inlineStr">
        <is>
          <t>EWD</t>
        </is>
      </c>
      <c r="C30" s="5">
        <f>IFERROR(1*INDEX(CAGR!$I:$I, MATCH($A30&amp;"|"&amp;$B$2, CAGR!$Q:$Q, 0)), NA())</f>
        <v/>
      </c>
      <c r="D30" s="5">
        <f>IFERROR(1*INDEX(CAGR!$F:$F, MATCH($A30&amp;"|"&amp;$B30&amp;"|"&amp;$B$2, CAGR!$P:$P, 0)), NA())</f>
        <v/>
      </c>
      <c r="E30">
        <f>IFERROR(INDEX(MSCI!$B:$E, MATCH("Sweden", MSCI!$A:$A, 0), MATCH($B$2, MSCI!$B$1:$E$1, 0)), NA())</f>
        <v/>
      </c>
      <c r="F30" s="5">
        <f>IF(AND(ISNUMBER(C30),ISNUMBER(D30)),C30-D30,NA())</f>
        <v/>
      </c>
      <c r="G30" s="5">
        <f>IFERROR((( (1+INDEX(Annual!$H:$H, MATCH($A30&amp;"|2026", Annual!$K:$K, 0))/100)*(1+INDEX(Annual!$H:$H, MATCH($A30&amp;"|2027", Annual!$K:$K, 0))/100)*(1+INDEX(Annual!$H:$H, MATCH($A30&amp;"|2028", Annual!$K:$K, 0))/100) )^(1/3)-1)*100, NA())</f>
        <v/>
      </c>
      <c r="H30" s="5">
        <f>IFERROR(INDEX(Crude_Oil_Impact!$H:$H, MATCH($A30, Crude_Oil_Impact!$A:$A, 0)), NA())</f>
        <v/>
      </c>
      <c r="I30" s="5">
        <f>IFERROR(INDEX(REER_Data!$C:$C, MATCH($A30, REER_Data!$A:$A, 0)), NA())</f>
        <v/>
      </c>
      <c r="J30" s="5">
        <f>IFERROR(INDEX(REER_Data!$E:$E, MATCH($A30, REER_Data!$A:$A, 0)) / 100, NA())</f>
        <v/>
      </c>
      <c r="K30" t="inlineStr">
        <is>
          <t>NA()</t>
        </is>
      </c>
      <c r="M30" t="n">
        <v>662318000000</v>
      </c>
      <c r="N30" s="5">
        <f>IFERROR(1*INDEX(CAGR!$H:$H, MATCH($A30&amp;"|"&amp;$B$2, CAGR!$Q:$Q, 0)), NA())</f>
        <v/>
      </c>
      <c r="O30" s="5">
        <f>IFERROR(1*INDEX(CAGR!$G:$G, MATCH($A30&amp;"|"&amp;$B$2, CAGR!$Q:$Q, 0)), NA())</f>
        <v/>
      </c>
      <c r="Q30" s="5">
        <f>IFERROR(1*INDEX(CAGR!$J:$J, MATCH($A30&amp;"|"&amp;$B$2, CAGR!$Q:$Q, 0)), NA())</f>
        <v/>
      </c>
      <c r="R30" s="5">
        <f>IFERROR(1*INDEX(CAGR!$K:$K, MATCH($A30&amp;"|"&amp;$B$2, CAGR!$Q:$Q, 0)), NA())</f>
        <v/>
      </c>
      <c r="S30" s="6" t="n">
        <v>1</v>
      </c>
      <c r="T30" t="inlineStr">
        <is>
          <t>NA()</t>
        </is>
      </c>
      <c r="V30" s="5">
        <f>IFERROR(1*INDEX(CAGR!$N:$N, MATCH($A30&amp;"|"&amp;$B$2, CAGR!$Q:$Q, 0)), NA())</f>
        <v/>
      </c>
      <c r="X30" s="5">
        <f>IF(AND(ISNUMBER(Q30),ISNUMBER(V30)),Q30+V30,NA())</f>
        <v/>
      </c>
      <c r="Z30" t="inlineStr">
        <is>
          <t>Europe</t>
        </is>
      </c>
      <c r="AA30" t="inlineStr">
        <is>
          <t>SEK</t>
        </is>
      </c>
      <c r="AC30">
        <f>IFERROR(INDEX(Lists!$J$2:$J$42, MATCH($B30, Lists!$I$2:$I$42, 0)),"")</f>
        <v/>
      </c>
      <c r="AD30">
        <f>IFERROR(INDEX(Lists!$K$2:$K$42, MATCH($B30, Lists!$I$2:$I$42, 0)),"")</f>
        <v/>
      </c>
    </row>
    <row r="31">
      <c r="A31" t="inlineStr">
        <is>
          <t>Switzerland</t>
        </is>
      </c>
      <c r="B31" t="inlineStr">
        <is>
          <t>EWL</t>
        </is>
      </c>
      <c r="C31" s="5">
        <f>IFERROR(1*INDEX(CAGR!$I:$I, MATCH($A31&amp;"|"&amp;$B$2, CAGR!$Q:$Q, 0)), NA())</f>
        <v/>
      </c>
      <c r="D31" s="5">
        <f>IFERROR(1*INDEX(CAGR!$F:$F, MATCH($A31&amp;"|"&amp;$B31&amp;"|"&amp;$B$2, CAGR!$P:$P, 0)), NA())</f>
        <v/>
      </c>
      <c r="E31">
        <f>IFERROR(INDEX(MSCI!$B:$E, MATCH("Switzerland", MSCI!$A:$A, 0), MATCH($B$2, MSCI!$B$1:$E$1, 0)), NA())</f>
        <v/>
      </c>
      <c r="F31" s="5">
        <f>IF(AND(ISNUMBER(C31),ISNUMBER(D31)),C31-D31,NA())</f>
        <v/>
      </c>
      <c r="G31" s="5">
        <f>IFERROR((( (1+INDEX(Annual!$H:$H, MATCH($A31&amp;"|2026", Annual!$K:$K, 0))/100)*(1+INDEX(Annual!$H:$H, MATCH($A31&amp;"|2027", Annual!$K:$K, 0))/100)*(1+INDEX(Annual!$H:$H, MATCH($A31&amp;"|2028", Annual!$K:$K, 0))/100) )^(1/3)-1)*100, NA())</f>
        <v/>
      </c>
      <c r="H31" s="5">
        <f>IFERROR(INDEX(Crude_Oil_Impact!$H:$H, MATCH($A31, Crude_Oil_Impact!$A:$A, 0)), NA())</f>
        <v/>
      </c>
      <c r="I31" s="5">
        <f>IFERROR(INDEX(REER_Data!$C:$C, MATCH($A31, REER_Data!$A:$A, 0)), NA())</f>
        <v/>
      </c>
      <c r="J31" s="5">
        <f>IFERROR(INDEX(REER_Data!$E:$E, MATCH($A31, REER_Data!$A:$A, 0)) / 100, NA())</f>
        <v/>
      </c>
      <c r="K31" t="inlineStr">
        <is>
          <t>NA()</t>
        </is>
      </c>
      <c r="M31" t="n">
        <v>1002666000000</v>
      </c>
      <c r="N31" s="5">
        <f>IFERROR(1*INDEX(CAGR!$H:$H, MATCH($A31&amp;"|"&amp;$B$2, CAGR!$Q:$Q, 0)), NA())</f>
        <v/>
      </c>
      <c r="O31" s="5">
        <f>IFERROR(1*INDEX(CAGR!$G:$G, MATCH($A31&amp;"|"&amp;$B$2, CAGR!$Q:$Q, 0)), NA())</f>
        <v/>
      </c>
      <c r="Q31" s="5">
        <f>IFERROR(1*INDEX(CAGR!$J:$J, MATCH($A31&amp;"|"&amp;$B$2, CAGR!$Q:$Q, 0)), NA())</f>
        <v/>
      </c>
      <c r="R31" s="5">
        <f>IFERROR(1*INDEX(CAGR!$K:$K, MATCH($A31&amp;"|"&amp;$B$2, CAGR!$Q:$Q, 0)), NA())</f>
        <v/>
      </c>
      <c r="S31" s="6" t="n">
        <v>0.872799976194306</v>
      </c>
      <c r="T31" t="inlineStr">
        <is>
          <t>NA()</t>
        </is>
      </c>
      <c r="V31" s="5">
        <f>IFERROR(1*INDEX(CAGR!$N:$N, MATCH($A31&amp;"|"&amp;$B$2, CAGR!$Q:$Q, 0)), NA())</f>
        <v/>
      </c>
      <c r="X31" s="5">
        <f>IF(AND(ISNUMBER(Q31),ISNUMBER(V31)),Q31+V31,NA())</f>
        <v/>
      </c>
      <c r="Z31" t="inlineStr">
        <is>
          <t>Europe</t>
        </is>
      </c>
      <c r="AA31" t="inlineStr">
        <is>
          <t>CHF</t>
        </is>
      </c>
      <c r="AC31">
        <f>IFERROR(INDEX(Lists!$J$2:$J$42, MATCH($B31, Lists!$I$2:$I$42, 0)),"")</f>
        <v/>
      </c>
      <c r="AD31">
        <f>IFERROR(INDEX(Lists!$K$2:$K$42, MATCH($B31, Lists!$I$2:$I$42, 0)),"")</f>
        <v/>
      </c>
    </row>
    <row r="32">
      <c r="A32" t="inlineStr">
        <is>
          <t>Taiwan</t>
        </is>
      </c>
      <c r="B32" t="inlineStr">
        <is>
          <t>XMTW.L</t>
        </is>
      </c>
      <c r="C32" s="5">
        <f>IFERROR(1*INDEX(CAGR!$I:$I, MATCH($A32&amp;"|"&amp;$B$2, CAGR!$Q:$Q, 0)), NA())</f>
        <v/>
      </c>
      <c r="D32" s="5">
        <f>IFERROR(1*INDEX(CAGR!$F:$F, MATCH($A32&amp;"|"&amp;$B32&amp;"|"&amp;$B$2, CAGR!$P:$P, 0)), NA())</f>
        <v/>
      </c>
      <c r="E32">
        <f>IFERROR(INDEX(MSCI!$B:$E, MATCH("Taiwan", MSCI!$A:$A, 0), MATCH($B$2, MSCI!$B$1:$E$1, 0)), NA())</f>
        <v/>
      </c>
      <c r="F32" s="5">
        <f>IF(AND(ISNUMBER(C32),ISNUMBER(D32)),C32-D32,NA())</f>
        <v/>
      </c>
      <c r="G32" s="5">
        <f>IFERROR((( (1+INDEX(Annual!$H:$H, MATCH($A32&amp;"|2026", Annual!$K:$K, 0))/100)*(1+INDEX(Annual!$H:$H, MATCH($A32&amp;"|2027", Annual!$K:$K, 0))/100)*(1+INDEX(Annual!$H:$H, MATCH($A32&amp;"|2028", Annual!$K:$K, 0))/100) )^(1/3)-1)*100, NA())</f>
        <v/>
      </c>
      <c r="H32" s="5">
        <f>IFERROR(INDEX(Crude_Oil_Impact!$H:$H, MATCH($A32, Crude_Oil_Impact!$A:$A, 0)), NA())</f>
        <v/>
      </c>
      <c r="I32" s="5">
        <f>IFERROR(INDEX(REER_Data!$C:$C, MATCH($A32, REER_Data!$A:$A, 0)), NA())</f>
        <v/>
      </c>
      <c r="J32" s="5">
        <f>IFERROR(INDEX(REER_Data!$E:$E, MATCH($A32, REER_Data!$A:$A, 0)) / 100, NA())</f>
        <v/>
      </c>
      <c r="K32" t="inlineStr">
        <is>
          <t>NA()</t>
        </is>
      </c>
      <c r="M32" t="n">
        <v>884387000000</v>
      </c>
      <c r="N32" s="5">
        <f>IFERROR(1*INDEX(CAGR!$H:$H, MATCH($A32&amp;"|"&amp;$B$2, CAGR!$Q:$Q, 0)), NA())</f>
        <v/>
      </c>
      <c r="O32" s="5">
        <f>IFERROR(1*INDEX(CAGR!$G:$G, MATCH($A32&amp;"|"&amp;$B$2, CAGR!$Q:$Q, 0)), NA())</f>
        <v/>
      </c>
      <c r="Q32" s="5">
        <f>IFERROR(1*INDEX(CAGR!$J:$J, MATCH($A32&amp;"|"&amp;$B$2, CAGR!$Q:$Q, 0)), NA())</f>
        <v/>
      </c>
      <c r="R32" s="5">
        <f>IFERROR(1*INDEX(CAGR!$K:$K, MATCH($A32&amp;"|"&amp;$B$2, CAGR!$Q:$Q, 0)), NA())</f>
        <v/>
      </c>
      <c r="S32" s="6" t="n"/>
      <c r="T32" t="inlineStr">
        <is>
          <t>NA()</t>
        </is>
      </c>
      <c r="V32" s="5">
        <f>IFERROR(1*INDEX(CAGR!$N:$N, MATCH($A32&amp;"|"&amp;$B$2, CAGR!$Q:$Q, 0)), NA())</f>
        <v/>
      </c>
      <c r="X32" s="5">
        <f>IF(AND(ISNUMBER(Q32),ISNUMBER(V32)),Q32+V32,NA())</f>
        <v/>
      </c>
      <c r="Z32" t="inlineStr">
        <is>
          <t>Asia</t>
        </is>
      </c>
      <c r="AA32" t="inlineStr">
        <is>
          <t>TWD</t>
        </is>
      </c>
      <c r="AC32">
        <f>IFERROR(INDEX(Lists!$J$2:$J$42, MATCH($B32, Lists!$I$2:$I$42, 0)),"")</f>
        <v/>
      </c>
      <c r="AD32">
        <f>IFERROR(INDEX(Lists!$K$2:$K$42, MATCH($B32, Lists!$I$2:$I$42, 0)),"")</f>
        <v/>
      </c>
    </row>
    <row r="33">
      <c r="A33" t="inlineStr">
        <is>
          <t>Thailand</t>
        </is>
      </c>
      <c r="B33" t="inlineStr">
        <is>
          <t>XCX4.L</t>
        </is>
      </c>
      <c r="C33" s="5">
        <f>IFERROR(1*INDEX(CAGR!$I:$I, MATCH($A33&amp;"|"&amp;$B$2, CAGR!$Q:$Q, 0)), NA())</f>
        <v/>
      </c>
      <c r="D33" s="5">
        <f>IFERROR(1*INDEX(CAGR!$F:$F, MATCH($A33&amp;"|"&amp;$B33&amp;"|"&amp;$B$2, CAGR!$P:$P, 0)), NA())</f>
        <v/>
      </c>
      <c r="E33">
        <f>IFERROR(INDEX(MSCI!$B:$E, MATCH("Thailand", MSCI!$A:$A, 0), MATCH($B$2, MSCI!$B$1:$E$1, 0)), NA())</f>
        <v/>
      </c>
      <c r="F33" s="5">
        <f>IF(AND(ISNUMBER(C33),ISNUMBER(D33)),C33-D33,NA())</f>
        <v/>
      </c>
      <c r="G33" s="5">
        <f>IFERROR((( (1+INDEX(Annual!$H:$H, MATCH($A33&amp;"|2026", Annual!$K:$K, 0))/100)*(1+INDEX(Annual!$H:$H, MATCH($A33&amp;"|2027", Annual!$K:$K, 0))/100)*(1+INDEX(Annual!$H:$H, MATCH($A33&amp;"|2028", Annual!$K:$K, 0))/100) )^(1/3)-1)*100, NA())</f>
        <v/>
      </c>
      <c r="H33" s="5">
        <f>IFERROR(INDEX(Crude_Oil_Impact!$H:$H, MATCH($A33, Crude_Oil_Impact!$A:$A, 0)), NA())</f>
        <v/>
      </c>
      <c r="I33" s="5">
        <f>IFERROR(INDEX(REER_Data!$C:$C, MATCH($A33, REER_Data!$A:$A, 0)), NA())</f>
        <v/>
      </c>
      <c r="J33" s="5">
        <f>IFERROR(INDEX(REER_Data!$E:$E, MATCH($A33, REER_Data!$A:$A, 0)) / 100, NA())</f>
        <v/>
      </c>
      <c r="K33" t="inlineStr">
        <is>
          <t>NA()</t>
        </is>
      </c>
      <c r="M33" t="n">
        <v>558573000000</v>
      </c>
      <c r="N33" s="5">
        <f>IFERROR(1*INDEX(CAGR!$H:$H, MATCH($A33&amp;"|"&amp;$B$2, CAGR!$Q:$Q, 0)), NA())</f>
        <v/>
      </c>
      <c r="O33" s="5">
        <f>IFERROR(1*INDEX(CAGR!$G:$G, MATCH($A33&amp;"|"&amp;$B$2, CAGR!$Q:$Q, 0)), NA())</f>
        <v/>
      </c>
      <c r="Q33" s="5">
        <f>IFERROR(1*INDEX(CAGR!$J:$J, MATCH($A33&amp;"|"&amp;$B$2, CAGR!$Q:$Q, 0)), NA())</f>
        <v/>
      </c>
      <c r="R33" s="5">
        <f>IFERROR(1*INDEX(CAGR!$K:$K, MATCH($A33&amp;"|"&amp;$B$2, CAGR!$Q:$Q, 0)), NA())</f>
        <v/>
      </c>
      <c r="S33" s="6" t="n"/>
      <c r="T33" t="inlineStr">
        <is>
          <t>NA()</t>
        </is>
      </c>
      <c r="V33" s="5">
        <f>IFERROR(1*INDEX(CAGR!$N:$N, MATCH($A33&amp;"|"&amp;$B$2, CAGR!$Q:$Q, 0)), NA())</f>
        <v/>
      </c>
      <c r="X33" s="5">
        <f>IF(AND(ISNUMBER(Q33),ISNUMBER(V33)),Q33+V33,NA())</f>
        <v/>
      </c>
      <c r="Z33" t="inlineStr">
        <is>
          <t>Asia</t>
        </is>
      </c>
      <c r="AA33" t="inlineStr">
        <is>
          <t>THB</t>
        </is>
      </c>
      <c r="AC33">
        <f>IFERROR(INDEX(Lists!$J$2:$J$42, MATCH($B33, Lists!$I$2:$I$42, 0)),"")</f>
        <v/>
      </c>
      <c r="AD33">
        <f>IFERROR(INDEX(Lists!$K$2:$K$42, MATCH($B33, Lists!$I$2:$I$42, 0)),"")</f>
        <v/>
      </c>
    </row>
    <row r="34">
      <c r="A34" t="inlineStr">
        <is>
          <t>Turkey</t>
        </is>
      </c>
      <c r="B34" t="inlineStr">
        <is>
          <t>TUR</t>
        </is>
      </c>
      <c r="C34" s="5">
        <f>IFERROR(1*INDEX(CAGR!$I:$I, MATCH($A34&amp;"|"&amp;$B$2, CAGR!$Q:$Q, 0)), NA())</f>
        <v/>
      </c>
      <c r="D34" s="5">
        <f>IFERROR(1*INDEX(CAGR!$F:$F, MATCH($A34&amp;"|"&amp;$B34&amp;"|"&amp;$B$2, CAGR!$P:$P, 0)), NA())</f>
        <v/>
      </c>
      <c r="E34">
        <f>IFERROR(INDEX(MSCI!$B:$E, MATCH("Turkey", MSCI!$A:$A, 0), MATCH($B$2, MSCI!$B$1:$E$1, 0)), NA())</f>
        <v/>
      </c>
      <c r="F34" s="5">
        <f>IF(AND(ISNUMBER(C34),ISNUMBER(D34)),C34-D34,NA())</f>
        <v/>
      </c>
      <c r="G34" s="5">
        <f>IFERROR((( (1+INDEX(Annual!$H:$H, MATCH($A34&amp;"|2026", Annual!$K:$K, 0))/100)*(1+INDEX(Annual!$H:$H, MATCH($A34&amp;"|2027", Annual!$K:$K, 0))/100)*(1+INDEX(Annual!$H:$H, MATCH($A34&amp;"|2028", Annual!$K:$K, 0))/100) )^(1/3)-1)*100, NA())</f>
        <v/>
      </c>
      <c r="H34" s="7">
        <f>IFERROR(INDEX(Crude_Oil_Impact!$H:$H, MATCH($A34, Crude_Oil_Impact!$A:$A, 0)), NA())</f>
        <v/>
      </c>
      <c r="I34" s="5">
        <f>IFERROR(INDEX(REER_Data!$C:$C, MATCH($A34, REER_Data!$A:$A, 0)), NA())</f>
        <v/>
      </c>
      <c r="J34" s="5">
        <f>IFERROR(INDEX(REER_Data!$E:$E, MATCH($A34, REER_Data!$A:$A, 0)) / 100, NA())</f>
        <v/>
      </c>
      <c r="K34" t="inlineStr">
        <is>
          <t>NA()</t>
        </is>
      </c>
      <c r="M34" t="n">
        <v>1565471000000</v>
      </c>
      <c r="N34" s="5">
        <f>IFERROR(1*INDEX(CAGR!$H:$H, MATCH($A34&amp;"|"&amp;$B$2, CAGR!$Q:$Q, 0)), NA())</f>
        <v/>
      </c>
      <c r="O34" s="5">
        <f>IFERROR(1*INDEX(CAGR!$G:$G, MATCH($A34&amp;"|"&amp;$B$2, CAGR!$Q:$Q, 0)), NA())</f>
        <v/>
      </c>
      <c r="Q34" s="5">
        <f>IFERROR(1*INDEX(CAGR!$J:$J, MATCH($A34&amp;"|"&amp;$B$2, CAGR!$Q:$Q, 0)), NA())</f>
        <v/>
      </c>
      <c r="R34" s="5">
        <f>IFERROR(1*INDEX(CAGR!$K:$K, MATCH($A34&amp;"|"&amp;$B$2, CAGR!$Q:$Q, 0)), NA())</f>
        <v/>
      </c>
      <c r="S34" s="6" t="n">
        <v>1</v>
      </c>
      <c r="T34" t="inlineStr">
        <is>
          <t>NA()</t>
        </is>
      </c>
      <c r="V34" s="5">
        <f>IFERROR(1*INDEX(CAGR!$N:$N, MATCH($A34&amp;"|"&amp;$B$2, CAGR!$Q:$Q, 0)), NA())</f>
        <v/>
      </c>
      <c r="X34" s="5">
        <f>IF(AND(ISNUMBER(Q34),ISNUMBER(V34)),Q34+V34,NA())</f>
        <v/>
      </c>
      <c r="Z34" t="inlineStr">
        <is>
          <t>Europe</t>
        </is>
      </c>
      <c r="AA34" t="inlineStr">
        <is>
          <t>TRY</t>
        </is>
      </c>
      <c r="AC34">
        <f>IFERROR(INDEX(Lists!$J$2:$J$42, MATCH($B34, Lists!$I$2:$I$42, 0)),"")</f>
        <v/>
      </c>
      <c r="AD34">
        <f>IFERROR(INDEX(Lists!$K$2:$K$42, MATCH($B34, Lists!$I$2:$I$42, 0)),"")</f>
        <v/>
      </c>
    </row>
    <row r="35">
      <c r="A35" t="inlineStr">
        <is>
          <t>United Kingdom</t>
        </is>
      </c>
      <c r="B35" t="inlineStr">
        <is>
          <t>CUKX.L</t>
        </is>
      </c>
      <c r="C35" s="5">
        <f>IFERROR(1*INDEX(CAGR!$I:$I, MATCH($A35&amp;"|"&amp;$B$2, CAGR!$Q:$Q, 0)), NA())</f>
        <v/>
      </c>
      <c r="D35" s="5">
        <f>IFERROR(1*INDEX(CAGR!$F:$F, MATCH($A35&amp;"|"&amp;$B35&amp;"|"&amp;$B$2, CAGR!$P:$P, 0)), NA())</f>
        <v/>
      </c>
      <c r="E35">
        <f>IFERROR(INDEX(MSCI!$B:$E, MATCH("United Kingdom", MSCI!$A:$A, 0), MATCH($B$2, MSCI!$B$1:$E$1, 0)), NA())</f>
        <v/>
      </c>
      <c r="F35" s="5">
        <f>IF(AND(ISNUMBER(C35),ISNUMBER(D35)),C35-D35,NA())</f>
        <v/>
      </c>
      <c r="G35" s="5">
        <f>IFERROR((( (1+INDEX(Annual!$H:$H, MATCH($A35&amp;"|2026", Annual!$K:$K, 0))/100)*(1+INDEX(Annual!$H:$H, MATCH($A35&amp;"|2027", Annual!$K:$K, 0))/100)*(1+INDEX(Annual!$H:$H, MATCH($A35&amp;"|2028", Annual!$K:$K, 0))/100) )^(1/3)-1)*100, NA())</f>
        <v/>
      </c>
      <c r="H35" s="7">
        <f>IFERROR(INDEX(Crude_Oil_Impact!$H:$H, MATCH($A35, Crude_Oil_Impact!$A:$A, 0)), NA())</f>
        <v/>
      </c>
      <c r="I35" s="5">
        <f>IFERROR(INDEX(REER_Data!$C:$C, MATCH($A35, REER_Data!$A:$A, 0)), NA())</f>
        <v/>
      </c>
      <c r="J35" s="5">
        <f>IFERROR(INDEX(REER_Data!$E:$E, MATCH($A35, REER_Data!$A:$A, 0)) / 100, NA())</f>
        <v/>
      </c>
      <c r="K35" t="inlineStr">
        <is>
          <t>NA()</t>
        </is>
      </c>
      <c r="M35" t="n">
        <v>3958780000000</v>
      </c>
      <c r="N35" s="5">
        <f>IFERROR(1*INDEX(CAGR!$H:$H, MATCH($A35&amp;"|"&amp;$B$2, CAGR!$Q:$Q, 0)), NA())</f>
        <v/>
      </c>
      <c r="O35" s="5">
        <f>IFERROR(1*INDEX(CAGR!$G:$G, MATCH($A35&amp;"|"&amp;$B$2, CAGR!$Q:$Q, 0)), NA())</f>
        <v/>
      </c>
      <c r="Q35" s="5">
        <f>IFERROR(1*INDEX(CAGR!$J:$J, MATCH($A35&amp;"|"&amp;$B$2, CAGR!$Q:$Q, 0)), NA())</f>
        <v/>
      </c>
      <c r="R35" s="5">
        <f>IFERROR(1*INDEX(CAGR!$K:$K, MATCH($A35&amp;"|"&amp;$B$2, CAGR!$Q:$Q, 0)), NA())</f>
        <v/>
      </c>
      <c r="S35" s="6" t="n"/>
      <c r="T35" t="inlineStr">
        <is>
          <t>NA()</t>
        </is>
      </c>
      <c r="V35" s="5">
        <f>IFERROR(1*INDEX(CAGR!$N:$N, MATCH($A35&amp;"|"&amp;$B$2, CAGR!$Q:$Q, 0)), NA())</f>
        <v/>
      </c>
      <c r="X35" s="5">
        <f>IF(AND(ISNUMBER(Q35),ISNUMBER(V35)),Q35+V35,NA())</f>
        <v/>
      </c>
      <c r="Z35" t="inlineStr">
        <is>
          <t>Europe</t>
        </is>
      </c>
      <c r="AA35" t="inlineStr">
        <is>
          <t>GBP</t>
        </is>
      </c>
      <c r="AC35">
        <f>IFERROR(INDEX(Lists!$J$2:$J$42, MATCH($B35, Lists!$I$2:$I$42, 0)),"")</f>
        <v/>
      </c>
      <c r="AD35">
        <f>IFERROR(INDEX(Lists!$K$2:$K$42, MATCH($B35, Lists!$I$2:$I$42, 0)),"")</f>
        <v/>
      </c>
    </row>
    <row r="36">
      <c r="A36" t="inlineStr">
        <is>
          <t>United States</t>
        </is>
      </c>
      <c r="B36" t="inlineStr">
        <is>
          <t>CSUS.L</t>
        </is>
      </c>
      <c r="C36" s="5">
        <f>IFERROR(1*INDEX(CAGR!$I:$I, MATCH($A36&amp;"|"&amp;$B$2, CAGR!$Q:$Q, 0)), NA())</f>
        <v/>
      </c>
      <c r="D36" s="5">
        <f>IFERROR(1*INDEX(CAGR!$F:$F, MATCH($A36&amp;"|"&amp;$B36&amp;"|"&amp;$B$2, CAGR!$P:$P, 0)), NA())</f>
        <v/>
      </c>
      <c r="E36">
        <f>IFERROR(INDEX(MSCI!$B:$E, MATCH("United States", MSCI!$A:$A, 0), MATCH($B$2, MSCI!$B$1:$E$1, 0)), NA())</f>
        <v/>
      </c>
      <c r="F36" s="5">
        <f>IF(AND(ISNUMBER(C36),ISNUMBER(D36)),C36-D36,NA())</f>
        <v/>
      </c>
      <c r="G36" s="5">
        <f>IFERROR((( (1+INDEX(Annual!$H:$H, MATCH($A36&amp;"|2026", Annual!$K:$K, 0))/100)*(1+INDEX(Annual!$H:$H, MATCH($A36&amp;"|2027", Annual!$K:$K, 0))/100)*(1+INDEX(Annual!$H:$H, MATCH($A36&amp;"|2028", Annual!$K:$K, 0))/100) )^(1/3)-1)*100, NA())</f>
        <v/>
      </c>
      <c r="H36" s="5">
        <f>IFERROR(INDEX(Crude_Oil_Impact!$H:$H, MATCH($A36, Crude_Oil_Impact!$A:$A, 0)), NA())</f>
        <v/>
      </c>
      <c r="I36" s="5">
        <f>IFERROR(INDEX(REER_Data!$C:$C, MATCH($A36, REER_Data!$A:$A, 0)), NA())</f>
        <v/>
      </c>
      <c r="J36" s="5">
        <f>IFERROR(INDEX(REER_Data!$E:$E, MATCH($A36, REER_Data!$A:$A, 0)) / 100, NA())</f>
        <v/>
      </c>
      <c r="K36" t="inlineStr">
        <is>
          <t>NA()</t>
        </is>
      </c>
      <c r="M36" t="n">
        <v>30615743000000</v>
      </c>
      <c r="N36" s="5">
        <f>IFERROR(1*INDEX(CAGR!$H:$H, MATCH($A36&amp;"|"&amp;$B$2, CAGR!$Q:$Q, 0)), NA())</f>
        <v/>
      </c>
      <c r="O36" s="5">
        <f>IFERROR(1*INDEX(CAGR!$G:$G, MATCH($A36&amp;"|"&amp;$B$2, CAGR!$Q:$Q, 0)), NA())</f>
        <v/>
      </c>
      <c r="Q36" s="5">
        <f>IFERROR(1*INDEX(CAGR!$J:$J, MATCH($A36&amp;"|"&amp;$B$2, CAGR!$Q:$Q, 0)), NA())</f>
        <v/>
      </c>
      <c r="R36" s="5">
        <f>IFERROR(1*INDEX(CAGR!$K:$K, MATCH($A36&amp;"|"&amp;$B$2, CAGR!$Q:$Q, 0)), NA())</f>
        <v/>
      </c>
      <c r="S36" s="6" t="n">
        <v>1</v>
      </c>
      <c r="T36" t="inlineStr">
        <is>
          <t>NA()</t>
        </is>
      </c>
      <c r="V36" s="5">
        <f>IFERROR(1*INDEX(CAGR!$N:$N, MATCH($A36&amp;"|"&amp;$B$2, CAGR!$Q:$Q, 0)), NA())</f>
        <v/>
      </c>
      <c r="X36" s="5">
        <f>IF(AND(ISNUMBER(Q36),ISNUMBER(V36)),Q36+V36,NA())</f>
        <v/>
      </c>
      <c r="Z36" t="inlineStr">
        <is>
          <t>North America</t>
        </is>
      </c>
      <c r="AA36" t="inlineStr">
        <is>
          <t>USD</t>
        </is>
      </c>
      <c r="AC36">
        <f>IFERROR(INDEX(Lists!$J$2:$J$42, MATCH($B36, Lists!$I$2:$I$42, 0)),"")</f>
        <v/>
      </c>
      <c r="AD36">
        <f>IFERROR(INDEX(Lists!$K$2:$K$42, MATCH($B36, Lists!$I$2:$I$42, 0)),"")</f>
        <v/>
      </c>
    </row>
    <row r="37">
      <c r="A37" t="inlineStr">
        <is>
          <t>Vietnam</t>
        </is>
      </c>
      <c r="B37" t="inlineStr">
        <is>
          <t>XFVT.L</t>
        </is>
      </c>
      <c r="C37" s="5">
        <f>IFERROR(1*INDEX(CAGR!$I:$I, MATCH($A37&amp;"|"&amp;$B$2, CAGR!$Q:$Q, 0)), NA())</f>
        <v/>
      </c>
      <c r="D37" s="5">
        <f>IFERROR(1*INDEX(CAGR!$F:$F, MATCH($A37&amp;"|"&amp;$B37&amp;"|"&amp;$B$2, CAGR!$P:$P, 0)), NA())</f>
        <v/>
      </c>
      <c r="E37">
        <f>IFERROR(INDEX(MSCI!$B:$E, MATCH("Vietnam", MSCI!$A:$A, 0), MATCH($B$2, MSCI!$B$1:$E$1, 0)), NA())</f>
        <v/>
      </c>
      <c r="F37" s="5">
        <f>IF(AND(ISNUMBER(C37),ISNUMBER(D37)),C37-D37,NA())</f>
        <v/>
      </c>
      <c r="G37" s="5">
        <f>IFERROR((( (1+INDEX(Annual!$H:$H, MATCH($A37&amp;"|2026", Annual!$K:$K, 0))/100)*(1+INDEX(Annual!$H:$H, MATCH($A37&amp;"|2027", Annual!$K:$K, 0))/100)*(1+INDEX(Annual!$H:$H, MATCH($A37&amp;"|2028", Annual!$K:$K, 0))/100) )^(1/3)-1)*100, NA())</f>
        <v/>
      </c>
      <c r="H37" s="7">
        <f>IFERROR(INDEX(Crude_Oil_Impact!$H:$H, MATCH($A37, Crude_Oil_Impact!$A:$A, 0)), NA())</f>
        <v/>
      </c>
      <c r="I37" s="5">
        <f>IFERROR(INDEX(REER_Data!$C:$C, MATCH($A37, REER_Data!$A:$A, 0)), NA())</f>
        <v/>
      </c>
      <c r="J37" s="5">
        <f>IFERROR(INDEX(REER_Data!$E:$E, MATCH($A37, REER_Data!$A:$A, 0)) / 100, NA())</f>
        <v/>
      </c>
      <c r="K37" t="inlineStr">
        <is>
          <t>NA()</t>
        </is>
      </c>
      <c r="M37" t="n">
        <v>484726000000</v>
      </c>
      <c r="N37" s="5">
        <f>IFERROR(1*INDEX(CAGR!$H:$H, MATCH($A37&amp;"|"&amp;$B$2, CAGR!$Q:$Q, 0)), NA())</f>
        <v/>
      </c>
      <c r="O37" s="5">
        <f>IFERROR(1*INDEX(CAGR!$G:$G, MATCH($A37&amp;"|"&amp;$B$2, CAGR!$Q:$Q, 0)), NA())</f>
        <v/>
      </c>
      <c r="Q37" s="5">
        <f>IFERROR(1*INDEX(CAGR!$J:$J, MATCH($A37&amp;"|"&amp;$B$2, CAGR!$Q:$Q, 0)), NA())</f>
        <v/>
      </c>
      <c r="R37" s="5">
        <f>IFERROR(1*INDEX(CAGR!$K:$K, MATCH($A37&amp;"|"&amp;$B$2, CAGR!$Q:$Q, 0)), NA())</f>
        <v/>
      </c>
      <c r="S37" s="6" t="n"/>
      <c r="T37" t="inlineStr">
        <is>
          <t>NA()</t>
        </is>
      </c>
      <c r="V37" s="5">
        <f>IFERROR(1*INDEX(CAGR!$N:$N, MATCH($A37&amp;"|"&amp;$B$2, CAGR!$Q:$Q, 0)), NA())</f>
        <v/>
      </c>
      <c r="X37" s="5">
        <f>IF(AND(ISNUMBER(Q37),ISNUMBER(V37)),Q37+V37,NA())</f>
        <v/>
      </c>
      <c r="Z37" t="inlineStr">
        <is>
          <t>Asia</t>
        </is>
      </c>
      <c r="AA37" t="inlineStr">
        <is>
          <t>VND</t>
        </is>
      </c>
      <c r="AC37">
        <f>IFERROR(INDEX(Lists!$J$2:$J$42, MATCH($B37, Lists!$I$2:$I$42, 0)),"")</f>
        <v/>
      </c>
      <c r="AD37">
        <f>IFERROR(INDEX(Lists!$K$2:$K$42, MATCH($B37, Lists!$I$2:$I$42, 0)),"")</f>
        <v/>
      </c>
    </row>
  </sheetData>
  <autoFilter ref="A4:AD37"/>
  <conditionalFormatting sqref="C5:D37">
    <cfRule type="cellIs" priority="1" operator="greaterThanOrEqual" dxfId="0">
      <formula>10</formula>
    </cfRule>
    <cfRule type="cellIs" priority="2" operator="greaterThanOrEqual" dxfId="1">
      <formula>5</formula>
    </cfRule>
    <cfRule type="cellIs" priority="3" operator="greaterThanOrEqual" dxfId="2">
      <formula>0</formula>
    </cfRule>
    <cfRule type="cellIs" priority="4" operator="lessThan" dxfId="3">
      <formula>0</formula>
    </cfRule>
  </conditionalFormatting>
  <conditionalFormatting sqref="F5:G37">
    <cfRule type="cellIs" priority="5" operator="greaterThanOrEqual" dxfId="0">
      <formula>10</formula>
    </cfRule>
    <cfRule type="cellIs" priority="6" operator="greaterThanOrEqual" dxfId="1">
      <formula>5</formula>
    </cfRule>
    <cfRule type="cellIs" priority="7" operator="greaterThanOrEqual" dxfId="2">
      <formula>0</formula>
    </cfRule>
    <cfRule type="cellIs" priority="8" operator="lessThan" dxfId="3">
      <formula>0</formula>
    </cfRule>
  </conditionalFormatting>
  <conditionalFormatting sqref="J5:J37">
    <cfRule type="cellIs" priority="9" operator="greaterThanOrEqual" dxfId="0">
      <formula>10</formula>
    </cfRule>
    <cfRule type="cellIs" priority="10" operator="greaterThanOrEqual" dxfId="1">
      <formula>5</formula>
    </cfRule>
    <cfRule type="cellIs" priority="11" operator="greaterThanOrEqual" dxfId="2">
      <formula>0</formula>
    </cfRule>
    <cfRule type="cellIs" priority="12" operator="lessThan" dxfId="3">
      <formula>0</formula>
    </cfRule>
  </conditionalFormatting>
  <conditionalFormatting sqref="N5:O37">
    <cfRule type="cellIs" priority="13" operator="greaterThanOrEqual" dxfId="0">
      <formula>10</formula>
    </cfRule>
    <cfRule type="cellIs" priority="14" operator="greaterThanOrEqual" dxfId="1">
      <formula>5</formula>
    </cfRule>
    <cfRule type="cellIs" priority="15" operator="greaterThanOrEqual" dxfId="2">
      <formula>0</formula>
    </cfRule>
    <cfRule type="cellIs" priority="16" operator="lessThan" dxfId="3">
      <formula>0</formula>
    </cfRule>
  </conditionalFormatting>
  <conditionalFormatting sqref="Q5:R37">
    <cfRule type="cellIs" priority="17" operator="greaterThanOrEqual" dxfId="0">
      <formula>10</formula>
    </cfRule>
    <cfRule type="cellIs" priority="18" operator="greaterThanOrEqual" dxfId="1">
      <formula>5</formula>
    </cfRule>
    <cfRule type="cellIs" priority="19" operator="greaterThanOrEqual" dxfId="2">
      <formula>0</formula>
    </cfRule>
    <cfRule type="cellIs" priority="20" operator="lessThan" dxfId="3">
      <formula>0</formula>
    </cfRule>
  </conditionalFormatting>
  <conditionalFormatting sqref="V5:V37">
    <cfRule type="cellIs" priority="21" operator="greaterThanOrEqual" dxfId="0">
      <formula>10</formula>
    </cfRule>
    <cfRule type="cellIs" priority="22" operator="greaterThanOrEqual" dxfId="1">
      <formula>5</formula>
    </cfRule>
    <cfRule type="cellIs" priority="23" operator="greaterThanOrEqual" dxfId="2">
      <formula>0</formula>
    </cfRule>
    <cfRule type="cellIs" priority="24" operator="lessThan" dxfId="3">
      <formula>0</formula>
    </cfRule>
  </conditionalFormatting>
  <conditionalFormatting sqref="X5:X37">
    <cfRule type="cellIs" priority="25" operator="greaterThanOrEqual" dxfId="0">
      <formula>10</formula>
    </cfRule>
    <cfRule type="cellIs" priority="26" operator="greaterThanOrEqual" dxfId="1">
      <formula>5</formula>
    </cfRule>
    <cfRule type="cellIs" priority="27" operator="greaterThanOrEqual" dxfId="2">
      <formula>0</formula>
    </cfRule>
    <cfRule type="cellIs" priority="28" operator="lessThan" dxfId="3">
      <formula>0</formula>
    </cfRule>
  </conditionalFormatting>
  <conditionalFormatting sqref="H5:H37">
    <cfRule type="cellIs" priority="29" operator="lessThanOrEqual" dxfId="0">
      <formula>1</formula>
    </cfRule>
    <cfRule type="cellIs" priority="30" operator="lessThanOrEqual" dxfId="2">
      <formula>3</formula>
    </cfRule>
    <cfRule type="cellIs" priority="31" operator="greaterThan" dxfId="3">
      <formula>3</formula>
    </cfRule>
    <cfRule type="cellIs" priority="32" operator="greaterThan" dxfId="4">
      <formula>6</formula>
    </cfRule>
  </conditionalFormatting>
  <conditionalFormatting sqref="I5:I37">
    <cfRule type="cellIs" priority="33" operator="greaterThanOrEqual" dxfId="0">
      <formula>110</formula>
    </cfRule>
    <cfRule type="cellIs" priority="34" operator="between" dxfId="2">
      <formula>100</formula>
      <formula>110</formula>
    </cfRule>
    <cfRule type="cellIs" priority="35" operator="between" dxfId="3">
      <formula>90</formula>
      <formula>100</formula>
    </cfRule>
    <cfRule type="cellIs" priority="36" operator="lessThan" dxfId="4">
      <formula>90</formula>
    </cfRule>
  </conditionalFormatting>
  <dataValidations count="34">
    <dataValidation sqref="B2" showDropDown="0" showInputMessage="0" showErrorMessage="0" allowBlank="0" type="list">
      <formula1>"1Y,3Y,5Y,10Y"</formula1>
    </dataValidation>
    <dataValidation sqref="B5" showDropDown="0" showInputMessage="0" showErrorMessage="0" allowBlank="0" type="list">
      <formula1>=OFFSET(Lists!$H$2,IFERROR(MATCH($A5,Lists!$F$2:$F$42,0)-1,0),0,COUNTIF(Lists!$F$2:$F$42,$A5),1)</formula1>
    </dataValidation>
    <dataValidation sqref="B6" showDropDown="0" showInputMessage="0" showErrorMessage="0" allowBlank="0" type="list">
      <formula1>=OFFSET(Lists!$H$2,IFERROR(MATCH($A6,Lists!$F$2:$F$42,0)-1,0),0,COUNTIF(Lists!$F$2:$F$42,$A6),1)</formula1>
    </dataValidation>
    <dataValidation sqref="B7" showDropDown="0" showInputMessage="0" showErrorMessage="0" allowBlank="0" type="list">
      <formula1>=OFFSET(Lists!$H$2,IFERROR(MATCH($A7,Lists!$F$2:$F$42,0)-1,0),0,COUNTIF(Lists!$F$2:$F$42,$A7),1)</formula1>
    </dataValidation>
    <dataValidation sqref="B8" showDropDown="0" showInputMessage="0" showErrorMessage="0" allowBlank="0" type="list">
      <formula1>=OFFSET(Lists!$H$2,IFERROR(MATCH($A8,Lists!$F$2:$F$42,0)-1,0),0,COUNTIF(Lists!$F$2:$F$42,$A8),1)</formula1>
    </dataValidation>
    <dataValidation sqref="B9" showDropDown="0" showInputMessage="0" showErrorMessage="0" allowBlank="0" type="list">
      <formula1>=OFFSET(Lists!$H$2,IFERROR(MATCH($A9,Lists!$F$2:$F$42,0)-1,0),0,COUNTIF(Lists!$F$2:$F$42,$A9),1)</formula1>
    </dataValidation>
    <dataValidation sqref="B10" showDropDown="0" showInputMessage="0" showErrorMessage="0" allowBlank="0" type="list">
      <formula1>=OFFSET(Lists!$H$2,IFERROR(MATCH($A10,Lists!$F$2:$F$42,0)-1,0),0,COUNTIF(Lists!$F$2:$F$42,$A10),1)</formula1>
    </dataValidation>
    <dataValidation sqref="B11" showDropDown="0" showInputMessage="0" showErrorMessage="0" allowBlank="0" type="list">
      <formula1>=OFFSET(Lists!$H$2,IFERROR(MATCH($A11,Lists!$F$2:$F$42,0)-1,0),0,COUNTIF(Lists!$F$2:$F$42,$A11),1)</formula1>
    </dataValidation>
    <dataValidation sqref="B12" showDropDown="0" showInputMessage="0" showErrorMessage="0" allowBlank="0" type="list">
      <formula1>=OFFSET(Lists!$H$2,IFERROR(MATCH($A12,Lists!$F$2:$F$42,0)-1,0),0,COUNTIF(Lists!$F$2:$F$42,$A12),1)</formula1>
    </dataValidation>
    <dataValidation sqref="B13" showDropDown="0" showInputMessage="0" showErrorMessage="0" allowBlank="0" type="list">
      <formula1>=OFFSET(Lists!$H$2,IFERROR(MATCH($A13,Lists!$F$2:$F$42,0)-1,0),0,COUNTIF(Lists!$F$2:$F$42,$A13),1)</formula1>
    </dataValidation>
    <dataValidation sqref="B14" showDropDown="0" showInputMessage="0" showErrorMessage="0" allowBlank="0" type="list">
      <formula1>=OFFSET(Lists!$H$2,IFERROR(MATCH($A14,Lists!$F$2:$F$42,0)-1,0),0,COUNTIF(Lists!$F$2:$F$42,$A14),1)</formula1>
    </dataValidation>
    <dataValidation sqref="B15" showDropDown="0" showInputMessage="0" showErrorMessage="0" allowBlank="0" type="list">
      <formula1>=OFFSET(Lists!$H$2,IFERROR(MATCH($A15,Lists!$F$2:$F$42,0)-1,0),0,COUNTIF(Lists!$F$2:$F$42,$A15),1)</formula1>
    </dataValidation>
    <dataValidation sqref="B16" showDropDown="0" showInputMessage="0" showErrorMessage="0" allowBlank="0" type="list">
      <formula1>=OFFSET(Lists!$H$2,IFERROR(MATCH($A16,Lists!$F$2:$F$42,0)-1,0),0,COUNTIF(Lists!$F$2:$F$42,$A16),1)</formula1>
    </dataValidation>
    <dataValidation sqref="B17" showDropDown="0" showInputMessage="0" showErrorMessage="0" allowBlank="0" type="list">
      <formula1>=OFFSET(Lists!$H$2,IFERROR(MATCH($A17,Lists!$F$2:$F$42,0)-1,0),0,COUNTIF(Lists!$F$2:$F$42,$A17),1)</formula1>
    </dataValidation>
    <dataValidation sqref="B18" showDropDown="0" showInputMessage="0" showErrorMessage="0" allowBlank="0" type="list">
      <formula1>=OFFSET(Lists!$H$2,IFERROR(MATCH($A18,Lists!$F$2:$F$42,0)-1,0),0,COUNTIF(Lists!$F$2:$F$42,$A18),1)</formula1>
    </dataValidation>
    <dataValidation sqref="B19" showDropDown="0" showInputMessage="0" showErrorMessage="0" allowBlank="0" type="list">
      <formula1>=OFFSET(Lists!$H$2,IFERROR(MATCH($A19,Lists!$F$2:$F$42,0)-1,0),0,COUNTIF(Lists!$F$2:$F$42,$A19),1)</formula1>
    </dataValidation>
    <dataValidation sqref="B20" showDropDown="0" showInputMessage="0" showErrorMessage="0" allowBlank="0" type="list">
      <formula1>=OFFSET(Lists!$H$2,IFERROR(MATCH($A20,Lists!$F$2:$F$42,0)-1,0),0,COUNTIF(Lists!$F$2:$F$42,$A20),1)</formula1>
    </dataValidation>
    <dataValidation sqref="B21" showDropDown="0" showInputMessage="0" showErrorMessage="0" allowBlank="0" type="list">
      <formula1>=OFFSET(Lists!$H$2,IFERROR(MATCH($A21,Lists!$F$2:$F$42,0)-1,0),0,COUNTIF(Lists!$F$2:$F$42,$A21),1)</formula1>
    </dataValidation>
    <dataValidation sqref="B22" showDropDown="0" showInputMessage="0" showErrorMessage="0" allowBlank="0" type="list">
      <formula1>=OFFSET(Lists!$H$2,IFERROR(MATCH($A22,Lists!$F$2:$F$42,0)-1,0),0,COUNTIF(Lists!$F$2:$F$42,$A22),1)</formula1>
    </dataValidation>
    <dataValidation sqref="B23" showDropDown="0" showInputMessage="0" showErrorMessage="0" allowBlank="0" type="list">
      <formula1>=OFFSET(Lists!$H$2,IFERROR(MATCH($A23,Lists!$F$2:$F$42,0)-1,0),0,COUNTIF(Lists!$F$2:$F$42,$A23),1)</formula1>
    </dataValidation>
    <dataValidation sqref="B24" showDropDown="0" showInputMessage="0" showErrorMessage="0" allowBlank="0" type="list">
      <formula1>=OFFSET(Lists!$H$2,IFERROR(MATCH($A24,Lists!$F$2:$F$42,0)-1,0),0,COUNTIF(Lists!$F$2:$F$42,$A24),1)</formula1>
    </dataValidation>
    <dataValidation sqref="B25" showDropDown="0" showInputMessage="0" showErrorMessage="0" allowBlank="0" type="list">
      <formula1>=OFFSET(Lists!$H$2,IFERROR(MATCH($A25,Lists!$F$2:$F$42,0)-1,0),0,COUNTIF(Lists!$F$2:$F$42,$A25),1)</formula1>
    </dataValidation>
    <dataValidation sqref="B26" showDropDown="0" showInputMessage="0" showErrorMessage="0" allowBlank="0" type="list">
      <formula1>=OFFSET(Lists!$H$2,IFERROR(MATCH($A26,Lists!$F$2:$F$42,0)-1,0),0,COUNTIF(Lists!$F$2:$F$42,$A26),1)</formula1>
    </dataValidation>
    <dataValidation sqref="B27" showDropDown="0" showInputMessage="0" showErrorMessage="0" allowBlank="0" type="list">
      <formula1>=OFFSET(Lists!$H$2,IFERROR(MATCH($A27,Lists!$F$2:$F$42,0)-1,0),0,COUNTIF(Lists!$F$2:$F$42,$A27),1)</formula1>
    </dataValidation>
    <dataValidation sqref="B28" showDropDown="0" showInputMessage="0" showErrorMessage="0" allowBlank="0" type="list">
      <formula1>=OFFSET(Lists!$H$2,IFERROR(MATCH($A28,Lists!$F$2:$F$42,0)-1,0),0,COUNTIF(Lists!$F$2:$F$42,$A28),1)</formula1>
    </dataValidation>
    <dataValidation sqref="B29" showDropDown="0" showInputMessage="0" showErrorMessage="0" allowBlank="0" type="list">
      <formula1>=OFFSET(Lists!$H$2,IFERROR(MATCH($A29,Lists!$F$2:$F$42,0)-1,0),0,COUNTIF(Lists!$F$2:$F$42,$A29),1)</formula1>
    </dataValidation>
    <dataValidation sqref="B30" showDropDown="0" showInputMessage="0" showErrorMessage="0" allowBlank="0" type="list">
      <formula1>=OFFSET(Lists!$H$2,IFERROR(MATCH($A30,Lists!$F$2:$F$42,0)-1,0),0,COUNTIF(Lists!$F$2:$F$42,$A30),1)</formula1>
    </dataValidation>
    <dataValidation sqref="B31" showDropDown="0" showInputMessage="0" showErrorMessage="0" allowBlank="0" type="list">
      <formula1>=OFFSET(Lists!$H$2,IFERROR(MATCH($A31,Lists!$F$2:$F$42,0)-1,0),0,COUNTIF(Lists!$F$2:$F$42,$A31),1)</formula1>
    </dataValidation>
    <dataValidation sqref="B32" showDropDown="0" showInputMessage="0" showErrorMessage="0" allowBlank="0" type="list">
      <formula1>=OFFSET(Lists!$H$2,IFERROR(MATCH($A32,Lists!$F$2:$F$42,0)-1,0),0,COUNTIF(Lists!$F$2:$F$42,$A32),1)</formula1>
    </dataValidation>
    <dataValidation sqref="B33" showDropDown="0" showInputMessage="0" showErrorMessage="0" allowBlank="0" type="list">
      <formula1>=OFFSET(Lists!$H$2,IFERROR(MATCH($A33,Lists!$F$2:$F$42,0)-1,0),0,COUNTIF(Lists!$F$2:$F$42,$A33),1)</formula1>
    </dataValidation>
    <dataValidation sqref="B34" showDropDown="0" showInputMessage="0" showErrorMessage="0" allowBlank="0" type="list">
      <formula1>=OFFSET(Lists!$H$2,IFERROR(MATCH($A34,Lists!$F$2:$F$42,0)-1,0),0,COUNTIF(Lists!$F$2:$F$42,$A34),1)</formula1>
    </dataValidation>
    <dataValidation sqref="B35" showDropDown="0" showInputMessage="0" showErrorMessage="0" allowBlank="0" type="list">
      <formula1>=OFFSET(Lists!$H$2,IFERROR(MATCH($A35,Lists!$F$2:$F$42,0)-1,0),0,COUNTIF(Lists!$F$2:$F$42,$A35),1)</formula1>
    </dataValidation>
    <dataValidation sqref="B36" showDropDown="0" showInputMessage="0" showErrorMessage="0" allowBlank="0" type="list">
      <formula1>=OFFSET(Lists!$H$2,IFERROR(MATCH($A36,Lists!$F$2:$F$42,0)-1,0),0,COUNTIF(Lists!$F$2:$F$42,$A36),1)</formula1>
    </dataValidation>
    <dataValidation sqref="B37" showDropDown="0" showInputMessage="0" showErrorMessage="0" allowBlank="0" type="list">
      <formula1>=OFFSET(Lists!$H$2,IFERROR(MATCH($A37,Lists!$F$2:$F$42,0)-1,0),0,COUNTIF(Lists!$F$2:$F$42,$A37),1)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5" customWidth="1" min="4" max="4"/>
    <col width="5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  <col width="18" customWidth="1" min="11" max="11"/>
  </cols>
  <sheetData>
    <row r="1">
      <c r="A1" s="3" t="inlineStr">
        <is>
          <t>Country Focus Dashboard</t>
        </is>
      </c>
    </row>
    <row r="2">
      <c r="A2" t="inlineStr">
        <is>
          <t>Country</t>
        </is>
      </c>
      <c r="B2" t="inlineStr">
        <is>
          <t>Australia</t>
        </is>
      </c>
    </row>
    <row r="3">
      <c r="A3" t="inlineStr">
        <is>
          <t>Ticker</t>
        </is>
      </c>
      <c r="B3">
        <f>IFERROR(INDEX(Lists!$D:$D, MATCH($B$2, Lists!$C:$C, 0)),"")</f>
        <v/>
      </c>
    </row>
    <row r="4">
      <c r="A4" t="inlineStr">
        <is>
          <t>As-of Date</t>
        </is>
      </c>
      <c r="B4" s="8">
        <f>IFERROR(INDEX(ETF_Timeframes!$F:$F, MATCH($B$2&amp;"|"&amp;$B$3&amp;"|MAX", ETF_Timeframes!$I:$I, 0)),"")</f>
        <v/>
      </c>
    </row>
    <row r="5">
      <c r="A5" t="inlineStr">
        <is>
          <t>Ticker Currency</t>
        </is>
      </c>
      <c r="B5">
        <f>IFERROR(INDEX(Lists!$K$2:$K$42, MATCH($B$3, Lists!$I$2:$I$42, 0)),"")</f>
        <v/>
      </c>
    </row>
    <row r="6">
      <c r="A6" t="inlineStr">
        <is>
          <t>Ticker Exchange</t>
        </is>
      </c>
      <c r="B6">
        <f>IFERROR(INDEX(Lists!$J$2:$J$42, MATCH($B$3, Lists!$I$2:$I$42, 0)),"")</f>
        <v/>
      </c>
    </row>
    <row r="8">
      <c r="A8" s="4" t="inlineStr">
        <is>
          <t>ETF Cumulative returns</t>
        </is>
      </c>
    </row>
    <row r="9">
      <c r="A9" s="4" t="inlineStr">
        <is>
          <t>Timeframe</t>
        </is>
      </c>
      <c r="B9" s="4" t="inlineStr">
        <is>
          <t>ETF Return (USD) %</t>
        </is>
      </c>
      <c r="C9" s="4">
        <f>IF($B$5&lt;&gt;"USD","ETF Return (" &amp; $B$5 &amp; ") %","")</f>
        <v/>
      </c>
      <c r="D9" s="4" t="inlineStr">
        <is>
          <t>Start Date</t>
        </is>
      </c>
    </row>
    <row r="10">
      <c r="A10" t="inlineStr">
        <is>
          <t>YTD</t>
        </is>
      </c>
      <c r="B10" s="5">
        <f>IFERROR(INDEX(ETF_Timeframes!$H:$H, MATCH($B$2&amp;"|"&amp;$B$3&amp;"|"&amp;$A10, ETF_Timeframes!$I:$I, 0)), "")</f>
        <v/>
      </c>
      <c r="C10" s="5">
        <f>IF($B$5&lt;&gt;"USD", IFERROR(INDEX(ETF_Timeframes!$G:$G, MATCH($B$2&amp;"|"&amp;$B$3&amp;"|"&amp;$A10, ETF_Timeframes!$I:$I, 0)), ""), "")</f>
        <v/>
      </c>
      <c r="D10" s="8">
        <f>IFERROR(INDEX(ETF_Timeframes!$E:$E, MATCH($B$2&amp;"|"&amp;$B$3&amp;"|"&amp;$A10, ETF_Timeframes!$I:$I, 0)),"")</f>
        <v/>
      </c>
    </row>
    <row r="11">
      <c r="A11" t="inlineStr">
        <is>
          <t>1 Month</t>
        </is>
      </c>
      <c r="B11" s="5">
        <f>IFERROR(INDEX(ETF_Timeframes!$H:$H, MATCH($B$2&amp;"|"&amp;$B$3&amp;"|"&amp;$A11, ETF_Timeframes!$I:$I, 0)), "")</f>
        <v/>
      </c>
      <c r="C11" s="5">
        <f>IF($B$5&lt;&gt;"USD", IFERROR(INDEX(ETF_Timeframes!$G:$G, MATCH($B$2&amp;"|"&amp;$B$3&amp;"|"&amp;$A11, ETF_Timeframes!$I:$I, 0)), ""), "")</f>
        <v/>
      </c>
      <c r="D11" s="8">
        <f>IFERROR(INDEX(ETF_Timeframes!$E:$E, MATCH($B$2&amp;"|"&amp;$B$3&amp;"|"&amp;$A11, ETF_Timeframes!$I:$I, 0)),"")</f>
        <v/>
      </c>
    </row>
    <row r="12">
      <c r="A12" t="inlineStr">
        <is>
          <t>3 Months</t>
        </is>
      </c>
      <c r="B12" s="5">
        <f>IFERROR(INDEX(ETF_Timeframes!$H:$H, MATCH($B$2&amp;"|"&amp;$B$3&amp;"|"&amp;$A12, ETF_Timeframes!$I:$I, 0)), "")</f>
        <v/>
      </c>
      <c r="C12" s="5">
        <f>IF($B$5&lt;&gt;"USD", IFERROR(INDEX(ETF_Timeframes!$G:$G, MATCH($B$2&amp;"|"&amp;$B$3&amp;"|"&amp;$A12, ETF_Timeframes!$I:$I, 0)), ""), "")</f>
        <v/>
      </c>
      <c r="D12" s="8">
        <f>IFERROR(INDEX(ETF_Timeframes!$E:$E, MATCH($B$2&amp;"|"&amp;$B$3&amp;"|"&amp;$A12, ETF_Timeframes!$I:$I, 0)),"")</f>
        <v/>
      </c>
    </row>
    <row r="13">
      <c r="A13" t="inlineStr">
        <is>
          <t>6 Months</t>
        </is>
      </c>
      <c r="B13" s="5">
        <f>IFERROR(INDEX(ETF_Timeframes!$H:$H, MATCH($B$2&amp;"|"&amp;$B$3&amp;"|"&amp;$A13, ETF_Timeframes!$I:$I, 0)), "")</f>
        <v/>
      </c>
      <c r="C13" s="5">
        <f>IF($B$5&lt;&gt;"USD", IFERROR(INDEX(ETF_Timeframes!$G:$G, MATCH($B$2&amp;"|"&amp;$B$3&amp;"|"&amp;$A13, ETF_Timeframes!$I:$I, 0)), ""), "")</f>
        <v/>
      </c>
      <c r="D13" s="8">
        <f>IFERROR(INDEX(ETF_Timeframes!$E:$E, MATCH($B$2&amp;"|"&amp;$B$3&amp;"|"&amp;$A13, ETF_Timeframes!$I:$I, 0)),"")</f>
        <v/>
      </c>
    </row>
    <row r="14">
      <c r="A14" t="inlineStr">
        <is>
          <t>1 Year</t>
        </is>
      </c>
      <c r="B14" s="5">
        <f>IFERROR(INDEX(ETF_Timeframes!$H:$H, MATCH($B$2&amp;"|"&amp;$B$3&amp;"|"&amp;$A14, ETF_Timeframes!$I:$I, 0)), "")</f>
        <v/>
      </c>
      <c r="C14" s="5">
        <f>IF($B$5&lt;&gt;"USD", IFERROR(INDEX(ETF_Timeframes!$G:$G, MATCH($B$2&amp;"|"&amp;$B$3&amp;"|"&amp;$A14, ETF_Timeframes!$I:$I, 0)), ""), "")</f>
        <v/>
      </c>
      <c r="D14" s="8">
        <f>IFERROR(INDEX(ETF_Timeframes!$E:$E, MATCH($B$2&amp;"|"&amp;$B$3&amp;"|"&amp;$A14, ETF_Timeframes!$I:$I, 0)),"")</f>
        <v/>
      </c>
    </row>
    <row r="15">
      <c r="A15" t="inlineStr">
        <is>
          <t>3 Years</t>
        </is>
      </c>
      <c r="B15" s="5">
        <f>IFERROR(INDEX(ETF_Timeframes!$H:$H, MATCH($B$2&amp;"|"&amp;$B$3&amp;"|"&amp;$A15, ETF_Timeframes!$I:$I, 0)), "")</f>
        <v/>
      </c>
      <c r="C15" s="5">
        <f>IF($B$5&lt;&gt;"USD", IFERROR(INDEX(ETF_Timeframes!$G:$G, MATCH($B$2&amp;"|"&amp;$B$3&amp;"|"&amp;$A15, ETF_Timeframes!$I:$I, 0)), ""), "")</f>
        <v/>
      </c>
      <c r="D15" s="8">
        <f>IFERROR(INDEX(ETF_Timeframes!$E:$E, MATCH($B$2&amp;"|"&amp;$B$3&amp;"|"&amp;$A15, ETF_Timeframes!$I:$I, 0)),"")</f>
        <v/>
      </c>
    </row>
    <row r="16">
      <c r="A16" t="inlineStr">
        <is>
          <t>5 Years</t>
        </is>
      </c>
      <c r="B16" s="5">
        <f>IFERROR(INDEX(ETF_Timeframes!$H:$H, MATCH($B$2&amp;"|"&amp;$B$3&amp;"|"&amp;$A16, ETF_Timeframes!$I:$I, 0)), "")</f>
        <v/>
      </c>
      <c r="C16" s="5">
        <f>IF($B$5&lt;&gt;"USD", IFERROR(INDEX(ETF_Timeframes!$G:$G, MATCH($B$2&amp;"|"&amp;$B$3&amp;"|"&amp;$A16, ETF_Timeframes!$I:$I, 0)), ""), "")</f>
        <v/>
      </c>
      <c r="D16" s="8">
        <f>IFERROR(INDEX(ETF_Timeframes!$E:$E, MATCH($B$2&amp;"|"&amp;$B$3&amp;"|"&amp;$A16, ETF_Timeframes!$I:$I, 0)),"")</f>
        <v/>
      </c>
    </row>
    <row r="17">
      <c r="A17" t="inlineStr">
        <is>
          <t>10 Years</t>
        </is>
      </c>
      <c r="B17" s="5">
        <f>IFERROR(INDEX(ETF_Timeframes!$H:$H, MATCH($B$2&amp;"|"&amp;$B$3&amp;"|"&amp;$A17, ETF_Timeframes!$I:$I, 0)), "")</f>
        <v/>
      </c>
      <c r="C17" s="5">
        <f>IF($B$5&lt;&gt;"USD", IFERROR(INDEX(ETF_Timeframes!$G:$G, MATCH($B$2&amp;"|"&amp;$B$3&amp;"|"&amp;$A17, ETF_Timeframes!$I:$I, 0)), ""), "")</f>
        <v/>
      </c>
      <c r="D17" s="8">
        <f>IFERROR(INDEX(ETF_Timeframes!$E:$E, MATCH($B$2&amp;"|"&amp;$B$3&amp;"|"&amp;$A17, ETF_Timeframes!$I:$I, 0)),"")</f>
        <v/>
      </c>
    </row>
    <row r="18">
      <c r="A18" t="inlineStr">
        <is>
          <t>MAX</t>
        </is>
      </c>
      <c r="B18" s="5">
        <f>IFERROR(INDEX(ETF_Timeframes!$H:$H, MATCH($B$2&amp;"|"&amp;$B$3&amp;"|"&amp;$A18, ETF_Timeframes!$I:$I, 0)), "")</f>
        <v/>
      </c>
      <c r="C18" s="5">
        <f>IF($B$5&lt;&gt;"USD", IFERROR(INDEX(ETF_Timeframes!$G:$G, MATCH($B$2&amp;"|"&amp;$B$3&amp;"|"&amp;$A18, ETF_Timeframes!$I:$I, 0)), ""), "")</f>
        <v/>
      </c>
      <c r="D18" s="8">
        <f>IFERROR(INDEX(ETF_Timeframes!$E:$E, MATCH($B$2&amp;"|"&amp;$B$3&amp;"|"&amp;$A18, ETF_Timeframes!$I:$I, 0)),"")</f>
        <v/>
      </c>
    </row>
    <row r="22">
      <c r="A22" s="4" t="inlineStr">
        <is>
          <t>Annual ETF vs GDP + FX Decomposition (Last 10 Years, %)</t>
        </is>
      </c>
    </row>
    <row r="23">
      <c r="A23" s="4" t="inlineStr">
        <is>
          <t>Year</t>
        </is>
      </c>
      <c r="B23" s="4" t="inlineStr">
        <is>
          <t>Nominal GDP Growth (USD) %</t>
        </is>
      </c>
      <c r="C23" s="4" t="inlineStr">
        <is>
          <t>ETF Return (USD) %</t>
        </is>
      </c>
      <c r="D23" s="4" t="inlineStr">
        <is>
          <t>Macro Disconnect %</t>
        </is>
      </c>
      <c r="E23" s="4" t="inlineStr"/>
      <c r="F23" s="4" t="inlineStr">
        <is>
          <t>Real GDP Growth %</t>
        </is>
      </c>
      <c r="G23" s="4" t="inlineStr">
        <is>
          <t>Nominal GDP Growth (LCU) %</t>
        </is>
      </c>
      <c r="H23" s="4">
        <f>IF($B$5&lt;&gt;"USD","ETF Return (" &amp; $B$5 &amp; ") %","")</f>
        <v/>
      </c>
      <c r="I23" s="4">
        <f>IF($B$5&lt;&gt;"USD","FX Change (vs USD) %","")</f>
        <v/>
      </c>
      <c r="J23" s="4" t="inlineStr">
        <is>
          <t>WEO LCU Return vs USD %</t>
        </is>
      </c>
      <c r="K23" s="4">
        <f>IF($B$5&lt;&gt;"USD","Jan 1st FX Change %","")</f>
        <v/>
      </c>
    </row>
    <row r="24">
      <c r="A24" t="n">
        <v>2016</v>
      </c>
      <c r="B24" s="5">
        <f>IFERROR(1*INDEX(Annual!$H:$H, MATCH($B$2&amp;"|"&amp;$A24, Annual!$K:$K, 0)), NA())</f>
        <v/>
      </c>
      <c r="C24" s="5">
        <f>IFERROR(1*INDEX(Annual!$P:$P, MATCH($B$2&amp;"|"&amp;$B$3&amp;"|"&amp;$A24, Annual!$J:$J, 0)), NA())</f>
        <v/>
      </c>
      <c r="D24" s="5">
        <f>IF(AND(ISNUMBER(B24),ISNUMBER(C24),C24&lt;&gt;0),B24-C24,NA())</f>
        <v/>
      </c>
      <c r="E24" t="inlineStr"/>
      <c r="F24" s="5">
        <f>IFERROR(1*INDEX(Annual!$F:$F, MATCH($B$2&amp;"|"&amp;$A24, Annual!$K:$K, 0)), NA())</f>
        <v/>
      </c>
      <c r="G24" s="5">
        <f>IFERROR(1*INDEX(Annual!$G:$G, MATCH($B$2&amp;"|"&amp;$A24, Annual!$K:$K, 0)), NA())</f>
        <v/>
      </c>
      <c r="H24" s="5">
        <f>IF($B$5&lt;&gt;"USD",IFERROR(1*INDEX(Annual!$E:$E, MATCH($B$2&amp;"|"&amp;$B$3&amp;"|"&amp;$A24, Annual!$J:$J, 0)), NA()),"")</f>
        <v/>
      </c>
      <c r="I24" s="5">
        <f>IF($B$5&lt;&gt;"USD",IFERROR(1*INDEX(Annual!$N:$N, MATCH($B$2&amp;"|"&amp;$B$3&amp;"|"&amp;$A24, Annual!$J:$J, 0)), NA()),"")</f>
        <v/>
      </c>
      <c r="J24" s="5">
        <f>IFERROR(1*INDEX(Annual!$Q:$Q, MATCH($B$2&amp;"|"&amp;$A24, Annual!$K:$K, 0)), NA())</f>
        <v/>
      </c>
      <c r="K24">
        <f>IF($B$5&lt;&gt;"USD",IFERROR(1*INDEX(Annual!$O:$O, MATCH($B$2&amp;"|"&amp;$B$3&amp;"|"&amp;$A24, Annual!$J:$J, 0)), NA()),"")</f>
        <v/>
      </c>
    </row>
    <row r="25">
      <c r="A25" t="n">
        <v>2017</v>
      </c>
      <c r="B25" s="5">
        <f>IFERROR(1*INDEX(Annual!$H:$H, MATCH($B$2&amp;"|"&amp;$A25, Annual!$K:$K, 0)), NA())</f>
        <v/>
      </c>
      <c r="C25" s="5">
        <f>IFERROR(1*INDEX(Annual!$P:$P, MATCH($B$2&amp;"|"&amp;$B$3&amp;"|"&amp;$A25, Annual!$J:$J, 0)), NA())</f>
        <v/>
      </c>
      <c r="D25" s="5">
        <f>IF(AND(ISNUMBER(B25),ISNUMBER(C25),C25&lt;&gt;0),B25-C25,NA())</f>
        <v/>
      </c>
      <c r="E25" t="inlineStr"/>
      <c r="F25" s="5">
        <f>IFERROR(1*INDEX(Annual!$F:$F, MATCH($B$2&amp;"|"&amp;$A25, Annual!$K:$K, 0)), NA())</f>
        <v/>
      </c>
      <c r="G25" s="5">
        <f>IFERROR(1*INDEX(Annual!$G:$G, MATCH($B$2&amp;"|"&amp;$A25, Annual!$K:$K, 0)), NA())</f>
        <v/>
      </c>
      <c r="H25" s="5">
        <f>IF($B$5&lt;&gt;"USD",IFERROR(1*INDEX(Annual!$E:$E, MATCH($B$2&amp;"|"&amp;$B$3&amp;"|"&amp;$A25, Annual!$J:$J, 0)), NA()),"")</f>
        <v/>
      </c>
      <c r="I25" s="5">
        <f>IF($B$5&lt;&gt;"USD",IFERROR(1*INDEX(Annual!$N:$N, MATCH($B$2&amp;"|"&amp;$B$3&amp;"|"&amp;$A25, Annual!$J:$J, 0)), NA()),"")</f>
        <v/>
      </c>
      <c r="J25" s="5">
        <f>IFERROR(1*INDEX(Annual!$Q:$Q, MATCH($B$2&amp;"|"&amp;$A25, Annual!$K:$K, 0)), NA())</f>
        <v/>
      </c>
      <c r="K25">
        <f>IF($B$5&lt;&gt;"USD",IFERROR(1*INDEX(Annual!$O:$O, MATCH($B$2&amp;"|"&amp;$B$3&amp;"|"&amp;$A25, Annual!$J:$J, 0)), NA()),"")</f>
        <v/>
      </c>
    </row>
    <row r="26">
      <c r="A26" t="n">
        <v>2018</v>
      </c>
      <c r="B26" s="5">
        <f>IFERROR(1*INDEX(Annual!$H:$H, MATCH($B$2&amp;"|"&amp;$A26, Annual!$K:$K, 0)), NA())</f>
        <v/>
      </c>
      <c r="C26" s="5">
        <f>IFERROR(1*INDEX(Annual!$P:$P, MATCH($B$2&amp;"|"&amp;$B$3&amp;"|"&amp;$A26, Annual!$J:$J, 0)), NA())</f>
        <v/>
      </c>
      <c r="D26" s="5">
        <f>IF(AND(ISNUMBER(B26),ISNUMBER(C26),C26&lt;&gt;0),B26-C26,NA())</f>
        <v/>
      </c>
      <c r="E26" t="inlineStr"/>
      <c r="F26" s="5">
        <f>IFERROR(1*INDEX(Annual!$F:$F, MATCH($B$2&amp;"|"&amp;$A26, Annual!$K:$K, 0)), NA())</f>
        <v/>
      </c>
      <c r="G26" s="5">
        <f>IFERROR(1*INDEX(Annual!$G:$G, MATCH($B$2&amp;"|"&amp;$A26, Annual!$K:$K, 0)), NA())</f>
        <v/>
      </c>
      <c r="H26" s="5">
        <f>IF($B$5&lt;&gt;"USD",IFERROR(1*INDEX(Annual!$E:$E, MATCH($B$2&amp;"|"&amp;$B$3&amp;"|"&amp;$A26, Annual!$J:$J, 0)), NA()),"")</f>
        <v/>
      </c>
      <c r="I26" s="5">
        <f>IF($B$5&lt;&gt;"USD",IFERROR(1*INDEX(Annual!$N:$N, MATCH($B$2&amp;"|"&amp;$B$3&amp;"|"&amp;$A26, Annual!$J:$J, 0)), NA()),"")</f>
        <v/>
      </c>
      <c r="J26" s="5">
        <f>IFERROR(1*INDEX(Annual!$Q:$Q, MATCH($B$2&amp;"|"&amp;$A26, Annual!$K:$K, 0)), NA())</f>
        <v/>
      </c>
      <c r="K26">
        <f>IF($B$5&lt;&gt;"USD",IFERROR(1*INDEX(Annual!$O:$O, MATCH($B$2&amp;"|"&amp;$B$3&amp;"|"&amp;$A26, Annual!$J:$J, 0)), NA()),"")</f>
        <v/>
      </c>
    </row>
    <row r="27">
      <c r="A27" t="n">
        <v>2019</v>
      </c>
      <c r="B27" s="5">
        <f>IFERROR(1*INDEX(Annual!$H:$H, MATCH($B$2&amp;"|"&amp;$A27, Annual!$K:$K, 0)), NA())</f>
        <v/>
      </c>
      <c r="C27" s="5">
        <f>IFERROR(1*INDEX(Annual!$P:$P, MATCH($B$2&amp;"|"&amp;$B$3&amp;"|"&amp;$A27, Annual!$J:$J, 0)), NA())</f>
        <v/>
      </c>
      <c r="D27" s="5">
        <f>IF(AND(ISNUMBER(B27),ISNUMBER(C27),C27&lt;&gt;0),B27-C27,NA())</f>
        <v/>
      </c>
      <c r="E27" t="inlineStr"/>
      <c r="F27" s="5">
        <f>IFERROR(1*INDEX(Annual!$F:$F, MATCH($B$2&amp;"|"&amp;$A27, Annual!$K:$K, 0)), NA())</f>
        <v/>
      </c>
      <c r="G27" s="5">
        <f>IFERROR(1*INDEX(Annual!$G:$G, MATCH($B$2&amp;"|"&amp;$A27, Annual!$K:$K, 0)), NA())</f>
        <v/>
      </c>
      <c r="H27" s="5">
        <f>IF($B$5&lt;&gt;"USD",IFERROR(1*INDEX(Annual!$E:$E, MATCH($B$2&amp;"|"&amp;$B$3&amp;"|"&amp;$A27, Annual!$J:$J, 0)), NA()),"")</f>
        <v/>
      </c>
      <c r="I27" s="5">
        <f>IF($B$5&lt;&gt;"USD",IFERROR(1*INDEX(Annual!$N:$N, MATCH($B$2&amp;"|"&amp;$B$3&amp;"|"&amp;$A27, Annual!$J:$J, 0)), NA()),"")</f>
        <v/>
      </c>
      <c r="J27" s="5">
        <f>IFERROR(1*INDEX(Annual!$Q:$Q, MATCH($B$2&amp;"|"&amp;$A27, Annual!$K:$K, 0)), NA())</f>
        <v/>
      </c>
      <c r="K27">
        <f>IF($B$5&lt;&gt;"USD",IFERROR(1*INDEX(Annual!$O:$O, MATCH($B$2&amp;"|"&amp;$B$3&amp;"|"&amp;$A27, Annual!$J:$J, 0)), NA()),"")</f>
        <v/>
      </c>
    </row>
    <row r="28">
      <c r="A28" t="n">
        <v>2020</v>
      </c>
      <c r="B28" s="5">
        <f>IFERROR(1*INDEX(Annual!$H:$H, MATCH($B$2&amp;"|"&amp;$A28, Annual!$K:$K, 0)), NA())</f>
        <v/>
      </c>
      <c r="C28" s="5">
        <f>IFERROR(1*INDEX(Annual!$P:$P, MATCH($B$2&amp;"|"&amp;$B$3&amp;"|"&amp;$A28, Annual!$J:$J, 0)), NA())</f>
        <v/>
      </c>
      <c r="D28" s="5">
        <f>IF(AND(ISNUMBER(B28),ISNUMBER(C28),C28&lt;&gt;0),B28-C28,NA())</f>
        <v/>
      </c>
      <c r="E28" t="inlineStr"/>
      <c r="F28" s="5">
        <f>IFERROR(1*INDEX(Annual!$F:$F, MATCH($B$2&amp;"|"&amp;$A28, Annual!$K:$K, 0)), NA())</f>
        <v/>
      </c>
      <c r="G28" s="5">
        <f>IFERROR(1*INDEX(Annual!$G:$G, MATCH($B$2&amp;"|"&amp;$A28, Annual!$K:$K, 0)), NA())</f>
        <v/>
      </c>
      <c r="H28" s="5">
        <f>IF($B$5&lt;&gt;"USD",IFERROR(1*INDEX(Annual!$E:$E, MATCH($B$2&amp;"|"&amp;$B$3&amp;"|"&amp;$A28, Annual!$J:$J, 0)), NA()),"")</f>
        <v/>
      </c>
      <c r="I28" s="5">
        <f>IF($B$5&lt;&gt;"USD",IFERROR(1*INDEX(Annual!$N:$N, MATCH($B$2&amp;"|"&amp;$B$3&amp;"|"&amp;$A28, Annual!$J:$J, 0)), NA()),"")</f>
        <v/>
      </c>
      <c r="J28" s="5">
        <f>IFERROR(1*INDEX(Annual!$Q:$Q, MATCH($B$2&amp;"|"&amp;$A28, Annual!$K:$K, 0)), NA())</f>
        <v/>
      </c>
      <c r="K28">
        <f>IF($B$5&lt;&gt;"USD",IFERROR(1*INDEX(Annual!$O:$O, MATCH($B$2&amp;"|"&amp;$B$3&amp;"|"&amp;$A28, Annual!$J:$J, 0)), NA()),"")</f>
        <v/>
      </c>
    </row>
    <row r="29">
      <c r="A29" t="n">
        <v>2021</v>
      </c>
      <c r="B29" s="5">
        <f>IFERROR(1*INDEX(Annual!$H:$H, MATCH($B$2&amp;"|"&amp;$A29, Annual!$K:$K, 0)), NA())</f>
        <v/>
      </c>
      <c r="C29" s="5">
        <f>IFERROR(1*INDEX(Annual!$P:$P, MATCH($B$2&amp;"|"&amp;$B$3&amp;"|"&amp;$A29, Annual!$J:$J, 0)), NA())</f>
        <v/>
      </c>
      <c r="D29" s="5">
        <f>IF(AND(ISNUMBER(B29),ISNUMBER(C29),C29&lt;&gt;0),B29-C29,NA())</f>
        <v/>
      </c>
      <c r="E29" t="inlineStr"/>
      <c r="F29" s="5">
        <f>IFERROR(1*INDEX(Annual!$F:$F, MATCH($B$2&amp;"|"&amp;$A29, Annual!$K:$K, 0)), NA())</f>
        <v/>
      </c>
      <c r="G29" s="5">
        <f>IFERROR(1*INDEX(Annual!$G:$G, MATCH($B$2&amp;"|"&amp;$A29, Annual!$K:$K, 0)), NA())</f>
        <v/>
      </c>
      <c r="H29" s="5">
        <f>IF($B$5&lt;&gt;"USD",IFERROR(1*INDEX(Annual!$E:$E, MATCH($B$2&amp;"|"&amp;$B$3&amp;"|"&amp;$A29, Annual!$J:$J, 0)), NA()),"")</f>
        <v/>
      </c>
      <c r="I29" s="5">
        <f>IF($B$5&lt;&gt;"USD",IFERROR(1*INDEX(Annual!$N:$N, MATCH($B$2&amp;"|"&amp;$B$3&amp;"|"&amp;$A29, Annual!$J:$J, 0)), NA()),"")</f>
        <v/>
      </c>
      <c r="J29" s="5">
        <f>IFERROR(1*INDEX(Annual!$Q:$Q, MATCH($B$2&amp;"|"&amp;$A29, Annual!$K:$K, 0)), NA())</f>
        <v/>
      </c>
      <c r="K29">
        <f>IF($B$5&lt;&gt;"USD",IFERROR(1*INDEX(Annual!$O:$O, MATCH($B$2&amp;"|"&amp;$B$3&amp;"|"&amp;$A29, Annual!$J:$J, 0)), NA()),"")</f>
        <v/>
      </c>
    </row>
    <row r="30">
      <c r="A30" t="n">
        <v>2022</v>
      </c>
      <c r="B30" s="5">
        <f>IFERROR(1*INDEX(Annual!$H:$H, MATCH($B$2&amp;"|"&amp;$A30, Annual!$K:$K, 0)), NA())</f>
        <v/>
      </c>
      <c r="C30" s="5">
        <f>IFERROR(1*INDEX(Annual!$P:$P, MATCH($B$2&amp;"|"&amp;$B$3&amp;"|"&amp;$A30, Annual!$J:$J, 0)), NA())</f>
        <v/>
      </c>
      <c r="D30" s="5">
        <f>IF(AND(ISNUMBER(B30),ISNUMBER(C30),C30&lt;&gt;0),B30-C30,NA())</f>
        <v/>
      </c>
      <c r="E30" t="inlineStr"/>
      <c r="F30" s="5">
        <f>IFERROR(1*INDEX(Annual!$F:$F, MATCH($B$2&amp;"|"&amp;$A30, Annual!$K:$K, 0)), NA())</f>
        <v/>
      </c>
      <c r="G30" s="5">
        <f>IFERROR(1*INDEX(Annual!$G:$G, MATCH($B$2&amp;"|"&amp;$A30, Annual!$K:$K, 0)), NA())</f>
        <v/>
      </c>
      <c r="H30" s="5">
        <f>IF($B$5&lt;&gt;"USD",IFERROR(1*INDEX(Annual!$E:$E, MATCH($B$2&amp;"|"&amp;$B$3&amp;"|"&amp;$A30, Annual!$J:$J, 0)), NA()),"")</f>
        <v/>
      </c>
      <c r="I30" s="5">
        <f>IF($B$5&lt;&gt;"USD",IFERROR(1*INDEX(Annual!$N:$N, MATCH($B$2&amp;"|"&amp;$B$3&amp;"|"&amp;$A30, Annual!$J:$J, 0)), NA()),"")</f>
        <v/>
      </c>
      <c r="J30" s="5">
        <f>IFERROR(1*INDEX(Annual!$Q:$Q, MATCH($B$2&amp;"|"&amp;$A30, Annual!$K:$K, 0)), NA())</f>
        <v/>
      </c>
      <c r="K30">
        <f>IF($B$5&lt;&gt;"USD",IFERROR(1*INDEX(Annual!$O:$O, MATCH($B$2&amp;"|"&amp;$B$3&amp;"|"&amp;$A30, Annual!$J:$J, 0)), NA()),"")</f>
        <v/>
      </c>
    </row>
    <row r="31">
      <c r="A31" t="n">
        <v>2023</v>
      </c>
      <c r="B31" s="5">
        <f>IFERROR(1*INDEX(Annual!$H:$H, MATCH($B$2&amp;"|"&amp;$A31, Annual!$K:$K, 0)), NA())</f>
        <v/>
      </c>
      <c r="C31" s="5">
        <f>IFERROR(1*INDEX(Annual!$P:$P, MATCH($B$2&amp;"|"&amp;$B$3&amp;"|"&amp;$A31, Annual!$J:$J, 0)), NA())</f>
        <v/>
      </c>
      <c r="D31" s="5">
        <f>IF(AND(ISNUMBER(B31),ISNUMBER(C31),C31&lt;&gt;0),B31-C31,NA())</f>
        <v/>
      </c>
      <c r="E31" t="inlineStr"/>
      <c r="F31" s="5">
        <f>IFERROR(1*INDEX(Annual!$F:$F, MATCH($B$2&amp;"|"&amp;$A31, Annual!$K:$K, 0)), NA())</f>
        <v/>
      </c>
      <c r="G31" s="5">
        <f>IFERROR(1*INDEX(Annual!$G:$G, MATCH($B$2&amp;"|"&amp;$A31, Annual!$K:$K, 0)), NA())</f>
        <v/>
      </c>
      <c r="H31" s="5">
        <f>IF($B$5&lt;&gt;"USD",IFERROR(1*INDEX(Annual!$E:$E, MATCH($B$2&amp;"|"&amp;$B$3&amp;"|"&amp;$A31, Annual!$J:$J, 0)), NA()),"")</f>
        <v/>
      </c>
      <c r="I31" s="5">
        <f>IF($B$5&lt;&gt;"USD",IFERROR(1*INDEX(Annual!$N:$N, MATCH($B$2&amp;"|"&amp;$B$3&amp;"|"&amp;$A31, Annual!$J:$J, 0)), NA()),"")</f>
        <v/>
      </c>
      <c r="J31" s="5">
        <f>IFERROR(1*INDEX(Annual!$Q:$Q, MATCH($B$2&amp;"|"&amp;$A31, Annual!$K:$K, 0)), NA())</f>
        <v/>
      </c>
      <c r="K31">
        <f>IF($B$5&lt;&gt;"USD",IFERROR(1*INDEX(Annual!$O:$O, MATCH($B$2&amp;"|"&amp;$B$3&amp;"|"&amp;$A31, Annual!$J:$J, 0)), NA()),"")</f>
        <v/>
      </c>
    </row>
    <row r="32">
      <c r="A32" t="n">
        <v>2024</v>
      </c>
      <c r="B32" s="5">
        <f>IFERROR(1*INDEX(Annual!$H:$H, MATCH($B$2&amp;"|"&amp;$A32, Annual!$K:$K, 0)), NA())</f>
        <v/>
      </c>
      <c r="C32" s="5">
        <f>IFERROR(1*INDEX(Annual!$P:$P, MATCH($B$2&amp;"|"&amp;$B$3&amp;"|"&amp;$A32, Annual!$J:$J, 0)), NA())</f>
        <v/>
      </c>
      <c r="D32" s="5">
        <f>IF(AND(ISNUMBER(B32),ISNUMBER(C32),C32&lt;&gt;0),B32-C32,NA())</f>
        <v/>
      </c>
      <c r="E32" t="inlineStr"/>
      <c r="F32" s="5">
        <f>IFERROR(1*INDEX(Annual!$F:$F, MATCH($B$2&amp;"|"&amp;$A32, Annual!$K:$K, 0)), NA())</f>
        <v/>
      </c>
      <c r="G32" s="5">
        <f>IFERROR(1*INDEX(Annual!$G:$G, MATCH($B$2&amp;"|"&amp;$A32, Annual!$K:$K, 0)), NA())</f>
        <v/>
      </c>
      <c r="H32" s="5">
        <f>IF($B$5&lt;&gt;"USD",IFERROR(1*INDEX(Annual!$E:$E, MATCH($B$2&amp;"|"&amp;$B$3&amp;"|"&amp;$A32, Annual!$J:$J, 0)), NA()),"")</f>
        <v/>
      </c>
      <c r="I32" s="5">
        <f>IF($B$5&lt;&gt;"USD",IFERROR(1*INDEX(Annual!$N:$N, MATCH($B$2&amp;"|"&amp;$B$3&amp;"|"&amp;$A32, Annual!$J:$J, 0)), NA()),"")</f>
        <v/>
      </c>
      <c r="J32" s="5">
        <f>IFERROR(1*INDEX(Annual!$Q:$Q, MATCH($B$2&amp;"|"&amp;$A32, Annual!$K:$K, 0)), NA())</f>
        <v/>
      </c>
      <c r="K32">
        <f>IF($B$5&lt;&gt;"USD",IFERROR(1*INDEX(Annual!$O:$O, MATCH($B$2&amp;"|"&amp;$B$3&amp;"|"&amp;$A32, Annual!$J:$J, 0)), NA()),"")</f>
        <v/>
      </c>
    </row>
    <row r="33">
      <c r="A33" t="n">
        <v>2025</v>
      </c>
      <c r="B33" s="5">
        <f>IFERROR(1*INDEX(Annual!$H:$H, MATCH($B$2&amp;"|"&amp;$A33, Annual!$K:$K, 0)), NA())</f>
        <v/>
      </c>
      <c r="C33" s="5">
        <f>IFERROR(1*INDEX(Annual!$P:$P, MATCH($B$2&amp;"|"&amp;$B$3&amp;"|"&amp;$A33, Annual!$J:$J, 0)), NA())</f>
        <v/>
      </c>
      <c r="D33" s="5">
        <f>IF(AND(ISNUMBER(B33),ISNUMBER(C33),C33&lt;&gt;0),B33-C33,NA())</f>
        <v/>
      </c>
      <c r="E33" t="inlineStr"/>
      <c r="F33" s="5">
        <f>IFERROR(1*INDEX(Annual!$F:$F, MATCH($B$2&amp;"|"&amp;$A33, Annual!$K:$K, 0)), NA())</f>
        <v/>
      </c>
      <c r="G33" s="5">
        <f>IFERROR(1*INDEX(Annual!$G:$G, MATCH($B$2&amp;"|"&amp;$A33, Annual!$K:$K, 0)), NA())</f>
        <v/>
      </c>
      <c r="H33" s="5">
        <f>IF($B$5&lt;&gt;"USD",IFERROR(1*INDEX(Annual!$E:$E, MATCH($B$2&amp;"|"&amp;$B$3&amp;"|"&amp;$A33, Annual!$J:$J, 0)), NA()),"")</f>
        <v/>
      </c>
      <c r="I33" s="5">
        <f>IF($B$5&lt;&gt;"USD",IFERROR(1*INDEX(Annual!$N:$N, MATCH($B$2&amp;"|"&amp;$B$3&amp;"|"&amp;$A33, Annual!$J:$J, 0)), NA()),"")</f>
        <v/>
      </c>
      <c r="J33" s="5">
        <f>IFERROR(1*INDEX(Annual!$Q:$Q, MATCH($B$2&amp;"|"&amp;$A33, Annual!$K:$K, 0)), NA())</f>
        <v/>
      </c>
      <c r="K33">
        <f>IF($B$5&lt;&gt;"USD",IFERROR(1*INDEX(Annual!$O:$O, MATCH($B$2&amp;"|"&amp;$B$3&amp;"|"&amp;$A33, Annual!$J:$J, 0)), NA()),"")</f>
        <v/>
      </c>
    </row>
    <row r="34">
      <c r="A34" t="inlineStr">
        <is>
          <t>2026 (Proj GDP / ETF YTD)</t>
        </is>
      </c>
      <c r="B34" s="5">
        <f>IFERROR(1*INDEX(Annual!$H:$H, MATCH($B$2&amp;"|"&amp;2026, Annual!$K:$K, 0)), NA())</f>
        <v/>
      </c>
      <c r="C34" s="5">
        <f>IFERROR(1*INDEX(ETF_Timeframes!$H:$H, MATCH($B$2&amp;"|"&amp;$B$3&amp;"|YTD", ETF_Timeframes!$I:$I, 0)), NA())</f>
        <v/>
      </c>
      <c r="D34" s="5">
        <f>IF(AND(ISNUMBER(B34),ISNUMBER(C34),C34&lt;&gt;0),B34-C34,NA())</f>
        <v/>
      </c>
      <c r="E34" t="inlineStr"/>
      <c r="F34" s="5">
        <f>IFERROR(1*INDEX(Annual!$F:$F, MATCH($B$2&amp;"|"&amp;2026, Annual!$K:$K, 0)), NA())</f>
        <v/>
      </c>
      <c r="G34" s="5">
        <f>IFERROR(1*INDEX(Annual!$G:$G, MATCH($B$2&amp;"|"&amp;2026, Annual!$K:$K, 0)), NA())</f>
        <v/>
      </c>
      <c r="H34" s="5">
        <f>IF($B$5&lt;&gt;"USD",IFERROR(1*INDEX(Annual!$E:$E, MATCH($B$2&amp;"|"&amp;$B$3&amp;"|"&amp;2026, Annual!$J:$J, 0)), NA()),"")</f>
        <v/>
      </c>
      <c r="I34" s="5">
        <f>IF($B$5&lt;&gt;"USD",IFERROR(1*INDEX(Annual!$N:$N, MATCH($B$2&amp;"|"&amp;$B$3&amp;"|"&amp;2026, Annual!$J:$J, 0)), NA()),"")</f>
        <v/>
      </c>
      <c r="J34" s="5">
        <f>IFERROR(1*INDEX(Annual!$Q:$Q, MATCH($B$2&amp;"|"&amp;2026, Annual!$K:$K, 0)), NA())</f>
        <v/>
      </c>
      <c r="K34">
        <f>IF($B$5&lt;&gt;"USD",IFERROR(1*INDEX(Annual!$O:$O, MATCH($B$2&amp;"|"&amp;$B$3&amp;"|"&amp;2026, Annual!$J:$J, 0)), NA()),"")</f>
        <v/>
      </c>
    </row>
    <row r="35">
      <c r="A35" t="inlineStr">
        <is>
          <t>* 2026 row: GDP is IMF projection; ETF is YTD return (USD).</t>
        </is>
      </c>
    </row>
    <row r="37">
      <c r="A37" s="4" t="inlineStr">
        <is>
          <t>CAGR Comparison (%)</t>
        </is>
      </c>
    </row>
    <row r="38">
      <c r="A38" s="4" t="inlineStr">
        <is>
          <t>Horizon</t>
        </is>
      </c>
      <c r="B38" s="4" t="inlineStr">
        <is>
          <t>Nominal GDP CAGR % (USD)</t>
        </is>
      </c>
      <c r="C38" s="4" t="inlineStr">
        <is>
          <t>ETF CAGR % (USD)</t>
        </is>
      </c>
      <c r="D38" s="4" t="inlineStr"/>
      <c r="E38" s="4" t="inlineStr"/>
      <c r="F38" s="4" t="inlineStr">
        <is>
          <t>Real GDP CAGR %</t>
        </is>
      </c>
      <c r="G38" s="4" t="inlineStr">
        <is>
          <t>Nominal GDP CAGR % (LCU)</t>
        </is>
      </c>
    </row>
    <row r="39">
      <c r="A39" t="inlineStr">
        <is>
          <t>3Y</t>
        </is>
      </c>
      <c r="B39" s="5">
        <f>IFERROR(1*INDEX(CAGR!$I:$I, MATCH($B$2&amp;"|"&amp;$A39, CAGR!$Q:$Q, 0)), NA())</f>
        <v/>
      </c>
      <c r="C39" s="5">
        <f>IFERROR(1*INDEX(CAGR!$F:$F, MATCH($B$2&amp;"|"&amp;$B$3&amp;"|"&amp;$A39, CAGR!$P:$P, 0)), NA())</f>
        <v/>
      </c>
      <c r="D39" t="inlineStr"/>
      <c r="E39" t="inlineStr"/>
      <c r="F39" s="5">
        <f>IFERROR(1*INDEX(CAGR!$G:$G, MATCH($B$2&amp;"|"&amp;$A39, CAGR!$Q:$Q, 0)), NA())</f>
        <v/>
      </c>
      <c r="G39" s="5">
        <f>IFERROR(1*INDEX(CAGR!$H:$H, MATCH($B$2&amp;"|"&amp;$A39, CAGR!$Q:$Q, 0)), NA())</f>
        <v/>
      </c>
    </row>
    <row r="40">
      <c r="A40" t="inlineStr">
        <is>
          <t>5Y</t>
        </is>
      </c>
      <c r="B40" s="5">
        <f>IFERROR(1*INDEX(CAGR!$I:$I, MATCH($B$2&amp;"|"&amp;$A40, CAGR!$Q:$Q, 0)), NA())</f>
        <v/>
      </c>
      <c r="C40" s="5">
        <f>IFERROR(1*INDEX(CAGR!$F:$F, MATCH($B$2&amp;"|"&amp;$B$3&amp;"|"&amp;$A40, CAGR!$P:$P, 0)), NA())</f>
        <v/>
      </c>
      <c r="D40" t="inlineStr"/>
      <c r="E40" t="inlineStr"/>
      <c r="F40" s="5">
        <f>IFERROR(1*INDEX(CAGR!$G:$G, MATCH($B$2&amp;"|"&amp;$A40, CAGR!$Q:$Q, 0)), NA())</f>
        <v/>
      </c>
      <c r="G40" s="5">
        <f>IFERROR(1*INDEX(CAGR!$H:$H, MATCH($B$2&amp;"|"&amp;$A40, CAGR!$Q:$Q, 0)), NA())</f>
        <v/>
      </c>
    </row>
    <row r="41">
      <c r="A41" t="inlineStr">
        <is>
          <t>10Y</t>
        </is>
      </c>
      <c r="B41">
        <f>IFERROR(1*INDEX(CAGR!$I:$I, MATCH($B$2&amp;"|"&amp;$A41, CAGR!$Q:$Q, 0)), NA())</f>
        <v/>
      </c>
      <c r="C41">
        <f>IFERROR(1*INDEX(CAGR!$F:$F, MATCH($B$2&amp;"|"&amp;$B$3&amp;"|"&amp;$A41, CAGR!$P:$P, 0)), NA())</f>
        <v/>
      </c>
      <c r="D41" t="inlineStr"/>
      <c r="E41" t="inlineStr"/>
      <c r="F41">
        <f>IFERROR(1*INDEX(CAGR!$G:$G, MATCH($B$2&amp;"|"&amp;$A41, CAGR!$Q:$Q, 0)), NA())</f>
        <v/>
      </c>
      <c r="G41">
        <f>IFERROR(1*INDEX(CAGR!$H:$H, MATCH($B$2&amp;"|"&amp;$A41, CAGR!$Q:$Q, 0)), NA())</f>
        <v/>
      </c>
    </row>
  </sheetData>
  <dataValidations count="2">
    <dataValidation sqref="B2" showDropDown="0" showInputMessage="0" showErrorMessage="0" allowBlank="0" type="list">
      <formula1>=Lists!$A$2:$A$34</formula1>
    </dataValidation>
    <dataValidation sqref="B3" showDropDown="0" showInputMessage="0" showErrorMessage="0" allowBlank="0" type="list">
      <formula1>=OFFSET(Lists!$H$2,IFERROR(MATCH($B$2,Lists!$F$2:$F$42,0)-1,0),0,COUNTIF(Lists!$F$2:$F$42,$B$2),1)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1">
      <c r="A1" s="4" t="inlineStr">
        <is>
          <t>Country</t>
        </is>
      </c>
      <c r="B1" s="4" t="inlineStr">
        <is>
          <t>1Y</t>
        </is>
      </c>
      <c r="C1" s="4" t="inlineStr">
        <is>
          <t>3Y</t>
        </is>
      </c>
      <c r="D1" s="4" t="inlineStr">
        <is>
          <t>5Y</t>
        </is>
      </c>
      <c r="E1" s="4" t="inlineStr">
        <is>
          <t>10Y</t>
        </is>
      </c>
      <c r="F1" s="4" t="inlineStr">
        <is>
          <t>Factsheet Link</t>
        </is>
      </c>
    </row>
    <row r="2">
      <c r="A2" t="inlineStr">
        <is>
          <t>United States</t>
        </is>
      </c>
      <c r="B2" t="n">
        <v>0.1657</v>
      </c>
      <c r="C2" t="n">
        <v>0.2179</v>
      </c>
      <c r="D2" t="n">
        <v>0.1358</v>
      </c>
      <c r="E2" t="n">
        <v>0.1549</v>
      </c>
    </row>
    <row r="3">
      <c r="A3" t="inlineStr">
        <is>
          <t>Japan</t>
        </is>
      </c>
      <c r="B3" t="n">
        <v>0.4447</v>
      </c>
      <c r="C3" t="n">
        <v>0.2298</v>
      </c>
      <c r="D3" t="n">
        <v>0.1005</v>
      </c>
      <c r="E3" t="n">
        <v>0.1085</v>
      </c>
    </row>
    <row r="4">
      <c r="A4" t="inlineStr">
        <is>
          <t>United Kingdom</t>
        </is>
      </c>
      <c r="B4" t="n">
        <v>0.3711</v>
      </c>
      <c r="C4" t="n">
        <v>0.1974</v>
      </c>
      <c r="D4" t="n">
        <v>0.1488</v>
      </c>
      <c r="E4" t="n">
        <v>0.0973</v>
      </c>
    </row>
    <row r="5">
      <c r="A5" t="inlineStr">
        <is>
          <t>Canada</t>
        </is>
      </c>
      <c r="B5" t="n">
        <v>0.4297</v>
      </c>
      <c r="C5" t="n">
        <v>0.2289</v>
      </c>
      <c r="D5" t="n">
        <v>0.1561</v>
      </c>
      <c r="E5" t="n">
        <v>0.1354</v>
      </c>
    </row>
    <row r="6">
      <c r="A6" t="inlineStr">
        <is>
          <t>China</t>
        </is>
      </c>
      <c r="B6" t="n">
        <v>0.1493</v>
      </c>
      <c r="C6" t="n">
        <v>0.1128</v>
      </c>
      <c r="D6" t="n">
        <v>-0.0446</v>
      </c>
      <c r="E6" t="n">
        <v>0.07290000000000001</v>
      </c>
    </row>
    <row r="7">
      <c r="A7" t="inlineStr">
        <is>
          <t>Taiwan</t>
        </is>
      </c>
      <c r="B7" t="n">
        <v>0.7742</v>
      </c>
      <c r="C7" t="n">
        <v>0.4079</v>
      </c>
      <c r="D7" t="n">
        <v>0.2019</v>
      </c>
      <c r="E7" t="n">
        <v>0.2275</v>
      </c>
    </row>
    <row r="8">
      <c r="A8" t="inlineStr">
        <is>
          <t>France</t>
        </is>
      </c>
      <c r="B8" t="n">
        <v>0.2481</v>
      </c>
      <c r="C8" t="n">
        <v>0.1307</v>
      </c>
      <c r="D8" t="n">
        <v>0.1071</v>
      </c>
      <c r="E8" t="n">
        <v>0.112</v>
      </c>
    </row>
    <row r="9">
      <c r="A9" t="inlineStr">
        <is>
          <t>Switzerland</t>
        </is>
      </c>
      <c r="B9" t="n">
        <v>0.3089</v>
      </c>
      <c r="C9" t="n">
        <v>0.1823</v>
      </c>
      <c r="D9" t="n">
        <v>0.1192</v>
      </c>
      <c r="E9" t="n">
        <v>0.1174</v>
      </c>
    </row>
    <row r="10">
      <c r="A10" t="inlineStr">
        <is>
          <t>South Korea</t>
        </is>
      </c>
      <c r="B10" t="n">
        <v>1.9602</v>
      </c>
      <c r="C10" t="n">
        <v>0.4187</v>
      </c>
      <c r="D10" t="n">
        <v>0.1397</v>
      </c>
      <c r="E10" t="n">
        <v>0.1615</v>
      </c>
    </row>
    <row r="11">
      <c r="A11" t="inlineStr">
        <is>
          <t>Germany</t>
        </is>
      </c>
      <c r="B11" t="n">
        <v>0.2607</v>
      </c>
      <c r="C11" t="n">
        <v>0.2138</v>
      </c>
      <c r="D11" t="n">
        <v>0.1033</v>
      </c>
      <c r="E11" t="n">
        <v>0.1014</v>
      </c>
    </row>
    <row r="12">
      <c r="A12" t="inlineStr">
        <is>
          <t>India</t>
        </is>
      </c>
      <c r="B12" t="n">
        <v>0.1314</v>
      </c>
      <c r="C12" t="n">
        <v>0.1391</v>
      </c>
      <c r="D12" t="n">
        <v>0.093</v>
      </c>
      <c r="E12" t="n">
        <v>0.1139</v>
      </c>
    </row>
    <row r="13">
      <c r="A13" t="inlineStr">
        <is>
          <t>Australia</t>
        </is>
      </c>
      <c r="B13" t="n">
        <v>0.3095</v>
      </c>
      <c r="C13" t="n">
        <v>0.1407</v>
      </c>
      <c r="D13" t="n">
        <v>0.0921</v>
      </c>
      <c r="E13" t="n">
        <v>0.1082</v>
      </c>
    </row>
    <row r="14">
      <c r="A14" t="inlineStr">
        <is>
          <t>Netherlands</t>
        </is>
      </c>
      <c r="B14" t="n">
        <v>0.5097</v>
      </c>
      <c r="C14" t="n">
        <v>0.2232</v>
      </c>
      <c r="D14" t="n">
        <v>0.1212</v>
      </c>
      <c r="E14" t="n">
        <v>0.1477</v>
      </c>
    </row>
    <row r="15">
      <c r="A15" t="inlineStr">
        <is>
          <t>Spain</t>
        </is>
      </c>
      <c r="B15" t="n">
        <v>0.6453</v>
      </c>
      <c r="C15" t="n">
        <v>0.3581</v>
      </c>
      <c r="D15" t="n">
        <v>0.2197</v>
      </c>
      <c r="E15" t="n">
        <v>0.134</v>
      </c>
    </row>
    <row r="16">
      <c r="A16" t="inlineStr">
        <is>
          <t>Sweden</t>
        </is>
      </c>
      <c r="B16" t="n">
        <v>0.3181</v>
      </c>
      <c r="C16" t="n">
        <v>0.1917</v>
      </c>
      <c r="D16" t="n">
        <v>0.09569999999999999</v>
      </c>
      <c r="E16" t="n">
        <v>0.1143</v>
      </c>
    </row>
    <row r="17">
      <c r="A17" t="inlineStr">
        <is>
          <t>Italy</t>
        </is>
      </c>
      <c r="B17" t="n">
        <v>0.4556</v>
      </c>
      <c r="C17" t="n">
        <v>0.3179</v>
      </c>
      <c r="D17" t="n">
        <v>0.2087</v>
      </c>
      <c r="E17" t="n">
        <v>0.1517</v>
      </c>
    </row>
    <row r="18">
      <c r="A18" t="inlineStr">
        <is>
          <t>Brazil</t>
        </is>
      </c>
      <c r="B18" t="n">
        <v>0.7050999999999999</v>
      </c>
      <c r="C18" t="n">
        <v>0.2093</v>
      </c>
      <c r="D18" t="n">
        <v>0.1356</v>
      </c>
      <c r="E18" t="n">
        <v>0.1343</v>
      </c>
    </row>
    <row r="19">
      <c r="A19" t="inlineStr">
        <is>
          <t>South Africa</t>
        </is>
      </c>
      <c r="B19" t="n">
        <v>1.0029</v>
      </c>
      <c r="C19" t="n">
        <v>0.3427</v>
      </c>
      <c r="D19" t="n">
        <v>0.1738</v>
      </c>
      <c r="E19" t="n">
        <v>0.1232</v>
      </c>
    </row>
    <row r="20">
      <c r="A20" t="inlineStr">
        <is>
          <t>Hong Kong</t>
        </is>
      </c>
      <c r="B20" t="n">
        <v>0.4621</v>
      </c>
      <c r="C20" t="n">
        <v>0.1054</v>
      </c>
      <c r="D20" t="n">
        <v>0.0223</v>
      </c>
      <c r="E20" t="n">
        <v>0.0703</v>
      </c>
    </row>
    <row r="21">
      <c r="A21" t="inlineStr">
        <is>
          <t>Saudi Arabia</t>
        </is>
      </c>
      <c r="B21" t="n">
        <v>-0.0043</v>
      </c>
      <c r="C21" t="n">
        <v>0.0674</v>
      </c>
      <c r="D21" t="n">
        <v>0.0771</v>
      </c>
      <c r="E21" t="n">
        <v>0.1072</v>
      </c>
    </row>
    <row r="22">
      <c r="A22" t="inlineStr">
        <is>
          <t>Singapore</t>
        </is>
      </c>
      <c r="B22" t="n">
        <v>0.2907</v>
      </c>
      <c r="C22" t="n">
        <v>0.2377</v>
      </c>
      <c r="D22" t="n">
        <v>0.1192</v>
      </c>
      <c r="E22" t="n">
        <v>0.099</v>
      </c>
    </row>
    <row r="23">
      <c r="A23" t="inlineStr">
        <is>
          <t>Denmark</t>
        </is>
      </c>
      <c r="B23" t="n">
        <v>-0.2568</v>
      </c>
      <c r="C23" t="n">
        <v>-0.0513</v>
      </c>
      <c r="D23" t="n">
        <v>0.0119</v>
      </c>
      <c r="E23" t="n">
        <v>0.0713</v>
      </c>
    </row>
    <row r="24">
      <c r="A24" t="inlineStr">
        <is>
          <t>Finland</t>
        </is>
      </c>
      <c r="B24" t="n">
        <v>0.5238</v>
      </c>
      <c r="C24" t="n">
        <v>0.1423</v>
      </c>
      <c r="D24" t="n">
        <v>0.0635</v>
      </c>
      <c r="E24" t="n">
        <v>0.08500000000000001</v>
      </c>
    </row>
    <row r="25">
      <c r="A25" t="inlineStr">
        <is>
          <t>Belgium</t>
        </is>
      </c>
      <c r="B25" t="n">
        <v>0.3901</v>
      </c>
      <c r="C25" t="n">
        <v>0.1798</v>
      </c>
      <c r="D25" t="n">
        <v>0.0956</v>
      </c>
      <c r="E25" t="n">
        <v>0.0407</v>
      </c>
    </row>
    <row r="26">
      <c r="A26" t="inlineStr">
        <is>
          <t>Mexico</t>
        </is>
      </c>
      <c r="B26" t="n">
        <v>0.7127</v>
      </c>
      <c r="C26" t="n">
        <v>0.1727</v>
      </c>
      <c r="D26" t="n">
        <v>0.1865</v>
      </c>
      <c r="E26" t="n">
        <v>0.0847</v>
      </c>
    </row>
    <row r="27">
      <c r="A27" t="inlineStr">
        <is>
          <t>Israel</t>
        </is>
      </c>
      <c r="B27" t="n">
        <v>0.3565</v>
      </c>
      <c r="C27" t="n">
        <v>0.2901</v>
      </c>
      <c r="D27" t="n">
        <v>0.1225</v>
      </c>
      <c r="E27" t="n">
        <v>0.0626</v>
      </c>
    </row>
    <row r="28">
      <c r="A28" t="inlineStr">
        <is>
          <t>United Arab Emirates</t>
        </is>
      </c>
      <c r="B28" t="n">
        <v>0.3232</v>
      </c>
      <c r="C28" t="n">
        <v>0.2014</v>
      </c>
      <c r="D28" t="n">
        <v>0.168</v>
      </c>
      <c r="E28" t="n">
        <v>0.0992</v>
      </c>
    </row>
    <row r="29">
      <c r="A29" t="inlineStr">
        <is>
          <t>Norway</t>
        </is>
      </c>
      <c r="B29" t="n">
        <v>0.499</v>
      </c>
      <c r="C29" t="n">
        <v>0.2075</v>
      </c>
      <c r="D29" t="n">
        <v>0.1387</v>
      </c>
      <c r="E29" t="n">
        <v>0.1217</v>
      </c>
    </row>
    <row r="30">
      <c r="A30" t="inlineStr">
        <is>
          <t>Malaysia</t>
        </is>
      </c>
      <c r="B30" t="n">
        <v>0.2869</v>
      </c>
      <c r="C30" t="n">
        <v>0.1456</v>
      </c>
      <c r="D30" t="n">
        <v>0.0569</v>
      </c>
      <c r="E30" t="n">
        <v>0.0376</v>
      </c>
    </row>
    <row r="31">
      <c r="A31" t="inlineStr">
        <is>
          <t>Thailand</t>
        </is>
      </c>
      <c r="B31" t="n">
        <v>0.5594</v>
      </c>
      <c r="C31" t="n">
        <v>0.1008</v>
      </c>
      <c r="D31" t="n">
        <v>0.0511</v>
      </c>
      <c r="E31" t="n">
        <v>0.06619999999999999</v>
      </c>
    </row>
    <row r="32">
      <c r="A32" t="inlineStr">
        <is>
          <t>Poland</t>
        </is>
      </c>
      <c r="B32" t="n">
        <v>0.5545</v>
      </c>
      <c r="C32" t="n">
        <v>0.3826</v>
      </c>
      <c r="D32" t="n">
        <v>0.175</v>
      </c>
      <c r="E32" t="n">
        <v>0.0979</v>
      </c>
    </row>
    <row r="33">
      <c r="A33" t="inlineStr">
        <is>
          <t>Indonesia</t>
        </is>
      </c>
      <c r="B33" t="n">
        <v>0.1114</v>
      </c>
      <c r="C33" t="n">
        <v>-0.0583</v>
      </c>
      <c r="D33" t="n">
        <v>-0.0478</v>
      </c>
      <c r="E33" t="n">
        <v>-0.008500000000000001</v>
      </c>
    </row>
    <row r="34">
      <c r="A34" t="inlineStr">
        <is>
          <t>Ireland</t>
        </is>
      </c>
      <c r="B34" t="n">
        <v>0.3189</v>
      </c>
      <c r="C34" t="n">
        <v>0.2425</v>
      </c>
      <c r="D34" t="n">
        <v>0.1278</v>
      </c>
      <c r="E34" t="n">
        <v>0.0961</v>
      </c>
    </row>
    <row r="35">
      <c r="A35" t="inlineStr">
        <is>
          <t>Qatar</t>
        </is>
      </c>
      <c r="B35" t="n">
        <v>0.1133</v>
      </c>
      <c r="C35" t="n">
        <v>0.0621</v>
      </c>
      <c r="D35" t="n">
        <v>0.0558</v>
      </c>
      <c r="E35" t="n">
        <v>0.0457</v>
      </c>
    </row>
    <row r="36">
      <c r="A36" t="inlineStr">
        <is>
          <t>Chile</t>
        </is>
      </c>
      <c r="B36" t="n">
        <v>0.6052999999999999</v>
      </c>
      <c r="C36" t="n">
        <v>0.1802</v>
      </c>
      <c r="D36" t="n">
        <v>0.09760000000000001</v>
      </c>
      <c r="E36" t="n">
        <v>0.0567</v>
      </c>
    </row>
    <row r="37">
      <c r="A37" t="inlineStr">
        <is>
          <t>Greece</t>
        </is>
      </c>
      <c r="B37" t="n">
        <v>0.7397</v>
      </c>
      <c r="C37" t="n">
        <v>0.3742</v>
      </c>
      <c r="D37" t="n">
        <v>0.2873</v>
      </c>
      <c r="E37" t="n">
        <v>0.1375</v>
      </c>
    </row>
    <row r="38">
      <c r="A38" t="inlineStr">
        <is>
          <t>Vietnam</t>
        </is>
      </c>
      <c r="B38" t="n">
        <v>0.6677</v>
      </c>
      <c r="C38" t="n">
        <v>0.202</v>
      </c>
      <c r="D38" t="n">
        <v>0.027</v>
      </c>
      <c r="E38" t="n">
        <v>0.08069999999999999</v>
      </c>
    </row>
    <row r="39">
      <c r="A39" t="inlineStr">
        <is>
          <t>Austria</t>
        </is>
      </c>
      <c r="B39" t="n">
        <v>0.6887</v>
      </c>
      <c r="C39" t="n">
        <v>0.3271</v>
      </c>
      <c r="D39" t="n">
        <v>0.214</v>
      </c>
      <c r="E39" t="n">
        <v>0.1639</v>
      </c>
    </row>
    <row r="40">
      <c r="A40" t="inlineStr">
        <is>
          <t>Turkey</t>
        </is>
      </c>
      <c r="B40" t="n">
        <v>0.2414</v>
      </c>
      <c r="C40" t="n">
        <v>0.115</v>
      </c>
      <c r="D40" t="n">
        <v>0.1445</v>
      </c>
      <c r="E40" t="n">
        <v>0.0312</v>
      </c>
    </row>
    <row r="41">
      <c r="A41" t="inlineStr">
        <is>
          <t>Peru</t>
        </is>
      </c>
      <c r="B41" t="n">
        <v>1.3652</v>
      </c>
      <c r="C41" t="n">
        <v>0.5351</v>
      </c>
      <c r="D41" t="n">
        <v>0.2687</v>
      </c>
      <c r="E41" t="n">
        <v>0.2064</v>
      </c>
    </row>
    <row r="42">
      <c r="A42" t="inlineStr">
        <is>
          <t>Portugal</t>
        </is>
      </c>
      <c r="B42" t="n">
        <v>0.5442</v>
      </c>
      <c r="C42" t="n">
        <v>0.09710000000000001</v>
      </c>
      <c r="D42" t="n">
        <v>0.0679</v>
      </c>
      <c r="E42" t="n">
        <v>0.09470000000000001</v>
      </c>
    </row>
    <row r="43">
      <c r="A43" t="inlineStr">
        <is>
          <t>Philippines</t>
        </is>
      </c>
      <c r="B43" t="n">
        <v>0.2098</v>
      </c>
      <c r="C43" t="n">
        <v>0.0568</v>
      </c>
      <c r="D43" t="n">
        <v>0.01</v>
      </c>
      <c r="E43" t="n">
        <v>0.0102</v>
      </c>
    </row>
    <row r="44">
      <c r="A44" t="inlineStr">
        <is>
          <t>New Zealand</t>
        </is>
      </c>
      <c r="B44" t="n">
        <v>0.2014</v>
      </c>
      <c r="C44" t="n">
        <v>0.0363</v>
      </c>
      <c r="D44" t="n">
        <v>-0.0146</v>
      </c>
      <c r="E44" t="n">
        <v>0.065</v>
      </c>
    </row>
    <row r="45">
      <c r="A45" t="inlineStr">
        <is>
          <t>Hungary</t>
        </is>
      </c>
      <c r="B45" t="n">
        <v>0.8771</v>
      </c>
      <c r="C45" t="n">
        <v>0.4956</v>
      </c>
      <c r="D45" t="n">
        <v>0.2184</v>
      </c>
      <c r="E45" t="n">
        <v>0.1811</v>
      </c>
    </row>
    <row r="46">
      <c r="A46" t="inlineStr">
        <is>
          <t>Argentina</t>
        </is>
      </c>
      <c r="B46" t="n">
        <v>0.0184</v>
      </c>
      <c r="C46" t="n">
        <v>0.4239</v>
      </c>
      <c r="D46" t="n">
        <v>0.4054</v>
      </c>
      <c r="E46" t="n">
        <v>0.143</v>
      </c>
    </row>
    <row r="47">
      <c r="A47" t="inlineStr">
        <is>
          <t>Romania</t>
        </is>
      </c>
      <c r="B47" t="n">
        <v>0.8438</v>
      </c>
      <c r="C47" t="n">
        <v>0.4299</v>
      </c>
      <c r="D47" t="n">
        <v>0.2774</v>
      </c>
      <c r="E47" t="n">
        <v>0.2297</v>
      </c>
    </row>
    <row r="48">
      <c r="A48" t="inlineStr">
        <is>
          <t>Morocco</t>
        </is>
      </c>
      <c r="B48" t="n">
        <v>0.1483</v>
      </c>
      <c r="C48" t="n">
        <v>0.242</v>
      </c>
      <c r="D48" t="n">
        <v>0.0873</v>
      </c>
      <c r="E48" t="n">
        <v>0.0912</v>
      </c>
    </row>
    <row r="49">
      <c r="A49" t="inlineStr">
        <is>
          <t>Nigeria</t>
        </is>
      </c>
      <c r="B49" t="n">
        <v>1.0761</v>
      </c>
      <c r="C49" t="n">
        <v>-0.1738</v>
      </c>
      <c r="D49" t="n">
        <v>-0.074</v>
      </c>
      <c r="E49" t="n">
        <v>-0.0498</v>
      </c>
    </row>
    <row r="50">
      <c r="A50" t="inlineStr">
        <is>
          <t>Colombia</t>
        </is>
      </c>
      <c r="B50" t="n">
        <v>0.8183</v>
      </c>
      <c r="C50" t="n">
        <v>0.489</v>
      </c>
      <c r="D50" t="n">
        <v>0.2162</v>
      </c>
      <c r="E50" t="n">
        <v>0.121</v>
      </c>
    </row>
    <row r="51">
      <c r="A51" t="inlineStr">
        <is>
          <t>Kazakhstan</t>
        </is>
      </c>
      <c r="B51" t="n">
        <v>0.2535</v>
      </c>
      <c r="C51" t="n">
        <v>0.2659</v>
      </c>
      <c r="D51" t="n">
        <v>0.1938</v>
      </c>
      <c r="E51" t="n">
        <v>0.2263</v>
      </c>
    </row>
    <row r="52">
      <c r="A52" t="inlineStr">
        <is>
          <t>Pakistan</t>
        </is>
      </c>
      <c r="B52" t="n">
        <v>0.4928</v>
      </c>
      <c r="C52" t="n">
        <v>0.5132</v>
      </c>
      <c r="D52" t="n">
        <v>0.0721</v>
      </c>
      <c r="E52" t="n">
        <v>-0.0073</v>
      </c>
    </row>
    <row r="53">
      <c r="A53" t="inlineStr">
        <is>
          <t>Czech Republic</t>
        </is>
      </c>
      <c r="B53" t="n">
        <v>0.06850000000000001</v>
      </c>
      <c r="C53" t="n">
        <v>0.093</v>
      </c>
      <c r="D53" t="n">
        <v>0.1496</v>
      </c>
      <c r="E53" t="n">
        <v>0.08989999999999999</v>
      </c>
    </row>
    <row r="54">
      <c r="A54" t="inlineStr">
        <is>
          <t>Egypt</t>
        </is>
      </c>
      <c r="B54" t="n">
        <v>0.9429</v>
      </c>
      <c r="C54" t="n">
        <v>0.2197</v>
      </c>
      <c r="D54" t="n">
        <v>0.0791</v>
      </c>
      <c r="E54" t="n">
        <v>0.0467</v>
      </c>
    </row>
    <row r="55">
      <c r="A55" t="inlineStr">
        <is>
          <t>Bangladesh</t>
        </is>
      </c>
      <c r="B55" t="n">
        <v>0.0015</v>
      </c>
      <c r="C55" t="n">
        <v>-0.0584</v>
      </c>
      <c r="D55" t="n">
        <v>-0.08119999999999999</v>
      </c>
      <c r="E55" t="n">
        <v>-0.0383</v>
      </c>
    </row>
    <row r="56">
      <c r="A56" t="inlineStr">
        <is>
          <t>Ukraine</t>
        </is>
      </c>
      <c r="B56" t="n">
        <v>0.0591</v>
      </c>
      <c r="C56" t="n">
        <v>0.156</v>
      </c>
      <c r="D56" t="n">
        <v>-0.0939</v>
      </c>
      <c r="E56" t="n">
        <v>-0.0293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2026-03-18T22:22:05Z</dcterms:created>
  <dcterms:modified xsi:type="dcterms:W3CDTF">2026-03-18T22:22:06Z</dcterms:modified>
</cp:coreProperties>
</file>