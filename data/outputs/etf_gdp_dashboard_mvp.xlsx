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'ETF_Timeframes'!$A$1:$I$591</definedName>
    <definedName name="_xlnm._FilterDatabase" localSheetId="1" hidden="1">'Annual'!$A$1:$Q$805</definedName>
    <definedName name="_xlnm._FilterDatabase" localSheetId="2" hidden="1">'CAGR'!$A$1:$M$397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46085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46057</v>
      </c>
      <c r="F522" s="1" t="n">
        <v>46085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45995</v>
      </c>
      <c r="F523" s="1" t="n">
        <v>46085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45904</v>
      </c>
      <c r="F524" s="1" t="n">
        <v>46085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45720</v>
      </c>
      <c r="F525" s="1" t="n">
        <v>46085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46085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44259</v>
      </c>
      <c r="F527" s="1" t="n">
        <v>46085</v>
      </c>
      <c r="G527" t="n">
        <v>33.86097331926005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46085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46085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VUAA.L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-0.9364186001437846</v>
      </c>
      <c r="H566" t="inlineStr">
        <is>
          <t>United States|VUAA.L|YTD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VUAA.L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-0.04572753342800828</v>
      </c>
      <c r="H567" t="inlineStr">
        <is>
          <t>United States|VUAA.L|1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VUAA.L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-0.5157044831053392</v>
      </c>
      <c r="H568" t="inlineStr">
        <is>
          <t>United States|VUAA.L|3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VUAA.L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5.790316674017126</v>
      </c>
      <c r="H569" t="inlineStr">
        <is>
          <t>United States|VUAA.L|6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VUAA.L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19.79908006920663</v>
      </c>
      <c r="H570" t="inlineStr">
        <is>
          <t>United States|VUAA.L|1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VUAA.L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75.58558999239102</v>
      </c>
      <c r="H571" t="inlineStr">
        <is>
          <t>United States|VUAA.L|3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VUAA.L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93.60932476336828</v>
      </c>
      <c r="H572" t="inlineStr">
        <is>
          <t>United States|VUAA.L|5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VUAA.L</t>
        </is>
      </c>
      <c r="D573" t="inlineStr">
        <is>
          <t>MAX</t>
        </is>
      </c>
      <c r="E573" s="1" t="n">
        <v>43600</v>
      </c>
      <c r="F573" s="1" t="n">
        <v>46086</v>
      </c>
      <c r="G573" t="n">
        <v>160.7941697704881</v>
      </c>
      <c r="H573" t="inlineStr">
        <is>
          <t>United States|VUAA.L|MAX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VUSA.L</t>
        </is>
      </c>
      <c r="D574" t="inlineStr">
        <is>
          <t>YTD</t>
        </is>
      </c>
      <c r="E574" s="1" t="n">
        <v>46022</v>
      </c>
      <c r="F574" s="1" t="n">
        <v>46086</v>
      </c>
      <c r="G574" t="n">
        <v>0.1339842156529381</v>
      </c>
      <c r="H574" t="inlineStr">
        <is>
          <t>United States|VUSA.L|YTD</t>
        </is>
      </c>
      <c r="I574" t="inlineStr">
        <is>
          <t>GBP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VUSA.L</t>
        </is>
      </c>
      <c r="D575" t="inlineStr">
        <is>
          <t>1 Month</t>
        </is>
      </c>
      <c r="E575" s="1" t="n">
        <v>46058</v>
      </c>
      <c r="F575" s="1" t="n">
        <v>46086</v>
      </c>
      <c r="G575" t="n">
        <v>1.700947231600414</v>
      </c>
      <c r="H575" t="inlineStr">
        <is>
          <t>United States|VUSA.L|1 Month</t>
        </is>
      </c>
      <c r="I575" t="inlineStr">
        <is>
          <t>GBP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VUSA.L</t>
        </is>
      </c>
      <c r="D576" t="inlineStr">
        <is>
          <t>3 Months</t>
        </is>
      </c>
      <c r="E576" s="1" t="n">
        <v>45996</v>
      </c>
      <c r="F576" s="1" t="n">
        <v>46086</v>
      </c>
      <c r="G576" t="n">
        <v>-0.664547503024937</v>
      </c>
      <c r="H576" t="inlineStr">
        <is>
          <t>United States|VUSA.L|3 Months</t>
        </is>
      </c>
      <c r="I576" t="inlineStr">
        <is>
          <t>GBP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VUSA.L</t>
        </is>
      </c>
      <c r="D577" t="inlineStr">
        <is>
          <t>6 Months</t>
        </is>
      </c>
      <c r="E577" s="1" t="n">
        <v>45905</v>
      </c>
      <c r="F577" s="1" t="n">
        <v>46086</v>
      </c>
      <c r="G577" t="n">
        <v>7.054517796120252</v>
      </c>
      <c r="H577" t="inlineStr">
        <is>
          <t>United States|VUSA.L|6 Months</t>
        </is>
      </c>
      <c r="I577" t="inlineStr">
        <is>
          <t>GBP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VUSA.L</t>
        </is>
      </c>
      <c r="D578" t="inlineStr">
        <is>
          <t>1 Year</t>
        </is>
      </c>
      <c r="E578" s="1" t="n">
        <v>45721</v>
      </c>
      <c r="F578" s="1" t="n">
        <v>46086</v>
      </c>
      <c r="G578" t="n">
        <v>14.55520941502251</v>
      </c>
      <c r="H578" t="inlineStr">
        <is>
          <t>United States|VUSA.L|1 Year</t>
        </is>
      </c>
      <c r="I578" t="inlineStr">
        <is>
          <t>GBP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VUSA.L</t>
        </is>
      </c>
      <c r="D579" t="inlineStr">
        <is>
          <t>3 Years</t>
        </is>
      </c>
      <c r="E579" s="1" t="n">
        <v>44988</v>
      </c>
      <c r="F579" s="1" t="n">
        <v>46086</v>
      </c>
      <c r="G579" t="n">
        <v>52.54543632727295</v>
      </c>
      <c r="H579" t="inlineStr">
        <is>
          <t>United States|VUSA.L|3 Years</t>
        </is>
      </c>
      <c r="I579" t="inlineStr">
        <is>
          <t>GBP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VUSA.L</t>
        </is>
      </c>
      <c r="D580" t="inlineStr">
        <is>
          <t>5 Years</t>
        </is>
      </c>
      <c r="E580" s="1" t="n">
        <v>44260</v>
      </c>
      <c r="F580" s="1" t="n">
        <v>46086</v>
      </c>
      <c r="G580" t="n">
        <v>88.6418826273113</v>
      </c>
      <c r="H580" t="inlineStr">
        <is>
          <t>United States|VUSA.L|5 Years</t>
        </is>
      </c>
      <c r="I580" t="inlineStr">
        <is>
          <t>GBP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VUSA.L</t>
        </is>
      </c>
      <c r="D581" t="inlineStr">
        <is>
          <t>10 Years</t>
        </is>
      </c>
      <c r="E581" s="1" t="n">
        <v>42433</v>
      </c>
      <c r="F581" s="1" t="n">
        <v>46086</v>
      </c>
      <c r="G581" t="n">
        <v>261.9970309603045</v>
      </c>
      <c r="H581" t="inlineStr">
        <is>
          <t>United States|VUSA.L|10 Years</t>
        </is>
      </c>
      <c r="I581" t="inlineStr">
        <is>
          <t>GBP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VUSA.L</t>
        </is>
      </c>
      <c r="D582" t="inlineStr">
        <is>
          <t>MAX</t>
        </is>
      </c>
      <c r="E582" s="1" t="n">
        <v>41052</v>
      </c>
      <c r="F582" s="1" t="n">
        <v>46086</v>
      </c>
      <c r="G582" t="n">
        <v>517.2808454571353</v>
      </c>
      <c r="H582" t="inlineStr">
        <is>
          <t>United States|VUSA.L|MAX</t>
        </is>
      </c>
      <c r="I582" t="inlineStr">
        <is>
          <t>GBP</t>
        </is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-2.023636069289303</v>
      </c>
      <c r="H583" t="inlineStr">
        <is>
          <t>Vietnam|XFVT.L|YTD</t>
        </is>
      </c>
      <c r="I583" t="inlineStr">
        <is>
          <t>GBp</t>
        </is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5.343777197563093</v>
      </c>
      <c r="H584" t="inlineStr">
        <is>
          <t>Vietnam|XFVT.L|1 Month</t>
        </is>
      </c>
      <c r="I584" t="inlineStr">
        <is>
          <t>GBp</t>
        </is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0.7659007659007733</v>
      </c>
      <c r="H585" t="inlineStr">
        <is>
          <t>Vietnam|XFVT.L|3 Months</t>
        </is>
      </c>
      <c r="I585" t="inlineStr">
        <is>
          <t>GBp</t>
        </is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9.340560072267401</v>
      </c>
      <c r="H586" t="inlineStr">
        <is>
          <t>Vietnam|XFVT.L|6 Months</t>
        </is>
      </c>
      <c r="I586" t="inlineStr">
        <is>
          <t>GBp</t>
        </is>
      </c>
    </row>
    <row r="587">
      <c r="A587" t="inlineStr">
        <is>
          <t>Vietnam</t>
        </is>
      </c>
      <c r="B587" t="inlineStr">
        <is>
          <t>VNM</t>
        </is>
      </c>
      <c r="C587" t="inlineStr">
        <is>
          <t>XFVT.L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54.44685466377442</v>
      </c>
      <c r="H587" t="inlineStr">
        <is>
          <t>Vietnam|XFVT.L|1 Year</t>
        </is>
      </c>
      <c r="I587" t="inlineStr">
        <is>
          <t>GBp</t>
        </is>
      </c>
    </row>
    <row r="588">
      <c r="A588" t="inlineStr">
        <is>
          <t>Vietnam</t>
        </is>
      </c>
      <c r="B588" t="inlineStr">
        <is>
          <t>VNM</t>
        </is>
      </c>
      <c r="C588" t="inlineStr">
        <is>
          <t>XFVT.L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44.45637904284521</v>
      </c>
      <c r="H588" t="inlineStr">
        <is>
          <t>Vietnam|XFVT.L|3 Years</t>
        </is>
      </c>
      <c r="I588" t="inlineStr">
        <is>
          <t>GBp</t>
        </is>
      </c>
    </row>
    <row r="589">
      <c r="A589" t="inlineStr">
        <is>
          <t>Vietnam</t>
        </is>
      </c>
      <c r="B589" t="inlineStr">
        <is>
          <t>VNM</t>
        </is>
      </c>
      <c r="C589" t="inlineStr">
        <is>
          <t>XFVT.L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13.12149532710281</v>
      </c>
      <c r="H589" t="inlineStr">
        <is>
          <t>Vietnam|XFVT.L|5 Years</t>
        </is>
      </c>
      <c r="I589" t="inlineStr">
        <is>
          <t>GBp</t>
        </is>
      </c>
    </row>
    <row r="590">
      <c r="A590" t="inlineStr">
        <is>
          <t>Vietnam</t>
        </is>
      </c>
      <c r="B590" t="inlineStr">
        <is>
          <t>VNM</t>
        </is>
      </c>
      <c r="C590" t="inlineStr">
        <is>
          <t>XFVT.L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91.85290854335078</v>
      </c>
      <c r="H590" t="inlineStr">
        <is>
          <t>Vietnam|XFVT.L|10 Years</t>
        </is>
      </c>
      <c r="I590" t="inlineStr">
        <is>
          <t>GBp</t>
        </is>
      </c>
    </row>
    <row r="591">
      <c r="A591" t="inlineStr">
        <is>
          <t>Vietnam</t>
        </is>
      </c>
      <c r="B591" t="inlineStr">
        <is>
          <t>VNM</t>
        </is>
      </c>
      <c r="C591" t="inlineStr">
        <is>
          <t>XFVT.L</t>
        </is>
      </c>
      <c r="D591" t="inlineStr">
        <is>
          <t>MAX</t>
        </is>
      </c>
      <c r="E591" s="1" t="n">
        <v>39818</v>
      </c>
      <c r="F591" s="1" t="n">
        <v>46086</v>
      </c>
      <c r="G591" t="n">
        <v>28.16603134265143</v>
      </c>
      <c r="H591" t="inlineStr">
        <is>
          <t>Vietnam|XFVT.L|MAX</t>
        </is>
      </c>
      <c r="I591" t="inlineStr">
        <is>
          <t>GBp</t>
        </is>
      </c>
    </row>
  </sheetData>
  <autoFilter ref="A1:I5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-2.771812375865105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-0.7754120391166297</v>
      </c>
      <c r="O25" t="n">
        <v>9.260934375865105</v>
      </c>
      <c r="P25" t="n">
        <v>-1.192799344672812</v>
      </c>
      <c r="Q25" t="n">
        <v>10.57993106899573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-12.34044115416826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-0.7754120391166297</v>
      </c>
      <c r="O73" t="n">
        <v>13.92579415416826</v>
      </c>
      <c r="P73" t="n">
        <v>5.035304169500088</v>
      </c>
      <c r="Q73" t="n">
        <v>8.464287369817281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3.071712427603646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-1.157958106142976</v>
      </c>
      <c r="O85" t="n">
        <v>8.090383572396354</v>
      </c>
      <c r="P85" t="n">
        <v>-3.219129451695324</v>
      </c>
      <c r="Q85" t="n">
        <v>11.68569052956281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0.5787993405184162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-0.7754120391166297</v>
      </c>
      <c r="O97" t="n">
        <v>5.430924659481584</v>
      </c>
      <c r="P97" t="n">
        <v>-1.881561290634082</v>
      </c>
      <c r="Q97" t="n">
        <v>7.452713319028437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14.09146377106285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-0.7754120391166297</v>
      </c>
      <c r="O121" t="n">
        <v>-7.636469771062848</v>
      </c>
      <c r="P121" t="n">
        <v>-1.686566925985811</v>
      </c>
      <c r="Q121" t="n">
        <v>-6.05197342727084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5.120712564121097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-0.7754120391166297</v>
      </c>
      <c r="O133" t="n">
        <v>1.334281435878903</v>
      </c>
      <c r="P133" t="n">
        <v>-1.686566925985811</v>
      </c>
      <c r="Q133" t="n">
        <v>3.07267101494717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7.928590634570334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-0.7754120391166297</v>
      </c>
      <c r="O169" t="n">
        <v>-2.068062634570333</v>
      </c>
      <c r="P169" t="n">
        <v>-3.218751203146586</v>
      </c>
      <c r="Q169" t="n">
        <v>1.188958174110333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10.24241593156462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-0.7754120391166297</v>
      </c>
      <c r="O193" t="n">
        <v>-3.967251931564619</v>
      </c>
      <c r="P193" t="n">
        <v>-3.21872711082527</v>
      </c>
      <c r="Q193" t="n">
        <v>-0.773419070026593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17.25280628862493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-0.7754120391166297</v>
      </c>
      <c r="O241" t="n">
        <v>-8.031076288624927</v>
      </c>
      <c r="P241" t="n">
        <v>0.8245690710504849</v>
      </c>
      <c r="Q241" t="n">
        <v>-8.783221630667114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18.56709073499782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-0.7754120391166297</v>
      </c>
      <c r="O253" t="n">
        <v>-9.34536073499782</v>
      </c>
      <c r="P253" t="n">
        <v>0.8245690710504849</v>
      </c>
      <c r="Q253" t="n">
        <v>-10.08675752323981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101.6514834216757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-15.17874777339796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-14.79108265134917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-1.423046942644859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2.94288527712045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-19.93327271333103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-11.57044924951956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-18.1144848252007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-1.843607510447296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-0.7754120391166297</v>
      </c>
      <c r="O325" t="n">
        <v>6.138312510447297</v>
      </c>
      <c r="P325" t="n">
        <v>-1.62237396371292</v>
      </c>
      <c r="Q325" t="n">
        <v>7.88867020566002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1.263221828109334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-13.87565512831125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16.54504841423335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5.124057970379371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-8.684529215749393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17.94399218872935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13.25068258637467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2.135186486476287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-14.5253380221934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-3.650719337422885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2.115477587922136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-0.7754120391166297</v>
      </c>
      <c r="O361" t="n">
        <v>5.278077412077864</v>
      </c>
      <c r="P361" t="n">
        <v>-1.322577680148807</v>
      </c>
      <c r="Q361" t="n">
        <v>6.689123952621534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-1.621435286100971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-5.80499556140746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21.80693210106428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-3.613016519698081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-11.28043850209825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-1.019217592775213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11.76611073464123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-13.64462780364465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31.00311695596464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-51.44678414508883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0.4336950661251837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-0.7754120391166297</v>
      </c>
      <c r="O385" t="n">
        <v>8.599180933874816</v>
      </c>
      <c r="P385" t="n">
        <v>-2.657125369469626</v>
      </c>
      <c r="Q385" t="n">
        <v>11.5635647150018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5.831860507821489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-15.95144977472957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22.26909960119694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3.888375709573189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-1.329917183958786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12.78725062564262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16.33861743439824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8.506360252966807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9.960319252331502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7.917881192322508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4.764231937913094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-0.7754120391166297</v>
      </c>
      <c r="O433" t="n">
        <v>3.282587062086906</v>
      </c>
      <c r="P433" t="n">
        <v>0.000121477756476196</v>
      </c>
      <c r="Q433" t="n">
        <v>3.282461596869735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68.29267758729426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-4.676636901995497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-39.23345253767062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25.5752927521335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9.916391825979284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14.70101911146956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8.554849658595598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28.85175065458927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-30.27591676069913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16.14245491372257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-58.45614449861613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8.525621482996868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-0.7754120391166297</v>
      </c>
      <c r="O469" t="n">
        <v>-1.759392482996869</v>
      </c>
      <c r="P469" t="n">
        <v>-0.3456590491800249</v>
      </c>
      <c r="Q469" t="n">
        <v>-1.418637081263252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-27.97855795592849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-16.80344924706115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31.0810460767292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-12.96616895748153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-9.06068426617818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21.04718777775981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1.566888928473728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-3.935605765049158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-3.808080003272621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-66.94068485797825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1.896925687460088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-0.7754120391166297</v>
      </c>
      <c r="O553" t="n">
        <v>2.151078312539911</v>
      </c>
      <c r="P553" t="n">
        <v>0.7813040222599543</v>
      </c>
      <c r="Q553" t="n">
        <v>1.359155156374459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7.612874965882251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-46.93382333901281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21.16469031465192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19.71567208197699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-20.23704602487066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23.37659670591924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-93.33826138347783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-22.38583674240909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-0.7754120391166297</v>
      </c>
      <c r="O589" t="n">
        <v>26.58502874240909</v>
      </c>
      <c r="P589" t="n">
        <v>-1.995345563749185</v>
      </c>
      <c r="Q589" t="n">
        <v>29.16226221148403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94.89606286871285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-16.07586458060771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15.20256054755329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-27.87952051974252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-22.46038040760892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-5.678452557624119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20.88635474902723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-19.74161024612062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4.783143780280039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-24.67137533190516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3.100081807194617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-0.7754120391166297</v>
      </c>
      <c r="O625" t="n">
        <v>4.326109192805383</v>
      </c>
      <c r="P625" t="n">
        <v>-3.596040745104545</v>
      </c>
      <c r="Q625" t="n">
        <v>8.217660352479395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17.28629558148912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-24.97345832460348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-2652.280216035177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-30.71163851806381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-7.191179554065436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-7.136153121056408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99.63039925576571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-5.488089032446794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7.02663363855584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-24.52226992904705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5.478424919151265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-0.7754120391166297</v>
      </c>
      <c r="O637" t="n">
        <v>1.694652080848735</v>
      </c>
      <c r="P637" t="n">
        <v>-4.916868996758805</v>
      </c>
      <c r="Q637" t="n">
        <v>6.95341119696844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-20.65258990486237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-15.84878582580438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12.30187969405226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-34.85170489512341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-23.41450285658255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-10.00214292852304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29.49521662599436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-27.81042857463886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-20.67896568363836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-22.21141817071263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-0.4093718974699492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-0.7754120391166297</v>
      </c>
      <c r="O673" t="n">
        <v>10.25359189746995</v>
      </c>
      <c r="P673" t="n">
        <v>-5.588121498941478</v>
      </c>
      <c r="Q673" t="n">
        <v>16.77936468156791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-27.66600516983163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-21.38555212413836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16.02856494733791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3.270122167332105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4.988985444377311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3.595706429507751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-6.032163801983494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17.63739870550479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3.449327492676463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-2.095646651034562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-14.02040669013742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-0.7754120391166297</v>
      </c>
      <c r="O697" t="n">
        <v>14.54603169013742</v>
      </c>
      <c r="P697" t="n">
        <v>1.764686266418569</v>
      </c>
      <c r="Q697" t="n">
        <v>12.55970601654237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17.1349551546567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-35.37939848930208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38.35793578098204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-6.006446063195659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6.140185579564416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40.67463304965631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-75.19744551406782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40.48745543990434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19.19239552366492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7.684455444729715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1.45501603911663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-0.7754120391166297</v>
      </c>
      <c r="O721" t="n">
        <v>-0.7754120391166297</v>
      </c>
      <c r="P721" t="n">
        <v>27.67066410635637</v>
      </c>
      <c r="Q721" t="n">
        <v>-22.28082413809325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-9.084851567149119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-21.20197516536329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21.49598276977746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-20.25366528913149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5.965687351915872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1.676684113723152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5.43900512448415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-3.119426601917077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0.7006190377614425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-24.54968802605603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2.497502805449885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-0.7754120391166297</v>
      </c>
      <c r="O733" t="n">
        <v>4.243437194550115</v>
      </c>
      <c r="P733" t="n">
        <v>-2.917278011347091</v>
      </c>
      <c r="Q733" t="n">
        <v>7.375890435719512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-9.642879483187901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-21.97093592818169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21.13687604781072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-21.45256171140724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4.284051729243265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2.322794672920672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7.265991423527992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-4.112834184574968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0.2775537770592713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-25.26523239596942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2.741895425690937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-0.7754120391166297</v>
      </c>
      <c r="O745" t="n">
        <v>3.999044574309063</v>
      </c>
      <c r="P745" t="n">
        <v>-2.917278011347091</v>
      </c>
      <c r="Q745" t="n">
        <v>7.124153962704649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VUAA.L</t>
        </is>
      </c>
      <c r="D770" t="n">
        <v>2015</v>
      </c>
      <c r="E770" t="inlineStr"/>
      <c r="F770" t="n">
        <v>2.946</v>
      </c>
      <c r="G770" t="inlineStr"/>
      <c r="H770" t="inlineStr"/>
      <c r="I770" t="inlineStr"/>
      <c r="J770" t="inlineStr">
        <is>
          <t>United States|VUAA.L|2015</t>
        </is>
      </c>
      <c r="K770" t="inlineStr">
        <is>
          <t>United States|2015</t>
        </is>
      </c>
      <c r="L770" t="inlineStr">
        <is>
          <t>USD</t>
        </is>
      </c>
      <c r="M770" t="inlineStr"/>
      <c r="N770" t="n">
        <v>0</v>
      </c>
      <c r="O770" t="inlineStr"/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VUAA.L</t>
        </is>
      </c>
      <c r="D771" t="n">
        <v>2016</v>
      </c>
      <c r="E771" t="inlineStr"/>
      <c r="F771" t="n">
        <v>1.82</v>
      </c>
      <c r="G771" t="n">
        <v>2.7871</v>
      </c>
      <c r="H771" t="n">
        <v>2.7871</v>
      </c>
      <c r="I771" t="inlineStr"/>
      <c r="J771" t="inlineStr">
        <is>
          <t>United States|VUAA.L|2016</t>
        </is>
      </c>
      <c r="K771" t="inlineStr">
        <is>
          <t>United States|2016</t>
        </is>
      </c>
      <c r="L771" t="inlineStr">
        <is>
          <t>USD</t>
        </is>
      </c>
      <c r="M771" t="inlineStr"/>
      <c r="N771" t="n">
        <v>0</v>
      </c>
      <c r="O771" t="inlineStr"/>
      <c r="P771" t="n">
        <v>0</v>
      </c>
      <c r="Q771" t="inlineStr"/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VUAA.L</t>
        </is>
      </c>
      <c r="D772" t="n">
        <v>2017</v>
      </c>
      <c r="E772" t="inlineStr"/>
      <c r="F772" t="n">
        <v>2.458</v>
      </c>
      <c r="G772" t="n">
        <v>4.292498</v>
      </c>
      <c r="H772" t="n">
        <v>4.292498</v>
      </c>
      <c r="I772" t="inlineStr"/>
      <c r="J772" t="inlineStr">
        <is>
          <t>United States|VUAA.L|2017</t>
        </is>
      </c>
      <c r="K772" t="inlineStr">
        <is>
          <t>United States|2017</t>
        </is>
      </c>
      <c r="L772" t="inlineStr">
        <is>
          <t>USD</t>
        </is>
      </c>
      <c r="M772" t="inlineStr"/>
      <c r="N772" t="n">
        <v>0</v>
      </c>
      <c r="O772" t="inlineStr"/>
      <c r="P772" t="n">
        <v>0</v>
      </c>
      <c r="Q772" t="inlineStr"/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VUAA.L</t>
        </is>
      </c>
      <c r="D773" t="n">
        <v>2018</v>
      </c>
      <c r="E773" t="inlineStr"/>
      <c r="F773" t="n">
        <v>2.967</v>
      </c>
      <c r="G773" t="n">
        <v>5.325411</v>
      </c>
      <c r="H773" t="n">
        <v>5.325411</v>
      </c>
      <c r="I773" t="inlineStr"/>
      <c r="J773" t="inlineStr">
        <is>
          <t>United States|VUAA.L|2018</t>
        </is>
      </c>
      <c r="K773" t="inlineStr">
        <is>
          <t>United States|2018</t>
        </is>
      </c>
      <c r="L773" t="inlineStr">
        <is>
          <t>USD</t>
        </is>
      </c>
      <c r="M773" t="inlineStr"/>
      <c r="N773" t="n">
        <v>0</v>
      </c>
      <c r="O773" t="inlineStr"/>
      <c r="P773" t="n">
        <v>0</v>
      </c>
      <c r="Q773" t="inlineStr"/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VUAA.L</t>
        </is>
      </c>
      <c r="D774" t="n">
        <v>2019</v>
      </c>
      <c r="E774" t="n">
        <v>14.81999969482422</v>
      </c>
      <c r="F774" t="n">
        <v>2.584</v>
      </c>
      <c r="G774" t="n">
        <v>4.276857</v>
      </c>
      <c r="H774" t="n">
        <v>4.276857</v>
      </c>
      <c r="I774" t="n">
        <v>-10.54314269482422</v>
      </c>
      <c r="J774" t="inlineStr">
        <is>
          <t>United States|VUAA.L|2019</t>
        </is>
      </c>
      <c r="K774" t="inlineStr">
        <is>
          <t>United States|2019</t>
        </is>
      </c>
      <c r="L774" t="inlineStr">
        <is>
          <t>USD</t>
        </is>
      </c>
      <c r="M774" t="n">
        <v>14.81999969482422</v>
      </c>
      <c r="N774" t="n">
        <v>0</v>
      </c>
      <c r="O774" t="n">
        <v>14.81999969482422</v>
      </c>
      <c r="P774" t="n">
        <v>0</v>
      </c>
      <c r="Q774" t="n">
        <v>14.81999969482422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VUAA.L</t>
        </is>
      </c>
      <c r="D775" t="n">
        <v>2020</v>
      </c>
      <c r="E775" t="n">
        <v>16.93932963818721</v>
      </c>
      <c r="F775" t="n">
        <v>-2.081</v>
      </c>
      <c r="G775" t="n">
        <v>-0.764625</v>
      </c>
      <c r="H775" t="n">
        <v>-0.764625</v>
      </c>
      <c r="I775" t="n">
        <v>-17.70395463818721</v>
      </c>
      <c r="J775" t="inlineStr">
        <is>
          <t>United States|VUAA.L|2020</t>
        </is>
      </c>
      <c r="K775" t="inlineStr">
        <is>
          <t>United States|2020</t>
        </is>
      </c>
      <c r="L775" t="inlineStr">
        <is>
          <t>USD</t>
        </is>
      </c>
      <c r="M775" t="n">
        <v>16.93932963818721</v>
      </c>
      <c r="N775" t="n">
        <v>0</v>
      </c>
      <c r="O775" t="n">
        <v>16.93932963818721</v>
      </c>
      <c r="P775" t="n">
        <v>0</v>
      </c>
      <c r="Q775" t="n">
        <v>16.93932963818721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VUAA.L</t>
        </is>
      </c>
      <c r="D776" t="n">
        <v>2021</v>
      </c>
      <c r="E776" t="n">
        <v>30.44192052513195</v>
      </c>
      <c r="F776" t="n">
        <v>6.152</v>
      </c>
      <c r="G776" t="n">
        <v>10.995765</v>
      </c>
      <c r="H776" t="n">
        <v>10.995765</v>
      </c>
      <c r="I776" t="n">
        <v>-19.44615552513195</v>
      </c>
      <c r="J776" t="inlineStr">
        <is>
          <t>United States|VUAA.L|2021</t>
        </is>
      </c>
      <c r="K776" t="inlineStr">
        <is>
          <t>United States|2021</t>
        </is>
      </c>
      <c r="L776" t="inlineStr">
        <is>
          <t>USD</t>
        </is>
      </c>
      <c r="M776" t="n">
        <v>30.44192052513195</v>
      </c>
      <c r="N776" t="n">
        <v>0</v>
      </c>
      <c r="O776" t="n">
        <v>30.44192052513195</v>
      </c>
      <c r="P776" t="n">
        <v>0</v>
      </c>
      <c r="Q776" t="n">
        <v>30.44192052513195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VUAA.L</t>
        </is>
      </c>
      <c r="D777" t="n">
        <v>2022</v>
      </c>
      <c r="E777" t="n">
        <v>-18.985759159099</v>
      </c>
      <c r="F777" t="n">
        <v>2.524</v>
      </c>
      <c r="G777" t="n">
        <v>9.816169</v>
      </c>
      <c r="H777" t="n">
        <v>9.816169</v>
      </c>
      <c r="I777" t="n">
        <v>28.80192815909901</v>
      </c>
      <c r="J777" t="inlineStr">
        <is>
          <t>United States|VUAA.L|2022</t>
        </is>
      </c>
      <c r="K777" t="inlineStr">
        <is>
          <t>United States|2022</t>
        </is>
      </c>
      <c r="L777" t="inlineStr">
        <is>
          <t>USD</t>
        </is>
      </c>
      <c r="M777" t="n">
        <v>-18.985759159099</v>
      </c>
      <c r="N777" t="n">
        <v>0</v>
      </c>
      <c r="O777" t="n">
        <v>-18.985759159099</v>
      </c>
      <c r="P777" t="n">
        <v>0</v>
      </c>
      <c r="Q777" t="n">
        <v>-18.985759159099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VUAA.L</t>
        </is>
      </c>
      <c r="D778" t="n">
        <v>2023</v>
      </c>
      <c r="E778" t="n">
        <v>27.32927086700789</v>
      </c>
      <c r="F778" t="n">
        <v>2.935</v>
      </c>
      <c r="G778" t="n">
        <v>6.743147</v>
      </c>
      <c r="H778" t="n">
        <v>6.743147</v>
      </c>
      <c r="I778" t="n">
        <v>-20.58612386700789</v>
      </c>
      <c r="J778" t="inlineStr">
        <is>
          <t>United States|VUAA.L|2023</t>
        </is>
      </c>
      <c r="K778" t="inlineStr">
        <is>
          <t>United States|2023</t>
        </is>
      </c>
      <c r="L778" t="inlineStr">
        <is>
          <t>USD</t>
        </is>
      </c>
      <c r="M778" t="n">
        <v>27.32927086700789</v>
      </c>
      <c r="N778" t="n">
        <v>0</v>
      </c>
      <c r="O778" t="n">
        <v>27.32927086700789</v>
      </c>
      <c r="P778" t="n">
        <v>0</v>
      </c>
      <c r="Q778" t="n">
        <v>27.32927086700789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VUAA.L</t>
        </is>
      </c>
      <c r="D779" t="n">
        <v>2024</v>
      </c>
      <c r="E779" t="n">
        <v>26.42313132621432</v>
      </c>
      <c r="F779" t="n">
        <v>2.793</v>
      </c>
      <c r="G779" t="n">
        <v>5.345001</v>
      </c>
      <c r="H779" t="n">
        <v>5.345001</v>
      </c>
      <c r="I779" t="n">
        <v>-21.07813032621432</v>
      </c>
      <c r="J779" t="inlineStr">
        <is>
          <t>United States|VUAA.L|2024</t>
        </is>
      </c>
      <c r="K779" t="inlineStr">
        <is>
          <t>United States|2024</t>
        </is>
      </c>
      <c r="L779" t="inlineStr">
        <is>
          <t>USD</t>
        </is>
      </c>
      <c r="M779" t="n">
        <v>26.42313132621432</v>
      </c>
      <c r="N779" t="n">
        <v>0</v>
      </c>
      <c r="O779" t="n">
        <v>26.42313132621432</v>
      </c>
      <c r="P779" t="n">
        <v>0</v>
      </c>
      <c r="Q779" t="n">
        <v>26.42313132621432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VUAA.L</t>
        </is>
      </c>
      <c r="D780" t="n">
        <v>2025</v>
      </c>
      <c r="E780" t="n">
        <v>18.0213919524709</v>
      </c>
      <c r="F780" t="n">
        <v>2.017</v>
      </c>
      <c r="G780" t="n">
        <v>4.497634</v>
      </c>
      <c r="H780" t="n">
        <v>4.497634</v>
      </c>
      <c r="I780" t="n">
        <v>-13.5237579524709</v>
      </c>
      <c r="J780" t="inlineStr">
        <is>
          <t>United States|VUAA.L|2025</t>
        </is>
      </c>
      <c r="K780" t="inlineStr">
        <is>
          <t>United States|2025</t>
        </is>
      </c>
      <c r="L780" t="inlineStr">
        <is>
          <t>USD</t>
        </is>
      </c>
      <c r="M780" t="n">
        <v>18.0213919524709</v>
      </c>
      <c r="N780" t="n">
        <v>0</v>
      </c>
      <c r="O780" t="n">
        <v>18.0213919524709</v>
      </c>
      <c r="P780" t="n">
        <v>0</v>
      </c>
      <c r="Q780" t="n">
        <v>18.0213919524709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VUAA.L</t>
        </is>
      </c>
      <c r="D781" t="n">
        <v>2026</v>
      </c>
      <c r="E781" t="n">
        <v>-0.349442962625357</v>
      </c>
      <c r="F781" t="n">
        <v>2.102</v>
      </c>
      <c r="G781" t="n">
        <v>3.93768</v>
      </c>
      <c r="H781" t="n">
        <v>3.93768</v>
      </c>
      <c r="I781" t="n">
        <v>4.287122962625357</v>
      </c>
      <c r="J781" t="inlineStr">
        <is>
          <t>United States|VUAA.L|2026</t>
        </is>
      </c>
      <c r="K781" t="inlineStr">
        <is>
          <t>United States|2026</t>
        </is>
      </c>
      <c r="L781" t="inlineStr">
        <is>
          <t>USD</t>
        </is>
      </c>
      <c r="M781" t="n">
        <v>-0.349442962625357</v>
      </c>
      <c r="N781" t="n">
        <v>0</v>
      </c>
      <c r="O781" t="n">
        <v>-0.349442962625357</v>
      </c>
      <c r="P781" t="n">
        <v>0</v>
      </c>
      <c r="Q781" t="n">
        <v>-0.349442962625357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VUSA.L</t>
        </is>
      </c>
      <c r="D782" t="n">
        <v>2015</v>
      </c>
      <c r="E782" t="n">
        <v>3.897636952702643</v>
      </c>
      <c r="F782" t="n">
        <v>2.946</v>
      </c>
      <c r="G782" t="inlineStr"/>
      <c r="H782" t="inlineStr"/>
      <c r="I782" t="inlineStr"/>
      <c r="J782" t="inlineStr">
        <is>
          <t>United States|VUSA.L|2015</t>
        </is>
      </c>
      <c r="K782" t="inlineStr">
        <is>
          <t>United States|2015</t>
        </is>
      </c>
      <c r="L782" t="inlineStr">
        <is>
          <t>GBP</t>
        </is>
      </c>
      <c r="M782" t="n">
        <v>3.897636952702643</v>
      </c>
      <c r="N782" t="n">
        <v>-4.888855870697362</v>
      </c>
      <c r="O782" t="n">
        <v>-1.181768770975389</v>
      </c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VUSA.L</t>
        </is>
      </c>
      <c r="D783" t="n">
        <v>2016</v>
      </c>
      <c r="E783" t="n">
        <v>34.7270590005774</v>
      </c>
      <c r="F783" t="n">
        <v>1.82</v>
      </c>
      <c r="G783" t="n">
        <v>2.7871</v>
      </c>
      <c r="H783" t="n">
        <v>2.7871</v>
      </c>
      <c r="I783" t="n">
        <v>-9.54063075200253</v>
      </c>
      <c r="J783" t="inlineStr">
        <is>
          <t>United States|VUSA.L|2016</t>
        </is>
      </c>
      <c r="K783" t="inlineStr">
        <is>
          <t>United States|2016</t>
        </is>
      </c>
      <c r="L783" t="inlineStr">
        <is>
          <t>GBP</t>
        </is>
      </c>
      <c r="M783" t="n">
        <v>34.7270590005774</v>
      </c>
      <c r="N783" t="n">
        <v>-16.62570861023462</v>
      </c>
      <c r="O783" t="n">
        <v>12.32773075200253</v>
      </c>
      <c r="P783" t="n">
        <v>0</v>
      </c>
      <c r="Q783" t="n">
        <v>12.32773075200253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VUSA.L</t>
        </is>
      </c>
      <c r="D784" t="n">
        <v>2017</v>
      </c>
      <c r="E784" t="n">
        <v>8.569795731649975</v>
      </c>
      <c r="F784" t="n">
        <v>2.458</v>
      </c>
      <c r="G784" t="n">
        <v>4.292498</v>
      </c>
      <c r="H784" t="n">
        <v>4.292498</v>
      </c>
      <c r="I784" t="n">
        <v>-13.87637470079994</v>
      </c>
      <c r="J784" t="inlineStr">
        <is>
          <t>United States|VUSA.L|2017</t>
        </is>
      </c>
      <c r="K784" t="inlineStr">
        <is>
          <t>United States|2017</t>
        </is>
      </c>
      <c r="L784" t="inlineStr">
        <is>
          <t>GBP</t>
        </is>
      </c>
      <c r="M784" t="n">
        <v>8.569795731649975</v>
      </c>
      <c r="N784" t="n">
        <v>8.841388071573641</v>
      </c>
      <c r="O784" t="n">
        <v>18.16887270079994</v>
      </c>
      <c r="P784" t="n">
        <v>0</v>
      </c>
      <c r="Q784" t="n">
        <v>18.16887270079994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VUSA.L</t>
        </is>
      </c>
      <c r="D785" t="n">
        <v>2018</v>
      </c>
      <c r="E785" t="n">
        <v>-1.036956616111029</v>
      </c>
      <c r="F785" t="n">
        <v>2.967</v>
      </c>
      <c r="G785" t="n">
        <v>5.325411</v>
      </c>
      <c r="H785" t="n">
        <v>5.325411</v>
      </c>
      <c r="I785" t="n">
        <v>12.38456987598321</v>
      </c>
      <c r="J785" t="inlineStr">
        <is>
          <t>United States|VUSA.L|2018</t>
        </is>
      </c>
      <c r="K785" t="inlineStr">
        <is>
          <t>United States|2018</t>
        </is>
      </c>
      <c r="L785" t="inlineStr">
        <is>
          <t>GBP</t>
        </is>
      </c>
      <c r="M785" t="n">
        <v>-1.036956616111029</v>
      </c>
      <c r="N785" t="n">
        <v>-6.085304224640065</v>
      </c>
      <c r="O785" t="n">
        <v>-7.059158875983207</v>
      </c>
      <c r="P785" t="n">
        <v>0</v>
      </c>
      <c r="Q785" t="n">
        <v>-7.059158875983207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VUSA.L</t>
        </is>
      </c>
      <c r="D786" t="n">
        <v>2019</v>
      </c>
      <c r="E786" t="n">
        <v>22.99959727002121</v>
      </c>
      <c r="F786" t="n">
        <v>2.584</v>
      </c>
      <c r="G786" t="n">
        <v>4.276857</v>
      </c>
      <c r="H786" t="n">
        <v>4.276857</v>
      </c>
      <c r="I786" t="n">
        <v>-22.34368149570196</v>
      </c>
      <c r="J786" t="inlineStr">
        <is>
          <t>United States|VUSA.L|2019</t>
        </is>
      </c>
      <c r="K786" t="inlineStr">
        <is>
          <t>United States|2019</t>
        </is>
      </c>
      <c r="L786" t="inlineStr">
        <is>
          <t>GBP</t>
        </is>
      </c>
      <c r="M786" t="n">
        <v>22.99959727002121</v>
      </c>
      <c r="N786" t="n">
        <v>2.94386429390634</v>
      </c>
      <c r="O786" t="n">
        <v>26.62053849570196</v>
      </c>
      <c r="P786" t="n">
        <v>0</v>
      </c>
      <c r="Q786" t="n">
        <v>26.62053849570196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VUSA.L</t>
        </is>
      </c>
      <c r="D787" t="n">
        <v>2020</v>
      </c>
      <c r="E787" t="n">
        <v>10.83400110078641</v>
      </c>
      <c r="F787" t="n">
        <v>-2.081</v>
      </c>
      <c r="G787" t="n">
        <v>-0.764625</v>
      </c>
      <c r="H787" t="n">
        <v>-0.764625</v>
      </c>
      <c r="I787" t="n">
        <v>-14.67448948422598</v>
      </c>
      <c r="J787" t="inlineStr">
        <is>
          <t>United States|VUSA.L|2020</t>
        </is>
      </c>
      <c r="K787" t="inlineStr">
        <is>
          <t>United States|2020</t>
        </is>
      </c>
      <c r="L787" t="inlineStr">
        <is>
          <t>GBP</t>
        </is>
      </c>
      <c r="M787" t="n">
        <v>10.83400110078641</v>
      </c>
      <c r="N787" t="n">
        <v>2.775198362317122</v>
      </c>
      <c r="O787" t="n">
        <v>13.90986448422598</v>
      </c>
      <c r="P787" t="n">
        <v>0</v>
      </c>
      <c r="Q787" t="n">
        <v>13.90986448422598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VUSA.L</t>
        </is>
      </c>
      <c r="D788" t="n">
        <v>2021</v>
      </c>
      <c r="E788" t="n">
        <v>29.85750070677069</v>
      </c>
      <c r="F788" t="n">
        <v>6.152</v>
      </c>
      <c r="G788" t="n">
        <v>10.995765</v>
      </c>
      <c r="H788" t="n">
        <v>10.995765</v>
      </c>
      <c r="I788" t="n">
        <v>-17.20316906769507</v>
      </c>
      <c r="J788" t="inlineStr">
        <is>
          <t>United States|VUSA.L|2021</t>
        </is>
      </c>
      <c r="K788" t="inlineStr">
        <is>
          <t>United States|2021</t>
        </is>
      </c>
      <c r="L788" t="inlineStr">
        <is>
          <t>GBP</t>
        </is>
      </c>
      <c r="M788" t="n">
        <v>29.85750070677069</v>
      </c>
      <c r="N788" t="n">
        <v>-1.277220514832489</v>
      </c>
      <c r="O788" t="n">
        <v>28.19893406769507</v>
      </c>
      <c r="P788" t="n">
        <v>0</v>
      </c>
      <c r="Q788" t="n">
        <v>28.19893406769507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VUSA.L</t>
        </is>
      </c>
      <c r="D789" t="n">
        <v>2022</v>
      </c>
      <c r="E789" t="n">
        <v>-10.29460506394723</v>
      </c>
      <c r="F789" t="n">
        <v>2.524</v>
      </c>
      <c r="G789" t="n">
        <v>9.816169</v>
      </c>
      <c r="H789" t="n">
        <v>9.816169</v>
      </c>
      <c r="I789" t="n">
        <v>29.83577807391222</v>
      </c>
      <c r="J789" t="inlineStr">
        <is>
          <t>United States|VUSA.L|2022</t>
        </is>
      </c>
      <c r="K789" t="inlineStr">
        <is>
          <t>United States|2022</t>
        </is>
      </c>
      <c r="L789" t="inlineStr">
        <is>
          <t>GBP</t>
        </is>
      </c>
      <c r="M789" t="n">
        <v>-10.29460506394723</v>
      </c>
      <c r="N789" t="n">
        <v>-10.84104698150823</v>
      </c>
      <c r="O789" t="n">
        <v>-20.01960907391221</v>
      </c>
      <c r="P789" t="n">
        <v>0</v>
      </c>
      <c r="Q789" t="n">
        <v>-20.01960907391221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VUSA.L</t>
        </is>
      </c>
      <c r="D790" t="n">
        <v>2023</v>
      </c>
      <c r="E790" t="n">
        <v>18.0067937564125</v>
      </c>
      <c r="F790" t="n">
        <v>2.935</v>
      </c>
      <c r="G790" t="n">
        <v>6.743147</v>
      </c>
      <c r="H790" t="n">
        <v>6.743147</v>
      </c>
      <c r="I790" t="n">
        <v>-17.23836693553394</v>
      </c>
      <c r="J790" t="inlineStr">
        <is>
          <t>United States|VUSA.L|2023</t>
        </is>
      </c>
      <c r="K790" t="inlineStr">
        <is>
          <t>United States|2023</t>
        </is>
      </c>
      <c r="L790" t="inlineStr">
        <is>
          <t>GBP</t>
        </is>
      </c>
      <c r="M790" t="n">
        <v>18.0067937564125</v>
      </c>
      <c r="N790" t="n">
        <v>5.06303068571996</v>
      </c>
      <c r="O790" t="n">
        <v>23.98151393553394</v>
      </c>
      <c r="P790" t="n">
        <v>0</v>
      </c>
      <c r="Q790" t="n">
        <v>23.98151393553394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VUSA.L</t>
        </is>
      </c>
      <c r="D791" t="n">
        <v>2024</v>
      </c>
      <c r="E791" t="n">
        <v>25.80351177014803</v>
      </c>
      <c r="F791" t="n">
        <v>2.793</v>
      </c>
      <c r="G791" t="n">
        <v>5.345001</v>
      </c>
      <c r="H791" t="n">
        <v>5.345001</v>
      </c>
      <c r="I791" t="n">
        <v>-18.67077553324414</v>
      </c>
      <c r="J791" t="inlineStr">
        <is>
          <t>United States|VUSA.L|2024</t>
        </is>
      </c>
      <c r="K791" t="inlineStr">
        <is>
          <t>United States|2024</t>
        </is>
      </c>
      <c r="L791" t="inlineStr">
        <is>
          <t>GBP</t>
        </is>
      </c>
      <c r="M791" t="n">
        <v>25.80351177014803</v>
      </c>
      <c r="N791" t="n">
        <v>-1.421053523664917</v>
      </c>
      <c r="O791" t="n">
        <v>24.01577653324414</v>
      </c>
      <c r="P791" t="n">
        <v>0</v>
      </c>
      <c r="Q791" t="n">
        <v>24.01577653324414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VUSA.L</t>
        </is>
      </c>
      <c r="D792" t="n">
        <v>2025</v>
      </c>
      <c r="E792" t="n">
        <v>7.289563266672427</v>
      </c>
      <c r="F792" t="n">
        <v>2.017</v>
      </c>
      <c r="G792" t="n">
        <v>4.497634</v>
      </c>
      <c r="H792" t="n">
        <v>4.497634</v>
      </c>
      <c r="I792" t="n">
        <v>-10.91581941738201</v>
      </c>
      <c r="J792" t="inlineStr">
        <is>
          <t>United States|VUSA.L|2025</t>
        </is>
      </c>
      <c r="K792" t="inlineStr">
        <is>
          <t>United States|2025</t>
        </is>
      </c>
      <c r="L792" t="inlineStr">
        <is>
          <t>GBP</t>
        </is>
      </c>
      <c r="M792" t="n">
        <v>7.289563266672427</v>
      </c>
      <c r="N792" t="n">
        <v>7.571929555270285</v>
      </c>
      <c r="O792" t="n">
        <v>15.41345341738201</v>
      </c>
      <c r="P792" t="n">
        <v>0</v>
      </c>
      <c r="Q792" t="n">
        <v>15.41345341738201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VUSA.L</t>
        </is>
      </c>
      <c r="D793" t="n">
        <v>2026</v>
      </c>
      <c r="E793" t="n">
        <v>1.066210540492207</v>
      </c>
      <c r="F793" t="n">
        <v>2.102</v>
      </c>
      <c r="G793" t="n">
        <v>3.93768</v>
      </c>
      <c r="H793" t="n">
        <v>3.93768</v>
      </c>
      <c r="I793" t="n">
        <v>3.655149023517724</v>
      </c>
      <c r="J793" t="inlineStr">
        <is>
          <t>United States|VUSA.L|2026</t>
        </is>
      </c>
      <c r="K793" t="inlineStr">
        <is>
          <t>United States|2026</t>
        </is>
      </c>
      <c r="L793" t="inlineStr">
        <is>
          <t>GBP</t>
        </is>
      </c>
      <c r="M793" t="n">
        <v>1.066210540492207</v>
      </c>
      <c r="N793" t="n">
        <v>-0.7754120391166297</v>
      </c>
      <c r="O793" t="n">
        <v>0.2825309764822759</v>
      </c>
      <c r="P793" t="n">
        <v>0</v>
      </c>
      <c r="Q793" t="n">
        <v>0.2825309764822759</v>
      </c>
    </row>
    <row r="794">
      <c r="A794" t="inlineStr">
        <is>
          <t>Vietnam</t>
        </is>
      </c>
      <c r="B794" t="inlineStr">
        <is>
          <t>VNM</t>
        </is>
      </c>
      <c r="C794" t="inlineStr">
        <is>
          <t>XFVT.L</t>
        </is>
      </c>
      <c r="D794" t="n">
        <v>2015</v>
      </c>
      <c r="E794" t="n">
        <v>-13.48618627171746</v>
      </c>
      <c r="F794" t="n">
        <v>6.987</v>
      </c>
      <c r="G794" t="inlineStr"/>
      <c r="H794" t="inlineStr"/>
      <c r="I794" t="inlineStr"/>
      <c r="J794" t="inlineStr">
        <is>
          <t>Vietnam|XFVT.L|2015</t>
        </is>
      </c>
      <c r="K794" t="inlineStr">
        <is>
          <t>Vietnam|2015</t>
        </is>
      </c>
      <c r="L794" t="inlineStr">
        <is>
          <t>GBp</t>
        </is>
      </c>
      <c r="M794" t="n">
        <v>-13.48618627171746</v>
      </c>
      <c r="N794" t="n">
        <v>-4.888855870697362</v>
      </c>
      <c r="O794" t="n">
        <v>-17.71572193313678</v>
      </c>
      <c r="P794" t="inlineStr"/>
      <c r="Q794" t="inlineStr"/>
    </row>
    <row r="795">
      <c r="A795" t="inlineStr">
        <is>
          <t>Vietnam</t>
        </is>
      </c>
      <c r="B795" t="inlineStr">
        <is>
          <t>VNM</t>
        </is>
      </c>
      <c r="C795" t="inlineStr">
        <is>
          <t>XFVT.L</t>
        </is>
      </c>
      <c r="D795" t="n">
        <v>2016</v>
      </c>
      <c r="E795" t="n">
        <v>16.79276315789475</v>
      </c>
      <c r="F795" t="n">
        <v>6.69</v>
      </c>
      <c r="G795" t="n">
        <v>8.631271999999999</v>
      </c>
      <c r="H795" t="n">
        <v>6.482823</v>
      </c>
      <c r="I795" t="n">
        <v>9.107684322578287</v>
      </c>
      <c r="J795" t="inlineStr">
        <is>
          <t>Vietnam|XFVT.L|2016</t>
        </is>
      </c>
      <c r="K795" t="inlineStr">
        <is>
          <t>Vietnam|2016</t>
        </is>
      </c>
      <c r="L795" t="inlineStr">
        <is>
          <t>GBp</t>
        </is>
      </c>
      <c r="M795" t="n">
        <v>16.79276315789475</v>
      </c>
      <c r="N795" t="n">
        <v>-16.62570861023462</v>
      </c>
      <c r="O795" t="n">
        <v>-2.624861322578287</v>
      </c>
      <c r="P795" t="n">
        <v>2.017648688576834</v>
      </c>
      <c r="Q795" t="n">
        <v>-4.550693013252083</v>
      </c>
    </row>
    <row r="796">
      <c r="A796" t="inlineStr">
        <is>
          <t>Vietnam</t>
        </is>
      </c>
      <c r="B796" t="inlineStr">
        <is>
          <t>VNM</t>
        </is>
      </c>
      <c r="C796" t="inlineStr">
        <is>
          <t>XFVT.L</t>
        </is>
      </c>
      <c r="D796" t="n">
        <v>2017</v>
      </c>
      <c r="E796" t="n">
        <v>33.44334433443345</v>
      </c>
      <c r="F796" t="n">
        <v>6.94</v>
      </c>
      <c r="G796" t="n">
        <v>11.605905</v>
      </c>
      <c r="H796" t="n">
        <v>9.885146000000001</v>
      </c>
      <c r="I796" t="n">
        <v>-35.35644226272699</v>
      </c>
      <c r="J796" t="inlineStr">
        <is>
          <t>Vietnam|XFVT.L|2017</t>
        </is>
      </c>
      <c r="K796" t="inlineStr">
        <is>
          <t>Vietnam|2017</t>
        </is>
      </c>
      <c r="L796" t="inlineStr">
        <is>
          <t>GBp</t>
        </is>
      </c>
      <c r="M796" t="n">
        <v>33.44334433443345</v>
      </c>
      <c r="N796" t="n">
        <v>8.841388071573641</v>
      </c>
      <c r="O796" t="n">
        <v>45.24158826272699</v>
      </c>
      <c r="P796" t="n">
        <v>1.565961953829831</v>
      </c>
      <c r="Q796" t="n">
        <v>43.0022277825236</v>
      </c>
    </row>
    <row r="797">
      <c r="A797" t="inlineStr">
        <is>
          <t>Vietnam</t>
        </is>
      </c>
      <c r="B797" t="inlineStr">
        <is>
          <t>VNM</t>
        </is>
      </c>
      <c r="C797" t="inlineStr">
        <is>
          <t>XFVT.L</t>
        </is>
      </c>
      <c r="D797" t="n">
        <v>2018</v>
      </c>
      <c r="E797" t="n">
        <v>-7.244752394538412</v>
      </c>
      <c r="F797" t="n">
        <v>7.465</v>
      </c>
      <c r="G797" t="n">
        <v>11.362384</v>
      </c>
      <c r="H797" t="n">
        <v>9.888801000000001</v>
      </c>
      <c r="I797" t="n">
        <v>22.77799239564892</v>
      </c>
      <c r="J797" t="inlineStr">
        <is>
          <t>Vietnam|XFVT.L|2018</t>
        </is>
      </c>
      <c r="K797" t="inlineStr">
        <is>
          <t>Vietnam|2018</t>
        </is>
      </c>
      <c r="L797" t="inlineStr">
        <is>
          <t>GBp</t>
        </is>
      </c>
      <c r="M797" t="n">
        <v>-7.244752394538412</v>
      </c>
      <c r="N797" t="n">
        <v>-6.085304224640065</v>
      </c>
      <c r="O797" t="n">
        <v>-12.88919139564891</v>
      </c>
      <c r="P797" t="n">
        <v>1.340976101186331</v>
      </c>
      <c r="Q797" t="n">
        <v>-14.04186938423289</v>
      </c>
    </row>
    <row r="798">
      <c r="A798" t="inlineStr">
        <is>
          <t>Vietnam</t>
        </is>
      </c>
      <c r="B798" t="inlineStr">
        <is>
          <t>VNM</t>
        </is>
      </c>
      <c r="C798" t="inlineStr">
        <is>
          <t>XFVT.L</t>
        </is>
      </c>
      <c r="D798" t="n">
        <v>2019</v>
      </c>
      <c r="E798" t="n">
        <v>-1.198186528497414</v>
      </c>
      <c r="F798" t="n">
        <v>7.359</v>
      </c>
      <c r="G798" t="n">
        <v>9.960820999999999</v>
      </c>
      <c r="H798" t="n">
        <v>8.982165999999999</v>
      </c>
      <c r="I798" t="n">
        <v>7.271761219977909</v>
      </c>
      <c r="J798" t="inlineStr">
        <is>
          <t>Vietnam|XFVT.L|2019</t>
        </is>
      </c>
      <c r="K798" t="inlineStr">
        <is>
          <t>Vietnam|2019</t>
        </is>
      </c>
      <c r="L798" t="inlineStr">
        <is>
          <t>GBp</t>
        </is>
      </c>
      <c r="M798" t="n">
        <v>-1.198186528497414</v>
      </c>
      <c r="N798" t="n">
        <v>2.94386429390634</v>
      </c>
      <c r="O798" t="n">
        <v>1.71040478002209</v>
      </c>
      <c r="P798" t="n">
        <v>0.897996055312289</v>
      </c>
      <c r="Q798" t="n">
        <v>0.8051782557350728</v>
      </c>
    </row>
    <row r="799">
      <c r="A799" t="inlineStr">
        <is>
          <t>Vietnam</t>
        </is>
      </c>
      <c r="B799" t="inlineStr">
        <is>
          <t>VNM</t>
        </is>
      </c>
      <c r="C799" t="inlineStr">
        <is>
          <t>XFVT.L</t>
        </is>
      </c>
      <c r="D799" t="n">
        <v>2020</v>
      </c>
      <c r="E799" t="n">
        <v>12.24511813572122</v>
      </c>
      <c r="F799" t="n">
        <v>2.865</v>
      </c>
      <c r="G799" t="n">
        <v>4.374941</v>
      </c>
      <c r="H799" t="n">
        <v>4.367454</v>
      </c>
      <c r="I799" t="n">
        <v>-10.99268881600469</v>
      </c>
      <c r="J799" t="inlineStr">
        <is>
          <t>Vietnam|XFVT.L|2020</t>
        </is>
      </c>
      <c r="K799" t="inlineStr">
        <is>
          <t>Vietnam|2020</t>
        </is>
      </c>
      <c r="L799" t="inlineStr">
        <is>
          <t>GBp</t>
        </is>
      </c>
      <c r="M799" t="n">
        <v>12.24511813572122</v>
      </c>
      <c r="N799" t="n">
        <v>2.775198362317122</v>
      </c>
      <c r="O799" t="n">
        <v>15.36014281600469</v>
      </c>
      <c r="P799" t="n">
        <v>0.00717294682246461</v>
      </c>
      <c r="Q799" t="n">
        <v>15.35186868780498</v>
      </c>
    </row>
    <row r="800">
      <c r="A800" t="inlineStr">
        <is>
          <t>Vietnam</t>
        </is>
      </c>
      <c r="B800" t="inlineStr">
        <is>
          <t>VNM</t>
        </is>
      </c>
      <c r="C800" t="inlineStr">
        <is>
          <t>XFVT.L</t>
        </is>
      </c>
      <c r="D800" t="n">
        <v>2021</v>
      </c>
      <c r="E800" t="n">
        <v>31.4366729678639</v>
      </c>
      <c r="F800" t="n">
        <v>2.554</v>
      </c>
      <c r="G800" t="n">
        <v>5.508063</v>
      </c>
      <c r="H800" t="n">
        <v>6.862638</v>
      </c>
      <c r="I800" t="n">
        <v>-22.89529881670504</v>
      </c>
      <c r="J800" t="inlineStr">
        <is>
          <t>Vietnam|XFVT.L|2021</t>
        </is>
      </c>
      <c r="K800" t="inlineStr">
        <is>
          <t>Vietnam|2021</t>
        </is>
      </c>
      <c r="L800" t="inlineStr">
        <is>
          <t>GBp</t>
        </is>
      </c>
      <c r="M800" t="n">
        <v>31.4366729678639</v>
      </c>
      <c r="N800" t="n">
        <v>-1.277220514832489</v>
      </c>
      <c r="O800" t="n">
        <v>29.75793681670504</v>
      </c>
      <c r="P800" t="n">
        <v>-1.267584353936169</v>
      </c>
      <c r="Q800" t="n">
        <v>31.42384491215282</v>
      </c>
    </row>
    <row r="801">
      <c r="A801" t="inlineStr">
        <is>
          <t>Vietnam</t>
        </is>
      </c>
      <c r="B801" t="inlineStr">
        <is>
          <t>VNM</t>
        </is>
      </c>
      <c r="C801" t="inlineStr">
        <is>
          <t>XFVT.L</t>
        </is>
      </c>
      <c r="D801" t="n">
        <v>2022</v>
      </c>
      <c r="E801" t="n">
        <v>-39.70095025153717</v>
      </c>
      <c r="F801" t="n">
        <v>8.538</v>
      </c>
      <c r="G801" t="n">
        <v>13.35964</v>
      </c>
      <c r="H801" t="n">
        <v>11.076644</v>
      </c>
      <c r="I801" t="n">
        <v>57.31464256417105</v>
      </c>
      <c r="J801" t="inlineStr">
        <is>
          <t>Vietnam|XFVT.L|2022</t>
        </is>
      </c>
      <c r="K801" t="inlineStr">
        <is>
          <t>Vietnam|2022</t>
        </is>
      </c>
      <c r="L801" t="inlineStr">
        <is>
          <t>GBp</t>
        </is>
      </c>
      <c r="M801" t="n">
        <v>-39.70095025153717</v>
      </c>
      <c r="N801" t="n">
        <v>-10.84104698150823</v>
      </c>
      <c r="O801" t="n">
        <v>-46.23799856417104</v>
      </c>
      <c r="P801" t="n">
        <v>2.055334601984238</v>
      </c>
      <c r="Q801" t="n">
        <v>-47.32073375144892</v>
      </c>
    </row>
    <row r="802">
      <c r="A802" t="inlineStr">
        <is>
          <t>Vietnam</t>
        </is>
      </c>
      <c r="B802" t="inlineStr">
        <is>
          <t>VNM</t>
        </is>
      </c>
      <c r="C802" t="inlineStr">
        <is>
          <t>XFVT.L</t>
        </is>
      </c>
      <c r="D802" t="n">
        <v>2023</v>
      </c>
      <c r="E802" t="n">
        <v>-5.490410958904112</v>
      </c>
      <c r="F802" t="n">
        <v>5.065</v>
      </c>
      <c r="G802" t="n">
        <v>7.264446</v>
      </c>
      <c r="H802" t="n">
        <v>5.337316</v>
      </c>
      <c r="I802" t="n">
        <v>6.042677464805599</v>
      </c>
      <c r="J802" t="inlineStr">
        <is>
          <t>Vietnam|XFVT.L|2023</t>
        </is>
      </c>
      <c r="K802" t="inlineStr">
        <is>
          <t>Vietnam|2023</t>
        </is>
      </c>
      <c r="L802" t="inlineStr">
        <is>
          <t>GBp</t>
        </is>
      </c>
      <c r="M802" t="n">
        <v>-5.490410958904112</v>
      </c>
      <c r="N802" t="n">
        <v>5.06303068571996</v>
      </c>
      <c r="O802" t="n">
        <v>-0.7053614648055984</v>
      </c>
      <c r="P802" t="n">
        <v>1.829483787943009</v>
      </c>
      <c r="Q802" t="n">
        <v>-2.48930384251711</v>
      </c>
    </row>
    <row r="803">
      <c r="A803" t="inlineStr">
        <is>
          <t>Vietnam</t>
        </is>
      </c>
      <c r="B803" t="inlineStr">
        <is>
          <t>VNM</t>
        </is>
      </c>
      <c r="C803" t="inlineStr">
        <is>
          <t>XFVT.L</t>
        </is>
      </c>
      <c r="D803" t="n">
        <v>2024</v>
      </c>
      <c r="E803" t="n">
        <v>-8.879860708067334</v>
      </c>
      <c r="F803" t="n">
        <v>7.091</v>
      </c>
      <c r="G803" t="n">
        <v>11.545738</v>
      </c>
      <c r="H803" t="n">
        <v>6.111665</v>
      </c>
      <c r="I803" t="n">
        <v>16.28639165824373</v>
      </c>
      <c r="J803" t="inlineStr">
        <is>
          <t>Vietnam|XFVT.L|2024</t>
        </is>
      </c>
      <c r="K803" t="inlineStr">
        <is>
          <t>Vietnam|2024</t>
        </is>
      </c>
      <c r="L803" t="inlineStr">
        <is>
          <t>GBp</t>
        </is>
      </c>
      <c r="M803" t="n">
        <v>-8.879860708067334</v>
      </c>
      <c r="N803" t="n">
        <v>-1.421053523664917</v>
      </c>
      <c r="O803" t="n">
        <v>-10.17472665824373</v>
      </c>
      <c r="P803" t="n">
        <v>5.121088586406031</v>
      </c>
      <c r="Q803" t="n">
        <v>-14.55066290725967</v>
      </c>
    </row>
    <row r="804">
      <c r="A804" t="inlineStr">
        <is>
          <t>Vietnam</t>
        </is>
      </c>
      <c r="B804" t="inlineStr">
        <is>
          <t>VNM</t>
        </is>
      </c>
      <c r="C804" t="inlineStr">
        <is>
          <t>XFVT.L</t>
        </is>
      </c>
      <c r="D804" t="n">
        <v>2025</v>
      </c>
      <c r="E804" t="n">
        <v>55.06464164679304</v>
      </c>
      <c r="F804" t="n">
        <v>6.457</v>
      </c>
      <c r="G804" t="n">
        <v>9.991490000000001</v>
      </c>
      <c r="H804" t="n">
        <v>5.496309</v>
      </c>
      <c r="I804" t="n">
        <v>-61.30971807742051</v>
      </c>
      <c r="J804" t="inlineStr">
        <is>
          <t>Vietnam|XFVT.L|2025</t>
        </is>
      </c>
      <c r="K804" t="inlineStr">
        <is>
          <t>Vietnam|2025</t>
        </is>
      </c>
      <c r="L804" t="inlineStr">
        <is>
          <t>GBp</t>
        </is>
      </c>
      <c r="M804" t="n">
        <v>55.06464164679304</v>
      </c>
      <c r="N804" t="n">
        <v>7.571929555270285</v>
      </c>
      <c r="O804" t="n">
        <v>66.80602707742051</v>
      </c>
      <c r="P804" t="n">
        <v>4.260984277585145</v>
      </c>
      <c r="Q804" t="n">
        <v>59.9889241725505</v>
      </c>
    </row>
    <row r="805">
      <c r="A805" t="inlineStr">
        <is>
          <t>Vietnam</t>
        </is>
      </c>
      <c r="B805" t="inlineStr">
        <is>
          <t>VNM</t>
        </is>
      </c>
      <c r="C805" t="inlineStr">
        <is>
          <t>XFVT.L</t>
        </is>
      </c>
      <c r="D805" t="n">
        <v>2026</v>
      </c>
      <c r="E805" t="n">
        <v>-2.685319183148405</v>
      </c>
      <c r="F805" t="n">
        <v>5.595</v>
      </c>
      <c r="G805" t="n">
        <v>9.35421</v>
      </c>
      <c r="H805" t="n">
        <v>5.432554</v>
      </c>
      <c r="I805" t="n">
        <v>8.872462934030189</v>
      </c>
      <c r="J805" t="inlineStr">
        <is>
          <t>Vietnam|XFVT.L|2026</t>
        </is>
      </c>
      <c r="K805" t="inlineStr">
        <is>
          <t>Vietnam|2026</t>
        </is>
      </c>
      <c r="L805" t="inlineStr">
        <is>
          <t>GBp</t>
        </is>
      </c>
      <c r="M805" t="n">
        <v>-2.685319183148405</v>
      </c>
      <c r="N805" t="n">
        <v>-0.7754120391166297</v>
      </c>
      <c r="O805" t="n">
        <v>-3.439908934030189</v>
      </c>
      <c r="P805" t="n">
        <v>3.71958745904466</v>
      </c>
      <c r="Q805" t="n">
        <v>-6.902742836209108</v>
      </c>
    </row>
  </sheetData>
  <autoFilter ref="A1:Q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24.5942368252007</v>
      </c>
      <c r="G160" t="n">
        <v>1.07600000000001</v>
      </c>
      <c r="H160" t="n">
        <v>3.887970000000007</v>
      </c>
      <c r="I160" t="n">
        <v>6.479751999999994</v>
      </c>
      <c r="J160" t="n">
        <v>-18.11448482520071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17.21101514992034</v>
      </c>
      <c r="G161" t="n">
        <v>0.8070767384687372</v>
      </c>
      <c r="H161" t="n">
        <v>4.079471863645368</v>
      </c>
      <c r="I161" t="n">
        <v>0.1296002875132762</v>
      </c>
      <c r="J161" t="n">
        <v>-17.08141486240706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6.385415625106305</v>
      </c>
      <c r="G162" t="n">
        <v>1.212938163621247</v>
      </c>
      <c r="H162" t="n">
        <v>3.211698957264009</v>
      </c>
      <c r="I162" t="n">
        <v>-3.270926251822071</v>
      </c>
      <c r="J162" t="n">
        <v>-9.656341876928376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15.10072133742288</v>
      </c>
      <c r="G178" t="n">
        <v>4.499999999999993</v>
      </c>
      <c r="H178" t="n">
        <v>5.607851000000008</v>
      </c>
      <c r="I178" t="n">
        <v>11.45000199999999</v>
      </c>
      <c r="J178" t="n">
        <v>-3.650719337422892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10.2501129643682</v>
      </c>
      <c r="G179" t="n">
        <v>4.378667423638438</v>
      </c>
      <c r="H179" t="n">
        <v>4.370250040512258</v>
      </c>
      <c r="I179" t="n">
        <v>4.885544483325233</v>
      </c>
      <c r="J179" t="n">
        <v>-5.364568481042963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3.015219573951078</v>
      </c>
      <c r="G180" t="n">
        <v>5.077690900653709</v>
      </c>
      <c r="H180" t="n">
        <v>7.544555745421189</v>
      </c>
      <c r="I180" t="n">
        <v>6.876392291377909</v>
      </c>
      <c r="J180" t="n">
        <v>3.861172717426831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2.707796542307261</v>
      </c>
      <c r="G181" t="n">
        <v>3.89444961245704</v>
      </c>
      <c r="H181" t="n">
        <v>5.657761217890767</v>
      </c>
      <c r="I181" t="n">
        <v>4.557398172221427</v>
      </c>
      <c r="J181" t="n">
        <v>1.849601629914166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51.79014314508883</v>
      </c>
      <c r="G190" t="n">
        <v>0.990000000000002</v>
      </c>
      <c r="H190" t="n">
        <v>6.194170999999993</v>
      </c>
      <c r="I190" t="n">
        <v>0.3433589999999986</v>
      </c>
      <c r="J190" t="n">
        <v>-51.44678414508883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15.56375051222438</v>
      </c>
      <c r="G191" t="n">
        <v>1.918513449306825</v>
      </c>
      <c r="H191" t="n">
        <v>6.916414971568341</v>
      </c>
      <c r="I191" t="n">
        <v>8.288030696523553</v>
      </c>
      <c r="J191" t="n">
        <v>-7.275719815700832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12.65706447900565</v>
      </c>
      <c r="G192" t="n">
        <v>3.089983868865098</v>
      </c>
      <c r="H192" t="n">
        <v>8.420259177260391</v>
      </c>
      <c r="I192" t="n">
        <v>10.68895551720954</v>
      </c>
      <c r="J192" t="n">
        <v>-1.96810896179611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5.904962493780075</v>
      </c>
      <c r="G193" t="n">
        <v>1.173082287112415</v>
      </c>
      <c r="H193" t="n">
        <v>6.497216116328164</v>
      </c>
      <c r="I193" t="n">
        <v>4.380318769606451</v>
      </c>
      <c r="J193" t="n">
        <v>-1.524643724173624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-0.8685311923225081</v>
      </c>
      <c r="G218" t="n">
        <v>5.43499999999999</v>
      </c>
      <c r="H218" t="n">
        <v>7.04919799999999</v>
      </c>
      <c r="I218" t="n">
        <v>7.049349999999999</v>
      </c>
      <c r="J218" t="n">
        <v>7.917881192322507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-0.4816288963851667</v>
      </c>
      <c r="G219" t="n">
        <v>5.5486124491402</v>
      </c>
      <c r="H219" t="n">
        <v>8.723390614114468</v>
      </c>
      <c r="I219" t="n">
        <v>6.914117046183832</v>
      </c>
      <c r="J219" t="n">
        <v>7.395745942568999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-4.09809922309603</v>
      </c>
      <c r="G220" t="n">
        <v>5.98537852939689</v>
      </c>
      <c r="H220" t="n">
        <v>9.539154091663882</v>
      </c>
      <c r="I220" t="n">
        <v>6.43665521117589</v>
      </c>
      <c r="J220" t="n">
        <v>10.53475443427192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-2.106436791246491</v>
      </c>
      <c r="G221" t="n">
        <v>4.577380856389279</v>
      </c>
      <c r="H221" t="n">
        <v>7.338547585198718</v>
      </c>
      <c r="I221" t="n">
        <v>4.894130513115047</v>
      </c>
      <c r="J221" t="n">
        <v>7.000567304361538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72.13124049861612</v>
      </c>
      <c r="G234" t="n">
        <v>3.242999999999996</v>
      </c>
      <c r="H234" t="n">
        <v>6.963458</v>
      </c>
      <c r="I234" t="n">
        <v>13.67509600000001</v>
      </c>
      <c r="J234" t="n">
        <v>-58.45614449861611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33.71629776031089</v>
      </c>
      <c r="G235" t="n">
        <v>2.129799151051381</v>
      </c>
      <c r="H235" t="n">
        <v>7.894685758453091</v>
      </c>
      <c r="I235" t="n">
        <v>14.3256449842778</v>
      </c>
      <c r="J235" t="n">
        <v>-19.39065277603309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13.20488786726455</v>
      </c>
      <c r="G236" t="n">
        <v>3.694927012118776</v>
      </c>
      <c r="H236" t="n">
        <v>10.5113249209076</v>
      </c>
      <c r="I236" t="n">
        <v>11.40132337014548</v>
      </c>
      <c r="J236" t="n">
        <v>-1.803564497119071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7.804696961693369</v>
      </c>
      <c r="G237" t="n">
        <v>3.523867731974173</v>
      </c>
      <c r="H237" t="n">
        <v>7.966916383506151</v>
      </c>
      <c r="I237" t="n">
        <v>8.040807864819421</v>
      </c>
      <c r="J237" t="n">
        <v>0.2361109031260513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73.25046185797825</v>
      </c>
      <c r="G272" t="n">
        <v>1.149</v>
      </c>
      <c r="H272" t="n">
        <v>4.70545200000001</v>
      </c>
      <c r="I272" t="n">
        <v>6.309776999999994</v>
      </c>
      <c r="J272" t="n">
        <v>-66.94068485797825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23.15404289151002</v>
      </c>
      <c r="G273" t="n">
        <v>0.829687067689866</v>
      </c>
      <c r="H273" t="n">
        <v>4.913829447217033</v>
      </c>
      <c r="I273" t="n">
        <v>1.527172730413695</v>
      </c>
      <c r="J273" t="n">
        <v>-21.62687016109632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13.56941057534642</v>
      </c>
      <c r="G274" t="n">
        <v>1.869366313573084</v>
      </c>
      <c r="H274" t="n">
        <v>6.71419962014479</v>
      </c>
      <c r="I274" t="n">
        <v>4.763139999836619</v>
      </c>
      <c r="J274" t="n">
        <v>-8.806270575509799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9.285044159321387</v>
      </c>
      <c r="G275" t="n">
        <v>0.6533111721663376</v>
      </c>
      <c r="H275" t="n">
        <v>5.703683055668485</v>
      </c>
      <c r="I275" t="n">
        <v>2.091418501604658</v>
      </c>
      <c r="J275" t="n">
        <v>-7.193625657716729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92.44159338347782</v>
      </c>
      <c r="G288" t="n">
        <v>0.8960000000000079</v>
      </c>
      <c r="H288" t="n">
        <v>2.117764000000011</v>
      </c>
      <c r="I288" t="n">
        <v>-0.8966680000000005</v>
      </c>
      <c r="J288" t="n">
        <v>-93.33826138347783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23.4885584863024</v>
      </c>
      <c r="G289" t="n">
        <v>1.493305092303054</v>
      </c>
      <c r="H289" t="n">
        <v>3.961092019769596</v>
      </c>
      <c r="I289" t="n">
        <v>1.085035519760158</v>
      </c>
      <c r="J289" t="n">
        <v>-22.40352296654224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3.588747101966594</v>
      </c>
      <c r="G290" t="n">
        <v>2.356949693623722</v>
      </c>
      <c r="H290" t="n">
        <v>4.870370138951352</v>
      </c>
      <c r="I290" t="n">
        <v>1.275389793357129</v>
      </c>
      <c r="J290" t="n">
        <v>-2.313357308609465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34.37843933190516</v>
      </c>
      <c r="G307" t="n">
        <v>0.7500000000000062</v>
      </c>
      <c r="H307" t="n">
        <v>2.432129000000005</v>
      </c>
      <c r="I307" t="n">
        <v>9.70706400000001</v>
      </c>
      <c r="J307" t="n">
        <v>-24.67137533190515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17.07231561583815</v>
      </c>
      <c r="G308" t="n">
        <v>0.4542450414806831</v>
      </c>
      <c r="H308" t="n">
        <v>3.959361240613513</v>
      </c>
      <c r="I308" t="n">
        <v>4.821015691858244</v>
      </c>
      <c r="J308" t="n">
        <v>-12.25129992397991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6.611240624110293</v>
      </c>
      <c r="G309" t="n">
        <v>1.5520943328027</v>
      </c>
      <c r="H309" t="n">
        <v>5.446509835445701</v>
      </c>
      <c r="I309" t="n">
        <v>4.004246220294672</v>
      </c>
      <c r="J309" t="n">
        <v>-2.606994403815621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-16.16879149181328</v>
      </c>
      <c r="G310" t="n">
        <v>1.415028937020568</v>
      </c>
      <c r="H310" t="n">
        <v>4.443393256159789</v>
      </c>
      <c r="I310" t="n">
        <v>2.818373558130216</v>
      </c>
      <c r="J310" t="n">
        <v>18.9871650499435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31.39886692904705</v>
      </c>
      <c r="G315" t="n">
        <v>0.9460000000000024</v>
      </c>
      <c r="H315" t="n">
        <v>1.031491999999989</v>
      </c>
      <c r="I315" t="n">
        <v>6.876597000000007</v>
      </c>
      <c r="J315" t="n">
        <v>-24.52226992904705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13.85756586806508</v>
      </c>
      <c r="G316" t="n">
        <v>1.014998373451514</v>
      </c>
      <c r="H316" t="n">
        <v>1.79693154984033</v>
      </c>
      <c r="I316" t="n">
        <v>6.566079289818028</v>
      </c>
      <c r="J316" t="n">
        <v>-7.291486578247053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-48.62324429668489</v>
      </c>
      <c r="G317" t="n">
        <v>2.332607250104335</v>
      </c>
      <c r="H317" t="n">
        <v>3.695225959222448</v>
      </c>
      <c r="I317" t="n">
        <v>6.226742610230285</v>
      </c>
      <c r="J317" t="n">
        <v>54.84998690691517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4.169748920164595</v>
      </c>
      <c r="G318" t="n">
        <v>1.682160098409158</v>
      </c>
      <c r="H318" t="n">
        <v>2.25487036017904</v>
      </c>
      <c r="I318" t="n">
        <v>3.750768791677905</v>
      </c>
      <c r="J318" t="n">
        <v>-0.4189801284866901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33.17535317071263</v>
      </c>
      <c r="G331" t="n">
        <v>3.673999999999999</v>
      </c>
      <c r="H331" t="n">
        <v>5.468292000000008</v>
      </c>
      <c r="I331" t="n">
        <v>10.96393499999999</v>
      </c>
      <c r="J331" t="n">
        <v>-22.21141817071263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28.04010443105349</v>
      </c>
      <c r="G332" t="n">
        <v>3.199286997583917</v>
      </c>
      <c r="H332" t="n">
        <v>5.756142806055453</v>
      </c>
      <c r="I332" t="n">
        <v>4.924185071867271</v>
      </c>
      <c r="J332" t="n">
        <v>-23.11591935918622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13.19399138875445</v>
      </c>
      <c r="G333" t="n">
        <v>3.790053779043401</v>
      </c>
      <c r="H333" t="n">
        <v>6.154652973093233</v>
      </c>
      <c r="I333" t="n">
        <v>5.494197356395891</v>
      </c>
      <c r="J333" t="n">
        <v>-7.699794032358564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17.0977898112201</v>
      </c>
      <c r="G334" t="n">
        <v>3.414407627179994</v>
      </c>
      <c r="H334" t="n">
        <v>4.698072696184274</v>
      </c>
      <c r="I334" t="n">
        <v>5.164278093211339</v>
      </c>
      <c r="J334" t="n">
        <v>-11.93351171800876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8.183757651034561</v>
      </c>
      <c r="G343" t="n">
        <v>2.000000000000002</v>
      </c>
      <c r="H343" t="n">
        <v>2.200039000000009</v>
      </c>
      <c r="I343" t="n">
        <v>6.088110999999996</v>
      </c>
      <c r="J343" t="n">
        <v>-2.095646651034565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-2.266491166089812</v>
      </c>
      <c r="G344" t="n">
        <v>2.182688480328676</v>
      </c>
      <c r="H344" t="n">
        <v>3.003779255805794</v>
      </c>
      <c r="I344" t="n">
        <v>4.06461227936048</v>
      </c>
      <c r="J344" t="n">
        <v>6.331103445450292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-0.8851687739693581</v>
      </c>
      <c r="G345" t="n">
        <v>2.142824827726608</v>
      </c>
      <c r="H345" t="n">
        <v>3.93129222977171</v>
      </c>
      <c r="I345" t="n">
        <v>2.221386476761178</v>
      </c>
      <c r="J345" t="n">
        <v>3.106555250730536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4.143325020858679</v>
      </c>
      <c r="G346" t="n">
        <v>1.822387316345764</v>
      </c>
      <c r="H346" t="n">
        <v>3.287139139093043</v>
      </c>
      <c r="I346" t="n">
        <v>3.362144523071686</v>
      </c>
      <c r="J346" t="n">
        <v>-0.7811804977869929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7.571929555270285</v>
      </c>
      <c r="G355" t="n">
        <v>3.493999999999997</v>
      </c>
      <c r="H355" t="n">
        <v>39.45333099999999</v>
      </c>
      <c r="I355" t="n">
        <v>15.25638499999999</v>
      </c>
      <c r="J355" t="n">
        <v>7.68445544472971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-3.696072538823703</v>
      </c>
      <c r="G356" t="n">
        <v>3.95280050096356</v>
      </c>
      <c r="H356" t="n">
        <v>59.49173539936783</v>
      </c>
      <c r="I356" t="n">
        <v>19.18087843836862</v>
      </c>
      <c r="J356" t="n">
        <v>22.87695097719232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4.603693326194813</v>
      </c>
      <c r="G357" t="n">
        <v>5.77926032137992</v>
      </c>
      <c r="H357" t="n">
        <v>64.62899885264861</v>
      </c>
      <c r="I357" t="n">
        <v>16.47249888199764</v>
      </c>
      <c r="J357" t="n">
        <v>11.86880555580283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-3.692303541049458</v>
      </c>
      <c r="G358" t="n">
        <v>4.643244943240665</v>
      </c>
      <c r="H358" t="n">
        <v>38.7337739966562</v>
      </c>
      <c r="I358" t="n">
        <v>6.072382672649201</v>
      </c>
      <c r="J358" t="n">
        <v>9.76468621369866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33.16904002605603</v>
      </c>
      <c r="G363" t="n">
        <v>1.307999999999998</v>
      </c>
      <c r="H363" t="n">
        <v>4.886900999999999</v>
      </c>
      <c r="I363" t="n">
        <v>8.619351999999992</v>
      </c>
      <c r="J363" t="n">
        <v>-24.54968802605604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17.09634052839633</v>
      </c>
      <c r="G364" t="n">
        <v>0.934579070475805</v>
      </c>
      <c r="H364" t="n">
        <v>5.779933394896974</v>
      </c>
      <c r="I364" t="n">
        <v>8.197792806603864</v>
      </c>
      <c r="J364" t="n">
        <v>-8.898547721792461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12.26276133262585</v>
      </c>
      <c r="G365" t="n">
        <v>3.198961574222303</v>
      </c>
      <c r="H365" t="n">
        <v>7.289058230505674</v>
      </c>
      <c r="I365" t="n">
        <v>7.964552917353718</v>
      </c>
      <c r="J365" t="n">
        <v>-4.298208415272132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7.344623806201511</v>
      </c>
      <c r="G366" t="n">
        <v>1.248728139241617</v>
      </c>
      <c r="H366" t="n">
        <v>4.549487231423588</v>
      </c>
      <c r="I366" t="n">
        <v>3.060146113533135</v>
      </c>
      <c r="J366" t="n">
        <v>-4.284477692668376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33.88458439596942</v>
      </c>
      <c r="G367" t="n">
        <v>1.307999999999998</v>
      </c>
      <c r="H367" t="n">
        <v>4.886900999999999</v>
      </c>
      <c r="I367" t="n">
        <v>8.619351999999992</v>
      </c>
      <c r="J367" t="n">
        <v>-25.26523239596943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17.74518267401215</v>
      </c>
      <c r="G368" t="n">
        <v>0.934579070475805</v>
      </c>
      <c r="H368" t="n">
        <v>5.779933394896974</v>
      </c>
      <c r="I368" t="n">
        <v>8.197792806603864</v>
      </c>
      <c r="J368" t="n">
        <v>-9.547389867408285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12.00906740336205</v>
      </c>
      <c r="G369" t="n">
        <v>3.198961574222303</v>
      </c>
      <c r="H369" t="n">
        <v>7.289058230505674</v>
      </c>
      <c r="I369" t="n">
        <v>7.964552917353718</v>
      </c>
      <c r="J369" t="n">
        <v>-4.044514486008332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7.688333700279237</v>
      </c>
      <c r="G370" t="n">
        <v>1.248728139241617</v>
      </c>
      <c r="H370" t="n">
        <v>4.549487231423588</v>
      </c>
      <c r="I370" t="n">
        <v>3.060146113533135</v>
      </c>
      <c r="J370" t="n">
        <v>-4.628187586746102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VUAA.L</t>
        </is>
      </c>
      <c r="D383" s="1" t="n">
        <v>46022</v>
      </c>
      <c r="E383" t="inlineStr">
        <is>
          <t>1Y</t>
        </is>
      </c>
      <c r="F383" t="n">
        <v>18.0213919524709</v>
      </c>
      <c r="G383" t="n">
        <v>2.017000000000002</v>
      </c>
      <c r="H383" t="n">
        <v>4.497634000000006</v>
      </c>
      <c r="I383" t="n">
        <v>4.497634000000006</v>
      </c>
      <c r="J383" t="n">
        <v>-13.52375795247089</v>
      </c>
      <c r="K383" t="inlineStr">
        <is>
          <t>United States|VUAA.L|1Y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VUAA.L</t>
        </is>
      </c>
      <c r="D384" s="1" t="n">
        <v>46022</v>
      </c>
      <c r="E384" t="inlineStr">
        <is>
          <t>3Y</t>
        </is>
      </c>
      <c r="F384" t="n">
        <v>23.24897030625241</v>
      </c>
      <c r="G384" t="n">
        <v>2.580871884428859</v>
      </c>
      <c r="H384" t="n">
        <v>5.524539071077084</v>
      </c>
      <c r="I384" t="n">
        <v>5.524539071077084</v>
      </c>
      <c r="J384" t="n">
        <v>-17.72443123517533</v>
      </c>
      <c r="K384" t="inlineStr">
        <is>
          <t>United States|VUAA.L|3Y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VUAA.L</t>
        </is>
      </c>
      <c r="D385" s="1" t="n">
        <v>46022</v>
      </c>
      <c r="E385" t="inlineStr">
        <is>
          <t>5Y</t>
        </is>
      </c>
      <c r="F385" t="n">
        <v>14.60450310573473</v>
      </c>
      <c r="G385" t="n">
        <v>3.273899606073449</v>
      </c>
      <c r="H385" t="n">
        <v>7.450048996640191</v>
      </c>
      <c r="I385" t="n">
        <v>7.450048996640191</v>
      </c>
      <c r="J385" t="n">
        <v>-7.154454109094543</v>
      </c>
      <c r="K385" t="inlineStr">
        <is>
          <t>United States|VUAA.L|5Y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VUSA.L</t>
        </is>
      </c>
      <c r="D386" s="1" t="n">
        <v>46022</v>
      </c>
      <c r="E386" t="inlineStr">
        <is>
          <t>1Y</t>
        </is>
      </c>
      <c r="F386" t="n">
        <v>15.41345341738201</v>
      </c>
      <c r="G386" t="n">
        <v>2.017000000000002</v>
      </c>
      <c r="H386" t="n">
        <v>4.497634000000006</v>
      </c>
      <c r="I386" t="n">
        <v>4.497634000000006</v>
      </c>
      <c r="J386" t="n">
        <v>-10.915819417382</v>
      </c>
      <c r="K386" t="inlineStr">
        <is>
          <t>United States|VUSA.L|1Y</t>
        </is>
      </c>
      <c r="L386" t="inlineStr">
        <is>
          <t>United States|1Y</t>
        </is>
      </c>
      <c r="M386" t="inlineStr">
        <is>
          <t>GBP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VUSA.L</t>
        </is>
      </c>
      <c r="D387" s="1" t="n">
        <v>46022</v>
      </c>
      <c r="E387" t="inlineStr">
        <is>
          <t>3Y</t>
        </is>
      </c>
      <c r="F387" t="n">
        <v>21.4689415099992</v>
      </c>
      <c r="G387" t="n">
        <v>2.580871884428859</v>
      </c>
      <c r="H387" t="n">
        <v>5.524539071077084</v>
      </c>
      <c r="I387" t="n">
        <v>5.524539071077084</v>
      </c>
      <c r="J387" t="n">
        <v>-15.94440243892212</v>
      </c>
      <c r="K387" t="inlineStr">
        <is>
          <t>United States|VUSA.L|3Y</t>
        </is>
      </c>
      <c r="L387" t="inlineStr">
        <is>
          <t>United States|3Y</t>
        </is>
      </c>
      <c r="M387" t="inlineStr">
        <is>
          <t>GBP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VUSA.L</t>
        </is>
      </c>
      <c r="D388" s="1" t="n">
        <v>46022</v>
      </c>
      <c r="E388" t="inlineStr">
        <is>
          <t>5Y</t>
        </is>
      </c>
      <c r="F388" t="n">
        <v>12.99075166481216</v>
      </c>
      <c r="G388" t="n">
        <v>3.273899606073449</v>
      </c>
      <c r="H388" t="n">
        <v>7.450048996640191</v>
      </c>
      <c r="I388" t="n">
        <v>7.450048996640191</v>
      </c>
      <c r="J388" t="n">
        <v>-5.540702668171972</v>
      </c>
      <c r="K388" t="inlineStr">
        <is>
          <t>United States|VUSA.L|5Y</t>
        </is>
      </c>
      <c r="L388" t="inlineStr">
        <is>
          <t>United States|5Y</t>
        </is>
      </c>
      <c r="M388" t="inlineStr">
        <is>
          <t>GBP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VUSA.L</t>
        </is>
      </c>
      <c r="D389" s="1" t="n">
        <v>46022</v>
      </c>
      <c r="E389" t="inlineStr">
        <is>
          <t>10Y</t>
        </is>
      </c>
      <c r="F389" t="n">
        <v>12.75467525435081</v>
      </c>
      <c r="G389" t="n">
        <v>2.399456279066103</v>
      </c>
      <c r="H389" t="n">
        <v>5.283724060684203</v>
      </c>
      <c r="I389" t="n">
        <v>5.283724060684203</v>
      </c>
      <c r="J389" t="n">
        <v>-7.470951193666608</v>
      </c>
      <c r="K389" t="inlineStr">
        <is>
          <t>United States|VUSA.L|10Y</t>
        </is>
      </c>
      <c r="L389" t="inlineStr">
        <is>
          <t>United States|10Y</t>
        </is>
      </c>
      <c r="M389" t="inlineStr">
        <is>
          <t>GBP</t>
        </is>
      </c>
    </row>
    <row r="390">
      <c r="A390" t="inlineStr">
        <is>
          <t>Vietnam</t>
        </is>
      </c>
      <c r="B390" t="inlineStr">
        <is>
          <t>VNM</t>
        </is>
      </c>
      <c r="C390" t="inlineStr"/>
      <c r="D390" s="1" t="n">
        <v>46022</v>
      </c>
      <c r="E390" t="inlineStr">
        <is>
          <t>1Y</t>
        </is>
      </c>
      <c r="F390" t="inlineStr"/>
      <c r="G390" t="n">
        <v>6.457000000000002</v>
      </c>
      <c r="H390" t="n">
        <v>9.991489999999992</v>
      </c>
      <c r="I390" t="n">
        <v>5.496308999999999</v>
      </c>
      <c r="J390" t="inlineStr"/>
      <c r="K390" t="inlineStr">
        <is>
          <t>Vietnam||1Y</t>
        </is>
      </c>
      <c r="L390" t="inlineStr">
        <is>
          <t>Vietnam|1Y</t>
        </is>
      </c>
      <c r="M390" t="inlineStr"/>
    </row>
    <row r="391">
      <c r="A391" t="inlineStr">
        <is>
          <t>Vietnam</t>
        </is>
      </c>
      <c r="B391" t="inlineStr">
        <is>
          <t>VNM</t>
        </is>
      </c>
      <c r="C391" t="inlineStr"/>
      <c r="D391" s="1" t="n">
        <v>46022</v>
      </c>
      <c r="E391" t="inlineStr">
        <is>
          <t>3Y</t>
        </is>
      </c>
      <c r="F391" t="inlineStr"/>
      <c r="G391" t="n">
        <v>6.200954667276259</v>
      </c>
      <c r="H391" t="n">
        <v>9.586221664232486</v>
      </c>
      <c r="I391" t="n">
        <v>5.647902927923876</v>
      </c>
      <c r="J391" t="inlineStr"/>
      <c r="K391" t="inlineStr">
        <is>
          <t>Vietnam||3Y</t>
        </is>
      </c>
      <c r="L391" t="inlineStr">
        <is>
          <t>Vietnam|3Y</t>
        </is>
      </c>
      <c r="M391" t="inlineStr"/>
    </row>
    <row r="392">
      <c r="A392" t="inlineStr">
        <is>
          <t>Vietnam</t>
        </is>
      </c>
      <c r="B392" t="inlineStr">
        <is>
          <t>VNM</t>
        </is>
      </c>
      <c r="C392" t="inlineStr"/>
      <c r="D392" s="1" t="n">
        <v>46022</v>
      </c>
      <c r="E392" t="inlineStr">
        <is>
          <t>5Y</t>
        </is>
      </c>
      <c r="F392" t="inlineStr"/>
      <c r="G392" t="n">
        <v>5.92145460004414</v>
      </c>
      <c r="H392" t="n">
        <v>9.497043660655734</v>
      </c>
      <c r="I392" t="n">
        <v>6.956271913500278</v>
      </c>
      <c r="J392" t="inlineStr"/>
      <c r="K392" t="inlineStr">
        <is>
          <t>Vietnam||5Y</t>
        </is>
      </c>
      <c r="L392" t="inlineStr">
        <is>
          <t>Vietnam|5Y</t>
        </is>
      </c>
      <c r="M392" t="inlineStr"/>
    </row>
    <row r="393">
      <c r="A393" t="inlineStr">
        <is>
          <t>Vietnam</t>
        </is>
      </c>
      <c r="B393" t="inlineStr">
        <is>
          <t>VNM</t>
        </is>
      </c>
      <c r="C393" t="inlineStr"/>
      <c r="D393" s="1" t="n">
        <v>46022</v>
      </c>
      <c r="E393" t="inlineStr">
        <is>
          <t>10Y</t>
        </is>
      </c>
      <c r="F393" t="inlineStr"/>
      <c r="G393" t="n">
        <v>6.085412813467572</v>
      </c>
      <c r="H393" t="n">
        <v>9.325802594010124</v>
      </c>
      <c r="I393" t="n">
        <v>7.426735577916199</v>
      </c>
      <c r="J393" t="inlineStr"/>
      <c r="K393" t="inlineStr">
        <is>
          <t>Vietnam||10Y</t>
        </is>
      </c>
      <c r="L393" t="inlineStr">
        <is>
          <t>Vietnam|10Y</t>
        </is>
      </c>
      <c r="M393" t="inlineStr"/>
    </row>
    <row r="394">
      <c r="A394" t="inlineStr">
        <is>
          <t>Vietnam</t>
        </is>
      </c>
      <c r="B394" t="inlineStr">
        <is>
          <t>VNM</t>
        </is>
      </c>
      <c r="C394" t="inlineStr">
        <is>
          <t>XFVT.L</t>
        </is>
      </c>
      <c r="D394" s="1" t="n">
        <v>46022</v>
      </c>
      <c r="E394" t="inlineStr">
        <is>
          <t>1Y</t>
        </is>
      </c>
      <c r="F394" t="n">
        <v>66.8060270774205</v>
      </c>
      <c r="G394" t="n">
        <v>6.457000000000002</v>
      </c>
      <c r="H394" t="n">
        <v>9.991489999999992</v>
      </c>
      <c r="I394" t="n">
        <v>5.496308999999999</v>
      </c>
      <c r="J394" t="n">
        <v>-61.3097180774205</v>
      </c>
      <c r="K394" t="inlineStr">
        <is>
          <t>Vietnam|XFVT.L|1Y</t>
        </is>
      </c>
      <c r="L394" t="inlineStr">
        <is>
          <t>Vietnam|1Y</t>
        </is>
      </c>
      <c r="M394" t="inlineStr">
        <is>
          <t>GBp</t>
        </is>
      </c>
    </row>
    <row r="395">
      <c r="A395" t="inlineStr">
        <is>
          <t>Vietnam</t>
        </is>
      </c>
      <c r="B395" t="inlineStr">
        <is>
          <t>VNM</t>
        </is>
      </c>
      <c r="C395" t="inlineStr">
        <is>
          <t>XFVT.L</t>
        </is>
      </c>
      <c r="D395" s="1" t="n">
        <v>46022</v>
      </c>
      <c r="E395" t="inlineStr">
        <is>
          <t>3Y</t>
        </is>
      </c>
      <c r="F395" t="n">
        <v>14.68393692650922</v>
      </c>
      <c r="G395" t="n">
        <v>6.200954667276259</v>
      </c>
      <c r="H395" t="n">
        <v>9.586221664232486</v>
      </c>
      <c r="I395" t="n">
        <v>5.647902927923876</v>
      </c>
      <c r="J395" t="n">
        <v>-9.036033998585346</v>
      </c>
      <c r="K395" t="inlineStr">
        <is>
          <t>Vietnam|XFVT.L|3Y</t>
        </is>
      </c>
      <c r="L395" t="inlineStr">
        <is>
          <t>Vietnam|3Y</t>
        </is>
      </c>
      <c r="M395" t="inlineStr">
        <is>
          <t>GBp</t>
        </is>
      </c>
    </row>
    <row r="396">
      <c r="A396" t="inlineStr">
        <is>
          <t>Vietnam</t>
        </is>
      </c>
      <c r="B396" t="inlineStr">
        <is>
          <t>VNM</t>
        </is>
      </c>
      <c r="C396" t="inlineStr">
        <is>
          <t>XFVT.L</t>
        </is>
      </c>
      <c r="D396" s="1" t="n">
        <v>46022</v>
      </c>
      <c r="E396" t="inlineStr">
        <is>
          <t>5Y</t>
        </is>
      </c>
      <c r="F396" t="n">
        <v>2.746601027955986</v>
      </c>
      <c r="G396" t="n">
        <v>5.92145460004414</v>
      </c>
      <c r="H396" t="n">
        <v>9.497043660655734</v>
      </c>
      <c r="I396" t="n">
        <v>6.956271913500278</v>
      </c>
      <c r="J396" t="n">
        <v>4.209670885544292</v>
      </c>
      <c r="K396" t="inlineStr">
        <is>
          <t>Vietnam|XFVT.L|5Y</t>
        </is>
      </c>
      <c r="L396" t="inlineStr">
        <is>
          <t>Vietnam|5Y</t>
        </is>
      </c>
      <c r="M396" t="inlineStr">
        <is>
          <t>GBp</t>
        </is>
      </c>
    </row>
    <row r="397">
      <c r="A397" t="inlineStr">
        <is>
          <t>Vietnam</t>
        </is>
      </c>
      <c r="B397" t="inlineStr">
        <is>
          <t>VNM</t>
        </is>
      </c>
      <c r="C397" t="inlineStr">
        <is>
          <t>XFVT.L</t>
        </is>
      </c>
      <c r="D397" s="1" t="n">
        <v>46022</v>
      </c>
      <c r="E397" t="inlineStr">
        <is>
          <t>10Y</t>
        </is>
      </c>
      <c r="F397" t="n">
        <v>6.034403639833208</v>
      </c>
      <c r="G397" t="n">
        <v>6.085412813467572</v>
      </c>
      <c r="H397" t="n">
        <v>9.325802594010124</v>
      </c>
      <c r="I397" t="n">
        <v>7.426735577916199</v>
      </c>
      <c r="J397" t="n">
        <v>1.392331938082991</v>
      </c>
      <c r="K397" t="inlineStr">
        <is>
          <t>Vietnam|XFVT.L|10Y</t>
        </is>
      </c>
      <c r="L397" t="inlineStr">
        <is>
          <t>Vietnam|10Y</t>
        </is>
      </c>
      <c r="M397" t="inlineStr">
        <is>
          <t>GBp</t>
        </is>
      </c>
    </row>
  </sheetData>
  <autoFilter ref="A1:M3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CSWG.L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CSWG.L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Greece</t>
        </is>
      </c>
      <c r="B11" t="inlineStr">
        <is>
          <t>CUKX.L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CUKX.L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EIDO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EIDO</t>
        </is>
      </c>
      <c r="J12" t="inlineStr">
        <is>
          <t>NYSE Arca</t>
        </is>
      </c>
      <c r="K12" t="inlineStr">
        <is>
          <t>USD</t>
        </is>
      </c>
    </row>
    <row r="13">
      <c r="A13" t="inlineStr">
        <is>
          <t>India</t>
        </is>
      </c>
      <c r="B13" t="inlineStr">
        <is>
          <t>EPHE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EPHE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EPOL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EPOL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EWA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EWA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EWC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EWC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EWD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EWD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EWG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EWG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EWH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EWH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EWI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EWI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EWJ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EWJ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EWK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EWK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EWL</t>
        </is>
      </c>
      <c r="C23" t="inlineStr">
        <is>
          <t>Poland</t>
        </is>
      </c>
      <c r="D23" t="inlineStr">
        <is>
          <t>IPOL.L</t>
        </is>
      </c>
      <c r="F23" t="inlineStr">
        <is>
          <t>India</t>
        </is>
      </c>
      <c r="G23" t="inlineStr">
        <is>
          <t>NDIA.L</t>
        </is>
      </c>
      <c r="I23" t="inlineStr">
        <is>
          <t>EWL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EWM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EWM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EWN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EWN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EWO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EWO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EWP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EWP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EWQ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EWQ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EWS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EWS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EWT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EWT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EWU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EWU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EWW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EWW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EWY</t>
        </is>
      </c>
      <c r="C33" t="inlineStr">
        <is>
          <t>Turkey</t>
        </is>
      </c>
      <c r="D33" t="inlineStr">
        <is>
          <t>TUR</t>
        </is>
      </c>
      <c r="F33" t="inlineStr">
        <is>
          <t>Mexico</t>
        </is>
      </c>
      <c r="G33" t="inlineStr">
        <is>
          <t>XMEX.L</t>
        </is>
      </c>
      <c r="I33" t="inlineStr">
        <is>
          <t>EWY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EWZ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EWZ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EZA</t>
        </is>
      </c>
      <c r="C35" t="inlineStr">
        <is>
          <t>United States</t>
        </is>
      </c>
      <c r="D35" t="inlineStr">
        <is>
          <t>VUAA.L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EZA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FLRK.L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FLRK.L</t>
        </is>
      </c>
      <c r="J36" t="inlineStr">
        <is>
          <t>London Stock Exchange</t>
        </is>
      </c>
      <c r="K36" t="inlineStr">
        <is>
          <t>GBP</t>
        </is>
      </c>
    </row>
    <row r="37">
      <c r="A37" t="inlineStr"/>
      <c r="B37" t="inlineStr">
        <is>
          <t>FRCH.L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FRCH.L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FRIN.L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FRIN.L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GREK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GREK</t>
        </is>
      </c>
      <c r="J39" t="inlineStr">
        <is>
          <t>NYSE Arca</t>
        </is>
      </c>
      <c r="K39" t="inlineStr">
        <is>
          <t>USD</t>
        </is>
      </c>
    </row>
    <row r="40">
      <c r="A40" t="inlineStr"/>
      <c r="B40" t="inlineStr">
        <is>
          <t>IASH.L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IASH.L</t>
        </is>
      </c>
      <c r="J40" t="inlineStr">
        <is>
          <t>London Stock Exchange</t>
        </is>
      </c>
      <c r="K40" t="inlineStr">
        <is>
          <t>GBp</t>
        </is>
      </c>
    </row>
    <row r="41">
      <c r="A41" t="inlineStr"/>
      <c r="B41" t="inlineStr">
        <is>
          <t>IIND.L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IIND.L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IKSA.L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IKSA.L</t>
        </is>
      </c>
      <c r="J42" t="inlineStr">
        <is>
          <t>London Stock Exchange</t>
        </is>
      </c>
      <c r="K42" t="inlineStr">
        <is>
          <t>USD</t>
        </is>
      </c>
    </row>
    <row r="43">
      <c r="A43" t="inlineStr"/>
      <c r="B43" t="inlineStr">
        <is>
          <t>IPOL.L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IPOL.L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IRSA.L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IRSA.L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ISFR.L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ISFR.L</t>
        </is>
      </c>
      <c r="J45" t="inlineStr">
        <is>
          <t>London Stock Exchange</t>
        </is>
      </c>
      <c r="K45" t="inlineStr">
        <is>
          <t>GBp</t>
        </is>
      </c>
    </row>
    <row r="46">
      <c r="A46" t="inlineStr"/>
      <c r="B46" t="inlineStr">
        <is>
          <t>KSA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KSA</t>
        </is>
      </c>
      <c r="J46" t="inlineStr">
        <is>
          <t>NYSE Arca</t>
        </is>
      </c>
      <c r="K46" t="inlineStr">
        <is>
          <t>USD</t>
        </is>
      </c>
    </row>
    <row r="47">
      <c r="A47" t="inlineStr"/>
      <c r="B47" t="inlineStr">
        <is>
          <t>LCJP.L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LCJP.L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MCHI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MCHI</t>
        </is>
      </c>
      <c r="J48" t="inlineStr">
        <is>
          <t>Nasdaq Global Market</t>
        </is>
      </c>
      <c r="K48" t="inlineStr">
        <is>
          <t>USD</t>
        </is>
      </c>
    </row>
    <row r="49">
      <c r="A49" t="inlineStr"/>
      <c r="B49" t="inlineStr">
        <is>
          <t>MKUW.L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MKUW.L</t>
        </is>
      </c>
      <c r="J49" t="inlineStr">
        <is>
          <t>London Stock Exchange</t>
        </is>
      </c>
      <c r="K49" t="inlineStr">
        <is>
          <t>USD</t>
        </is>
      </c>
    </row>
    <row r="50">
      <c r="A50" t="inlineStr"/>
      <c r="B50" t="inlineStr">
        <is>
          <t>NDIA.L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NDIA.L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OMXS.L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OMXS.L</t>
        </is>
      </c>
      <c r="J51" t="inlineStr">
        <is>
          <t>London Stock Exchange</t>
        </is>
      </c>
      <c r="K51" t="inlineStr">
        <is>
          <t>GBp</t>
        </is>
      </c>
    </row>
    <row r="52">
      <c r="A52" t="inlineStr"/>
      <c r="B52" t="inlineStr">
        <is>
          <t>SAUS.L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SAUS.L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SPOL.L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SPOL.L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SRSA.L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SRSA.L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THD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THD</t>
        </is>
      </c>
      <c r="J55" t="inlineStr">
        <is>
          <t>NYSE Arca</t>
        </is>
      </c>
      <c r="K55" t="inlineStr">
        <is>
          <t>USD</t>
        </is>
      </c>
    </row>
    <row r="56">
      <c r="A56" t="inlineStr"/>
      <c r="B56" t="inlineStr">
        <is>
          <t>TUR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TUR</t>
        </is>
      </c>
      <c r="J56" t="inlineStr">
        <is>
          <t>Nasdaq Global Market</t>
        </is>
      </c>
      <c r="K56" t="inlineStr">
        <is>
          <t>USD</t>
        </is>
      </c>
    </row>
    <row r="57">
      <c r="A57" t="inlineStr"/>
      <c r="B57" t="inlineStr">
        <is>
          <t>TURL.L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TURL.L</t>
        </is>
      </c>
      <c r="J57" t="inlineStr">
        <is>
          <t>London Stock Exchange</t>
        </is>
      </c>
      <c r="K57" t="inlineStr">
        <is>
          <t>GBp</t>
        </is>
      </c>
    </row>
    <row r="58">
      <c r="A58" t="inlineStr"/>
      <c r="B58" t="inlineStr">
        <is>
          <t>VUAA.L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VUAA.L</t>
        </is>
      </c>
      <c r="J58" t="inlineStr">
        <is>
          <t>London Stock Exchange</t>
        </is>
      </c>
      <c r="K58" t="inlineStr">
        <is>
          <t>USD</t>
        </is>
      </c>
    </row>
    <row r="59">
      <c r="A59" t="inlineStr"/>
      <c r="B59" t="inlineStr">
        <is>
          <t>VUSA.L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VUSA.L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XBAK.L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XBAK.L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XCX3.L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XCX3.L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XCX4.L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XCX4.L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XDAX.L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XDAX.L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XFVT.L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XFVT.L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XMBR.L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XMBR.L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XMEX.L</t>
        </is>
      </c>
      <c r="C66" t="inlineStr"/>
      <c r="D66" t="inlineStr"/>
      <c r="F66" t="inlineStr">
        <is>
          <t>United States</t>
        </is>
      </c>
      <c r="G66" t="inlineStr">
        <is>
          <t>VUAA.L</t>
        </is>
      </c>
      <c r="I66" t="inlineStr">
        <is>
          <t>XMEX.L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XMTW.L</t>
        </is>
      </c>
      <c r="C67" t="inlineStr"/>
      <c r="D67" t="inlineStr"/>
      <c r="F67" t="inlineStr">
        <is>
          <t>United States</t>
        </is>
      </c>
      <c r="G67" t="inlineStr">
        <is>
          <t>VUSA.L</t>
        </is>
      </c>
      <c r="I67" t="inlineStr">
        <is>
          <t>XMTW.L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XPHG.L</t>
        </is>
      </c>
      <c r="C68" t="inlineStr"/>
      <c r="D68" t="inlineStr"/>
      <c r="F68" t="inlineStr">
        <is>
          <t>Vietnam</t>
        </is>
      </c>
      <c r="G68" t="inlineStr">
        <is>
          <t>XFVT.L</t>
        </is>
      </c>
      <c r="I68" t="inlineStr">
        <is>
          <t>XPHG.L</t>
        </is>
      </c>
      <c r="J68" t="inlineStr">
        <is>
          <t>London Stock Exchange</t>
        </is>
      </c>
      <c r="K68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19" customWidth="1" min="3" max="3"/>
    <col width="28" customWidth="1" min="4" max="4"/>
    <col width="28" customWidth="1" min="5" max="5"/>
    <col width="36" customWidth="1" min="6" max="6"/>
    <col width="17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IFERROR(INDEX(Lists!$J$2:$J$68, MATCH($C6, Lists!$I$2:$I$68, 0)),"")</f>
        <v/>
      </c>
      <c r="E6">
        <f>IFERROR(INDEX(Lists!$K$2:$K$68, MATCH($C6, Lists!$I$2:$I$68,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IFERROR(INDEX(Lists!$J$2:$J$68, MATCH($C7, Lists!$I$2:$I$68, 0)),"")</f>
        <v/>
      </c>
      <c r="E7">
        <f>IFERROR(INDEX(Lists!$K$2:$K$68, MATCH($C7, Lists!$I$2:$I$68,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IFERROR(INDEX(Lists!$J$2:$J$68, MATCH($C8, Lists!$I$2:$I$68, 0)),"")</f>
        <v/>
      </c>
      <c r="E8">
        <f>IFERROR(INDEX(Lists!$K$2:$K$68, MATCH($C8, Lists!$I$2:$I$68,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IFERROR(INDEX(Lists!$J$2:$J$68, MATCH($C9, Lists!$I$2:$I$68, 0)),"")</f>
        <v/>
      </c>
      <c r="E9">
        <f>IFERROR(INDEX(Lists!$K$2:$K$68, MATCH($C9, Lists!$I$2:$I$68,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IFERROR(INDEX(Lists!$J$2:$J$68, MATCH($C10, Lists!$I$2:$I$68, 0)),"")</f>
        <v/>
      </c>
      <c r="E10">
        <f>IFERROR(INDEX(Lists!$K$2:$K$68, MATCH($C10, Lists!$I$2:$I$68,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IFERROR(INDEX(Lists!$J$2:$J$68, MATCH($C11, Lists!$I$2:$I$68, 0)),"")</f>
        <v/>
      </c>
      <c r="E11">
        <f>IFERROR(INDEX(Lists!$K$2:$K$68, MATCH($C11, Lists!$I$2:$I$68,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IFERROR(INDEX(Lists!$J$2:$J$68, MATCH($C12, Lists!$I$2:$I$68, 0)),"")</f>
        <v/>
      </c>
      <c r="E12">
        <f>IFERROR(INDEX(Lists!$K$2:$K$68, MATCH($C12, Lists!$I$2:$I$68,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IFERROR(INDEX(Lists!$J$2:$J$68, MATCH($C13, Lists!$I$2:$I$68, 0)),"")</f>
        <v/>
      </c>
      <c r="E13">
        <f>IFERROR(INDEX(Lists!$K$2:$K$68, MATCH($C13, Lists!$I$2:$I$68,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IFERROR(INDEX(Lists!$J$2:$J$68, MATCH($C14, Lists!$I$2:$I$68, 0)),"")</f>
        <v/>
      </c>
      <c r="E14">
        <f>IFERROR(INDEX(Lists!$K$2:$K$68, MATCH($C14, Lists!$I$2:$I$68,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IFERROR(INDEX(Lists!$J$2:$J$68, MATCH($C15, Lists!$I$2:$I$68, 0)),"")</f>
        <v/>
      </c>
      <c r="E15">
        <f>IFERROR(INDEX(Lists!$K$2:$K$68, MATCH($C15, Lists!$I$2:$I$68,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IFERROR(INDEX(Lists!$J$2:$J$68, MATCH($C16, Lists!$I$2:$I$68, 0)),"")</f>
        <v/>
      </c>
      <c r="E16">
        <f>IFERROR(INDEX(Lists!$K$2:$K$68, MATCH($C16, Lists!$I$2:$I$68,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IFERROR(INDEX(Lists!$J$2:$J$68, MATCH($C17, Lists!$I$2:$I$68, 0)),"")</f>
        <v/>
      </c>
      <c r="E17">
        <f>IFERROR(INDEX(Lists!$K$2:$K$68, MATCH($C17, Lists!$I$2:$I$68,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IFERROR(INDEX(Lists!$J$2:$J$68, MATCH($C18, Lists!$I$2:$I$68, 0)),"")</f>
        <v/>
      </c>
      <c r="E18">
        <f>IFERROR(INDEX(Lists!$K$2:$K$68, MATCH($C18, Lists!$I$2:$I$68,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IFERROR(INDEX(Lists!$J$2:$J$68, MATCH($C19, Lists!$I$2:$I$68, 0)),"")</f>
        <v/>
      </c>
      <c r="E19">
        <f>IFERROR(INDEX(Lists!$K$2:$K$68, MATCH($C19, Lists!$I$2:$I$68,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IFERROR(INDEX(Lists!$J$2:$J$68, MATCH($C20, Lists!$I$2:$I$68, 0)),"")</f>
        <v/>
      </c>
      <c r="E20">
        <f>IFERROR(INDEX(Lists!$K$2:$K$68, MATCH($C20, Lists!$I$2:$I$68,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IFERROR(INDEX(Lists!$J$2:$J$68, MATCH($C21, Lists!$I$2:$I$68, 0)),"")</f>
        <v/>
      </c>
      <c r="E21">
        <f>IFERROR(INDEX(Lists!$K$2:$K$68, MATCH($C21, Lists!$I$2:$I$68,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IFERROR(INDEX(Lists!$J$2:$J$68, MATCH($C22, Lists!$I$2:$I$68, 0)),"")</f>
        <v/>
      </c>
      <c r="E22">
        <f>IFERROR(INDEX(Lists!$K$2:$K$68, MATCH($C22, Lists!$I$2:$I$68,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IFERROR(INDEX(Lists!$J$2:$J$68, MATCH($C23, Lists!$I$2:$I$68, 0)),"")</f>
        <v/>
      </c>
      <c r="E23">
        <f>IFERROR(INDEX(Lists!$K$2:$K$68, MATCH($C23, Lists!$I$2:$I$68,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IFERROR(INDEX(Lists!$J$2:$J$68, MATCH($C24, Lists!$I$2:$I$68, 0)),"")</f>
        <v/>
      </c>
      <c r="E24">
        <f>IFERROR(INDEX(Lists!$K$2:$K$68, MATCH($C24, Lists!$I$2:$I$68,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IFERROR(INDEX(Lists!$J$2:$J$68, MATCH($C25, Lists!$I$2:$I$68, 0)),"")</f>
        <v/>
      </c>
      <c r="E25">
        <f>IFERROR(INDEX(Lists!$K$2:$K$68, MATCH($C25, Lists!$I$2:$I$68,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IFERROR(INDEX(Lists!$J$2:$J$68, MATCH($C26, Lists!$I$2:$I$68, 0)),"")</f>
        <v/>
      </c>
      <c r="E26">
        <f>IFERROR(INDEX(Lists!$K$2:$K$68, MATCH($C26, Lists!$I$2:$I$68,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IFERROR(INDEX(Lists!$J$2:$J$68, MATCH($C27, Lists!$I$2:$I$68, 0)),"")</f>
        <v/>
      </c>
      <c r="E27">
        <f>IFERROR(INDEX(Lists!$K$2:$K$68, MATCH($C27, Lists!$I$2:$I$68,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IPOL.L</t>
        </is>
      </c>
      <c r="D28">
        <f>IFERROR(INDEX(Lists!$J$2:$J$68, MATCH($C28, Lists!$I$2:$I$68, 0)),"")</f>
        <v/>
      </c>
      <c r="E28">
        <f>IFERROR(INDEX(Lists!$K$2:$K$68, MATCH($C28, Lists!$I$2:$I$68,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IFERROR(INDEX(Lists!$J$2:$J$68, MATCH($C29, Lists!$I$2:$I$68, 0)),"")</f>
        <v/>
      </c>
      <c r="E29">
        <f>IFERROR(INDEX(Lists!$K$2:$K$68, MATCH($C29, Lists!$I$2:$I$68,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IFERROR(INDEX(Lists!$J$2:$J$68, MATCH($C30, Lists!$I$2:$I$68, 0)),"")</f>
        <v/>
      </c>
      <c r="E30">
        <f>IFERROR(INDEX(Lists!$K$2:$K$68, MATCH($C30, Lists!$I$2:$I$68,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IFERROR(INDEX(Lists!$J$2:$J$68, MATCH($C31, Lists!$I$2:$I$68, 0)),"")</f>
        <v/>
      </c>
      <c r="E31">
        <f>IFERROR(INDEX(Lists!$K$2:$K$68, MATCH($C31, Lists!$I$2:$I$68,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</t>
        </is>
      </c>
      <c r="D32">
        <f>IFERROR(INDEX(Lists!$J$2:$J$68, MATCH($C32, Lists!$I$2:$I$68, 0)),"")</f>
        <v/>
      </c>
      <c r="E32">
        <f>IFERROR(INDEX(Lists!$K$2:$K$68, MATCH($C32, Lists!$I$2:$I$68,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IFERROR(INDEX(Lists!$J$2:$J$68, MATCH($C33, Lists!$I$2:$I$68, 0)),"")</f>
        <v/>
      </c>
      <c r="E33">
        <f>IFERROR(INDEX(Lists!$K$2:$K$68, MATCH($C33, Lists!$I$2:$I$68,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IFERROR(INDEX(Lists!$J$2:$J$68, MATCH($C34, Lists!$I$2:$I$68, 0)),"")</f>
        <v/>
      </c>
      <c r="E34">
        <f>IFERROR(INDEX(Lists!$K$2:$K$68, MATCH($C34, Lists!$I$2:$I$68,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IFERROR(INDEX(Lists!$J$2:$J$68, MATCH($C35, Lists!$I$2:$I$68, 0)),"")</f>
        <v/>
      </c>
      <c r="E35">
        <f>IFERROR(INDEX(Lists!$K$2:$K$68, MATCH($C35, Lists!$I$2:$I$68,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IFERROR(INDEX(Lists!$J$2:$J$68, MATCH($C36, Lists!$I$2:$I$68, 0)),"")</f>
        <v/>
      </c>
      <c r="E36">
        <f>IFERROR(INDEX(Lists!$K$2:$K$68, MATCH($C36, Lists!$I$2:$I$68,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IFERROR(INDEX(Lists!$J$2:$J$68, MATCH($C37, Lists!$I$2:$I$68, 0)),"")</f>
        <v/>
      </c>
      <c r="E37">
        <f>IFERROR(INDEX(Lists!$K$2:$K$68, MATCH($C37, Lists!$I$2:$I$68,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IFERROR(INDEX(Lists!$J$2:$J$68, MATCH($C38, Lists!$I$2:$I$68, 0)),"")</f>
        <v/>
      </c>
      <c r="E38">
        <f>IFERROR(INDEX(Lists!$K$2:$K$68, MATCH($C38, Lists!$I$2:$I$68,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VUAA.L</t>
        </is>
      </c>
      <c r="D39">
        <f>IFERROR(INDEX(Lists!$J$2:$J$68, MATCH($C39, Lists!$I$2:$I$68, 0)),"")</f>
        <v/>
      </c>
      <c r="E39">
        <f>IFERROR(INDEX(Lists!$K$2:$K$68, MATCH($C39, Lists!$I$2:$I$68,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IFERROR(INDEX(Lists!$J$2:$J$68, MATCH($C40, Lists!$I$2:$I$68, 0)),"")</f>
        <v/>
      </c>
      <c r="E40">
        <f>IFERROR(INDEX(Lists!$K$2:$K$68, MATCH($C40, Lists!$I$2:$I$68,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IFERROR(INDEX(Lists!$K$2:$K$68, MATCH($B$45, Lists!$I$2:$I$68, 0)),"")</f>
        <v/>
      </c>
    </row>
    <row r="48">
      <c r="A48" t="inlineStr">
        <is>
          <t>Ticker Exchange</t>
        </is>
      </c>
      <c r="B48">
        <f>IFERROR(INDEX(Lists!$J$2:$J$68, MATCH($B$45, Lists!$I$2:$I$68,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(Local) %</t>
        </is>
      </c>
      <c r="C65" s="3" t="inlineStr">
        <is>
          <t>Real GDP Growth %</t>
        </is>
      </c>
      <c r="D65" s="3" t="inlineStr">
        <is>
          <t>Nominal GDP Growth % (LCU)</t>
        </is>
      </c>
      <c r="E65" s="3" t="inlineStr">
        <is>
          <t>Nominal GDP Growth % (USD)</t>
        </is>
      </c>
      <c r="F65" s="3" t="inlineStr">
        <is>
          <t>Macro Disconnect (GDP - USD Ret) %</t>
        </is>
      </c>
      <c r="G65" s="3">
        <f>IF($B$47&lt;&gt;"USD","FX Change (vs USD) %","")</f>
        <v/>
      </c>
      <c r="H65" s="3">
        <f>IF($B$47&lt;&gt;"USD","ETF Return (USD) %","")</f>
        <v/>
      </c>
      <c r="I65" s="3">
        <f>IF($B$47&lt;&gt;"USD","Country LCU vs USD % (WEO)","")</f>
        <v/>
      </c>
      <c r="J65" s="3">
        <f>IF($B$47&lt;&gt;"USD","ETF USD - Country FX %","")</f>
        <v/>
      </c>
    </row>
    <row r="66">
      <c r="A66" t="n">
        <v>2016</v>
      </c>
      <c r="B66" s="4">
        <f>IFERROR(1*INDEX(Annual!$E:$E, MATCH($B$44&amp;"|"&amp;$B$45&amp;"|"&amp;$A66, Annual!$J:$J, 0)), NA())</f>
        <v/>
      </c>
      <c r="C66" s="4">
        <f>IFERROR(1*INDEX(Annual!$F:$F, MATCH($B$44&amp;"|"&amp;$A66, Annual!$K:$K, 0)), NA())</f>
        <v/>
      </c>
      <c r="D66" s="4">
        <f>IFERROR(1*INDEX(Annual!$G:$G, MATCH($B$44&amp;"|"&amp;$A66, Annual!$K:$K, 0)), NA())</f>
        <v/>
      </c>
      <c r="E66" s="4">
        <f>IFERROR(1*INDEX(Annual!$H:$H, MATCH($B$44&amp;"|"&amp;$A66, Annual!$K:$K, 0)), NA())</f>
        <v/>
      </c>
      <c r="F66" s="4">
        <f>IF(AND(ISNUMBER(E66),ISNUMBER(IFERROR(1*INDEX(Annual!$O:$O, MATCH($B$44&amp;"|"&amp;$B$45&amp;"|"&amp;$A66, Annual!$J:$J, 0)), NA()))),E66-IFERROR(1*INDEX(Annual!$O:$O, MATCH($B$44&amp;"|"&amp;$B$45&amp;"|"&amp;$A66, Annual!$J:$J, 0)), NA()),NA())</f>
        <v/>
      </c>
      <c r="G66" s="4">
        <f>IF($B$47&lt;&gt;"USD",IFERROR(1*INDEX(Annual!$N:$N, MATCH($B$44&amp;"|"&amp;$B$45&amp;"|"&amp;$A66, Annual!$J:$J, 0)), NA()),"")</f>
        <v/>
      </c>
      <c r="H66" s="4">
        <f>IF($B$47&lt;&gt;"USD",IFERROR(1*INDEX(Annual!$O:$O, MATCH($B$44&amp;"|"&amp;$B$45&amp;"|"&amp;$A66, Annual!$J:$J, 0)), NA()),"")</f>
        <v/>
      </c>
      <c r="I66" s="4">
        <f>IF($B$47&lt;&gt;"USD",IFERROR(1*INDEX(Annual!$P:$P, MATCH($B$44&amp;"|"&amp;$A66, Annual!$K:$K, 0)), NA()),"")</f>
        <v/>
      </c>
      <c r="J66" s="4">
        <f>IF($B$47&lt;&gt;"USD",IFERROR(1*INDEX(Annual!$Q:$Q, MATCH($B$44&amp;"|"&amp;$B$45&amp;"|"&amp;$A66, Annual!$J:$J, 0)), NA()),"")</f>
        <v/>
      </c>
    </row>
    <row r="67">
      <c r="A67" t="n">
        <v>2017</v>
      </c>
      <c r="B67" s="4">
        <f>IFERROR(1*INDEX(Annual!$E:$E, MATCH($B$44&amp;"|"&amp;$B$45&amp;"|"&amp;$A67, Annual!$J:$J, 0)), NA())</f>
        <v/>
      </c>
      <c r="C67" s="4">
        <f>IFERROR(1*INDEX(Annual!$F:$F, MATCH($B$44&amp;"|"&amp;$A67, Annual!$K:$K, 0)), NA())</f>
        <v/>
      </c>
      <c r="D67" s="4">
        <f>IFERROR(1*INDEX(Annual!$G:$G, MATCH($B$44&amp;"|"&amp;$A67, Annual!$K:$K, 0)), NA())</f>
        <v/>
      </c>
      <c r="E67" s="4">
        <f>IFERROR(1*INDEX(Annual!$H:$H, MATCH($B$44&amp;"|"&amp;$A67, Annual!$K:$K, 0)), NA())</f>
        <v/>
      </c>
      <c r="F67" s="4">
        <f>IF(AND(ISNUMBER(E67),ISNUMBER(IFERROR(1*INDEX(Annual!$O:$O, MATCH($B$44&amp;"|"&amp;$B$45&amp;"|"&amp;$A67, Annual!$J:$J, 0)), NA()))),E67-IFERROR(1*INDEX(Annual!$O:$O, MATCH($B$44&amp;"|"&amp;$B$45&amp;"|"&amp;$A67, Annual!$J:$J, 0)), NA()),NA())</f>
        <v/>
      </c>
      <c r="G67" s="4">
        <f>IF($B$47&lt;&gt;"USD",IFERROR(1*INDEX(Annual!$N:$N, MATCH($B$44&amp;"|"&amp;$B$45&amp;"|"&amp;$A67, Annual!$J:$J, 0)), NA()),"")</f>
        <v/>
      </c>
      <c r="H67" s="4">
        <f>IF($B$47&lt;&gt;"USD",IFERROR(1*INDEX(Annual!$O:$O, MATCH($B$44&amp;"|"&amp;$B$45&amp;"|"&amp;$A67, Annual!$J:$J, 0)), NA()),"")</f>
        <v/>
      </c>
      <c r="I67" s="4">
        <f>IF($B$47&lt;&gt;"USD",IFERROR(1*INDEX(Annual!$P:$P, MATCH($B$44&amp;"|"&amp;$A67, Annual!$K:$K, 0)), NA()),"")</f>
        <v/>
      </c>
      <c r="J67" s="4">
        <f>IF($B$47&lt;&gt;"USD",IFERROR(1*INDEX(Annual!$Q:$Q, MATCH($B$44&amp;"|"&amp;$B$45&amp;"|"&amp;$A67, Annual!$J:$J, 0)), NA()),"")</f>
        <v/>
      </c>
    </row>
    <row r="68">
      <c r="A68" t="n">
        <v>2018</v>
      </c>
      <c r="B68" s="4">
        <f>IFERROR(1*INDEX(Annual!$E:$E, MATCH($B$44&amp;"|"&amp;$B$45&amp;"|"&amp;$A68, Annual!$J:$J, 0)), NA())</f>
        <v/>
      </c>
      <c r="C68" s="4">
        <f>IFERROR(1*INDEX(Annual!$F:$F, MATCH($B$44&amp;"|"&amp;$A68, Annual!$K:$K, 0)), NA())</f>
        <v/>
      </c>
      <c r="D68" s="4">
        <f>IFERROR(1*INDEX(Annual!$G:$G, MATCH($B$44&amp;"|"&amp;$A68, Annual!$K:$K, 0)), NA())</f>
        <v/>
      </c>
      <c r="E68" s="4">
        <f>IFERROR(1*INDEX(Annual!$H:$H, MATCH($B$44&amp;"|"&amp;$A68, Annual!$K:$K, 0)), NA())</f>
        <v/>
      </c>
      <c r="F68" s="4">
        <f>IF(AND(ISNUMBER(E68),ISNUMBER(IFERROR(1*INDEX(Annual!$O:$O, MATCH($B$44&amp;"|"&amp;$B$45&amp;"|"&amp;$A68, Annual!$J:$J, 0)), NA()))),E68-IFERROR(1*INDEX(Annual!$O:$O, MATCH($B$44&amp;"|"&amp;$B$45&amp;"|"&amp;$A68, Annual!$J:$J, 0)), NA()),NA())</f>
        <v/>
      </c>
      <c r="G68" s="4">
        <f>IF($B$47&lt;&gt;"USD",IFERROR(1*INDEX(Annual!$N:$N, MATCH($B$44&amp;"|"&amp;$B$45&amp;"|"&amp;$A68, Annual!$J:$J, 0)), NA()),"")</f>
        <v/>
      </c>
      <c r="H68" s="4">
        <f>IF($B$47&lt;&gt;"USD",IFERROR(1*INDEX(Annual!$O:$O, MATCH($B$44&amp;"|"&amp;$B$45&amp;"|"&amp;$A68, Annual!$J:$J, 0)), NA()),"")</f>
        <v/>
      </c>
      <c r="I68" s="4">
        <f>IF($B$47&lt;&gt;"USD",IFERROR(1*INDEX(Annual!$P:$P, MATCH($B$44&amp;"|"&amp;$A68, Annual!$K:$K, 0)), NA()),"")</f>
        <v/>
      </c>
      <c r="J68" s="4">
        <f>IF($B$47&lt;&gt;"USD",IFERROR(1*INDEX(Annual!$Q:$Q, MATCH($B$44&amp;"|"&amp;$B$45&amp;"|"&amp;$A68, Annual!$J:$J, 0)), NA()),"")</f>
        <v/>
      </c>
    </row>
    <row r="69">
      <c r="A69" t="n">
        <v>2019</v>
      </c>
      <c r="B69" s="4">
        <f>IFERROR(1*INDEX(Annual!$E:$E, MATCH($B$44&amp;"|"&amp;$B$45&amp;"|"&amp;$A69, Annual!$J:$J, 0)), NA())</f>
        <v/>
      </c>
      <c r="C69" s="4">
        <f>IFERROR(1*INDEX(Annual!$F:$F, MATCH($B$44&amp;"|"&amp;$A69, Annual!$K:$K, 0)), NA())</f>
        <v/>
      </c>
      <c r="D69" s="4">
        <f>IFERROR(1*INDEX(Annual!$G:$G, MATCH($B$44&amp;"|"&amp;$A69, Annual!$K:$K, 0)), NA())</f>
        <v/>
      </c>
      <c r="E69" s="4">
        <f>IFERROR(1*INDEX(Annual!$H:$H, MATCH($B$44&amp;"|"&amp;$A69, Annual!$K:$K, 0)), NA())</f>
        <v/>
      </c>
      <c r="F69" s="4">
        <f>IF(AND(ISNUMBER(E69),ISNUMBER(IFERROR(1*INDEX(Annual!$O:$O, MATCH($B$44&amp;"|"&amp;$B$45&amp;"|"&amp;$A69, Annual!$J:$J, 0)), NA()))),E69-IFERROR(1*INDEX(Annual!$O:$O, MATCH($B$44&amp;"|"&amp;$B$45&amp;"|"&amp;$A69, Annual!$J:$J, 0)), NA()),NA())</f>
        <v/>
      </c>
      <c r="G69" s="4">
        <f>IF($B$47&lt;&gt;"USD",IFERROR(1*INDEX(Annual!$N:$N, MATCH($B$44&amp;"|"&amp;$B$45&amp;"|"&amp;$A69, Annual!$J:$J, 0)), NA()),"")</f>
        <v/>
      </c>
      <c r="H69" s="4">
        <f>IF($B$47&lt;&gt;"USD",IFERROR(1*INDEX(Annual!$O:$O, MATCH($B$44&amp;"|"&amp;$B$45&amp;"|"&amp;$A69, Annual!$J:$J, 0)), NA()),"")</f>
        <v/>
      </c>
      <c r="I69" s="4">
        <f>IF($B$47&lt;&gt;"USD",IFERROR(1*INDEX(Annual!$P:$P, MATCH($B$44&amp;"|"&amp;$A69, Annual!$K:$K, 0)), NA()),"")</f>
        <v/>
      </c>
      <c r="J69" s="4">
        <f>IF($B$47&lt;&gt;"USD",IFERROR(1*INDEX(Annual!$Q:$Q, MATCH($B$44&amp;"|"&amp;$B$45&amp;"|"&amp;$A69, Annual!$J:$J, 0)), NA()),"")</f>
        <v/>
      </c>
    </row>
    <row r="70">
      <c r="A70" t="n">
        <v>2020</v>
      </c>
      <c r="B70" s="4">
        <f>IFERROR(1*INDEX(Annual!$E:$E, MATCH($B$44&amp;"|"&amp;$B$45&amp;"|"&amp;$A70, Annual!$J:$J, 0)), NA())</f>
        <v/>
      </c>
      <c r="C70" s="4">
        <f>IFERROR(1*INDEX(Annual!$F:$F, MATCH($B$44&amp;"|"&amp;$A70, Annual!$K:$K, 0)), NA())</f>
        <v/>
      </c>
      <c r="D70" s="4">
        <f>IFERROR(1*INDEX(Annual!$G:$G, MATCH($B$44&amp;"|"&amp;$A70, Annual!$K:$K, 0)), NA())</f>
        <v/>
      </c>
      <c r="E70" s="4">
        <f>IFERROR(1*INDEX(Annual!$H:$H, MATCH($B$44&amp;"|"&amp;$A70, Annual!$K:$K, 0)), NA())</f>
        <v/>
      </c>
      <c r="F70" s="4">
        <f>IF(AND(ISNUMBER(E70),ISNUMBER(IFERROR(1*INDEX(Annual!$O:$O, MATCH($B$44&amp;"|"&amp;$B$45&amp;"|"&amp;$A70, Annual!$J:$J, 0)), NA()))),E70-IFERROR(1*INDEX(Annual!$O:$O, MATCH($B$44&amp;"|"&amp;$B$45&amp;"|"&amp;$A70, Annual!$J:$J, 0)), NA()),NA())</f>
        <v/>
      </c>
      <c r="G70" s="4">
        <f>IF($B$47&lt;&gt;"USD",IFERROR(1*INDEX(Annual!$N:$N, MATCH($B$44&amp;"|"&amp;$B$45&amp;"|"&amp;$A70, Annual!$J:$J, 0)), NA()),"")</f>
        <v/>
      </c>
      <c r="H70" s="4">
        <f>IF($B$47&lt;&gt;"USD",IFERROR(1*INDEX(Annual!$O:$O, MATCH($B$44&amp;"|"&amp;$B$45&amp;"|"&amp;$A70, Annual!$J:$J, 0)), NA()),"")</f>
        <v/>
      </c>
      <c r="I70" s="4">
        <f>IF($B$47&lt;&gt;"USD",IFERROR(1*INDEX(Annual!$P:$P, MATCH($B$44&amp;"|"&amp;$A70, Annual!$K:$K, 0)), NA()),"")</f>
        <v/>
      </c>
      <c r="J70" s="4">
        <f>IF($B$47&lt;&gt;"USD",IFERROR(1*INDEX(Annual!$Q:$Q, MATCH($B$44&amp;"|"&amp;$B$45&amp;"|"&amp;$A70, Annual!$J:$J, 0)), NA()),"")</f>
        <v/>
      </c>
    </row>
    <row r="71">
      <c r="A71" t="n">
        <v>2021</v>
      </c>
      <c r="B71" s="4">
        <f>IFERROR(1*INDEX(Annual!$E:$E, MATCH($B$44&amp;"|"&amp;$B$45&amp;"|"&amp;$A71, Annual!$J:$J, 0)), NA())</f>
        <v/>
      </c>
      <c r="C71" s="4">
        <f>IFERROR(1*INDEX(Annual!$F:$F, MATCH($B$44&amp;"|"&amp;$A71, Annual!$K:$K, 0)), NA())</f>
        <v/>
      </c>
      <c r="D71" s="4">
        <f>IFERROR(1*INDEX(Annual!$G:$G, MATCH($B$44&amp;"|"&amp;$A71, Annual!$K:$K, 0)), NA())</f>
        <v/>
      </c>
      <c r="E71" s="4">
        <f>IFERROR(1*INDEX(Annual!$H:$H, MATCH($B$44&amp;"|"&amp;$A71, Annual!$K:$K, 0)), NA())</f>
        <v/>
      </c>
      <c r="F71" s="4">
        <f>IF(AND(ISNUMBER(E71),ISNUMBER(IFERROR(1*INDEX(Annual!$O:$O, MATCH($B$44&amp;"|"&amp;$B$45&amp;"|"&amp;$A71, Annual!$J:$J, 0)), NA()))),E71-IFERROR(1*INDEX(Annual!$O:$O, MATCH($B$44&amp;"|"&amp;$B$45&amp;"|"&amp;$A71, Annual!$J:$J, 0)), NA()),NA())</f>
        <v/>
      </c>
      <c r="G71" s="4">
        <f>IF($B$47&lt;&gt;"USD",IFERROR(1*INDEX(Annual!$N:$N, MATCH($B$44&amp;"|"&amp;$B$45&amp;"|"&amp;$A71, Annual!$J:$J, 0)), NA()),"")</f>
        <v/>
      </c>
      <c r="H71" s="4">
        <f>IF($B$47&lt;&gt;"USD",IFERROR(1*INDEX(Annual!$O:$O, MATCH($B$44&amp;"|"&amp;$B$45&amp;"|"&amp;$A71, Annual!$J:$J, 0)), NA()),"")</f>
        <v/>
      </c>
      <c r="I71" s="4">
        <f>IF($B$47&lt;&gt;"USD",IFERROR(1*INDEX(Annual!$P:$P, MATCH($B$44&amp;"|"&amp;$A71, Annual!$K:$K, 0)), NA()),"")</f>
        <v/>
      </c>
      <c r="J71" s="4">
        <f>IF($B$47&lt;&gt;"USD",IFERROR(1*INDEX(Annual!$Q:$Q, MATCH($B$44&amp;"|"&amp;$B$45&amp;"|"&amp;$A71, Annual!$J:$J, 0)), NA()),"")</f>
        <v/>
      </c>
    </row>
    <row r="72">
      <c r="A72" t="n">
        <v>2022</v>
      </c>
      <c r="B72" s="4">
        <f>IFERROR(1*INDEX(Annual!$E:$E, MATCH($B$44&amp;"|"&amp;$B$45&amp;"|"&amp;$A72, Annual!$J:$J, 0)), NA())</f>
        <v/>
      </c>
      <c r="C72" s="4">
        <f>IFERROR(1*INDEX(Annual!$F:$F, MATCH($B$44&amp;"|"&amp;$A72, Annual!$K:$K, 0)), NA())</f>
        <v/>
      </c>
      <c r="D72" s="4">
        <f>IFERROR(1*INDEX(Annual!$G:$G, MATCH($B$44&amp;"|"&amp;$A72, Annual!$K:$K, 0)), NA())</f>
        <v/>
      </c>
      <c r="E72" s="4">
        <f>IFERROR(1*INDEX(Annual!$H:$H, MATCH($B$44&amp;"|"&amp;$A72, Annual!$K:$K, 0)), NA())</f>
        <v/>
      </c>
      <c r="F72" s="4">
        <f>IF(AND(ISNUMBER(E72),ISNUMBER(IFERROR(1*INDEX(Annual!$O:$O, MATCH($B$44&amp;"|"&amp;$B$45&amp;"|"&amp;$A72, Annual!$J:$J, 0)), NA()))),E72-IFERROR(1*INDEX(Annual!$O:$O, MATCH($B$44&amp;"|"&amp;$B$45&amp;"|"&amp;$A72, Annual!$J:$J, 0)), NA()),NA())</f>
        <v/>
      </c>
      <c r="G72" s="4">
        <f>IF($B$47&lt;&gt;"USD",IFERROR(1*INDEX(Annual!$N:$N, MATCH($B$44&amp;"|"&amp;$B$45&amp;"|"&amp;$A72, Annual!$J:$J, 0)), NA()),"")</f>
        <v/>
      </c>
      <c r="H72" s="4">
        <f>IF($B$47&lt;&gt;"USD",IFERROR(1*INDEX(Annual!$O:$O, MATCH($B$44&amp;"|"&amp;$B$45&amp;"|"&amp;$A72, Annual!$J:$J, 0)), NA()),"")</f>
        <v/>
      </c>
      <c r="I72" s="4">
        <f>IF($B$47&lt;&gt;"USD",IFERROR(1*INDEX(Annual!$P:$P, MATCH($B$44&amp;"|"&amp;$A72, Annual!$K:$K, 0)), NA()),"")</f>
        <v/>
      </c>
      <c r="J72" s="4">
        <f>IF($B$47&lt;&gt;"USD",IFERROR(1*INDEX(Annual!$Q:$Q, MATCH($B$44&amp;"|"&amp;$B$45&amp;"|"&amp;$A72, Annual!$J:$J, 0)), NA()),"")</f>
        <v/>
      </c>
    </row>
    <row r="73">
      <c r="A73" t="n">
        <v>2023</v>
      </c>
      <c r="B73" s="4">
        <f>IFERROR(1*INDEX(Annual!$E:$E, MATCH($B$44&amp;"|"&amp;$B$45&amp;"|"&amp;$A73, Annual!$J:$J, 0)), NA())</f>
        <v/>
      </c>
      <c r="C73" s="4">
        <f>IFERROR(1*INDEX(Annual!$F:$F, MATCH($B$44&amp;"|"&amp;$A73, Annual!$K:$K, 0)), NA())</f>
        <v/>
      </c>
      <c r="D73" s="4">
        <f>IFERROR(1*INDEX(Annual!$G:$G, MATCH($B$44&amp;"|"&amp;$A73, Annual!$K:$K, 0)), NA())</f>
        <v/>
      </c>
      <c r="E73" s="4">
        <f>IFERROR(1*INDEX(Annual!$H:$H, MATCH($B$44&amp;"|"&amp;$A73, Annual!$K:$K, 0)), NA())</f>
        <v/>
      </c>
      <c r="F73" s="4">
        <f>IF(AND(ISNUMBER(E73),ISNUMBER(IFERROR(1*INDEX(Annual!$O:$O, MATCH($B$44&amp;"|"&amp;$B$45&amp;"|"&amp;$A73, Annual!$J:$J, 0)), NA()))),E73-IFERROR(1*INDEX(Annual!$O:$O, MATCH($B$44&amp;"|"&amp;$B$45&amp;"|"&amp;$A73, Annual!$J:$J, 0)), NA()),NA())</f>
        <v/>
      </c>
      <c r="G73" s="4">
        <f>IF($B$47&lt;&gt;"USD",IFERROR(1*INDEX(Annual!$N:$N, MATCH($B$44&amp;"|"&amp;$B$45&amp;"|"&amp;$A73, Annual!$J:$J, 0)), NA()),"")</f>
        <v/>
      </c>
      <c r="H73" s="4">
        <f>IF($B$47&lt;&gt;"USD",IFERROR(1*INDEX(Annual!$O:$O, MATCH($B$44&amp;"|"&amp;$B$45&amp;"|"&amp;$A73, Annual!$J:$J, 0)), NA()),"")</f>
        <v/>
      </c>
      <c r="I73" s="4">
        <f>IF($B$47&lt;&gt;"USD",IFERROR(1*INDEX(Annual!$P:$P, MATCH($B$44&amp;"|"&amp;$A73, Annual!$K:$K, 0)), NA()),"")</f>
        <v/>
      </c>
      <c r="J73" s="4">
        <f>IF($B$47&lt;&gt;"USD",IFERROR(1*INDEX(Annual!$Q:$Q, MATCH($B$44&amp;"|"&amp;$B$45&amp;"|"&amp;$A73, Annual!$J:$J, 0)), NA()),"")</f>
        <v/>
      </c>
    </row>
    <row r="74">
      <c r="A74" t="n">
        <v>2024</v>
      </c>
      <c r="B74" s="4">
        <f>IFERROR(1*INDEX(Annual!$E:$E, MATCH($B$44&amp;"|"&amp;$B$45&amp;"|"&amp;$A74, Annual!$J:$J, 0)), NA())</f>
        <v/>
      </c>
      <c r="C74" s="4">
        <f>IFERROR(1*INDEX(Annual!$F:$F, MATCH($B$44&amp;"|"&amp;$A74, Annual!$K:$K, 0)), NA())</f>
        <v/>
      </c>
      <c r="D74" s="4">
        <f>IFERROR(1*INDEX(Annual!$G:$G, MATCH($B$44&amp;"|"&amp;$A74, Annual!$K:$K, 0)), NA())</f>
        <v/>
      </c>
      <c r="E74" s="4">
        <f>IFERROR(1*INDEX(Annual!$H:$H, MATCH($B$44&amp;"|"&amp;$A74, Annual!$K:$K, 0)), NA())</f>
        <v/>
      </c>
      <c r="F74" s="4">
        <f>IF(AND(ISNUMBER(E74),ISNUMBER(IFERROR(1*INDEX(Annual!$O:$O, MATCH($B$44&amp;"|"&amp;$B$45&amp;"|"&amp;$A74, Annual!$J:$J, 0)), NA()))),E74-IFERROR(1*INDEX(Annual!$O:$O, MATCH($B$44&amp;"|"&amp;$B$45&amp;"|"&amp;$A74, Annual!$J:$J, 0)), NA()),NA())</f>
        <v/>
      </c>
      <c r="G74" s="4">
        <f>IF($B$47&lt;&gt;"USD",IFERROR(1*INDEX(Annual!$N:$N, MATCH($B$44&amp;"|"&amp;$B$45&amp;"|"&amp;$A74, Annual!$J:$J, 0)), NA()),"")</f>
        <v/>
      </c>
      <c r="H74" s="4">
        <f>IF($B$47&lt;&gt;"USD",IFERROR(1*INDEX(Annual!$O:$O, MATCH($B$44&amp;"|"&amp;$B$45&amp;"|"&amp;$A74, Annual!$J:$J, 0)), NA()),"")</f>
        <v/>
      </c>
      <c r="I74" s="4">
        <f>IF($B$47&lt;&gt;"USD",IFERROR(1*INDEX(Annual!$P:$P, MATCH($B$44&amp;"|"&amp;$A74, Annual!$K:$K, 0)), NA()),"")</f>
        <v/>
      </c>
      <c r="J74" s="4">
        <f>IF($B$47&lt;&gt;"USD",IFERROR(1*INDEX(Annual!$Q:$Q, MATCH($B$44&amp;"|"&amp;$B$45&amp;"|"&amp;$A74, Annual!$J:$J, 0)), NA()),"")</f>
        <v/>
      </c>
    </row>
    <row r="75">
      <c r="A75" t="n">
        <v>2025</v>
      </c>
      <c r="B75" s="4">
        <f>IFERROR(1*INDEX(Annual!$E:$E, MATCH($B$44&amp;"|"&amp;$B$45&amp;"|"&amp;$A75, Annual!$J:$J, 0)), NA())</f>
        <v/>
      </c>
      <c r="C75" s="4">
        <f>IFERROR(1*INDEX(Annual!$F:$F, MATCH($B$44&amp;"|"&amp;$A75, Annual!$K:$K, 0)), NA())</f>
        <v/>
      </c>
      <c r="D75" s="4">
        <f>IFERROR(1*INDEX(Annual!$G:$G, MATCH($B$44&amp;"|"&amp;$A75, Annual!$K:$K, 0)), NA())</f>
        <v/>
      </c>
      <c r="E75" s="4">
        <f>IFERROR(1*INDEX(Annual!$H:$H, MATCH($B$44&amp;"|"&amp;$A75, Annual!$K:$K, 0)), NA())</f>
        <v/>
      </c>
      <c r="F75" s="4">
        <f>IF(AND(ISNUMBER(E75),ISNUMBER(IFERROR(1*INDEX(Annual!$O:$O, MATCH($B$44&amp;"|"&amp;$B$45&amp;"|"&amp;$A75, Annual!$J:$J, 0)), NA()))),E75-IFERROR(1*INDEX(Annual!$O:$O, MATCH($B$44&amp;"|"&amp;$B$45&amp;"|"&amp;$A75, Annual!$J:$J, 0)), NA()),NA())</f>
        <v/>
      </c>
      <c r="G75" s="4">
        <f>IF($B$47&lt;&gt;"USD",IFERROR(1*INDEX(Annual!$N:$N, MATCH($B$44&amp;"|"&amp;$B$45&amp;"|"&amp;$A75, Annual!$J:$J, 0)), NA()),"")</f>
        <v/>
      </c>
      <c r="H75" s="4">
        <f>IF($B$47&lt;&gt;"USD",IFERROR(1*INDEX(Annual!$O:$O, MATCH($B$44&amp;"|"&amp;$B$45&amp;"|"&amp;$A75, Annual!$J:$J, 0)), NA()),"")</f>
        <v/>
      </c>
      <c r="I75" s="4">
        <f>IF($B$47&lt;&gt;"USD",IFERROR(1*INDEX(Annual!$P:$P, MATCH($B$44&amp;"|"&amp;$A75, Annual!$K:$K, 0)), NA()),"")</f>
        <v/>
      </c>
      <c r="J75" s="4">
        <f>IF($B$47&lt;&gt;"USD",IFERROR(1*INDEX(Annual!$Q:$Q,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IFERROR(1*INDEX(Annual!$F:$F, MATCH($B$44&amp;"|"&amp;2026, Annual!$K:$K, 0)), NA())</f>
        <v/>
      </c>
      <c r="D76" s="4">
        <f>IFERROR(1*INDEX(Annual!$G:$G, MATCH($B$44&amp;"|"&amp;2026, Annual!$K:$K, 0)), NA())</f>
        <v/>
      </c>
      <c r="E76" s="4">
        <f>IFERROR(1*INDEX(Annual!$H:$H, MATCH($B$44&amp;"|"&amp;2026, Annual!$K:$K, 0)), NA())</f>
        <v/>
      </c>
      <c r="F76" s="4">
        <f>IF(AND(ISNUMBER(E76),ISNUMBER(IFERROR(1*INDEX(ETF_Timeframes!$G:$G, MATCH($B$44&amp;"|"&amp;$B$45&amp;"|YTD", ETF_Timeframes!$H:$H, 0)), NA()))),E76-IFERROR(1*INDEX(ETF_Timeframes!$G:$G, MATCH($B$44&amp;"|"&amp;$B$45&amp;"|YTD", ETF_Timeframes!$H:$H, 0)), NA()),NA())</f>
        <v/>
      </c>
      <c r="G76" s="4">
        <f>IF($B$47&lt;&gt;"USD",IFERROR(1*INDEX(Annual!$N:$N, MATCH($B$44&amp;"|"&amp;$B$45&amp;"|"&amp;2026, Annual!$J:$J, 0)), NA()),"")</f>
        <v/>
      </c>
      <c r="H76" s="4">
        <f>IF($B$47&lt;&gt;"USD",IFERROR(1*INDEX(Annual!$O:$O, MATCH($B$44&amp;"|"&amp;$B$45&amp;"|"&amp;2026, Annual!$J:$J, 0)), NA()),"")</f>
        <v/>
      </c>
      <c r="I76" s="4">
        <f>IF($B$47&lt;&gt;"USD",IFERROR(1*INDEX(Annual!$P:$P, MATCH($B$44&amp;"|"&amp;2026, Annual!$K:$K, 0)), NA()),"")</f>
        <v/>
      </c>
      <c r="J76" s="4">
        <f>IF($B$47&lt;&gt;"USD",IFERROR(1*INDEX(Annual!$Q:$Q, MATCH($B$44&amp;"|"&amp;$B$45&amp;"|"&amp;2026, Annual!$J:$J, 0)), NA()),"")</f>
        <v/>
      </c>
    </row>
    <row r="77">
      <c r="A77" t="inlineStr">
        <is>
          <t>* 2026 row: GDP is IMF projection; ETF is YTD return.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Nominal GDP USD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IF(AND(ISNUMBER(E81),ISNUMBER(H81)),E81-H81,NA())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IF(AND(ISNUMBER(E82),ISNUMBER(H82)),E82-H82,NA())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IF(AND(ISNUMBER(E83),ISNUMBER(H83)),E83-H83,NA())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J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F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=OFFSET(Lists!$G$2,IFERROR(MATCH($A6,Lists!$F$2:$F$68,0)-1,0),0,COUNTIF(Lists!$F$2:$F$68,$A6),1)</formula1>
    </dataValidation>
    <dataValidation sqref="C7" showDropDown="0" showInputMessage="0" showErrorMessage="0" allowBlank="0" type="list">
      <formula1>=OFFSET(Lists!$G$2,IFERROR(MATCH($A7,Lists!$F$2:$F$68,0)-1,0),0,COUNTIF(Lists!$F$2:$F$68,$A7),1)</formula1>
    </dataValidation>
    <dataValidation sqref="C8" showDropDown="0" showInputMessage="0" showErrorMessage="0" allowBlank="0" type="list">
      <formula1>=OFFSET(Lists!$G$2,IFERROR(MATCH($A8,Lists!$F$2:$F$68,0)-1,0),0,COUNTIF(Lists!$F$2:$F$68,$A8),1)</formula1>
    </dataValidation>
    <dataValidation sqref="C9" showDropDown="0" showInputMessage="0" showErrorMessage="0" allowBlank="0" type="list">
      <formula1>=OFFSET(Lists!$G$2,IFERROR(MATCH($A9,Lists!$F$2:$F$68,0)-1,0),0,COUNTIF(Lists!$F$2:$F$68,$A9),1)</formula1>
    </dataValidation>
    <dataValidation sqref="C10" showDropDown="0" showInputMessage="0" showErrorMessage="0" allowBlank="0" type="list">
      <formula1>=OFFSET(Lists!$G$2,IFERROR(MATCH($A10,Lists!$F$2:$F$68,0)-1,0),0,COUNTIF(Lists!$F$2:$F$68,$A10),1)</formula1>
    </dataValidation>
    <dataValidation sqref="C11" showDropDown="0" showInputMessage="0" showErrorMessage="0" allowBlank="0" type="list">
      <formula1>=OFFSET(Lists!$G$2,IFERROR(MATCH($A11,Lists!$F$2:$F$68,0)-1,0),0,COUNTIF(Lists!$F$2:$F$68,$A11),1)</formula1>
    </dataValidation>
    <dataValidation sqref="C12" showDropDown="0" showInputMessage="0" showErrorMessage="0" allowBlank="0" type="list">
      <formula1>=OFFSET(Lists!$G$2,IFERROR(MATCH($A12,Lists!$F$2:$F$68,0)-1,0),0,COUNTIF(Lists!$F$2:$F$68,$A12),1)</formula1>
    </dataValidation>
    <dataValidation sqref="C13" showDropDown="0" showInputMessage="0" showErrorMessage="0" allowBlank="0" type="list">
      <formula1>=OFFSET(Lists!$G$2,IFERROR(MATCH($A13,Lists!$F$2:$F$68,0)-1,0),0,COUNTIF(Lists!$F$2:$F$68,$A13),1)</formula1>
    </dataValidation>
    <dataValidation sqref="C14" showDropDown="0" showInputMessage="0" showErrorMessage="0" allowBlank="0" type="list">
      <formula1>=OFFSET(Lists!$G$2,IFERROR(MATCH($A14,Lists!$F$2:$F$68,0)-1,0),0,COUNTIF(Lists!$F$2:$F$68,$A14),1)</formula1>
    </dataValidation>
    <dataValidation sqref="C15" showDropDown="0" showInputMessage="0" showErrorMessage="0" allowBlank="0" type="list">
      <formula1>=OFFSET(Lists!$G$2,IFERROR(MATCH($A15,Lists!$F$2:$F$68,0)-1,0),0,COUNTIF(Lists!$F$2:$F$68,$A15),1)</formula1>
    </dataValidation>
    <dataValidation sqref="C16" showDropDown="0" showInputMessage="0" showErrorMessage="0" allowBlank="0" type="list">
      <formula1>=OFFSET(Lists!$G$2,IFERROR(MATCH($A16,Lists!$F$2:$F$68,0)-1,0),0,COUNTIF(Lists!$F$2:$F$68,$A16),1)</formula1>
    </dataValidation>
    <dataValidation sqref="C17" showDropDown="0" showInputMessage="0" showErrorMessage="0" allowBlank="0" type="list">
      <formula1>=OFFSET(Lists!$G$2,IFERROR(MATCH($A17,Lists!$F$2:$F$68,0)-1,0),0,COUNTIF(Lists!$F$2:$F$68,$A17),1)</formula1>
    </dataValidation>
    <dataValidation sqref="C18" showDropDown="0" showInputMessage="0" showErrorMessage="0" allowBlank="0" type="list">
      <formula1>=OFFSET(Lists!$G$2,IFERROR(MATCH($A18,Lists!$F$2:$F$68,0)-1,0),0,COUNTIF(Lists!$F$2:$F$68,$A18),1)</formula1>
    </dataValidation>
    <dataValidation sqref="C19" showDropDown="0" showInputMessage="0" showErrorMessage="0" allowBlank="0" type="list">
      <formula1>=OFFSET(Lists!$G$2,IFERROR(MATCH($A19,Lists!$F$2:$F$68,0)-1,0),0,COUNTIF(Lists!$F$2:$F$68,$A19),1)</formula1>
    </dataValidation>
    <dataValidation sqref="C20" showDropDown="0" showInputMessage="0" showErrorMessage="0" allowBlank="0" type="list">
      <formula1>=OFFSET(Lists!$G$2,IFERROR(MATCH($A20,Lists!$F$2:$F$68,0)-1,0),0,COUNTIF(Lists!$F$2:$F$68,$A20),1)</formula1>
    </dataValidation>
    <dataValidation sqref="C21" showDropDown="0" showInputMessage="0" showErrorMessage="0" allowBlank="0" type="list">
      <formula1>=OFFSET(Lists!$G$2,IFERROR(MATCH($A21,Lists!$F$2:$F$68,0)-1,0),0,COUNTIF(Lists!$F$2:$F$68,$A21),1)</formula1>
    </dataValidation>
    <dataValidation sqref="C22" showDropDown="0" showInputMessage="0" showErrorMessage="0" allowBlank="0" type="list">
      <formula1>=OFFSET(Lists!$G$2,IFERROR(MATCH($A22,Lists!$F$2:$F$68,0)-1,0),0,COUNTIF(Lists!$F$2:$F$68,$A22),1)</formula1>
    </dataValidation>
    <dataValidation sqref="C23" showDropDown="0" showInputMessage="0" showErrorMessage="0" allowBlank="0" type="list">
      <formula1>=OFFSET(Lists!$G$2,IFERROR(MATCH($A23,Lists!$F$2:$F$68,0)-1,0),0,COUNTIF(Lists!$F$2:$F$68,$A23),1)</formula1>
    </dataValidation>
    <dataValidation sqref="C24" showDropDown="0" showInputMessage="0" showErrorMessage="0" allowBlank="0" type="list">
      <formula1>=OFFSET(Lists!$G$2,IFERROR(MATCH($A24,Lists!$F$2:$F$68,0)-1,0),0,COUNTIF(Lists!$F$2:$F$68,$A24),1)</formula1>
    </dataValidation>
    <dataValidation sqref="C25" showDropDown="0" showInputMessage="0" showErrorMessage="0" allowBlank="0" type="list">
      <formula1>=OFFSET(Lists!$G$2,IFERROR(MATCH($A25,Lists!$F$2:$F$68,0)-1,0),0,COUNTIF(Lists!$F$2:$F$68,$A25),1)</formula1>
    </dataValidation>
    <dataValidation sqref="C26" showDropDown="0" showInputMessage="0" showErrorMessage="0" allowBlank="0" type="list">
      <formula1>=OFFSET(Lists!$G$2,IFERROR(MATCH($A26,Lists!$F$2:$F$68,0)-1,0),0,COUNTIF(Lists!$F$2:$F$68,$A26),1)</formula1>
    </dataValidation>
    <dataValidation sqref="C27" showDropDown="0" showInputMessage="0" showErrorMessage="0" allowBlank="0" type="list">
      <formula1>=OFFSET(Lists!$G$2,IFERROR(MATCH($A27,Lists!$F$2:$F$68,0)-1,0),0,COUNTIF(Lists!$F$2:$F$68,$A27),1)</formula1>
    </dataValidation>
    <dataValidation sqref="C28" showDropDown="0" showInputMessage="0" showErrorMessage="0" allowBlank="0" type="list">
      <formula1>=OFFSET(Lists!$G$2,IFERROR(MATCH($A28,Lists!$F$2:$F$68,0)-1,0),0,COUNTIF(Lists!$F$2:$F$68,$A28),1)</formula1>
    </dataValidation>
    <dataValidation sqref="C29" showDropDown="0" showInputMessage="0" showErrorMessage="0" allowBlank="0" type="list">
      <formula1>=OFFSET(Lists!$G$2,IFERROR(MATCH($A29,Lists!$F$2:$F$68,0)-1,0),0,COUNTIF(Lists!$F$2:$F$68,$A29),1)</formula1>
    </dataValidation>
    <dataValidation sqref="C30" showDropDown="0" showInputMessage="0" showErrorMessage="0" allowBlank="0" type="list">
      <formula1>=OFFSET(Lists!$G$2,IFERROR(MATCH($A30,Lists!$F$2:$F$68,0)-1,0),0,COUNTIF(Lists!$F$2:$F$68,$A30),1)</formula1>
    </dataValidation>
    <dataValidation sqref="C31" showDropDown="0" showInputMessage="0" showErrorMessage="0" allowBlank="0" type="list">
      <formula1>=OFFSET(Lists!$G$2,IFERROR(MATCH($A31,Lists!$F$2:$F$68,0)-1,0),0,COUNTIF(Lists!$F$2:$F$68,$A31),1)</formula1>
    </dataValidation>
    <dataValidation sqref="C32" showDropDown="0" showInputMessage="0" showErrorMessage="0" allowBlank="0" type="list">
      <formula1>=OFFSET(Lists!$G$2,IFERROR(MATCH($A32,Lists!$F$2:$F$68,0)-1,0),0,COUNTIF(Lists!$F$2:$F$68,$A32),1)</formula1>
    </dataValidation>
    <dataValidation sqref="C33" showDropDown="0" showInputMessage="0" showErrorMessage="0" allowBlank="0" type="list">
      <formula1>=OFFSET(Lists!$G$2,IFERROR(MATCH($A33,Lists!$F$2:$F$68,0)-1,0),0,COUNTIF(Lists!$F$2:$F$68,$A33),1)</formula1>
    </dataValidation>
    <dataValidation sqref="C34" showDropDown="0" showInputMessage="0" showErrorMessage="0" allowBlank="0" type="list">
      <formula1>=OFFSET(Lists!$G$2,IFERROR(MATCH($A34,Lists!$F$2:$F$68,0)-1,0),0,COUNTIF(Lists!$F$2:$F$68,$A34),1)</formula1>
    </dataValidation>
    <dataValidation sqref="C35" showDropDown="0" showInputMessage="0" showErrorMessage="0" allowBlank="0" type="list">
      <formula1>=OFFSET(Lists!$G$2,IFERROR(MATCH($A35,Lists!$F$2:$F$68,0)-1,0),0,COUNTIF(Lists!$F$2:$F$68,$A35),1)</formula1>
    </dataValidation>
    <dataValidation sqref="C36" showDropDown="0" showInputMessage="0" showErrorMessage="0" allowBlank="0" type="list">
      <formula1>=OFFSET(Lists!$G$2,IFERROR(MATCH($A36,Lists!$F$2:$F$68,0)-1,0),0,COUNTIF(Lists!$F$2:$F$68,$A36),1)</formula1>
    </dataValidation>
    <dataValidation sqref="C37" showDropDown="0" showInputMessage="0" showErrorMessage="0" allowBlank="0" type="list">
      <formula1>=OFFSET(Lists!$G$2,IFERROR(MATCH($A37,Lists!$F$2:$F$68,0)-1,0),0,COUNTIF(Lists!$F$2:$F$68,$A37),1)</formula1>
    </dataValidation>
    <dataValidation sqref="C38" showDropDown="0" showInputMessage="0" showErrorMessage="0" allowBlank="0" type="list">
      <formula1>=OFFSET(Lists!$G$2,IFERROR(MATCH($A38,Lists!$F$2:$F$68,0)-1,0),0,COUNTIF(Lists!$F$2:$F$68,$A38),1)</formula1>
    </dataValidation>
    <dataValidation sqref="C39" showDropDown="0" showInputMessage="0" showErrorMessage="0" allowBlank="0" type="list">
      <formula1>=OFFSET(Lists!$G$2,IFERROR(MATCH($A39,Lists!$F$2:$F$68,0)-1,0),0,COUNTIF(Lists!$F$2:$F$68,$A39),1)</formula1>
    </dataValidation>
    <dataValidation sqref="C40" showDropDown="0" showInputMessage="0" showErrorMessage="0" allowBlank="0" type="list">
      <formula1>=OFFSET(Lists!$G$2,IFERROR(MATCH($A40,Lists!$F$2:$F$68,0)-1,0),0,COUNTIF(Lists!$F$2:$F$68,$A40),1)</formula1>
    </dataValidation>
    <dataValidation sqref="B44" showDropDown="0" showInputMessage="0" showErrorMessage="0" allowBlank="0" type="list">
      <formula1>=Lists!$A$2:$A$68</formula1>
    </dataValidation>
    <dataValidation sqref="B45" showDropDown="0" showInputMessage="0" showErrorMessage="0" allowBlank="0" type="list">
      <formula1>=OFFSET(Lists!$G$2,IFERROR(MATCH($B$44,Lists!$F$2:$F$68,0)-1,0),0,COUNTIF(Lists!$F$2:$F$68,$B$44),1)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2026-03-06T06:57:53Z</dcterms:created>
  <dcterms:modified xsi:type="dcterms:W3CDTF">2026-03-06T06:57:54Z</dcterms:modified>
</cp:coreProperties>
</file>