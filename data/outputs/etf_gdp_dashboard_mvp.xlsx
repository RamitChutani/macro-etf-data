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-6.538251762479177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-1.586409103750164</v>
      </c>
      <c r="O13" t="inlineStr"/>
      <c r="P13" t="n">
        <v>13.02737376247918</v>
      </c>
      <c r="Q13" t="n">
        <v>1.207198804096987</v>
      </c>
      <c r="R13" t="n">
        <v>11.67918398893944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-17.95888017144464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-1.586409103750164</v>
      </c>
      <c r="O58" t="inlineStr"/>
      <c r="P58" t="n">
        <v>19.54423317144465</v>
      </c>
      <c r="Q58" t="n">
        <v>-4.793915921235781</v>
      </c>
      <c r="R58" t="n">
        <v>25.56364892872331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0.1456072836732165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-1.586409103750164</v>
      </c>
      <c r="O73" t="inlineStr"/>
      <c r="P73" t="n">
        <v>5.864116716326784</v>
      </c>
      <c r="Q73" t="n">
        <v>1.917642917461637</v>
      </c>
      <c r="R73" t="n">
        <v>3.872218475520683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4.220402227678674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-1.586409103750164</v>
      </c>
      <c r="O88" t="inlineStr"/>
      <c r="P88" t="n">
        <v>2.234591772321326</v>
      </c>
      <c r="Q88" t="n">
        <v>1.715499981285462</v>
      </c>
      <c r="R88" t="n">
        <v>0.5103369605727437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1.506006570747211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-1.586409103750164</v>
      </c>
      <c r="O103" t="inlineStr"/>
      <c r="P103" t="n">
        <v>4.354521429252789</v>
      </c>
      <c r="Q103" t="n">
        <v>3.325800444983762</v>
      </c>
      <c r="R103" t="n">
        <v>0.9956090152108521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5.879817384035991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-2.460747208635161</v>
      </c>
      <c r="O118" t="inlineStr"/>
      <c r="P118" t="n">
        <v>0.3953466159640096</v>
      </c>
      <c r="Q118" t="n">
        <v>3.3257747234954</v>
      </c>
      <c r="R118" t="n">
        <v>-2.836105623571039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4.051856173450775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-1.586409103750164</v>
      </c>
      <c r="O133" t="inlineStr"/>
      <c r="P133" t="n">
        <v>2.223307826549226</v>
      </c>
      <c r="Q133" t="n">
        <v>3.3257747234954</v>
      </c>
      <c r="R133" t="n">
        <v>-1.066981496046293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17.27630894858434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-2.460747208635161</v>
      </c>
      <c r="O193" t="inlineStr"/>
      <c r="P193" t="n">
        <v>-9.863902948584336</v>
      </c>
      <c r="Q193" t="n">
        <v>-0.4816731502218174</v>
      </c>
      <c r="R193" t="n">
        <v>-9.427640209953381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2.169088630583131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-1.586409103750164</v>
      </c>
      <c r="O238" t="inlineStr"/>
      <c r="P238" t="n">
        <v>5.224466369416869</v>
      </c>
      <c r="Q238" t="n">
        <v>1.340304244938451</v>
      </c>
      <c r="R238" t="n">
        <v>3.83279106315928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-5.66222717335947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-1.586409103750164</v>
      </c>
      <c r="O253" t="inlineStr"/>
      <c r="P253" t="n">
        <v>14.69510317335947</v>
      </c>
      <c r="Q253" t="n">
        <v>2.729655744762916</v>
      </c>
      <c r="R253" t="n">
        <v>11.64751048940076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-0.8399916189872414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-1.586409103750164</v>
      </c>
      <c r="O298" t="inlineStr"/>
      <c r="P298" t="n">
        <v>8.886810618987241</v>
      </c>
      <c r="Q298" t="n">
        <v>-0.0001214776089053515</v>
      </c>
      <c r="R298" t="n">
        <v>8.886942892241878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2.809310096107397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-1.586409103750164</v>
      </c>
      <c r="O328" t="inlineStr"/>
      <c r="P328" t="n">
        <v>3.956918903892603</v>
      </c>
      <c r="Q328" t="n">
        <v>0.3468579952283335</v>
      </c>
      <c r="R328" t="n">
        <v>3.59758240645256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-13.36921296247058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-1.586409103750164</v>
      </c>
      <c r="O388" t="inlineStr"/>
      <c r="P388" t="n">
        <v>17.41721696247058</v>
      </c>
      <c r="Q388" t="n">
        <v>-0.7752469863729683</v>
      </c>
      <c r="R388" t="n">
        <v>18.33460240142406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5.050845017216049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-2.460747208635161</v>
      </c>
      <c r="O418" t="inlineStr"/>
      <c r="P418" t="n">
        <v>2.904177982783951</v>
      </c>
      <c r="Q418" t="n">
        <v>3.325802534156552</v>
      </c>
      <c r="R418" t="n">
        <v>-0.4080534978019856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2.483251632194111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-2.460747208635161</v>
      </c>
      <c r="O448" t="inlineStr"/>
      <c r="P448" t="n">
        <v>4.689825367805889</v>
      </c>
      <c r="Q448" t="n">
        <v>5.171126513062774</v>
      </c>
      <c r="R448" t="n">
        <v>-0.4576361984647059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0.4769819128176813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-1.586409103750164</v>
      </c>
      <c r="O463" t="inlineStr"/>
      <c r="P463" t="n">
        <v>6.696095087182319</v>
      </c>
      <c r="Q463" t="n">
        <v>5.171126513062774</v>
      </c>
      <c r="R463" t="n">
        <v>1.449987867088343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-6.889973256747719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-1.586409103750164</v>
      </c>
      <c r="O493" t="inlineStr"/>
      <c r="P493" t="n">
        <v>16.73419325674772</v>
      </c>
      <c r="Q493" t="n">
        <v>5.918875450485639</v>
      </c>
      <c r="R493" t="n">
        <v>10.2109447067515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-24.84670619366544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-1.586409103750164</v>
      </c>
      <c r="O508" t="inlineStr"/>
      <c r="P508" t="n">
        <v>25.37233119366544</v>
      </c>
      <c r="Q508" t="n">
        <v>-1.734085104727434</v>
      </c>
      <c r="R508" t="n">
        <v>27.58475950412886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2.266013103750164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-1.586409103750164</v>
      </c>
      <c r="O538" t="inlineStr"/>
      <c r="P538" t="n">
        <v>-1.586409103750164</v>
      </c>
      <c r="Q538" t="n">
        <v>-21.67347080086092</v>
      </c>
      <c r="R538" t="n">
        <v>25.64528506815484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-1.307846705260745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-1.586409103750164</v>
      </c>
      <c r="O553" t="inlineStr"/>
      <c r="P553" t="n">
        <v>8.048786705260746</v>
      </c>
      <c r="Q553" t="n">
        <v>3.004940479200879</v>
      </c>
      <c r="R553" t="n">
        <v>4.896703209180853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-1.413412697748489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-1.586409103750164</v>
      </c>
      <c r="O568" t="inlineStr"/>
      <c r="P568" t="n">
        <v>8.154352697748489</v>
      </c>
      <c r="Q568" t="n">
        <v>3.004940479200879</v>
      </c>
      <c r="R568" t="n">
        <v>4.999189548182303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6.306853184095683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-1.586409103750164</v>
      </c>
      <c r="O613" t="inlineStr"/>
      <c r="P613" t="n">
        <v>-0.8742991840956837</v>
      </c>
      <c r="Q613" t="n">
        <v>-3.586195770893719</v>
      </c>
      <c r="R613" t="n">
        <v>2.812767952142825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27.10198970636142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-25.20746670636143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6.029082446855738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-4.057598947506946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8.522694762680993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-2.45355602302888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8.981468717015041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-4.964320663846734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64.64834925133158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-61.09248325133159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18.73047422318421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-13.77075148871483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12.25824931812472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-3.395283243991631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11.51421046507572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-9.226592680432731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41.44858921247167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-39.66746321247167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20.54724762236322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-19.14877525648821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14.38868665003326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-7.746650850323067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11.11712283811752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-7.209634021345889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29.03063524409362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-25.57022824409361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6.073471495279925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-4.12569029009191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-1.227715072914315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6.360768433337716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4.92531062294872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0.6205926123886263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23.78899062651691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-17.44096062651692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11.80907455932196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-5.488656132669711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10.48312564804594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-5.578051162983066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9.689174890469076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-6.444779884517637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23.4419424321882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-16.4099354321882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20.23405042616739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-14.19064942155004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10.81236419713223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-5.865621852829972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10.14053731247058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-6.25788474786373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26.05765949258691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-19.02565249258692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20.91977902193036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-14.87637801731301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11.85263514950929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-6.905892805207036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6.836320586150535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-2.953668021543687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2.107613493097937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1.25527450690206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-7.378562926350851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10.42234142056161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-2.786907760194157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9.173028283881857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0.3782846991445377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4.924871313371604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25.88017637716067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-14.43017437716068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13.12737513547129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-8.241830652146053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5.55608977656219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1.320302514815719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2.186464179650205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2.370933992571223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66.68330499295465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-66.33994599295465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15.7236409802594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-7.435610283735848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17.9581913486941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-7.269235831484554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6.87618465172084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-2.49586588211439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14.85871346700851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-7.809363467008511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2.831484761567515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4.082632284616317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-0.2843465227438835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6.721001733919774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-1.612849634057634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6.506980147172681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53.53423600892854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-39.85914000892853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37.51978952559097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-23.19414454131317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16.82371020150493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-5.42238683135945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7.740626728914668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0.3001811359047526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93.40100098174852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-87.09122398174853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33.00500548999359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-31.47783275957989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16.49508686649854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-11.73194686666193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10.59234143604495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-8.500922934440293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60.59197794767266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-50.95694294767266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32.71219957915119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-23.44984056058663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19.98279846299651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-12.00821384753166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12.96856364976862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-8.368341324162264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25.96040712165772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-19.08381012165772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15.0832311675819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-8.517151877763872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9.817414110973942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-3.590671500743658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-23.81481450944218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27.56558330112009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28.31343814731184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-21.43684114731183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15.63820083365057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-9.072121543832544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-47.06640719581529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53.29314980604557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5.745062399607392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-1.994293607929487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60.33230719010268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-49.36837219010268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31.44547928499244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-26.52129421312517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15.66519653246954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-10.17099917607365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17.82777824749717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-12.66350015428583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51.95364890568046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-45.86553790568046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7.971081526757207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-3.906469247396727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4.85785021151659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-2.636463734755412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4.696649846246692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-1.334505323175006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5.865398671725774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9.39098632827422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-2.534634629844357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21.71551306821298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6.093755691397118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10.37874319060053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-4.545129212721766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10.61751188537097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36.20306633992701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-27.58371433992701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18.36684596993477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-10.1690531633309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14.42425832173171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-6.459705404377992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8.106032408525587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-5.045886294992452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36.60851210332763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-27.98916010332763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18.90422603433375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-10.70643322772989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14.16029601165858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-6.195743094304863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8.459387687563691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-5.399241574030555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66.1590722324456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-60.6627632324456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18.56686081921293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-12.91895789128905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2.272165085706312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4.684106827793966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5.546869723559467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1.879865854356733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Feb 27, 2026)</t>
        </is>
      </c>
    </row>
    <row r="2">
      <c r="A2" s="4" t="inlineStr">
        <is>
          <t>Horizon</t>
        </is>
      </c>
      <c r="B2" t="inlineStr">
        <is>
          <t>10Y</t>
        </is>
      </c>
      <c r="D2" t="inlineStr">
        <is>
          <t>Region Filter</t>
        </is>
      </c>
      <c r="E2" t="inlineStr">
        <is>
          <t>ALL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IF(IF($E$2="ALL",1,IF($Z5=$E$2,1,0)), IFERROR(1*INDEX(CAGR!$I:$I, MATCH($A5&amp;"|"&amp;$B$2, CAGR!$Q:$Q, 0)), NA()), NA())</f>
        <v/>
      </c>
      <c r="D5" s="5">
        <f>IF(IF($E$2="ALL",1,IF($Z5=$E$2,1,0)), IFERROR(1*INDEX(CAGR!$F:$F, MATCH($A5&amp;"|"&amp;$B5&amp;"|"&amp;$B$2, CAGR!$P:$P, 0)), NA()), NA())</f>
        <v/>
      </c>
      <c r="E5" s="6">
        <f>IF(IF($E$2="ALL",1,IF($Z5=$E$2,1,0)), IFERROR(INDEX(MSCI!$B:$E, MATCH("Australia", MSCI!$A:$A, 0), MATCH($B$2, MSCI!$B$1:$E$1, 0)), NA()), NA())</f>
        <v/>
      </c>
      <c r="F5" s="5">
        <f>IF(IF($E$2="ALL",1,IF($Z5=$E$2,1,0)), IF(AND(ISNUMBER(C5),ISNUMBER(D5)),C5-D5,NA()), NA())</f>
        <v/>
      </c>
      <c r="G5" s="5">
        <f>IF(IF($E$2="ALL",1,IF($Z5=$E$2,1,0)), IFERROR((( (1+INDEX(Annual!$H:$H, MATCH($A5&amp;"|2026", Annual!$K:$K, 0))/100)*(1+INDEX(Annual!$H:$H, MATCH($A5&amp;"|2027", Annual!$K:$K, 0))/100)*(1+INDEX(Annual!$H:$H, MATCH($A5&amp;"|2028", Annual!$K:$K, 0))/100) )^(1/3)-1)*100, NA()), NA())</f>
        <v/>
      </c>
      <c r="H5" s="5">
        <f>IF(IF($E$2="ALL",1,IF($Z5=$E$2,1,0)), IFERROR(INDEX(Crude_Oil_Impact!$H:$H, MATCH($A5, Crude_Oil_Impact!$A:$A, 0)), NA()), NA())</f>
        <v/>
      </c>
      <c r="I5" s="5">
        <f>IF(IF($E$2="ALL",1,IF($Z5=$E$2,1,0)), IFERROR(INDEX(REER_Data!$C:$C, MATCH($A5, REER_Data!$A:$A, 0)), NA()), NA())</f>
        <v/>
      </c>
      <c r="J5" s="5">
        <f>IF(IF($E$2="ALL",1,IF($Z5=$E$2,1,0)), IFERROR(INDEX(REER_Data!$E:$E, MATCH($A5, REER_Data!$A:$A, 0)) / 100, NA()), NA())</f>
        <v/>
      </c>
      <c r="K5" t="inlineStr">
        <is>
          <t>NA()</t>
        </is>
      </c>
      <c r="M5">
        <f>IF(IF($E$2="ALL",1,IF($Z5=$E$2,1,0)), 1829508000000.0, NA())</f>
        <v/>
      </c>
      <c r="N5" s="5">
        <f>IF(IF($E$2="ALL",1,IF($Z5=$E$2,1,0)), IFERROR(1*INDEX(CAGR!$H:$H, MATCH($A5&amp;"|"&amp;$B$2, CAGR!$Q:$Q, 0)), NA()), NA())</f>
        <v/>
      </c>
      <c r="O5" s="5">
        <f>IF(IF($E$2="ALL",1,IF($Z5=$E$2,1,0)), IFERROR(1*INDEX(CAGR!$G:$G, MATCH($A5&amp;"|"&amp;$B$2, CAGR!$Q:$Q, 0)), NA()), NA())</f>
        <v/>
      </c>
      <c r="Q5" s="5">
        <f>IF(IF($E$2="ALL",1,IF($Z5=$E$2,1,0)), IFERROR(1*INDEX(CAGR!$J:$J, MATCH($A5&amp;"|"&amp;$B$2, CAGR!$Q:$Q, 0)), NA()), NA())</f>
        <v/>
      </c>
      <c r="R5" s="5">
        <f>IF(IF($E$2="ALL",1,IF($Z5=$E$2,1,0)), IFERROR(1*INDEX(CAGR!$K:$K, MATCH($A5&amp;"|"&amp;$B$2, CAGR!$Q:$Q, 0)), NA()), NA())</f>
        <v/>
      </c>
      <c r="S5" s="7" t="n"/>
      <c r="T5" t="inlineStr">
        <is>
          <t>NA()</t>
        </is>
      </c>
      <c r="V5" s="5">
        <f>IF(IF($E$2="ALL",1,IF($Z5=$E$2,1,0)), IFERROR(1*INDEX(CAGR!$N:$N, MATCH($A5&amp;"|"&amp;$B$2, CAGR!$Q:$Q, 0)), NA()), NA())</f>
        <v/>
      </c>
      <c r="X5" s="5">
        <f>IF(IF($E$2="ALL",1,IF($Z5=$E$2,1,0)), IF(AND(ISNUMBER(Q5),ISNUMBER(V5)),Q5+V5,NA()), NA())</f>
        <v/>
      </c>
      <c r="Z5" t="inlineStr">
        <is>
          <t>Oceania</t>
        </is>
      </c>
      <c r="AA5">
        <f>IF(IF($E$2="ALL",1,IF($Z5=$E$2,1,0)), "AUD", "")</f>
        <v/>
      </c>
      <c r="AC5">
        <f>IF(IF($E$2="ALL",1,IF($Z5=$E$2,1,0)), IFERROR(INDEX(Lists!$J$2:$J$42, MATCH($B5, Lists!$I$2:$I$42, 0)),""), "")</f>
        <v/>
      </c>
      <c r="AD5">
        <f>IF(IF($E$2="ALL",1,IF($Z5=$E$2,1,0)), IFERROR(INDEX(Lists!$K$2:$K$42, MATCH($B5, Lists!$I$2:$I$42, 0)),""), "")</f>
        <v/>
      </c>
    </row>
    <row r="6">
      <c r="A6" t="inlineStr">
        <is>
          <t>Austria</t>
        </is>
      </c>
      <c r="B6" t="inlineStr">
        <is>
          <t>EWO</t>
        </is>
      </c>
      <c r="C6" s="5">
        <f>IF(IF($E$2="ALL",1,IF($Z6=$E$2,1,0)), IFERROR(1*INDEX(CAGR!$I:$I, MATCH($A6&amp;"|"&amp;$B$2, CAGR!$Q:$Q, 0)), NA()), NA())</f>
        <v/>
      </c>
      <c r="D6" s="5">
        <f>IF(IF($E$2="ALL",1,IF($Z6=$E$2,1,0)), IFERROR(1*INDEX(CAGR!$F:$F, MATCH($A6&amp;"|"&amp;$B6&amp;"|"&amp;$B$2, CAGR!$P:$P, 0)), NA()), NA())</f>
        <v/>
      </c>
      <c r="E6" s="6">
        <f>IF(IF($E$2="ALL",1,IF($Z6=$E$2,1,0)), IFERROR(INDEX(MSCI!$B:$E, MATCH("Austria", MSCI!$A:$A, 0), MATCH($B$2, MSCI!$B$1:$E$1, 0)), NA()), NA())</f>
        <v/>
      </c>
      <c r="F6" s="5">
        <f>IF(IF($E$2="ALL",1,IF($Z6=$E$2,1,0)), IF(AND(ISNUMBER(C6),ISNUMBER(D6)),C6-D6,NA()), NA())</f>
        <v/>
      </c>
      <c r="G6" s="5">
        <f>IF(IF($E$2="ALL",1,IF($Z6=$E$2,1,0)), IFERROR((( (1+INDEX(Annual!$H:$H, MATCH($A6&amp;"|2026", Annual!$K:$K, 0))/100)*(1+INDEX(Annual!$H:$H, MATCH($A6&amp;"|2027", Annual!$K:$K, 0))/100)*(1+INDEX(Annual!$H:$H, MATCH($A6&amp;"|2028", Annual!$K:$K, 0))/100) )^(1/3)-1)*100, NA()), NA())</f>
        <v/>
      </c>
      <c r="H6" s="5">
        <f>IF(IF($E$2="ALL",1,IF($Z6=$E$2,1,0)), IFERROR(INDEX(Crude_Oil_Impact!$H:$H, MATCH($A6, Crude_Oil_Impact!$A:$A, 0)), NA()), NA())</f>
        <v/>
      </c>
      <c r="I6" s="5">
        <f>IF(IF($E$2="ALL",1,IF($Z6=$E$2,1,0)), IFERROR(INDEX(REER_Data!$C:$C, MATCH($A6, REER_Data!$A:$A, 0)), NA()), NA())</f>
        <v/>
      </c>
      <c r="J6" s="5">
        <f>IF(IF($E$2="ALL",1,IF($Z6=$E$2,1,0)), IFERROR(INDEX(REER_Data!$E:$E, MATCH($A6, REER_Data!$A:$A, 0)) / 100, NA()), NA())</f>
        <v/>
      </c>
      <c r="K6" t="inlineStr">
        <is>
          <t>NA()</t>
        </is>
      </c>
      <c r="M6">
        <f>IF(IF($E$2="ALL",1,IF($Z6=$E$2,1,0)), 566456000000.0, NA())</f>
        <v/>
      </c>
      <c r="N6" s="5">
        <f>IF(IF($E$2="ALL",1,IF($Z6=$E$2,1,0)), IFERROR(1*INDEX(CAGR!$H:$H, MATCH($A6&amp;"|"&amp;$B$2, CAGR!$Q:$Q, 0)), NA()), NA())</f>
        <v/>
      </c>
      <c r="O6" s="5">
        <f>IF(IF($E$2="ALL",1,IF($Z6=$E$2,1,0)), IFERROR(1*INDEX(CAGR!$G:$G, MATCH($A6&amp;"|"&amp;$B$2, CAGR!$Q:$Q, 0)), NA()), NA())</f>
        <v/>
      </c>
      <c r="Q6" s="5">
        <f>IF(IF($E$2="ALL",1,IF($Z6=$E$2,1,0)), IFERROR(1*INDEX(CAGR!$J:$J, MATCH($A6&amp;"|"&amp;$B$2, CAGR!$Q:$Q, 0)), NA()), NA())</f>
        <v/>
      </c>
      <c r="R6" s="5">
        <f>IF(IF($E$2="ALL",1,IF($Z6=$E$2,1,0)), IFERROR(1*INDEX(CAGR!$K:$K, MATCH($A6&amp;"|"&amp;$B$2, CAGR!$Q:$Q, 0)), NA()), NA())</f>
        <v/>
      </c>
      <c r="S6" s="7">
        <f>IF(IF($E$2="ALL",1,IF($Z6=$E$2,1,0)), 1.0, NA())</f>
        <v/>
      </c>
      <c r="T6" t="inlineStr">
        <is>
          <t>NA()</t>
        </is>
      </c>
      <c r="V6" s="5">
        <f>IF(IF($E$2="ALL",1,IF($Z6=$E$2,1,0)), IFERROR(1*INDEX(CAGR!$N:$N, MATCH($A6&amp;"|"&amp;$B$2, CAGR!$Q:$Q, 0)), NA()), NA())</f>
        <v/>
      </c>
      <c r="X6" s="5">
        <f>IF(IF($E$2="ALL",1,IF($Z6=$E$2,1,0)), IF(AND(ISNUMBER(Q6),ISNUMBER(V6)),Q6+V6,NA()), NA())</f>
        <v/>
      </c>
      <c r="Z6" t="inlineStr">
        <is>
          <t>Europe</t>
        </is>
      </c>
      <c r="AA6">
        <f>IF(IF($E$2="ALL",1,IF($Z6=$E$2,1,0)), "EUR", "")</f>
        <v/>
      </c>
      <c r="AC6">
        <f>IF(IF($E$2="ALL",1,IF($Z6=$E$2,1,0)), IFERROR(INDEX(Lists!$J$2:$J$42, MATCH($B6, Lists!$I$2:$I$42, 0)),""), "")</f>
        <v/>
      </c>
      <c r="AD6">
        <f>IF(IF($E$2="ALL",1,IF($Z6=$E$2,1,0)), IFERROR(INDEX(Lists!$K$2:$K$42, MATCH($B6, Lists!$I$2:$I$42, 0)),""), "")</f>
        <v/>
      </c>
    </row>
    <row r="7">
      <c r="A7" t="inlineStr">
        <is>
          <t>Belgium</t>
        </is>
      </c>
      <c r="B7" t="inlineStr">
        <is>
          <t>EWK</t>
        </is>
      </c>
      <c r="C7" s="5">
        <f>IF(IF($E$2="ALL",1,IF($Z7=$E$2,1,0)), IFERROR(1*INDEX(CAGR!$I:$I, MATCH($A7&amp;"|"&amp;$B$2, CAGR!$Q:$Q, 0)), NA()), NA())</f>
        <v/>
      </c>
      <c r="D7" s="5">
        <f>IF(IF($E$2="ALL",1,IF($Z7=$E$2,1,0)), IFERROR(1*INDEX(CAGR!$F:$F, MATCH($A7&amp;"|"&amp;$B7&amp;"|"&amp;$B$2, CAGR!$P:$P, 0)), NA()), NA())</f>
        <v/>
      </c>
      <c r="E7" s="6">
        <f>IF(IF($E$2="ALL",1,IF($Z7=$E$2,1,0)), IFERROR(INDEX(MSCI!$B:$E, MATCH("Belgium", MSCI!$A:$A, 0), MATCH($B$2, MSCI!$B$1:$E$1, 0)), NA()), NA())</f>
        <v/>
      </c>
      <c r="F7" s="5">
        <f>IF(IF($E$2="ALL",1,IF($Z7=$E$2,1,0)), IF(AND(ISNUMBER(C7),ISNUMBER(D7)),C7-D7,NA()), NA())</f>
        <v/>
      </c>
      <c r="G7" s="5">
        <f>IF(IF($E$2="ALL",1,IF($Z7=$E$2,1,0)), IFERROR((( (1+INDEX(Annual!$H:$H, MATCH($A7&amp;"|2026", Annual!$K:$K, 0))/100)*(1+INDEX(Annual!$H:$H, MATCH($A7&amp;"|2027", Annual!$K:$K, 0))/100)*(1+INDEX(Annual!$H:$H, MATCH($A7&amp;"|2028", Annual!$K:$K, 0))/100) )^(1/3)-1)*100, NA()), NA())</f>
        <v/>
      </c>
      <c r="H7" s="5">
        <f>IF(IF($E$2="ALL",1,IF($Z7=$E$2,1,0)), IFERROR(INDEX(Crude_Oil_Impact!$H:$H, MATCH($A7, Crude_Oil_Impact!$A:$A, 0)), NA()), NA())</f>
        <v/>
      </c>
      <c r="I7" s="5">
        <f>IF(IF($E$2="ALL",1,IF($Z7=$E$2,1,0)), IFERROR(INDEX(REER_Data!$C:$C, MATCH($A7, REER_Data!$A:$A, 0)), NA()), NA())</f>
        <v/>
      </c>
      <c r="J7" s="5">
        <f>IF(IF($E$2="ALL",1,IF($Z7=$E$2,1,0)), IFERROR(INDEX(REER_Data!$E:$E, MATCH($A7, REER_Data!$A:$A, 0)) / 100, NA()), NA())</f>
        <v/>
      </c>
      <c r="K7" t="inlineStr">
        <is>
          <t>NA()</t>
        </is>
      </c>
      <c r="M7">
        <f>IF(IF($E$2="ALL",1,IF($Z7=$E$2,1,0)), 716980000000.0, NA())</f>
        <v/>
      </c>
      <c r="N7" s="5">
        <f>IF(IF($E$2="ALL",1,IF($Z7=$E$2,1,0)), IFERROR(1*INDEX(CAGR!$H:$H, MATCH($A7&amp;"|"&amp;$B$2, CAGR!$Q:$Q, 0)), NA()), NA())</f>
        <v/>
      </c>
      <c r="O7" s="5">
        <f>IF(IF($E$2="ALL",1,IF($Z7=$E$2,1,0)), IFERROR(1*INDEX(CAGR!$G:$G, MATCH($A7&amp;"|"&amp;$B$2, CAGR!$Q:$Q, 0)), NA()), NA())</f>
        <v/>
      </c>
      <c r="Q7" s="5">
        <f>IF(IF($E$2="ALL",1,IF($Z7=$E$2,1,0)), IFERROR(1*INDEX(CAGR!$J:$J, MATCH($A7&amp;"|"&amp;$B$2, CAGR!$Q:$Q, 0)), NA()), NA())</f>
        <v/>
      </c>
      <c r="R7" s="5">
        <f>IF(IF($E$2="ALL",1,IF($Z7=$E$2,1,0)), IFERROR(1*INDEX(CAGR!$K:$K, MATCH($A7&amp;"|"&amp;$B$2, CAGR!$Q:$Q, 0)), NA()), NA())</f>
        <v/>
      </c>
      <c r="S7" s="7">
        <f>IF(IF($E$2="ALL",1,IF($Z7=$E$2,1,0)), 1.0, NA())</f>
        <v/>
      </c>
      <c r="T7" t="inlineStr">
        <is>
          <t>NA()</t>
        </is>
      </c>
      <c r="V7" s="5">
        <f>IF(IF($E$2="ALL",1,IF($Z7=$E$2,1,0)), IFERROR(1*INDEX(CAGR!$N:$N, MATCH($A7&amp;"|"&amp;$B$2, CAGR!$Q:$Q, 0)), NA()), NA())</f>
        <v/>
      </c>
      <c r="X7" s="5">
        <f>IF(IF($E$2="ALL",1,IF($Z7=$E$2,1,0)), IF(AND(ISNUMBER(Q7),ISNUMBER(V7)),Q7+V7,NA()), NA())</f>
        <v/>
      </c>
      <c r="Z7" t="inlineStr">
        <is>
          <t>Europe</t>
        </is>
      </c>
      <c r="AA7">
        <f>IF(IF($E$2="ALL",1,IF($Z7=$E$2,1,0)), "EUR", "")</f>
        <v/>
      </c>
      <c r="AC7">
        <f>IF(IF($E$2="ALL",1,IF($Z7=$E$2,1,0)), IFERROR(INDEX(Lists!$J$2:$J$42, MATCH($B7, Lists!$I$2:$I$42, 0)),""), "")</f>
        <v/>
      </c>
      <c r="AD7">
        <f>IF(IF($E$2="ALL",1,IF($Z7=$E$2,1,0)), IFERROR(INDEX(Lists!$K$2:$K$42, MATCH($B7, Lists!$I$2:$I$42, 0)),""), 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IF(IF($E$2="ALL",1,IF($Z8=$E$2,1,0)), IFERROR(1*INDEX(CAGR!$I:$I, MATCH($A8&amp;"|"&amp;$B$2, CAGR!$Q:$Q, 0)), NA()), NA())</f>
        <v/>
      </c>
      <c r="D8" s="5">
        <f>IF(IF($E$2="ALL",1,IF($Z8=$E$2,1,0)), IFERROR(1*INDEX(CAGR!$F:$F, MATCH($A8&amp;"|"&amp;$B8&amp;"|"&amp;$B$2, CAGR!$P:$P, 0)), NA()), NA())</f>
        <v/>
      </c>
      <c r="E8" s="6">
        <f>IF(IF($E$2="ALL",1,IF($Z8=$E$2,1,0)), IFERROR(INDEX(MSCI!$B:$E, MATCH("Brazil", MSCI!$A:$A, 0), MATCH($B$2, MSCI!$B$1:$E$1, 0)), NA()), NA())</f>
        <v/>
      </c>
      <c r="F8" s="5">
        <f>IF(IF($E$2="ALL",1,IF($Z8=$E$2,1,0)), IF(AND(ISNUMBER(C8),ISNUMBER(D8)),C8-D8,NA()), NA())</f>
        <v/>
      </c>
      <c r="G8" s="5">
        <f>IF(IF($E$2="ALL",1,IF($Z8=$E$2,1,0)), IFERROR((( (1+INDEX(Annual!$H:$H, MATCH($A8&amp;"|2026", Annual!$K:$K, 0))/100)*(1+INDEX(Annual!$H:$H, MATCH($A8&amp;"|2027", Annual!$K:$K, 0))/100)*(1+INDEX(Annual!$H:$H, MATCH($A8&amp;"|2028", Annual!$K:$K, 0))/100) )^(1/3)-1)*100, NA()), NA())</f>
        <v/>
      </c>
      <c r="H8" s="8">
        <f>IF(IF($E$2="ALL",1,IF($Z8=$E$2,1,0)), IFERROR(INDEX(Crude_Oil_Impact!$H:$H, MATCH($A8, Crude_Oil_Impact!$A:$A, 0)), NA()), NA())</f>
        <v/>
      </c>
      <c r="I8" s="5">
        <f>IF(IF($E$2="ALL",1,IF($Z8=$E$2,1,0)), IFERROR(INDEX(REER_Data!$C:$C, MATCH($A8, REER_Data!$A:$A, 0)), NA()), NA())</f>
        <v/>
      </c>
      <c r="J8" s="5">
        <f>IF(IF($E$2="ALL",1,IF($Z8=$E$2,1,0)), IFERROR(INDEX(REER_Data!$E:$E, MATCH($A8, REER_Data!$A:$A, 0)) / 100, NA()), NA())</f>
        <v/>
      </c>
      <c r="K8" t="inlineStr">
        <is>
          <t>NA()</t>
        </is>
      </c>
      <c r="M8">
        <f>IF(IF($E$2="ALL",1,IF($Z8=$E$2,1,0)), 2256910000000.0, NA())</f>
        <v/>
      </c>
      <c r="N8" s="5">
        <f>IF(IF($E$2="ALL",1,IF($Z8=$E$2,1,0)), IFERROR(1*INDEX(CAGR!$H:$H, MATCH($A8&amp;"|"&amp;$B$2, CAGR!$Q:$Q, 0)), NA()), NA())</f>
        <v/>
      </c>
      <c r="O8" s="5">
        <f>IF(IF($E$2="ALL",1,IF($Z8=$E$2,1,0)), IFERROR(1*INDEX(CAGR!$G:$G, MATCH($A8&amp;"|"&amp;$B$2, CAGR!$Q:$Q, 0)), NA()), NA())</f>
        <v/>
      </c>
      <c r="Q8" s="5">
        <f>IF(IF($E$2="ALL",1,IF($Z8=$E$2,1,0)), IFERROR(1*INDEX(CAGR!$J:$J, MATCH($A8&amp;"|"&amp;$B$2, CAGR!$Q:$Q, 0)), NA()), NA())</f>
        <v/>
      </c>
      <c r="R8" s="5">
        <f>IF(IF($E$2="ALL",1,IF($Z8=$E$2,1,0)), IFERROR(1*INDEX(CAGR!$K:$K, MATCH($A8&amp;"|"&amp;$B$2, CAGR!$Q:$Q, 0)), NA()), NA())</f>
        <v/>
      </c>
      <c r="S8" s="7" t="n"/>
      <c r="T8" t="inlineStr">
        <is>
          <t>NA()</t>
        </is>
      </c>
      <c r="V8" s="5">
        <f>IF(IF($E$2="ALL",1,IF($Z8=$E$2,1,0)), IFERROR(1*INDEX(CAGR!$N:$N, MATCH($A8&amp;"|"&amp;$B$2, CAGR!$Q:$Q, 0)), NA()), NA())</f>
        <v/>
      </c>
      <c r="X8" s="5">
        <f>IF(IF($E$2="ALL",1,IF($Z8=$E$2,1,0)), IF(AND(ISNUMBER(Q8),ISNUMBER(V8)),Q8+V8,NA()), NA())</f>
        <v/>
      </c>
      <c r="Z8" t="inlineStr">
        <is>
          <t>Latin America</t>
        </is>
      </c>
      <c r="AA8">
        <f>IF(IF($E$2="ALL",1,IF($Z8=$E$2,1,0)), "BRL", "")</f>
        <v/>
      </c>
      <c r="AC8">
        <f>IF(IF($E$2="ALL",1,IF($Z8=$E$2,1,0)), IFERROR(INDEX(Lists!$J$2:$J$42, MATCH($B8, Lists!$I$2:$I$42, 0)),""), "")</f>
        <v/>
      </c>
      <c r="AD8">
        <f>IF(IF($E$2="ALL",1,IF($Z8=$E$2,1,0)), IFERROR(INDEX(Lists!$K$2:$K$42, MATCH($B8, Lists!$I$2:$I$42, 0)),""), 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IF(IF($E$2="ALL",1,IF($Z9=$E$2,1,0)), IFERROR(1*INDEX(CAGR!$I:$I, MATCH($A9&amp;"|"&amp;$B$2, CAGR!$Q:$Q, 0)), NA()), NA())</f>
        <v/>
      </c>
      <c r="D9" s="5">
        <f>IF(IF($E$2="ALL",1,IF($Z9=$E$2,1,0)), IFERROR(1*INDEX(CAGR!$F:$F, MATCH($A9&amp;"|"&amp;$B9&amp;"|"&amp;$B$2, CAGR!$P:$P, 0)), NA()), NA())</f>
        <v/>
      </c>
      <c r="E9" s="6">
        <f>IF(IF($E$2="ALL",1,IF($Z9=$E$2,1,0)), IFERROR(INDEX(MSCI!$B:$E, MATCH("Canada", MSCI!$A:$A, 0), MATCH($B$2, MSCI!$B$1:$E$1, 0)), NA()), NA())</f>
        <v/>
      </c>
      <c r="F9" s="5">
        <f>IF(IF($E$2="ALL",1,IF($Z9=$E$2,1,0)), IF(AND(ISNUMBER(C9),ISNUMBER(D9)),C9-D9,NA()), NA())</f>
        <v/>
      </c>
      <c r="G9" s="5">
        <f>IF(IF($E$2="ALL",1,IF($Z9=$E$2,1,0)), IFERROR((( (1+INDEX(Annual!$H:$H, MATCH($A9&amp;"|2026", Annual!$K:$K, 0))/100)*(1+INDEX(Annual!$H:$H, MATCH($A9&amp;"|2027", Annual!$K:$K, 0))/100)*(1+INDEX(Annual!$H:$H, MATCH($A9&amp;"|2028", Annual!$K:$K, 0))/100) )^(1/3)-1)*100, NA()), NA())</f>
        <v/>
      </c>
      <c r="H9" s="5">
        <f>IF(IF($E$2="ALL",1,IF($Z9=$E$2,1,0)), IFERROR(INDEX(Crude_Oil_Impact!$H:$H, MATCH($A9, Crude_Oil_Impact!$A:$A, 0)), NA()), NA())</f>
        <v/>
      </c>
      <c r="I9" s="5">
        <f>IF(IF($E$2="ALL",1,IF($Z9=$E$2,1,0)), IFERROR(INDEX(REER_Data!$C:$C, MATCH($A9, REER_Data!$A:$A, 0)), NA()), NA())</f>
        <v/>
      </c>
      <c r="J9" s="5">
        <f>IF(IF($E$2="ALL",1,IF($Z9=$E$2,1,0)), IFERROR(INDEX(REER_Data!$E:$E, MATCH($A9, REER_Data!$A:$A, 0)) / 100, NA()), NA())</f>
        <v/>
      </c>
      <c r="K9" t="inlineStr">
        <is>
          <t>NA()</t>
        </is>
      </c>
      <c r="M9">
        <f>IF(IF($E$2="ALL",1,IF($Z9=$E$2,1,0)), 2283599000000.0, NA())</f>
        <v/>
      </c>
      <c r="N9" s="5">
        <f>IF(IF($E$2="ALL",1,IF($Z9=$E$2,1,0)), IFERROR(1*INDEX(CAGR!$H:$H, MATCH($A9&amp;"|"&amp;$B$2, CAGR!$Q:$Q, 0)), NA()), NA())</f>
        <v/>
      </c>
      <c r="O9" s="5">
        <f>IF(IF($E$2="ALL",1,IF($Z9=$E$2,1,0)), IFERROR(1*INDEX(CAGR!$G:$G, MATCH($A9&amp;"|"&amp;$B$2, CAGR!$Q:$Q, 0)), NA()), NA())</f>
        <v/>
      </c>
      <c r="Q9" s="5">
        <f>IF(IF($E$2="ALL",1,IF($Z9=$E$2,1,0)), IFERROR(1*INDEX(CAGR!$J:$J, MATCH($A9&amp;"|"&amp;$B$2, CAGR!$Q:$Q, 0)), NA()), NA())</f>
        <v/>
      </c>
      <c r="R9" s="5">
        <f>IF(IF($E$2="ALL",1,IF($Z9=$E$2,1,0)), IFERROR(1*INDEX(CAGR!$K:$K, MATCH($A9&amp;"|"&amp;$B$2, CAGR!$Q:$Q, 0)), NA()), NA())</f>
        <v/>
      </c>
      <c r="S9" s="7" t="n"/>
      <c r="T9" t="inlineStr">
        <is>
          <t>NA()</t>
        </is>
      </c>
      <c r="V9" s="5">
        <f>IF(IF($E$2="ALL",1,IF($Z9=$E$2,1,0)), IFERROR(1*INDEX(CAGR!$N:$N, MATCH($A9&amp;"|"&amp;$B$2, CAGR!$Q:$Q, 0)), NA()), NA())</f>
        <v/>
      </c>
      <c r="X9" s="5">
        <f>IF(IF($E$2="ALL",1,IF($Z9=$E$2,1,0)), IF(AND(ISNUMBER(Q9),ISNUMBER(V9)),Q9+V9,NA()), NA())</f>
        <v/>
      </c>
      <c r="Z9" t="inlineStr">
        <is>
          <t>North America</t>
        </is>
      </c>
      <c r="AA9">
        <f>IF(IF($E$2="ALL",1,IF($Z9=$E$2,1,0)), "CAD", "")</f>
        <v/>
      </c>
      <c r="AC9">
        <f>IF(IF($E$2="ALL",1,IF($Z9=$E$2,1,0)), IFERROR(INDEX(Lists!$J$2:$J$42, MATCH($B9, Lists!$I$2:$I$42, 0)),""), "")</f>
        <v/>
      </c>
      <c r="AD9">
        <f>IF(IF($E$2="ALL",1,IF($Z9=$E$2,1,0)), IFERROR(INDEX(Lists!$K$2:$K$42, MATCH($B9, Lists!$I$2:$I$42, 0)),""), 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IF(IF($E$2="ALL",1,IF($Z10=$E$2,1,0)), IFERROR(1*INDEX(CAGR!$I:$I, MATCH($A10&amp;"|"&amp;$B$2, CAGR!$Q:$Q, 0)), NA()), NA())</f>
        <v/>
      </c>
      <c r="D10" s="5">
        <f>IF(IF($E$2="ALL",1,IF($Z10=$E$2,1,0)), IFERROR(1*INDEX(CAGR!$F:$F, MATCH($A10&amp;"|"&amp;$B10&amp;"|"&amp;$B$2, CAGR!$P:$P, 0)), NA()), NA())</f>
        <v/>
      </c>
      <c r="E10" s="6">
        <f>IF(IF($E$2="ALL",1,IF($Z10=$E$2,1,0)), IFERROR(INDEX(MSCI!$B:$E, MATCH("China", MSCI!$A:$A, 0), MATCH($B$2, MSCI!$B$1:$E$1, 0)), NA()), NA())</f>
        <v/>
      </c>
      <c r="F10" s="5">
        <f>IF(IF($E$2="ALL",1,IF($Z10=$E$2,1,0)), IF(AND(ISNUMBER(C10),ISNUMBER(D10)),C10-D10,NA()), NA())</f>
        <v/>
      </c>
      <c r="G10" s="5">
        <f>IF(IF($E$2="ALL",1,IF($Z10=$E$2,1,0)), IFERROR((( (1+INDEX(Annual!$H:$H, MATCH($A10&amp;"|2026", Annual!$K:$K, 0))/100)*(1+INDEX(Annual!$H:$H, MATCH($A10&amp;"|2027", Annual!$K:$K, 0))/100)*(1+INDEX(Annual!$H:$H, MATCH($A10&amp;"|2028", Annual!$K:$K, 0))/100) )^(1/3)-1)*100, NA()), NA())</f>
        <v/>
      </c>
      <c r="H10" s="5">
        <f>IF(IF($E$2="ALL",1,IF($Z10=$E$2,1,0)), IFERROR(INDEX(Crude_Oil_Impact!$H:$H, MATCH($A10, Crude_Oil_Impact!$A:$A, 0)), NA()), NA())</f>
        <v/>
      </c>
      <c r="I10" s="5">
        <f>IF(IF($E$2="ALL",1,IF($Z10=$E$2,1,0)), IFERROR(INDEX(REER_Data!$C:$C, MATCH($A10, REER_Data!$A:$A, 0)), NA()), NA())</f>
        <v/>
      </c>
      <c r="J10" s="5">
        <f>IF(IF($E$2="ALL",1,IF($Z10=$E$2,1,0)), IFERROR(INDEX(REER_Data!$E:$E, MATCH($A10, REER_Data!$A:$A, 0)) / 100, NA()), NA())</f>
        <v/>
      </c>
      <c r="K10" t="inlineStr">
        <is>
          <t>NA()</t>
        </is>
      </c>
      <c r="M10">
        <f>IF(IF($E$2="ALL",1,IF($Z10=$E$2,1,0)), 19398577000000.0, NA())</f>
        <v/>
      </c>
      <c r="N10" s="5">
        <f>IF(IF($E$2="ALL",1,IF($Z10=$E$2,1,0)), IFERROR(1*INDEX(CAGR!$H:$H, MATCH($A10&amp;"|"&amp;$B$2, CAGR!$Q:$Q, 0)), NA()), NA())</f>
        <v/>
      </c>
      <c r="O10" s="5">
        <f>IF(IF($E$2="ALL",1,IF($Z10=$E$2,1,0)), IFERROR(1*INDEX(CAGR!$G:$G, MATCH($A10&amp;"|"&amp;$B$2, CAGR!$Q:$Q, 0)), NA()), NA())</f>
        <v/>
      </c>
      <c r="Q10" s="5">
        <f>IF(IF($E$2="ALL",1,IF($Z10=$E$2,1,0)), IFERROR(1*INDEX(CAGR!$J:$J, MATCH($A10&amp;"|"&amp;$B$2, CAGR!$Q:$Q, 0)), NA()), NA())</f>
        <v/>
      </c>
      <c r="R10" s="5">
        <f>IF(IF($E$2="ALL",1,IF($Z10=$E$2,1,0)), IFERROR(1*INDEX(CAGR!$K:$K, MATCH($A10&amp;"|"&amp;$B$2, CAGR!$Q:$Q, 0)), NA()), NA())</f>
        <v/>
      </c>
      <c r="S10" s="7" t="n"/>
      <c r="T10" t="inlineStr">
        <is>
          <t>NA()</t>
        </is>
      </c>
      <c r="V10" s="5">
        <f>IF(IF($E$2="ALL",1,IF($Z10=$E$2,1,0)), IFERROR(1*INDEX(CAGR!$N:$N, MATCH($A10&amp;"|"&amp;$B$2, CAGR!$Q:$Q, 0)), NA()), NA())</f>
        <v/>
      </c>
      <c r="X10" s="5">
        <f>IF(IF($E$2="ALL",1,IF($Z10=$E$2,1,0)), IF(AND(ISNUMBER(Q10),ISNUMBER(V10)),Q10+V10,NA()), NA())</f>
        <v/>
      </c>
      <c r="Z10" t="inlineStr">
        <is>
          <t>Asia</t>
        </is>
      </c>
      <c r="AA10">
        <f>IF(IF($E$2="ALL",1,IF($Z10=$E$2,1,0)), "CNY", "")</f>
        <v/>
      </c>
      <c r="AC10">
        <f>IF(IF($E$2="ALL",1,IF($Z10=$E$2,1,0)), IFERROR(INDEX(Lists!$J$2:$J$42, MATCH($B10, Lists!$I$2:$I$42, 0)),""), "")</f>
        <v/>
      </c>
      <c r="AD10">
        <f>IF(IF($E$2="ALL",1,IF($Z10=$E$2,1,0)), IFERROR(INDEX(Lists!$K$2:$K$42, MATCH($B10, Lists!$I$2:$I$42, 0)),""), 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IF(IF($E$2="ALL",1,IF($Z11=$E$2,1,0)), IFERROR(1*INDEX(CAGR!$I:$I, MATCH($A11&amp;"|"&amp;$B$2, CAGR!$Q:$Q, 0)), NA()), NA())</f>
        <v/>
      </c>
      <c r="D11" s="5">
        <f>IF(IF($E$2="ALL",1,IF($Z11=$E$2,1,0)), IFERROR(1*INDEX(CAGR!$F:$F, MATCH($A11&amp;"|"&amp;$B11&amp;"|"&amp;$B$2, CAGR!$P:$P, 0)), NA()), NA())</f>
        <v/>
      </c>
      <c r="E11" s="6">
        <f>IF(IF($E$2="ALL",1,IF($Z11=$E$2,1,0)), IFERROR(INDEX(MSCI!$B:$E, MATCH("France", MSCI!$A:$A, 0), MATCH($B$2, MSCI!$B$1:$E$1, 0)), NA()), NA())</f>
        <v/>
      </c>
      <c r="F11" s="5">
        <f>IF(IF($E$2="ALL",1,IF($Z11=$E$2,1,0)), IF(AND(ISNUMBER(C11),ISNUMBER(D11)),C11-D11,NA()), NA())</f>
        <v/>
      </c>
      <c r="G11" s="5">
        <f>IF(IF($E$2="ALL",1,IF($Z11=$E$2,1,0)), IFERROR((( (1+INDEX(Annual!$H:$H, MATCH($A11&amp;"|2026", Annual!$K:$K, 0))/100)*(1+INDEX(Annual!$H:$H, MATCH($A11&amp;"|2027", Annual!$K:$K, 0))/100)*(1+INDEX(Annual!$H:$H, MATCH($A11&amp;"|2028", Annual!$K:$K, 0))/100) )^(1/3)-1)*100, NA()), NA())</f>
        <v/>
      </c>
      <c r="H11" s="5">
        <f>IF(IF($E$2="ALL",1,IF($Z11=$E$2,1,0)), IFERROR(INDEX(Crude_Oil_Impact!$H:$H, MATCH($A11, Crude_Oil_Impact!$A:$A, 0)), NA()), NA())</f>
        <v/>
      </c>
      <c r="I11" s="5">
        <f>IF(IF($E$2="ALL",1,IF($Z11=$E$2,1,0)), IFERROR(INDEX(REER_Data!$C:$C, MATCH($A11, REER_Data!$A:$A, 0)), NA()), NA())</f>
        <v/>
      </c>
      <c r="J11" s="5">
        <f>IF(IF($E$2="ALL",1,IF($Z11=$E$2,1,0)), IFERROR(INDEX(REER_Data!$E:$E, MATCH($A11, REER_Data!$A:$A, 0)) / 100, NA()), NA())</f>
        <v/>
      </c>
      <c r="K11" t="inlineStr">
        <is>
          <t>NA()</t>
        </is>
      </c>
      <c r="M11">
        <f>IF(IF($E$2="ALL",1,IF($Z11=$E$2,1,0)), 3361557000000.0, NA())</f>
        <v/>
      </c>
      <c r="N11" s="5">
        <f>IF(IF($E$2="ALL",1,IF($Z11=$E$2,1,0)), IFERROR(1*INDEX(CAGR!$H:$H, MATCH($A11&amp;"|"&amp;$B$2, CAGR!$Q:$Q, 0)), NA()), NA())</f>
        <v/>
      </c>
      <c r="O11" s="5">
        <f>IF(IF($E$2="ALL",1,IF($Z11=$E$2,1,0)), IFERROR(1*INDEX(CAGR!$G:$G, MATCH($A11&amp;"|"&amp;$B$2, CAGR!$Q:$Q, 0)), NA()), NA())</f>
        <v/>
      </c>
      <c r="Q11" s="5">
        <f>IF(IF($E$2="ALL",1,IF($Z11=$E$2,1,0)), IFERROR(1*INDEX(CAGR!$J:$J, MATCH($A11&amp;"|"&amp;$B$2, CAGR!$Q:$Q, 0)), NA()), NA())</f>
        <v/>
      </c>
      <c r="R11" s="5">
        <f>IF(IF($E$2="ALL",1,IF($Z11=$E$2,1,0)), IFERROR(1*INDEX(CAGR!$K:$K, MATCH($A11&amp;"|"&amp;$B$2, CAGR!$Q:$Q, 0)), NA()), NA())</f>
        <v/>
      </c>
      <c r="S11" s="7" t="n"/>
      <c r="T11" t="inlineStr">
        <is>
          <t>NA()</t>
        </is>
      </c>
      <c r="V11" s="5">
        <f>IF(IF($E$2="ALL",1,IF($Z11=$E$2,1,0)), IFERROR(1*INDEX(CAGR!$N:$N, MATCH($A11&amp;"|"&amp;$B$2, CAGR!$Q:$Q, 0)), NA()), NA())</f>
        <v/>
      </c>
      <c r="X11" s="5">
        <f>IF(IF($E$2="ALL",1,IF($Z11=$E$2,1,0)), IF(AND(ISNUMBER(Q11),ISNUMBER(V11)),Q11+V11,NA()), NA())</f>
        <v/>
      </c>
      <c r="Z11" t="inlineStr">
        <is>
          <t>Europe</t>
        </is>
      </c>
      <c r="AA11">
        <f>IF(IF($E$2="ALL",1,IF($Z11=$E$2,1,0)), "EUR", "")</f>
        <v/>
      </c>
      <c r="AC11">
        <f>IF(IF($E$2="ALL",1,IF($Z11=$E$2,1,0)), IFERROR(INDEX(Lists!$J$2:$J$42, MATCH($B11, Lists!$I$2:$I$42, 0)),""), "")</f>
        <v/>
      </c>
      <c r="AD11">
        <f>IF(IF($E$2="ALL",1,IF($Z11=$E$2,1,0)), IFERROR(INDEX(Lists!$K$2:$K$42, MATCH($B11, Lists!$I$2:$I$42, 0)),""), 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IF(IF($E$2="ALL",1,IF($Z12=$E$2,1,0)), IFERROR(1*INDEX(CAGR!$I:$I, MATCH($A12&amp;"|"&amp;$B$2, CAGR!$Q:$Q, 0)), NA()), NA())</f>
        <v/>
      </c>
      <c r="D12" s="5">
        <f>IF(IF($E$2="ALL",1,IF($Z12=$E$2,1,0)), IFERROR(1*INDEX(CAGR!$F:$F, MATCH($A12&amp;"|"&amp;$B12&amp;"|"&amp;$B$2, CAGR!$P:$P, 0)), NA()), NA())</f>
        <v/>
      </c>
      <c r="E12" s="6">
        <f>IF(IF($E$2="ALL",1,IF($Z12=$E$2,1,0)), IFERROR(INDEX(MSCI!$B:$E, MATCH("Germany", MSCI!$A:$A, 0), MATCH($B$2, MSCI!$B$1:$E$1, 0)), NA()), NA())</f>
        <v/>
      </c>
      <c r="F12" s="5">
        <f>IF(IF($E$2="ALL",1,IF($Z12=$E$2,1,0)), IF(AND(ISNUMBER(C12),ISNUMBER(D12)),C12-D12,NA()), NA())</f>
        <v/>
      </c>
      <c r="G12" s="5">
        <f>IF(IF($E$2="ALL",1,IF($Z12=$E$2,1,0)), IFERROR((( (1+INDEX(Annual!$H:$H, MATCH($A12&amp;"|2026", Annual!$K:$K, 0))/100)*(1+INDEX(Annual!$H:$H, MATCH($A12&amp;"|2027", Annual!$K:$K, 0))/100)*(1+INDEX(Annual!$H:$H, MATCH($A12&amp;"|2028", Annual!$K:$K, 0))/100) )^(1/3)-1)*100, NA()), NA())</f>
        <v/>
      </c>
      <c r="H12" s="5">
        <f>IF(IF($E$2="ALL",1,IF($Z12=$E$2,1,0)), IFERROR(INDEX(Crude_Oil_Impact!$H:$H, MATCH($A12, Crude_Oil_Impact!$A:$A, 0)), NA()), NA())</f>
        <v/>
      </c>
      <c r="I12" s="5">
        <f>IF(IF($E$2="ALL",1,IF($Z12=$E$2,1,0)), IFERROR(INDEX(REER_Data!$C:$C, MATCH($A12, REER_Data!$A:$A, 0)), NA()), NA())</f>
        <v/>
      </c>
      <c r="J12" s="5">
        <f>IF(IF($E$2="ALL",1,IF($Z12=$E$2,1,0)), IFERROR(INDEX(REER_Data!$E:$E, MATCH($A12, REER_Data!$A:$A, 0)) / 100, NA()), NA())</f>
        <v/>
      </c>
      <c r="K12" t="inlineStr">
        <is>
          <t>NA()</t>
        </is>
      </c>
      <c r="M12">
        <f>IF(IF($E$2="ALL",1,IF($Z12=$E$2,1,0)), 5013574000000.0, NA())</f>
        <v/>
      </c>
      <c r="N12" s="5">
        <f>IF(IF($E$2="ALL",1,IF($Z12=$E$2,1,0)), IFERROR(1*INDEX(CAGR!$H:$H, MATCH($A12&amp;"|"&amp;$B$2, CAGR!$Q:$Q, 0)), NA()), NA())</f>
        <v/>
      </c>
      <c r="O12" s="5">
        <f>IF(IF($E$2="ALL",1,IF($Z12=$E$2,1,0)), IFERROR(1*INDEX(CAGR!$G:$G, MATCH($A12&amp;"|"&amp;$B$2, CAGR!$Q:$Q, 0)), NA()), NA())</f>
        <v/>
      </c>
      <c r="Q12" s="5">
        <f>IF(IF($E$2="ALL",1,IF($Z12=$E$2,1,0)), IFERROR(1*INDEX(CAGR!$J:$J, MATCH($A12&amp;"|"&amp;$B$2, CAGR!$Q:$Q, 0)), NA()), NA())</f>
        <v/>
      </c>
      <c r="R12" s="5">
        <f>IF(IF($E$2="ALL",1,IF($Z12=$E$2,1,0)), IFERROR(1*INDEX(CAGR!$K:$K, MATCH($A12&amp;"|"&amp;$B$2, CAGR!$Q:$Q, 0)), NA()), NA())</f>
        <v/>
      </c>
      <c r="S12" s="7">
        <f>IF(IF($E$2="ALL",1,IF($Z12=$E$2,1,0)), 0.8725000390037911, NA())</f>
        <v/>
      </c>
      <c r="T12" t="inlineStr">
        <is>
          <t>NA()</t>
        </is>
      </c>
      <c r="V12" s="5">
        <f>IF(IF($E$2="ALL",1,IF($Z12=$E$2,1,0)), IFERROR(1*INDEX(CAGR!$N:$N, MATCH($A12&amp;"|"&amp;$B$2, CAGR!$Q:$Q, 0)), NA()), NA())</f>
        <v/>
      </c>
      <c r="X12" s="5">
        <f>IF(IF($E$2="ALL",1,IF($Z12=$E$2,1,0)), IF(AND(ISNUMBER(Q12),ISNUMBER(V12)),Q12+V12,NA()), NA())</f>
        <v/>
      </c>
      <c r="Z12" t="inlineStr">
        <is>
          <t>Europe</t>
        </is>
      </c>
      <c r="AA12">
        <f>IF(IF($E$2="ALL",1,IF($Z12=$E$2,1,0)), "EUR", "")</f>
        <v/>
      </c>
      <c r="AC12">
        <f>IF(IF($E$2="ALL",1,IF($Z12=$E$2,1,0)), IFERROR(INDEX(Lists!$J$2:$J$42, MATCH($B12, Lists!$I$2:$I$42, 0)),""), "")</f>
        <v/>
      </c>
      <c r="AD12">
        <f>IF(IF($E$2="ALL",1,IF($Z12=$E$2,1,0)), IFERROR(INDEX(Lists!$K$2:$K$42, MATCH($B12, Lists!$I$2:$I$42, 0)),""), 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IF(IF($E$2="ALL",1,IF($Z13=$E$2,1,0)), IFERROR(1*INDEX(CAGR!$I:$I, MATCH($A13&amp;"|"&amp;$B$2, CAGR!$Q:$Q, 0)), NA()), NA())</f>
        <v/>
      </c>
      <c r="D13" s="5">
        <f>IF(IF($E$2="ALL",1,IF($Z13=$E$2,1,0)), IFERROR(1*INDEX(CAGR!$F:$F, MATCH($A13&amp;"|"&amp;$B13&amp;"|"&amp;$B$2, CAGR!$P:$P, 0)), NA()), NA())</f>
        <v/>
      </c>
      <c r="E13" s="6">
        <f>IF(IF($E$2="ALL",1,IF($Z13=$E$2,1,0)), IFERROR(INDEX(MSCI!$B:$E, MATCH("Greece", MSCI!$A:$A, 0), MATCH($B$2, MSCI!$B$1:$E$1, 0)), NA()), NA())</f>
        <v/>
      </c>
      <c r="F13" s="5">
        <f>IF(IF($E$2="ALL",1,IF($Z13=$E$2,1,0)), IF(AND(ISNUMBER(C13),ISNUMBER(D13)),C13-D13,NA()), NA())</f>
        <v/>
      </c>
      <c r="G13" s="5">
        <f>IF(IF($E$2="ALL",1,IF($Z13=$E$2,1,0)), IFERROR((( (1+INDEX(Annual!$H:$H, MATCH($A13&amp;"|2026", Annual!$K:$K, 0))/100)*(1+INDEX(Annual!$H:$H, MATCH($A13&amp;"|2027", Annual!$K:$K, 0))/100)*(1+INDEX(Annual!$H:$H, MATCH($A13&amp;"|2028", Annual!$K:$K, 0))/100) )^(1/3)-1)*100, NA()), NA())</f>
        <v/>
      </c>
      <c r="H13" s="5">
        <f>IF(IF($E$2="ALL",1,IF($Z13=$E$2,1,0)), IFERROR(INDEX(Crude_Oil_Impact!$H:$H, MATCH($A13, Crude_Oil_Impact!$A:$A, 0)), NA()), NA())</f>
        <v/>
      </c>
      <c r="I13" s="5">
        <f>IF(IF($E$2="ALL",1,IF($Z13=$E$2,1,0)), IFERROR(INDEX(REER_Data!$C:$C, MATCH($A13, REER_Data!$A:$A, 0)), NA()), NA())</f>
        <v/>
      </c>
      <c r="J13" s="5">
        <f>IF(IF($E$2="ALL",1,IF($Z13=$E$2,1,0)), IFERROR(INDEX(REER_Data!$E:$E, MATCH($A13, REER_Data!$A:$A, 0)) / 100, NA()), NA())</f>
        <v/>
      </c>
      <c r="K13" t="inlineStr">
        <is>
          <t>NA()</t>
        </is>
      </c>
      <c r="M13">
        <f>IF(IF($E$2="ALL",1,IF($Z13=$E$2,1,0)), 282019000000.0, NA())</f>
        <v/>
      </c>
      <c r="N13" s="5">
        <f>IF(IF($E$2="ALL",1,IF($Z13=$E$2,1,0)), IFERROR(1*INDEX(CAGR!$H:$H, MATCH($A13&amp;"|"&amp;$B$2, CAGR!$Q:$Q, 0)), NA()), NA())</f>
        <v/>
      </c>
      <c r="O13" s="5">
        <f>IF(IF($E$2="ALL",1,IF($Z13=$E$2,1,0)), IFERROR(1*INDEX(CAGR!$G:$G, MATCH($A13&amp;"|"&amp;$B$2, CAGR!$Q:$Q, 0)), NA()), NA())</f>
        <v/>
      </c>
      <c r="Q13" s="5">
        <f>IF(IF($E$2="ALL",1,IF($Z13=$E$2,1,0)), IFERROR(1*INDEX(CAGR!$J:$J, MATCH($A13&amp;"|"&amp;$B$2, CAGR!$Q:$Q, 0)), NA()), NA())</f>
        <v/>
      </c>
      <c r="R13" s="5">
        <f>IF(IF($E$2="ALL",1,IF($Z13=$E$2,1,0)), IFERROR(1*INDEX(CAGR!$K:$K, MATCH($A13&amp;"|"&amp;$B$2, CAGR!$Q:$Q, 0)), NA()), NA())</f>
        <v/>
      </c>
      <c r="S13" s="7">
        <f>IF(IF($E$2="ALL",1,IF($Z13=$E$2,1,0)), 1.0, NA())</f>
        <v/>
      </c>
      <c r="T13" t="inlineStr">
        <is>
          <t>NA()</t>
        </is>
      </c>
      <c r="V13" s="5">
        <f>IF(IF($E$2="ALL",1,IF($Z13=$E$2,1,0)), IFERROR(1*INDEX(CAGR!$N:$N, MATCH($A13&amp;"|"&amp;$B$2, CAGR!$Q:$Q, 0)), NA()), NA())</f>
        <v/>
      </c>
      <c r="X13" s="5">
        <f>IF(IF($E$2="ALL",1,IF($Z13=$E$2,1,0)), IF(AND(ISNUMBER(Q13),ISNUMBER(V13)),Q13+V13,NA()), NA())</f>
        <v/>
      </c>
      <c r="Z13" t="inlineStr">
        <is>
          <t>Europe</t>
        </is>
      </c>
      <c r="AA13">
        <f>IF(IF($E$2="ALL",1,IF($Z13=$E$2,1,0)), "EUR", "")</f>
        <v/>
      </c>
      <c r="AC13">
        <f>IF(IF($E$2="ALL",1,IF($Z13=$E$2,1,0)), IFERROR(INDEX(Lists!$J$2:$J$42, MATCH($B13, Lists!$I$2:$I$42, 0)),""), "")</f>
        <v/>
      </c>
      <c r="AD13">
        <f>IF(IF($E$2="ALL",1,IF($Z13=$E$2,1,0)), IFERROR(INDEX(Lists!$K$2:$K$42, MATCH($B13, Lists!$I$2:$I$42, 0)),""), 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IF(IF($E$2="ALL",1,IF($Z14=$E$2,1,0)), IFERROR(1*INDEX(CAGR!$I:$I, MATCH($A14&amp;"|"&amp;$B$2, CAGR!$Q:$Q, 0)), NA()), NA())</f>
        <v/>
      </c>
      <c r="D14" s="5">
        <f>IF(IF($E$2="ALL",1,IF($Z14=$E$2,1,0)), IFERROR(1*INDEX(CAGR!$F:$F, MATCH($A14&amp;"|"&amp;$B14&amp;"|"&amp;$B$2, CAGR!$P:$P, 0)), NA()), NA())</f>
        <v/>
      </c>
      <c r="E14" s="6">
        <f>IF(IF($E$2="ALL",1,IF($Z14=$E$2,1,0)), IFERROR(INDEX(MSCI!$B:$E, MATCH("Hong Kong", MSCI!$A:$A, 0), MATCH($B$2, MSCI!$B$1:$E$1, 0)), NA()), NA())</f>
        <v/>
      </c>
      <c r="F14" s="5">
        <f>IF(IF($E$2="ALL",1,IF($Z14=$E$2,1,0)), IF(AND(ISNUMBER(C14),ISNUMBER(D14)),C14-D14,NA()), NA())</f>
        <v/>
      </c>
      <c r="G14" s="5">
        <f>IF(IF($E$2="ALL",1,IF($Z14=$E$2,1,0)), IFERROR((( (1+INDEX(Annual!$H:$H, MATCH($A14&amp;"|2026", Annual!$K:$K, 0))/100)*(1+INDEX(Annual!$H:$H, MATCH($A14&amp;"|2027", Annual!$K:$K, 0))/100)*(1+INDEX(Annual!$H:$H, MATCH($A14&amp;"|2028", Annual!$K:$K, 0))/100) )^(1/3)-1)*100, NA()), NA())</f>
        <v/>
      </c>
      <c r="H14" s="5">
        <f>IF(IF($E$2="ALL",1,IF($Z14=$E$2,1,0)), IFERROR(INDEX(Crude_Oil_Impact!$H:$H, MATCH($A14, Crude_Oil_Impact!$A:$A, 0)), NA()), NA())</f>
        <v/>
      </c>
      <c r="I14" s="5">
        <f>IF(IF($E$2="ALL",1,IF($Z14=$E$2,1,0)), IFERROR(INDEX(REER_Data!$C:$C, MATCH($A14, REER_Data!$A:$A, 0)), NA()), NA())</f>
        <v/>
      </c>
      <c r="J14" s="5">
        <f>IF(IF($E$2="ALL",1,IF($Z14=$E$2,1,0)), IFERROR(INDEX(REER_Data!$E:$E, MATCH($A14, REER_Data!$A:$A, 0)) / 100, NA()), NA())</f>
        <v/>
      </c>
      <c r="K14" t="inlineStr">
        <is>
          <t>NA()</t>
        </is>
      </c>
      <c r="M14">
        <f>IF(IF($E$2="ALL",1,IF($Z14=$E$2,1,0)), 428233000000.0, NA())</f>
        <v/>
      </c>
      <c r="N14" s="5">
        <f>IF(IF($E$2="ALL",1,IF($Z14=$E$2,1,0)), IFERROR(1*INDEX(CAGR!$H:$H, MATCH($A14&amp;"|"&amp;$B$2, CAGR!$Q:$Q, 0)), NA()), NA())</f>
        <v/>
      </c>
      <c r="O14" s="5">
        <f>IF(IF($E$2="ALL",1,IF($Z14=$E$2,1,0)), IFERROR(1*INDEX(CAGR!$G:$G, MATCH($A14&amp;"|"&amp;$B$2, CAGR!$Q:$Q, 0)), NA()), NA())</f>
        <v/>
      </c>
      <c r="Q14" s="5">
        <f>IF(IF($E$2="ALL",1,IF($Z14=$E$2,1,0)), IFERROR(1*INDEX(CAGR!$J:$J, MATCH($A14&amp;"|"&amp;$B$2, CAGR!$Q:$Q, 0)), NA()), NA())</f>
        <v/>
      </c>
      <c r="R14" s="5">
        <f>IF(IF($E$2="ALL",1,IF($Z14=$E$2,1,0)), IFERROR(1*INDEX(CAGR!$K:$K, MATCH($A14&amp;"|"&amp;$B$2, CAGR!$Q:$Q, 0)), NA()), NA())</f>
        <v/>
      </c>
      <c r="S14" s="7">
        <f>IF(IF($E$2="ALL",1,IF($Z14=$E$2,1,0)), 1.0, NA())</f>
        <v/>
      </c>
      <c r="T14" t="inlineStr">
        <is>
          <t>NA()</t>
        </is>
      </c>
      <c r="V14" s="5">
        <f>IF(IF($E$2="ALL",1,IF($Z14=$E$2,1,0)), IFERROR(1*INDEX(CAGR!$N:$N, MATCH($A14&amp;"|"&amp;$B$2, CAGR!$Q:$Q, 0)), NA()), NA())</f>
        <v/>
      </c>
      <c r="X14" s="5">
        <f>IF(IF($E$2="ALL",1,IF($Z14=$E$2,1,0)), IF(AND(ISNUMBER(Q14),ISNUMBER(V14)),Q14+V14,NA()), NA())</f>
        <v/>
      </c>
      <c r="Z14" t="inlineStr">
        <is>
          <t>Asia</t>
        </is>
      </c>
      <c r="AA14">
        <f>IF(IF($E$2="ALL",1,IF($Z14=$E$2,1,0)), "HKD", "")</f>
        <v/>
      </c>
      <c r="AC14">
        <f>IF(IF($E$2="ALL",1,IF($Z14=$E$2,1,0)), IFERROR(INDEX(Lists!$J$2:$J$42, MATCH($B14, Lists!$I$2:$I$42, 0)),""), "")</f>
        <v/>
      </c>
      <c r="AD14">
        <f>IF(IF($E$2="ALL",1,IF($Z14=$E$2,1,0)), IFERROR(INDEX(Lists!$K$2:$K$42, MATCH($B14, Lists!$I$2:$I$42, 0)),""), 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IF(IF($E$2="ALL",1,IF($Z15=$E$2,1,0)), IFERROR(1*INDEX(CAGR!$I:$I, MATCH($A15&amp;"|"&amp;$B$2, CAGR!$Q:$Q, 0)), NA()), NA())</f>
        <v/>
      </c>
      <c r="D15" s="5">
        <f>IF(IF($E$2="ALL",1,IF($Z15=$E$2,1,0)), IFERROR(1*INDEX(CAGR!$F:$F, MATCH($A15&amp;"|"&amp;$B15&amp;"|"&amp;$B$2, CAGR!$P:$P, 0)), NA()), NA())</f>
        <v/>
      </c>
      <c r="E15" s="6">
        <f>IF(IF($E$2="ALL",1,IF($Z15=$E$2,1,0)), IFERROR(INDEX(MSCI!$B:$E, MATCH("India", MSCI!$A:$A, 0), MATCH($B$2, MSCI!$B$1:$E$1, 0)), NA()), NA())</f>
        <v/>
      </c>
      <c r="F15" s="5">
        <f>IF(IF($E$2="ALL",1,IF($Z15=$E$2,1,0)), IF(AND(ISNUMBER(C15),ISNUMBER(D15)),C15-D15,NA()), NA())</f>
        <v/>
      </c>
      <c r="G15" s="5">
        <f>IF(IF($E$2="ALL",1,IF($Z15=$E$2,1,0)), IFERROR((( (1+INDEX(Annual!$H:$H, MATCH($A15&amp;"|2026", Annual!$K:$K, 0))/100)*(1+INDEX(Annual!$H:$H, MATCH($A15&amp;"|2027", Annual!$K:$K, 0))/100)*(1+INDEX(Annual!$H:$H, MATCH($A15&amp;"|2028", Annual!$K:$K, 0))/100) )^(1/3)-1)*100, NA()), NA())</f>
        <v/>
      </c>
      <c r="H15" s="5">
        <f>IF(IF($E$2="ALL",1,IF($Z15=$E$2,1,0)), IFERROR(INDEX(Crude_Oil_Impact!$H:$H, MATCH($A15, Crude_Oil_Impact!$A:$A, 0)), NA()), NA())</f>
        <v/>
      </c>
      <c r="I15" s="5">
        <f>IF(IF($E$2="ALL",1,IF($Z15=$E$2,1,0)), IFERROR(INDEX(REER_Data!$C:$C, MATCH($A15, REER_Data!$A:$A, 0)), NA()), NA())</f>
        <v/>
      </c>
      <c r="J15" s="5">
        <f>IF(IF($E$2="ALL",1,IF($Z15=$E$2,1,0)), IFERROR(INDEX(REER_Data!$E:$E, MATCH($A15, REER_Data!$A:$A, 0)) / 100, NA()), NA())</f>
        <v/>
      </c>
      <c r="K15" t="inlineStr">
        <is>
          <t>NA()</t>
        </is>
      </c>
      <c r="M15">
        <f>IF(IF($E$2="ALL",1,IF($Z15=$E$2,1,0)), 4125213000000.0, NA())</f>
        <v/>
      </c>
      <c r="N15" s="5">
        <f>IF(IF($E$2="ALL",1,IF($Z15=$E$2,1,0)), IFERROR(1*INDEX(CAGR!$H:$H, MATCH($A15&amp;"|"&amp;$B$2, CAGR!$Q:$Q, 0)), NA()), NA())</f>
        <v/>
      </c>
      <c r="O15" s="5">
        <f>IF(IF($E$2="ALL",1,IF($Z15=$E$2,1,0)), IFERROR(1*INDEX(CAGR!$G:$G, MATCH($A15&amp;"|"&amp;$B$2, CAGR!$Q:$Q, 0)), NA()), NA())</f>
        <v/>
      </c>
      <c r="Q15" s="5">
        <f>IF(IF($E$2="ALL",1,IF($Z15=$E$2,1,0)), IFERROR(1*INDEX(CAGR!$J:$J, MATCH($A15&amp;"|"&amp;$B$2, CAGR!$Q:$Q, 0)), NA()), NA())</f>
        <v/>
      </c>
      <c r="R15" s="5">
        <f>IF(IF($E$2="ALL",1,IF($Z15=$E$2,1,0)), IFERROR(1*INDEX(CAGR!$K:$K, MATCH($A15&amp;"|"&amp;$B$2, CAGR!$Q:$Q, 0)), NA()), NA())</f>
        <v/>
      </c>
      <c r="S15" s="7">
        <f>IF(IF($E$2="ALL",1,IF($Z15=$E$2,1,0)), 1.0, NA())</f>
        <v/>
      </c>
      <c r="T15" t="inlineStr">
        <is>
          <t>NA()</t>
        </is>
      </c>
      <c r="V15" s="5">
        <f>IF(IF($E$2="ALL",1,IF($Z15=$E$2,1,0)), IFERROR(1*INDEX(CAGR!$N:$N, MATCH($A15&amp;"|"&amp;$B$2, CAGR!$Q:$Q, 0)), NA()), NA())</f>
        <v/>
      </c>
      <c r="X15" s="5">
        <f>IF(IF($E$2="ALL",1,IF($Z15=$E$2,1,0)), IF(AND(ISNUMBER(Q15),ISNUMBER(V15)),Q15+V15,NA()), NA())</f>
        <v/>
      </c>
      <c r="Z15" t="inlineStr">
        <is>
          <t>Asia</t>
        </is>
      </c>
      <c r="AA15">
        <f>IF(IF($E$2="ALL",1,IF($Z15=$E$2,1,0)), "INR", "")</f>
        <v/>
      </c>
      <c r="AC15">
        <f>IF(IF($E$2="ALL",1,IF($Z15=$E$2,1,0)), IFERROR(INDEX(Lists!$J$2:$J$42, MATCH($B15, Lists!$I$2:$I$42, 0)),""), "")</f>
        <v/>
      </c>
      <c r="AD15">
        <f>IF(IF($E$2="ALL",1,IF($Z15=$E$2,1,0)), IFERROR(INDEX(Lists!$K$2:$K$42, MATCH($B15, Lists!$I$2:$I$42, 0)),""), 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IF(IF($E$2="ALL",1,IF($Z16=$E$2,1,0)), IFERROR(1*INDEX(CAGR!$I:$I, MATCH($A16&amp;"|"&amp;$B$2, CAGR!$Q:$Q, 0)), NA()), NA())</f>
        <v/>
      </c>
      <c r="D16" s="5">
        <f>IF(IF($E$2="ALL",1,IF($Z16=$E$2,1,0)), IFERROR(1*INDEX(CAGR!$F:$F, MATCH($A16&amp;"|"&amp;$B16&amp;"|"&amp;$B$2, CAGR!$P:$P, 0)), NA()), NA())</f>
        <v/>
      </c>
      <c r="E16" s="6">
        <f>IF(IF($E$2="ALL",1,IF($Z16=$E$2,1,0)), IFERROR(INDEX(MSCI!$B:$E, MATCH("Indonesia", MSCI!$A:$A, 0), MATCH($B$2, MSCI!$B$1:$E$1, 0)), NA()), NA())</f>
        <v/>
      </c>
      <c r="F16" s="5">
        <f>IF(IF($E$2="ALL",1,IF($Z16=$E$2,1,0)), IF(AND(ISNUMBER(C16),ISNUMBER(D16)),C16-D16,NA()), NA())</f>
        <v/>
      </c>
      <c r="G16" s="5">
        <f>IF(IF($E$2="ALL",1,IF($Z16=$E$2,1,0)), IFERROR((( (1+INDEX(Annual!$H:$H, MATCH($A16&amp;"|2026", Annual!$K:$K, 0))/100)*(1+INDEX(Annual!$H:$H, MATCH($A16&amp;"|2027", Annual!$K:$K, 0))/100)*(1+INDEX(Annual!$H:$H, MATCH($A16&amp;"|2028", Annual!$K:$K, 0))/100) )^(1/3)-1)*100, NA()), NA())</f>
        <v/>
      </c>
      <c r="H16" s="8">
        <f>IF(IF($E$2="ALL",1,IF($Z16=$E$2,1,0)), IFERROR(INDEX(Crude_Oil_Impact!$H:$H, MATCH($A16, Crude_Oil_Impact!$A:$A, 0)), NA()), NA())</f>
        <v/>
      </c>
      <c r="I16" s="5">
        <f>IF(IF($E$2="ALL",1,IF($Z16=$E$2,1,0)), IFERROR(INDEX(REER_Data!$C:$C, MATCH($A16, REER_Data!$A:$A, 0)), NA()), NA())</f>
        <v/>
      </c>
      <c r="J16" s="5">
        <f>IF(IF($E$2="ALL",1,IF($Z16=$E$2,1,0)), IFERROR(INDEX(REER_Data!$E:$E, MATCH($A16, REER_Data!$A:$A, 0)) / 100, NA()), NA())</f>
        <v/>
      </c>
      <c r="K16" t="inlineStr">
        <is>
          <t>NA()</t>
        </is>
      </c>
      <c r="M16">
        <f>IF(IF($E$2="ALL",1,IF($Z16=$E$2,1,0)), 1443256000000.0, NA())</f>
        <v/>
      </c>
      <c r="N16" s="5">
        <f>IF(IF($E$2="ALL",1,IF($Z16=$E$2,1,0)), IFERROR(1*INDEX(CAGR!$H:$H, MATCH($A16&amp;"|"&amp;$B$2, CAGR!$Q:$Q, 0)), NA()), NA())</f>
        <v/>
      </c>
      <c r="O16" s="5">
        <f>IF(IF($E$2="ALL",1,IF($Z16=$E$2,1,0)), IFERROR(1*INDEX(CAGR!$G:$G, MATCH($A16&amp;"|"&amp;$B$2, CAGR!$Q:$Q, 0)), NA()), NA())</f>
        <v/>
      </c>
      <c r="Q16" s="5">
        <f>IF(IF($E$2="ALL",1,IF($Z16=$E$2,1,0)), IFERROR(1*INDEX(CAGR!$J:$J, MATCH($A16&amp;"|"&amp;$B$2, CAGR!$Q:$Q, 0)), NA()), NA())</f>
        <v/>
      </c>
      <c r="R16" s="5">
        <f>IF(IF($E$2="ALL",1,IF($Z16=$E$2,1,0)), IFERROR(1*INDEX(CAGR!$K:$K, MATCH($A16&amp;"|"&amp;$B$2, CAGR!$Q:$Q, 0)), NA()), NA())</f>
        <v/>
      </c>
      <c r="S16" s="7">
        <f>IF(IF($E$2="ALL",1,IF($Z16=$E$2,1,0)), 0.8725000390037911, NA())</f>
        <v/>
      </c>
      <c r="T16" t="inlineStr">
        <is>
          <t>NA()</t>
        </is>
      </c>
      <c r="V16" s="5">
        <f>IF(IF($E$2="ALL",1,IF($Z16=$E$2,1,0)), IFERROR(1*INDEX(CAGR!$N:$N, MATCH($A16&amp;"|"&amp;$B$2, CAGR!$Q:$Q, 0)), NA()), NA())</f>
        <v/>
      </c>
      <c r="X16" s="5">
        <f>IF(IF($E$2="ALL",1,IF($Z16=$E$2,1,0)), IF(AND(ISNUMBER(Q16),ISNUMBER(V16)),Q16+V16,NA()), NA())</f>
        <v/>
      </c>
      <c r="Z16" t="inlineStr">
        <is>
          <t>Asia</t>
        </is>
      </c>
      <c r="AA16">
        <f>IF(IF($E$2="ALL",1,IF($Z16=$E$2,1,0)), "IDR", "")</f>
        <v/>
      </c>
      <c r="AC16">
        <f>IF(IF($E$2="ALL",1,IF($Z16=$E$2,1,0)), IFERROR(INDEX(Lists!$J$2:$J$42, MATCH($B16, Lists!$I$2:$I$42, 0)),""), "")</f>
        <v/>
      </c>
      <c r="AD16">
        <f>IF(IF($E$2="ALL",1,IF($Z16=$E$2,1,0)), IFERROR(INDEX(Lists!$K$2:$K$42, MATCH($B16, Lists!$I$2:$I$42, 0)),""), 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IF(IF($E$2="ALL",1,IF($Z17=$E$2,1,0)), IFERROR(1*INDEX(CAGR!$I:$I, MATCH($A17&amp;"|"&amp;$B$2, CAGR!$Q:$Q, 0)), NA()), NA())</f>
        <v/>
      </c>
      <c r="D17" s="5">
        <f>IF(IF($E$2="ALL",1,IF($Z17=$E$2,1,0)), IFERROR(1*INDEX(CAGR!$F:$F, MATCH($A17&amp;"|"&amp;$B17&amp;"|"&amp;$B$2, CAGR!$P:$P, 0)), NA()), NA())</f>
        <v/>
      </c>
      <c r="E17" s="6">
        <f>IF(IF($E$2="ALL",1,IF($Z17=$E$2,1,0)), IFERROR(INDEX(MSCI!$B:$E, MATCH("Italy", MSCI!$A:$A, 0), MATCH($B$2, MSCI!$B$1:$E$1, 0)), NA()), NA())</f>
        <v/>
      </c>
      <c r="F17" s="5">
        <f>IF(IF($E$2="ALL",1,IF($Z17=$E$2,1,0)), IF(AND(ISNUMBER(C17),ISNUMBER(D17)),C17-D17,NA()), NA())</f>
        <v/>
      </c>
      <c r="G17" s="5">
        <f>IF(IF($E$2="ALL",1,IF($Z17=$E$2,1,0)), IFERROR((( (1+INDEX(Annual!$H:$H, MATCH($A17&amp;"|2026", Annual!$K:$K, 0))/100)*(1+INDEX(Annual!$H:$H, MATCH($A17&amp;"|2027", Annual!$K:$K, 0))/100)*(1+INDEX(Annual!$H:$H, MATCH($A17&amp;"|2028", Annual!$K:$K, 0))/100) )^(1/3)-1)*100, NA()), NA())</f>
        <v/>
      </c>
      <c r="H17" s="5">
        <f>IF(IF($E$2="ALL",1,IF($Z17=$E$2,1,0)), IFERROR(INDEX(Crude_Oil_Impact!$H:$H, MATCH($A17, Crude_Oil_Impact!$A:$A, 0)), NA()), NA())</f>
        <v/>
      </c>
      <c r="I17" s="5">
        <f>IF(IF($E$2="ALL",1,IF($Z17=$E$2,1,0)), IFERROR(INDEX(REER_Data!$C:$C, MATCH($A17, REER_Data!$A:$A, 0)), NA()), NA())</f>
        <v/>
      </c>
      <c r="J17" s="5">
        <f>IF(IF($E$2="ALL",1,IF($Z17=$E$2,1,0)), IFERROR(INDEX(REER_Data!$E:$E, MATCH($A17, REER_Data!$A:$A, 0)) / 100, NA()), NA())</f>
        <v/>
      </c>
      <c r="K17" t="inlineStr">
        <is>
          <t>NA()</t>
        </is>
      </c>
      <c r="M17">
        <f>IF(IF($E$2="ALL",1,IF($Z17=$E$2,1,0)), 2543677000000.0, NA())</f>
        <v/>
      </c>
      <c r="N17" s="5">
        <f>IF(IF($E$2="ALL",1,IF($Z17=$E$2,1,0)), IFERROR(1*INDEX(CAGR!$H:$H, MATCH($A17&amp;"|"&amp;$B$2, CAGR!$Q:$Q, 0)), NA()), NA())</f>
        <v/>
      </c>
      <c r="O17" s="5">
        <f>IF(IF($E$2="ALL",1,IF($Z17=$E$2,1,0)), IFERROR(1*INDEX(CAGR!$G:$G, MATCH($A17&amp;"|"&amp;$B$2, CAGR!$Q:$Q, 0)), NA()), NA())</f>
        <v/>
      </c>
      <c r="Q17" s="5">
        <f>IF(IF($E$2="ALL",1,IF($Z17=$E$2,1,0)), IFERROR(1*INDEX(CAGR!$J:$J, MATCH($A17&amp;"|"&amp;$B$2, CAGR!$Q:$Q, 0)), NA()), NA())</f>
        <v/>
      </c>
      <c r="R17" s="5">
        <f>IF(IF($E$2="ALL",1,IF($Z17=$E$2,1,0)), IFERROR(1*INDEX(CAGR!$K:$K, MATCH($A17&amp;"|"&amp;$B$2, CAGR!$Q:$Q, 0)), NA()), NA())</f>
        <v/>
      </c>
      <c r="S17" s="7">
        <f>IF(IF($E$2="ALL",1,IF($Z17=$E$2,1,0)), 1.0, NA())</f>
        <v/>
      </c>
      <c r="T17" t="inlineStr">
        <is>
          <t>NA()</t>
        </is>
      </c>
      <c r="V17" s="5">
        <f>IF(IF($E$2="ALL",1,IF($Z17=$E$2,1,0)), IFERROR(1*INDEX(CAGR!$N:$N, MATCH($A17&amp;"|"&amp;$B$2, CAGR!$Q:$Q, 0)), NA()), NA())</f>
        <v/>
      </c>
      <c r="X17" s="5">
        <f>IF(IF($E$2="ALL",1,IF($Z17=$E$2,1,0)), IF(AND(ISNUMBER(Q17),ISNUMBER(V17)),Q17+V17,NA()), NA())</f>
        <v/>
      </c>
      <c r="Z17" t="inlineStr">
        <is>
          <t>Europe</t>
        </is>
      </c>
      <c r="AA17">
        <f>IF(IF($E$2="ALL",1,IF($Z17=$E$2,1,0)), "EUR", "")</f>
        <v/>
      </c>
      <c r="AC17">
        <f>IF(IF($E$2="ALL",1,IF($Z17=$E$2,1,0)), IFERROR(INDEX(Lists!$J$2:$J$42, MATCH($B17, Lists!$I$2:$I$42, 0)),""), "")</f>
        <v/>
      </c>
      <c r="AD17">
        <f>IF(IF($E$2="ALL",1,IF($Z17=$E$2,1,0)), IFERROR(INDEX(Lists!$K$2:$K$42, MATCH($B17, Lists!$I$2:$I$42, 0)),""), 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IF(IF($E$2="ALL",1,IF($Z18=$E$2,1,0)), IFERROR(1*INDEX(CAGR!$I:$I, MATCH($A18&amp;"|"&amp;$B$2, CAGR!$Q:$Q, 0)), NA()), NA())</f>
        <v/>
      </c>
      <c r="D18" s="5">
        <f>IF(IF($E$2="ALL",1,IF($Z18=$E$2,1,0)), IFERROR(1*INDEX(CAGR!$F:$F, MATCH($A18&amp;"|"&amp;$B18&amp;"|"&amp;$B$2, CAGR!$P:$P, 0)), NA()), NA())</f>
        <v/>
      </c>
      <c r="E18" s="6">
        <f>IF(IF($E$2="ALL",1,IF($Z18=$E$2,1,0)), IFERROR(INDEX(MSCI!$B:$E, MATCH("Japan", MSCI!$A:$A, 0), MATCH($B$2, MSCI!$B$1:$E$1, 0)), NA()), NA())</f>
        <v/>
      </c>
      <c r="F18" s="5">
        <f>IF(IF($E$2="ALL",1,IF($Z18=$E$2,1,0)), IF(AND(ISNUMBER(C18),ISNUMBER(D18)),C18-D18,NA()), NA())</f>
        <v/>
      </c>
      <c r="G18" s="5">
        <f>IF(IF($E$2="ALL",1,IF($Z18=$E$2,1,0)), IFERROR((( (1+INDEX(Annual!$H:$H, MATCH($A18&amp;"|2026", Annual!$K:$K, 0))/100)*(1+INDEX(Annual!$H:$H, MATCH($A18&amp;"|2027", Annual!$K:$K, 0))/100)*(1+INDEX(Annual!$H:$H, MATCH($A18&amp;"|2028", Annual!$K:$K, 0))/100) )^(1/3)-1)*100, NA()), NA())</f>
        <v/>
      </c>
      <c r="H18" s="5">
        <f>IF(IF($E$2="ALL",1,IF($Z18=$E$2,1,0)), IFERROR(INDEX(Crude_Oil_Impact!$H:$H, MATCH($A18, Crude_Oil_Impact!$A:$A, 0)), NA()), NA())</f>
        <v/>
      </c>
      <c r="I18" s="5">
        <f>IF(IF($E$2="ALL",1,IF($Z18=$E$2,1,0)), IFERROR(INDEX(REER_Data!$C:$C, MATCH($A18, REER_Data!$A:$A, 0)), NA()), NA())</f>
        <v/>
      </c>
      <c r="J18" s="5">
        <f>IF(IF($E$2="ALL",1,IF($Z18=$E$2,1,0)), IFERROR(INDEX(REER_Data!$E:$E, MATCH($A18, REER_Data!$A:$A, 0)) / 100, NA()), NA())</f>
        <v/>
      </c>
      <c r="K18" t="inlineStr">
        <is>
          <t>NA()</t>
        </is>
      </c>
      <c r="M18">
        <f>IF(IF($E$2="ALL",1,IF($Z18=$E$2,1,0)), 4279828000000.0, NA())</f>
        <v/>
      </c>
      <c r="N18" s="5">
        <f>IF(IF($E$2="ALL",1,IF($Z18=$E$2,1,0)), IFERROR(1*INDEX(CAGR!$H:$H, MATCH($A18&amp;"|"&amp;$B$2, CAGR!$Q:$Q, 0)), NA()), NA())</f>
        <v/>
      </c>
      <c r="O18" s="5">
        <f>IF(IF($E$2="ALL",1,IF($Z18=$E$2,1,0)), IFERROR(1*INDEX(CAGR!$G:$G, MATCH($A18&amp;"|"&amp;$B$2, CAGR!$Q:$Q, 0)), NA()), NA())</f>
        <v/>
      </c>
      <c r="Q18" s="5">
        <f>IF(IF($E$2="ALL",1,IF($Z18=$E$2,1,0)), IFERROR(1*INDEX(CAGR!$J:$J, MATCH($A18&amp;"|"&amp;$B$2, CAGR!$Q:$Q, 0)), NA()), NA())</f>
        <v/>
      </c>
      <c r="R18" s="5">
        <f>IF(IF($E$2="ALL",1,IF($Z18=$E$2,1,0)), IFERROR(1*INDEX(CAGR!$K:$K, MATCH($A18&amp;"|"&amp;$B$2, CAGR!$Q:$Q, 0)), NA()), NA())</f>
        <v/>
      </c>
      <c r="S18" s="7">
        <f>IF(IF($E$2="ALL",1,IF($Z18=$E$2,1,0)), 1.0, NA())</f>
        <v/>
      </c>
      <c r="T18" t="inlineStr">
        <is>
          <t>NA()</t>
        </is>
      </c>
      <c r="V18" s="5">
        <f>IF(IF($E$2="ALL",1,IF($Z18=$E$2,1,0)), IFERROR(1*INDEX(CAGR!$N:$N, MATCH($A18&amp;"|"&amp;$B$2, CAGR!$Q:$Q, 0)), NA()), NA())</f>
        <v/>
      </c>
      <c r="X18" s="5">
        <f>IF(IF($E$2="ALL",1,IF($Z18=$E$2,1,0)), IF(AND(ISNUMBER(Q18),ISNUMBER(V18)),Q18+V18,NA()), NA())</f>
        <v/>
      </c>
      <c r="Z18" t="inlineStr">
        <is>
          <t>Asia</t>
        </is>
      </c>
      <c r="AA18">
        <f>IF(IF($E$2="ALL",1,IF($Z18=$E$2,1,0)), "JPY", "")</f>
        <v/>
      </c>
      <c r="AC18">
        <f>IF(IF($E$2="ALL",1,IF($Z18=$E$2,1,0)), IFERROR(INDEX(Lists!$J$2:$J$42, MATCH($B18, Lists!$I$2:$I$42, 0)),""), "")</f>
        <v/>
      </c>
      <c r="AD18">
        <f>IF(IF($E$2="ALL",1,IF($Z18=$E$2,1,0)), IFERROR(INDEX(Lists!$K$2:$K$42, MATCH($B18, Lists!$I$2:$I$42, 0)),""), 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IF(IF($E$2="ALL",1,IF($Z19=$E$2,1,0)), IFERROR(1*INDEX(CAGR!$I:$I, MATCH($A19&amp;"|"&amp;$B$2, CAGR!$Q:$Q, 0)), NA()), NA())</f>
        <v/>
      </c>
      <c r="D19" s="5">
        <f>IF(IF($E$2="ALL",1,IF($Z19=$E$2,1,0)), IFERROR(1*INDEX(CAGR!$F:$F, MATCH($A19&amp;"|"&amp;$B19&amp;"|"&amp;$B$2, CAGR!$P:$P, 0)), NA()), NA())</f>
        <v/>
      </c>
      <c r="E19" s="6">
        <f>IF(IF($E$2="ALL",1,IF($Z19=$E$2,1,0)), IFERROR(INDEX(MSCI!$B:$E, MATCH("Malaysia", MSCI!$A:$A, 0), MATCH($B$2, MSCI!$B$1:$E$1, 0)), NA()), NA())</f>
        <v/>
      </c>
      <c r="F19" s="5">
        <f>IF(IF($E$2="ALL",1,IF($Z19=$E$2,1,0)), IF(AND(ISNUMBER(C19),ISNUMBER(D19)),C19-D19,NA()), NA())</f>
        <v/>
      </c>
      <c r="G19" s="5">
        <f>IF(IF($E$2="ALL",1,IF($Z19=$E$2,1,0)), IFERROR((( (1+INDEX(Annual!$H:$H, MATCH($A19&amp;"|2026", Annual!$K:$K, 0))/100)*(1+INDEX(Annual!$H:$H, MATCH($A19&amp;"|2027", Annual!$K:$K, 0))/100)*(1+INDEX(Annual!$H:$H, MATCH($A19&amp;"|2028", Annual!$K:$K, 0))/100) )^(1/3)-1)*100, NA()), NA())</f>
        <v/>
      </c>
      <c r="H19" s="5">
        <f>IF(IF($E$2="ALL",1,IF($Z19=$E$2,1,0)), IFERROR(INDEX(Crude_Oil_Impact!$H:$H, MATCH($A19, Crude_Oil_Impact!$A:$A, 0)), NA()), NA())</f>
        <v/>
      </c>
      <c r="I19" s="5">
        <f>IF(IF($E$2="ALL",1,IF($Z19=$E$2,1,0)), IFERROR(INDEX(REER_Data!$C:$C, MATCH($A19, REER_Data!$A:$A, 0)), NA()), NA())</f>
        <v/>
      </c>
      <c r="J19" s="5">
        <f>IF(IF($E$2="ALL",1,IF($Z19=$E$2,1,0)), IFERROR(INDEX(REER_Data!$E:$E, MATCH($A19, REER_Data!$A:$A, 0)) / 100, NA()), NA())</f>
        <v/>
      </c>
      <c r="K19" t="inlineStr">
        <is>
          <t>NA()</t>
        </is>
      </c>
      <c r="M19">
        <f>IF(IF($E$2="ALL",1,IF($Z19=$E$2,1,0)), 470572000000.0, NA())</f>
        <v/>
      </c>
      <c r="N19" s="5">
        <f>IF(IF($E$2="ALL",1,IF($Z19=$E$2,1,0)), IFERROR(1*INDEX(CAGR!$H:$H, MATCH($A19&amp;"|"&amp;$B$2, CAGR!$Q:$Q, 0)), NA()), NA())</f>
        <v/>
      </c>
      <c r="O19" s="5">
        <f>IF(IF($E$2="ALL",1,IF($Z19=$E$2,1,0)), IFERROR(1*INDEX(CAGR!$G:$G, MATCH($A19&amp;"|"&amp;$B$2, CAGR!$Q:$Q, 0)), NA()), NA())</f>
        <v/>
      </c>
      <c r="Q19" s="5">
        <f>IF(IF($E$2="ALL",1,IF($Z19=$E$2,1,0)), IFERROR(1*INDEX(CAGR!$J:$J, MATCH($A19&amp;"|"&amp;$B$2, CAGR!$Q:$Q, 0)), NA()), NA())</f>
        <v/>
      </c>
      <c r="R19" s="5">
        <f>IF(IF($E$2="ALL",1,IF($Z19=$E$2,1,0)), IFERROR(1*INDEX(CAGR!$K:$K, MATCH($A19&amp;"|"&amp;$B$2, CAGR!$Q:$Q, 0)), NA()), NA())</f>
        <v/>
      </c>
      <c r="S19" s="7" t="n"/>
      <c r="T19" t="inlineStr">
        <is>
          <t>NA()</t>
        </is>
      </c>
      <c r="V19" s="5">
        <f>IF(IF($E$2="ALL",1,IF($Z19=$E$2,1,0)), IFERROR(1*INDEX(CAGR!$N:$N, MATCH($A19&amp;"|"&amp;$B$2, CAGR!$Q:$Q, 0)), NA()), NA())</f>
        <v/>
      </c>
      <c r="X19" s="5">
        <f>IF(IF($E$2="ALL",1,IF($Z19=$E$2,1,0)), IF(AND(ISNUMBER(Q19),ISNUMBER(V19)),Q19+V19,NA()), NA())</f>
        <v/>
      </c>
      <c r="Z19" t="inlineStr">
        <is>
          <t>Asia</t>
        </is>
      </c>
      <c r="AA19">
        <f>IF(IF($E$2="ALL",1,IF($Z19=$E$2,1,0)), "MYR", "")</f>
        <v/>
      </c>
      <c r="AC19">
        <f>IF(IF($E$2="ALL",1,IF($Z19=$E$2,1,0)), IFERROR(INDEX(Lists!$J$2:$J$42, MATCH($B19, Lists!$I$2:$I$42, 0)),""), "")</f>
        <v/>
      </c>
      <c r="AD19">
        <f>IF(IF($E$2="ALL",1,IF($Z19=$E$2,1,0)), IFERROR(INDEX(Lists!$K$2:$K$42, MATCH($B19, Lists!$I$2:$I$42, 0)),""), 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IF(IF($E$2="ALL",1,IF($Z20=$E$2,1,0)), IFERROR(1*INDEX(CAGR!$I:$I, MATCH($A20&amp;"|"&amp;$B$2, CAGR!$Q:$Q, 0)), NA()), NA())</f>
        <v/>
      </c>
      <c r="D20" s="5">
        <f>IF(IF($E$2="ALL",1,IF($Z20=$E$2,1,0)), IFERROR(1*INDEX(CAGR!$F:$F, MATCH($A20&amp;"|"&amp;$B20&amp;"|"&amp;$B$2, CAGR!$P:$P, 0)), NA()), NA())</f>
        <v/>
      </c>
      <c r="E20" s="6">
        <f>IF(IF($E$2="ALL",1,IF($Z20=$E$2,1,0)), IFERROR(INDEX(MSCI!$B:$E, MATCH("Mexico", MSCI!$A:$A, 0), MATCH($B$2, MSCI!$B$1:$E$1, 0)), NA()), NA())</f>
        <v/>
      </c>
      <c r="F20" s="5">
        <f>IF(IF($E$2="ALL",1,IF($Z20=$E$2,1,0)), IF(AND(ISNUMBER(C20),ISNUMBER(D20)),C20-D20,NA()), NA())</f>
        <v/>
      </c>
      <c r="G20" s="5">
        <f>IF(IF($E$2="ALL",1,IF($Z20=$E$2,1,0)), IFERROR((( (1+INDEX(Annual!$H:$H, MATCH($A20&amp;"|2026", Annual!$K:$K, 0))/100)*(1+INDEX(Annual!$H:$H, MATCH($A20&amp;"|2027", Annual!$K:$K, 0))/100)*(1+INDEX(Annual!$H:$H, MATCH($A20&amp;"|2028", Annual!$K:$K, 0))/100) )^(1/3)-1)*100, NA()), NA())</f>
        <v/>
      </c>
      <c r="H20" s="8">
        <f>IF(IF($E$2="ALL",1,IF($Z20=$E$2,1,0)), IFERROR(INDEX(Crude_Oil_Impact!$H:$H, MATCH($A20, Crude_Oil_Impact!$A:$A, 0)), NA()), NA())</f>
        <v/>
      </c>
      <c r="I20" s="5">
        <f>IF(IF($E$2="ALL",1,IF($Z20=$E$2,1,0)), IFERROR(INDEX(REER_Data!$C:$C, MATCH($A20, REER_Data!$A:$A, 0)), NA()), NA())</f>
        <v/>
      </c>
      <c r="J20" s="5">
        <f>IF(IF($E$2="ALL",1,IF($Z20=$E$2,1,0)), IFERROR(INDEX(REER_Data!$E:$E, MATCH($A20, REER_Data!$A:$A, 0)) / 100, NA()), NA())</f>
        <v/>
      </c>
      <c r="K20" t="inlineStr">
        <is>
          <t>NA()</t>
        </is>
      </c>
      <c r="M20">
        <f>IF(IF($E$2="ALL",1,IF($Z20=$E$2,1,0)), 1862740000000.0, NA())</f>
        <v/>
      </c>
      <c r="N20" s="5">
        <f>IF(IF($E$2="ALL",1,IF($Z20=$E$2,1,0)), IFERROR(1*INDEX(CAGR!$H:$H, MATCH($A20&amp;"|"&amp;$B$2, CAGR!$Q:$Q, 0)), NA()), NA())</f>
        <v/>
      </c>
      <c r="O20" s="5">
        <f>IF(IF($E$2="ALL",1,IF($Z20=$E$2,1,0)), IFERROR(1*INDEX(CAGR!$G:$G, MATCH($A20&amp;"|"&amp;$B$2, CAGR!$Q:$Q, 0)), NA()), NA())</f>
        <v/>
      </c>
      <c r="Q20" s="5">
        <f>IF(IF($E$2="ALL",1,IF($Z20=$E$2,1,0)), IFERROR(1*INDEX(CAGR!$J:$J, MATCH($A20&amp;"|"&amp;$B$2, CAGR!$Q:$Q, 0)), NA()), NA())</f>
        <v/>
      </c>
      <c r="R20" s="5">
        <f>IF(IF($E$2="ALL",1,IF($Z20=$E$2,1,0)), IFERROR(1*INDEX(CAGR!$K:$K, MATCH($A20&amp;"|"&amp;$B$2, CAGR!$Q:$Q, 0)), NA()), NA())</f>
        <v/>
      </c>
      <c r="S20" s="7" t="n"/>
      <c r="T20" t="inlineStr">
        <is>
          <t>NA()</t>
        </is>
      </c>
      <c r="V20" s="5">
        <f>IF(IF($E$2="ALL",1,IF($Z20=$E$2,1,0)), IFERROR(1*INDEX(CAGR!$N:$N, MATCH($A20&amp;"|"&amp;$B$2, CAGR!$Q:$Q, 0)), NA()), NA())</f>
        <v/>
      </c>
      <c r="X20" s="5">
        <f>IF(IF($E$2="ALL",1,IF($Z20=$E$2,1,0)), IF(AND(ISNUMBER(Q20),ISNUMBER(V20)),Q20+V20,NA()), NA())</f>
        <v/>
      </c>
      <c r="Z20" t="inlineStr">
        <is>
          <t>Latin America</t>
        </is>
      </c>
      <c r="AA20">
        <f>IF(IF($E$2="ALL",1,IF($Z20=$E$2,1,0)), "MXN", "")</f>
        <v/>
      </c>
      <c r="AC20">
        <f>IF(IF($E$2="ALL",1,IF($Z20=$E$2,1,0)), IFERROR(INDEX(Lists!$J$2:$J$42, MATCH($B20, Lists!$I$2:$I$42, 0)),""), "")</f>
        <v/>
      </c>
      <c r="AD20">
        <f>IF(IF($E$2="ALL",1,IF($Z20=$E$2,1,0)), IFERROR(INDEX(Lists!$K$2:$K$42, MATCH($B20, Lists!$I$2:$I$42, 0)),""), 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IF(IF($E$2="ALL",1,IF($Z21=$E$2,1,0)), IFERROR(1*INDEX(CAGR!$I:$I, MATCH($A21&amp;"|"&amp;$B$2, CAGR!$Q:$Q, 0)), NA()), NA())</f>
        <v/>
      </c>
      <c r="D21" s="5">
        <f>IF(IF($E$2="ALL",1,IF($Z21=$E$2,1,0)), IFERROR(1*INDEX(CAGR!$F:$F, MATCH($A21&amp;"|"&amp;$B21&amp;"|"&amp;$B$2, CAGR!$P:$P, 0)), NA()), NA())</f>
        <v/>
      </c>
      <c r="E21" s="6">
        <f>IF(IF($E$2="ALL",1,IF($Z21=$E$2,1,0)), IFERROR(INDEX(MSCI!$B:$E, MATCH("Netherlands", MSCI!$A:$A, 0), MATCH($B$2, MSCI!$B$1:$E$1, 0)), NA()), NA())</f>
        <v/>
      </c>
      <c r="F21" s="5">
        <f>IF(IF($E$2="ALL",1,IF($Z21=$E$2,1,0)), IF(AND(ISNUMBER(C21),ISNUMBER(D21)),C21-D21,NA()), NA())</f>
        <v/>
      </c>
      <c r="G21" s="5">
        <f>IF(IF($E$2="ALL",1,IF($Z21=$E$2,1,0)), IFERROR((( (1+INDEX(Annual!$H:$H, MATCH($A21&amp;"|2026", Annual!$K:$K, 0))/100)*(1+INDEX(Annual!$H:$H, MATCH($A21&amp;"|2027", Annual!$K:$K, 0))/100)*(1+INDEX(Annual!$H:$H, MATCH($A21&amp;"|2028", Annual!$K:$K, 0))/100) )^(1/3)-1)*100, NA()), NA())</f>
        <v/>
      </c>
      <c r="H21" s="5">
        <f>IF(IF($E$2="ALL",1,IF($Z21=$E$2,1,0)), IFERROR(INDEX(Crude_Oil_Impact!$H:$H, MATCH($A21, Crude_Oil_Impact!$A:$A, 0)), NA()), NA())</f>
        <v/>
      </c>
      <c r="I21" s="5">
        <f>IF(IF($E$2="ALL",1,IF($Z21=$E$2,1,0)), IFERROR(INDEX(REER_Data!$C:$C, MATCH($A21, REER_Data!$A:$A, 0)), NA()), NA())</f>
        <v/>
      </c>
      <c r="J21" s="5">
        <f>IF(IF($E$2="ALL",1,IF($Z21=$E$2,1,0)), IFERROR(INDEX(REER_Data!$E:$E, MATCH($A21, REER_Data!$A:$A, 0)) / 100, NA()), NA())</f>
        <v/>
      </c>
      <c r="K21" t="inlineStr">
        <is>
          <t>NA()</t>
        </is>
      </c>
      <c r="M21">
        <f>IF(IF($E$2="ALL",1,IF($Z21=$E$2,1,0)), 1320635000000.0, NA())</f>
        <v/>
      </c>
      <c r="N21" s="5">
        <f>IF(IF($E$2="ALL",1,IF($Z21=$E$2,1,0)), IFERROR(1*INDEX(CAGR!$H:$H, MATCH($A21&amp;"|"&amp;$B$2, CAGR!$Q:$Q, 0)), NA()), NA())</f>
        <v/>
      </c>
      <c r="O21" s="5">
        <f>IF(IF($E$2="ALL",1,IF($Z21=$E$2,1,0)), IFERROR(1*INDEX(CAGR!$G:$G, MATCH($A21&amp;"|"&amp;$B$2, CAGR!$Q:$Q, 0)), NA()), NA())</f>
        <v/>
      </c>
      <c r="Q21" s="5">
        <f>IF(IF($E$2="ALL",1,IF($Z21=$E$2,1,0)), IFERROR(1*INDEX(CAGR!$J:$J, MATCH($A21&amp;"|"&amp;$B$2, CAGR!$Q:$Q, 0)), NA()), NA())</f>
        <v/>
      </c>
      <c r="R21" s="5">
        <f>IF(IF($E$2="ALL",1,IF($Z21=$E$2,1,0)), IFERROR(1*INDEX(CAGR!$K:$K, MATCH($A21&amp;"|"&amp;$B$2, CAGR!$Q:$Q, 0)), NA()), NA())</f>
        <v/>
      </c>
      <c r="S21" s="7">
        <f>IF(IF($E$2="ALL",1,IF($Z21=$E$2,1,0)), 1.0, NA())</f>
        <v/>
      </c>
      <c r="T21" t="inlineStr">
        <is>
          <t>NA()</t>
        </is>
      </c>
      <c r="V21" s="5">
        <f>IF(IF($E$2="ALL",1,IF($Z21=$E$2,1,0)), IFERROR(1*INDEX(CAGR!$N:$N, MATCH($A21&amp;"|"&amp;$B$2, CAGR!$Q:$Q, 0)), NA()), NA())</f>
        <v/>
      </c>
      <c r="X21" s="5">
        <f>IF(IF($E$2="ALL",1,IF($Z21=$E$2,1,0)), IF(AND(ISNUMBER(Q21),ISNUMBER(V21)),Q21+V21,NA()), NA())</f>
        <v/>
      </c>
      <c r="Z21" t="inlineStr">
        <is>
          <t>Europe</t>
        </is>
      </c>
      <c r="AA21">
        <f>IF(IF($E$2="ALL",1,IF($Z21=$E$2,1,0)), "EUR", "")</f>
        <v/>
      </c>
      <c r="AC21">
        <f>IF(IF($E$2="ALL",1,IF($Z21=$E$2,1,0)), IFERROR(INDEX(Lists!$J$2:$J$42, MATCH($B21, Lists!$I$2:$I$42, 0)),""), "")</f>
        <v/>
      </c>
      <c r="AD21">
        <f>IF(IF($E$2="ALL",1,IF($Z21=$E$2,1,0)), IFERROR(INDEX(Lists!$K$2:$K$42, MATCH($B21, Lists!$I$2:$I$42, 0)),""), 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IF(IF($E$2="ALL",1,IF($Z22=$E$2,1,0)), IFERROR(1*INDEX(CAGR!$I:$I, MATCH($A22&amp;"|"&amp;$B$2, CAGR!$Q:$Q, 0)), NA()), NA())</f>
        <v/>
      </c>
      <c r="D22" s="5">
        <f>IF(IF($E$2="ALL",1,IF($Z22=$E$2,1,0)), IFERROR(1*INDEX(CAGR!$F:$F, MATCH($A22&amp;"|"&amp;$B22&amp;"|"&amp;$B$2, CAGR!$P:$P, 0)), NA()), NA())</f>
        <v/>
      </c>
      <c r="E22" s="6">
        <f>IF(IF($E$2="ALL",1,IF($Z22=$E$2,1,0)), IFERROR(INDEX(MSCI!$B:$E, MATCH("Pakistan", MSCI!$A:$A, 0), MATCH($B$2, MSCI!$B$1:$E$1, 0)), NA()), NA())</f>
        <v/>
      </c>
      <c r="F22" s="5">
        <f>IF(IF($E$2="ALL",1,IF($Z22=$E$2,1,0)), IF(AND(ISNUMBER(C22),ISNUMBER(D22)),C22-D22,NA()), NA())</f>
        <v/>
      </c>
      <c r="G22" s="5">
        <f>IF(IF($E$2="ALL",1,IF($Z22=$E$2,1,0)), IFERROR((( (1+INDEX(Annual!$H:$H, MATCH($A22&amp;"|2026", Annual!$K:$K, 0))/100)*(1+INDEX(Annual!$H:$H, MATCH($A22&amp;"|2027", Annual!$K:$K, 0))/100)*(1+INDEX(Annual!$H:$H, MATCH($A22&amp;"|2028", Annual!$K:$K, 0))/100) )^(1/3)-1)*100, NA()), NA())</f>
        <v/>
      </c>
      <c r="H22" s="5">
        <f>IF(IF($E$2="ALL",1,IF($Z22=$E$2,1,0)), IFERROR(INDEX(Crude_Oil_Impact!$H:$H, MATCH($A22, Crude_Oil_Impact!$A:$A, 0)), NA()), NA())</f>
        <v/>
      </c>
      <c r="I22" s="5">
        <f>IF(IF($E$2="ALL",1,IF($Z22=$E$2,1,0)), IFERROR(INDEX(REER_Data!$C:$C, MATCH($A22, REER_Data!$A:$A, 0)), NA()), NA())</f>
        <v/>
      </c>
      <c r="J22" s="5">
        <f>IF(IF($E$2="ALL",1,IF($Z22=$E$2,1,0)), IFERROR(INDEX(REER_Data!$E:$E, MATCH($A22, REER_Data!$A:$A, 0)) / 100, NA()), NA())</f>
        <v/>
      </c>
      <c r="K22" t="inlineStr">
        <is>
          <t>NA()</t>
        </is>
      </c>
      <c r="M22">
        <f>IF(IF($E$2="ALL",1,IF($Z22=$E$2,1,0)), 410495000000.0, NA())</f>
        <v/>
      </c>
      <c r="N22" s="5">
        <f>IF(IF($E$2="ALL",1,IF($Z22=$E$2,1,0)), IFERROR(1*INDEX(CAGR!$H:$H, MATCH($A22&amp;"|"&amp;$B$2, CAGR!$Q:$Q, 0)), NA()), NA())</f>
        <v/>
      </c>
      <c r="O22" s="5">
        <f>IF(IF($E$2="ALL",1,IF($Z22=$E$2,1,0)), IFERROR(1*INDEX(CAGR!$G:$G, MATCH($A22&amp;"|"&amp;$B$2, CAGR!$Q:$Q, 0)), NA()), NA())</f>
        <v/>
      </c>
      <c r="Q22" s="5">
        <f>IF(IF($E$2="ALL",1,IF($Z22=$E$2,1,0)), IFERROR(1*INDEX(CAGR!$J:$J, MATCH($A22&amp;"|"&amp;$B$2, CAGR!$Q:$Q, 0)), NA()), NA())</f>
        <v/>
      </c>
      <c r="R22" s="5">
        <f>IF(IF($E$2="ALL",1,IF($Z22=$E$2,1,0)), IFERROR(1*INDEX(CAGR!$K:$K, MATCH($A22&amp;"|"&amp;$B$2, CAGR!$Q:$Q, 0)), NA()), NA())</f>
        <v/>
      </c>
      <c r="S22" s="7">
        <f>IF(IF($E$2="ALL",1,IF($Z22=$E$2,1,0)), 1.0, NA())</f>
        <v/>
      </c>
      <c r="T22" t="inlineStr">
        <is>
          <t>NA()</t>
        </is>
      </c>
      <c r="V22" s="5">
        <f>IF(IF($E$2="ALL",1,IF($Z22=$E$2,1,0)), IFERROR(1*INDEX(CAGR!$N:$N, MATCH($A22&amp;"|"&amp;$B$2, CAGR!$Q:$Q, 0)), NA()), NA())</f>
        <v/>
      </c>
      <c r="X22" s="5">
        <f>IF(IF($E$2="ALL",1,IF($Z22=$E$2,1,0)), IF(AND(ISNUMBER(Q22),ISNUMBER(V22)),Q22+V22,NA()), NA())</f>
        <v/>
      </c>
      <c r="Z22" t="inlineStr">
        <is>
          <t>Asia</t>
        </is>
      </c>
      <c r="AA22">
        <f>IF(IF($E$2="ALL",1,IF($Z22=$E$2,1,0)), "PKR", "")</f>
        <v/>
      </c>
      <c r="AC22">
        <f>IF(IF($E$2="ALL",1,IF($Z22=$E$2,1,0)), IFERROR(INDEX(Lists!$J$2:$J$42, MATCH($B22, Lists!$I$2:$I$42, 0)),""), "")</f>
        <v/>
      </c>
      <c r="AD22">
        <f>IF(IF($E$2="ALL",1,IF($Z22=$E$2,1,0)), IFERROR(INDEX(Lists!$K$2:$K$42, MATCH($B22, Lists!$I$2:$I$42, 0)),""), 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IF(IF($E$2="ALL",1,IF($Z23=$E$2,1,0)), IFERROR(1*INDEX(CAGR!$I:$I, MATCH($A23&amp;"|"&amp;$B$2, CAGR!$Q:$Q, 0)), NA()), NA())</f>
        <v/>
      </c>
      <c r="D23" s="5">
        <f>IF(IF($E$2="ALL",1,IF($Z23=$E$2,1,0)), IFERROR(1*INDEX(CAGR!$F:$F, MATCH($A23&amp;"|"&amp;$B23&amp;"|"&amp;$B$2, CAGR!$P:$P, 0)), NA()), NA())</f>
        <v/>
      </c>
      <c r="E23" s="6">
        <f>IF(IF($E$2="ALL",1,IF($Z23=$E$2,1,0)), IFERROR(INDEX(MSCI!$B:$E, MATCH("Philippines", MSCI!$A:$A, 0), MATCH($B$2, MSCI!$B$1:$E$1, 0)), NA()), NA())</f>
        <v/>
      </c>
      <c r="F23" s="5">
        <f>IF(IF($E$2="ALL",1,IF($Z23=$E$2,1,0)), IF(AND(ISNUMBER(C23),ISNUMBER(D23)),C23-D23,NA()), NA())</f>
        <v/>
      </c>
      <c r="G23" s="5">
        <f>IF(IF($E$2="ALL",1,IF($Z23=$E$2,1,0)), IFERROR((( (1+INDEX(Annual!$H:$H, MATCH($A23&amp;"|2026", Annual!$K:$K, 0))/100)*(1+INDEX(Annual!$H:$H, MATCH($A23&amp;"|2027", Annual!$K:$K, 0))/100)*(1+INDEX(Annual!$H:$H, MATCH($A23&amp;"|2028", Annual!$K:$K, 0))/100) )^(1/3)-1)*100, NA()), NA())</f>
        <v/>
      </c>
      <c r="H23" s="8">
        <f>IF(IF($E$2="ALL",1,IF($Z23=$E$2,1,0)), IFERROR(INDEX(Crude_Oil_Impact!$H:$H, MATCH($A23, Crude_Oil_Impact!$A:$A, 0)), NA()), NA())</f>
        <v/>
      </c>
      <c r="I23" s="5">
        <f>IF(IF($E$2="ALL",1,IF($Z23=$E$2,1,0)), IFERROR(INDEX(REER_Data!$C:$C, MATCH($A23, REER_Data!$A:$A, 0)), NA()), NA())</f>
        <v/>
      </c>
      <c r="J23" s="5">
        <f>IF(IF($E$2="ALL",1,IF($Z23=$E$2,1,0)), IFERROR(INDEX(REER_Data!$E:$E, MATCH($A23, REER_Data!$A:$A, 0)) / 100, NA()), NA())</f>
        <v/>
      </c>
      <c r="K23" t="inlineStr">
        <is>
          <t>NA()</t>
        </is>
      </c>
      <c r="M23">
        <f>IF(IF($E$2="ALL",1,IF($Z23=$E$2,1,0)), 494158000000.0, NA())</f>
        <v/>
      </c>
      <c r="N23" s="5">
        <f>IF(IF($E$2="ALL",1,IF($Z23=$E$2,1,0)), IFERROR(1*INDEX(CAGR!$H:$H, MATCH($A23&amp;"|"&amp;$B$2, CAGR!$Q:$Q, 0)), NA()), NA())</f>
        <v/>
      </c>
      <c r="O23" s="5">
        <f>IF(IF($E$2="ALL",1,IF($Z23=$E$2,1,0)), IFERROR(1*INDEX(CAGR!$G:$G, MATCH($A23&amp;"|"&amp;$B$2, CAGR!$Q:$Q, 0)), NA()), NA())</f>
        <v/>
      </c>
      <c r="Q23" s="5">
        <f>IF(IF($E$2="ALL",1,IF($Z23=$E$2,1,0)), IFERROR(1*INDEX(CAGR!$J:$J, MATCH($A23&amp;"|"&amp;$B$2, CAGR!$Q:$Q, 0)), NA()), NA())</f>
        <v/>
      </c>
      <c r="R23" s="5">
        <f>IF(IF($E$2="ALL",1,IF($Z23=$E$2,1,0)), IFERROR(1*INDEX(CAGR!$K:$K, MATCH($A23&amp;"|"&amp;$B$2, CAGR!$Q:$Q, 0)), NA()), NA())</f>
        <v/>
      </c>
      <c r="S23" s="7" t="n"/>
      <c r="T23" t="inlineStr">
        <is>
          <t>NA()</t>
        </is>
      </c>
      <c r="V23" s="5">
        <f>IF(IF($E$2="ALL",1,IF($Z23=$E$2,1,0)), IFERROR(1*INDEX(CAGR!$N:$N, MATCH($A23&amp;"|"&amp;$B$2, CAGR!$Q:$Q, 0)), NA()), NA())</f>
        <v/>
      </c>
      <c r="X23" s="5">
        <f>IF(IF($E$2="ALL",1,IF($Z23=$E$2,1,0)), IF(AND(ISNUMBER(Q23),ISNUMBER(V23)),Q23+V23,NA()), NA())</f>
        <v/>
      </c>
      <c r="Z23" t="inlineStr">
        <is>
          <t>Asia</t>
        </is>
      </c>
      <c r="AA23">
        <f>IF(IF($E$2="ALL",1,IF($Z23=$E$2,1,0)), "PHP", "")</f>
        <v/>
      </c>
      <c r="AC23">
        <f>IF(IF($E$2="ALL",1,IF($Z23=$E$2,1,0)), IFERROR(INDEX(Lists!$J$2:$J$42, MATCH($B23, Lists!$I$2:$I$42, 0)),""), "")</f>
        <v/>
      </c>
      <c r="AD23">
        <f>IF(IF($E$2="ALL",1,IF($Z23=$E$2,1,0)), IFERROR(INDEX(Lists!$K$2:$K$42, MATCH($B23, Lists!$I$2:$I$42, 0)),""), 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IF(IF($E$2="ALL",1,IF($Z24=$E$2,1,0)), IFERROR(1*INDEX(CAGR!$I:$I, MATCH($A24&amp;"|"&amp;$B$2, CAGR!$Q:$Q, 0)), NA()), NA())</f>
        <v/>
      </c>
      <c r="D24" s="5">
        <f>IF(IF($E$2="ALL",1,IF($Z24=$E$2,1,0)), IFERROR(1*INDEX(CAGR!$F:$F, MATCH($A24&amp;"|"&amp;$B24&amp;"|"&amp;$B$2, CAGR!$P:$P, 0)), NA()), NA())</f>
        <v/>
      </c>
      <c r="E24" s="6">
        <f>IF(IF($E$2="ALL",1,IF($Z24=$E$2,1,0)), IFERROR(INDEX(MSCI!$B:$E, MATCH("Poland", MSCI!$A:$A, 0), MATCH($B$2, MSCI!$B$1:$E$1, 0)), NA()), NA())</f>
        <v/>
      </c>
      <c r="F24" s="5">
        <f>IF(IF($E$2="ALL",1,IF($Z24=$E$2,1,0)), IF(AND(ISNUMBER(C24),ISNUMBER(D24)),C24-D24,NA()), NA())</f>
        <v/>
      </c>
      <c r="G24" s="5">
        <f>IF(IF($E$2="ALL",1,IF($Z24=$E$2,1,0)), IFERROR((( (1+INDEX(Annual!$H:$H, MATCH($A24&amp;"|2026", Annual!$K:$K, 0))/100)*(1+INDEX(Annual!$H:$H, MATCH($A24&amp;"|2027", Annual!$K:$K, 0))/100)*(1+INDEX(Annual!$H:$H, MATCH($A24&amp;"|2028", Annual!$K:$K, 0))/100) )^(1/3)-1)*100, NA()), NA())</f>
        <v/>
      </c>
      <c r="H24" s="5">
        <f>IF(IF($E$2="ALL",1,IF($Z24=$E$2,1,0)), IFERROR(INDEX(Crude_Oil_Impact!$H:$H, MATCH($A24, Crude_Oil_Impact!$A:$A, 0)), NA()), NA())</f>
        <v/>
      </c>
      <c r="I24" s="5">
        <f>IF(IF($E$2="ALL",1,IF($Z24=$E$2,1,0)), IFERROR(INDEX(REER_Data!$C:$C, MATCH($A24, REER_Data!$A:$A, 0)), NA()), NA())</f>
        <v/>
      </c>
      <c r="J24" s="5">
        <f>IF(IF($E$2="ALL",1,IF($Z24=$E$2,1,0)), IFERROR(INDEX(REER_Data!$E:$E, MATCH($A24, REER_Data!$A:$A, 0)) / 100, NA()), NA())</f>
        <v/>
      </c>
      <c r="K24" t="inlineStr">
        <is>
          <t>NA()</t>
        </is>
      </c>
      <c r="M24">
        <f>IF(IF($E$2="ALL",1,IF($Z24=$E$2,1,0)), 1039619000000.0, NA())</f>
        <v/>
      </c>
      <c r="N24" s="5">
        <f>IF(IF($E$2="ALL",1,IF($Z24=$E$2,1,0)), IFERROR(1*INDEX(CAGR!$H:$H, MATCH($A24&amp;"|"&amp;$B$2, CAGR!$Q:$Q, 0)), NA()), NA())</f>
        <v/>
      </c>
      <c r="O24" s="5">
        <f>IF(IF($E$2="ALL",1,IF($Z24=$E$2,1,0)), IFERROR(1*INDEX(CAGR!$G:$G, MATCH($A24&amp;"|"&amp;$B$2, CAGR!$Q:$Q, 0)), NA()), NA())</f>
        <v/>
      </c>
      <c r="Q24" s="5">
        <f>IF(IF($E$2="ALL",1,IF($Z24=$E$2,1,0)), IFERROR(1*INDEX(CAGR!$J:$J, MATCH($A24&amp;"|"&amp;$B$2, CAGR!$Q:$Q, 0)), NA()), NA())</f>
        <v/>
      </c>
      <c r="R24" s="5">
        <f>IF(IF($E$2="ALL",1,IF($Z24=$E$2,1,0)), IFERROR(1*INDEX(CAGR!$K:$K, MATCH($A24&amp;"|"&amp;$B$2, CAGR!$Q:$Q, 0)), NA()), NA())</f>
        <v/>
      </c>
      <c r="S24" s="7">
        <f>IF(IF($E$2="ALL",1,IF($Z24=$E$2,1,0)), 1.0, NA())</f>
        <v/>
      </c>
      <c r="T24" t="inlineStr">
        <is>
          <t>NA()</t>
        </is>
      </c>
      <c r="V24" s="5">
        <f>IF(IF($E$2="ALL",1,IF($Z24=$E$2,1,0)), IFERROR(1*INDEX(CAGR!$N:$N, MATCH($A24&amp;"|"&amp;$B$2, CAGR!$Q:$Q, 0)), NA()), NA())</f>
        <v/>
      </c>
      <c r="X24" s="5">
        <f>IF(IF($E$2="ALL",1,IF($Z24=$E$2,1,0)), IF(AND(ISNUMBER(Q24),ISNUMBER(V24)),Q24+V24,NA()), NA())</f>
        <v/>
      </c>
      <c r="Z24" t="inlineStr">
        <is>
          <t>Europe</t>
        </is>
      </c>
      <c r="AA24">
        <f>IF(IF($E$2="ALL",1,IF($Z24=$E$2,1,0)), "PLN", "")</f>
        <v/>
      </c>
      <c r="AC24">
        <f>IF(IF($E$2="ALL",1,IF($Z24=$E$2,1,0)), IFERROR(INDEX(Lists!$J$2:$J$42, MATCH($B24, Lists!$I$2:$I$42, 0)),""), "")</f>
        <v/>
      </c>
      <c r="AD24">
        <f>IF(IF($E$2="ALL",1,IF($Z24=$E$2,1,0)), IFERROR(INDEX(Lists!$K$2:$K$42, MATCH($B24, Lists!$I$2:$I$42, 0)),""), 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IF(IF($E$2="ALL",1,IF($Z25=$E$2,1,0)), IFERROR(1*INDEX(CAGR!$I:$I, MATCH($A25&amp;"|"&amp;$B$2, CAGR!$Q:$Q, 0)), NA()), NA())</f>
        <v/>
      </c>
      <c r="D25" s="5">
        <f>IF(IF($E$2="ALL",1,IF($Z25=$E$2,1,0)), IFERROR(1*INDEX(CAGR!$F:$F, MATCH($A25&amp;"|"&amp;$B25&amp;"|"&amp;$B$2, CAGR!$P:$P, 0)), NA()), NA())</f>
        <v/>
      </c>
      <c r="E25" s="6">
        <f>IF(IF($E$2="ALL",1,IF($Z25=$E$2,1,0)), IFERROR(INDEX(MSCI!$B:$E, MATCH("Saudi Arabia", MSCI!$A:$A, 0), MATCH($B$2, MSCI!$B$1:$E$1, 0)), NA()), NA())</f>
        <v/>
      </c>
      <c r="F25" s="5">
        <f>IF(IF($E$2="ALL",1,IF($Z25=$E$2,1,0)), IF(AND(ISNUMBER(C25),ISNUMBER(D25)),C25-D25,NA()), NA())</f>
        <v/>
      </c>
      <c r="G25" s="5">
        <f>IF(IF($E$2="ALL",1,IF($Z25=$E$2,1,0)), IFERROR((( (1+INDEX(Annual!$H:$H, MATCH($A25&amp;"|2026", Annual!$K:$K, 0))/100)*(1+INDEX(Annual!$H:$H, MATCH($A25&amp;"|2027", Annual!$K:$K, 0))/100)*(1+INDEX(Annual!$H:$H, MATCH($A25&amp;"|2028", Annual!$K:$K, 0))/100) )^(1/3)-1)*100, NA()), NA())</f>
        <v/>
      </c>
      <c r="H25" s="5">
        <f>IF(IF($E$2="ALL",1,IF($Z25=$E$2,1,0)), IFERROR(INDEX(Crude_Oil_Impact!$H:$H, MATCH($A25, Crude_Oil_Impact!$A:$A, 0)), NA()), NA())</f>
        <v/>
      </c>
      <c r="I25" s="5">
        <f>IF(IF($E$2="ALL",1,IF($Z25=$E$2,1,0)), IFERROR(INDEX(REER_Data!$C:$C, MATCH($A25, REER_Data!$A:$A, 0)), NA()), NA())</f>
        <v/>
      </c>
      <c r="J25" s="5">
        <f>IF(IF($E$2="ALL",1,IF($Z25=$E$2,1,0)), IFERROR(INDEX(REER_Data!$E:$E, MATCH($A25, REER_Data!$A:$A, 0)) / 100, NA()), NA())</f>
        <v/>
      </c>
      <c r="K25" t="inlineStr">
        <is>
          <t>NA()</t>
        </is>
      </c>
      <c r="M25">
        <f>IF(IF($E$2="ALL",1,IF($Z25=$E$2,1,0)), 1268535000000.0, NA())</f>
        <v/>
      </c>
      <c r="N25" s="5">
        <f>IF(IF($E$2="ALL",1,IF($Z25=$E$2,1,0)), IFERROR(1*INDEX(CAGR!$H:$H, MATCH($A25&amp;"|"&amp;$B$2, CAGR!$Q:$Q, 0)), NA()), NA())</f>
        <v/>
      </c>
      <c r="O25" s="5">
        <f>IF(IF($E$2="ALL",1,IF($Z25=$E$2,1,0)), IFERROR(1*INDEX(CAGR!$G:$G, MATCH($A25&amp;"|"&amp;$B$2, CAGR!$Q:$Q, 0)), NA()), NA())</f>
        <v/>
      </c>
      <c r="Q25" s="5">
        <f>IF(IF($E$2="ALL",1,IF($Z25=$E$2,1,0)), IFERROR(1*INDEX(CAGR!$J:$J, MATCH($A25&amp;"|"&amp;$B$2, CAGR!$Q:$Q, 0)), NA()), NA())</f>
        <v/>
      </c>
      <c r="R25" s="5">
        <f>IF(IF($E$2="ALL",1,IF($Z25=$E$2,1,0)), IFERROR(1*INDEX(CAGR!$K:$K, MATCH($A25&amp;"|"&amp;$B$2, CAGR!$Q:$Q, 0)), NA()), NA())</f>
        <v/>
      </c>
      <c r="S25" s="7">
        <f>IF(IF($E$2="ALL",1,IF($Z25=$E$2,1,0)), 1.0, NA())</f>
        <v/>
      </c>
      <c r="T25" t="inlineStr">
        <is>
          <t>NA()</t>
        </is>
      </c>
      <c r="V25" s="5">
        <f>IF(IF($E$2="ALL",1,IF($Z25=$E$2,1,0)), IFERROR(1*INDEX(CAGR!$N:$N, MATCH($A25&amp;"|"&amp;$B$2, CAGR!$Q:$Q, 0)), NA()), NA())</f>
        <v/>
      </c>
      <c r="X25" s="5">
        <f>IF(IF($E$2="ALL",1,IF($Z25=$E$2,1,0)), IF(AND(ISNUMBER(Q25),ISNUMBER(V25)),Q25+V25,NA()), NA())</f>
        <v/>
      </c>
      <c r="Z25" t="inlineStr">
        <is>
          <t>Middle East</t>
        </is>
      </c>
      <c r="AA25">
        <f>IF(IF($E$2="ALL",1,IF($Z25=$E$2,1,0)), "SAR", "")</f>
        <v/>
      </c>
      <c r="AC25">
        <f>IF(IF($E$2="ALL",1,IF($Z25=$E$2,1,0)), IFERROR(INDEX(Lists!$J$2:$J$42, MATCH($B25, Lists!$I$2:$I$42, 0)),""), "")</f>
        <v/>
      </c>
      <c r="AD25">
        <f>IF(IF($E$2="ALL",1,IF($Z25=$E$2,1,0)), IFERROR(INDEX(Lists!$K$2:$K$42, MATCH($B25, Lists!$I$2:$I$42, 0)),""), 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IF(IF($E$2="ALL",1,IF($Z26=$E$2,1,0)), IFERROR(1*INDEX(CAGR!$I:$I, MATCH($A26&amp;"|"&amp;$B$2, CAGR!$Q:$Q, 0)), NA()), NA())</f>
        <v/>
      </c>
      <c r="D26" s="5">
        <f>IF(IF($E$2="ALL",1,IF($Z26=$E$2,1,0)), IFERROR(1*INDEX(CAGR!$F:$F, MATCH($A26&amp;"|"&amp;$B26&amp;"|"&amp;$B$2, CAGR!$P:$P, 0)), NA()), NA())</f>
        <v/>
      </c>
      <c r="E26" s="6">
        <f>IF(IF($E$2="ALL",1,IF($Z26=$E$2,1,0)), IFERROR(INDEX(MSCI!$B:$E, MATCH("Singapore", MSCI!$A:$A, 0), MATCH($B$2, MSCI!$B$1:$E$1, 0)), NA()), NA())</f>
        <v/>
      </c>
      <c r="F26" s="5">
        <f>IF(IF($E$2="ALL",1,IF($Z26=$E$2,1,0)), IF(AND(ISNUMBER(C26),ISNUMBER(D26)),C26-D26,NA()), NA())</f>
        <v/>
      </c>
      <c r="G26" s="5">
        <f>IF(IF($E$2="ALL",1,IF($Z26=$E$2,1,0)), IFERROR((( (1+INDEX(Annual!$H:$H, MATCH($A26&amp;"|2026", Annual!$K:$K, 0))/100)*(1+INDEX(Annual!$H:$H, MATCH($A26&amp;"|2027", Annual!$K:$K, 0))/100)*(1+INDEX(Annual!$H:$H, MATCH($A26&amp;"|2028", Annual!$K:$K, 0))/100) )^(1/3)-1)*100, NA()), NA())</f>
        <v/>
      </c>
      <c r="H26" s="5">
        <f>IF(IF($E$2="ALL",1,IF($Z26=$E$2,1,0)), IFERROR(INDEX(Crude_Oil_Impact!$H:$H, MATCH($A26, Crude_Oil_Impact!$A:$A, 0)), NA()), NA())</f>
        <v/>
      </c>
      <c r="I26" s="5">
        <f>IF(IF($E$2="ALL",1,IF($Z26=$E$2,1,0)), IFERROR(INDEX(REER_Data!$C:$C, MATCH($A26, REER_Data!$A:$A, 0)), NA()), NA())</f>
        <v/>
      </c>
      <c r="J26" s="5">
        <f>IF(IF($E$2="ALL",1,IF($Z26=$E$2,1,0)), IFERROR(INDEX(REER_Data!$E:$E, MATCH($A26, REER_Data!$A:$A, 0)) / 100, NA()), NA())</f>
        <v/>
      </c>
      <c r="K26" t="inlineStr">
        <is>
          <t>NA()</t>
        </is>
      </c>
      <c r="M26">
        <f>IF(IF($E$2="ALL",1,IF($Z26=$E$2,1,0)), 574185000000.0, NA())</f>
        <v/>
      </c>
      <c r="N26" s="5">
        <f>IF(IF($E$2="ALL",1,IF($Z26=$E$2,1,0)), IFERROR(1*INDEX(CAGR!$H:$H, MATCH($A26&amp;"|"&amp;$B$2, CAGR!$Q:$Q, 0)), NA()), NA())</f>
        <v/>
      </c>
      <c r="O26" s="5">
        <f>IF(IF($E$2="ALL",1,IF($Z26=$E$2,1,0)), IFERROR(1*INDEX(CAGR!$G:$G, MATCH($A26&amp;"|"&amp;$B$2, CAGR!$Q:$Q, 0)), NA()), NA())</f>
        <v/>
      </c>
      <c r="Q26" s="5">
        <f>IF(IF($E$2="ALL",1,IF($Z26=$E$2,1,0)), IFERROR(1*INDEX(CAGR!$J:$J, MATCH($A26&amp;"|"&amp;$B$2, CAGR!$Q:$Q, 0)), NA()), NA())</f>
        <v/>
      </c>
      <c r="R26" s="5">
        <f>IF(IF($E$2="ALL",1,IF($Z26=$E$2,1,0)), IFERROR(1*INDEX(CAGR!$K:$K, MATCH($A26&amp;"|"&amp;$B$2, CAGR!$Q:$Q, 0)), NA()), NA())</f>
        <v/>
      </c>
      <c r="S26" s="7">
        <f>IF(IF($E$2="ALL",1,IF($Z26=$E$2,1,0)), 1.0, NA())</f>
        <v/>
      </c>
      <c r="T26" t="inlineStr">
        <is>
          <t>NA()</t>
        </is>
      </c>
      <c r="V26" s="5">
        <f>IF(IF($E$2="ALL",1,IF($Z26=$E$2,1,0)), IFERROR(1*INDEX(CAGR!$N:$N, MATCH($A26&amp;"|"&amp;$B$2, CAGR!$Q:$Q, 0)), NA()), NA())</f>
        <v/>
      </c>
      <c r="X26" s="5">
        <f>IF(IF($E$2="ALL",1,IF($Z26=$E$2,1,0)), IF(AND(ISNUMBER(Q26),ISNUMBER(V26)),Q26+V26,NA()), NA())</f>
        <v/>
      </c>
      <c r="Z26" t="inlineStr">
        <is>
          <t>Asia</t>
        </is>
      </c>
      <c r="AA26">
        <f>IF(IF($E$2="ALL",1,IF($Z26=$E$2,1,0)), "SGD", "")</f>
        <v/>
      </c>
      <c r="AC26">
        <f>IF(IF($E$2="ALL",1,IF($Z26=$E$2,1,0)), IFERROR(INDEX(Lists!$J$2:$J$42, MATCH($B26, Lists!$I$2:$I$42, 0)),""), "")</f>
        <v/>
      </c>
      <c r="AD26">
        <f>IF(IF($E$2="ALL",1,IF($Z26=$E$2,1,0)), IFERROR(INDEX(Lists!$K$2:$K$42, MATCH($B26, Lists!$I$2:$I$42, 0)),""), 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IF(IF($E$2="ALL",1,IF($Z27=$E$2,1,0)), IFERROR(1*INDEX(CAGR!$I:$I, MATCH($A27&amp;"|"&amp;$B$2, CAGR!$Q:$Q, 0)), NA()), NA())</f>
        <v/>
      </c>
      <c r="D27" s="5">
        <f>IF(IF($E$2="ALL",1,IF($Z27=$E$2,1,0)), IFERROR(1*INDEX(CAGR!$F:$F, MATCH($A27&amp;"|"&amp;$B27&amp;"|"&amp;$B$2, CAGR!$P:$P, 0)), NA()), NA())</f>
        <v/>
      </c>
      <c r="E27" s="6">
        <f>IF(IF($E$2="ALL",1,IF($Z27=$E$2,1,0)), IFERROR(INDEX(MSCI!$B:$E, MATCH("South Africa", MSCI!$A:$A, 0), MATCH($B$2, MSCI!$B$1:$E$1, 0)), NA()), NA())</f>
        <v/>
      </c>
      <c r="F27" s="5">
        <f>IF(IF($E$2="ALL",1,IF($Z27=$E$2,1,0)), IF(AND(ISNUMBER(C27),ISNUMBER(D27)),C27-D27,NA()), NA())</f>
        <v/>
      </c>
      <c r="G27" s="5">
        <f>IF(IF($E$2="ALL",1,IF($Z27=$E$2,1,0)), IFERROR((( (1+INDEX(Annual!$H:$H, MATCH($A27&amp;"|2026", Annual!$K:$K, 0))/100)*(1+INDEX(Annual!$H:$H, MATCH($A27&amp;"|2027", Annual!$K:$K, 0))/100)*(1+INDEX(Annual!$H:$H, MATCH($A27&amp;"|2028", Annual!$K:$K, 0))/100) )^(1/3)-1)*100, NA()), NA())</f>
        <v/>
      </c>
      <c r="H27" s="5">
        <f>IF(IF($E$2="ALL",1,IF($Z27=$E$2,1,0)), IFERROR(INDEX(Crude_Oil_Impact!$H:$H, MATCH($A27, Crude_Oil_Impact!$A:$A, 0)), NA()), NA())</f>
        <v/>
      </c>
      <c r="I27" s="5">
        <f>IF(IF($E$2="ALL",1,IF($Z27=$E$2,1,0)), IFERROR(INDEX(REER_Data!$C:$C, MATCH($A27, REER_Data!$A:$A, 0)), NA()), NA())</f>
        <v/>
      </c>
      <c r="J27" s="5">
        <f>IF(IF($E$2="ALL",1,IF($Z27=$E$2,1,0)), IFERROR(INDEX(REER_Data!$E:$E, MATCH($A27, REER_Data!$A:$A, 0)) / 100, NA()), NA())</f>
        <v/>
      </c>
      <c r="K27" t="inlineStr">
        <is>
          <t>NA()</t>
        </is>
      </c>
      <c r="M27">
        <f>IF(IF($E$2="ALL",1,IF($Z27=$E$2,1,0)), 426383000000.0, NA())</f>
        <v/>
      </c>
      <c r="N27" s="5">
        <f>IF(IF($E$2="ALL",1,IF($Z27=$E$2,1,0)), IFERROR(1*INDEX(CAGR!$H:$H, MATCH($A27&amp;"|"&amp;$B$2, CAGR!$Q:$Q, 0)), NA()), NA())</f>
        <v/>
      </c>
      <c r="O27" s="5">
        <f>IF(IF($E$2="ALL",1,IF($Z27=$E$2,1,0)), IFERROR(1*INDEX(CAGR!$G:$G, MATCH($A27&amp;"|"&amp;$B$2, CAGR!$Q:$Q, 0)), NA()), NA())</f>
        <v/>
      </c>
      <c r="Q27" s="5">
        <f>IF(IF($E$2="ALL",1,IF($Z27=$E$2,1,0)), IFERROR(1*INDEX(CAGR!$J:$J, MATCH($A27&amp;"|"&amp;$B$2, CAGR!$Q:$Q, 0)), NA()), NA())</f>
        <v/>
      </c>
      <c r="R27" s="5">
        <f>IF(IF($E$2="ALL",1,IF($Z27=$E$2,1,0)), IFERROR(1*INDEX(CAGR!$K:$K, MATCH($A27&amp;"|"&amp;$B$2, CAGR!$Q:$Q, 0)), NA()), NA())</f>
        <v/>
      </c>
      <c r="S27" s="7">
        <f>IF(IF($E$2="ALL",1,IF($Z27=$E$2,1,0)), 1.0, NA())</f>
        <v/>
      </c>
      <c r="T27" t="inlineStr">
        <is>
          <t>NA()</t>
        </is>
      </c>
      <c r="V27" s="5">
        <f>IF(IF($E$2="ALL",1,IF($Z27=$E$2,1,0)), IFERROR(1*INDEX(CAGR!$N:$N, MATCH($A27&amp;"|"&amp;$B$2, CAGR!$Q:$Q, 0)), NA()), NA())</f>
        <v/>
      </c>
      <c r="X27" s="5">
        <f>IF(IF($E$2="ALL",1,IF($Z27=$E$2,1,0)), IF(AND(ISNUMBER(Q27),ISNUMBER(V27)),Q27+V27,NA()), NA())</f>
        <v/>
      </c>
      <c r="Z27" t="inlineStr">
        <is>
          <t>Africa</t>
        </is>
      </c>
      <c r="AA27">
        <f>IF(IF($E$2="ALL",1,IF($Z27=$E$2,1,0)), "ZAR", "")</f>
        <v/>
      </c>
      <c r="AC27">
        <f>IF(IF($E$2="ALL",1,IF($Z27=$E$2,1,0)), IFERROR(INDEX(Lists!$J$2:$J$42, MATCH($B27, Lists!$I$2:$I$42, 0)),""), "")</f>
        <v/>
      </c>
      <c r="AD27">
        <f>IF(IF($E$2="ALL",1,IF($Z27=$E$2,1,0)), IFERROR(INDEX(Lists!$K$2:$K$42, MATCH($B27, Lists!$I$2:$I$42, 0)),""), 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IF(IF($E$2="ALL",1,IF($Z28=$E$2,1,0)), IFERROR(1*INDEX(CAGR!$I:$I, MATCH($A28&amp;"|"&amp;$B$2, CAGR!$Q:$Q, 0)), NA()), NA())</f>
        <v/>
      </c>
      <c r="D28" s="5">
        <f>IF(IF($E$2="ALL",1,IF($Z28=$E$2,1,0)), IFERROR(1*INDEX(CAGR!$F:$F, MATCH($A28&amp;"|"&amp;$B28&amp;"|"&amp;$B$2, CAGR!$P:$P, 0)), NA()), NA())</f>
        <v/>
      </c>
      <c r="E28" s="6">
        <f>IF(IF($E$2="ALL",1,IF($Z28=$E$2,1,0)), IFERROR(INDEX(MSCI!$B:$E, MATCH("South Korea", MSCI!$A:$A, 0), MATCH($B$2, MSCI!$B$1:$E$1, 0)), NA()), NA())</f>
        <v/>
      </c>
      <c r="F28" s="5">
        <f>IF(IF($E$2="ALL",1,IF($Z28=$E$2,1,0)), IF(AND(ISNUMBER(C28),ISNUMBER(D28)),C28-D28,NA()), NA())</f>
        <v/>
      </c>
      <c r="G28" s="5">
        <f>IF(IF($E$2="ALL",1,IF($Z28=$E$2,1,0)), IFERROR((( (1+INDEX(Annual!$H:$H, MATCH($A28&amp;"|2026", Annual!$K:$K, 0))/100)*(1+INDEX(Annual!$H:$H, MATCH($A28&amp;"|2027", Annual!$K:$K, 0))/100)*(1+INDEX(Annual!$H:$H, MATCH($A28&amp;"|2028", Annual!$K:$K, 0))/100) )^(1/3)-1)*100, NA()), NA())</f>
        <v/>
      </c>
      <c r="H28" s="5">
        <f>IF(IF($E$2="ALL",1,IF($Z28=$E$2,1,0)), IFERROR(INDEX(Crude_Oil_Impact!$H:$H, MATCH($A28, Crude_Oil_Impact!$A:$A, 0)), NA()), NA())</f>
        <v/>
      </c>
      <c r="I28" s="5">
        <f>IF(IF($E$2="ALL",1,IF($Z28=$E$2,1,0)), IFERROR(INDEX(REER_Data!$C:$C, MATCH($A28, REER_Data!$A:$A, 0)), NA()), NA())</f>
        <v/>
      </c>
      <c r="J28" s="5">
        <f>IF(IF($E$2="ALL",1,IF($Z28=$E$2,1,0)), IFERROR(INDEX(REER_Data!$E:$E, MATCH($A28, REER_Data!$A:$A, 0)) / 100, NA()), NA())</f>
        <v/>
      </c>
      <c r="K28" t="inlineStr">
        <is>
          <t>NA()</t>
        </is>
      </c>
      <c r="M28">
        <f>IF(IF($E$2="ALL",1,IF($Z28=$E$2,1,0)), 1858572000000.0, NA())</f>
        <v/>
      </c>
      <c r="N28" s="5">
        <f>IF(IF($E$2="ALL",1,IF($Z28=$E$2,1,0)), IFERROR(1*INDEX(CAGR!$H:$H, MATCH($A28&amp;"|"&amp;$B$2, CAGR!$Q:$Q, 0)), NA()), NA())</f>
        <v/>
      </c>
      <c r="O28" s="5">
        <f>IF(IF($E$2="ALL",1,IF($Z28=$E$2,1,0)), IFERROR(1*INDEX(CAGR!$G:$G, MATCH($A28&amp;"|"&amp;$B$2, CAGR!$Q:$Q, 0)), NA()), NA())</f>
        <v/>
      </c>
      <c r="Q28" s="5">
        <f>IF(IF($E$2="ALL",1,IF($Z28=$E$2,1,0)), IFERROR(1*INDEX(CAGR!$J:$J, MATCH($A28&amp;"|"&amp;$B$2, CAGR!$Q:$Q, 0)), NA()), NA())</f>
        <v/>
      </c>
      <c r="R28" s="5">
        <f>IF(IF($E$2="ALL",1,IF($Z28=$E$2,1,0)), IFERROR(1*INDEX(CAGR!$K:$K, MATCH($A28&amp;"|"&amp;$B$2, CAGR!$Q:$Q, 0)), NA()), NA())</f>
        <v/>
      </c>
      <c r="S28" s="7">
        <f>IF(IF($E$2="ALL",1,IF($Z28=$E$2,1,0)), 1.0, NA())</f>
        <v/>
      </c>
      <c r="T28" t="inlineStr">
        <is>
          <t>NA()</t>
        </is>
      </c>
      <c r="V28" s="5">
        <f>IF(IF($E$2="ALL",1,IF($Z28=$E$2,1,0)), IFERROR(1*INDEX(CAGR!$N:$N, MATCH($A28&amp;"|"&amp;$B$2, CAGR!$Q:$Q, 0)), NA()), NA())</f>
        <v/>
      </c>
      <c r="X28" s="5">
        <f>IF(IF($E$2="ALL",1,IF($Z28=$E$2,1,0)), IF(AND(ISNUMBER(Q28),ISNUMBER(V28)),Q28+V28,NA()), NA())</f>
        <v/>
      </c>
      <c r="Z28" t="inlineStr">
        <is>
          <t>Asia</t>
        </is>
      </c>
      <c r="AA28">
        <f>IF(IF($E$2="ALL",1,IF($Z28=$E$2,1,0)), "KRW", "")</f>
        <v/>
      </c>
      <c r="AC28">
        <f>IF(IF($E$2="ALL",1,IF($Z28=$E$2,1,0)), IFERROR(INDEX(Lists!$J$2:$J$42, MATCH($B28, Lists!$I$2:$I$42, 0)),""), "")</f>
        <v/>
      </c>
      <c r="AD28">
        <f>IF(IF($E$2="ALL",1,IF($Z28=$E$2,1,0)), IFERROR(INDEX(Lists!$K$2:$K$42, MATCH($B28, Lists!$I$2:$I$42, 0)),""), 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IF(IF($E$2="ALL",1,IF($Z29=$E$2,1,0)), IFERROR(1*INDEX(CAGR!$I:$I, MATCH($A29&amp;"|"&amp;$B$2, CAGR!$Q:$Q, 0)), NA()), NA())</f>
        <v/>
      </c>
      <c r="D29" s="5">
        <f>IF(IF($E$2="ALL",1,IF($Z29=$E$2,1,0)), IFERROR(1*INDEX(CAGR!$F:$F, MATCH($A29&amp;"|"&amp;$B29&amp;"|"&amp;$B$2, CAGR!$P:$P, 0)), NA()), NA())</f>
        <v/>
      </c>
      <c r="E29" s="6">
        <f>IF(IF($E$2="ALL",1,IF($Z29=$E$2,1,0)), IFERROR(INDEX(MSCI!$B:$E, MATCH("Spain", MSCI!$A:$A, 0), MATCH($B$2, MSCI!$B$1:$E$1, 0)), NA()), NA())</f>
        <v/>
      </c>
      <c r="F29" s="5">
        <f>IF(IF($E$2="ALL",1,IF($Z29=$E$2,1,0)), IF(AND(ISNUMBER(C29),ISNUMBER(D29)),C29-D29,NA()), NA())</f>
        <v/>
      </c>
      <c r="G29" s="5">
        <f>IF(IF($E$2="ALL",1,IF($Z29=$E$2,1,0)), IFERROR((( (1+INDEX(Annual!$H:$H, MATCH($A29&amp;"|2026", Annual!$K:$K, 0))/100)*(1+INDEX(Annual!$H:$H, MATCH($A29&amp;"|2027", Annual!$K:$K, 0))/100)*(1+INDEX(Annual!$H:$H, MATCH($A29&amp;"|2028", Annual!$K:$K, 0))/100) )^(1/3)-1)*100, NA()), NA())</f>
        <v/>
      </c>
      <c r="H29" s="8">
        <f>IF(IF($E$2="ALL",1,IF($Z29=$E$2,1,0)), IFERROR(INDEX(Crude_Oil_Impact!$H:$H, MATCH($A29, Crude_Oil_Impact!$A:$A, 0)), NA()), NA())</f>
        <v/>
      </c>
      <c r="I29" s="5">
        <f>IF(IF($E$2="ALL",1,IF($Z29=$E$2,1,0)), IFERROR(INDEX(REER_Data!$C:$C, MATCH($A29, REER_Data!$A:$A, 0)), NA()), NA())</f>
        <v/>
      </c>
      <c r="J29" s="5">
        <f>IF(IF($E$2="ALL",1,IF($Z29=$E$2,1,0)), IFERROR(INDEX(REER_Data!$E:$E, MATCH($A29, REER_Data!$A:$A, 0)) / 100, NA()), NA())</f>
        <v/>
      </c>
      <c r="K29" t="inlineStr">
        <is>
          <t>NA()</t>
        </is>
      </c>
      <c r="M29">
        <f>IF(IF($E$2="ALL",1,IF($Z29=$E$2,1,0)), 1891371000000.0, NA())</f>
        <v/>
      </c>
      <c r="N29" s="5">
        <f>IF(IF($E$2="ALL",1,IF($Z29=$E$2,1,0)), IFERROR(1*INDEX(CAGR!$H:$H, MATCH($A29&amp;"|"&amp;$B$2, CAGR!$Q:$Q, 0)), NA()), NA())</f>
        <v/>
      </c>
      <c r="O29" s="5">
        <f>IF(IF($E$2="ALL",1,IF($Z29=$E$2,1,0)), IFERROR(1*INDEX(CAGR!$G:$G, MATCH($A29&amp;"|"&amp;$B$2, CAGR!$Q:$Q, 0)), NA()), NA())</f>
        <v/>
      </c>
      <c r="Q29" s="5">
        <f>IF(IF($E$2="ALL",1,IF($Z29=$E$2,1,0)), IFERROR(1*INDEX(CAGR!$J:$J, MATCH($A29&amp;"|"&amp;$B$2, CAGR!$Q:$Q, 0)), NA()), NA())</f>
        <v/>
      </c>
      <c r="R29" s="5">
        <f>IF(IF($E$2="ALL",1,IF($Z29=$E$2,1,0)), IFERROR(1*INDEX(CAGR!$K:$K, MATCH($A29&amp;"|"&amp;$B$2, CAGR!$Q:$Q, 0)), NA()), NA())</f>
        <v/>
      </c>
      <c r="S29" s="7">
        <f>IF(IF($E$2="ALL",1,IF($Z29=$E$2,1,0)), 0.8725000390037911, NA())</f>
        <v/>
      </c>
      <c r="T29" t="inlineStr">
        <is>
          <t>NA()</t>
        </is>
      </c>
      <c r="V29" s="5">
        <f>IF(IF($E$2="ALL",1,IF($Z29=$E$2,1,0)), IFERROR(1*INDEX(CAGR!$N:$N, MATCH($A29&amp;"|"&amp;$B$2, CAGR!$Q:$Q, 0)), NA()), NA())</f>
        <v/>
      </c>
      <c r="X29" s="5">
        <f>IF(IF($E$2="ALL",1,IF($Z29=$E$2,1,0)), IF(AND(ISNUMBER(Q29),ISNUMBER(V29)),Q29+V29,NA()), NA())</f>
        <v/>
      </c>
      <c r="Z29" t="inlineStr">
        <is>
          <t>Europe</t>
        </is>
      </c>
      <c r="AA29">
        <f>IF(IF($E$2="ALL",1,IF($Z29=$E$2,1,0)), "EUR", "")</f>
        <v/>
      </c>
      <c r="AC29">
        <f>IF(IF($E$2="ALL",1,IF($Z29=$E$2,1,0)), IFERROR(INDEX(Lists!$J$2:$J$42, MATCH($B29, Lists!$I$2:$I$42, 0)),""), "")</f>
        <v/>
      </c>
      <c r="AD29">
        <f>IF(IF($E$2="ALL",1,IF($Z29=$E$2,1,0)), IFERROR(INDEX(Lists!$K$2:$K$42, MATCH($B29, Lists!$I$2:$I$42, 0)),""), 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IF(IF($E$2="ALL",1,IF($Z30=$E$2,1,0)), IFERROR(1*INDEX(CAGR!$I:$I, MATCH($A30&amp;"|"&amp;$B$2, CAGR!$Q:$Q, 0)), NA()), NA())</f>
        <v/>
      </c>
      <c r="D30" s="5">
        <f>IF(IF($E$2="ALL",1,IF($Z30=$E$2,1,0)), IFERROR(1*INDEX(CAGR!$F:$F, MATCH($A30&amp;"|"&amp;$B30&amp;"|"&amp;$B$2, CAGR!$P:$P, 0)), NA()), NA())</f>
        <v/>
      </c>
      <c r="E30" s="6">
        <f>IF(IF($E$2="ALL",1,IF($Z30=$E$2,1,0)), IFERROR(INDEX(MSCI!$B:$E, MATCH("Sweden", MSCI!$A:$A, 0), MATCH($B$2, MSCI!$B$1:$E$1, 0)), NA()), NA())</f>
        <v/>
      </c>
      <c r="F30" s="5">
        <f>IF(IF($E$2="ALL",1,IF($Z30=$E$2,1,0)), IF(AND(ISNUMBER(C30),ISNUMBER(D30)),C30-D30,NA()), NA())</f>
        <v/>
      </c>
      <c r="G30" s="5">
        <f>IF(IF($E$2="ALL",1,IF($Z30=$E$2,1,0)), IFERROR((( (1+INDEX(Annual!$H:$H, MATCH($A30&amp;"|2026", Annual!$K:$K, 0))/100)*(1+INDEX(Annual!$H:$H, MATCH($A30&amp;"|2027", Annual!$K:$K, 0))/100)*(1+INDEX(Annual!$H:$H, MATCH($A30&amp;"|2028", Annual!$K:$K, 0))/100) )^(1/3)-1)*100, NA()), NA())</f>
        <v/>
      </c>
      <c r="H30" s="5">
        <f>IF(IF($E$2="ALL",1,IF($Z30=$E$2,1,0)), IFERROR(INDEX(Crude_Oil_Impact!$H:$H, MATCH($A30, Crude_Oil_Impact!$A:$A, 0)), NA()), NA())</f>
        <v/>
      </c>
      <c r="I30" s="5">
        <f>IF(IF($E$2="ALL",1,IF($Z30=$E$2,1,0)), IFERROR(INDEX(REER_Data!$C:$C, MATCH($A30, REER_Data!$A:$A, 0)), NA()), NA())</f>
        <v/>
      </c>
      <c r="J30" s="5">
        <f>IF(IF($E$2="ALL",1,IF($Z30=$E$2,1,0)), IFERROR(INDEX(REER_Data!$E:$E, MATCH($A30, REER_Data!$A:$A, 0)) / 100, NA()), NA())</f>
        <v/>
      </c>
      <c r="K30" t="inlineStr">
        <is>
          <t>NA()</t>
        </is>
      </c>
      <c r="M30">
        <f>IF(IF($E$2="ALL",1,IF($Z30=$E$2,1,0)), 662318000000.0, NA())</f>
        <v/>
      </c>
      <c r="N30" s="5">
        <f>IF(IF($E$2="ALL",1,IF($Z30=$E$2,1,0)), IFERROR(1*INDEX(CAGR!$H:$H, MATCH($A30&amp;"|"&amp;$B$2, CAGR!$Q:$Q, 0)), NA()), NA())</f>
        <v/>
      </c>
      <c r="O30" s="5">
        <f>IF(IF($E$2="ALL",1,IF($Z30=$E$2,1,0)), IFERROR(1*INDEX(CAGR!$G:$G, MATCH($A30&amp;"|"&amp;$B$2, CAGR!$Q:$Q, 0)), NA()), NA())</f>
        <v/>
      </c>
      <c r="Q30" s="5">
        <f>IF(IF($E$2="ALL",1,IF($Z30=$E$2,1,0)), IFERROR(1*INDEX(CAGR!$J:$J, MATCH($A30&amp;"|"&amp;$B$2, CAGR!$Q:$Q, 0)), NA()), NA())</f>
        <v/>
      </c>
      <c r="R30" s="5">
        <f>IF(IF($E$2="ALL",1,IF($Z30=$E$2,1,0)), IFERROR(1*INDEX(CAGR!$K:$K, MATCH($A30&amp;"|"&amp;$B$2, CAGR!$Q:$Q, 0)), NA()), NA())</f>
        <v/>
      </c>
      <c r="S30" s="7">
        <f>IF(IF($E$2="ALL",1,IF($Z30=$E$2,1,0)), 1.0, NA())</f>
        <v/>
      </c>
      <c r="T30" t="inlineStr">
        <is>
          <t>NA()</t>
        </is>
      </c>
      <c r="V30" s="5">
        <f>IF(IF($E$2="ALL",1,IF($Z30=$E$2,1,0)), IFERROR(1*INDEX(CAGR!$N:$N, MATCH($A30&amp;"|"&amp;$B$2, CAGR!$Q:$Q, 0)), NA()), NA())</f>
        <v/>
      </c>
      <c r="X30" s="5">
        <f>IF(IF($E$2="ALL",1,IF($Z30=$E$2,1,0)), IF(AND(ISNUMBER(Q30),ISNUMBER(V30)),Q30+V30,NA()), NA())</f>
        <v/>
      </c>
      <c r="Z30" t="inlineStr">
        <is>
          <t>Europe</t>
        </is>
      </c>
      <c r="AA30">
        <f>IF(IF($E$2="ALL",1,IF($Z30=$E$2,1,0)), "SEK", "")</f>
        <v/>
      </c>
      <c r="AC30">
        <f>IF(IF($E$2="ALL",1,IF($Z30=$E$2,1,0)), IFERROR(INDEX(Lists!$J$2:$J$42, MATCH($B30, Lists!$I$2:$I$42, 0)),""), "")</f>
        <v/>
      </c>
      <c r="AD30">
        <f>IF(IF($E$2="ALL",1,IF($Z30=$E$2,1,0)), IFERROR(INDEX(Lists!$K$2:$K$42, MATCH($B30, Lists!$I$2:$I$42, 0)),""), 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IF(IF($E$2="ALL",1,IF($Z31=$E$2,1,0)), IFERROR(1*INDEX(CAGR!$I:$I, MATCH($A31&amp;"|"&amp;$B$2, CAGR!$Q:$Q, 0)), NA()), NA())</f>
        <v/>
      </c>
      <c r="D31" s="5">
        <f>IF(IF($E$2="ALL",1,IF($Z31=$E$2,1,0)), IFERROR(1*INDEX(CAGR!$F:$F, MATCH($A31&amp;"|"&amp;$B31&amp;"|"&amp;$B$2, CAGR!$P:$P, 0)), NA()), NA())</f>
        <v/>
      </c>
      <c r="E31" s="6">
        <f>IF(IF($E$2="ALL",1,IF($Z31=$E$2,1,0)), IFERROR(INDEX(MSCI!$B:$E, MATCH("Switzerland", MSCI!$A:$A, 0), MATCH($B$2, MSCI!$B$1:$E$1, 0)), NA()), NA())</f>
        <v/>
      </c>
      <c r="F31" s="5">
        <f>IF(IF($E$2="ALL",1,IF($Z31=$E$2,1,0)), IF(AND(ISNUMBER(C31),ISNUMBER(D31)),C31-D31,NA()), NA())</f>
        <v/>
      </c>
      <c r="G31" s="5">
        <f>IF(IF($E$2="ALL",1,IF($Z31=$E$2,1,0)), IFERROR((( (1+INDEX(Annual!$H:$H, MATCH($A31&amp;"|2026", Annual!$K:$K, 0))/100)*(1+INDEX(Annual!$H:$H, MATCH($A31&amp;"|2027", Annual!$K:$K, 0))/100)*(1+INDEX(Annual!$H:$H, MATCH($A31&amp;"|2028", Annual!$K:$K, 0))/100) )^(1/3)-1)*100, NA()), NA())</f>
        <v/>
      </c>
      <c r="H31" s="5">
        <f>IF(IF($E$2="ALL",1,IF($Z31=$E$2,1,0)), IFERROR(INDEX(Crude_Oil_Impact!$H:$H, MATCH($A31, Crude_Oil_Impact!$A:$A, 0)), NA()), NA())</f>
        <v/>
      </c>
      <c r="I31" s="5">
        <f>IF(IF($E$2="ALL",1,IF($Z31=$E$2,1,0)), IFERROR(INDEX(REER_Data!$C:$C, MATCH($A31, REER_Data!$A:$A, 0)), NA()), NA())</f>
        <v/>
      </c>
      <c r="J31" s="5">
        <f>IF(IF($E$2="ALL",1,IF($Z31=$E$2,1,0)), IFERROR(INDEX(REER_Data!$E:$E, MATCH($A31, REER_Data!$A:$A, 0)) / 100, NA()), NA())</f>
        <v/>
      </c>
      <c r="K31" t="inlineStr">
        <is>
          <t>NA()</t>
        </is>
      </c>
      <c r="M31">
        <f>IF(IF($E$2="ALL",1,IF($Z31=$E$2,1,0)), 1002666000000.0, NA())</f>
        <v/>
      </c>
      <c r="N31" s="5">
        <f>IF(IF($E$2="ALL",1,IF($Z31=$E$2,1,0)), IFERROR(1*INDEX(CAGR!$H:$H, MATCH($A31&amp;"|"&amp;$B$2, CAGR!$Q:$Q, 0)), NA()), NA())</f>
        <v/>
      </c>
      <c r="O31" s="5">
        <f>IF(IF($E$2="ALL",1,IF($Z31=$E$2,1,0)), IFERROR(1*INDEX(CAGR!$G:$G, MATCH($A31&amp;"|"&amp;$B$2, CAGR!$Q:$Q, 0)), NA()), NA())</f>
        <v/>
      </c>
      <c r="Q31" s="5">
        <f>IF(IF($E$2="ALL",1,IF($Z31=$E$2,1,0)), IFERROR(1*INDEX(CAGR!$J:$J, MATCH($A31&amp;"|"&amp;$B$2, CAGR!$Q:$Q, 0)), NA()), NA())</f>
        <v/>
      </c>
      <c r="R31" s="5">
        <f>IF(IF($E$2="ALL",1,IF($Z31=$E$2,1,0)), IFERROR(1*INDEX(CAGR!$K:$K, MATCH($A31&amp;"|"&amp;$B$2, CAGR!$Q:$Q, 0)), NA()), NA())</f>
        <v/>
      </c>
      <c r="S31" s="7">
        <f>IF(IF($E$2="ALL",1,IF($Z31=$E$2,1,0)), 0.8725000390037911, NA())</f>
        <v/>
      </c>
      <c r="T31" t="inlineStr">
        <is>
          <t>NA()</t>
        </is>
      </c>
      <c r="V31" s="5">
        <f>IF(IF($E$2="ALL",1,IF($Z31=$E$2,1,0)), IFERROR(1*INDEX(CAGR!$N:$N, MATCH($A31&amp;"|"&amp;$B$2, CAGR!$Q:$Q, 0)), NA()), NA())</f>
        <v/>
      </c>
      <c r="X31" s="5">
        <f>IF(IF($E$2="ALL",1,IF($Z31=$E$2,1,0)), IF(AND(ISNUMBER(Q31),ISNUMBER(V31)),Q31+V31,NA()), NA())</f>
        <v/>
      </c>
      <c r="Z31" t="inlineStr">
        <is>
          <t>Europe</t>
        </is>
      </c>
      <c r="AA31">
        <f>IF(IF($E$2="ALL",1,IF($Z31=$E$2,1,0)), "CHF", "")</f>
        <v/>
      </c>
      <c r="AC31">
        <f>IF(IF($E$2="ALL",1,IF($Z31=$E$2,1,0)), IFERROR(INDEX(Lists!$J$2:$J$42, MATCH($B31, Lists!$I$2:$I$42, 0)),""), "")</f>
        <v/>
      </c>
      <c r="AD31">
        <f>IF(IF($E$2="ALL",1,IF($Z31=$E$2,1,0)), IFERROR(INDEX(Lists!$K$2:$K$42, MATCH($B31, Lists!$I$2:$I$42, 0)),""), 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IF(IF($E$2="ALL",1,IF($Z32=$E$2,1,0)), IFERROR(1*INDEX(CAGR!$I:$I, MATCH($A32&amp;"|"&amp;$B$2, CAGR!$Q:$Q, 0)), NA()), NA())</f>
        <v/>
      </c>
      <c r="D32" s="5">
        <f>IF(IF($E$2="ALL",1,IF($Z32=$E$2,1,0)), IFERROR(1*INDEX(CAGR!$F:$F, MATCH($A32&amp;"|"&amp;$B32&amp;"|"&amp;$B$2, CAGR!$P:$P, 0)), NA()), NA())</f>
        <v/>
      </c>
      <c r="E32" s="6">
        <f>IF(IF($E$2="ALL",1,IF($Z32=$E$2,1,0)), IFERROR(INDEX(MSCI!$B:$E, MATCH("Taiwan", MSCI!$A:$A, 0), MATCH($B$2, MSCI!$B$1:$E$1, 0)), NA()), NA())</f>
        <v/>
      </c>
      <c r="F32" s="5">
        <f>IF(IF($E$2="ALL",1,IF($Z32=$E$2,1,0)), IF(AND(ISNUMBER(C32),ISNUMBER(D32)),C32-D32,NA()), NA())</f>
        <v/>
      </c>
      <c r="G32" s="5">
        <f>IF(IF($E$2="ALL",1,IF($Z32=$E$2,1,0)), IFERROR((( (1+INDEX(Annual!$H:$H, MATCH($A32&amp;"|2026", Annual!$K:$K, 0))/100)*(1+INDEX(Annual!$H:$H, MATCH($A32&amp;"|2027", Annual!$K:$K, 0))/100)*(1+INDEX(Annual!$H:$H, MATCH($A32&amp;"|2028", Annual!$K:$K, 0))/100) )^(1/3)-1)*100, NA()), NA())</f>
        <v/>
      </c>
      <c r="H32" s="5">
        <f>IF(IF($E$2="ALL",1,IF($Z32=$E$2,1,0)), IFERROR(INDEX(Crude_Oil_Impact!$H:$H, MATCH($A32, Crude_Oil_Impact!$A:$A, 0)), NA()), NA())</f>
        <v/>
      </c>
      <c r="I32" s="5">
        <f>IF(IF($E$2="ALL",1,IF($Z32=$E$2,1,0)), IFERROR(INDEX(REER_Data!$C:$C, MATCH($A32, REER_Data!$A:$A, 0)), NA()), NA())</f>
        <v/>
      </c>
      <c r="J32" s="5">
        <f>IF(IF($E$2="ALL",1,IF($Z32=$E$2,1,0)), IFERROR(INDEX(REER_Data!$E:$E, MATCH($A32, REER_Data!$A:$A, 0)) / 100, NA()), NA())</f>
        <v/>
      </c>
      <c r="K32" t="inlineStr">
        <is>
          <t>NA()</t>
        </is>
      </c>
      <c r="M32">
        <f>IF(IF($E$2="ALL",1,IF($Z32=$E$2,1,0)), 884387000000.0, NA())</f>
        <v/>
      </c>
      <c r="N32" s="5">
        <f>IF(IF($E$2="ALL",1,IF($Z32=$E$2,1,0)), IFERROR(1*INDEX(CAGR!$H:$H, MATCH($A32&amp;"|"&amp;$B$2, CAGR!$Q:$Q, 0)), NA()), NA())</f>
        <v/>
      </c>
      <c r="O32" s="5">
        <f>IF(IF($E$2="ALL",1,IF($Z32=$E$2,1,0)), IFERROR(1*INDEX(CAGR!$G:$G, MATCH($A32&amp;"|"&amp;$B$2, CAGR!$Q:$Q, 0)), NA()), NA())</f>
        <v/>
      </c>
      <c r="Q32" s="5">
        <f>IF(IF($E$2="ALL",1,IF($Z32=$E$2,1,0)), IFERROR(1*INDEX(CAGR!$J:$J, MATCH($A32&amp;"|"&amp;$B$2, CAGR!$Q:$Q, 0)), NA()), NA())</f>
        <v/>
      </c>
      <c r="R32" s="5">
        <f>IF(IF($E$2="ALL",1,IF($Z32=$E$2,1,0)), IFERROR(1*INDEX(CAGR!$K:$K, MATCH($A32&amp;"|"&amp;$B$2, CAGR!$Q:$Q, 0)), NA()), NA())</f>
        <v/>
      </c>
      <c r="S32" s="7" t="n"/>
      <c r="T32" t="inlineStr">
        <is>
          <t>NA()</t>
        </is>
      </c>
      <c r="V32" s="5">
        <f>IF(IF($E$2="ALL",1,IF($Z32=$E$2,1,0)), IFERROR(1*INDEX(CAGR!$N:$N, MATCH($A32&amp;"|"&amp;$B$2, CAGR!$Q:$Q, 0)), NA()), NA())</f>
        <v/>
      </c>
      <c r="X32" s="5">
        <f>IF(IF($E$2="ALL",1,IF($Z32=$E$2,1,0)), IF(AND(ISNUMBER(Q32),ISNUMBER(V32)),Q32+V32,NA()), NA())</f>
        <v/>
      </c>
      <c r="Z32" t="inlineStr">
        <is>
          <t>Asia</t>
        </is>
      </c>
      <c r="AA32">
        <f>IF(IF($E$2="ALL",1,IF($Z32=$E$2,1,0)), "TWD", "")</f>
        <v/>
      </c>
      <c r="AC32">
        <f>IF(IF($E$2="ALL",1,IF($Z32=$E$2,1,0)), IFERROR(INDEX(Lists!$J$2:$J$42, MATCH($B32, Lists!$I$2:$I$42, 0)),""), "")</f>
        <v/>
      </c>
      <c r="AD32">
        <f>IF(IF($E$2="ALL",1,IF($Z32=$E$2,1,0)), IFERROR(INDEX(Lists!$K$2:$K$42, MATCH($B32, Lists!$I$2:$I$42, 0)),""), 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IF(IF($E$2="ALL",1,IF($Z33=$E$2,1,0)), IFERROR(1*INDEX(CAGR!$I:$I, MATCH($A33&amp;"|"&amp;$B$2, CAGR!$Q:$Q, 0)), NA()), NA())</f>
        <v/>
      </c>
      <c r="D33" s="5">
        <f>IF(IF($E$2="ALL",1,IF($Z33=$E$2,1,0)), IFERROR(1*INDEX(CAGR!$F:$F, MATCH($A33&amp;"|"&amp;$B33&amp;"|"&amp;$B$2, CAGR!$P:$P, 0)), NA()), NA())</f>
        <v/>
      </c>
      <c r="E33" s="6">
        <f>IF(IF($E$2="ALL",1,IF($Z33=$E$2,1,0)), IFERROR(INDEX(MSCI!$B:$E, MATCH("Thailand", MSCI!$A:$A, 0), MATCH($B$2, MSCI!$B$1:$E$1, 0)), NA()), NA())</f>
        <v/>
      </c>
      <c r="F33" s="5">
        <f>IF(IF($E$2="ALL",1,IF($Z33=$E$2,1,0)), IF(AND(ISNUMBER(C33),ISNUMBER(D33)),C33-D33,NA()), NA())</f>
        <v/>
      </c>
      <c r="G33" s="5">
        <f>IF(IF($E$2="ALL",1,IF($Z33=$E$2,1,0)), IFERROR((( (1+INDEX(Annual!$H:$H, MATCH($A33&amp;"|2026", Annual!$K:$K, 0))/100)*(1+INDEX(Annual!$H:$H, MATCH($A33&amp;"|2027", Annual!$K:$K, 0))/100)*(1+INDEX(Annual!$H:$H, MATCH($A33&amp;"|2028", Annual!$K:$K, 0))/100) )^(1/3)-1)*100, NA()), NA())</f>
        <v/>
      </c>
      <c r="H33" s="5">
        <f>IF(IF($E$2="ALL",1,IF($Z33=$E$2,1,0)), IFERROR(INDEX(Crude_Oil_Impact!$H:$H, MATCH($A33, Crude_Oil_Impact!$A:$A, 0)), NA()), NA())</f>
        <v/>
      </c>
      <c r="I33" s="5">
        <f>IF(IF($E$2="ALL",1,IF($Z33=$E$2,1,0)), IFERROR(INDEX(REER_Data!$C:$C, MATCH($A33, REER_Data!$A:$A, 0)), NA()), NA())</f>
        <v/>
      </c>
      <c r="J33" s="5">
        <f>IF(IF($E$2="ALL",1,IF($Z33=$E$2,1,0)), IFERROR(INDEX(REER_Data!$E:$E, MATCH($A33, REER_Data!$A:$A, 0)) / 100, NA()), NA())</f>
        <v/>
      </c>
      <c r="K33" t="inlineStr">
        <is>
          <t>NA()</t>
        </is>
      </c>
      <c r="M33">
        <f>IF(IF($E$2="ALL",1,IF($Z33=$E$2,1,0)), 558573000000.0, NA())</f>
        <v/>
      </c>
      <c r="N33" s="5">
        <f>IF(IF($E$2="ALL",1,IF($Z33=$E$2,1,0)), IFERROR(1*INDEX(CAGR!$H:$H, MATCH($A33&amp;"|"&amp;$B$2, CAGR!$Q:$Q, 0)), NA()), NA())</f>
        <v/>
      </c>
      <c r="O33" s="5">
        <f>IF(IF($E$2="ALL",1,IF($Z33=$E$2,1,0)), IFERROR(1*INDEX(CAGR!$G:$G, MATCH($A33&amp;"|"&amp;$B$2, CAGR!$Q:$Q, 0)), NA()), NA())</f>
        <v/>
      </c>
      <c r="Q33" s="5">
        <f>IF(IF($E$2="ALL",1,IF($Z33=$E$2,1,0)), IFERROR(1*INDEX(CAGR!$J:$J, MATCH($A33&amp;"|"&amp;$B$2, CAGR!$Q:$Q, 0)), NA()), NA())</f>
        <v/>
      </c>
      <c r="R33" s="5">
        <f>IF(IF($E$2="ALL",1,IF($Z33=$E$2,1,0)), IFERROR(1*INDEX(CAGR!$K:$K, MATCH($A33&amp;"|"&amp;$B$2, CAGR!$Q:$Q, 0)), NA()), NA())</f>
        <v/>
      </c>
      <c r="S33" s="7" t="n"/>
      <c r="T33" t="inlineStr">
        <is>
          <t>NA()</t>
        </is>
      </c>
      <c r="V33" s="5">
        <f>IF(IF($E$2="ALL",1,IF($Z33=$E$2,1,0)), IFERROR(1*INDEX(CAGR!$N:$N, MATCH($A33&amp;"|"&amp;$B$2, CAGR!$Q:$Q, 0)), NA()), NA())</f>
        <v/>
      </c>
      <c r="X33" s="5">
        <f>IF(IF($E$2="ALL",1,IF($Z33=$E$2,1,0)), IF(AND(ISNUMBER(Q33),ISNUMBER(V33)),Q33+V33,NA()), NA())</f>
        <v/>
      </c>
      <c r="Z33" t="inlineStr">
        <is>
          <t>Asia</t>
        </is>
      </c>
      <c r="AA33">
        <f>IF(IF($E$2="ALL",1,IF($Z33=$E$2,1,0)), "THB", "")</f>
        <v/>
      </c>
      <c r="AC33">
        <f>IF(IF($E$2="ALL",1,IF($Z33=$E$2,1,0)), IFERROR(INDEX(Lists!$J$2:$J$42, MATCH($B33, Lists!$I$2:$I$42, 0)),""), "")</f>
        <v/>
      </c>
      <c r="AD33">
        <f>IF(IF($E$2="ALL",1,IF($Z33=$E$2,1,0)), IFERROR(INDEX(Lists!$K$2:$K$42, MATCH($B33, Lists!$I$2:$I$42, 0)),""), 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IF(IF($E$2="ALL",1,IF($Z34=$E$2,1,0)), IFERROR(1*INDEX(CAGR!$I:$I, MATCH($A34&amp;"|"&amp;$B$2, CAGR!$Q:$Q, 0)), NA()), NA())</f>
        <v/>
      </c>
      <c r="D34" s="5">
        <f>IF(IF($E$2="ALL",1,IF($Z34=$E$2,1,0)), IFERROR(1*INDEX(CAGR!$F:$F, MATCH($A34&amp;"|"&amp;$B34&amp;"|"&amp;$B$2, CAGR!$P:$P, 0)), NA()), NA())</f>
        <v/>
      </c>
      <c r="E34" s="6">
        <f>IF(IF($E$2="ALL",1,IF($Z34=$E$2,1,0)), IFERROR(INDEX(MSCI!$B:$E, MATCH("Turkey", MSCI!$A:$A, 0), MATCH($B$2, MSCI!$B$1:$E$1, 0)), NA()), NA())</f>
        <v/>
      </c>
      <c r="F34" s="5">
        <f>IF(IF($E$2="ALL",1,IF($Z34=$E$2,1,0)), IF(AND(ISNUMBER(C34),ISNUMBER(D34)),C34-D34,NA()), NA())</f>
        <v/>
      </c>
      <c r="G34" s="5">
        <f>IF(IF($E$2="ALL",1,IF($Z34=$E$2,1,0)), IFERROR((( (1+INDEX(Annual!$H:$H, MATCH($A34&amp;"|2026", Annual!$K:$K, 0))/100)*(1+INDEX(Annual!$H:$H, MATCH($A34&amp;"|2027", Annual!$K:$K, 0))/100)*(1+INDEX(Annual!$H:$H, MATCH($A34&amp;"|2028", Annual!$K:$K, 0))/100) )^(1/3)-1)*100, NA()), NA())</f>
        <v/>
      </c>
      <c r="H34" s="8">
        <f>IF(IF($E$2="ALL",1,IF($Z34=$E$2,1,0)), IFERROR(INDEX(Crude_Oil_Impact!$H:$H, MATCH($A34, Crude_Oil_Impact!$A:$A, 0)), NA()), NA())</f>
        <v/>
      </c>
      <c r="I34" s="5">
        <f>IF(IF($E$2="ALL",1,IF($Z34=$E$2,1,0)), IFERROR(INDEX(REER_Data!$C:$C, MATCH($A34, REER_Data!$A:$A, 0)), NA()), NA())</f>
        <v/>
      </c>
      <c r="J34" s="5">
        <f>IF(IF($E$2="ALL",1,IF($Z34=$E$2,1,0)), IFERROR(INDEX(REER_Data!$E:$E, MATCH($A34, REER_Data!$A:$A, 0)) / 100, NA()), NA())</f>
        <v/>
      </c>
      <c r="K34" t="inlineStr">
        <is>
          <t>NA()</t>
        </is>
      </c>
      <c r="M34">
        <f>IF(IF($E$2="ALL",1,IF($Z34=$E$2,1,0)), 1565471000000.0, NA())</f>
        <v/>
      </c>
      <c r="N34" s="5">
        <f>IF(IF($E$2="ALL",1,IF($Z34=$E$2,1,0)), IFERROR(1*INDEX(CAGR!$H:$H, MATCH($A34&amp;"|"&amp;$B$2, CAGR!$Q:$Q, 0)), NA()), NA())</f>
        <v/>
      </c>
      <c r="O34" s="5">
        <f>IF(IF($E$2="ALL",1,IF($Z34=$E$2,1,0)), IFERROR(1*INDEX(CAGR!$G:$G, MATCH($A34&amp;"|"&amp;$B$2, CAGR!$Q:$Q, 0)), NA()), NA())</f>
        <v/>
      </c>
      <c r="Q34" s="5">
        <f>IF(IF($E$2="ALL",1,IF($Z34=$E$2,1,0)), IFERROR(1*INDEX(CAGR!$J:$J, MATCH($A34&amp;"|"&amp;$B$2, CAGR!$Q:$Q, 0)), NA()), NA())</f>
        <v/>
      </c>
      <c r="R34" s="5">
        <f>IF(IF($E$2="ALL",1,IF($Z34=$E$2,1,0)), IFERROR(1*INDEX(CAGR!$K:$K, MATCH($A34&amp;"|"&amp;$B$2, CAGR!$Q:$Q, 0)), NA()), NA())</f>
        <v/>
      </c>
      <c r="S34" s="7">
        <f>IF(IF($E$2="ALL",1,IF($Z34=$E$2,1,0)), 1.0, NA())</f>
        <v/>
      </c>
      <c r="T34" t="inlineStr">
        <is>
          <t>NA()</t>
        </is>
      </c>
      <c r="V34" s="5">
        <f>IF(IF($E$2="ALL",1,IF($Z34=$E$2,1,0)), IFERROR(1*INDEX(CAGR!$N:$N, MATCH($A34&amp;"|"&amp;$B$2, CAGR!$Q:$Q, 0)), NA()), NA())</f>
        <v/>
      </c>
      <c r="X34" s="5">
        <f>IF(IF($E$2="ALL",1,IF($Z34=$E$2,1,0)), IF(AND(ISNUMBER(Q34),ISNUMBER(V34)),Q34+V34,NA()), NA())</f>
        <v/>
      </c>
      <c r="Z34" t="inlineStr">
        <is>
          <t>Europe</t>
        </is>
      </c>
      <c r="AA34">
        <f>IF(IF($E$2="ALL",1,IF($Z34=$E$2,1,0)), "TRY", "")</f>
        <v/>
      </c>
      <c r="AC34">
        <f>IF(IF($E$2="ALL",1,IF($Z34=$E$2,1,0)), IFERROR(INDEX(Lists!$J$2:$J$42, MATCH($B34, Lists!$I$2:$I$42, 0)),""), "")</f>
        <v/>
      </c>
      <c r="AD34">
        <f>IF(IF($E$2="ALL",1,IF($Z34=$E$2,1,0)), IFERROR(INDEX(Lists!$K$2:$K$42, MATCH($B34, Lists!$I$2:$I$42, 0)),""), 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IF(IF($E$2="ALL",1,IF($Z35=$E$2,1,0)), IFERROR(1*INDEX(CAGR!$I:$I, MATCH($A35&amp;"|"&amp;$B$2, CAGR!$Q:$Q, 0)), NA()), NA())</f>
        <v/>
      </c>
      <c r="D35" s="5">
        <f>IF(IF($E$2="ALL",1,IF($Z35=$E$2,1,0)), IFERROR(1*INDEX(CAGR!$F:$F, MATCH($A35&amp;"|"&amp;$B35&amp;"|"&amp;$B$2, CAGR!$P:$P, 0)), NA()), NA())</f>
        <v/>
      </c>
      <c r="E35" s="6">
        <f>IF(IF($E$2="ALL",1,IF($Z35=$E$2,1,0)), IFERROR(INDEX(MSCI!$B:$E, MATCH("United Kingdom", MSCI!$A:$A, 0), MATCH($B$2, MSCI!$B$1:$E$1, 0)), NA()), NA())</f>
        <v/>
      </c>
      <c r="F35" s="5">
        <f>IF(IF($E$2="ALL",1,IF($Z35=$E$2,1,0)), IF(AND(ISNUMBER(C35),ISNUMBER(D35)),C35-D35,NA()), NA())</f>
        <v/>
      </c>
      <c r="G35" s="5">
        <f>IF(IF($E$2="ALL",1,IF($Z35=$E$2,1,0)), IFERROR((( (1+INDEX(Annual!$H:$H, MATCH($A35&amp;"|2026", Annual!$K:$K, 0))/100)*(1+INDEX(Annual!$H:$H, MATCH($A35&amp;"|2027", Annual!$K:$K, 0))/100)*(1+INDEX(Annual!$H:$H, MATCH($A35&amp;"|2028", Annual!$K:$K, 0))/100) )^(1/3)-1)*100, NA()), NA())</f>
        <v/>
      </c>
      <c r="H35" s="8">
        <f>IF(IF($E$2="ALL",1,IF($Z35=$E$2,1,0)), IFERROR(INDEX(Crude_Oil_Impact!$H:$H, MATCH($A35, Crude_Oil_Impact!$A:$A, 0)), NA()), NA())</f>
        <v/>
      </c>
      <c r="I35" s="5">
        <f>IF(IF($E$2="ALL",1,IF($Z35=$E$2,1,0)), IFERROR(INDEX(REER_Data!$C:$C, MATCH($A35, REER_Data!$A:$A, 0)), NA()), NA())</f>
        <v/>
      </c>
      <c r="J35" s="5">
        <f>IF(IF($E$2="ALL",1,IF($Z35=$E$2,1,0)), IFERROR(INDEX(REER_Data!$E:$E, MATCH($A35, REER_Data!$A:$A, 0)) / 100, NA()), NA())</f>
        <v/>
      </c>
      <c r="K35" t="inlineStr">
        <is>
          <t>NA()</t>
        </is>
      </c>
      <c r="M35">
        <f>IF(IF($E$2="ALL",1,IF($Z35=$E$2,1,0)), 3958780000000.0, NA())</f>
        <v/>
      </c>
      <c r="N35" s="5">
        <f>IF(IF($E$2="ALL",1,IF($Z35=$E$2,1,0)), IFERROR(1*INDEX(CAGR!$H:$H, MATCH($A35&amp;"|"&amp;$B$2, CAGR!$Q:$Q, 0)), NA()), NA())</f>
        <v/>
      </c>
      <c r="O35" s="5">
        <f>IF(IF($E$2="ALL",1,IF($Z35=$E$2,1,0)), IFERROR(1*INDEX(CAGR!$G:$G, MATCH($A35&amp;"|"&amp;$B$2, CAGR!$Q:$Q, 0)), NA()), NA())</f>
        <v/>
      </c>
      <c r="Q35" s="5">
        <f>IF(IF($E$2="ALL",1,IF($Z35=$E$2,1,0)), IFERROR(1*INDEX(CAGR!$J:$J, MATCH($A35&amp;"|"&amp;$B$2, CAGR!$Q:$Q, 0)), NA()), NA())</f>
        <v/>
      </c>
      <c r="R35" s="5">
        <f>IF(IF($E$2="ALL",1,IF($Z35=$E$2,1,0)), IFERROR(1*INDEX(CAGR!$K:$K, MATCH($A35&amp;"|"&amp;$B$2, CAGR!$Q:$Q, 0)), NA()), NA())</f>
        <v/>
      </c>
      <c r="S35" s="7" t="n"/>
      <c r="T35" t="inlineStr">
        <is>
          <t>NA()</t>
        </is>
      </c>
      <c r="V35" s="5">
        <f>IF(IF($E$2="ALL",1,IF($Z35=$E$2,1,0)), IFERROR(1*INDEX(CAGR!$N:$N, MATCH($A35&amp;"|"&amp;$B$2, CAGR!$Q:$Q, 0)), NA()), NA())</f>
        <v/>
      </c>
      <c r="X35" s="5">
        <f>IF(IF($E$2="ALL",1,IF($Z35=$E$2,1,0)), IF(AND(ISNUMBER(Q35),ISNUMBER(V35)),Q35+V35,NA()), NA())</f>
        <v/>
      </c>
      <c r="Z35" t="inlineStr">
        <is>
          <t>Europe</t>
        </is>
      </c>
      <c r="AA35">
        <f>IF(IF($E$2="ALL",1,IF($Z35=$E$2,1,0)), "GBP", "")</f>
        <v/>
      </c>
      <c r="AC35">
        <f>IF(IF($E$2="ALL",1,IF($Z35=$E$2,1,0)), IFERROR(INDEX(Lists!$J$2:$J$42, MATCH($B35, Lists!$I$2:$I$42, 0)),""), "")</f>
        <v/>
      </c>
      <c r="AD35">
        <f>IF(IF($E$2="ALL",1,IF($Z35=$E$2,1,0)), IFERROR(INDEX(Lists!$K$2:$K$42, MATCH($B35, Lists!$I$2:$I$42, 0)),""), 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IF(IF($E$2="ALL",1,IF($Z36=$E$2,1,0)), IFERROR(1*INDEX(CAGR!$I:$I, MATCH($A36&amp;"|"&amp;$B$2, CAGR!$Q:$Q, 0)), NA()), NA())</f>
        <v/>
      </c>
      <c r="D36" s="5">
        <f>IF(IF($E$2="ALL",1,IF($Z36=$E$2,1,0)), IFERROR(1*INDEX(CAGR!$F:$F, MATCH($A36&amp;"|"&amp;$B36&amp;"|"&amp;$B$2, CAGR!$P:$P, 0)), NA()), NA())</f>
        <v/>
      </c>
      <c r="E36" s="6">
        <f>IF(IF($E$2="ALL",1,IF($Z36=$E$2,1,0)), IFERROR(INDEX(MSCI!$B:$E, MATCH("United States", MSCI!$A:$A, 0), MATCH($B$2, MSCI!$B$1:$E$1, 0)), NA()), NA())</f>
        <v/>
      </c>
      <c r="F36" s="5">
        <f>IF(IF($E$2="ALL",1,IF($Z36=$E$2,1,0)), IF(AND(ISNUMBER(C36),ISNUMBER(D36)),C36-D36,NA()), NA())</f>
        <v/>
      </c>
      <c r="G36" s="5">
        <f>IF(IF($E$2="ALL",1,IF($Z36=$E$2,1,0)), IFERROR((( (1+INDEX(Annual!$H:$H, MATCH($A36&amp;"|2026", Annual!$K:$K, 0))/100)*(1+INDEX(Annual!$H:$H, MATCH($A36&amp;"|2027", Annual!$K:$K, 0))/100)*(1+INDEX(Annual!$H:$H, MATCH($A36&amp;"|2028", Annual!$K:$K, 0))/100) )^(1/3)-1)*100, NA()), NA())</f>
        <v/>
      </c>
      <c r="H36" s="5">
        <f>IF(IF($E$2="ALL",1,IF($Z36=$E$2,1,0)), IFERROR(INDEX(Crude_Oil_Impact!$H:$H, MATCH($A36, Crude_Oil_Impact!$A:$A, 0)), NA()), NA())</f>
        <v/>
      </c>
      <c r="I36" s="5">
        <f>IF(IF($E$2="ALL",1,IF($Z36=$E$2,1,0)), IFERROR(INDEX(REER_Data!$C:$C, MATCH($A36, REER_Data!$A:$A, 0)), NA()), NA())</f>
        <v/>
      </c>
      <c r="J36" s="5">
        <f>IF(IF($E$2="ALL",1,IF($Z36=$E$2,1,0)), IFERROR(INDEX(REER_Data!$E:$E, MATCH($A36, REER_Data!$A:$A, 0)) / 100, NA()), NA())</f>
        <v/>
      </c>
      <c r="K36" t="inlineStr">
        <is>
          <t>NA()</t>
        </is>
      </c>
      <c r="M36">
        <f>IF(IF($E$2="ALL",1,IF($Z36=$E$2,1,0)), 30615743000000.0, NA())</f>
        <v/>
      </c>
      <c r="N36" s="5">
        <f>IF(IF($E$2="ALL",1,IF($Z36=$E$2,1,0)), IFERROR(1*INDEX(CAGR!$H:$H, MATCH($A36&amp;"|"&amp;$B$2, CAGR!$Q:$Q, 0)), NA()), NA())</f>
        <v/>
      </c>
      <c r="O36" s="5">
        <f>IF(IF($E$2="ALL",1,IF($Z36=$E$2,1,0)), IFERROR(1*INDEX(CAGR!$G:$G, MATCH($A36&amp;"|"&amp;$B$2, CAGR!$Q:$Q, 0)), NA()), NA())</f>
        <v/>
      </c>
      <c r="Q36" s="5">
        <f>IF(IF($E$2="ALL",1,IF($Z36=$E$2,1,0)), IFERROR(1*INDEX(CAGR!$J:$J, MATCH($A36&amp;"|"&amp;$B$2, CAGR!$Q:$Q, 0)), NA()), NA())</f>
        <v/>
      </c>
      <c r="R36" s="5">
        <f>IF(IF($E$2="ALL",1,IF($Z36=$E$2,1,0)), IFERROR(1*INDEX(CAGR!$K:$K, MATCH($A36&amp;"|"&amp;$B$2, CAGR!$Q:$Q, 0)), NA()), NA())</f>
        <v/>
      </c>
      <c r="S36" s="7">
        <f>IF(IF($E$2="ALL",1,IF($Z36=$E$2,1,0)), 1.0, NA())</f>
        <v/>
      </c>
      <c r="T36" t="inlineStr">
        <is>
          <t>NA()</t>
        </is>
      </c>
      <c r="V36" s="5">
        <f>IF(IF($E$2="ALL",1,IF($Z36=$E$2,1,0)), IFERROR(1*INDEX(CAGR!$N:$N, MATCH($A36&amp;"|"&amp;$B$2, CAGR!$Q:$Q, 0)), NA()), NA())</f>
        <v/>
      </c>
      <c r="X36" s="5">
        <f>IF(IF($E$2="ALL",1,IF($Z36=$E$2,1,0)), IF(AND(ISNUMBER(Q36),ISNUMBER(V36)),Q36+V36,NA()), NA())</f>
        <v/>
      </c>
      <c r="Z36" t="inlineStr">
        <is>
          <t>North America</t>
        </is>
      </c>
      <c r="AA36">
        <f>IF(IF($E$2="ALL",1,IF($Z36=$E$2,1,0)), "USD", "")</f>
        <v/>
      </c>
      <c r="AC36">
        <f>IF(IF($E$2="ALL",1,IF($Z36=$E$2,1,0)), IFERROR(INDEX(Lists!$J$2:$J$42, MATCH($B36, Lists!$I$2:$I$42, 0)),""), "")</f>
        <v/>
      </c>
      <c r="AD36">
        <f>IF(IF($E$2="ALL",1,IF($Z36=$E$2,1,0)), IFERROR(INDEX(Lists!$K$2:$K$42, MATCH($B36, Lists!$I$2:$I$42, 0)),""), 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IF(IF($E$2="ALL",1,IF($Z37=$E$2,1,0)), IFERROR(1*INDEX(CAGR!$I:$I, MATCH($A37&amp;"|"&amp;$B$2, CAGR!$Q:$Q, 0)), NA()), NA())</f>
        <v/>
      </c>
      <c r="D37" s="5">
        <f>IF(IF($E$2="ALL",1,IF($Z37=$E$2,1,0)), IFERROR(1*INDEX(CAGR!$F:$F, MATCH($A37&amp;"|"&amp;$B37&amp;"|"&amp;$B$2, CAGR!$P:$P, 0)), NA()), NA())</f>
        <v/>
      </c>
      <c r="E37" s="6">
        <f>IF(IF($E$2="ALL",1,IF($Z37=$E$2,1,0)), IFERROR(INDEX(MSCI!$B:$E, MATCH("Vietnam", MSCI!$A:$A, 0), MATCH($B$2, MSCI!$B$1:$E$1, 0)), NA()), NA())</f>
        <v/>
      </c>
      <c r="F37" s="5">
        <f>IF(IF($E$2="ALL",1,IF($Z37=$E$2,1,0)), IF(AND(ISNUMBER(C37),ISNUMBER(D37)),C37-D37,NA()), NA())</f>
        <v/>
      </c>
      <c r="G37" s="5">
        <f>IF(IF($E$2="ALL",1,IF($Z37=$E$2,1,0)), IFERROR((( (1+INDEX(Annual!$H:$H, MATCH($A37&amp;"|2026", Annual!$K:$K, 0))/100)*(1+INDEX(Annual!$H:$H, MATCH($A37&amp;"|2027", Annual!$K:$K, 0))/100)*(1+INDEX(Annual!$H:$H, MATCH($A37&amp;"|2028", Annual!$K:$K, 0))/100) )^(1/3)-1)*100, NA()), NA())</f>
        <v/>
      </c>
      <c r="H37" s="8">
        <f>IF(IF($E$2="ALL",1,IF($Z37=$E$2,1,0)), IFERROR(INDEX(Crude_Oil_Impact!$H:$H, MATCH($A37, Crude_Oil_Impact!$A:$A, 0)), NA()), NA())</f>
        <v/>
      </c>
      <c r="I37" s="5">
        <f>IF(IF($E$2="ALL",1,IF($Z37=$E$2,1,0)), IFERROR(INDEX(REER_Data!$C:$C, MATCH($A37, REER_Data!$A:$A, 0)), NA()), NA())</f>
        <v/>
      </c>
      <c r="J37" s="5">
        <f>IF(IF($E$2="ALL",1,IF($Z37=$E$2,1,0)), IFERROR(INDEX(REER_Data!$E:$E, MATCH($A37, REER_Data!$A:$A, 0)) / 100, NA()), NA())</f>
        <v/>
      </c>
      <c r="K37" t="inlineStr">
        <is>
          <t>NA()</t>
        </is>
      </c>
      <c r="M37">
        <f>IF(IF($E$2="ALL",1,IF($Z37=$E$2,1,0)), 484726000000.0, NA())</f>
        <v/>
      </c>
      <c r="N37" s="5">
        <f>IF(IF($E$2="ALL",1,IF($Z37=$E$2,1,0)), IFERROR(1*INDEX(CAGR!$H:$H, MATCH($A37&amp;"|"&amp;$B$2, CAGR!$Q:$Q, 0)), NA()), NA())</f>
        <v/>
      </c>
      <c r="O37" s="5">
        <f>IF(IF($E$2="ALL",1,IF($Z37=$E$2,1,0)), IFERROR(1*INDEX(CAGR!$G:$G, MATCH($A37&amp;"|"&amp;$B$2, CAGR!$Q:$Q, 0)), NA()), NA())</f>
        <v/>
      </c>
      <c r="Q37" s="5">
        <f>IF(IF($E$2="ALL",1,IF($Z37=$E$2,1,0)), IFERROR(1*INDEX(CAGR!$J:$J, MATCH($A37&amp;"|"&amp;$B$2, CAGR!$Q:$Q, 0)), NA()), NA())</f>
        <v/>
      </c>
      <c r="R37" s="5">
        <f>IF(IF($E$2="ALL",1,IF($Z37=$E$2,1,0)), IFERROR(1*INDEX(CAGR!$K:$K, MATCH($A37&amp;"|"&amp;$B$2, CAGR!$Q:$Q, 0)), NA()), NA())</f>
        <v/>
      </c>
      <c r="S37" s="7" t="n"/>
      <c r="T37" t="inlineStr">
        <is>
          <t>NA()</t>
        </is>
      </c>
      <c r="V37" s="5">
        <f>IF(IF($E$2="ALL",1,IF($Z37=$E$2,1,0)), IFERROR(1*INDEX(CAGR!$N:$N, MATCH($A37&amp;"|"&amp;$B$2, CAGR!$Q:$Q, 0)), NA()), NA())</f>
        <v/>
      </c>
      <c r="X37" s="5">
        <f>IF(IF($E$2="ALL",1,IF($Z37=$E$2,1,0)), IF(AND(ISNUMBER(Q37),ISNUMBER(V37)),Q37+V37,NA()), NA())</f>
        <v/>
      </c>
      <c r="Z37" t="inlineStr">
        <is>
          <t>Asia</t>
        </is>
      </c>
      <c r="AA37">
        <f>IF(IF($E$2="ALL",1,IF($Z37=$E$2,1,0)), "VND", "")</f>
        <v/>
      </c>
      <c r="AC37">
        <f>IF(IF($E$2="ALL",1,IF($Z37=$E$2,1,0)), IFERROR(INDEX(Lists!$J$2:$J$42, MATCH($B37, Lists!$I$2:$I$42, 0)),""), "")</f>
        <v/>
      </c>
      <c r="AD37">
        <f>IF(IF($E$2="ALL",1,IF($Z37=$E$2,1,0)), IFERROR(INDEX(Lists!$K$2:$K$42, MATCH($B37, Lists!$I$2:$I$42, 0)),""), 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5">
    <dataValidation sqref="B2" showDropDown="0" showInputMessage="0" showErrorMessage="0" allowBlank="0" type="list">
      <formula1>"1Y,3Y,5Y,10Y"</formula1>
    </dataValidation>
    <dataValidation sqref="E2" showDropDown="0" showInputMessage="0" showErrorMessage="0" allowBlank="0" type="list">
      <formula1>"ALL","Africa","Asia","Europe","Latin America","Middle East","North America","Oceania"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2026-03-18T23:20:32Z</dcterms:created>
  <dcterms:modified xsi:type="dcterms:W3CDTF">2026-03-18T23:20:33Z</dcterms:modified>
</cp:coreProperties>
</file>