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hidden" r:id="rId6"/>
    <sheet name="Country_CAGR_Summary" sheetId="7" state="visible" r:id="rId7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'Country_CAGR_Summary'!$A$5:$V$38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4" customWidth="1" min="3" max="3"/>
    <col width="13" customWidth="1" min="4" max="4"/>
    <col width="8" customWidth="1" min="5" max="5"/>
    <col width="13" customWidth="1" min="6" max="6"/>
    <col width="24" customWidth="1" min="7" max="7"/>
    <col width="17" customWidth="1" min="8" max="8"/>
    <col width="17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Year</t>
        </is>
      </c>
      <c r="D1" t="inlineStr">
        <is>
          <t>Qty (1000 MT)</t>
        </is>
      </c>
      <c r="E1" t="inlineStr">
        <is>
          <t>Qty (MT)</t>
        </is>
      </c>
      <c r="F1" t="inlineStr">
        <is>
          <t>Qty (Barrels)</t>
        </is>
      </c>
      <c r="G1" t="inlineStr">
        <is>
          <t>Value @ $10 Change (USD)</t>
        </is>
      </c>
      <c r="H1" t="inlineStr">
        <is>
          <t>Nominal GDP (USD)</t>
        </is>
      </c>
      <c r="I1" t="inlineStr">
        <is>
          <t>Impact (% of GDP)</t>
        </is>
      </c>
    </row>
    <row r="2">
      <c r="A2" t="inlineStr">
        <is>
          <t>Australia</t>
        </is>
      </c>
      <c r="B2" t="inlineStr">
        <is>
          <t>AUS</t>
        </is>
      </c>
      <c r="C2" t="n">
        <v>2024</v>
      </c>
      <c r="D2" t="n">
        <v>7872.206</v>
      </c>
      <c r="E2" t="n">
        <v>7872206</v>
      </c>
      <c r="F2" t="n">
        <v>59277711.18</v>
      </c>
      <c r="G2" t="n">
        <v>592777111.8</v>
      </c>
      <c r="H2" t="n">
        <v>1795492000000</v>
      </c>
      <c r="I2" s="1" t="n">
        <v>0.0330147453622739</v>
      </c>
    </row>
    <row r="3">
      <c r="A3" t="inlineStr">
        <is>
          <t>Brazil</t>
        </is>
      </c>
      <c r="B3" t="inlineStr">
        <is>
          <t>BRA</t>
        </is>
      </c>
      <c r="C3" t="n">
        <v>2024</v>
      </c>
      <c r="D3" t="n">
        <v>12896.168</v>
      </c>
      <c r="E3" t="n">
        <v>12896168</v>
      </c>
      <c r="F3" t="n">
        <v>97108145.04000001</v>
      </c>
      <c r="G3" t="n">
        <v>971081450.4</v>
      </c>
      <c r="H3" t="n">
        <v>2179413000000</v>
      </c>
      <c r="I3" s="1" t="n">
        <v>0.044557018353107</v>
      </c>
    </row>
    <row r="4">
      <c r="A4" t="inlineStr">
        <is>
          <t>Canada</t>
        </is>
      </c>
      <c r="B4" t="inlineStr">
        <is>
          <t>CAN</t>
        </is>
      </c>
      <c r="C4" t="n">
        <v>2024</v>
      </c>
      <c r="D4" t="n">
        <v>32557.561</v>
      </c>
      <c r="E4" t="n">
        <v>32557561</v>
      </c>
      <c r="F4" t="n">
        <v>245158434.33</v>
      </c>
      <c r="G4" t="n">
        <v>2451584343.3</v>
      </c>
      <c r="H4" t="n">
        <v>2243637000000</v>
      </c>
      <c r="I4" s="1" t="n">
        <v>0.1092683149413207</v>
      </c>
    </row>
    <row r="5">
      <c r="A5" t="inlineStr">
        <is>
          <t>Switzerland</t>
        </is>
      </c>
      <c r="B5" t="inlineStr">
        <is>
          <t>CHE</t>
        </is>
      </c>
      <c r="C5" t="n">
        <v>2024</v>
      </c>
      <c r="D5" t="n">
        <v>2529.677</v>
      </c>
      <c r="E5" t="n">
        <v>2529677</v>
      </c>
      <c r="F5" t="n">
        <v>19048467.81</v>
      </c>
      <c r="G5" t="n">
        <v>190484678.1</v>
      </c>
      <c r="H5" t="n">
        <v>938153000000</v>
      </c>
      <c r="I5" s="1" t="n">
        <v>0.0203042230958063</v>
      </c>
    </row>
    <row r="6">
      <c r="A6" t="inlineStr">
        <is>
          <t>China</t>
        </is>
      </c>
      <c r="B6" t="inlineStr">
        <is>
          <t>CHN</t>
        </is>
      </c>
      <c r="C6" t="n">
        <v>2024</v>
      </c>
      <c r="D6" t="n">
        <v>553420</v>
      </c>
      <c r="E6" t="n">
        <v>553420000</v>
      </c>
      <c r="F6" t="n">
        <v>4167252600</v>
      </c>
      <c r="G6" t="n">
        <v>41672526000</v>
      </c>
      <c r="H6" t="n">
        <v>18749759000000</v>
      </c>
      <c r="I6" s="1" t="n">
        <v>0.2222563287346786</v>
      </c>
    </row>
    <row r="7">
      <c r="A7" t="inlineStr">
        <is>
          <t>Germany</t>
        </is>
      </c>
      <c r="B7" t="inlineStr">
        <is>
          <t>DEU</t>
        </is>
      </c>
      <c r="C7" t="n">
        <v>2024</v>
      </c>
      <c r="D7" t="n">
        <v>83898</v>
      </c>
      <c r="E7" t="n">
        <v>83898000</v>
      </c>
      <c r="F7" t="n">
        <v>631751940</v>
      </c>
      <c r="G7" t="n">
        <v>6317519400</v>
      </c>
      <c r="H7" t="n">
        <v>4684182000000</v>
      </c>
      <c r="I7" s="1" t="n">
        <v>0.1348692130237467</v>
      </c>
    </row>
    <row r="8">
      <c r="A8" t="inlineStr">
        <is>
          <t>Spain</t>
        </is>
      </c>
      <c r="B8" t="inlineStr">
        <is>
          <t>ESP</t>
        </is>
      </c>
      <c r="C8" t="n">
        <v>2024</v>
      </c>
      <c r="D8" t="n">
        <v>64588.153</v>
      </c>
      <c r="E8" t="n">
        <v>64588153</v>
      </c>
      <c r="F8" t="n">
        <v>486348792.09</v>
      </c>
      <c r="G8" t="n">
        <v>4863487920.900001</v>
      </c>
      <c r="H8" t="n">
        <v>1725152000000</v>
      </c>
      <c r="I8" s="1" t="n">
        <v>0.2819164874109643</v>
      </c>
    </row>
    <row r="9">
      <c r="A9" t="inlineStr">
        <is>
          <t>France</t>
        </is>
      </c>
      <c r="B9" t="inlineStr">
        <is>
          <t>FRA</t>
        </is>
      </c>
      <c r="C9" t="n">
        <v>2024</v>
      </c>
      <c r="D9" t="n">
        <v>44577</v>
      </c>
      <c r="E9" t="n">
        <v>44577000</v>
      </c>
      <c r="F9" t="n">
        <v>335664810</v>
      </c>
      <c r="G9" t="n">
        <v>3356648100</v>
      </c>
      <c r="H9" t="n">
        <v>3160902000000</v>
      </c>
      <c r="I9" s="1" t="n">
        <v>0.1061927291640171</v>
      </c>
    </row>
    <row r="10">
      <c r="A10" t="inlineStr">
        <is>
          <t>United Kingdom</t>
        </is>
      </c>
      <c r="B10" t="inlineStr">
        <is>
          <t>GBR</t>
        </is>
      </c>
      <c r="C10" t="n">
        <v>2024</v>
      </c>
      <c r="D10" t="n">
        <v>41380</v>
      </c>
      <c r="E10" t="n">
        <v>41380000</v>
      </c>
      <c r="F10" t="n">
        <v>311591400</v>
      </c>
      <c r="G10" t="n">
        <v>3115914000</v>
      </c>
      <c r="H10" t="n">
        <v>3644636000000</v>
      </c>
      <c r="I10" s="1" t="n">
        <v>0.08549314664070699</v>
      </c>
    </row>
    <row r="11">
      <c r="A11" t="inlineStr">
        <is>
          <t>Indonesia</t>
        </is>
      </c>
      <c r="B11" t="inlineStr">
        <is>
          <t>IDN</t>
        </is>
      </c>
      <c r="C11" t="n">
        <v>2023</v>
      </c>
      <c r="D11" t="n">
        <v>17029</v>
      </c>
      <c r="E11" t="n">
        <v>17029000</v>
      </c>
      <c r="F11" t="n">
        <v>128228370</v>
      </c>
      <c r="G11" t="n">
        <v>1282283700</v>
      </c>
      <c r="H11" t="n">
        <v>1371169000000</v>
      </c>
      <c r="I11" s="1" t="n">
        <v>0.0935175532702387</v>
      </c>
    </row>
    <row r="12">
      <c r="A12" t="inlineStr">
        <is>
          <t>India</t>
        </is>
      </c>
      <c r="B12" t="inlineStr">
        <is>
          <t>IND</t>
        </is>
      </c>
      <c r="C12" t="n">
        <v>2023</v>
      </c>
      <c r="D12" t="n">
        <v>254032.094</v>
      </c>
      <c r="E12" t="n">
        <v>254032094</v>
      </c>
      <c r="F12" t="n">
        <v>1912861667.82</v>
      </c>
      <c r="G12" t="n">
        <v>19128616678.2</v>
      </c>
      <c r="H12" t="n">
        <v>3638490000000</v>
      </c>
      <c r="I12" s="1" t="n">
        <v>0.5257295383029773</v>
      </c>
    </row>
    <row r="13">
      <c r="A13" t="inlineStr">
        <is>
          <t>Japan</t>
        </is>
      </c>
      <c r="B13" t="inlineStr">
        <is>
          <t>JPN</t>
        </is>
      </c>
      <c r="C13" t="n">
        <v>2024</v>
      </c>
      <c r="D13" t="n">
        <v>116321.593</v>
      </c>
      <c r="E13" t="n">
        <v>116321593</v>
      </c>
      <c r="F13" t="n">
        <v>875901595.2900001</v>
      </c>
      <c r="G13" t="n">
        <v>8759015952.900002</v>
      </c>
      <c r="H13" t="n">
        <v>4019382000000</v>
      </c>
      <c r="I13" s="1" t="n">
        <v>0.2179194700304674</v>
      </c>
    </row>
    <row r="14">
      <c r="A14" t="inlineStr">
        <is>
          <t>South Korea</t>
        </is>
      </c>
      <c r="B14" t="inlineStr">
        <is>
          <t>KOR</t>
        </is>
      </c>
      <c r="C14" t="n">
        <v>2024</v>
      </c>
      <c r="D14" t="n">
        <v>137014.06</v>
      </c>
      <c r="E14" t="n">
        <v>137014060</v>
      </c>
      <c r="F14" t="n">
        <v>1031715871.8</v>
      </c>
      <c r="G14" t="n">
        <v>10317158718</v>
      </c>
      <c r="H14" t="n">
        <v>1875388000000</v>
      </c>
      <c r="I14" s="1" t="n">
        <v>0.5501346237685215</v>
      </c>
    </row>
    <row r="15">
      <c r="A15" t="inlineStr">
        <is>
          <t>Mexico</t>
        </is>
      </c>
      <c r="B15" t="inlineStr">
        <is>
          <t>MEX</t>
        </is>
      </c>
      <c r="C15" t="n">
        <v>2018</v>
      </c>
      <c r="D15" t="n">
        <v>192</v>
      </c>
      <c r="E15" t="n">
        <v>192000</v>
      </c>
      <c r="F15" t="n">
        <v>1445760</v>
      </c>
      <c r="G15" t="n">
        <v>14457600</v>
      </c>
      <c r="H15" t="n">
        <v>1256300000000</v>
      </c>
      <c r="I15" s="1" t="n">
        <v>0.0011508079280426</v>
      </c>
    </row>
    <row r="16">
      <c r="A16" t="inlineStr">
        <is>
          <t>Malaysia</t>
        </is>
      </c>
      <c r="B16" t="inlineStr">
        <is>
          <t>MYS</t>
        </is>
      </c>
      <c r="C16" t="n">
        <v>2023</v>
      </c>
      <c r="D16" t="n">
        <v>14609.904</v>
      </c>
      <c r="E16" t="n">
        <v>14609904</v>
      </c>
      <c r="F16" t="n">
        <v>110012577.12</v>
      </c>
      <c r="G16" t="n">
        <v>1100125771.2</v>
      </c>
      <c r="H16" t="n">
        <v>399949000000</v>
      </c>
      <c r="I16" s="1" t="n">
        <v>0.275066513780507</v>
      </c>
    </row>
    <row r="17">
      <c r="A17" t="inlineStr">
        <is>
          <t>Pakistan</t>
        </is>
      </c>
      <c r="B17" t="inlineStr">
        <is>
          <t>PAK</t>
        </is>
      </c>
      <c r="C17" t="n">
        <v>2023</v>
      </c>
      <c r="D17" t="n">
        <v>9054.535</v>
      </c>
      <c r="E17" t="n">
        <v>9054535</v>
      </c>
      <c r="F17" t="n">
        <v>68180648.55</v>
      </c>
      <c r="G17" t="n">
        <v>681806485.5</v>
      </c>
      <c r="H17" t="n">
        <v>336555000000</v>
      </c>
      <c r="I17" s="1" t="n">
        <v>0.2025839715648259</v>
      </c>
    </row>
    <row r="18">
      <c r="A18" t="inlineStr">
        <is>
          <t>Philippines</t>
        </is>
      </c>
      <c r="B18" t="inlineStr">
        <is>
          <t>PHL</t>
        </is>
      </c>
      <c r="C18" t="n">
        <v>2023</v>
      </c>
      <c r="D18" t="n">
        <v>6486.5</v>
      </c>
      <c r="E18" t="n">
        <v>6486500</v>
      </c>
      <c r="F18" t="n">
        <v>48843345</v>
      </c>
      <c r="G18" t="n">
        <v>488433450</v>
      </c>
      <c r="H18" t="n">
        <v>437055000000</v>
      </c>
      <c r="I18" s="1" t="n">
        <v>0.1117556028417476</v>
      </c>
    </row>
    <row r="19">
      <c r="A19" t="inlineStr">
        <is>
          <t>Poland</t>
        </is>
      </c>
      <c r="B19" t="inlineStr">
        <is>
          <t>POL</t>
        </is>
      </c>
      <c r="C19" t="n">
        <v>2024</v>
      </c>
      <c r="D19" t="n">
        <v>25522.757</v>
      </c>
      <c r="E19" t="n">
        <v>25522757</v>
      </c>
      <c r="F19" t="n">
        <v>192186360.21</v>
      </c>
      <c r="G19" t="n">
        <v>1921863602.1</v>
      </c>
      <c r="H19" t="n">
        <v>914553000000</v>
      </c>
      <c r="I19" s="1" t="n">
        <v>0.2101423976631206</v>
      </c>
    </row>
    <row r="20">
      <c r="A20" t="inlineStr">
        <is>
          <t>Thailand</t>
        </is>
      </c>
      <c r="B20" t="inlineStr">
        <is>
          <t>THA</t>
        </is>
      </c>
      <c r="C20" t="n">
        <v>2024</v>
      </c>
      <c r="D20" t="n">
        <v>48542.955326</v>
      </c>
      <c r="E20" t="n">
        <v>48542955.32600001</v>
      </c>
      <c r="F20" t="n">
        <v>365528453.6047801</v>
      </c>
      <c r="G20" t="n">
        <v>3655284536.047801</v>
      </c>
      <c r="H20" t="n">
        <v>526518000000</v>
      </c>
      <c r="I20" s="1" t="n">
        <v>0.694237335864643</v>
      </c>
    </row>
    <row r="21">
      <c r="A21" t="inlineStr">
        <is>
          <t>Turkey</t>
        </is>
      </c>
      <c r="B21" t="inlineStr">
        <is>
          <t>TUR</t>
        </is>
      </c>
      <c r="C21" t="n">
        <v>2024</v>
      </c>
      <c r="D21" t="n">
        <v>30024.609</v>
      </c>
      <c r="E21" t="n">
        <v>30024609</v>
      </c>
      <c r="F21" t="n">
        <v>226085305.77</v>
      </c>
      <c r="G21" t="n">
        <v>2260853057.7</v>
      </c>
      <c r="H21" t="n">
        <v>1358251000000</v>
      </c>
      <c r="I21" s="1" t="n">
        <v>0.1664532592061408</v>
      </c>
    </row>
    <row r="22">
      <c r="A22" t="inlineStr">
        <is>
          <t>United States</t>
        </is>
      </c>
      <c r="B22" t="inlineStr">
        <is>
          <t>USA</t>
        </is>
      </c>
      <c r="C22" t="n">
        <v>2024</v>
      </c>
      <c r="D22" t="n">
        <v>325827.7</v>
      </c>
      <c r="E22" t="n">
        <v>325827700</v>
      </c>
      <c r="F22" t="n">
        <v>2453482581</v>
      </c>
      <c r="G22" t="n">
        <v>24534825810</v>
      </c>
      <c r="H22" t="n">
        <v>29298025000000</v>
      </c>
      <c r="I22" s="1" t="n">
        <v>0.0837422516022837</v>
      </c>
    </row>
    <row r="23">
      <c r="A23" t="inlineStr">
        <is>
          <t>Vietnam</t>
        </is>
      </c>
      <c r="B23" t="inlineStr">
        <is>
          <t>VNM</t>
        </is>
      </c>
      <c r="C23" t="n">
        <v>2024</v>
      </c>
      <c r="D23" t="n">
        <v>13441</v>
      </c>
      <c r="E23" t="n">
        <v>13441000</v>
      </c>
      <c r="F23" t="n">
        <v>101210730</v>
      </c>
      <c r="G23" t="n">
        <v>1012107300</v>
      </c>
      <c r="H23" t="n">
        <v>459472000000</v>
      </c>
      <c r="I23" s="1" t="n">
        <v>0.2202761648152662</v>
      </c>
    </row>
    <row r="24">
      <c r="A24" t="inlineStr">
        <is>
          <t>South Africa</t>
        </is>
      </c>
      <c r="B24" t="inlineStr">
        <is>
          <t>ZAF</t>
        </is>
      </c>
      <c r="C24" t="n">
        <v>2023</v>
      </c>
      <c r="D24" t="n">
        <v>7261.813</v>
      </c>
      <c r="E24" t="n">
        <v>7261813</v>
      </c>
      <c r="F24" t="n">
        <v>54681451.89</v>
      </c>
      <c r="G24" t="n">
        <v>546814518.9</v>
      </c>
      <c r="H24" t="n">
        <v>381334000000</v>
      </c>
      <c r="I24" s="1" t="n">
        <v>0.1433951651046064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9" customWidth="1" min="4" max="4"/>
    <col width="10" customWidth="1" min="5" max="5"/>
    <col width="8" customWidth="1" min="6" max="6"/>
    <col width="14" customWidth="1" min="7" max="7"/>
    <col width="18" customWidth="1" min="8" max="8"/>
    <col width="10" customWidth="1" min="9" max="9"/>
    <col width="12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46094</v>
      </c>
      <c r="G2" t="n">
        <v>8.105213044513215</v>
      </c>
      <c r="H2" t="n">
        <v>7.184561659715882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46066</v>
      </c>
      <c r="F3" s="2" t="n">
        <v>46094</v>
      </c>
      <c r="G3" t="n">
        <v>-0.7972913936216686</v>
      </c>
      <c r="H3" t="n">
        <v>-2.747508223210737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46003</v>
      </c>
      <c r="F4" s="2" t="n">
        <v>46094</v>
      </c>
      <c r="G4" t="n">
        <v>8.739375074823407</v>
      </c>
      <c r="H4" t="n">
        <v>8.431126143050815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45912</v>
      </c>
      <c r="F5" s="2" t="n">
        <v>46094</v>
      </c>
      <c r="G5" t="n">
        <v>7.414853358561957</v>
      </c>
      <c r="H5" t="n">
        <v>5.641676887991798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45729</v>
      </c>
      <c r="F6" s="2" t="n">
        <v>46094</v>
      </c>
      <c r="G6" t="n">
        <v>22.67693138843867</v>
      </c>
      <c r="H6" t="n">
        <v>26.35057408024291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44998</v>
      </c>
      <c r="F7" s="2" t="n">
        <v>46094</v>
      </c>
      <c r="G7" t="n">
        <v>6.846253381955059</v>
      </c>
      <c r="H7" t="n">
        <v>18.10792480112504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44267</v>
      </c>
      <c r="F8" s="2" t="n">
        <v>46094</v>
      </c>
      <c r="G8" t="n">
        <v>44.67983434214717</v>
      </c>
      <c r="H8" t="n">
        <v>38.08781459049009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42440</v>
      </c>
      <c r="F9" s="2" t="n">
        <v>46094</v>
      </c>
      <c r="G9" t="n">
        <v>134.4302490643954</v>
      </c>
      <c r="H9" t="n">
        <v>119.0849099210343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46094</v>
      </c>
      <c r="G10" t="n">
        <v>209.480334788734</v>
      </c>
      <c r="H10" t="n">
        <v>154.2958476988713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46094</v>
      </c>
      <c r="G11" t="n">
        <v>-4.398086607283435</v>
      </c>
      <c r="H11" t="n">
        <v>-4.398086607283435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46066</v>
      </c>
      <c r="F12" s="2" t="n">
        <v>46094</v>
      </c>
      <c r="G12" t="n">
        <v>-10.92723898281953</v>
      </c>
      <c r="H12" t="n">
        <v>-10.92723898281953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46003</v>
      </c>
      <c r="F13" s="2" t="n">
        <v>46094</v>
      </c>
      <c r="G13" t="n">
        <v>-0.2353687175760566</v>
      </c>
      <c r="H13" t="n">
        <v>-0.2353687175760566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45912</v>
      </c>
      <c r="F14" s="2" t="n">
        <v>46094</v>
      </c>
      <c r="G14" t="n">
        <v>9.812178656064074</v>
      </c>
      <c r="H14" t="n">
        <v>9.812178656064074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45729</v>
      </c>
      <c r="F15" s="2" t="n">
        <v>46094</v>
      </c>
      <c r="G15" t="n">
        <v>37.54286173166273</v>
      </c>
      <c r="H15" t="n">
        <v>37.54286173166273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44998</v>
      </c>
      <c r="F16" s="2" t="n">
        <v>46094</v>
      </c>
      <c r="G16" t="n">
        <v>94.78886868535471</v>
      </c>
      <c r="H16" t="n">
        <v>94.78886868535471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44267</v>
      </c>
      <c r="F17" s="2" t="n">
        <v>46094</v>
      </c>
      <c r="G17" t="n">
        <v>91.05188110053221</v>
      </c>
      <c r="H17" t="n">
        <v>91.05188110053221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42440</v>
      </c>
      <c r="F18" s="2" t="n">
        <v>46094</v>
      </c>
      <c r="G18" t="n">
        <v>210.9576567695787</v>
      </c>
      <c r="H18" t="n">
        <v>210.9576567695787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46094</v>
      </c>
      <c r="G19" t="n">
        <v>604.4965401970467</v>
      </c>
      <c r="H19" t="n">
        <v>604.4965401970467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46094</v>
      </c>
      <c r="G20" t="n">
        <v>-0.3292178033653892</v>
      </c>
      <c r="H20" t="n">
        <v>-0.3292178033653892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46066</v>
      </c>
      <c r="F21" s="2" t="n">
        <v>46094</v>
      </c>
      <c r="G21" t="n">
        <v>-11.4118537740318</v>
      </c>
      <c r="H21" t="n">
        <v>-11.4118537740318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46003</v>
      </c>
      <c r="F22" s="2" t="n">
        <v>46094</v>
      </c>
      <c r="G22" t="n">
        <v>0.1712137631126875</v>
      </c>
      <c r="H22" t="n">
        <v>0.1712137631126875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45912</v>
      </c>
      <c r="F23" s="2" t="n">
        <v>46094</v>
      </c>
      <c r="G23" t="n">
        <v>6.330890094268149</v>
      </c>
      <c r="H23" t="n">
        <v>6.330890094268149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45729</v>
      </c>
      <c r="F24" s="2" t="n">
        <v>46094</v>
      </c>
      <c r="G24" t="n">
        <v>24.91950438508037</v>
      </c>
      <c r="H24" t="n">
        <v>24.91950438508037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44998</v>
      </c>
      <c r="F25" s="2" t="n">
        <v>46094</v>
      </c>
      <c r="G25" t="n">
        <v>45.53076633738573</v>
      </c>
      <c r="H25" t="n">
        <v>45.53076633738573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44267</v>
      </c>
      <c r="F26" s="2" t="n">
        <v>46094</v>
      </c>
      <c r="G26" t="n">
        <v>33.99506091756594</v>
      </c>
      <c r="H26" t="n">
        <v>33.99506091756594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42440</v>
      </c>
      <c r="F27" s="2" t="n">
        <v>46094</v>
      </c>
      <c r="G27" t="n">
        <v>80.54620314608729</v>
      </c>
      <c r="H27" t="n">
        <v>80.54620314608729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46094</v>
      </c>
      <c r="G28" t="n">
        <v>461.0188530447738</v>
      </c>
      <c r="H28" t="n">
        <v>461.0188530447738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46094</v>
      </c>
      <c r="G29" t="n">
        <v>13.92828317767785</v>
      </c>
      <c r="H29" t="n">
        <v>12.95804105224099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46066</v>
      </c>
      <c r="F30" s="2" t="n">
        <v>46094</v>
      </c>
      <c r="G30" t="n">
        <v>-2.284414556962022</v>
      </c>
      <c r="H30" t="n">
        <v>-4.205396170481269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46003</v>
      </c>
      <c r="F31" s="2" t="n">
        <v>46094</v>
      </c>
      <c r="G31" t="n">
        <v>13.28823664297181</v>
      </c>
      <c r="H31" t="n">
        <v>12.96709282635922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45912</v>
      </c>
      <c r="F32" s="2" t="n">
        <v>46094</v>
      </c>
      <c r="G32" t="n">
        <v>26.03316326530611</v>
      </c>
      <c r="H32" t="n">
        <v>23.95264057569659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45729</v>
      </c>
      <c r="F33" s="2" t="n">
        <v>46094</v>
      </c>
      <c r="G33" t="n">
        <v>48.76543209876543</v>
      </c>
      <c r="H33" t="n">
        <v>53.22031237851647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44998</v>
      </c>
      <c r="F34" s="2" t="n">
        <v>46094</v>
      </c>
      <c r="G34" t="n">
        <v>48.98974668275029</v>
      </c>
      <c r="H34" t="n">
        <v>64.69337239593673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44267</v>
      </c>
      <c r="F35" s="2" t="n">
        <v>46094</v>
      </c>
      <c r="G35" t="n">
        <v>68.4165672404977</v>
      </c>
      <c r="H35" t="n">
        <v>60.74303524618971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42440</v>
      </c>
      <c r="F36" s="2" t="n">
        <v>46094</v>
      </c>
      <c r="G36" t="n">
        <v>151.2970498474059</v>
      </c>
      <c r="H36" t="n">
        <v>134.8476433777856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46094</v>
      </c>
      <c r="G37" t="n">
        <v>116.0886587317113</v>
      </c>
      <c r="H37" t="n">
        <v>96.06652699654035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46094</v>
      </c>
      <c r="G38" t="n">
        <v>3.582928822031062</v>
      </c>
      <c r="H38" t="n">
        <v>2.700790355479032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46066</v>
      </c>
      <c r="F39" s="2" t="n">
        <v>46094</v>
      </c>
      <c r="G39" t="n">
        <v>1.535816078957919</v>
      </c>
      <c r="H39" t="n">
        <v>-0.4602670936190045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46003</v>
      </c>
      <c r="F40" s="2" t="n">
        <v>46094</v>
      </c>
      <c r="G40" t="n">
        <v>4.860486048604873</v>
      </c>
      <c r="H40" t="n">
        <v>4.563232797081263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45912</v>
      </c>
      <c r="F41" s="2" t="n">
        <v>46094</v>
      </c>
      <c r="G41" t="n">
        <v>14.94666666666666</v>
      </c>
      <c r="H41" t="n">
        <v>13.04915698033464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45729</v>
      </c>
      <c r="F42" s="2" t="n">
        <v>46094</v>
      </c>
      <c r="G42" t="n">
        <v>38.29002245749118</v>
      </c>
      <c r="H42" t="n">
        <v>42.43120959512676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44998</v>
      </c>
      <c r="F43" s="2" t="n">
        <v>46094</v>
      </c>
      <c r="G43" t="n">
        <v>63.64844343204255</v>
      </c>
      <c r="H43" t="n">
        <v>80.89710625227336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44267</v>
      </c>
      <c r="F44" s="2" t="n">
        <v>46094</v>
      </c>
      <c r="G44" t="n">
        <v>85.94970018549675</v>
      </c>
      <c r="H44" t="n">
        <v>77.47730939232854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42440</v>
      </c>
      <c r="F45" s="2" t="n">
        <v>46094</v>
      </c>
      <c r="G45" t="n">
        <v>208.8193150881215</v>
      </c>
      <c r="H45" t="n">
        <v>188.604615223404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46094</v>
      </c>
      <c r="G46" t="n">
        <v>111.3371399329459</v>
      </c>
      <c r="H46" t="n">
        <v>72.76117203960474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46094</v>
      </c>
      <c r="G47" t="n">
        <v>4.664179237256971</v>
      </c>
      <c r="H47" t="n">
        <v>3.772832568213547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46066</v>
      </c>
      <c r="F48" s="2" t="n">
        <v>46094</v>
      </c>
      <c r="G48" t="n">
        <v>3.030298784320129</v>
      </c>
      <c r="H48" t="n">
        <v>1.004835715120711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46003</v>
      </c>
      <c r="F49" s="2" t="n">
        <v>46094</v>
      </c>
      <c r="G49" t="n">
        <v>6.628651532683594</v>
      </c>
      <c r="H49" t="n">
        <v>6.326385974244575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45912</v>
      </c>
      <c r="F50" s="2" t="n">
        <v>46094</v>
      </c>
      <c r="G50" t="n">
        <v>9.838468205815175</v>
      </c>
      <c r="H50" t="n">
        <v>8.025283331504717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45729</v>
      </c>
      <c r="F51" s="2" t="n">
        <v>46094</v>
      </c>
      <c r="G51" t="n">
        <v>25.13592511659266</v>
      </c>
      <c r="H51" t="n">
        <v>28.88320401885949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44998</v>
      </c>
      <c r="F52" s="2" t="n">
        <v>46094</v>
      </c>
      <c r="G52" t="n">
        <v>10.25672552562136</v>
      </c>
      <c r="H52" t="n">
        <v>21.87786314459248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44267</v>
      </c>
      <c r="F53" s="2" t="n">
        <v>46094</v>
      </c>
      <c r="G53" t="n">
        <v>2.150900548121704</v>
      </c>
      <c r="H53" t="n">
        <v>-2.50338148865703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42440</v>
      </c>
      <c r="F54" s="2" t="n">
        <v>46094</v>
      </c>
      <c r="G54" t="n">
        <v>81.95823997519499</v>
      </c>
      <c r="H54" t="n">
        <v>70.04761447574646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46094</v>
      </c>
      <c r="G55" t="n">
        <v>-12.17221373914504</v>
      </c>
      <c r="H55" t="n">
        <v>-21.18023421911579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46094</v>
      </c>
      <c r="G56" t="n">
        <v>-2.848451327433632</v>
      </c>
      <c r="H56" t="n">
        <v>-3.675818531120423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46066</v>
      </c>
      <c r="F57" s="2" t="n">
        <v>46094</v>
      </c>
      <c r="G57" t="n">
        <v>-5.156587473002161</v>
      </c>
      <c r="H57" t="n">
        <v>-7.021105306075892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46003</v>
      </c>
      <c r="F58" s="2" t="n">
        <v>46094</v>
      </c>
      <c r="G58" t="n">
        <v>-2.830536603356071</v>
      </c>
      <c r="H58" t="n">
        <v>-3.10598772924604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45912</v>
      </c>
      <c r="F59" s="2" t="n">
        <v>46094</v>
      </c>
      <c r="G59" t="n">
        <v>2.131989533869572</v>
      </c>
      <c r="H59" t="n">
        <v>0.4460212057329604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45729</v>
      </c>
      <c r="F60" s="2" t="n">
        <v>46094</v>
      </c>
      <c r="G60" t="n">
        <v>6.519102486355366</v>
      </c>
      <c r="H60" t="n">
        <v>9.70888819388589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44998</v>
      </c>
      <c r="F61" s="2" t="n">
        <v>46094</v>
      </c>
      <c r="G61" t="n">
        <v>20.65254722381227</v>
      </c>
      <c r="H61" t="n">
        <v>33.36941187477191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44267</v>
      </c>
      <c r="F62" s="2" t="n">
        <v>46094</v>
      </c>
      <c r="G62" t="n">
        <v>48.66694879390605</v>
      </c>
      <c r="H62" t="n">
        <v>41.89326490544909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42440</v>
      </c>
      <c r="F63" s="2" t="n">
        <v>46094</v>
      </c>
      <c r="G63" t="n">
        <v>158.4355076017656</v>
      </c>
      <c r="H63" t="n">
        <v>141.5188318457012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46094</v>
      </c>
      <c r="G64" t="n">
        <v>111.6333121280413</v>
      </c>
      <c r="H64" t="n">
        <v>74.30035099654265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46094</v>
      </c>
      <c r="G65" t="n">
        <v>-4.466883618764006</v>
      </c>
      <c r="H65" t="n">
        <v>-6.50538910188615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46066</v>
      </c>
      <c r="F66" s="2" t="n">
        <v>46094</v>
      </c>
      <c r="G66" t="n">
        <v>-5.926285839747358</v>
      </c>
      <c r="H66" t="n">
        <v>-8.675019155459118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46003</v>
      </c>
      <c r="F67" s="2" t="n">
        <v>46094</v>
      </c>
      <c r="G67" t="n">
        <v>-3.13108827588563</v>
      </c>
      <c r="H67" t="n">
        <v>-4.927999270388295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45912</v>
      </c>
      <c r="F68" s="2" t="n">
        <v>46094</v>
      </c>
      <c r="G68" t="n">
        <v>-1.181868205884373</v>
      </c>
      <c r="H68" t="n">
        <v>-2.976227081368787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45729</v>
      </c>
      <c r="F69" s="2" t="n">
        <v>46094</v>
      </c>
      <c r="G69" t="n">
        <v>3.367788522912485</v>
      </c>
      <c r="H69" t="n">
        <v>9.401234563188886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44998</v>
      </c>
      <c r="F70" s="2" t="n">
        <v>46094</v>
      </c>
      <c r="G70" t="n">
        <v>54.09914200826056</v>
      </c>
      <c r="H70" t="n">
        <v>66.18660139243681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44267</v>
      </c>
      <c r="F71" s="2" t="n">
        <v>46094</v>
      </c>
      <c r="G71" t="n">
        <v>57.1451651741633</v>
      </c>
      <c r="H71" t="n">
        <v>51.05620118564964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42440</v>
      </c>
      <c r="F72" s="2" t="n">
        <v>46094</v>
      </c>
      <c r="G72" t="n">
        <v>123.6080642392381</v>
      </c>
      <c r="H72" t="n">
        <v>130.4739904225656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46094</v>
      </c>
      <c r="G73" t="n">
        <v>157.4386193175058</v>
      </c>
      <c r="H73" t="n">
        <v>101.1623889312909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46094</v>
      </c>
      <c r="G74" t="n">
        <v>-5.450921773791729</v>
      </c>
      <c r="H74" t="n">
        <v>-6.256125679771984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46066</v>
      </c>
      <c r="F75" s="2" t="n">
        <v>46094</v>
      </c>
      <c r="G75" t="n">
        <v>-6.614173228346454</v>
      </c>
      <c r="H75" t="n">
        <v>-8.450036518509263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46003</v>
      </c>
      <c r="F76" s="2" t="n">
        <v>46094</v>
      </c>
      <c r="G76" t="n">
        <v>-4.820183578271564</v>
      </c>
      <c r="H76" t="n">
        <v>-5.089994552613852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45912</v>
      </c>
      <c r="F77" s="2" t="n">
        <v>46094</v>
      </c>
      <c r="G77" t="n">
        <v>-1.182106962453788</v>
      </c>
      <c r="H77" t="n">
        <v>-2.813367047319215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45729</v>
      </c>
      <c r="F78" s="2" t="n">
        <v>46094</v>
      </c>
      <c r="G78" t="n">
        <v>6.702654071075109</v>
      </c>
      <c r="H78" t="n">
        <v>9.897936353472181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44998</v>
      </c>
      <c r="F79" s="2" t="n">
        <v>46094</v>
      </c>
      <c r="G79" t="n">
        <v>50.83061759796517</v>
      </c>
      <c r="H79" t="n">
        <v>66.72827242041899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44267</v>
      </c>
      <c r="F80" s="2" t="n">
        <v>46094</v>
      </c>
      <c r="G80" t="n">
        <v>58.7152893944463</v>
      </c>
      <c r="H80" t="n">
        <v>51.48377487595495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42440</v>
      </c>
      <c r="F81" s="2" t="n">
        <v>46094</v>
      </c>
      <c r="G81" t="n">
        <v>96.58849364761176</v>
      </c>
      <c r="H81" t="n">
        <v>83.72020075987763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46094</v>
      </c>
      <c r="G82" t="n">
        <v>281.3773149726927</v>
      </c>
      <c r="H82" t="n">
        <v>246.0400284810881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46094</v>
      </c>
      <c r="G83" t="n">
        <v>-3.838571466274399</v>
      </c>
      <c r="H83" t="n">
        <v>-3.838571466274399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46066</v>
      </c>
      <c r="F84" s="2" t="n">
        <v>46094</v>
      </c>
      <c r="G84" t="n">
        <v>-11.84979176210041</v>
      </c>
      <c r="H84" t="n">
        <v>-11.84979176210041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46003</v>
      </c>
      <c r="F85" s="2" t="n">
        <v>46094</v>
      </c>
      <c r="G85" t="n">
        <v>-3.757747169416548</v>
      </c>
      <c r="H85" t="n">
        <v>-3.757747169416548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45912</v>
      </c>
      <c r="F86" s="2" t="n">
        <v>46094</v>
      </c>
      <c r="G86" t="n">
        <v>-0.7008031642465995</v>
      </c>
      <c r="H86" t="n">
        <v>-0.7008031642465995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45729</v>
      </c>
      <c r="F87" s="2" t="n">
        <v>46094</v>
      </c>
      <c r="G87" t="n">
        <v>40.27607594790295</v>
      </c>
      <c r="H87" t="n">
        <v>40.27607594790295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44998</v>
      </c>
      <c r="F88" s="2" t="n">
        <v>46094</v>
      </c>
      <c r="G88" t="n">
        <v>134.7745118957957</v>
      </c>
      <c r="H88" t="n">
        <v>134.7745118957957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44267</v>
      </c>
      <c r="F89" s="2" t="n">
        <v>46094</v>
      </c>
      <c r="G89" t="n">
        <v>178.099956514156</v>
      </c>
      <c r="H89" t="n">
        <v>178.099956514156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42440</v>
      </c>
      <c r="F90" s="2" t="n">
        <v>46094</v>
      </c>
      <c r="G90" t="n">
        <v>273.1314470395454</v>
      </c>
      <c r="H90" t="n">
        <v>273.1314470395454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46094</v>
      </c>
      <c r="G91" t="n">
        <v>92.87413294972153</v>
      </c>
      <c r="H91" t="n">
        <v>92.87413294972153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46094</v>
      </c>
      <c r="G92" t="n">
        <v>7.105883430032178</v>
      </c>
      <c r="H92" t="n">
        <v>7.105883430032178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46066</v>
      </c>
      <c r="F93" s="2" t="n">
        <v>46094</v>
      </c>
      <c r="G93" t="n">
        <v>-1.684662618034194</v>
      </c>
      <c r="H93" t="n">
        <v>-1.684662618034194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46003</v>
      </c>
      <c r="F94" s="2" t="n">
        <v>46094</v>
      </c>
      <c r="G94" t="n">
        <v>7.410845576321812</v>
      </c>
      <c r="H94" t="n">
        <v>7.410845576321812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45912</v>
      </c>
      <c r="F95" s="2" t="n">
        <v>46094</v>
      </c>
      <c r="G95" t="n">
        <v>7.165838324178786</v>
      </c>
      <c r="H95" t="n">
        <v>7.165838324178786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45729</v>
      </c>
      <c r="F96" s="2" t="n">
        <v>46094</v>
      </c>
      <c r="G96" t="n">
        <v>32.08539108042461</v>
      </c>
      <c r="H96" t="n">
        <v>32.08539108042461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44998</v>
      </c>
      <c r="F97" s="2" t="n">
        <v>46094</v>
      </c>
      <c r="G97" t="n">
        <v>28.6135111067807</v>
      </c>
      <c r="H97" t="n">
        <v>28.6135111067807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44267</v>
      </c>
      <c r="F98" s="2" t="n">
        <v>46094</v>
      </c>
      <c r="G98" t="n">
        <v>2.679019337855681</v>
      </c>
      <c r="H98" t="n">
        <v>2.679019337855681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42440</v>
      </c>
      <c r="F99" s="2" t="n">
        <v>46094</v>
      </c>
      <c r="G99" t="n">
        <v>68.83692030111021</v>
      </c>
      <c r="H99" t="n">
        <v>68.83692030111021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46094</v>
      </c>
      <c r="G100" t="n">
        <v>335.0153450079464</v>
      </c>
      <c r="H100" t="n">
        <v>335.0153450079464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46094</v>
      </c>
      <c r="G101" t="n">
        <v>-12.26983881708139</v>
      </c>
      <c r="H101" t="n">
        <v>-12.26983881708139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46066</v>
      </c>
      <c r="F102" s="2" t="n">
        <v>46094</v>
      </c>
      <c r="G102" t="n">
        <v>-10.46897343505859</v>
      </c>
      <c r="H102" t="n">
        <v>-10.46897343505859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46003</v>
      </c>
      <c r="F103" s="2" t="n">
        <v>46094</v>
      </c>
      <c r="G103" t="n">
        <v>-11.28148818915168</v>
      </c>
      <c r="H103" t="n">
        <v>-11.28148818915168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45912</v>
      </c>
      <c r="F104" s="2" t="n">
        <v>46094</v>
      </c>
      <c r="G104" t="n">
        <v>-11.4062488079071</v>
      </c>
      <c r="H104" t="n">
        <v>-11.4062488079071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45729</v>
      </c>
      <c r="F105" s="2" t="n">
        <v>46094</v>
      </c>
      <c r="G105" t="n">
        <v>-1.970953296405609</v>
      </c>
      <c r="H105" t="n">
        <v>-1.970953296405609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44998</v>
      </c>
      <c r="F106" s="2" t="n">
        <v>46094</v>
      </c>
      <c r="G106" t="n">
        <v>24.34211109703837</v>
      </c>
      <c r="H106" t="n">
        <v>24.34211109703837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44267</v>
      </c>
      <c r="F107" s="2" t="n">
        <v>46094</v>
      </c>
      <c r="G107" t="n">
        <v>20.99871964238558</v>
      </c>
      <c r="H107" t="n">
        <v>20.99871964238558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42440</v>
      </c>
      <c r="F108" s="2" t="n">
        <v>46094</v>
      </c>
      <c r="G108" t="n">
        <v>98.66853168911956</v>
      </c>
      <c r="H108" t="n">
        <v>98.66853168911956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46094</v>
      </c>
      <c r="G109" t="n">
        <v>235.5029706673475</v>
      </c>
      <c r="H109" t="n">
        <v>235.5029706673475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46094</v>
      </c>
      <c r="G110" t="n">
        <v>-17.10833804322295</v>
      </c>
      <c r="H110" t="n">
        <v>-18.70040988067545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46066</v>
      </c>
      <c r="F111" s="2" t="n">
        <v>46094</v>
      </c>
      <c r="G111" t="n">
        <v>-10.74295606603941</v>
      </c>
      <c r="H111" t="n">
        <v>-13.35095142917865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46003</v>
      </c>
      <c r="F112" s="2" t="n">
        <v>46094</v>
      </c>
      <c r="G112" t="n">
        <v>-16.13796950735692</v>
      </c>
      <c r="H112" t="n">
        <v>-17.69360383762302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45912</v>
      </c>
      <c r="F113" s="2" t="n">
        <v>46094</v>
      </c>
      <c r="G113" t="n">
        <v>-15.63637621039195</v>
      </c>
      <c r="H113" t="n">
        <v>-17.16826731546064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45729</v>
      </c>
      <c r="F114" s="2" t="n">
        <v>46094</v>
      </c>
      <c r="G114" t="n">
        <v>-16.40654005867385</v>
      </c>
      <c r="H114" t="n">
        <v>-11.5272963689029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44998</v>
      </c>
      <c r="F115" s="2" t="n">
        <v>46094</v>
      </c>
      <c r="G115" t="n">
        <v>-30.94630378286735</v>
      </c>
      <c r="H115" t="n">
        <v>-25.52976649736388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44267</v>
      </c>
      <c r="F116" s="2" t="n">
        <v>46094</v>
      </c>
      <c r="G116" t="n">
        <v>-19.01790249599989</v>
      </c>
      <c r="H116" t="n">
        <v>-22.1557468889194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42440</v>
      </c>
      <c r="F117" s="2" t="n">
        <v>46094</v>
      </c>
      <c r="G117" t="n">
        <v>-14.01127222707159</v>
      </c>
      <c r="H117" t="n">
        <v>-11.3709727392342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46094</v>
      </c>
      <c r="G118" t="n">
        <v>-8.292785727941265</v>
      </c>
      <c r="H118" t="n">
        <v>-27.39541924516867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46094</v>
      </c>
      <c r="G119" t="n">
        <v>-4.141358225969938</v>
      </c>
      <c r="H119" t="n">
        <v>-4.141358225969938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46066</v>
      </c>
      <c r="F120" s="2" t="n">
        <v>46094</v>
      </c>
      <c r="G120" t="n">
        <v>-6.229742577309438</v>
      </c>
      <c r="H120" t="n">
        <v>-6.229742577309438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46003</v>
      </c>
      <c r="F121" s="2" t="n">
        <v>46094</v>
      </c>
      <c r="G121" t="n">
        <v>-1.674459512228987</v>
      </c>
      <c r="H121" t="n">
        <v>-1.674459512228987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45912</v>
      </c>
      <c r="F122" s="2" t="n">
        <v>46094</v>
      </c>
      <c r="G122" t="n">
        <v>2.013693823373086</v>
      </c>
      <c r="H122" t="n">
        <v>2.013693823373086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45729</v>
      </c>
      <c r="F123" s="2" t="n">
        <v>46094</v>
      </c>
      <c r="G123" t="n">
        <v>28.0210212961401</v>
      </c>
      <c r="H123" t="n">
        <v>28.0210212961401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44998</v>
      </c>
      <c r="F124" s="2" t="n">
        <v>46094</v>
      </c>
      <c r="G124" t="n">
        <v>98.98202233516891</v>
      </c>
      <c r="H124" t="n">
        <v>98.98202233516891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44267</v>
      </c>
      <c r="F125" s="2" t="n">
        <v>46094</v>
      </c>
      <c r="G125" t="n">
        <v>96.55378761806128</v>
      </c>
      <c r="H125" t="n">
        <v>96.55378761806128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42440</v>
      </c>
      <c r="F126" s="2" t="n">
        <v>46094</v>
      </c>
      <c r="G126" t="n">
        <v>188.4681698397378</v>
      </c>
      <c r="H126" t="n">
        <v>188.4681698397378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46094</v>
      </c>
      <c r="G127" t="n">
        <v>555.0288061786154</v>
      </c>
      <c r="H127" t="n">
        <v>555.0288061786154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46094</v>
      </c>
      <c r="G128" t="n">
        <v>3.503788088164583</v>
      </c>
      <c r="H128" t="n">
        <v>3.503788088164583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46066</v>
      </c>
      <c r="F129" s="2" t="n">
        <v>46094</v>
      </c>
      <c r="G129" t="n">
        <v>-10.64975510649871</v>
      </c>
      <c r="H129" t="n">
        <v>-10.64975510649871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46003</v>
      </c>
      <c r="F130" s="2" t="n">
        <v>46094</v>
      </c>
      <c r="G130" t="n">
        <v>3.389350528468693</v>
      </c>
      <c r="H130" t="n">
        <v>3.389350528468693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45912</v>
      </c>
      <c r="F131" s="2" t="n">
        <v>46094</v>
      </c>
      <c r="G131" t="n">
        <v>7.648186805184709</v>
      </c>
      <c r="H131" t="n">
        <v>7.648186805184709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45729</v>
      </c>
      <c r="F132" s="2" t="n">
        <v>46094</v>
      </c>
      <c r="G132" t="n">
        <v>26.245761114592</v>
      </c>
      <c r="H132" t="n">
        <v>26.245761114592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44998</v>
      </c>
      <c r="F133" s="2" t="n">
        <v>46094</v>
      </c>
      <c r="G133" t="n">
        <v>62.77376937012919</v>
      </c>
      <c r="H133" t="n">
        <v>62.77376937012919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44267</v>
      </c>
      <c r="F134" s="2" t="n">
        <v>46094</v>
      </c>
      <c r="G134" t="n">
        <v>38.10418802958633</v>
      </c>
      <c r="H134" t="n">
        <v>38.10418802958633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42440</v>
      </c>
      <c r="F135" s="2" t="n">
        <v>46094</v>
      </c>
      <c r="G135" t="n">
        <v>126.3644342874397</v>
      </c>
      <c r="H135" t="n">
        <v>126.3644342874397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46094</v>
      </c>
      <c r="G136" t="n">
        <v>136.9827562749852</v>
      </c>
      <c r="H136" t="n">
        <v>136.9827562749852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46094</v>
      </c>
      <c r="G137" t="n">
        <v>5.904944791166589</v>
      </c>
      <c r="H137" t="n">
        <v>5.003031448294526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46066</v>
      </c>
      <c r="F138" s="2" t="n">
        <v>46094</v>
      </c>
      <c r="G138" t="n">
        <v>-1.054047992823515</v>
      </c>
      <c r="H138" t="n">
        <v>-2.999217268289245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46003</v>
      </c>
      <c r="F139" s="2" t="n">
        <v>46094</v>
      </c>
      <c r="G139" t="n">
        <v>8.163765628830589</v>
      </c>
      <c r="H139" t="n">
        <v>7.857148405872971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45912</v>
      </c>
      <c r="F140" s="2" t="n">
        <v>46094</v>
      </c>
      <c r="G140" t="n">
        <v>16.73501785950522</v>
      </c>
      <c r="H140" t="n">
        <v>14.80798653666664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45729</v>
      </c>
      <c r="F141" s="2" t="n">
        <v>46094</v>
      </c>
      <c r="G141" t="n">
        <v>26.94576319953961</v>
      </c>
      <c r="H141" t="n">
        <v>30.74723891266174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44998</v>
      </c>
      <c r="F142" s="2" t="n">
        <v>46094</v>
      </c>
      <c r="G142" t="n">
        <v>35.19227822889537</v>
      </c>
      <c r="H142" t="n">
        <v>49.44164091249093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44267</v>
      </c>
      <c r="F143" s="2" t="n">
        <v>46094</v>
      </c>
      <c r="G143" t="n">
        <v>31.97726592880645</v>
      </c>
      <c r="H143" t="n">
        <v>25.96401088377389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42440</v>
      </c>
      <c r="F144" s="2" t="n">
        <v>46094</v>
      </c>
      <c r="G144" t="n">
        <v>37.38128600342519</v>
      </c>
      <c r="H144" t="n">
        <v>28.38857949866622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46094</v>
      </c>
      <c r="G145" t="n">
        <v>8.592922440666007</v>
      </c>
      <c r="H145" t="n">
        <v>-3.770109742717975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46094</v>
      </c>
      <c r="G146" t="n">
        <v>4.836065573770498</v>
      </c>
      <c r="H146" t="n">
        <v>3.943255077134644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46066</v>
      </c>
      <c r="F147" s="2" t="n">
        <v>46094</v>
      </c>
      <c r="G147" t="n">
        <v>-8.134314957802113</v>
      </c>
      <c r="H147" t="n">
        <v>-9.940293922972254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46003</v>
      </c>
      <c r="F148" s="2" t="n">
        <v>46094</v>
      </c>
      <c r="G148" t="n">
        <v>5.615194054500416</v>
      </c>
      <c r="H148" t="n">
        <v>5.315801394538444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45912</v>
      </c>
      <c r="F149" s="2" t="n">
        <v>46094</v>
      </c>
      <c r="G149" t="n">
        <v>14.75998205473308</v>
      </c>
      <c r="H149" t="n">
        <v>12.86555410943546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45729</v>
      </c>
      <c r="F150" s="2" t="n">
        <v>46094</v>
      </c>
      <c r="G150" t="n">
        <v>43.0328765980689</v>
      </c>
      <c r="H150" t="n">
        <v>47.31609167245369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44998</v>
      </c>
      <c r="F151" s="2" t="n">
        <v>46094</v>
      </c>
      <c r="G151" t="n">
        <v>31.69274958033619</v>
      </c>
      <c r="H151" t="n">
        <v>45.57325944490813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44267</v>
      </c>
      <c r="F152" s="2" t="n">
        <v>46094</v>
      </c>
      <c r="G152" t="n">
        <v>95.89522931138251</v>
      </c>
      <c r="H152" t="n">
        <v>86.96969226782893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42440</v>
      </c>
      <c r="F153" s="2" t="n">
        <v>46094</v>
      </c>
      <c r="G153" t="n">
        <v>94.22930903568718</v>
      </c>
      <c r="H153" t="n">
        <v>81.51544369352905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46094</v>
      </c>
      <c r="G154" t="n">
        <v>39.758505805526</v>
      </c>
      <c r="H154" t="n">
        <v>24.55834233131826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46094</v>
      </c>
      <c r="G155" t="n">
        <v>2.805545016773148</v>
      </c>
      <c r="H155" t="n">
        <v>2.805545016773148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46066</v>
      </c>
      <c r="F156" s="2" t="n">
        <v>46094</v>
      </c>
      <c r="G156" t="n">
        <v>-4.898621870262176</v>
      </c>
      <c r="H156" t="n">
        <v>-4.898621870262176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46003</v>
      </c>
      <c r="F157" s="2" t="n">
        <v>46094</v>
      </c>
      <c r="G157" t="n">
        <v>3.871244961794496</v>
      </c>
      <c r="H157" t="n">
        <v>3.871244961794496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45912</v>
      </c>
      <c r="F158" s="2" t="n">
        <v>46094</v>
      </c>
      <c r="G158" t="n">
        <v>11.35848338897212</v>
      </c>
      <c r="H158" t="n">
        <v>11.35848338897212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45729</v>
      </c>
      <c r="F159" s="2" t="n">
        <v>46094</v>
      </c>
      <c r="G159" t="n">
        <v>29.64566786000211</v>
      </c>
      <c r="H159" t="n">
        <v>29.64566786000211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44998</v>
      </c>
      <c r="F160" s="2" t="n">
        <v>46094</v>
      </c>
      <c r="G160" t="n">
        <v>61.43454090344716</v>
      </c>
      <c r="H160" t="n">
        <v>61.43454090344716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44267</v>
      </c>
      <c r="F161" s="2" t="n">
        <v>46094</v>
      </c>
      <c r="G161" t="n">
        <v>47.14046663130203</v>
      </c>
      <c r="H161" t="n">
        <v>47.14046663130203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42440</v>
      </c>
      <c r="F162" s="2" t="n">
        <v>46094</v>
      </c>
      <c r="G162" t="n">
        <v>201.014630332484</v>
      </c>
      <c r="H162" t="n">
        <v>201.014630332484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46094</v>
      </c>
      <c r="G163" t="n">
        <v>716.9295385454584</v>
      </c>
      <c r="H163" t="n">
        <v>716.9295385454584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46094</v>
      </c>
      <c r="G164" t="n">
        <v>-14.98200273187674</v>
      </c>
      <c r="H164" t="n">
        <v>-14.98200273187674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46066</v>
      </c>
      <c r="F165" s="2" t="n">
        <v>46094</v>
      </c>
      <c r="G165" t="n">
        <v>-16.77961442886792</v>
      </c>
      <c r="H165" t="n">
        <v>-16.77961442886792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46003</v>
      </c>
      <c r="F166" s="2" t="n">
        <v>46094</v>
      </c>
      <c r="G166" t="n">
        <v>-13.56982281311366</v>
      </c>
      <c r="H166" t="n">
        <v>-13.56982281311366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45912</v>
      </c>
      <c r="F167" s="2" t="n">
        <v>46094</v>
      </c>
      <c r="G167" t="n">
        <v>-5.71253397794218</v>
      </c>
      <c r="H167" t="n">
        <v>-5.71253397794218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45729</v>
      </c>
      <c r="F168" s="2" t="n">
        <v>46094</v>
      </c>
      <c r="G168" t="n">
        <v>16.95237840924943</v>
      </c>
      <c r="H168" t="n">
        <v>16.95237840924943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44998</v>
      </c>
      <c r="F169" s="2" t="n">
        <v>46094</v>
      </c>
      <c r="G169" t="n">
        <v>164.6551742742235</v>
      </c>
      <c r="H169" t="n">
        <v>164.6551742742235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44267</v>
      </c>
      <c r="F170" s="2" t="n">
        <v>46094</v>
      </c>
      <c r="G170" t="n">
        <v>34.64912156869389</v>
      </c>
      <c r="H170" t="n">
        <v>34.64912156869389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42440</v>
      </c>
      <c r="F171" s="2" t="n">
        <v>46094</v>
      </c>
      <c r="G171" t="n">
        <v>-13.76404543293801</v>
      </c>
      <c r="H171" t="n">
        <v>-13.76404543293801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46094</v>
      </c>
      <c r="G172" t="n">
        <v>33.47826073435618</v>
      </c>
      <c r="H172" t="n">
        <v>33.47826073435618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46094</v>
      </c>
      <c r="G173" t="n">
        <v>0.266078094685418</v>
      </c>
      <c r="H173" t="n">
        <v>-0.5878132306853634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46066</v>
      </c>
      <c r="F174" s="2" t="n">
        <v>46094</v>
      </c>
      <c r="G174" t="n">
        <v>-5.830903641861662</v>
      </c>
      <c r="H174" t="n">
        <v>-7.682165156035959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46003</v>
      </c>
      <c r="F175" s="2" t="n">
        <v>46094</v>
      </c>
      <c r="G175" t="n">
        <v>0.6678539444511911</v>
      </c>
      <c r="H175" t="n">
        <v>0.3824857563329065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45912</v>
      </c>
      <c r="F176" s="2" t="n">
        <v>46094</v>
      </c>
      <c r="G176" t="n">
        <v>-2.03639379813535</v>
      </c>
      <c r="H176" t="n">
        <v>-3.65355153803838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45729</v>
      </c>
      <c r="F177" s="2" t="n">
        <v>46094</v>
      </c>
      <c r="G177" t="n">
        <v>-3.540950515823904</v>
      </c>
      <c r="H177" t="n">
        <v>-0.6524198182805474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44998</v>
      </c>
      <c r="F178" s="2" t="n">
        <v>46094</v>
      </c>
      <c r="G178" t="n">
        <v>-9.378755068731214</v>
      </c>
      <c r="H178" t="n">
        <v>0.1727888713619397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44267</v>
      </c>
      <c r="F179" s="2" t="n">
        <v>46094</v>
      </c>
      <c r="G179" t="n">
        <v>-6.916421661224225</v>
      </c>
      <c r="H179" t="n">
        <v>-11.15757102218515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42440</v>
      </c>
      <c r="F180" s="2" t="n">
        <v>46094</v>
      </c>
      <c r="G180" t="n">
        <v>-16.44493680572089</v>
      </c>
      <c r="H180" t="n">
        <v>-21.91428552235763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46094</v>
      </c>
      <c r="G181" t="n">
        <v>38.71166018620589</v>
      </c>
      <c r="H181" t="n">
        <v>15.69445547292567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46094</v>
      </c>
      <c r="G182" t="n">
        <v>-1.502056498493565</v>
      </c>
      <c r="H182" t="n">
        <v>-1.502056498493565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46066</v>
      </c>
      <c r="F183" s="2" t="n">
        <v>46094</v>
      </c>
      <c r="G183" t="n">
        <v>-7.68574335420853</v>
      </c>
      <c r="H183" t="n">
        <v>-7.68574335420853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46003</v>
      </c>
      <c r="F184" s="2" t="n">
        <v>46094</v>
      </c>
      <c r="G184" t="n">
        <v>2.933246366057785</v>
      </c>
      <c r="H184" t="n">
        <v>2.933246366057785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45912</v>
      </c>
      <c r="F185" s="2" t="n">
        <v>46094</v>
      </c>
      <c r="G185" t="n">
        <v>12.82585529369786</v>
      </c>
      <c r="H185" t="n">
        <v>12.82585529369786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45729</v>
      </c>
      <c r="F186" s="2" t="n">
        <v>46094</v>
      </c>
      <c r="G186" t="n">
        <v>30.86070826493636</v>
      </c>
      <c r="H186" t="n">
        <v>30.86070826493636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44998</v>
      </c>
      <c r="F187" s="2" t="n">
        <v>46094</v>
      </c>
      <c r="G187" t="n">
        <v>144.8702485618086</v>
      </c>
      <c r="H187" t="n">
        <v>144.8702485618086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44267</v>
      </c>
      <c r="F188" s="2" t="n">
        <v>46094</v>
      </c>
      <c r="G188" t="n">
        <v>91.5609304754808</v>
      </c>
      <c r="H188" t="n">
        <v>91.5609304754808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42440</v>
      </c>
      <c r="F189" s="2" t="n">
        <v>46094</v>
      </c>
      <c r="G189" t="n">
        <v>97.56541985119198</v>
      </c>
      <c r="H189" t="n">
        <v>97.56541985119198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46094</v>
      </c>
      <c r="G190" t="n">
        <v>29.47746102754889</v>
      </c>
      <c r="H190" t="n">
        <v>29.47746102754889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46094</v>
      </c>
      <c r="G191" t="n">
        <v>0.5812174977057216</v>
      </c>
      <c r="H191" t="n">
        <v>-0.2753576346677389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46066</v>
      </c>
      <c r="F192" s="2" t="n">
        <v>46094</v>
      </c>
      <c r="G192" t="n">
        <v>-4.455637349864383</v>
      </c>
      <c r="H192" t="n">
        <v>-6.333935096269617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46003</v>
      </c>
      <c r="F193" s="2" t="n">
        <v>46094</v>
      </c>
      <c r="G193" t="n">
        <v>3.820650457846542</v>
      </c>
      <c r="H193" t="n">
        <v>3.526344880151755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45912</v>
      </c>
      <c r="F194" s="2" t="n">
        <v>46094</v>
      </c>
      <c r="G194" t="n">
        <v>16.26591230551626</v>
      </c>
      <c r="H194" t="n">
        <v>14.34662485519194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45729</v>
      </c>
      <c r="F195" s="2" t="n">
        <v>46094</v>
      </c>
      <c r="G195" t="n">
        <v>28.69892132042355</v>
      </c>
      <c r="H195" t="n">
        <v>32.55289652505944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44998</v>
      </c>
      <c r="F196" s="2" t="n">
        <v>46094</v>
      </c>
      <c r="G196" t="n">
        <v>126.2385321100918</v>
      </c>
      <c r="H196" t="n">
        <v>150.0842349806566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44267</v>
      </c>
      <c r="F197" s="2" t="n">
        <v>46094</v>
      </c>
      <c r="G197" t="n">
        <v>102.2803748162461</v>
      </c>
      <c r="H197" t="n">
        <v>93.06391260349638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42440</v>
      </c>
      <c r="F198" s="2" t="n">
        <v>46094</v>
      </c>
      <c r="G198" t="n">
        <v>116.078860898138</v>
      </c>
      <c r="H198" t="n">
        <v>101.934767226667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46094</v>
      </c>
      <c r="G199" t="n">
        <v>57.47126436781609</v>
      </c>
      <c r="H199" t="n">
        <v>31.46523473879035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46094</v>
      </c>
      <c r="G200" t="n">
        <v>4.436519170206066</v>
      </c>
      <c r="H200" t="n">
        <v>4.436519170206066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46066</v>
      </c>
      <c r="F201" s="2" t="n">
        <v>46094</v>
      </c>
      <c r="G201" t="n">
        <v>-3.501645784260321</v>
      </c>
      <c r="H201" t="n">
        <v>-3.501645784260321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46003</v>
      </c>
      <c r="F202" s="2" t="n">
        <v>46094</v>
      </c>
      <c r="G202" t="n">
        <v>3.415991108228567</v>
      </c>
      <c r="H202" t="n">
        <v>3.415991108228567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45912</v>
      </c>
      <c r="F203" s="2" t="n">
        <v>46094</v>
      </c>
      <c r="G203" t="n">
        <v>6.188872067803186</v>
      </c>
      <c r="H203" t="n">
        <v>6.188872067803186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45729</v>
      </c>
      <c r="F204" s="2" t="n">
        <v>46094</v>
      </c>
      <c r="G204" t="n">
        <v>0.4146072917838861</v>
      </c>
      <c r="H204" t="n">
        <v>0.4146072917838861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44998</v>
      </c>
      <c r="F205" s="2" t="n">
        <v>46094</v>
      </c>
      <c r="G205" t="n">
        <v>13.62324322240747</v>
      </c>
      <c r="H205" t="n">
        <v>13.62324322240747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44267</v>
      </c>
      <c r="F206" s="2" t="n">
        <v>46094</v>
      </c>
      <c r="G206" t="n">
        <v>25.76392989246166</v>
      </c>
      <c r="H206" t="n">
        <v>25.76392989246166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46094</v>
      </c>
      <c r="G207" t="n">
        <v>24.94047577373926</v>
      </c>
      <c r="H207" t="n">
        <v>24.94047577373926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46094</v>
      </c>
      <c r="G208" t="n">
        <v>-1.381319756283705</v>
      </c>
      <c r="H208" t="n">
        <v>-1.381319756283705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46066</v>
      </c>
      <c r="F209" s="2" t="n">
        <v>46094</v>
      </c>
      <c r="G209" t="n">
        <v>-4.706709465775538</v>
      </c>
      <c r="H209" t="n">
        <v>-4.706709465775538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46003</v>
      </c>
      <c r="F210" s="2" t="n">
        <v>46094</v>
      </c>
      <c r="G210" t="n">
        <v>0.2151352340010515</v>
      </c>
      <c r="H210" t="n">
        <v>0.2151352340010515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45912</v>
      </c>
      <c r="F211" s="2" t="n">
        <v>46094</v>
      </c>
      <c r="G211" t="n">
        <v>-4.172084409808019</v>
      </c>
      <c r="H211" t="n">
        <v>-4.172084409808019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45729</v>
      </c>
      <c r="F212" s="2" t="n">
        <v>46094</v>
      </c>
      <c r="G212" t="n">
        <v>23.00916035129037</v>
      </c>
      <c r="H212" t="n">
        <v>23.00916035129037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44998</v>
      </c>
      <c r="F213" s="2" t="n">
        <v>46094</v>
      </c>
      <c r="G213" t="n">
        <v>72.66851192036235</v>
      </c>
      <c r="H213" t="n">
        <v>72.66851192036235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44267</v>
      </c>
      <c r="F214" s="2" t="n">
        <v>46094</v>
      </c>
      <c r="G214" t="n">
        <v>50.07305334054442</v>
      </c>
      <c r="H214" t="n">
        <v>50.07305334054442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42440</v>
      </c>
      <c r="F215" s="2" t="n">
        <v>46094</v>
      </c>
      <c r="G215" t="n">
        <v>94.82320368434549</v>
      </c>
      <c r="H215" t="n">
        <v>94.82320368434549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46094</v>
      </c>
      <c r="G216" t="n">
        <v>200.5491746427343</v>
      </c>
      <c r="H216" t="n">
        <v>200.5491746427343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46094</v>
      </c>
      <c r="G217" t="n">
        <v>-3.062824377607221</v>
      </c>
      <c r="H217" t="n">
        <v>-3.062824377607221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46066</v>
      </c>
      <c r="F218" s="2" t="n">
        <v>46094</v>
      </c>
      <c r="G218" t="n">
        <v>-11.43460812546043</v>
      </c>
      <c r="H218" t="n">
        <v>-11.43460812546043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46003</v>
      </c>
      <c r="F219" s="2" t="n">
        <v>46094</v>
      </c>
      <c r="G219" t="n">
        <v>2.765618741147247</v>
      </c>
      <c r="H219" t="n">
        <v>2.765618741147247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45912</v>
      </c>
      <c r="F220" s="2" t="n">
        <v>46094</v>
      </c>
      <c r="G220" t="n">
        <v>17.2324220005649</v>
      </c>
      <c r="H220" t="n">
        <v>17.2324220005649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45729</v>
      </c>
      <c r="F221" s="2" t="n">
        <v>46094</v>
      </c>
      <c r="G221" t="n">
        <v>56.97860077317996</v>
      </c>
      <c r="H221" t="n">
        <v>56.97860077317996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44998</v>
      </c>
      <c r="F222" s="2" t="n">
        <v>46094</v>
      </c>
      <c r="G222" t="n">
        <v>96.5846292798231</v>
      </c>
      <c r="H222" t="n">
        <v>96.5846292798231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44267</v>
      </c>
      <c r="F223" s="2" t="n">
        <v>46094</v>
      </c>
      <c r="G223" t="n">
        <v>66.38798168729083</v>
      </c>
      <c r="H223" t="n">
        <v>66.38798168729083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42440</v>
      </c>
      <c r="F224" s="2" t="n">
        <v>46094</v>
      </c>
      <c r="G224" t="n">
        <v>120.7972875049369</v>
      </c>
      <c r="H224" t="n">
        <v>120.7972875049369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46094</v>
      </c>
      <c r="G225" t="n">
        <v>141.0098424198084</v>
      </c>
      <c r="H225" t="n">
        <v>141.0098424198084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46094</v>
      </c>
      <c r="G226" t="n">
        <v>-1.16627790736421</v>
      </c>
      <c r="H226" t="n">
        <v>-2.007970926106917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46066</v>
      </c>
      <c r="F227" s="2" t="n">
        <v>46094</v>
      </c>
      <c r="G227" t="n">
        <v>-7.945375543140898</v>
      </c>
      <c r="H227" t="n">
        <v>-9.75506885070574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46003</v>
      </c>
      <c r="F228" s="2" t="n">
        <v>46094</v>
      </c>
      <c r="G228" t="n">
        <v>3.924316748423262</v>
      </c>
      <c r="H228" t="n">
        <v>3.629717302722435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45912</v>
      </c>
      <c r="F229" s="2" t="n">
        <v>46094</v>
      </c>
      <c r="G229" t="n">
        <v>20.37337662337661</v>
      </c>
      <c r="H229" t="n">
        <v>18.38628422006481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45729</v>
      </c>
      <c r="F230" s="2" t="n">
        <v>46094</v>
      </c>
      <c r="G230" t="n">
        <v>54.31841831425599</v>
      </c>
      <c r="H230" t="n">
        <v>58.93958647712692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44998</v>
      </c>
      <c r="F231" s="2" t="n">
        <v>46094</v>
      </c>
      <c r="G231" t="n">
        <v>81.03763987792473</v>
      </c>
      <c r="H231" t="n">
        <v>100.119136423423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44267</v>
      </c>
      <c r="F232" s="2" t="n">
        <v>46094</v>
      </c>
      <c r="G232" t="n">
        <v>75.29550827423171</v>
      </c>
      <c r="H232" t="n">
        <v>67.30855239904186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42440</v>
      </c>
      <c r="F233" s="2" t="n">
        <v>46094</v>
      </c>
      <c r="G233" t="n">
        <v>140.8119079837618</v>
      </c>
      <c r="H233" t="n">
        <v>125.0488381046882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46094</v>
      </c>
      <c r="G234" t="n">
        <v>195.9115144695081</v>
      </c>
      <c r="H234" t="n">
        <v>143.1465297051878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46094</v>
      </c>
      <c r="G235" t="n">
        <v>28.63339141914489</v>
      </c>
      <c r="H235" t="n">
        <v>28.63339141914489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46066</v>
      </c>
      <c r="F236" s="2" t="n">
        <v>46094</v>
      </c>
      <c r="G236" t="n">
        <v>-4.885369594613442</v>
      </c>
      <c r="H236" t="n">
        <v>-4.885369594613442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46003</v>
      </c>
      <c r="F237" s="2" t="n">
        <v>46094</v>
      </c>
      <c r="G237" t="n">
        <v>40.15685041403388</v>
      </c>
      <c r="H237" t="n">
        <v>40.15685041403388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45912</v>
      </c>
      <c r="F238" s="2" t="n">
        <v>46094</v>
      </c>
      <c r="G238" t="n">
        <v>67.14628297362111</v>
      </c>
      <c r="H238" t="n">
        <v>67.14628297362111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45729</v>
      </c>
      <c r="F239" s="2" t="n">
        <v>46094</v>
      </c>
      <c r="G239" t="n">
        <v>137.7460067797175</v>
      </c>
      <c r="H239" t="n">
        <v>137.7460067797175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44998</v>
      </c>
      <c r="F240" s="2" t="n">
        <v>46094</v>
      </c>
      <c r="G240" t="n">
        <v>128.944946265446</v>
      </c>
      <c r="H240" t="n">
        <v>128.944946265446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44267</v>
      </c>
      <c r="F241" s="2" t="n">
        <v>46094</v>
      </c>
      <c r="G241" t="n">
        <v>53.91749969892836</v>
      </c>
      <c r="H241" t="n">
        <v>53.91749969892836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42440</v>
      </c>
      <c r="F242" s="2" t="n">
        <v>46094</v>
      </c>
      <c r="G242" t="n">
        <v>210.3709209902279</v>
      </c>
      <c r="H242" t="n">
        <v>210.3709209902279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46094</v>
      </c>
      <c r="G243" t="n">
        <v>223.5840388811524</v>
      </c>
      <c r="H243" t="n">
        <v>223.5840388811524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46094</v>
      </c>
      <c r="G244" t="n">
        <v>-1.096896307951944</v>
      </c>
      <c r="H244" t="n">
        <v>-3.207311280383829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46066</v>
      </c>
      <c r="F245" s="2" t="n">
        <v>46094</v>
      </c>
      <c r="G245" t="n">
        <v>-3.392859867640918</v>
      </c>
      <c r="H245" t="n">
        <v>-6.215617180752798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46003</v>
      </c>
      <c r="F246" s="2" t="n">
        <v>46094</v>
      </c>
      <c r="G246" t="n">
        <v>2.133277756044882</v>
      </c>
      <c r="H246" t="n">
        <v>0.2387131693474043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45912</v>
      </c>
      <c r="F247" s="2" t="n">
        <v>46094</v>
      </c>
      <c r="G247" t="n">
        <v>13.71518151664342</v>
      </c>
      <c r="H247" t="n">
        <v>11.65031911207142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45729</v>
      </c>
      <c r="F248" s="2" t="n">
        <v>46094</v>
      </c>
      <c r="G248" t="n">
        <v>38.84254654757904</v>
      </c>
      <c r="H248" t="n">
        <v>46.94660898965883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44998</v>
      </c>
      <c r="F249" s="2" t="n">
        <v>46094</v>
      </c>
      <c r="G249" t="n">
        <v>110.0155201608451</v>
      </c>
      <c r="H249" t="n">
        <v>126.4890321928251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44267</v>
      </c>
      <c r="F250" s="2" t="n">
        <v>46094</v>
      </c>
      <c r="G250" t="n">
        <v>134.1991237260707</v>
      </c>
      <c r="H250" t="n">
        <v>125.124520451264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42440</v>
      </c>
      <c r="F251" s="2" t="n">
        <v>46094</v>
      </c>
      <c r="G251" t="n">
        <v>173.2130080461307</v>
      </c>
      <c r="H251" t="n">
        <v>181.60206302924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46094</v>
      </c>
      <c r="G252" t="n">
        <v>184.2267281937199</v>
      </c>
      <c r="H252" t="n">
        <v>121.5673619442786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46094</v>
      </c>
      <c r="G253" t="n">
        <v>0.2234422331391483</v>
      </c>
      <c r="H253" t="n">
        <v>0.2234422331391483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46066</v>
      </c>
      <c r="F254" s="2" t="n">
        <v>46094</v>
      </c>
      <c r="G254" t="n">
        <v>-7.723959180528562</v>
      </c>
      <c r="H254" t="n">
        <v>-7.723959180528562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46003</v>
      </c>
      <c r="F255" s="2" t="n">
        <v>46094</v>
      </c>
      <c r="G255" t="n">
        <v>1.156937574220329</v>
      </c>
      <c r="H255" t="n">
        <v>1.156937574220329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45912</v>
      </c>
      <c r="F256" s="2" t="n">
        <v>46094</v>
      </c>
      <c r="G256" t="n">
        <v>5.73940783671989</v>
      </c>
      <c r="H256" t="n">
        <v>5.73940783671989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45729</v>
      </c>
      <c r="F257" s="2" t="n">
        <v>46094</v>
      </c>
      <c r="G257" t="n">
        <v>18.61047260287667</v>
      </c>
      <c r="H257" t="n">
        <v>18.61047260287667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44998</v>
      </c>
      <c r="F258" s="2" t="n">
        <v>46094</v>
      </c>
      <c r="G258" t="n">
        <v>58.86937571885706</v>
      </c>
      <c r="H258" t="n">
        <v>58.86937571885706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44267</v>
      </c>
      <c r="F259" s="2" t="n">
        <v>46094</v>
      </c>
      <c r="G259" t="n">
        <v>28.53107597276381</v>
      </c>
      <c r="H259" t="n">
        <v>28.53107597276381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42440</v>
      </c>
      <c r="F260" s="2" t="n">
        <v>46094</v>
      </c>
      <c r="G260" t="n">
        <v>134.0907147365635</v>
      </c>
      <c r="H260" t="n">
        <v>134.0907147365635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46094</v>
      </c>
      <c r="G261" t="n">
        <v>1019.863097092772</v>
      </c>
      <c r="H261" t="n">
        <v>1019.863097092772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46094</v>
      </c>
      <c r="G262" t="n">
        <v>0.7143966902954935</v>
      </c>
      <c r="H262" t="n">
        <v>-1.21999032537623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46066</v>
      </c>
      <c r="F263" s="2" t="n">
        <v>46094</v>
      </c>
      <c r="G263" t="n">
        <v>-4.153113642434136</v>
      </c>
      <c r="H263" t="n">
        <v>-6.953657153339698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46003</v>
      </c>
      <c r="F264" s="2" t="n">
        <v>46094</v>
      </c>
      <c r="G264" t="n">
        <v>3.693635108571947</v>
      </c>
      <c r="H264" t="n">
        <v>1.770126010862572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45912</v>
      </c>
      <c r="F265" s="2" t="n">
        <v>46094</v>
      </c>
      <c r="G265" t="n">
        <v>8.863528191667269</v>
      </c>
      <c r="H265" t="n">
        <v>6.886763052712297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45729</v>
      </c>
      <c r="F266" s="2" t="n">
        <v>46094</v>
      </c>
      <c r="G266" t="n">
        <v>9.692150487931329</v>
      </c>
      <c r="H266" t="n">
        <v>16.09474147365329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44998</v>
      </c>
      <c r="F267" s="2" t="n">
        <v>46094</v>
      </c>
      <c r="G267" t="n">
        <v>35.48522228192856</v>
      </c>
      <c r="H267" t="n">
        <v>46.11261514178702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44267</v>
      </c>
      <c r="F268" s="2" t="n">
        <v>46094</v>
      </c>
      <c r="G268" t="n">
        <v>54.35882215407246</v>
      </c>
      <c r="H268" t="n">
        <v>48.37782166726867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42440</v>
      </c>
      <c r="F269" s="2" t="n">
        <v>46094</v>
      </c>
      <c r="G269" t="n">
        <v>-94.27231445609281</v>
      </c>
      <c r="H269" t="n">
        <v>-94.09644483225087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46094</v>
      </c>
      <c r="G270" t="n">
        <v>-88.3739686707893</v>
      </c>
      <c r="H270" t="n">
        <v>-90.65194348102099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46094</v>
      </c>
      <c r="G271" t="n">
        <v>-0.3203110159032296</v>
      </c>
      <c r="H271" t="n">
        <v>-1.169208503035413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46066</v>
      </c>
      <c r="F272" s="2" t="n">
        <v>46094</v>
      </c>
      <c r="G272" t="n">
        <v>-5.051273358141906</v>
      </c>
      <c r="H272" t="n">
        <v>-6.917861551612836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46003</v>
      </c>
      <c r="F273" s="2" t="n">
        <v>46094</v>
      </c>
      <c r="G273" t="n">
        <v>1.854716243408583</v>
      </c>
      <c r="H273" t="n">
        <v>1.565983597516274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45912</v>
      </c>
      <c r="F274" s="2" t="n">
        <v>46094</v>
      </c>
      <c r="G274" t="n">
        <v>8.735319395778607</v>
      </c>
      <c r="H274" t="n">
        <v>6.940345015197225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45729</v>
      </c>
      <c r="F275" s="2" t="n">
        <v>46094</v>
      </c>
      <c r="G275" t="n">
        <v>12.89364401572526</v>
      </c>
      <c r="H275" t="n">
        <v>16.27431962927099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44998</v>
      </c>
      <c r="F276" s="2" t="n">
        <v>46094</v>
      </c>
      <c r="G276" t="n">
        <v>32.68980990472716</v>
      </c>
      <c r="H276" t="n">
        <v>46.67541063961949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44267</v>
      </c>
      <c r="F277" s="2" t="n">
        <v>46094</v>
      </c>
      <c r="G277" t="n">
        <v>-96.12218743915498</v>
      </c>
      <c r="H277" t="n">
        <v>-96.29887147470525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42440</v>
      </c>
      <c r="F278" s="2" t="n">
        <v>46094</v>
      </c>
      <c r="G278" t="n">
        <v>80.26440684158322</v>
      </c>
      <c r="H278" t="n">
        <v>68.46465629957414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46094</v>
      </c>
      <c r="G279" t="n">
        <v>-93.68239976976189</v>
      </c>
      <c r="H279" t="n">
        <v>-94.31180374733623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46094</v>
      </c>
      <c r="G280" t="n">
        <v>-2.068041832393297</v>
      </c>
      <c r="H280" t="n">
        <v>-2.068041832393297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46066</v>
      </c>
      <c r="F281" s="2" t="n">
        <v>46094</v>
      </c>
      <c r="G281" t="n">
        <v>-7.947953632322513</v>
      </c>
      <c r="H281" t="n">
        <v>-7.947953632322513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46003</v>
      </c>
      <c r="F282" s="2" t="n">
        <v>46094</v>
      </c>
      <c r="G282" t="n">
        <v>0.5996270262516035</v>
      </c>
      <c r="H282" t="n">
        <v>0.5996270262516035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45912</v>
      </c>
      <c r="F283" s="2" t="n">
        <v>46094</v>
      </c>
      <c r="G283" t="n">
        <v>5.516621043391301</v>
      </c>
      <c r="H283" t="n">
        <v>5.516621043391301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45729</v>
      </c>
      <c r="F284" s="2" t="n">
        <v>46094</v>
      </c>
      <c r="G284" t="n">
        <v>14.74563534343305</v>
      </c>
      <c r="H284" t="n">
        <v>14.74563534343305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44998</v>
      </c>
      <c r="F285" s="2" t="n">
        <v>46094</v>
      </c>
      <c r="G285" t="n">
        <v>44.93549502088054</v>
      </c>
      <c r="H285" t="n">
        <v>44.93549502088054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44267</v>
      </c>
      <c r="F286" s="2" t="n">
        <v>46094</v>
      </c>
      <c r="G286" t="n">
        <v>47.55221857031773</v>
      </c>
      <c r="H286" t="n">
        <v>47.55221857031773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42440</v>
      </c>
      <c r="F287" s="2" t="n">
        <v>46094</v>
      </c>
      <c r="G287" t="n">
        <v>142.9874339673572</v>
      </c>
      <c r="H287" t="n">
        <v>142.9874339673572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46094</v>
      </c>
      <c r="G288" t="n">
        <v>785.0590298004095</v>
      </c>
      <c r="H288" t="n">
        <v>785.0590298004095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46094</v>
      </c>
      <c r="G289" t="n">
        <v>12.7847443793129</v>
      </c>
      <c r="H289" t="n">
        <v>11.82424092002021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46066</v>
      </c>
      <c r="F290" s="2" t="n">
        <v>46094</v>
      </c>
      <c r="G290" t="n">
        <v>-1.015889554571503</v>
      </c>
      <c r="H290" t="n">
        <v>-2.961808983228775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46003</v>
      </c>
      <c r="F291" s="2" t="n">
        <v>46094</v>
      </c>
      <c r="G291" t="n">
        <v>16.51973936374091</v>
      </c>
      <c r="H291" t="n">
        <v>16.18943504513894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45912</v>
      </c>
      <c r="F292" s="2" t="n">
        <v>46094</v>
      </c>
      <c r="G292" t="n">
        <v>23.15670069680764</v>
      </c>
      <c r="H292" t="n">
        <v>21.12366190337691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45729</v>
      </c>
      <c r="F293" s="2" t="n">
        <v>46094</v>
      </c>
      <c r="G293" t="n">
        <v>53.2258064516129</v>
      </c>
      <c r="H293" t="n">
        <v>57.81425562209668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44998</v>
      </c>
      <c r="F294" s="2" t="n">
        <v>46094</v>
      </c>
      <c r="G294" t="n">
        <v>96.58561821003624</v>
      </c>
      <c r="H294" t="n">
        <v>117.3058827765589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44267</v>
      </c>
      <c r="F295" s="2" t="n">
        <v>46094</v>
      </c>
      <c r="G295" t="n">
        <v>101.404531601961</v>
      </c>
      <c r="H295" t="n">
        <v>92.22797526686296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42440</v>
      </c>
      <c r="F296" s="2" t="n">
        <v>46094</v>
      </c>
      <c r="G296" t="n">
        <v>444.9982072427393</v>
      </c>
      <c r="H296" t="n">
        <v>409.3237055261696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46094</v>
      </c>
      <c r="G297" t="n">
        <v>1048.904006046863</v>
      </c>
      <c r="H297" t="n">
        <v>942.449981596203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46094</v>
      </c>
      <c r="G298" t="n">
        <v>15.51624129930394</v>
      </c>
      <c r="H298" t="n">
        <v>14.53247572016394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46066</v>
      </c>
      <c r="F299" s="2" t="n">
        <v>46094</v>
      </c>
      <c r="G299" t="n">
        <v>-0.8464027881503688</v>
      </c>
      <c r="H299" t="n">
        <v>-2.795654141398307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46003</v>
      </c>
      <c r="F300" s="2" t="n">
        <v>46094</v>
      </c>
      <c r="G300" t="n">
        <v>15.95342066957786</v>
      </c>
      <c r="H300" t="n">
        <v>15.62472172283311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45912</v>
      </c>
      <c r="F301" s="2" t="n">
        <v>46094</v>
      </c>
      <c r="G301" t="n">
        <v>18.54166666666666</v>
      </c>
      <c r="H301" t="n">
        <v>16.58481165506178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45729</v>
      </c>
      <c r="F302" s="2" t="n">
        <v>46094</v>
      </c>
      <c r="G302" t="n">
        <v>38.32262545580829</v>
      </c>
      <c r="H302" t="n">
        <v>42.4647889120161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44998</v>
      </c>
      <c r="F303" s="2" t="n">
        <v>46094</v>
      </c>
      <c r="G303" t="n">
        <v>6.100159829515173</v>
      </c>
      <c r="H303" t="n">
        <v>17.2831924553762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44267</v>
      </c>
      <c r="F304" s="2" t="n">
        <v>46094</v>
      </c>
      <c r="G304" t="n">
        <v>10.93162512184931</v>
      </c>
      <c r="H304" t="n">
        <v>5.87726860276927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42440</v>
      </c>
      <c r="F305" s="2" t="n">
        <v>46094</v>
      </c>
      <c r="G305" t="n">
        <v>56.78016138555402</v>
      </c>
      <c r="H305" t="n">
        <v>46.51764297330185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46094</v>
      </c>
      <c r="G306" t="n">
        <v>73.52699760286269</v>
      </c>
      <c r="H306" t="n">
        <v>53.7713836288271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46094</v>
      </c>
      <c r="G307" t="n">
        <v>12.3184250552699</v>
      </c>
      <c r="H307" t="n">
        <v>12.3184250552699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46066</v>
      </c>
      <c r="F308" s="2" t="n">
        <v>46094</v>
      </c>
      <c r="G308" t="n">
        <v>-8.43202574694698</v>
      </c>
      <c r="H308" t="n">
        <v>-8.43202574694698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46003</v>
      </c>
      <c r="F309" s="2" t="n">
        <v>46094</v>
      </c>
      <c r="G309" t="n">
        <v>12.16922239495792</v>
      </c>
      <c r="H309" t="n">
        <v>12.16922239495792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45912</v>
      </c>
      <c r="F310" s="2" t="n">
        <v>46094</v>
      </c>
      <c r="G310" t="n">
        <v>21.03291987382321</v>
      </c>
      <c r="H310" t="n">
        <v>21.03291987382321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45729</v>
      </c>
      <c r="F311" s="2" t="n">
        <v>46094</v>
      </c>
      <c r="G311" t="n">
        <v>4.667000599012638</v>
      </c>
      <c r="H311" t="n">
        <v>4.667000599012638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44998</v>
      </c>
      <c r="F312" s="2" t="n">
        <v>46094</v>
      </c>
      <c r="G312" t="n">
        <v>16.33701123067715</v>
      </c>
      <c r="H312" t="n">
        <v>16.33701123067715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44267</v>
      </c>
      <c r="F313" s="2" t="n">
        <v>46094</v>
      </c>
      <c r="G313" t="n">
        <v>62.72799229335169</v>
      </c>
      <c r="H313" t="n">
        <v>62.72799229335169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42440</v>
      </c>
      <c r="F314" s="2" t="n">
        <v>46094</v>
      </c>
      <c r="G314" t="n">
        <v>24.3515096344169</v>
      </c>
      <c r="H314" t="n">
        <v>24.3515096344169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46094</v>
      </c>
      <c r="G315" t="n">
        <v>30.13995536750473</v>
      </c>
      <c r="H315" t="n">
        <v>30.13995536750473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46094</v>
      </c>
      <c r="G316" t="n">
        <v>0</v>
      </c>
      <c r="H316" t="n">
        <v>-0.8516253369004967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46066</v>
      </c>
      <c r="F317" s="2" t="n">
        <v>46094</v>
      </c>
      <c r="G317" t="n">
        <v>0</v>
      </c>
      <c r="H317" t="n">
        <v>-1.965890707004014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46003</v>
      </c>
      <c r="F318" s="2" t="n">
        <v>46094</v>
      </c>
      <c r="G318" t="n">
        <v>0</v>
      </c>
      <c r="H318" t="n">
        <v>-0.2834749892212329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45912</v>
      </c>
      <c r="F319" s="2" t="n">
        <v>46094</v>
      </c>
      <c r="G319" t="n">
        <v>0</v>
      </c>
      <c r="H319" t="n">
        <v>-1.650773999244881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45729</v>
      </c>
      <c r="F320" s="2" t="n">
        <v>46094</v>
      </c>
      <c r="G320" t="n">
        <v>0</v>
      </c>
      <c r="H320" t="n">
        <v>2.994566827052569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44998</v>
      </c>
      <c r="F321" s="2" t="n">
        <v>46094</v>
      </c>
      <c r="G321" t="n">
        <v>-17.03398698284087</v>
      </c>
      <c r="H321" t="n">
        <v>-8.289309954084867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44267</v>
      </c>
      <c r="F322" s="2" t="n">
        <v>46094</v>
      </c>
      <c r="G322" t="n">
        <v>35.0225576028995</v>
      </c>
      <c r="H322" t="n">
        <v>28.87055051300555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42440</v>
      </c>
      <c r="F323" s="2" t="n">
        <v>46094</v>
      </c>
      <c r="G323" t="n">
        <v>-32.63524784302992</v>
      </c>
      <c r="H323" t="n">
        <v>-37.04481091043602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46094</v>
      </c>
      <c r="G324" t="n">
        <v>-99.43612293704946</v>
      </c>
      <c r="H324" t="n">
        <v>-99.61860222063382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46094</v>
      </c>
      <c r="G325" t="n">
        <v>4.614038924119845</v>
      </c>
      <c r="H325" t="n">
        <v>3.723119262687091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46066</v>
      </c>
      <c r="F326" s="2" t="n">
        <v>46094</v>
      </c>
      <c r="G326" t="n">
        <v>-0.8702859510982042</v>
      </c>
      <c r="H326" t="n">
        <v>-2.819067787465213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46003</v>
      </c>
      <c r="F327" s="2" t="n">
        <v>46094</v>
      </c>
      <c r="G327" t="n">
        <v>7.541868045408573</v>
      </c>
      <c r="H327" t="n">
        <v>7.23701374655854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45912</v>
      </c>
      <c r="F328" s="2" t="n">
        <v>46094</v>
      </c>
      <c r="G328" t="n">
        <v>12.27411405773293</v>
      </c>
      <c r="H328" t="n">
        <v>10.42072217498533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45729</v>
      </c>
      <c r="F329" s="2" t="n">
        <v>46094</v>
      </c>
      <c r="G329" t="n">
        <v>23.69747899159664</v>
      </c>
      <c r="H329" t="n">
        <v>27.40168266337932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44998</v>
      </c>
      <c r="F330" s="2" t="n">
        <v>46094</v>
      </c>
      <c r="G330" t="n">
        <v>50.01567889620571</v>
      </c>
      <c r="H330" t="n">
        <v>65.82743859744107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44267</v>
      </c>
      <c r="F331" s="2" t="n">
        <v>46094</v>
      </c>
      <c r="G331" t="n">
        <v>83.470757430489</v>
      </c>
      <c r="H331" t="n">
        <v>75.11131423418902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42440</v>
      </c>
      <c r="F332" s="2" t="n">
        <v>46094</v>
      </c>
      <c r="G332" t="n">
        <v>134.7399411187439</v>
      </c>
      <c r="H332" t="n">
        <v>119.374330147737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46094</v>
      </c>
      <c r="G333" t="n">
        <v>206.3720781300032</v>
      </c>
      <c r="H333" t="n">
        <v>161.9484664884256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46094</v>
      </c>
      <c r="G334" t="n">
        <v>3.953698135898964</v>
      </c>
      <c r="H334" t="n">
        <v>3.06840210392858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46066</v>
      </c>
      <c r="F335" s="2" t="n">
        <v>46094</v>
      </c>
      <c r="G335" t="n">
        <v>-1.378654623246967</v>
      </c>
      <c r="H335" t="n">
        <v>-3.317442487130884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46003</v>
      </c>
      <c r="F336" s="2" t="n">
        <v>46094</v>
      </c>
      <c r="G336" t="n">
        <v>6.855877202019167</v>
      </c>
      <c r="H336" t="n">
        <v>6.552967515638497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45912</v>
      </c>
      <c r="F337" s="2" t="n">
        <v>46094</v>
      </c>
      <c r="G337" t="n">
        <v>12.11089494163424</v>
      </c>
      <c r="H337" t="n">
        <v>10.26019743761699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45729</v>
      </c>
      <c r="F338" s="2" t="n">
        <v>46094</v>
      </c>
      <c r="G338" t="n">
        <v>23.92473118279568</v>
      </c>
      <c r="H338" t="n">
        <v>27.63574007330975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44998</v>
      </c>
      <c r="F339" s="2" t="n">
        <v>46094</v>
      </c>
      <c r="G339" t="n">
        <v>51.3129102844639</v>
      </c>
      <c r="H339" t="n">
        <v>67.26139910054218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44267</v>
      </c>
      <c r="F340" s="2" t="n">
        <v>46094</v>
      </c>
      <c r="G340" t="n">
        <v>80.32858136300416</v>
      </c>
      <c r="H340" t="n">
        <v>72.11230453673927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42440</v>
      </c>
      <c r="F341" s="2" t="n">
        <v>46094</v>
      </c>
      <c r="G341" t="n">
        <v>141.6846274829615</v>
      </c>
      <c r="H341" t="n">
        <v>125.8644311163902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46094</v>
      </c>
      <c r="G342" t="n">
        <v>219.9413942011104</v>
      </c>
      <c r="H342" t="n">
        <v>173.3537308971304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46094</v>
      </c>
      <c r="G343" t="n">
        <v>-3.276781071457735</v>
      </c>
      <c r="H343" t="n">
        <v>-3.276781071457735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46066</v>
      </c>
      <c r="F344" s="2" t="n">
        <v>46094</v>
      </c>
      <c r="G344" t="n">
        <v>-2.88227691088252</v>
      </c>
      <c r="H344" t="n">
        <v>-2.88227691088252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46003</v>
      </c>
      <c r="F345" s="2" t="n">
        <v>46094</v>
      </c>
      <c r="G345" t="n">
        <v>-2.133169859354067</v>
      </c>
      <c r="H345" t="n">
        <v>-2.133169859354067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45912</v>
      </c>
      <c r="F346" s="2" t="n">
        <v>46094</v>
      </c>
      <c r="G346" t="n">
        <v>1.497611416980216</v>
      </c>
      <c r="H346" t="n">
        <v>1.497611416980216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45729</v>
      </c>
      <c r="F347" s="2" t="n">
        <v>46094</v>
      </c>
      <c r="G347" t="n">
        <v>21.23316462566995</v>
      </c>
      <c r="H347" t="n">
        <v>21.23316462566995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44998</v>
      </c>
      <c r="F348" s="2" t="n">
        <v>46094</v>
      </c>
      <c r="G348" t="n">
        <v>77.82673522093066</v>
      </c>
      <c r="H348" t="n">
        <v>77.82673522093066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44267</v>
      </c>
      <c r="F349" s="2" t="n">
        <v>46094</v>
      </c>
      <c r="G349" t="n">
        <v>79.86855787427871</v>
      </c>
      <c r="H349" t="n">
        <v>79.86855787427871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42440</v>
      </c>
      <c r="F350" s="2" t="n">
        <v>46094</v>
      </c>
      <c r="G350" t="n">
        <v>279.518655008526</v>
      </c>
      <c r="H350" t="n">
        <v>279.518655008526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46094</v>
      </c>
      <c r="G351" t="n">
        <v>647.676376642937</v>
      </c>
      <c r="H351" t="n">
        <v>647.676376642937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46094</v>
      </c>
      <c r="G352" t="n">
        <v>-3.445366452138088</v>
      </c>
      <c r="H352" t="n">
        <v>-3.445366452138088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46066</v>
      </c>
      <c r="F353" s="2" t="n">
        <v>46094</v>
      </c>
      <c r="G353" t="n">
        <v>-2.857953106381217</v>
      </c>
      <c r="H353" t="n">
        <v>-2.857953106381217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46003</v>
      </c>
      <c r="F354" s="2" t="n">
        <v>46094</v>
      </c>
      <c r="G354" t="n">
        <v>-2.346750188157742</v>
      </c>
      <c r="H354" t="n">
        <v>-2.346750188157742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45912</v>
      </c>
      <c r="F355" s="2" t="n">
        <v>46094</v>
      </c>
      <c r="G355" t="n">
        <v>1.074633876659736</v>
      </c>
      <c r="H355" t="n">
        <v>1.074633876659736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45729</v>
      </c>
      <c r="F356" s="2" t="n">
        <v>46094</v>
      </c>
      <c r="G356" t="n">
        <v>21.11696411017918</v>
      </c>
      <c r="H356" t="n">
        <v>21.11696411017918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44998</v>
      </c>
      <c r="F357" s="2" t="n">
        <v>46094</v>
      </c>
      <c r="G357" t="n">
        <v>77.84108110517931</v>
      </c>
      <c r="H357" t="n">
        <v>77.84108110517931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44267</v>
      </c>
      <c r="F358" s="2" t="n">
        <v>46094</v>
      </c>
      <c r="G358" t="n">
        <v>75.42156011569234</v>
      </c>
      <c r="H358" t="n">
        <v>75.42156011569234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42440</v>
      </c>
      <c r="F359" s="2" t="n">
        <v>46094</v>
      </c>
      <c r="G359" t="n">
        <v>273.2332846964288</v>
      </c>
      <c r="H359" t="n">
        <v>273.2332846964288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46094</v>
      </c>
      <c r="G360" t="n">
        <v>626.0998237235447</v>
      </c>
      <c r="H360" t="n">
        <v>626.0998237235447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46094</v>
      </c>
      <c r="G361" t="n">
        <v>-10.53909664885868</v>
      </c>
      <c r="H361" t="n">
        <v>-11.30096836841706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46066</v>
      </c>
      <c r="F362" s="2" t="n">
        <v>46094</v>
      </c>
      <c r="G362" t="n">
        <v>-8.841966347740016</v>
      </c>
      <c r="H362" t="n">
        <v>-10.63403365999739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46003</v>
      </c>
      <c r="F363" s="2" t="n">
        <v>46094</v>
      </c>
      <c r="G363" t="n">
        <v>-2.899314707432787</v>
      </c>
      <c r="H363" t="n">
        <v>-3.174570864599635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45912</v>
      </c>
      <c r="F364" s="2" t="n">
        <v>46094</v>
      </c>
      <c r="G364" t="n">
        <v>-1.882102272727282</v>
      </c>
      <c r="H364" t="n">
        <v>-3.50180701701478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45729</v>
      </c>
      <c r="F365" s="2" t="n">
        <v>46094</v>
      </c>
      <c r="G365" t="n">
        <v>36.51185770750989</v>
      </c>
      <c r="H365" t="n">
        <v>40.59979651341219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44998</v>
      </c>
      <c r="F366" s="2" t="n">
        <v>46094</v>
      </c>
      <c r="G366" t="n">
        <v>29.65743782261849</v>
      </c>
      <c r="H366" t="n">
        <v>43.32342437424794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44267</v>
      </c>
      <c r="F367" s="2" t="n">
        <v>46094</v>
      </c>
      <c r="G367" t="n">
        <v>2.790178571428581</v>
      </c>
      <c r="H367" t="n">
        <v>-1.893230768236553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42440</v>
      </c>
      <c r="F368" s="2" t="n">
        <v>46094</v>
      </c>
      <c r="G368" t="n">
        <v>78.89284558109419</v>
      </c>
      <c r="H368" t="n">
        <v>67.18287471889222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46094</v>
      </c>
      <c r="G369" t="n">
        <v>17.02668360864041</v>
      </c>
      <c r="H369" t="n">
        <v>6.183339541002342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4" customWidth="1" min="4" max="4"/>
    <col width="14" customWidth="1" min="5" max="5"/>
    <col width="19" customWidth="1" min="6" max="6"/>
    <col width="26" customWidth="1" min="7" max="7"/>
    <col width="26" customWidth="1" min="8" max="8"/>
    <col width="36" customWidth="1" min="9" max="9"/>
    <col width="10" customWidth="1" min="10" max="10"/>
    <col width="16" customWidth="1" min="11" max="11"/>
    <col width="12" customWidth="1" min="12" max="12"/>
    <col width="20" customWidth="1" min="13" max="13"/>
    <col width="20" customWidth="1" min="14" max="14"/>
    <col width="25" customWidth="1" min="15" max="15"/>
    <col width="18" customWidth="1" min="16" max="16"/>
    <col width="26" customWidth="1" min="17" max="17"/>
    <col width="28" customWidth="1" min="18" max="18"/>
    <col width="17" customWidth="1" min="19" max="19"/>
    <col width="21" customWidth="1" min="20" max="20"/>
    <col width="18" customWidth="1" min="21" max="21"/>
    <col width="15" customWidth="1" min="22" max="22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8.596365375418458</v>
      </c>
      <c r="F13" t="n">
        <v>2.149</v>
      </c>
      <c r="G13" t="n">
        <v>5.21892</v>
      </c>
      <c r="H13" t="n">
        <v>6.489122</v>
      </c>
      <c r="I13" t="n">
        <v>-0.343943112028902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8.596365375418458</v>
      </c>
      <c r="N13" t="n">
        <v>-1.623719410215807</v>
      </c>
      <c r="O13" t="inlineStr"/>
      <c r="P13" t="n">
        <v>6.833065112028902</v>
      </c>
      <c r="Q13" t="n">
        <v>1.207198804096987</v>
      </c>
      <c r="R13" t="n">
        <v>5.558761011478741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3.381360261044275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3.381360261044275</v>
      </c>
      <c r="N17" t="n">
        <v>0</v>
      </c>
      <c r="O17" t="n">
        <v>0</v>
      </c>
      <c r="P17" t="n">
        <v>3.381360261044275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9.174815532035385</v>
      </c>
      <c r="F18" t="n">
        <v>2.117</v>
      </c>
      <c r="G18" t="n">
        <v>3.97037</v>
      </c>
      <c r="H18" t="n">
        <v>3.686931</v>
      </c>
      <c r="I18" t="n">
        <v>-5.487884532035386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9.174815532035385</v>
      </c>
      <c r="N18" t="n">
        <v>0</v>
      </c>
      <c r="O18" t="n">
        <v>0</v>
      </c>
      <c r="P18" t="n">
        <v>9.174815532035385</v>
      </c>
      <c r="Q18" t="n">
        <v>-0.2726150682094253</v>
      </c>
      <c r="R18" t="n">
        <v>9.473256123888607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50.19608992806097</v>
      </c>
      <c r="F19" t="n">
        <v>2.272</v>
      </c>
      <c r="G19" t="n">
        <v>3.269641</v>
      </c>
      <c r="H19" t="n">
        <v>5.38672</v>
      </c>
      <c r="I19" t="n">
        <v>-44.80936992806097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50.19608992806097</v>
      </c>
      <c r="N19" t="n">
        <v>0</v>
      </c>
      <c r="O19" t="n">
        <v>0</v>
      </c>
      <c r="P19" t="n">
        <v>50.19608992806097</v>
      </c>
      <c r="Q19" t="n">
        <v>2.050050428680006</v>
      </c>
      <c r="R19" t="n">
        <v>47.17884929711909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-24.17170174246399</v>
      </c>
      <c r="F20" t="n">
        <v>2.484</v>
      </c>
      <c r="G20" t="n">
        <v>4.339564</v>
      </c>
      <c r="H20" t="n">
        <v>9.163171</v>
      </c>
      <c r="I20" t="n">
        <v>33.33487274246399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-24.17170174246399</v>
      </c>
      <c r="N20" t="n">
        <v>0</v>
      </c>
      <c r="O20" t="n">
        <v>0</v>
      </c>
      <c r="P20" t="n">
        <v>-24.17170174246399</v>
      </c>
      <c r="Q20" t="n">
        <v>4.622989695013557</v>
      </c>
      <c r="R20" t="n">
        <v>-27.52233665030692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17.17948298808203</v>
      </c>
      <c r="F21" t="n">
        <v>1.755</v>
      </c>
      <c r="G21" t="n">
        <v>3.254669</v>
      </c>
      <c r="H21" t="n">
        <v>-2.154214</v>
      </c>
      <c r="I21" t="n">
        <v>-19.33369698808203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17.17948298808203</v>
      </c>
      <c r="N21" t="n">
        <v>0</v>
      </c>
      <c r="O21" t="n">
        <v>0</v>
      </c>
      <c r="P21" t="n">
        <v>17.17948298808203</v>
      </c>
      <c r="Q21" t="n">
        <v>-5.238390951288785</v>
      </c>
      <c r="R21" t="n">
        <v>23.6571267250719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-4.954180899703831</v>
      </c>
      <c r="F22" t="n">
        <v>-6.318</v>
      </c>
      <c r="G22" t="n">
        <v>-3.888989</v>
      </c>
      <c r="H22" t="n">
        <v>-2.027614</v>
      </c>
      <c r="I22" t="n">
        <v>2.926566899703831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-4.954180899703831</v>
      </c>
      <c r="N22" t="n">
        <v>0</v>
      </c>
      <c r="O22" t="n">
        <v>0</v>
      </c>
      <c r="P22" t="n">
        <v>-4.954180899703831</v>
      </c>
      <c r="Q22" t="n">
        <v>1.936692108786842</v>
      </c>
      <c r="R22" t="n">
        <v>-6.75995352207106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30.05673726443299</v>
      </c>
      <c r="F23" t="n">
        <v>4.795</v>
      </c>
      <c r="G23" t="n">
        <v>6.813772</v>
      </c>
      <c r="H23" t="n">
        <v>10.767423</v>
      </c>
      <c r="I23" t="n">
        <v>-19.28931426443298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30.05673726443299</v>
      </c>
      <c r="N23" t="n">
        <v>0</v>
      </c>
      <c r="O23" t="n">
        <v>0</v>
      </c>
      <c r="P23" t="n">
        <v>30.05673726443299</v>
      </c>
      <c r="Q23" t="n">
        <v>3.701443563196238</v>
      </c>
      <c r="R23" t="n">
        <v>25.414587102807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-22.06822639896721</v>
      </c>
      <c r="F24" t="n">
        <v>5.278</v>
      </c>
      <c r="G24" t="n">
        <v>10.283533</v>
      </c>
      <c r="H24" t="n">
        <v>-1.797265</v>
      </c>
      <c r="I24" t="n">
        <v>20.27096139896721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-22.06822639896721</v>
      </c>
      <c r="N24" t="n">
        <v>0</v>
      </c>
      <c r="O24" t="n">
        <v>0</v>
      </c>
      <c r="P24" t="n">
        <v>-22.06822639896721</v>
      </c>
      <c r="Q24" t="n">
        <v>-10.95430803977379</v>
      </c>
      <c r="R24" t="n">
        <v>-12.48114099013082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18.99447380133177</v>
      </c>
      <c r="F25" t="n">
        <v>-0.955</v>
      </c>
      <c r="G25" t="n">
        <v>5.629376</v>
      </c>
      <c r="H25" t="n">
        <v>8.405892</v>
      </c>
      <c r="I25" t="n">
        <v>-10.58858180133177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18.99447380133177</v>
      </c>
      <c r="N25" t="n">
        <v>0</v>
      </c>
      <c r="O25" t="n">
        <v>0</v>
      </c>
      <c r="P25" t="n">
        <v>18.99447380133177</v>
      </c>
      <c r="Q25" t="n">
        <v>2.628545228155277</v>
      </c>
      <c r="R25" t="n">
        <v>15.94676075432337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5.627047043752942</v>
      </c>
      <c r="F26" t="n">
        <v>-0.989</v>
      </c>
      <c r="G26" t="n">
        <v>2.323621</v>
      </c>
      <c r="H26" t="n">
        <v>2.368546</v>
      </c>
      <c r="I26" t="n">
        <v>-3.258501043752942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5.627047043752942</v>
      </c>
      <c r="N26" t="n">
        <v>0</v>
      </c>
      <c r="O26" t="n">
        <v>0</v>
      </c>
      <c r="P26" t="n">
        <v>5.627047043752942</v>
      </c>
      <c r="Q26" t="n">
        <v>0.04390521203538889</v>
      </c>
      <c r="R26" t="n">
        <v>5.58069161722996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-5.252866778496235</v>
      </c>
      <c r="F28" t="n">
        <v>0.764</v>
      </c>
      <c r="G28" t="n">
        <v>3.229582</v>
      </c>
      <c r="H28" t="n">
        <v>6.66283</v>
      </c>
      <c r="I28" t="n">
        <v>11.91569677849623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-5.252866778496235</v>
      </c>
      <c r="N28" t="n">
        <v>0</v>
      </c>
      <c r="O28" t="n">
        <v>0</v>
      </c>
      <c r="P28" t="n">
        <v>-5.252866778496235</v>
      </c>
      <c r="Q28" t="n">
        <v>3.325836999112908</v>
      </c>
      <c r="R28" t="n">
        <v>-8.302573709306404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13.66697676113036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13.66697676113036</v>
      </c>
      <c r="N32" t="n">
        <v>0</v>
      </c>
      <c r="O32" t="n">
        <v>0</v>
      </c>
      <c r="P32" t="n">
        <v>13.66697676113036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-0.6330896950706433</v>
      </c>
      <c r="F33" t="n">
        <v>1.193</v>
      </c>
      <c r="G33" t="n">
        <v>3.111388</v>
      </c>
      <c r="H33" t="n">
        <v>2.830244</v>
      </c>
      <c r="I33" t="n">
        <v>3.463333695070643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-0.6330896950706433</v>
      </c>
      <c r="N33" t="n">
        <v>0</v>
      </c>
      <c r="O33" t="n">
        <v>0</v>
      </c>
      <c r="P33" t="n">
        <v>-0.6330896950706433</v>
      </c>
      <c r="Q33" t="n">
        <v>-0.2726606748133742</v>
      </c>
      <c r="R33" t="n">
        <v>-0.3614144553500953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23.55753903689792</v>
      </c>
      <c r="F34" t="n">
        <v>1.475</v>
      </c>
      <c r="G34" t="n">
        <v>3.487083</v>
      </c>
      <c r="H34" t="n">
        <v>5.608458</v>
      </c>
      <c r="I34" t="n">
        <v>-17.94908103689792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23.55753903689792</v>
      </c>
      <c r="N34" t="n">
        <v>0</v>
      </c>
      <c r="O34" t="n">
        <v>0</v>
      </c>
      <c r="P34" t="n">
        <v>23.55753903689792</v>
      </c>
      <c r="Q34" t="n">
        <v>2.049893728100072</v>
      </c>
      <c r="R34" t="n">
        <v>21.07561754655272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-20.93008087155063</v>
      </c>
      <c r="F35" t="n">
        <v>1.878</v>
      </c>
      <c r="G35" t="n">
        <v>3.627359</v>
      </c>
      <c r="H35" t="n">
        <v>8.418059</v>
      </c>
      <c r="I35" t="n">
        <v>29.34813987155063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-20.93008087155063</v>
      </c>
      <c r="N35" t="n">
        <v>0</v>
      </c>
      <c r="O35" t="n">
        <v>0</v>
      </c>
      <c r="P35" t="n">
        <v>-20.93008087155063</v>
      </c>
      <c r="Q35" t="n">
        <v>4.623007061365381</v>
      </c>
      <c r="R35" t="n">
        <v>-24.42396624857872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26.61874084063178</v>
      </c>
      <c r="F36" t="n">
        <v>2.443</v>
      </c>
      <c r="G36" t="n">
        <v>4.342622</v>
      </c>
      <c r="H36" t="n">
        <v>-1.123258</v>
      </c>
      <c r="I36" t="n">
        <v>-27.74199884063178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26.61874084063178</v>
      </c>
      <c r="N36" t="n">
        <v>0</v>
      </c>
      <c r="O36" t="n">
        <v>0</v>
      </c>
      <c r="P36" t="n">
        <v>26.61874084063178</v>
      </c>
      <c r="Q36" t="n">
        <v>-5.238396259879563</v>
      </c>
      <c r="R36" t="n">
        <v>33.61819116936662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-0.9692949240197479</v>
      </c>
      <c r="F37" t="n">
        <v>-4.793</v>
      </c>
      <c r="G37" t="n">
        <v>-3.273778</v>
      </c>
      <c r="H37" t="n">
        <v>-1.400556</v>
      </c>
      <c r="I37" t="n">
        <v>-0.431261075980252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-0.9692949240197479</v>
      </c>
      <c r="N37" t="n">
        <v>0</v>
      </c>
      <c r="O37" t="n">
        <v>0</v>
      </c>
      <c r="P37" t="n">
        <v>-0.9692949240197479</v>
      </c>
      <c r="Q37" t="n">
        <v>1.936623729398956</v>
      </c>
      <c r="R37" t="n">
        <v>-2.850711105689319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11.6017536712566</v>
      </c>
      <c r="F38" t="n">
        <v>6.207</v>
      </c>
      <c r="G38" t="n">
        <v>9.120647</v>
      </c>
      <c r="H38" t="n">
        <v>13.159849</v>
      </c>
      <c r="I38" t="n">
        <v>1.5580953287434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11.6017536712566</v>
      </c>
      <c r="N38" t="n">
        <v>0</v>
      </c>
      <c r="O38" t="n">
        <v>0</v>
      </c>
      <c r="P38" t="n">
        <v>11.6017536712566</v>
      </c>
      <c r="Q38" t="n">
        <v>3.701592674734067</v>
      </c>
      <c r="R38" t="n">
        <v>7.61816746759314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-15.13185476701964</v>
      </c>
      <c r="F39" t="n">
        <v>4.26</v>
      </c>
      <c r="G39" t="n">
        <v>11.394791</v>
      </c>
      <c r="H39" t="n">
        <v>-0.8079539999999999</v>
      </c>
      <c r="I39" t="n">
        <v>14.32390076701964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-15.13185476701964</v>
      </c>
      <c r="N39" t="n">
        <v>0</v>
      </c>
      <c r="O39" t="n">
        <v>0</v>
      </c>
      <c r="P39" t="n">
        <v>-15.13185476701964</v>
      </c>
      <c r="Q39" t="n">
        <v>-10.95450295124366</v>
      </c>
      <c r="R39" t="n">
        <v>-4.691255542645456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7.145736474241038</v>
      </c>
      <c r="F40" t="n">
        <v>1.202</v>
      </c>
      <c r="G40" t="n">
        <v>5.763957</v>
      </c>
      <c r="H40" t="n">
        <v>8.544121000000001</v>
      </c>
      <c r="I40" t="n">
        <v>1.398384525758963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7.145736474241038</v>
      </c>
      <c r="N40" t="n">
        <v>0</v>
      </c>
      <c r="O40" t="n">
        <v>0</v>
      </c>
      <c r="P40" t="n">
        <v>7.145736474241038</v>
      </c>
      <c r="Q40" t="n">
        <v>2.628650186414072</v>
      </c>
      <c r="R40" t="n">
        <v>4.401389163378999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1.317339451743216</v>
      </c>
      <c r="F41" t="n">
        <v>1.019</v>
      </c>
      <c r="G41" t="n">
        <v>2.982714</v>
      </c>
      <c r="H41" t="n">
        <v>3.027883</v>
      </c>
      <c r="I41" t="n">
        <v>1.710543548256784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1.317339451743216</v>
      </c>
      <c r="N41" t="n">
        <v>0</v>
      </c>
      <c r="O41" t="n">
        <v>0</v>
      </c>
      <c r="P41" t="n">
        <v>1.317339451743216</v>
      </c>
      <c r="Q41" t="n">
        <v>0.04386073309028404</v>
      </c>
      <c r="R41" t="n">
        <v>1.272920406431011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-0.9811928867590192</v>
      </c>
      <c r="F43" t="n">
        <v>0.98</v>
      </c>
      <c r="G43" t="n">
        <v>2.746913</v>
      </c>
      <c r="H43" t="n">
        <v>6.16391</v>
      </c>
      <c r="I43" t="n">
        <v>7.145102886759019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-0.9811928867590192</v>
      </c>
      <c r="N43" t="n">
        <v>0</v>
      </c>
      <c r="O43" t="n">
        <v>0</v>
      </c>
      <c r="P43" t="n">
        <v>-0.9811928867590192</v>
      </c>
      <c r="Q43" t="n">
        <v>3.325644623515855</v>
      </c>
      <c r="R43" t="n">
        <v>-4.168217412015718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13.57471264367815</v>
      </c>
      <c r="F58" t="n">
        <v>1.942</v>
      </c>
      <c r="G58" t="n">
        <v>6.700485</v>
      </c>
      <c r="H58" t="n">
        <v>1.585353</v>
      </c>
      <c r="I58" t="n">
        <v>-10.14522498938593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13.57471264367815</v>
      </c>
      <c r="N58" t="n">
        <v>-1.623719410215807</v>
      </c>
      <c r="O58" t="inlineStr"/>
      <c r="P58" t="n">
        <v>11.73057798938593</v>
      </c>
      <c r="Q58" t="n">
        <v>-4.793915921235781</v>
      </c>
      <c r="R58" t="n">
        <v>17.35655244149203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4.259384674922595</v>
      </c>
      <c r="F73" t="n">
        <v>1.541</v>
      </c>
      <c r="G73" t="n">
        <v>4.015086</v>
      </c>
      <c r="H73" t="n">
        <v>6.009724</v>
      </c>
      <c r="I73" t="n">
        <v>3.443219191015696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4.259384674922595</v>
      </c>
      <c r="N73" t="n">
        <v>-1.623719410215807</v>
      </c>
      <c r="O73" t="inlineStr"/>
      <c r="P73" t="n">
        <v>2.566504808984305</v>
      </c>
      <c r="Q73" t="n">
        <v>1.917642917461637</v>
      </c>
      <c r="R73" t="n">
        <v>0.636653157342093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3.72081699369915</v>
      </c>
      <c r="F88" t="n">
        <v>4.163</v>
      </c>
      <c r="G88" t="n">
        <v>4.659559</v>
      </c>
      <c r="H88" t="n">
        <v>6.454994</v>
      </c>
      <c r="I88" t="n">
        <v>4.418312044261949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3.72081699369915</v>
      </c>
      <c r="N88" t="n">
        <v>-1.623719410215807</v>
      </c>
      <c r="O88" t="inlineStr"/>
      <c r="P88" t="n">
        <v>2.036681955738051</v>
      </c>
      <c r="Q88" t="n">
        <v>1.715499981285462</v>
      </c>
      <c r="R88" t="n">
        <v>0.3157650254992372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-3.311926605504589</v>
      </c>
      <c r="F103" t="n">
        <v>0.911</v>
      </c>
      <c r="G103" t="n">
        <v>2.453141</v>
      </c>
      <c r="H103" t="n">
        <v>5.860528</v>
      </c>
      <c r="I103" t="n">
        <v>10.74239762057472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-3.311926605504589</v>
      </c>
      <c r="N103" t="n">
        <v>-1.623719410215807</v>
      </c>
      <c r="O103" t="inlineStr"/>
      <c r="P103" t="n">
        <v>-4.881869620574719</v>
      </c>
      <c r="Q103" t="n">
        <v>3.325800444983762</v>
      </c>
      <c r="R103" t="n">
        <v>-7.943485586573019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-4.537402243687838</v>
      </c>
      <c r="F118" t="n">
        <v>0.944</v>
      </c>
      <c r="G118" t="n">
        <v>2.854457</v>
      </c>
      <c r="H118" t="n">
        <v>6.275164</v>
      </c>
      <c r="I118" t="n">
        <v>13.21498366380773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-4.537402243687838</v>
      </c>
      <c r="N118" t="n">
        <v>-2.516605955195728</v>
      </c>
      <c r="O118" t="inlineStr"/>
      <c r="P118" t="n">
        <v>-6.939819663807734</v>
      </c>
      <c r="Q118" t="n">
        <v>3.3257747234954</v>
      </c>
      <c r="R118" t="n">
        <v>-9.935172917671654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-5.214785214785211</v>
      </c>
      <c r="F133" t="n">
        <v>0.944</v>
      </c>
      <c r="G133" t="n">
        <v>2.854457</v>
      </c>
      <c r="H133" t="n">
        <v>6.275164</v>
      </c>
      <c r="I133" t="n">
        <v>13.02899514526749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-5.214785214785211</v>
      </c>
      <c r="N133" t="n">
        <v>-1.623719410215807</v>
      </c>
      <c r="O133" t="inlineStr"/>
      <c r="P133" t="n">
        <v>-6.753831145267486</v>
      </c>
      <c r="Q133" t="n">
        <v>3.3257747234954</v>
      </c>
      <c r="R133" t="n">
        <v>-9.755170862000684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-41.20250348025711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-41.20250348025711</v>
      </c>
      <c r="N137" t="n">
        <v>0</v>
      </c>
      <c r="O137" t="n">
        <v>0</v>
      </c>
      <c r="P137" t="n">
        <v>-41.20250348025711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-1.453793914987533</v>
      </c>
      <c r="F138" t="n">
        <v>-0.032</v>
      </c>
      <c r="G138" t="n">
        <v>-0.521775</v>
      </c>
      <c r="H138" t="n">
        <v>-0.7929619999999999</v>
      </c>
      <c r="I138" t="n">
        <v>0.6608319149875335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-1.453793914987533</v>
      </c>
      <c r="N138" t="n">
        <v>0</v>
      </c>
      <c r="O138" t="n">
        <v>0</v>
      </c>
      <c r="P138" t="n">
        <v>-1.453793914987533</v>
      </c>
      <c r="Q138" t="n">
        <v>-0.2726090758551236</v>
      </c>
      <c r="R138" t="n">
        <v>-1.184413658260497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30.60835257786874</v>
      </c>
      <c r="F139" t="n">
        <v>1.473</v>
      </c>
      <c r="G139" t="n">
        <v>1.680157</v>
      </c>
      <c r="H139" t="n">
        <v>3.763909</v>
      </c>
      <c r="I139" t="n">
        <v>-26.84444357786874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30.60835257786874</v>
      </c>
      <c r="N139" t="n">
        <v>0</v>
      </c>
      <c r="O139" t="n">
        <v>0</v>
      </c>
      <c r="P139" t="n">
        <v>30.60835257786874</v>
      </c>
      <c r="Q139" t="n">
        <v>2.049320116562869</v>
      </c>
      <c r="R139" t="n">
        <v>27.98551957885183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-32.43207291198799</v>
      </c>
      <c r="F140" t="n">
        <v>2.065</v>
      </c>
      <c r="G140" t="n">
        <v>1.824906</v>
      </c>
      <c r="H140" t="n">
        <v>6.532874</v>
      </c>
      <c r="I140" t="n">
        <v>38.96494691198799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-32.43207291198799</v>
      </c>
      <c r="N140" t="n">
        <v>0</v>
      </c>
      <c r="O140" t="n">
        <v>0</v>
      </c>
      <c r="P140" t="n">
        <v>-32.43207291198799</v>
      </c>
      <c r="Q140" t="n">
        <v>4.623591848279407</v>
      </c>
      <c r="R140" t="n">
        <v>-35.41807741986521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51.73709916839451</v>
      </c>
      <c r="F141" t="n">
        <v>2.277</v>
      </c>
      <c r="G141" t="n">
        <v>2.527462</v>
      </c>
      <c r="H141" t="n">
        <v>-2.843071</v>
      </c>
      <c r="I141" t="n">
        <v>-54.58017016839451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51.73709916839451</v>
      </c>
      <c r="N141" t="n">
        <v>0</v>
      </c>
      <c r="O141" t="n">
        <v>0</v>
      </c>
      <c r="P141" t="n">
        <v>51.73709916839451</v>
      </c>
      <c r="Q141" t="n">
        <v>-5.238140680804115</v>
      </c>
      <c r="R141" t="n">
        <v>60.12465379903871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-14.90059619388417</v>
      </c>
      <c r="F142" t="n">
        <v>-9.196</v>
      </c>
      <c r="G142" t="n">
        <v>-9.526355000000001</v>
      </c>
      <c r="H142" t="n">
        <v>-7.7746</v>
      </c>
      <c r="I142" t="n">
        <v>7.125996193884174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-14.90059619388417</v>
      </c>
      <c r="N142" t="n">
        <v>0</v>
      </c>
      <c r="O142" t="n">
        <v>0</v>
      </c>
      <c r="P142" t="n">
        <v>-14.90059619388417</v>
      </c>
      <c r="Q142" t="n">
        <v>1.936205301204375</v>
      </c>
      <c r="R142" t="n">
        <v>-16.51699849463557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5.064055963953762</v>
      </c>
      <c r="F143" t="n">
        <v>8.654</v>
      </c>
      <c r="G143" t="n">
        <v>10.167721</v>
      </c>
      <c r="H143" t="n">
        <v>14.245594</v>
      </c>
      <c r="I143" t="n">
        <v>9.181538036046238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5.064055963953762</v>
      </c>
      <c r="N143" t="n">
        <v>0</v>
      </c>
      <c r="O143" t="n">
        <v>0</v>
      </c>
      <c r="P143" t="n">
        <v>5.064055963953762</v>
      </c>
      <c r="Q143" t="n">
        <v>3.701513171218962</v>
      </c>
      <c r="R143" t="n">
        <v>1.313908303811484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2.552416036624061</v>
      </c>
      <c r="F144" t="n">
        <v>5.744</v>
      </c>
      <c r="G144" t="n">
        <v>12.612217</v>
      </c>
      <c r="H144" t="n">
        <v>0.276495</v>
      </c>
      <c r="I144" t="n">
        <v>-2.275921036624061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2.552416036624061</v>
      </c>
      <c r="N144" t="n">
        <v>0</v>
      </c>
      <c r="O144" t="n">
        <v>0</v>
      </c>
      <c r="P144" t="n">
        <v>2.552416036624061</v>
      </c>
      <c r="Q144" t="n">
        <v>-10.95416004939412</v>
      </c>
      <c r="R144" t="n">
        <v>15.16811576319606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41.75910059308703</v>
      </c>
      <c r="F145" t="n">
        <v>2.332</v>
      </c>
      <c r="G145" t="n">
        <v>8.343838</v>
      </c>
      <c r="H145" t="n">
        <v>11.191812</v>
      </c>
      <c r="I145" t="n">
        <v>-30.56728859308703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41.75910059308703</v>
      </c>
      <c r="N145" t="n">
        <v>0</v>
      </c>
      <c r="O145" t="n">
        <v>0</v>
      </c>
      <c r="P145" t="n">
        <v>41.75910059308703</v>
      </c>
      <c r="Q145" t="n">
        <v>2.6286446849074</v>
      </c>
      <c r="R145" t="n">
        <v>38.12820097967655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9.387459794167551</v>
      </c>
      <c r="F146" t="n">
        <v>2.272</v>
      </c>
      <c r="G146" t="n">
        <v>5.495633</v>
      </c>
      <c r="H146" t="n">
        <v>5.541756</v>
      </c>
      <c r="I146" t="n">
        <v>-3.845703794167551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9.387459794167551</v>
      </c>
      <c r="N146" t="n">
        <v>0</v>
      </c>
      <c r="O146" t="n">
        <v>0</v>
      </c>
      <c r="P146" t="n">
        <v>9.387459794167551</v>
      </c>
      <c r="Q146" t="n">
        <v>0.04372069339206863</v>
      </c>
      <c r="R146" t="n">
        <v>9.339655738526176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75.70356528125421</v>
      </c>
      <c r="F147" t="n">
        <v>1.964</v>
      </c>
      <c r="G147" t="n">
        <v>5.093592</v>
      </c>
      <c r="H147" t="n">
        <v>9.706419</v>
      </c>
      <c r="I147" t="n">
        <v>-65.99714628125422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75.70356528125421</v>
      </c>
      <c r="N147" t="n">
        <v>0</v>
      </c>
      <c r="O147" t="n">
        <v>0</v>
      </c>
      <c r="P147" t="n">
        <v>75.70356528125421</v>
      </c>
      <c r="Q147" t="n">
        <v>4.38925586567025</v>
      </c>
      <c r="R147" t="n">
        <v>68.3157560844694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-6.020167891925055</v>
      </c>
      <c r="F148" t="n">
        <v>2.043</v>
      </c>
      <c r="G148" t="n">
        <v>4.612415</v>
      </c>
      <c r="H148" t="n">
        <v>8.091298999999999</v>
      </c>
      <c r="I148" t="n">
        <v>14.11146689192505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-6.020167891925055</v>
      </c>
      <c r="N148" t="n">
        <v>0</v>
      </c>
      <c r="O148" t="n">
        <v>0</v>
      </c>
      <c r="P148" t="n">
        <v>-6.020167891925055</v>
      </c>
      <c r="Q148" t="n">
        <v>3.325498448972142</v>
      </c>
      <c r="R148" t="n">
        <v>-9.044879029073938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-1.078751629641495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-1.078751629641495</v>
      </c>
      <c r="N152" t="n">
        <v>0</v>
      </c>
      <c r="O152" t="n">
        <v>0</v>
      </c>
      <c r="P152" t="n">
        <v>-1.078751629641495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3.596204331233688</v>
      </c>
      <c r="F153" t="n">
        <v>2.175</v>
      </c>
      <c r="G153" t="n">
        <v>3.849342</v>
      </c>
      <c r="H153" t="n">
        <v>3.708636</v>
      </c>
      <c r="I153" t="n">
        <v>0.1124316687663121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3.596204331233688</v>
      </c>
      <c r="N153" t="n">
        <v>0</v>
      </c>
      <c r="O153" t="n">
        <v>0</v>
      </c>
      <c r="P153" t="n">
        <v>3.596204331233688</v>
      </c>
      <c r="Q153" t="n">
        <v>-0.1354907133202965</v>
      </c>
      <c r="R153" t="n">
        <v>3.736758004629515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34.25774592001354</v>
      </c>
      <c r="F154" t="n">
        <v>3.796</v>
      </c>
      <c r="G154" t="n">
        <v>6.786041</v>
      </c>
      <c r="H154" t="n">
        <v>6.361341</v>
      </c>
      <c r="I154" t="n">
        <v>-27.89640492001354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34.25774592001354</v>
      </c>
      <c r="N154" t="n">
        <v>0</v>
      </c>
      <c r="O154" t="n">
        <v>0</v>
      </c>
      <c r="P154" t="n">
        <v>34.25774592001354</v>
      </c>
      <c r="Q154" t="n">
        <v>-0.39771073449969</v>
      </c>
      <c r="R154" t="n">
        <v>34.79383547313404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-9.784168390892967</v>
      </c>
      <c r="F155" t="n">
        <v>2.847</v>
      </c>
      <c r="G155" t="n">
        <v>6.610666</v>
      </c>
      <c r="H155" t="n">
        <v>5.995235</v>
      </c>
      <c r="I155" t="n">
        <v>15.77940339089297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-9.784168390892967</v>
      </c>
      <c r="N155" t="n">
        <v>0</v>
      </c>
      <c r="O155" t="n">
        <v>0</v>
      </c>
      <c r="P155" t="n">
        <v>-9.784168390892967</v>
      </c>
      <c r="Q155" t="n">
        <v>-0.5772691991979939</v>
      </c>
      <c r="R155" t="n">
        <v>-9.260356376794176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11.92433294116495</v>
      </c>
      <c r="F156" t="n">
        <v>-1.672</v>
      </c>
      <c r="G156" t="n">
        <v>0.338326</v>
      </c>
      <c r="H156" t="n">
        <v>0.371547</v>
      </c>
      <c r="I156" t="n">
        <v>-11.55278594116495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11.92433294116495</v>
      </c>
      <c r="N156" t="n">
        <v>0</v>
      </c>
      <c r="O156" t="n">
        <v>0</v>
      </c>
      <c r="P156" t="n">
        <v>11.92433294116495</v>
      </c>
      <c r="Q156" t="n">
        <v>0.03310856884966018</v>
      </c>
      <c r="R156" t="n">
        <v>11.88728866116455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1.702701820975383</v>
      </c>
      <c r="F157" t="n">
        <v>-6.545</v>
      </c>
      <c r="G157" t="n">
        <v>-5.948249</v>
      </c>
      <c r="H157" t="n">
        <v>-4.99456</v>
      </c>
      <c r="I157" t="n">
        <v>-6.697261820975383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1.702701820975383</v>
      </c>
      <c r="N157" t="n">
        <v>0</v>
      </c>
      <c r="O157" t="n">
        <v>0</v>
      </c>
      <c r="P157" t="n">
        <v>1.702701820975383</v>
      </c>
      <c r="Q157" t="n">
        <v>1.01400441539532</v>
      </c>
      <c r="R157" t="n">
        <v>0.6817840848561518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-4.464141716668502</v>
      </c>
      <c r="F158" t="n">
        <v>6.454</v>
      </c>
      <c r="G158" t="n">
        <v>7.18217</v>
      </c>
      <c r="H158" t="n">
        <v>6.96148</v>
      </c>
      <c r="I158" t="n">
        <v>11.4256217166685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-4.464141716668502</v>
      </c>
      <c r="N158" t="n">
        <v>0</v>
      </c>
      <c r="O158" t="n">
        <v>0</v>
      </c>
      <c r="P158" t="n">
        <v>-4.464141716668502</v>
      </c>
      <c r="Q158" t="n">
        <v>-0.2059013661241393</v>
      </c>
      <c r="R158" t="n">
        <v>-4.267026215815606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-7.126687098641826</v>
      </c>
      <c r="F159" t="n">
        <v>-3.684</v>
      </c>
      <c r="G159" t="n">
        <v>-2.057342</v>
      </c>
      <c r="H159" t="n">
        <v>-2.784629</v>
      </c>
      <c r="I159" t="n">
        <v>4.342058098641826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-7.126687098641826</v>
      </c>
      <c r="N159" t="n">
        <v>0</v>
      </c>
      <c r="O159" t="n">
        <v>0</v>
      </c>
      <c r="P159" t="n">
        <v>-7.126687098641826</v>
      </c>
      <c r="Q159" t="n">
        <v>-0.742564522541167</v>
      </c>
      <c r="R159" t="n">
        <v>-6.431883460811838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-15.91104749579146</v>
      </c>
      <c r="F160" t="n">
        <v>3.224</v>
      </c>
      <c r="G160" t="n">
        <v>6.210072</v>
      </c>
      <c r="H160" t="n">
        <v>6.234805</v>
      </c>
      <c r="I160" t="n">
        <v>22.14585249579147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-15.91104749579146</v>
      </c>
      <c r="N160" t="n">
        <v>0</v>
      </c>
      <c r="O160" t="n">
        <v>0</v>
      </c>
      <c r="P160" t="n">
        <v>-15.91104749579146</v>
      </c>
      <c r="Q160" t="n">
        <v>0.02328715442325713</v>
      </c>
      <c r="R160" t="n">
        <v>-15.93062486100275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2.604713073849663</v>
      </c>
      <c r="F161" t="n">
        <v>2.505</v>
      </c>
      <c r="G161" t="n">
        <v>6.425068</v>
      </c>
      <c r="H161" t="n">
        <v>6.776138</v>
      </c>
      <c r="I161" t="n">
        <v>4.171424926150338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2.604713073849663</v>
      </c>
      <c r="N161" t="n">
        <v>0</v>
      </c>
      <c r="O161" t="n">
        <v>0</v>
      </c>
      <c r="P161" t="n">
        <v>2.604713073849663</v>
      </c>
      <c r="Q161" t="n">
        <v>0.3298751768107566</v>
      </c>
      <c r="R161" t="n">
        <v>2.267358444361633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4.069498653387504</v>
      </c>
      <c r="F163" t="n">
        <v>2.122</v>
      </c>
      <c r="G163" t="n">
        <v>4.299869</v>
      </c>
      <c r="H163" t="n">
        <v>4.299762</v>
      </c>
      <c r="I163" t="n">
        <v>0.2302633466124959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4.069498653387504</v>
      </c>
      <c r="N163" t="n">
        <v>0</v>
      </c>
      <c r="O163" t="n">
        <v>0</v>
      </c>
      <c r="P163" t="n">
        <v>4.069498653387504</v>
      </c>
      <c r="Q163" t="n">
        <v>-0.0001025016202804707</v>
      </c>
      <c r="R163" t="n">
        <v>4.069605326419179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-13.67235003122964</v>
      </c>
      <c r="F178" t="n">
        <v>6.159</v>
      </c>
      <c r="G178" t="n">
        <v>10.122338</v>
      </c>
      <c r="H178" t="n">
        <v>9.221730000000001</v>
      </c>
      <c r="I178" t="n">
        <v>22.89408003122964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-13.67235003122964</v>
      </c>
      <c r="N178" t="n">
        <v>0</v>
      </c>
      <c r="O178" t="n">
        <v>0</v>
      </c>
      <c r="P178" t="n">
        <v>-13.67235003122964</v>
      </c>
      <c r="Q178" t="n">
        <v>-0.8178255346367069</v>
      </c>
      <c r="R178" t="n">
        <v>-12.96051892982245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-17.13480710095545</v>
      </c>
      <c r="F193" t="n">
        <v>4.942</v>
      </c>
      <c r="G193" t="n">
        <v>7.932287</v>
      </c>
      <c r="H193" t="n">
        <v>7.412406</v>
      </c>
      <c r="I193" t="n">
        <v>26.63260348023723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-17.13480710095545</v>
      </c>
      <c r="N193" t="n">
        <v>-2.516605955195728</v>
      </c>
      <c r="O193" t="inlineStr"/>
      <c r="P193" t="n">
        <v>-19.22019748023723</v>
      </c>
      <c r="Q193" t="n">
        <v>-0.4816731502218174</v>
      </c>
      <c r="R193" t="n">
        <v>-18.829219625347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2.915749691060343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2.915749691060343</v>
      </c>
      <c r="N197" t="n">
        <v>0</v>
      </c>
      <c r="O197" t="n">
        <v>0</v>
      </c>
      <c r="P197" t="n">
        <v>2.915749691060343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-7.21756307272835</v>
      </c>
      <c r="F198" t="n">
        <v>1.236</v>
      </c>
      <c r="G198" t="n">
        <v>2.499763</v>
      </c>
      <c r="H198" t="n">
        <v>2.220127</v>
      </c>
      <c r="I198" t="n">
        <v>9.437690072728349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-7.21756307272835</v>
      </c>
      <c r="N198" t="n">
        <v>0</v>
      </c>
      <c r="O198" t="n">
        <v>0</v>
      </c>
      <c r="P198" t="n">
        <v>-7.21756307272835</v>
      </c>
      <c r="Q198" t="n">
        <v>-0.2728156085432532</v>
      </c>
      <c r="R198" t="n">
        <v>-6.963745649255515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27.22806679541605</v>
      </c>
      <c r="F199" t="n">
        <v>1.604</v>
      </c>
      <c r="G199" t="n">
        <v>2.325006</v>
      </c>
      <c r="H199" t="n">
        <v>4.422636</v>
      </c>
      <c r="I199" t="n">
        <v>-22.80543079541605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27.22806679541605</v>
      </c>
      <c r="N199" t="n">
        <v>0</v>
      </c>
      <c r="O199" t="n">
        <v>0</v>
      </c>
      <c r="P199" t="n">
        <v>27.22806679541605</v>
      </c>
      <c r="Q199" t="n">
        <v>2.049967928336471</v>
      </c>
      <c r="R199" t="n">
        <v>24.67232413513412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-17.69275683852927</v>
      </c>
      <c r="F200" t="n">
        <v>0.827</v>
      </c>
      <c r="G200" t="n">
        <v>1.905997</v>
      </c>
      <c r="H200" t="n">
        <v>6.617168</v>
      </c>
      <c r="I200" t="n">
        <v>24.30992483852927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-17.69275683852927</v>
      </c>
      <c r="N200" t="n">
        <v>0</v>
      </c>
      <c r="O200" t="n">
        <v>0</v>
      </c>
      <c r="P200" t="n">
        <v>-17.69275683852927</v>
      </c>
      <c r="Q200" t="n">
        <v>4.623056079141641</v>
      </c>
      <c r="R200" t="n">
        <v>-21.32972764702095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27.29961200056832</v>
      </c>
      <c r="F201" t="n">
        <v>0.429</v>
      </c>
      <c r="G201" t="n">
        <v>1.480753</v>
      </c>
      <c r="H201" t="n">
        <v>-3.835293</v>
      </c>
      <c r="I201" t="n">
        <v>-31.13490500056832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27.29961200056832</v>
      </c>
      <c r="N201" t="n">
        <v>0</v>
      </c>
      <c r="O201" t="n">
        <v>0</v>
      </c>
      <c r="P201" t="n">
        <v>27.29961200056832</v>
      </c>
      <c r="Q201" t="n">
        <v>-5.23847742588689</v>
      </c>
      <c r="R201" t="n">
        <v>34.33681576929825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0.3274752096357636</v>
      </c>
      <c r="F202" t="n">
        <v>-8.868</v>
      </c>
      <c r="G202" t="n">
        <v>-7.430707</v>
      </c>
      <c r="H202" t="n">
        <v>-5.637848</v>
      </c>
      <c r="I202" t="n">
        <v>-5.965323209635764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0.3274752096357636</v>
      </c>
      <c r="N202" t="n">
        <v>0</v>
      </c>
      <c r="O202" t="n">
        <v>0</v>
      </c>
      <c r="P202" t="n">
        <v>0.3274752096357636</v>
      </c>
      <c r="Q202" t="n">
        <v>1.936774732016144</v>
      </c>
      <c r="R202" t="n">
        <v>-1.578723210157573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13.49750384377995</v>
      </c>
      <c r="F203" t="n">
        <v>8.930999999999999</v>
      </c>
      <c r="G203" t="n">
        <v>10.328962</v>
      </c>
      <c r="H203" t="n">
        <v>14.412767</v>
      </c>
      <c r="I203" t="n">
        <v>0.9152631562200551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13.49750384377995</v>
      </c>
      <c r="N203" t="n">
        <v>0</v>
      </c>
      <c r="O203" t="n">
        <v>0</v>
      </c>
      <c r="P203" t="n">
        <v>13.49750384377995</v>
      </c>
      <c r="Q203" t="n">
        <v>3.701481070130574</v>
      </c>
      <c r="R203" t="n">
        <v>9.446367277073486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-15.52396181451856</v>
      </c>
      <c r="F204" t="n">
        <v>4.821</v>
      </c>
      <c r="G204" t="n">
        <v>8.443111</v>
      </c>
      <c r="H204" t="n">
        <v>-3.436304</v>
      </c>
      <c r="I204" t="n">
        <v>12.08765781451856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-15.52396181451856</v>
      </c>
      <c r="N204" t="n">
        <v>0</v>
      </c>
      <c r="O204" t="n">
        <v>0</v>
      </c>
      <c r="P204" t="n">
        <v>-15.52396181451856</v>
      </c>
      <c r="Q204" t="n">
        <v>-10.95451332175897</v>
      </c>
      <c r="R204" t="n">
        <v>-5.13158910487056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28.39149567354877</v>
      </c>
      <c r="F205" t="n">
        <v>0.715</v>
      </c>
      <c r="G205" t="n">
        <v>6.672279</v>
      </c>
      <c r="H205" t="n">
        <v>9.476413000000001</v>
      </c>
      <c r="I205" t="n">
        <v>-18.91508267354877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28.39149567354877</v>
      </c>
      <c r="N205" t="n">
        <v>0</v>
      </c>
      <c r="O205" t="n">
        <v>0</v>
      </c>
      <c r="P205" t="n">
        <v>28.39149567354877</v>
      </c>
      <c r="Q205" t="n">
        <v>2.628737200625419</v>
      </c>
      <c r="R205" t="n">
        <v>25.10286999104414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11.01335471981972</v>
      </c>
      <c r="F206" t="n">
        <v>0.726</v>
      </c>
      <c r="G206" t="n">
        <v>2.852176</v>
      </c>
      <c r="H206" t="n">
        <v>2.897231</v>
      </c>
      <c r="I206" t="n">
        <v>-8.116123719819724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11.01335471981972</v>
      </c>
      <c r="N206" t="n">
        <v>0</v>
      </c>
      <c r="O206" t="n">
        <v>0</v>
      </c>
      <c r="P206" t="n">
        <v>11.01335471981972</v>
      </c>
      <c r="Q206" t="n">
        <v>0.0438054392624343</v>
      </c>
      <c r="R206" t="n">
        <v>10.96474612535308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57.55741100789042</v>
      </c>
      <c r="F207" t="n">
        <v>0.546</v>
      </c>
      <c r="G207" t="n">
        <v>2.726189</v>
      </c>
      <c r="H207" t="n">
        <v>7.23498</v>
      </c>
      <c r="I207" t="n">
        <v>-50.32243100789042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57.55741100789042</v>
      </c>
      <c r="N207" t="n">
        <v>0</v>
      </c>
      <c r="O207" t="n">
        <v>0</v>
      </c>
      <c r="P207" t="n">
        <v>57.55741100789042</v>
      </c>
      <c r="Q207" t="n">
        <v>4.389134997969357</v>
      </c>
      <c r="R207" t="n">
        <v>50.93276806149925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-5.583752764462568</v>
      </c>
      <c r="F208" t="n">
        <v>0.759</v>
      </c>
      <c r="G208" t="n">
        <v>2.787725</v>
      </c>
      <c r="H208" t="n">
        <v>6.206252</v>
      </c>
      <c r="I208" t="n">
        <v>11.79000476446257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-5.583752764462568</v>
      </c>
      <c r="N208" t="n">
        <v>0</v>
      </c>
      <c r="O208" t="n">
        <v>0</v>
      </c>
      <c r="P208" t="n">
        <v>-5.583752764462568</v>
      </c>
      <c r="Q208" t="n">
        <v>3.32581257664113</v>
      </c>
      <c r="R208" t="n">
        <v>-8.622787587075686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2.909392056831961</v>
      </c>
      <c r="F223" t="n">
        <v>0.633</v>
      </c>
      <c r="G223" t="n">
        <v>2.602655</v>
      </c>
      <c r="H223" t="n">
        <v>4.294705</v>
      </c>
      <c r="I223" t="n">
        <v>1.38531294316804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2.909392056831961</v>
      </c>
      <c r="N223" t="n">
        <v>0</v>
      </c>
      <c r="O223" t="n">
        <v>0</v>
      </c>
      <c r="P223" t="n">
        <v>2.909392056831961</v>
      </c>
      <c r="Q223" t="n">
        <v>1.649129003290351</v>
      </c>
      <c r="R223" t="n">
        <v>1.239816873886657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6.390161562575347</v>
      </c>
      <c r="F238" t="n">
        <v>4</v>
      </c>
      <c r="G238" t="n">
        <v>5.973192</v>
      </c>
      <c r="H238" t="n">
        <v>7.393555</v>
      </c>
      <c r="I238" t="n">
        <v>2.730871141276141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6.390161562575347</v>
      </c>
      <c r="N238" t="n">
        <v>-1.623719410215807</v>
      </c>
      <c r="O238" t="inlineStr"/>
      <c r="P238" t="n">
        <v>4.662683858723859</v>
      </c>
      <c r="Q238" t="n">
        <v>1.340304244938451</v>
      </c>
      <c r="R238" t="n">
        <v>3.278438562563668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4.621676891615545</v>
      </c>
      <c r="F253" t="n">
        <v>1.544</v>
      </c>
      <c r="G253" t="n">
        <v>6.135736</v>
      </c>
      <c r="H253" t="n">
        <v>9.032876</v>
      </c>
      <c r="I253" t="n">
        <v>6.109961583366873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4.621676891615545</v>
      </c>
      <c r="N253" t="n">
        <v>-1.623719410215807</v>
      </c>
      <c r="O253" t="inlineStr"/>
      <c r="P253" t="n">
        <v>2.922914416633127</v>
      </c>
      <c r="Q253" t="n">
        <v>2.729655744762916</v>
      </c>
      <c r="R253" t="n">
        <v>0.1881235466712372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1.975132591286477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1.975132591286477</v>
      </c>
      <c r="N257" t="n">
        <v>0</v>
      </c>
      <c r="O257" t="n">
        <v>0</v>
      </c>
      <c r="P257" t="n">
        <v>1.975132591286477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5.82698842084135</v>
      </c>
      <c r="F258" t="n">
        <v>2.425</v>
      </c>
      <c r="G258" t="n">
        <v>3.00354</v>
      </c>
      <c r="H258" t="n">
        <v>2.722532</v>
      </c>
      <c r="I258" t="n">
        <v>-3.10445642084135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5.82698842084135</v>
      </c>
      <c r="N258" t="n">
        <v>0</v>
      </c>
      <c r="O258" t="n">
        <v>0</v>
      </c>
      <c r="P258" t="n">
        <v>5.82698842084135</v>
      </c>
      <c r="Q258" t="n">
        <v>-0.2728140914921573</v>
      </c>
      <c r="R258" t="n">
        <v>6.116489156657456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33.67557618038881</v>
      </c>
      <c r="F259" t="n">
        <v>2.783</v>
      </c>
      <c r="G259" t="n">
        <v>4.260909</v>
      </c>
      <c r="H259" t="n">
        <v>6.398191</v>
      </c>
      <c r="I259" t="n">
        <v>-27.27738518038881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33.67557618038881</v>
      </c>
      <c r="N259" t="n">
        <v>0</v>
      </c>
      <c r="O259" t="n">
        <v>0</v>
      </c>
      <c r="P259" t="n">
        <v>33.67557618038881</v>
      </c>
      <c r="Q259" t="n">
        <v>2.049936364006899</v>
      </c>
      <c r="R259" t="n">
        <v>30.99035721450612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-15.79985190339818</v>
      </c>
      <c r="F260" t="n">
        <v>2.26</v>
      </c>
      <c r="G260" t="n">
        <v>4.849366</v>
      </c>
      <c r="H260" t="n">
        <v>9.696626999999999</v>
      </c>
      <c r="I260" t="n">
        <v>25.49647890339818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-15.79985190339818</v>
      </c>
      <c r="N260" t="n">
        <v>0</v>
      </c>
      <c r="O260" t="n">
        <v>0</v>
      </c>
      <c r="P260" t="n">
        <v>-15.79985190339818</v>
      </c>
      <c r="Q260" t="n">
        <v>4.623071406000068</v>
      </c>
      <c r="R260" t="n">
        <v>-19.52047768712992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32.65529635264681</v>
      </c>
      <c r="F261" t="n">
        <v>2.3</v>
      </c>
      <c r="G261" t="n">
        <v>5.397619</v>
      </c>
      <c r="H261" t="n">
        <v>-0.123528</v>
      </c>
      <c r="I261" t="n">
        <v>-32.77882435264682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32.65529635264681</v>
      </c>
      <c r="N261" t="n">
        <v>0</v>
      </c>
      <c r="O261" t="n">
        <v>0</v>
      </c>
      <c r="P261" t="n">
        <v>32.65529635264681</v>
      </c>
      <c r="Q261" t="n">
        <v>-5.238398370873599</v>
      </c>
      <c r="R261" t="n">
        <v>39.98844898361575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21.9691935052744</v>
      </c>
      <c r="F262" t="n">
        <v>-3.877</v>
      </c>
      <c r="G262" t="n">
        <v>-1.603342</v>
      </c>
      <c r="H262" t="n">
        <v>0.302259</v>
      </c>
      <c r="I262" t="n">
        <v>-21.6669345052744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21.9691935052744</v>
      </c>
      <c r="N262" t="n">
        <v>0</v>
      </c>
      <c r="O262" t="n">
        <v>0</v>
      </c>
      <c r="P262" t="n">
        <v>21.9691935052744</v>
      </c>
      <c r="Q262" t="n">
        <v>1.936651341764462</v>
      </c>
      <c r="R262" t="n">
        <v>19.65195236436259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20.86858128021682</v>
      </c>
      <c r="F263" t="n">
        <v>6.278</v>
      </c>
      <c r="G263" t="n">
        <v>9.196619999999999</v>
      </c>
      <c r="H263" t="n">
        <v>13.238586</v>
      </c>
      <c r="I263" t="n">
        <v>-7.629995280216823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20.86858128021682</v>
      </c>
      <c r="N263" t="n">
        <v>0</v>
      </c>
      <c r="O263" t="n">
        <v>0</v>
      </c>
      <c r="P263" t="n">
        <v>20.86858128021682</v>
      </c>
      <c r="Q263" t="n">
        <v>3.701548806529442</v>
      </c>
      <c r="R263" t="n">
        <v>16.55426815824615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-24.89155679092034</v>
      </c>
      <c r="F264" t="n">
        <v>5.007</v>
      </c>
      <c r="G264" t="n">
        <v>11.471034</v>
      </c>
      <c r="H264" t="n">
        <v>-0.7400679999999999</v>
      </c>
      <c r="I264" t="n">
        <v>24.15148879092034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-24.89155679092034</v>
      </c>
      <c r="N264" t="n">
        <v>0</v>
      </c>
      <c r="O264" t="n">
        <v>0</v>
      </c>
      <c r="P264" t="n">
        <v>-24.89155679092034</v>
      </c>
      <c r="Q264" t="n">
        <v>-10.9545066694613</v>
      </c>
      <c r="R264" t="n">
        <v>-15.65160638700089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19.73343735606548</v>
      </c>
      <c r="F265" t="n">
        <v>-0.601</v>
      </c>
      <c r="G265" t="n">
        <v>5.666318</v>
      </c>
      <c r="H265" t="n">
        <v>8.443960000000001</v>
      </c>
      <c r="I265" t="n">
        <v>-11.28947735606548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19.73343735606548</v>
      </c>
      <c r="N265" t="n">
        <v>0</v>
      </c>
      <c r="O265" t="n">
        <v>0</v>
      </c>
      <c r="P265" t="n">
        <v>19.73343735606548</v>
      </c>
      <c r="Q265" t="n">
        <v>2.628692357557849</v>
      </c>
      <c r="R265" t="n">
        <v>16.66663055484989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4.267476819398675</v>
      </c>
      <c r="F266" t="n">
        <v>1.08</v>
      </c>
      <c r="G266" t="n">
        <v>6.887318</v>
      </c>
      <c r="H266" t="n">
        <v>6.934213</v>
      </c>
      <c r="I266" t="n">
        <v>2.666736180601325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4.267476819398675</v>
      </c>
      <c r="N266" t="n">
        <v>0</v>
      </c>
      <c r="O266" t="n">
        <v>0</v>
      </c>
      <c r="P266" t="n">
        <v>4.267476819398675</v>
      </c>
      <c r="Q266" t="n">
        <v>0.04387328789934308</v>
      </c>
      <c r="R266" t="n">
        <v>4.22175131039253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-0.0170503438561953</v>
      </c>
      <c r="F268" t="n">
        <v>1.222</v>
      </c>
      <c r="G268" t="n">
        <v>3.555679</v>
      </c>
      <c r="H268" t="n">
        <v>6.999739</v>
      </c>
      <c r="I268" t="n">
        <v>7.016789343856195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-0.0170503438561953</v>
      </c>
      <c r="N268" t="n">
        <v>0</v>
      </c>
      <c r="O268" t="n">
        <v>0</v>
      </c>
      <c r="P268" t="n">
        <v>-0.0170503438561953</v>
      </c>
      <c r="Q268" t="n">
        <v>3.325805098258505</v>
      </c>
      <c r="R268" t="n">
        <v>-3.235257096652466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-17.20604155774781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-17.20604155774781</v>
      </c>
      <c r="N283" t="n">
        <v>0</v>
      </c>
      <c r="O283" t="n">
        <v>0</v>
      </c>
      <c r="P283" t="n">
        <v>-17.20604155774781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-0.5716745065351914</v>
      </c>
      <c r="F298" t="n">
        <v>5.731</v>
      </c>
      <c r="G298" t="n">
        <v>8.046950000000001</v>
      </c>
      <c r="H298" t="n">
        <v>8.046818999999999</v>
      </c>
      <c r="I298" t="n">
        <v>10.23293052682513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-0.5716745065351914</v>
      </c>
      <c r="N298" t="n">
        <v>-1.623719410215807</v>
      </c>
      <c r="O298" t="inlineStr"/>
      <c r="P298" t="n">
        <v>-2.18611152682513</v>
      </c>
      <c r="Q298" t="n">
        <v>-0.0001214776089053515</v>
      </c>
      <c r="R298" t="n">
        <v>-2.185992704707895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-4.191269004943909</v>
      </c>
      <c r="F313" t="n">
        <v>3.136</v>
      </c>
      <c r="G313" t="n">
        <v>6.397182</v>
      </c>
      <c r="H313" t="n">
        <v>6.766229</v>
      </c>
      <c r="I313" t="n">
        <v>10.95749800494391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-4.191269004943909</v>
      </c>
      <c r="N313" t="n">
        <v>0</v>
      </c>
      <c r="O313" t="n">
        <v>0</v>
      </c>
      <c r="P313" t="n">
        <v>-4.191269004943909</v>
      </c>
      <c r="Q313" t="n">
        <v>0.3468579952283335</v>
      </c>
      <c r="R313" t="n">
        <v>-4.522440553532869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-2.181673938913131</v>
      </c>
      <c r="F328" t="n">
        <v>3.136</v>
      </c>
      <c r="G328" t="n">
        <v>6.397182</v>
      </c>
      <c r="H328" t="n">
        <v>6.766229</v>
      </c>
      <c r="I328" t="n">
        <v>10.53619808591518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-2.181673938913131</v>
      </c>
      <c r="N328" t="n">
        <v>-1.623719410215807</v>
      </c>
      <c r="O328" t="inlineStr"/>
      <c r="P328" t="n">
        <v>-3.769969085915181</v>
      </c>
      <c r="Q328" t="n">
        <v>0.3468579952283335</v>
      </c>
      <c r="R328" t="n">
        <v>-4.102596895798449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4.168732040711554</v>
      </c>
      <c r="F343" t="n">
        <v>3.978</v>
      </c>
      <c r="G343" t="n">
        <v>3.761463</v>
      </c>
      <c r="H343" t="n">
        <v>3.761426</v>
      </c>
      <c r="I343" t="n">
        <v>-0.4073060407115534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4.168732040711554</v>
      </c>
      <c r="N343" t="n">
        <v>0</v>
      </c>
      <c r="O343" t="n">
        <v>0</v>
      </c>
      <c r="P343" t="n">
        <v>4.168732040711554</v>
      </c>
      <c r="Q343" t="n">
        <v>-3.56447590665887e-05</v>
      </c>
      <c r="R343" t="n">
        <v>4.168769171418352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-17.62325469227644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-17.62325469227644</v>
      </c>
      <c r="N347" t="n">
        <v>0</v>
      </c>
      <c r="O347" t="n">
        <v>0</v>
      </c>
      <c r="P347" t="n">
        <v>-17.62325469227644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2.996304573387421</v>
      </c>
      <c r="F348" t="n">
        <v>3.748</v>
      </c>
      <c r="G348" t="n">
        <v>4.289115</v>
      </c>
      <c r="H348" t="n">
        <v>3.781506</v>
      </c>
      <c r="I348" t="n">
        <v>0.7852014266125793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2.996304573387421</v>
      </c>
      <c r="N348" t="n">
        <v>0</v>
      </c>
      <c r="O348" t="n">
        <v>0</v>
      </c>
      <c r="P348" t="n">
        <v>2.996304573387421</v>
      </c>
      <c r="Q348" t="n">
        <v>-0.4867326638529845</v>
      </c>
      <c r="R348" t="n">
        <v>3.500073236943391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33.44435698069253</v>
      </c>
      <c r="F349" t="n">
        <v>4.477</v>
      </c>
      <c r="G349" t="n">
        <v>7.468422</v>
      </c>
      <c r="H349" t="n">
        <v>7.516753</v>
      </c>
      <c r="I349" t="n">
        <v>-25.92760398069252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33.44435698069253</v>
      </c>
      <c r="N349" t="n">
        <v>0</v>
      </c>
      <c r="O349" t="n">
        <v>0</v>
      </c>
      <c r="P349" t="n">
        <v>33.44435698069253</v>
      </c>
      <c r="Q349" t="n">
        <v>0.04497212238856463</v>
      </c>
      <c r="R349" t="n">
        <v>33.38437119803012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-13.05001772633003</v>
      </c>
      <c r="F350" t="n">
        <v>3.452</v>
      </c>
      <c r="G350" t="n">
        <v>7.18372</v>
      </c>
      <c r="H350" t="n">
        <v>9.73338</v>
      </c>
      <c r="I350" t="n">
        <v>22.78339772633003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-13.05001772633003</v>
      </c>
      <c r="N350" t="n">
        <v>0</v>
      </c>
      <c r="O350" t="n">
        <v>0</v>
      </c>
      <c r="P350" t="n">
        <v>-13.05001772633003</v>
      </c>
      <c r="Q350" t="n">
        <v>2.378775940880362</v>
      </c>
      <c r="R350" t="n">
        <v>-15.07030488049584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14.53484402911216</v>
      </c>
      <c r="F351" t="n">
        <v>1.308</v>
      </c>
      <c r="G351" t="n">
        <v>0.877565</v>
      </c>
      <c r="H351" t="n">
        <v>-0.255089</v>
      </c>
      <c r="I351" t="n">
        <v>-14.78993302911216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14.53484402911216</v>
      </c>
      <c r="N351" t="n">
        <v>0</v>
      </c>
      <c r="O351" t="n">
        <v>0</v>
      </c>
      <c r="P351" t="n">
        <v>14.53484402911216</v>
      </c>
      <c r="Q351" t="n">
        <v>-1.122800664696166</v>
      </c>
      <c r="R351" t="n">
        <v>15.83544517751911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-9.635636140631632</v>
      </c>
      <c r="F352" t="n">
        <v>-3.815</v>
      </c>
      <c r="G352" t="n">
        <v>-6.116217</v>
      </c>
      <c r="H352" t="n">
        <v>-7.176695</v>
      </c>
      <c r="I352" t="n">
        <v>2.458941140631633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-9.635636140631632</v>
      </c>
      <c r="N352" t="n">
        <v>0</v>
      </c>
      <c r="O352" t="n">
        <v>0</v>
      </c>
      <c r="P352" t="n">
        <v>-9.635636140631632</v>
      </c>
      <c r="Q352" t="n">
        <v>-1.129564895866886</v>
      </c>
      <c r="R352" t="n">
        <v>-8.603250542799689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5.077675250911406</v>
      </c>
      <c r="F353" t="n">
        <v>9.757</v>
      </c>
      <c r="G353" t="n">
        <v>21.75237</v>
      </c>
      <c r="H353" t="n">
        <v>25.038234</v>
      </c>
      <c r="I353" t="n">
        <v>19.96055874908859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5.077675250911406</v>
      </c>
      <c r="N353" t="n">
        <v>0</v>
      </c>
      <c r="O353" t="n">
        <v>0</v>
      </c>
      <c r="P353" t="n">
        <v>5.077675250911406</v>
      </c>
      <c r="Q353" t="n">
        <v>2.698809069060415</v>
      </c>
      <c r="R353" t="n">
        <v>2.316352257065901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-9.973517797355736</v>
      </c>
      <c r="F354" t="n">
        <v>4.108</v>
      </c>
      <c r="G354" t="n">
        <v>19.642385</v>
      </c>
      <c r="H354" t="n">
        <v>16.58921</v>
      </c>
      <c r="I354" t="n">
        <v>26.56272779735574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-9.973517797355736</v>
      </c>
      <c r="N354" t="n">
        <v>0</v>
      </c>
      <c r="O354" t="n">
        <v>0</v>
      </c>
      <c r="P354" t="n">
        <v>-9.973517797355736</v>
      </c>
      <c r="Q354" t="n">
        <v>-2.551917327829734</v>
      </c>
      <c r="R354" t="n">
        <v>-7.615953301506573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6.092749780302276</v>
      </c>
      <c r="F355" t="n">
        <v>1.821</v>
      </c>
      <c r="G355" t="n">
        <v>-3.288561</v>
      </c>
      <c r="H355" t="n">
        <v>-0.702922</v>
      </c>
      <c r="I355" t="n">
        <v>-6.795671780302276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6.092749780302276</v>
      </c>
      <c r="N355" t="n">
        <v>0</v>
      </c>
      <c r="O355" t="n">
        <v>0</v>
      </c>
      <c r="P355" t="n">
        <v>6.092749780302276</v>
      </c>
      <c r="Q355" t="n">
        <v>2.67356012134643</v>
      </c>
      <c r="R355" t="n">
        <v>3.330155937823553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24.2267543208625</v>
      </c>
      <c r="F356" t="n">
        <v>4.388</v>
      </c>
      <c r="G356" t="n">
        <v>7.772054</v>
      </c>
      <c r="H356" t="n">
        <v>8.299106</v>
      </c>
      <c r="I356" t="n">
        <v>-15.9276483208625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24.2267543208625</v>
      </c>
      <c r="N356" t="n">
        <v>0</v>
      </c>
      <c r="O356" t="n">
        <v>0</v>
      </c>
      <c r="P356" t="n">
        <v>24.2267543208625</v>
      </c>
      <c r="Q356" t="n">
        <v>0.4890427453015267</v>
      </c>
      <c r="R356" t="n">
        <v>23.62218897410171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31.95796861863993</v>
      </c>
      <c r="F357" t="n">
        <v>2.226</v>
      </c>
      <c r="G357" t="n">
        <v>2.294664</v>
      </c>
      <c r="H357" t="n">
        <v>4.895622</v>
      </c>
      <c r="I357" t="n">
        <v>-27.06234661863993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31.95796861863993</v>
      </c>
      <c r="N357" t="n">
        <v>0</v>
      </c>
      <c r="O357" t="n">
        <v>0</v>
      </c>
      <c r="P357" t="n">
        <v>31.95796861863993</v>
      </c>
      <c r="Q357" t="n">
        <v>2.542613652897896</v>
      </c>
      <c r="R357" t="n">
        <v>28.68598128901969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-2.234237258498728</v>
      </c>
      <c r="F358" t="n">
        <v>1.823</v>
      </c>
      <c r="G358" t="n">
        <v>3.126086</v>
      </c>
      <c r="H358" t="n">
        <v>5.580083</v>
      </c>
      <c r="I358" t="n">
        <v>7.814320258498729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-2.234237258498728</v>
      </c>
      <c r="N358" t="n">
        <v>0</v>
      </c>
      <c r="O358" t="n">
        <v>0</v>
      </c>
      <c r="P358" t="n">
        <v>-2.234237258498728</v>
      </c>
      <c r="Q358" t="n">
        <v>2.379608555916435</v>
      </c>
      <c r="R358" t="n">
        <v>-4.506606227054711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-2.974713744819257</v>
      </c>
      <c r="F373" t="n">
        <v>1.151</v>
      </c>
      <c r="G373" t="n">
        <v>4.860935</v>
      </c>
      <c r="H373" t="n">
        <v>4.048004</v>
      </c>
      <c r="I373" t="n">
        <v>7.022717744819257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-2.974713744819257</v>
      </c>
      <c r="N373" t="n">
        <v>0</v>
      </c>
      <c r="O373" t="n">
        <v>0</v>
      </c>
      <c r="P373" t="n">
        <v>-2.974713744819257</v>
      </c>
      <c r="Q373" t="n">
        <v>-0.7752469863729683</v>
      </c>
      <c r="R373" t="n">
        <v>-2.216651280698301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-0.9682804674457368</v>
      </c>
      <c r="F388" t="n">
        <v>1.151</v>
      </c>
      <c r="G388" t="n">
        <v>4.860935</v>
      </c>
      <c r="H388" t="n">
        <v>4.048004</v>
      </c>
      <c r="I388" t="n">
        <v>6.624281719766295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-0.9682804674457368</v>
      </c>
      <c r="N388" t="n">
        <v>-1.623719410215807</v>
      </c>
      <c r="O388" t="inlineStr"/>
      <c r="P388" t="n">
        <v>-2.576277719766296</v>
      </c>
      <c r="Q388" t="n">
        <v>-0.7752469863729683</v>
      </c>
      <c r="R388" t="n">
        <v>-1.81510225895547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24.14284172158598</v>
      </c>
      <c r="F403" t="n">
        <v>1.83</v>
      </c>
      <c r="G403" t="n">
        <v>2.120058</v>
      </c>
      <c r="H403" t="n">
        <v>4.199192</v>
      </c>
      <c r="I403" t="n">
        <v>-19.94364972158598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24.14284172158598</v>
      </c>
      <c r="N403" t="n">
        <v>0</v>
      </c>
      <c r="O403" t="n">
        <v>0</v>
      </c>
      <c r="P403" t="n">
        <v>24.14284172158598</v>
      </c>
      <c r="Q403" t="n">
        <v>2.035970204912152</v>
      </c>
      <c r="R403" t="n">
        <v>21.66576303658214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-2.116884338614544</v>
      </c>
      <c r="F418" t="n">
        <v>1.958</v>
      </c>
      <c r="G418" t="n">
        <v>4.480217</v>
      </c>
      <c r="H418" t="n">
        <v>7.955023</v>
      </c>
      <c r="I418" t="n">
        <v>12.5352396564801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-2.116884338614544</v>
      </c>
      <c r="N418" t="n">
        <v>-2.516605955195728</v>
      </c>
      <c r="O418" t="inlineStr"/>
      <c r="P418" t="n">
        <v>-4.580216656480096</v>
      </c>
      <c r="Q418" t="n">
        <v>3.325802534156552</v>
      </c>
      <c r="R418" t="n">
        <v>-7.651543948108364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-3.906313105112957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-3.906313105112957</v>
      </c>
      <c r="N422" t="n">
        <v>0</v>
      </c>
      <c r="O422" t="n">
        <v>0</v>
      </c>
      <c r="P422" t="n">
        <v>-3.906313105112957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4.523692599574525</v>
      </c>
      <c r="F423" t="n">
        <v>2.131</v>
      </c>
      <c r="G423" t="n">
        <v>3.825749</v>
      </c>
      <c r="H423" t="n">
        <v>2.283882</v>
      </c>
      <c r="I423" t="n">
        <v>-2.239810599574525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4.523692599574525</v>
      </c>
      <c r="N423" t="n">
        <v>0</v>
      </c>
      <c r="O423" t="n">
        <v>0</v>
      </c>
      <c r="P423" t="n">
        <v>4.523692599574525</v>
      </c>
      <c r="Q423" t="n">
        <v>-1.485052375931262</v>
      </c>
      <c r="R423" t="n">
        <v>6.099323118391187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21.01423388454431</v>
      </c>
      <c r="F424" t="n">
        <v>1.883</v>
      </c>
      <c r="G424" t="n">
        <v>4.150268</v>
      </c>
      <c r="H424" t="n">
        <v>4.310234</v>
      </c>
      <c r="I424" t="n">
        <v>-16.70399988454431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21.01423388454431</v>
      </c>
      <c r="N424" t="n">
        <v>0</v>
      </c>
      <c r="O424" t="n">
        <v>0</v>
      </c>
      <c r="P424" t="n">
        <v>21.01423388454431</v>
      </c>
      <c r="Q424" t="n">
        <v>0.1535917839132761</v>
      </c>
      <c r="R424" t="n">
        <v>20.82865100398894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-13.4473028920318</v>
      </c>
      <c r="F425" t="n">
        <v>1.77</v>
      </c>
      <c r="G425" t="n">
        <v>4.430993</v>
      </c>
      <c r="H425" t="n">
        <v>2.705112</v>
      </c>
      <c r="I425" t="n">
        <v>16.1524148920318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-13.4473028920318</v>
      </c>
      <c r="N425" t="n">
        <v>0</v>
      </c>
      <c r="O425" t="n">
        <v>0</v>
      </c>
      <c r="P425" t="n">
        <v>-13.4473028920318</v>
      </c>
      <c r="Q425" t="n">
        <v>-1.652652847033775</v>
      </c>
      <c r="R425" t="n">
        <v>-11.99285022569344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23.80642443119938</v>
      </c>
      <c r="F426" t="n">
        <v>2.608</v>
      </c>
      <c r="G426" t="n">
        <v>5.09739</v>
      </c>
      <c r="H426" t="n">
        <v>-3.412178</v>
      </c>
      <c r="I426" t="n">
        <v>-27.21860243119938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23.80642443119938</v>
      </c>
      <c r="N426" t="n">
        <v>0</v>
      </c>
      <c r="O426" t="n">
        <v>0</v>
      </c>
      <c r="P426" t="n">
        <v>23.80642443119938</v>
      </c>
      <c r="Q426" t="n">
        <v>-8.096840339697453</v>
      </c>
      <c r="R426" t="n">
        <v>34.71400209614055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18.94079429167623</v>
      </c>
      <c r="F427" t="n">
        <v>-1.934</v>
      </c>
      <c r="G427" t="n">
        <v>-0.169814</v>
      </c>
      <c r="H427" t="n">
        <v>2.51877</v>
      </c>
      <c r="I427" t="n">
        <v>-16.42202429167623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18.94079429167623</v>
      </c>
      <c r="N427" t="n">
        <v>0</v>
      </c>
      <c r="O427" t="n">
        <v>0</v>
      </c>
      <c r="P427" t="n">
        <v>18.94079429167623</v>
      </c>
      <c r="Q427" t="n">
        <v>2.693157386668488</v>
      </c>
      <c r="R427" t="n">
        <v>15.82153798605184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21.31068293467511</v>
      </c>
      <c r="F428" t="n">
        <v>5.226</v>
      </c>
      <c r="G428" t="n">
        <v>8.077332999999999</v>
      </c>
      <c r="H428" t="n">
        <v>16.063285</v>
      </c>
      <c r="I428" t="n">
        <v>-5.247397934675107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21.31068293467511</v>
      </c>
      <c r="N428" t="n">
        <v>0</v>
      </c>
      <c r="O428" t="n">
        <v>0</v>
      </c>
      <c r="P428" t="n">
        <v>21.31068293467511</v>
      </c>
      <c r="Q428" t="n">
        <v>7.38910909507311</v>
      </c>
      <c r="R428" t="n">
        <v>12.96367383705272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-28.50703270662908</v>
      </c>
      <c r="F429" t="n">
        <v>1.255</v>
      </c>
      <c r="G429" t="n">
        <v>7.358299</v>
      </c>
      <c r="H429" t="n">
        <v>-8.963531</v>
      </c>
      <c r="I429" t="n">
        <v>19.54350170662908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-28.50703270662908</v>
      </c>
      <c r="N429" t="n">
        <v>0</v>
      </c>
      <c r="O429" t="n">
        <v>0</v>
      </c>
      <c r="P429" t="n">
        <v>-28.50703270662908</v>
      </c>
      <c r="Q429" t="n">
        <v>-15.20313827829323</v>
      </c>
      <c r="R429" t="n">
        <v>-15.68913537389821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23.65384004910675</v>
      </c>
      <c r="F430" t="n">
        <v>-0.204</v>
      </c>
      <c r="G430" t="n">
        <v>5.6181</v>
      </c>
      <c r="H430" t="n">
        <v>0.681655</v>
      </c>
      <c r="I430" t="n">
        <v>-22.97218504910676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23.65384004910675</v>
      </c>
      <c r="N430" t="n">
        <v>0</v>
      </c>
      <c r="O430" t="n">
        <v>0</v>
      </c>
      <c r="P430" t="n">
        <v>23.65384004910675</v>
      </c>
      <c r="Q430" t="n">
        <v>-4.67386258318302</v>
      </c>
      <c r="R430" t="n">
        <v>29.71661644951151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-1.942401490991463</v>
      </c>
      <c r="F431" t="n">
        <v>0.82</v>
      </c>
      <c r="G431" t="n">
        <v>3.852333</v>
      </c>
      <c r="H431" t="n">
        <v>4.270187</v>
      </c>
      <c r="I431" t="n">
        <v>6.212588490991463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-1.942401490991463</v>
      </c>
      <c r="N431" t="n">
        <v>0</v>
      </c>
      <c r="O431" t="n">
        <v>0</v>
      </c>
      <c r="P431" t="n">
        <v>-1.942401490991463</v>
      </c>
      <c r="Q431" t="n">
        <v>0.4023545641516524</v>
      </c>
      <c r="R431" t="n">
        <v>-2.335359629086131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-0.5241901805074667</v>
      </c>
      <c r="F433" t="n">
        <v>1.932</v>
      </c>
      <c r="G433" t="n">
        <v>3.563101</v>
      </c>
      <c r="H433" t="n">
        <v>7.426191</v>
      </c>
      <c r="I433" t="n">
        <v>7.950381180507467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-0.5241901805074667</v>
      </c>
      <c r="N433" t="n">
        <v>0</v>
      </c>
      <c r="O433" t="n">
        <v>0</v>
      </c>
      <c r="P433" t="n">
        <v>-0.5241901805074667</v>
      </c>
      <c r="Q433" t="n">
        <v>3.730179520528276</v>
      </c>
      <c r="R433" t="n">
        <v>-4.101380833139112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-0.123208023495669</v>
      </c>
      <c r="F448" t="n">
        <v>1.275</v>
      </c>
      <c r="G448" t="n">
        <v>1.903517</v>
      </c>
      <c r="H448" t="n">
        <v>7.173077</v>
      </c>
      <c r="I448" t="n">
        <v>9.809790318234828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-0.123208023495669</v>
      </c>
      <c r="N448" t="n">
        <v>-2.516605955195728</v>
      </c>
      <c r="O448" t="inlineStr"/>
      <c r="P448" t="n">
        <v>-2.636713318234829</v>
      </c>
      <c r="Q448" t="n">
        <v>5.171126513062774</v>
      </c>
      <c r="R448" t="n">
        <v>-7.423938575315947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-0.7530120156199915</v>
      </c>
      <c r="F463" t="n">
        <v>1.275</v>
      </c>
      <c r="G463" t="n">
        <v>1.903517</v>
      </c>
      <c r="H463" t="n">
        <v>7.173077</v>
      </c>
      <c r="I463" t="n">
        <v>9.537581623576925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-0.7530120156199915</v>
      </c>
      <c r="N463" t="n">
        <v>-1.623719410215807</v>
      </c>
      <c r="O463" t="inlineStr"/>
      <c r="P463" t="n">
        <v>-2.364504623576924</v>
      </c>
      <c r="Q463" t="n">
        <v>5.171126513062774</v>
      </c>
      <c r="R463" t="n">
        <v>-7.165114025572161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0.7782920417126027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0.7782920417126027</v>
      </c>
      <c r="N467" t="n">
        <v>0</v>
      </c>
      <c r="O467" t="n">
        <v>0</v>
      </c>
      <c r="P467" t="n">
        <v>0.7782920417126027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-1.394084259590445</v>
      </c>
      <c r="F468" t="n">
        <v>2.098</v>
      </c>
      <c r="G468" t="n">
        <v>1.498696</v>
      </c>
      <c r="H468" t="n">
        <v>-0.871703</v>
      </c>
      <c r="I468" t="n">
        <v>0.5223812595904446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-1.394084259590445</v>
      </c>
      <c r="N468" t="n">
        <v>0</v>
      </c>
      <c r="O468" t="n">
        <v>0</v>
      </c>
      <c r="P468" t="n">
        <v>-1.394084259590445</v>
      </c>
      <c r="Q468" t="n">
        <v>-2.335398404529998</v>
      </c>
      <c r="R468" t="n">
        <v>0.9638232579276762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22.88280282496211</v>
      </c>
      <c r="F469" t="n">
        <v>1.428</v>
      </c>
      <c r="G469" t="n">
        <v>1.053383</v>
      </c>
      <c r="H469" t="n">
        <v>1.125528</v>
      </c>
      <c r="I469" t="n">
        <v>-21.75727482496211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22.88280282496211</v>
      </c>
      <c r="N469" t="n">
        <v>0</v>
      </c>
      <c r="O469" t="n">
        <v>0</v>
      </c>
      <c r="P469" t="n">
        <v>22.88280282496211</v>
      </c>
      <c r="Q469" t="n">
        <v>0.07139279508214802</v>
      </c>
      <c r="R469" t="n">
        <v>22.79513594518592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-9.563163790182427</v>
      </c>
      <c r="F470" t="n">
        <v>2.862</v>
      </c>
      <c r="G470" t="n">
        <v>3.647461</v>
      </c>
      <c r="H470" t="n">
        <v>4.368324</v>
      </c>
      <c r="I470" t="n">
        <v>13.93148779018243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-9.563163790182427</v>
      </c>
      <c r="N470" t="n">
        <v>0</v>
      </c>
      <c r="O470" t="n">
        <v>0</v>
      </c>
      <c r="P470" t="n">
        <v>-9.563163790182427</v>
      </c>
      <c r="Q470" t="n">
        <v>0.6954953977677203</v>
      </c>
      <c r="R470" t="n">
        <v>-10.18780348358818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32.59000326663226</v>
      </c>
      <c r="F471" t="n">
        <v>1.163</v>
      </c>
      <c r="G471" t="n">
        <v>1.058548</v>
      </c>
      <c r="H471" t="n">
        <v>-0.550084</v>
      </c>
      <c r="I471" t="n">
        <v>-33.14008726663226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32.59000326663226</v>
      </c>
      <c r="N471" t="n">
        <v>0</v>
      </c>
      <c r="O471" t="n">
        <v>0</v>
      </c>
      <c r="P471" t="n">
        <v>32.59000326663226</v>
      </c>
      <c r="Q471" t="n">
        <v>-1.591782718460655</v>
      </c>
      <c r="R471" t="n">
        <v>34.73468672570412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10.93254678235371</v>
      </c>
      <c r="F472" t="n">
        <v>-2.293</v>
      </c>
      <c r="G472" t="n">
        <v>-2.970639</v>
      </c>
      <c r="H472" t="n">
        <v>2.68626</v>
      </c>
      <c r="I472" t="n">
        <v>-8.246286782353714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10.93254678235371</v>
      </c>
      <c r="N472" t="n">
        <v>0</v>
      </c>
      <c r="O472" t="n">
        <v>0</v>
      </c>
      <c r="P472" t="n">
        <v>10.93254678235371</v>
      </c>
      <c r="Q472" t="n">
        <v>5.830089777766312</v>
      </c>
      <c r="R472" t="n">
        <v>4.821366981075137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18.89703794815318</v>
      </c>
      <c r="F473" t="n">
        <v>5.573</v>
      </c>
      <c r="G473" t="n">
        <v>6.962635</v>
      </c>
      <c r="H473" t="n">
        <v>9.902763999999999</v>
      </c>
      <c r="I473" t="n">
        <v>-8.994273948153184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18.89703794815318</v>
      </c>
      <c r="N473" t="n">
        <v>0</v>
      </c>
      <c r="O473" t="n">
        <v>0</v>
      </c>
      <c r="P473" t="n">
        <v>18.89703794815318</v>
      </c>
      <c r="Q473" t="n">
        <v>2.748744273606651</v>
      </c>
      <c r="R473" t="n">
        <v>15.71629297147001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-19.15358157782965</v>
      </c>
      <c r="F474" t="n">
        <v>3.124</v>
      </c>
      <c r="G474" t="n">
        <v>6.257026</v>
      </c>
      <c r="H474" t="n">
        <v>1.69597</v>
      </c>
      <c r="I474" t="n">
        <v>20.84955157782965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-19.15358157782965</v>
      </c>
      <c r="N474" t="n">
        <v>0</v>
      </c>
      <c r="O474" t="n">
        <v>0</v>
      </c>
      <c r="P474" t="n">
        <v>-19.15358157782965</v>
      </c>
      <c r="Q474" t="n">
        <v>-4.29247512672184</v>
      </c>
      <c r="R474" t="n">
        <v>-15.52762593200974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15.87058181837924</v>
      </c>
      <c r="F475" t="n">
        <v>0.737</v>
      </c>
      <c r="G475" t="n">
        <v>1.629522</v>
      </c>
      <c r="H475" t="n">
        <v>8.00253</v>
      </c>
      <c r="I475" t="n">
        <v>-7.868051818379236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15.87058181837924</v>
      </c>
      <c r="N475" t="n">
        <v>0</v>
      </c>
      <c r="O475" t="n">
        <v>0</v>
      </c>
      <c r="P475" t="n">
        <v>15.87058181837924</v>
      </c>
      <c r="Q475" t="n">
        <v>6.270823636061729</v>
      </c>
      <c r="R475" t="n">
        <v>9.033296114456713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-2.684784434517917</v>
      </c>
      <c r="F478" t="n">
        <v>1.275</v>
      </c>
      <c r="G478" t="n">
        <v>1.903517</v>
      </c>
      <c r="H478" t="n">
        <v>7.173077</v>
      </c>
      <c r="I478" t="n">
        <v>9.857861434517918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-2.684784434517917</v>
      </c>
      <c r="N478" t="n">
        <v>0</v>
      </c>
      <c r="O478" t="n">
        <v>0</v>
      </c>
      <c r="P478" t="n">
        <v>-2.684784434517917</v>
      </c>
      <c r="Q478" t="n">
        <v>5.171126513062774</v>
      </c>
      <c r="R478" t="n">
        <v>-7.469646097786109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11.66617690273288</v>
      </c>
      <c r="F493" t="n">
        <v>2.113</v>
      </c>
      <c r="G493" t="n">
        <v>3.705991</v>
      </c>
      <c r="H493" t="n">
        <v>9.84422</v>
      </c>
      <c r="I493" t="n">
        <v>-0.008811513717279951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11.66617690273288</v>
      </c>
      <c r="N493" t="n">
        <v>-1.623719410215807</v>
      </c>
      <c r="O493" t="inlineStr"/>
      <c r="P493" t="n">
        <v>9.85303151371728</v>
      </c>
      <c r="Q493" t="n">
        <v>5.918875450485639</v>
      </c>
      <c r="R493" t="n">
        <v>3.714310642460283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14.85005767012686</v>
      </c>
      <c r="F508" t="n">
        <v>1.6</v>
      </c>
      <c r="G508" t="n">
        <v>2.299587</v>
      </c>
      <c r="H508" t="n">
        <v>0.525625</v>
      </c>
      <c r="I508" t="n">
        <v>-12.45958999109295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14.85005767012686</v>
      </c>
      <c r="N508" t="n">
        <v>-1.623719410215807</v>
      </c>
      <c r="O508" t="inlineStr"/>
      <c r="P508" t="n">
        <v>12.98521499109295</v>
      </c>
      <c r="Q508" t="n">
        <v>-1.734085104727434</v>
      </c>
      <c r="R508" t="n">
        <v>14.97904956312426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-30.8145658238384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-30.8145658238384</v>
      </c>
      <c r="N512" t="n">
        <v>0</v>
      </c>
      <c r="O512" t="n">
        <v>0</v>
      </c>
      <c r="P512" t="n">
        <v>-30.8145658238384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-5.864423495595306</v>
      </c>
      <c r="F513" t="n">
        <v>3.324</v>
      </c>
      <c r="G513" t="n">
        <v>11.721414</v>
      </c>
      <c r="H513" t="n">
        <v>0.24591</v>
      </c>
      <c r="I513" t="n">
        <v>6.110333495595306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-5.864423495595306</v>
      </c>
      <c r="N513" t="n">
        <v>0</v>
      </c>
      <c r="O513" t="n">
        <v>0</v>
      </c>
      <c r="P513" t="n">
        <v>-5.864423495595306</v>
      </c>
      <c r="Q513" t="n">
        <v>-10.2715348796492</v>
      </c>
      <c r="R513" t="n">
        <v>4.911609017431351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42.225919078303</v>
      </c>
      <c r="F514" t="n">
        <v>7.826</v>
      </c>
      <c r="G514" t="n">
        <v>19.830547</v>
      </c>
      <c r="H514" t="n">
        <v>-0.739137</v>
      </c>
      <c r="I514" t="n">
        <v>-42.965056078303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42.225919078303</v>
      </c>
      <c r="N514" t="n">
        <v>0</v>
      </c>
      <c r="O514" t="n">
        <v>0</v>
      </c>
      <c r="P514" t="n">
        <v>42.225919078303</v>
      </c>
      <c r="Q514" t="n">
        <v>-17.16564314442739</v>
      </c>
      <c r="R514" t="n">
        <v>71.69918917374302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-43.17737546830123</v>
      </c>
      <c r="F515" t="n">
        <v>3.468</v>
      </c>
      <c r="G515" t="n">
        <v>20.781976</v>
      </c>
      <c r="H515" t="n">
        <v>-6.55025</v>
      </c>
      <c r="I515" t="n">
        <v>36.62712546830123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-43.17737546830123</v>
      </c>
      <c r="N515" t="n">
        <v>0</v>
      </c>
      <c r="O515" t="n">
        <v>0</v>
      </c>
      <c r="P515" t="n">
        <v>-43.17737546830123</v>
      </c>
      <c r="Q515" t="n">
        <v>-22.62939105235521</v>
      </c>
      <c r="R515" t="n">
        <v>-26.55786828542405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17.50107552393869</v>
      </c>
      <c r="F516" t="n">
        <v>1.302</v>
      </c>
      <c r="G516" t="n">
        <v>15.646244</v>
      </c>
      <c r="H516" t="n">
        <v>-3.975509</v>
      </c>
      <c r="I516" t="n">
        <v>-21.47658452393869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17.50107552393869</v>
      </c>
      <c r="N516" t="n">
        <v>0</v>
      </c>
      <c r="O516" t="n">
        <v>0</v>
      </c>
      <c r="P516" t="n">
        <v>17.50107552393869</v>
      </c>
      <c r="Q516" t="n">
        <v>-16.9670475440615</v>
      </c>
      <c r="R516" t="n">
        <v>41.51137837268972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-3.190690020014098</v>
      </c>
      <c r="F517" t="n">
        <v>1.803</v>
      </c>
      <c r="G517" t="n">
        <v>16.802649</v>
      </c>
      <c r="H517" t="n">
        <v>-5.789044</v>
      </c>
      <c r="I517" t="n">
        <v>-2.598353979985902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-3.190690020014098</v>
      </c>
      <c r="N517" t="n">
        <v>0</v>
      </c>
      <c r="O517" t="n">
        <v>0</v>
      </c>
      <c r="P517" t="n">
        <v>-3.190690020014098</v>
      </c>
      <c r="Q517" t="n">
        <v>-19.34176401933071</v>
      </c>
      <c r="R517" t="n">
        <v>20.02408533108437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-28.00970963043351</v>
      </c>
      <c r="F518" t="n">
        <v>11.811</v>
      </c>
      <c r="G518" t="n">
        <v>44.578332</v>
      </c>
      <c r="H518" t="n">
        <v>13.326305</v>
      </c>
      <c r="I518" t="n">
        <v>41.33601463043351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-28.00970963043351</v>
      </c>
      <c r="N518" t="n">
        <v>0</v>
      </c>
      <c r="O518" t="n">
        <v>0</v>
      </c>
      <c r="P518" t="n">
        <v>-28.00970963043351</v>
      </c>
      <c r="Q518" t="n">
        <v>-21.61598275145341</v>
      </c>
      <c r="R518" t="n">
        <v>-8.156926760600102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91.23310184812208</v>
      </c>
      <c r="F519" t="n">
        <v>5.441</v>
      </c>
      <c r="G519" t="n">
        <v>106.164519</v>
      </c>
      <c r="H519" t="n">
        <v>11.729149</v>
      </c>
      <c r="I519" t="n">
        <v>-79.50395284812208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91.23310184812208</v>
      </c>
      <c r="N519" t="n">
        <v>0</v>
      </c>
      <c r="O519" t="n">
        <v>0</v>
      </c>
      <c r="P519" t="n">
        <v>91.23310184812208</v>
      </c>
      <c r="Q519" t="n">
        <v>-45.80583035725595</v>
      </c>
      <c r="R519" t="n">
        <v>252.8665594634236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-10.66087397994741</v>
      </c>
      <c r="F520" t="n">
        <v>5.045</v>
      </c>
      <c r="G520" t="n">
        <v>76.769673</v>
      </c>
      <c r="H520" t="n">
        <v>24.713977</v>
      </c>
      <c r="I520" t="n">
        <v>35.3748509799474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-10.66087397994741</v>
      </c>
      <c r="N520" t="n">
        <v>0</v>
      </c>
      <c r="O520" t="n">
        <v>0</v>
      </c>
      <c r="P520" t="n">
        <v>-10.66087397994741</v>
      </c>
      <c r="Q520" t="n">
        <v>-29.44831792718424</v>
      </c>
      <c r="R520" t="n">
        <v>26.62933525503544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11.63464933043661</v>
      </c>
      <c r="F521" t="n">
        <v>3.328</v>
      </c>
      <c r="G521" t="n">
        <v>64.580319</v>
      </c>
      <c r="H521" t="n">
        <v>17.771342</v>
      </c>
      <c r="I521" t="n">
        <v>6.136692669563391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11.63464933043661</v>
      </c>
      <c r="N521" t="n">
        <v>0</v>
      </c>
      <c r="O521" t="n">
        <v>0</v>
      </c>
      <c r="P521" t="n">
        <v>11.63464933043661</v>
      </c>
      <c r="Q521" t="n">
        <v>-28.44141808932529</v>
      </c>
      <c r="R521" t="n">
        <v>56.00455787369869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10.71020009901609</v>
      </c>
      <c r="F523" t="n">
        <v>3.693</v>
      </c>
      <c r="G523" t="n">
        <v>28.538319</v>
      </c>
      <c r="H523" t="n">
        <v>0.679604</v>
      </c>
      <c r="I523" t="n">
        <v>-10.03059609901609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10.71020009901609</v>
      </c>
      <c r="N523" t="n">
        <v>0</v>
      </c>
      <c r="O523" t="n">
        <v>0</v>
      </c>
      <c r="P523" t="n">
        <v>10.71020009901609</v>
      </c>
      <c r="Q523" t="n">
        <v>-21.67347080086092</v>
      </c>
      <c r="R523" t="n">
        <v>41.34444769988986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2.303323410215807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-1.623719410215807</v>
      </c>
      <c r="O538" t="inlineStr"/>
      <c r="P538" t="n">
        <v>-1.623719410215807</v>
      </c>
      <c r="Q538" t="n">
        <v>-21.67347080086092</v>
      </c>
      <c r="R538" t="n">
        <v>25.59765075211002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3.853250841202671</v>
      </c>
      <c r="F553" t="n">
        <v>1.264</v>
      </c>
      <c r="G553" t="n">
        <v>3.62701</v>
      </c>
      <c r="H553" t="n">
        <v>6.74094</v>
      </c>
      <c r="I553" t="n">
        <v>4.573974550846043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3.853250841202671</v>
      </c>
      <c r="N553" t="n">
        <v>-1.623719410215807</v>
      </c>
      <c r="O553" t="inlineStr"/>
      <c r="P553" t="n">
        <v>2.166965449153957</v>
      </c>
      <c r="Q553" t="n">
        <v>3.004940479200879</v>
      </c>
      <c r="R553" t="n">
        <v>-0.8135289687547842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3.440538519072533</v>
      </c>
      <c r="F568" t="n">
        <v>1.264</v>
      </c>
      <c r="G568" t="n">
        <v>3.62701</v>
      </c>
      <c r="H568" t="n">
        <v>6.74094</v>
      </c>
      <c r="I568" t="n">
        <v>4.979985582893403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3.440538519072533</v>
      </c>
      <c r="N568" t="n">
        <v>-1.623719410215807</v>
      </c>
      <c r="O568" t="inlineStr"/>
      <c r="P568" t="n">
        <v>1.760954417106597</v>
      </c>
      <c r="Q568" t="n">
        <v>3.004940479200879</v>
      </c>
      <c r="R568" t="n">
        <v>-1.207695530240582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-2.616152515328685</v>
      </c>
      <c r="F583" t="n">
        <v>2.102</v>
      </c>
      <c r="G583" t="n">
        <v>3.93768</v>
      </c>
      <c r="H583" t="n">
        <v>3.93768</v>
      </c>
      <c r="I583" t="n">
        <v>6.553832515328684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-2.616152515328685</v>
      </c>
      <c r="N583" t="n">
        <v>0</v>
      </c>
      <c r="O583" t="n">
        <v>0</v>
      </c>
      <c r="P583" t="n">
        <v>-2.616152515328685</v>
      </c>
      <c r="Q583" t="n">
        <v>0</v>
      </c>
      <c r="R583" t="n">
        <v>-2.616152515328685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-2.926624143119638</v>
      </c>
      <c r="F598" t="n">
        <v>2.102</v>
      </c>
      <c r="G598" t="n">
        <v>3.93768</v>
      </c>
      <c r="H598" t="n">
        <v>3.93768</v>
      </c>
      <c r="I598" t="n">
        <v>6.864304143119638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-2.926624143119638</v>
      </c>
      <c r="N598" t="n">
        <v>0</v>
      </c>
      <c r="O598" t="n">
        <v>0</v>
      </c>
      <c r="P598" t="n">
        <v>-2.926624143119638</v>
      </c>
      <c r="Q598" t="n">
        <v>0</v>
      </c>
      <c r="R598" t="n">
        <v>-2.926624143119638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-11.14327062228654</v>
      </c>
      <c r="F613" t="n">
        <v>5.595</v>
      </c>
      <c r="G613" t="n">
        <v>9.35421</v>
      </c>
      <c r="H613" t="n">
        <v>5.432554</v>
      </c>
      <c r="I613" t="n">
        <v>18.0186085844754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-11.14327062228654</v>
      </c>
      <c r="N613" t="n">
        <v>-1.623719410215807</v>
      </c>
      <c r="O613" t="inlineStr"/>
      <c r="P613" t="n">
        <v>-12.5860545844754</v>
      </c>
      <c r="Q613" t="n">
        <v>-3.586195770893719</v>
      </c>
      <c r="R613" t="n">
        <v>-9.334616433343401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10" customWidth="1" min="4" max="4"/>
    <col width="7" customWidth="1" min="5" max="5"/>
    <col width="12" customWidth="1" min="6" max="6"/>
    <col width="17" customWidth="1" min="7" max="7"/>
    <col width="24" customWidth="1" min="8" max="8"/>
    <col width="24" customWidth="1" min="9" max="9"/>
    <col width="11" customWidth="1" min="10" max="10"/>
    <col width="16" customWidth="1" min="11" max="11"/>
    <col width="24" customWidth="1" min="12" max="12"/>
    <col width="22" customWidth="1" min="13" max="13"/>
    <col width="23" customWidth="1" min="14" max="14"/>
    <col width="34" customWidth="1" min="15" max="15"/>
    <col width="10" customWidth="1" min="16" max="16"/>
    <col width="19" customWidth="1" min="17" max="17"/>
    <col width="12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-10.21405453949156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-1.446753674767076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0.1550306660641043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-3.585202958240652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46022</v>
      </c>
      <c r="E14" t="inlineStr">
        <is>
          <t>1Y</t>
        </is>
      </c>
      <c r="F14" t="n">
        <v>76.7232528375128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-68.61188483751279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46022</v>
      </c>
      <c r="E15" t="inlineStr">
        <is>
          <t>3Y</t>
        </is>
      </c>
      <c r="F15" t="n">
        <v>29.20703824972302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-22.94855927431274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46022</v>
      </c>
      <c r="E16" t="inlineStr">
        <is>
          <t>5Y</t>
        </is>
      </c>
      <c r="F16" t="n">
        <v>17.28922501740371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-11.82011433846022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46022</v>
      </c>
      <c r="E17" t="inlineStr">
        <is>
          <t>10Y</t>
        </is>
      </c>
      <c r="F17" t="n">
        <v>12.50382123194404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-8.419376852934011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46022</v>
      </c>
      <c r="E22" t="inlineStr">
        <is>
          <t>1Y</t>
        </is>
      </c>
      <c r="F22" t="n">
        <v>35.8567098682157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-27.93711786821569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46022</v>
      </c>
      <c r="E23" t="inlineStr">
        <is>
          <t>3Y</t>
        </is>
      </c>
      <c r="F23" t="n">
        <v>13.25798099382178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-6.789646840534468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46022</v>
      </c>
      <c r="E24" t="inlineStr">
        <is>
          <t>5Y</t>
        </is>
      </c>
      <c r="F24" t="n">
        <v>6.939410649559874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-0.6803146275886185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46022</v>
      </c>
      <c r="E25" t="inlineStr">
        <is>
          <t>10Y</t>
        </is>
      </c>
      <c r="F25" t="n">
        <v>5.711669190863855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-1.198254005003263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46022</v>
      </c>
      <c r="E30" t="inlineStr">
        <is>
          <t>1Y</t>
        </is>
      </c>
      <c r="F30" t="n">
        <v>46.25667738405066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-42.70081138405067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46022</v>
      </c>
      <c r="E31" t="inlineStr">
        <is>
          <t>3Y</t>
        </is>
      </c>
      <c r="F31" t="n">
        <v>13.23039689777374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-8.27067416330436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46022</v>
      </c>
      <c r="E32" t="inlineStr">
        <is>
          <t>5Y</t>
        </is>
      </c>
      <c r="F32" t="n">
        <v>4.918415631236828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3.944550442896256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46022</v>
      </c>
      <c r="E33" t="inlineStr">
        <is>
          <t>10Y</t>
        </is>
      </c>
      <c r="F33" t="n">
        <v>10.03799955124756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-7.750381766604563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46022</v>
      </c>
      <c r="E38" t="inlineStr">
        <is>
          <t>1Y</t>
        </is>
      </c>
      <c r="F38" t="n">
        <v>34.38498623616874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-32.60386023616874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46022</v>
      </c>
      <c r="E39" t="inlineStr">
        <is>
          <t>3Y</t>
        </is>
      </c>
      <c r="F39" t="n">
        <v>20.36976059901565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-18.97128823314065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46022</v>
      </c>
      <c r="E40" t="inlineStr">
        <is>
          <t>5Y</t>
        </is>
      </c>
      <c r="F40" t="n">
        <v>13.58488952119343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-6.942853721483243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46022</v>
      </c>
      <c r="E41" t="inlineStr">
        <is>
          <t>10Y</t>
        </is>
      </c>
      <c r="F41" t="n">
        <v>11.60632504951762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-7.698836232745987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46022</v>
      </c>
      <c r="E46" t="inlineStr">
        <is>
          <t>1Y</t>
        </is>
      </c>
      <c r="F46" t="n">
        <v>28.54073093385992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-25.0803239338599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46022</v>
      </c>
      <c r="E47" t="inlineStr">
        <is>
          <t>3Y</t>
        </is>
      </c>
      <c r="F47" t="n">
        <v>5.913482170496054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-3.965700965308039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46022</v>
      </c>
      <c r="E48" t="inlineStr">
        <is>
          <t>5Y</t>
        </is>
      </c>
      <c r="F48" t="n">
        <v>-2.329493449708742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7.462546810132142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46022</v>
      </c>
      <c r="E49" t="inlineStr">
        <is>
          <t>10Y</t>
        </is>
      </c>
      <c r="F49" t="n">
        <v>3.900830683101453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1.645072552235893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46022</v>
      </c>
      <c r="E54" t="inlineStr">
        <is>
          <t>1Y</t>
        </is>
      </c>
      <c r="F54" t="n">
        <v>28.39745742593078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-22.04942742593079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46022</v>
      </c>
      <c r="E55" t="inlineStr">
        <is>
          <t>3Y</t>
        </is>
      </c>
      <c r="F55" t="n">
        <v>13.52974391963848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-7.209325492986228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46022</v>
      </c>
      <c r="E56" t="inlineStr">
        <is>
          <t>5Y</t>
        </is>
      </c>
      <c r="F56" t="n">
        <v>8.893272939196905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-3.988198454134028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46022</v>
      </c>
      <c r="E57" t="inlineStr">
        <is>
          <t>10Y</t>
        </is>
      </c>
      <c r="F57" t="n">
        <v>9.493065340779715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-6.248670334828276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46021</v>
      </c>
      <c r="E62" t="inlineStr">
        <is>
          <t>1Y</t>
        </is>
      </c>
      <c r="F62" t="n">
        <v>38.27482183556737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-31.24281483556737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46021</v>
      </c>
      <c r="E63" t="inlineStr">
        <is>
          <t>3Y</t>
        </is>
      </c>
      <c r="F63" t="n">
        <v>23.6568139787698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-17.61341297415244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46021</v>
      </c>
      <c r="E64" t="inlineStr">
        <is>
          <t>5Y</t>
        </is>
      </c>
      <c r="F64" t="n">
        <v>10.8486240411046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-5.901881696802346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46021</v>
      </c>
      <c r="E65" t="inlineStr">
        <is>
          <t>10Y</t>
        </is>
      </c>
      <c r="F65" t="n">
        <v>9.236820009792535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-5.354167445185687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46022</v>
      </c>
      <c r="E66" t="inlineStr">
        <is>
          <t>1Y</t>
        </is>
      </c>
      <c r="F66" t="n">
        <v>38.3865538218239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-31.3545468218239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46022</v>
      </c>
      <c r="E67" t="inlineStr">
        <is>
          <t>3Y</t>
        </is>
      </c>
      <c r="F67" t="n">
        <v>23.42652709426989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-17.38312608965254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46022</v>
      </c>
      <c r="E68" t="inlineStr">
        <is>
          <t>5Y</t>
        </is>
      </c>
      <c r="F68" t="n">
        <v>10.5719038125536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-5.625161468251339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46022</v>
      </c>
      <c r="E69" t="inlineStr">
        <is>
          <t>10Y</t>
        </is>
      </c>
      <c r="F69" t="n">
        <v>5.794499553093835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-1.911846988486987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46022</v>
      </c>
      <c r="E74" t="inlineStr">
        <is>
          <t>1Y</t>
        </is>
      </c>
      <c r="F74" t="n">
        <v>75.70356528125421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-65.99714628125422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46022</v>
      </c>
      <c r="E75" t="inlineStr">
        <is>
          <t>3Y</t>
        </is>
      </c>
      <c r="F75" t="n">
        <v>39.83967534607107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-31.05282888703451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46022</v>
      </c>
      <c r="E76" t="inlineStr">
        <is>
          <t>5Y</t>
        </is>
      </c>
      <c r="F76" t="n">
        <v>24.55404244925852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-16.47199737136486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46022</v>
      </c>
      <c r="E77" t="inlineStr">
        <is>
          <t>10Y</t>
        </is>
      </c>
      <c r="F77" t="n">
        <v>13.59297465382299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-9.812308386216028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46022</v>
      </c>
      <c r="E82" t="inlineStr">
        <is>
          <t>1Y</t>
        </is>
      </c>
      <c r="F82" t="n">
        <v>36.63203993571336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-31.37965793571336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46022</v>
      </c>
      <c r="E83" t="inlineStr">
        <is>
          <t>3Y</t>
        </is>
      </c>
      <c r="F83" t="n">
        <v>4.190532539039427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1.895365150691752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46022</v>
      </c>
      <c r="E84" t="inlineStr">
        <is>
          <t>5Y</t>
        </is>
      </c>
      <c r="F84" t="n">
        <v>0.6215043378081653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3.799306614088316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46022</v>
      </c>
      <c r="E85" t="inlineStr">
        <is>
          <t>10Y</t>
        </is>
      </c>
      <c r="F85" t="n">
        <v>4.482292307935731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-1.178099909059038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46021</v>
      </c>
      <c r="E90" t="inlineStr">
        <is>
          <t>1Y</t>
        </is>
      </c>
      <c r="F90" t="n">
        <v>-0.8894369562915561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6.396519956291558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46021</v>
      </c>
      <c r="E91" t="inlineStr">
        <is>
          <t>3Y</t>
        </is>
      </c>
      <c r="F91" t="n">
        <v>9.585913605245278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-2.359400384232679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46021</v>
      </c>
      <c r="E92" t="inlineStr">
        <is>
          <t>5Y</t>
        </is>
      </c>
      <c r="F92" t="n">
        <v>7.895261547213517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1.155655825146807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46021</v>
      </c>
      <c r="E93" t="inlineStr">
        <is>
          <t>10Y</t>
        </is>
      </c>
      <c r="F93" t="n">
        <v>8.291522572806208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-1.324829726802811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46022</v>
      </c>
      <c r="E98" t="inlineStr">
        <is>
          <t>1Y</t>
        </is>
      </c>
      <c r="F98" t="n">
        <v>-3.36933792862526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6.732225928625257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46022</v>
      </c>
      <c r="E99" t="inlineStr">
        <is>
          <t>3Y</t>
        </is>
      </c>
      <c r="F99" t="n">
        <v>-3.544826922592437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6.588605416803195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46022</v>
      </c>
      <c r="E100" t="inlineStr">
        <is>
          <t>5Y</t>
        </is>
      </c>
      <c r="F100" t="n">
        <v>-1.518212236355088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7.904332760042787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46022</v>
      </c>
      <c r="E101" t="inlineStr">
        <is>
          <t>10Y</t>
        </is>
      </c>
      <c r="F101" t="n">
        <v>2.173985650103605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3.129170362412537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46022</v>
      </c>
      <c r="E106" t="inlineStr">
        <is>
          <t>1Y</t>
        </is>
      </c>
      <c r="F106" t="n">
        <v>57.55741100789042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-50.32243100789042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46022</v>
      </c>
      <c r="E107" t="inlineStr">
        <is>
          <t>3Y</t>
        </is>
      </c>
      <c r="F107" t="n">
        <v>30.13341883730789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-23.63244618790164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46022</v>
      </c>
      <c r="E108" t="inlineStr">
        <is>
          <t>5Y</t>
        </is>
      </c>
      <c r="F108" t="n">
        <v>16.91531884003992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-10.97291612619355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46022</v>
      </c>
      <c r="E109" t="inlineStr">
        <is>
          <t>10Y</t>
        </is>
      </c>
      <c r="F109" t="n">
        <v>10.89037453927293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-7.630382992277297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46022</v>
      </c>
      <c r="E114" t="inlineStr">
        <is>
          <t>1Y</t>
        </is>
      </c>
      <c r="F114" t="n">
        <v>25.89693520558538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-19.41718320558538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46022</v>
      </c>
      <c r="E115" t="inlineStr">
        <is>
          <t>3Y</t>
        </is>
      </c>
      <c r="F115" t="n">
        <v>17.49741225724488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-17.3678119697316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46022</v>
      </c>
      <c r="E116" t="inlineStr">
        <is>
          <t>5Y</t>
        </is>
      </c>
      <c r="F116" t="n">
        <v>6.394042577849657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-9.664968829671727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46022</v>
      </c>
      <c r="E117" t="inlineStr">
        <is>
          <t>10Y</t>
        </is>
      </c>
      <c r="F117" t="n">
        <v>7.647721372879213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-8.025521277932512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46022</v>
      </c>
      <c r="E122" t="inlineStr">
        <is>
          <t>1Y</t>
        </is>
      </c>
      <c r="F122" t="n">
        <v>15.10072133742288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-3.650719337422892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46022</v>
      </c>
      <c r="E123" t="inlineStr">
        <is>
          <t>3Y</t>
        </is>
      </c>
      <c r="F123" t="n">
        <v>10.2501129643682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-5.364568481042963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46022</v>
      </c>
      <c r="E124" t="inlineStr">
        <is>
          <t>5Y</t>
        </is>
      </c>
      <c r="F124" t="n">
        <v>3.015219573951078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3.861172717426831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46022</v>
      </c>
      <c r="E125" t="inlineStr">
        <is>
          <t>10Y</t>
        </is>
      </c>
      <c r="F125" t="n">
        <v>2.707796542307261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1.849601629914166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46022</v>
      </c>
      <c r="E130" t="inlineStr">
        <is>
          <t>1Y</t>
        </is>
      </c>
      <c r="F130" t="n">
        <v>51.79014314508883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-51.44678414508883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46022</v>
      </c>
      <c r="E131" t="inlineStr">
        <is>
          <t>3Y</t>
        </is>
      </c>
      <c r="F131" t="n">
        <v>15.56375051222438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-7.275719815700832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46022</v>
      </c>
      <c r="E132" t="inlineStr">
        <is>
          <t>5Y</t>
        </is>
      </c>
      <c r="F132" t="n">
        <v>12.65706447900565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-1.96810896179611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46022</v>
      </c>
      <c r="E133" t="inlineStr">
        <is>
          <t>10Y</t>
        </is>
      </c>
      <c r="F133" t="n">
        <v>5.904962493780075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-1.524643724173624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46022</v>
      </c>
      <c r="E138" t="inlineStr">
        <is>
          <t>1Y</t>
        </is>
      </c>
      <c r="F138" t="n">
        <v>35.17014358164619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-26.43670758164618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46022</v>
      </c>
      <c r="E139" t="inlineStr">
        <is>
          <t>3Y</t>
        </is>
      </c>
      <c r="F139" t="n">
        <v>17.97136840409397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-9.937054241051758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46022</v>
      </c>
      <c r="E140" t="inlineStr">
        <is>
          <t>5Y</t>
        </is>
      </c>
      <c r="F140" t="n">
        <v>8.864709060529208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-1.641027755553859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46022</v>
      </c>
      <c r="E141" t="inlineStr">
        <is>
          <t>10Y</t>
        </is>
      </c>
      <c r="F141" t="n">
        <v>11.74325319477714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-6.279779690426145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46022</v>
      </c>
      <c r="E146" t="inlineStr">
        <is>
          <t>1Y</t>
        </is>
      </c>
      <c r="F146" t="n">
        <v>34.99065889359694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-24.46665289359693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46022</v>
      </c>
      <c r="E147" t="inlineStr">
        <is>
          <t>3Y</t>
        </is>
      </c>
      <c r="F147" t="n">
        <v>38.47228569219119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-35.39805087186988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46022</v>
      </c>
      <c r="E148" t="inlineStr">
        <is>
          <t>5Y</t>
        </is>
      </c>
      <c r="F148" t="n">
        <v>9.251624829567318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-2.808234717845326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46022</v>
      </c>
      <c r="E149" t="inlineStr">
        <is>
          <t>10Y</t>
        </is>
      </c>
      <c r="F149" t="n">
        <v>0.1423435164196407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3.045561953500431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46022</v>
      </c>
      <c r="E154" t="inlineStr">
        <is>
          <t>1Y</t>
        </is>
      </c>
      <c r="F154" t="n">
        <v>-0.8685311923225081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7.917881192322507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46022</v>
      </c>
      <c r="E155" t="inlineStr">
        <is>
          <t>3Y</t>
        </is>
      </c>
      <c r="F155" t="n">
        <v>-0.4816288963851667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7.395745942568999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46022</v>
      </c>
      <c r="E156" t="inlineStr">
        <is>
          <t>5Y</t>
        </is>
      </c>
      <c r="F156" t="n">
        <v>-4.09809922309603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10.53475443427192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46022</v>
      </c>
      <c r="E157" t="inlineStr">
        <is>
          <t>10Y</t>
        </is>
      </c>
      <c r="F157" t="n">
        <v>-2.106436791246491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7.000567304361538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46022</v>
      </c>
      <c r="E162" t="inlineStr">
        <is>
          <t>1Y</t>
        </is>
      </c>
      <c r="F162" t="n">
        <v>74.00603656381143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-60.33094056381142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46022</v>
      </c>
      <c r="E163" t="inlineStr">
        <is>
          <t>3Y</t>
        </is>
      </c>
      <c r="F163" t="n">
        <v>34.03398693830753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-19.70834195402973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46022</v>
      </c>
      <c r="E164" t="inlineStr">
        <is>
          <t>5Y</t>
        </is>
      </c>
      <c r="F164" t="n">
        <v>13.39536914262358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-1.994045772478104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46022</v>
      </c>
      <c r="E165" t="inlineStr">
        <is>
          <t>10Y</t>
        </is>
      </c>
      <c r="F165" t="n">
        <v>8.188975465575288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-0.1481676007558672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46022</v>
      </c>
      <c r="E166" t="inlineStr">
        <is>
          <t>1Y</t>
        </is>
      </c>
      <c r="F166" t="n">
        <v>72.13124049861612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-58.45614449861611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46022</v>
      </c>
      <c r="E167" t="inlineStr">
        <is>
          <t>3Y</t>
        </is>
      </c>
      <c r="F167" t="n">
        <v>33.71629776031089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-19.39065277603309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46022</v>
      </c>
      <c r="E168" t="inlineStr">
        <is>
          <t>5Y</t>
        </is>
      </c>
      <c r="F168" t="n">
        <v>13.20488786726455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-1.803564497119071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46022</v>
      </c>
      <c r="E169" t="inlineStr">
        <is>
          <t>10Y</t>
        </is>
      </c>
      <c r="F169" t="n">
        <v>7.804696961693369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0.2361109031260513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46022</v>
      </c>
      <c r="E174" t="inlineStr">
        <is>
          <t>1Y</t>
        </is>
      </c>
      <c r="F174" t="n">
        <v>-6.082555514391419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8.399855514391408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46022</v>
      </c>
      <c r="E175" t="inlineStr">
        <is>
          <t>3Y</t>
        </is>
      </c>
      <c r="F175" t="n">
        <v>0.8890605203422997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-0.1027331289850109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46022</v>
      </c>
      <c r="E176" t="inlineStr">
        <is>
          <t>5Y</t>
        </is>
      </c>
      <c r="F176" t="n">
        <v>6.113729096202603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4.463858590319392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46022</v>
      </c>
      <c r="E181" t="inlineStr">
        <is>
          <t>1Y</t>
        </is>
      </c>
      <c r="F181" t="n">
        <v>31.95796861863993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-27.06234661863993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46022</v>
      </c>
      <c r="E182" t="inlineStr">
        <is>
          <t>3Y</t>
        </is>
      </c>
      <c r="F182" t="n">
        <v>19.38489041410108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-15.28756587309965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46022</v>
      </c>
      <c r="E183" t="inlineStr">
        <is>
          <t>5Y</t>
        </is>
      </c>
      <c r="F183" t="n">
        <v>10.04091635207465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0.4188140046995414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46022</v>
      </c>
      <c r="E184" t="inlineStr">
        <is>
          <t>10Y</t>
        </is>
      </c>
      <c r="F184" t="n">
        <v>7.647728110660457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-1.221112094490673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46022</v>
      </c>
      <c r="E189" t="inlineStr">
        <is>
          <t>1Y</t>
        </is>
      </c>
      <c r="F189" t="n">
        <v>75.04335635161455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-68.73357935161455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46022</v>
      </c>
      <c r="E190" t="inlineStr">
        <is>
          <t>3Y</t>
        </is>
      </c>
      <c r="F190" t="n">
        <v>23.45899194037075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-21.93181920995706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46022</v>
      </c>
      <c r="E191" t="inlineStr">
        <is>
          <t>5Y</t>
        </is>
      </c>
      <c r="F191" t="n">
        <v>13.78060611988323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-9.017466120046613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46022</v>
      </c>
      <c r="E192" t="inlineStr">
        <is>
          <t>10Y</t>
        </is>
      </c>
      <c r="F192" t="n">
        <v>9.687170171223691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-7.595751669619033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46022</v>
      </c>
      <c r="E193" t="inlineStr">
        <is>
          <t>1Y</t>
        </is>
      </c>
      <c r="F193" t="n">
        <v>73.25046185797825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-66.94068485797825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46022</v>
      </c>
      <c r="E194" t="inlineStr">
        <is>
          <t>3Y</t>
        </is>
      </c>
      <c r="F194" t="n">
        <v>23.15404289151002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-21.62687016109632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46022</v>
      </c>
      <c r="E195" t="inlineStr">
        <is>
          <t>5Y</t>
        </is>
      </c>
      <c r="F195" t="n">
        <v>13.56941057534642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-8.806270575509799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46022</v>
      </c>
      <c r="E196" t="inlineStr">
        <is>
          <t>10Y</t>
        </is>
      </c>
      <c r="F196" t="n">
        <v>9.285044159321387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-7.193625657716729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46022</v>
      </c>
      <c r="E201" t="inlineStr">
        <is>
          <t>1Y</t>
        </is>
      </c>
      <c r="F201" t="n">
        <v>99.25350103748991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-100.1501690374899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46022</v>
      </c>
      <c r="E202" t="inlineStr">
        <is>
          <t>3Y</t>
        </is>
      </c>
      <c r="F202" t="n">
        <v>23.80187708799604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-22.71684156823588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46022</v>
      </c>
      <c r="E203" t="inlineStr">
        <is>
          <t>5Y</t>
        </is>
      </c>
      <c r="F203" t="n">
        <v>3.410536753221516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-2.135146959864387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46022</v>
      </c>
      <c r="E204" t="inlineStr">
        <is>
          <t>10Y</t>
        </is>
      </c>
      <c r="F204" t="n">
        <v>9.786754183672386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-7.883490288739492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46021</v>
      </c>
      <c r="E209" t="inlineStr">
        <is>
          <t>1Y</t>
        </is>
      </c>
      <c r="F209" t="n">
        <v>78.29547143122741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-68.66043643122741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46021</v>
      </c>
      <c r="E210" t="inlineStr">
        <is>
          <t>3Y</t>
        </is>
      </c>
      <c r="F210" t="n">
        <v>35.78194724975674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-26.51958823119218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46021</v>
      </c>
      <c r="E211" t="inlineStr">
        <is>
          <t>5Y</t>
        </is>
      </c>
      <c r="F211" t="n">
        <v>19.57142939342942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-11.59684477796457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46021</v>
      </c>
      <c r="E212" t="inlineStr">
        <is>
          <t>10Y</t>
        </is>
      </c>
      <c r="F212" t="n">
        <v>11.36949194228052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-6.769269616674167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46022</v>
      </c>
      <c r="E217" t="inlineStr">
        <is>
          <t>1Y</t>
        </is>
      </c>
      <c r="F217" t="n">
        <v>36.17857070499866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-26.47150670499865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46022</v>
      </c>
      <c r="E218" t="inlineStr">
        <is>
          <t>3Y</t>
        </is>
      </c>
      <c r="F218" t="n">
        <v>17.50588412057583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-12.68486842871759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46022</v>
      </c>
      <c r="E219" t="inlineStr">
        <is>
          <t>5Y</t>
        </is>
      </c>
      <c r="F219" t="n">
        <v>7.512530434733256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-3.508284214438584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46022</v>
      </c>
      <c r="E220" t="inlineStr">
        <is>
          <t>10Y</t>
        </is>
      </c>
      <c r="F220" t="n">
        <v>9.172761586439226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-6.35438802830901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46022</v>
      </c>
      <c r="E225" t="inlineStr">
        <is>
          <t>1Y</t>
        </is>
      </c>
      <c r="F225" t="n">
        <v>31.5387609207751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-24.66216392077509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46022</v>
      </c>
      <c r="E226" t="inlineStr">
        <is>
          <t>3Y</t>
        </is>
      </c>
      <c r="F226" t="n">
        <v>14.01231945924497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-7.446240169426943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46022</v>
      </c>
      <c r="E227" t="inlineStr">
        <is>
          <t>5Y</t>
        </is>
      </c>
      <c r="F227" t="n">
        <v>7.769296224234834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-1.542553614004549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46022</v>
      </c>
      <c r="E228" t="inlineStr">
        <is>
          <t>10Y</t>
        </is>
      </c>
      <c r="F228" t="n">
        <v>-24.87107245594601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28.62184124762392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46022</v>
      </c>
      <c r="E229" t="inlineStr">
        <is>
          <t>1Y</t>
        </is>
      </c>
      <c r="F229" t="n">
        <v>31.39886692904705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-24.52226992904705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46022</v>
      </c>
      <c r="E230" t="inlineStr">
        <is>
          <t>3Y</t>
        </is>
      </c>
      <c r="F230" t="n">
        <v>13.85756586806508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-7.291486578247053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46022</v>
      </c>
      <c r="E231" t="inlineStr">
        <is>
          <t>5Y</t>
        </is>
      </c>
      <c r="F231" t="n">
        <v>-48.62324429668489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54.84998690691517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46022</v>
      </c>
      <c r="E232" t="inlineStr">
        <is>
          <t>10Y</t>
        </is>
      </c>
      <c r="F232" t="n">
        <v>4.169748920164595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-0.4189801284866901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46022</v>
      </c>
      <c r="E233" t="inlineStr">
        <is>
          <t>1Y</t>
        </is>
      </c>
      <c r="F233" t="n">
        <v>33.24270296086154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-26.36610596086153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46022</v>
      </c>
      <c r="E234" t="inlineStr">
        <is>
          <t>3Y</t>
        </is>
      </c>
      <c r="F234" t="n">
        <v>14.39486246203525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-7.828783172217225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46022</v>
      </c>
      <c r="E235" t="inlineStr">
        <is>
          <t>5Y</t>
        </is>
      </c>
      <c r="F235" t="n">
        <v>7.950839047000957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-1.724096436770672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46022</v>
      </c>
      <c r="E236" t="inlineStr">
        <is>
          <t>10Y</t>
        </is>
      </c>
      <c r="F236" t="n">
        <v>9.183927722269015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-5.43315893059111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46022</v>
      </c>
      <c r="E241" t="inlineStr">
        <is>
          <t>1Y</t>
        </is>
      </c>
      <c r="F241" t="n">
        <v>33.17535317071263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-22.21141817071263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46022</v>
      </c>
      <c r="E242" t="inlineStr">
        <is>
          <t>3Y</t>
        </is>
      </c>
      <c r="F242" t="n">
        <v>28.04010443105349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-23.11591935918622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46022</v>
      </c>
      <c r="E243" t="inlineStr">
        <is>
          <t>5Y</t>
        </is>
      </c>
      <c r="F243" t="n">
        <v>13.19399138875445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-7.699794032358564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46022</v>
      </c>
      <c r="E244" t="inlineStr">
        <is>
          <t>10Y</t>
        </is>
      </c>
      <c r="F244" t="n">
        <v>17.0977898112201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-11.93351171800876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46022</v>
      </c>
      <c r="E249" t="inlineStr">
        <is>
          <t>1Y</t>
        </is>
      </c>
      <c r="F249" t="n">
        <v>8.183757651034561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-2.095646651034565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46022</v>
      </c>
      <c r="E250" t="inlineStr">
        <is>
          <t>3Y</t>
        </is>
      </c>
      <c r="F250" t="n">
        <v>-2.266491166089812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6.331103445450292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46022</v>
      </c>
      <c r="E251" t="inlineStr">
        <is>
          <t>5Y</t>
        </is>
      </c>
      <c r="F251" t="n">
        <v>-0.8851687739693581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3.106555250730536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46022</v>
      </c>
      <c r="E252" t="inlineStr">
        <is>
          <t>10Y</t>
        </is>
      </c>
      <c r="F252" t="n">
        <v>4.143325020858679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-0.7811804977869929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46022</v>
      </c>
      <c r="E257" t="inlineStr">
        <is>
          <t>1Y</t>
        </is>
      </c>
      <c r="F257" t="n">
        <v>-3.130778552760527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18.38716355276052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46022</v>
      </c>
      <c r="E258" t="inlineStr">
        <is>
          <t>3Y</t>
        </is>
      </c>
      <c r="F258" t="n">
        <v>-0.2251342614117302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19.40601269978035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46022</v>
      </c>
      <c r="E259" t="inlineStr">
        <is>
          <t>5Y</t>
        </is>
      </c>
      <c r="F259" t="n">
        <v>8.467478351140901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8.005020530856743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46022</v>
      </c>
      <c r="E260" t="inlineStr">
        <is>
          <t>10Y</t>
        </is>
      </c>
      <c r="F260" t="n">
        <v>2.645268044185922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3.427114628463279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46022</v>
      </c>
      <c r="E261" t="inlineStr">
        <is>
          <t>1Y</t>
        </is>
      </c>
      <c r="F261" t="n">
        <v>7.571929555270285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7.68445544472971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46022</v>
      </c>
      <c r="E262" t="inlineStr">
        <is>
          <t>3Y</t>
        </is>
      </c>
      <c r="F262" t="n">
        <v>-3.696072538823703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22.87695097719232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46022</v>
      </c>
      <c r="E263" t="inlineStr">
        <is>
          <t>5Y</t>
        </is>
      </c>
      <c r="F263" t="n">
        <v>4.603693326194813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11.86880555580283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46022</v>
      </c>
      <c r="E264" t="inlineStr">
        <is>
          <t>10Y</t>
        </is>
      </c>
      <c r="F264" t="n">
        <v>-3.692303541049458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9.76468621369866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46022</v>
      </c>
      <c r="E269" t="inlineStr">
        <is>
          <t>1Y</t>
        </is>
      </c>
      <c r="F269" t="n">
        <v>33.16904002605603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-24.54968802605604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46022</v>
      </c>
      <c r="E270" t="inlineStr">
        <is>
          <t>3Y</t>
        </is>
      </c>
      <c r="F270" t="n">
        <v>17.09634052839633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-8.898547721792461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46022</v>
      </c>
      <c r="E271" t="inlineStr">
        <is>
          <t>5Y</t>
        </is>
      </c>
      <c r="F271" t="n">
        <v>12.26276133262585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-4.298208415272132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46022</v>
      </c>
      <c r="E272" t="inlineStr">
        <is>
          <t>10Y</t>
        </is>
      </c>
      <c r="F272" t="n">
        <v>7.344623806201511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-4.284477692668376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46022</v>
      </c>
      <c r="E273" t="inlineStr">
        <is>
          <t>1Y</t>
        </is>
      </c>
      <c r="F273" t="n">
        <v>33.88458439596942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-25.26523239596943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46022</v>
      </c>
      <c r="E274" t="inlineStr">
        <is>
          <t>3Y</t>
        </is>
      </c>
      <c r="F274" t="n">
        <v>17.74518267401215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-9.547389867408285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46022</v>
      </c>
      <c r="E275" t="inlineStr">
        <is>
          <t>5Y</t>
        </is>
      </c>
      <c r="F275" t="n">
        <v>12.00906740336205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-4.044514486008332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46022</v>
      </c>
      <c r="E276" t="inlineStr">
        <is>
          <t>10Y</t>
        </is>
      </c>
      <c r="F276" t="n">
        <v>7.688333700279237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-4.628187586746102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46022</v>
      </c>
      <c r="E281" t="inlineStr">
        <is>
          <t>1Y</t>
        </is>
      </c>
      <c r="F281" t="n">
        <v>18.0137493932327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-13.5161153932327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46022</v>
      </c>
      <c r="E282" t="inlineStr">
        <is>
          <t>3Y</t>
        </is>
      </c>
      <c r="F282" t="n">
        <v>23.26916970836443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-17.74463063728735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46022</v>
      </c>
      <c r="E283" t="inlineStr">
        <is>
          <t>5Y</t>
        </is>
      </c>
      <c r="F283" t="n">
        <v>14.59526939900584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-7.145220402365649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46022</v>
      </c>
      <c r="E284" t="inlineStr">
        <is>
          <t>10Y</t>
        </is>
      </c>
      <c r="F284" t="n">
        <v>14.82095603987432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-9.537231979190118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46022</v>
      </c>
      <c r="E285" t="inlineStr">
        <is>
          <t>1Y</t>
        </is>
      </c>
      <c r="F285" t="n">
        <v>17.75908204481222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-13.26144804481222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46022</v>
      </c>
      <c r="E286" t="inlineStr">
        <is>
          <t>3Y</t>
        </is>
      </c>
      <c r="F286" t="n">
        <v>23.45762734462473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-17.93308827354765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46022</v>
      </c>
      <c r="E287" t="inlineStr">
        <is>
          <t>5Y</t>
        </is>
      </c>
      <c r="F287" t="n">
        <v>13.9582543446956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-6.508205348055406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46022</v>
      </c>
      <c r="E288" t="inlineStr">
        <is>
          <t>10Y</t>
        </is>
      </c>
      <c r="F288" t="n">
        <v>14.59562438379896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-9.311900323114752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46022</v>
      </c>
      <c r="E293" t="inlineStr">
        <is>
          <t>1Y</t>
        </is>
      </c>
      <c r="F293" t="n">
        <v>66.8060270774205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-61.3097180774205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46022</v>
      </c>
      <c r="E294" t="inlineStr">
        <is>
          <t>3Y</t>
        </is>
      </c>
      <c r="F294" t="n">
        <v>14.68393692650922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-9.036033998585346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46022</v>
      </c>
      <c r="E295" t="inlineStr">
        <is>
          <t>5Y</t>
        </is>
      </c>
      <c r="F295" t="n">
        <v>2.746601027955986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4.209670885544292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46022</v>
      </c>
      <c r="E296" t="inlineStr">
        <is>
          <t>10Y</t>
        </is>
      </c>
      <c r="F296" t="n">
        <v>6.034403639833208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1.392331938082991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9" customWidth="1" min="3" max="3"/>
    <col width="14" customWidth="1" min="4" max="4"/>
    <col width="6" customWidth="1" min="5" max="5"/>
    <col width="12" customWidth="1" min="6" max="6"/>
    <col width="6" customWidth="1" min="7" max="7"/>
    <col width="14" customWidth="1" min="8" max="8"/>
    <col width="6" customWidth="1" min="10" max="10"/>
    <col width="14" customWidth="1" min="11" max="11"/>
    <col width="15" customWidth="1" min="12" max="12"/>
    <col width="15" customWidth="1" min="13" max="13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4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14" customWidth="1" min="3" max="3"/>
    <col width="14" customWidth="1" min="4" max="4"/>
    <col width="11" customWidth="1" min="5" max="5"/>
    <col width="12" customWidth="1" min="6" max="6"/>
    <col width="16" customWidth="1" min="7" max="7"/>
    <col width="11" customWidth="1" min="8" max="8"/>
    <col width="10" customWidth="1" min="9" max="9"/>
    <col width="9" customWidth="1" min="13" max="13"/>
    <col width="9" customWidth="1" min="14" max="14"/>
    <col width="17" customWidth="1" min="15" max="15"/>
    <col width="16" customWidth="1" min="16" max="16"/>
    <col width="14" customWidth="1" min="17" max="17"/>
    <col width="6" customWidth="1" min="18" max="18"/>
    <col width="8" customWidth="1" min="19" max="19"/>
    <col width="8" customWidth="1" min="20" max="20"/>
    <col width="13" customWidth="1" min="21" max="21"/>
    <col width="12" customWidth="1" min="22" max="22"/>
  </cols>
  <sheetData>
    <row r="1">
      <c r="A1" s="3" t="inlineStr">
        <is>
          <t>Country CAGR Disconnect Screener</t>
        </is>
      </c>
    </row>
    <row r="2">
      <c r="A2" s="4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4" t="inlineStr">
        <is>
          <t>Country</t>
        </is>
      </c>
      <c r="B5" s="4" t="inlineStr">
        <is>
          <t>Ticker</t>
        </is>
      </c>
      <c r="C5" s="4" t="inlineStr">
        <is>
          <t>GDP CAGR (USD)</t>
        </is>
      </c>
      <c r="D5" s="4" t="inlineStr">
        <is>
          <t>ETF CAGR (USD)</t>
        </is>
      </c>
      <c r="E5" s="4" t="inlineStr">
        <is>
          <t>Macro Gap %</t>
        </is>
      </c>
      <c r="F5" s="4" t="inlineStr">
        <is>
          <t>Oil Impact %</t>
        </is>
      </c>
      <c r="G5" s="4" t="inlineStr">
        <is>
          <t>Proj. 3Y (26-28)</t>
        </is>
      </c>
      <c r="H5" s="4" t="inlineStr">
        <is>
          <t>REER vs 10Y</t>
        </is>
      </c>
      <c r="I5" s="4" t="inlineStr">
        <is>
          <t>REER Index</t>
        </is>
      </c>
      <c r="J5" t="inlineStr"/>
      <c r="K5" t="inlineStr"/>
      <c r="L5" t="inlineStr"/>
      <c r="M5" s="4" t="inlineStr">
        <is>
          <t>Valuation</t>
        </is>
      </c>
      <c r="N5" s="4" t="inlineStr">
        <is>
          <t>FX CAGR %</t>
        </is>
      </c>
      <c r="O5" s="4" t="inlineStr">
        <is>
          <t>FX Jan 1st CAGR %</t>
        </is>
      </c>
      <c r="P5" s="4" t="inlineStr">
        <is>
          <t>Inf. Diff CAGR %</t>
        </is>
      </c>
      <c r="Q5" s="4" t="inlineStr">
        <is>
          <t>Currency Gap %</t>
        </is>
      </c>
      <c r="R5" s="4" t="inlineStr">
        <is>
          <t>Region</t>
        </is>
      </c>
      <c r="S5" s="4" t="inlineStr">
        <is>
          <t>Exchange</t>
        </is>
      </c>
      <c r="T5" s="4" t="inlineStr">
        <is>
          <t>Currency</t>
        </is>
      </c>
      <c r="U5" s="4" t="inlineStr">
        <is>
          <t>GDP Real CAGR</t>
        </is>
      </c>
      <c r="V5" s="4" t="inlineStr">
        <is>
          <t>GDP LCU CAGR</t>
        </is>
      </c>
    </row>
    <row r="6">
      <c r="A6" t="inlineStr">
        <is>
          <t>United States</t>
        </is>
      </c>
      <c r="B6" t="inlineStr">
        <is>
          <t>CSUS.L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s="5">
        <f>IF(AND(ISNUMBER(C6),ISNUMBER(D6)),C6-D6,NA())</f>
        <v/>
      </c>
      <c r="F6" s="1">
        <f>IFERROR(INDEX(Crude_Oil_Impact!$I:$I, MATCH($A6, Crude_Oil_Impact!$A:$A, 0)), NA())</f>
        <v/>
      </c>
      <c r="G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H6" s="6">
        <f>IFERROR(INDEX(REER_Data!$E:$E, MATCH($A6, REER_Data!$A:$A, 0)) / 100, NA())</f>
        <v/>
      </c>
      <c r="I6" s="5">
        <f>IFERROR(INDEX(REER_Data!$C:$C, MATCH($A6, REER_Data!$A:$A, 0)), NA())</f>
        <v/>
      </c>
      <c r="J6" t="inlineStr"/>
      <c r="K6" t="inlineStr"/>
      <c r="L6" t="inlineStr"/>
      <c r="M6">
        <f>IF(ISNA($H6), "", IF(ABS($H6)&lt;=0.03, "near neutral", IF(ABS($H6)&lt;=0.07, "mild " &amp; IF($H6&gt;0, "over", "under") &amp; "valuation", "meaningful " &amp; IF($H6&gt;0, "over", "under") &amp; "valuation")))</f>
        <v/>
      </c>
      <c r="N6" s="5">
        <f>IFERROR(1*INDEX(CAGR!$J:$J, MATCH($A6&amp;"|"&amp;$B$2, CAGR!$Q:$Q, 0)), NA())</f>
        <v/>
      </c>
      <c r="O6" s="5">
        <f>IFERROR(1*INDEX(CAGR!$K:$K, MATCH($A6&amp;"|"&amp;$B$2, CAGR!$Q:$Q, 0)), NA())</f>
        <v/>
      </c>
      <c r="P6" s="5">
        <f>IFERROR(1*INDEX(CAGR!$N:$N, MATCH($A6&amp;"|"&amp;$B$2, CAGR!$Q:$Q, 0)), NA())</f>
        <v/>
      </c>
      <c r="Q6" s="5">
        <f>IF(AND(ISNUMBER(N6),ISNUMBER(P6)),N6+P6,NA())</f>
        <v/>
      </c>
      <c r="R6">
        <f>IFERROR(INDEX(Lists!$E$2:$E$42, MATCH($A6, Lists!$A$2:$A$42, 0)), "")</f>
        <v/>
      </c>
      <c r="S6">
        <f>IFERROR(INDEX(Lists!$J$2:$J$42, MATCH($B6, Lists!$I$2:$I$42, 0)),"")</f>
        <v/>
      </c>
      <c r="T6">
        <f>IFERROR(INDEX(Lists!$K$2:$K$42, MATCH($B6, Lists!$I$2:$I$42, 0)),"")</f>
        <v/>
      </c>
      <c r="U6" s="5">
        <f>IFERROR(1*INDEX(CAGR!$G:$G, MATCH($A6&amp;"|"&amp;$B$2, CAGR!$Q:$Q, 0)), NA())</f>
        <v/>
      </c>
      <c r="V6" s="5">
        <f>IFERROR(1*INDEX(CAGR!$H:$H, MATCH($A6&amp;"|"&amp;$B$2, CAGR!$Q:$Q, 0)), NA())</f>
        <v/>
      </c>
    </row>
    <row r="7">
      <c r="A7" t="inlineStr">
        <is>
          <t>China</t>
        </is>
      </c>
      <c r="B7" t="inlineStr">
        <is>
          <t>IASH.L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s="5">
        <f>IF(AND(ISNUMBER(C7),ISNUMBER(D7)),C7-D7,NA())</f>
        <v/>
      </c>
      <c r="F7" s="1">
        <f>IFERROR(INDEX(Crude_Oil_Impact!$I:$I, MATCH($A7, Crude_Oil_Impact!$A:$A, 0)), NA())</f>
        <v/>
      </c>
      <c r="G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H7" s="6">
        <f>IFERROR(INDEX(REER_Data!$E:$E, MATCH($A7, REER_Data!$A:$A, 0)) / 100, NA())</f>
        <v/>
      </c>
      <c r="I7" s="5">
        <f>IFERROR(INDEX(REER_Data!$C:$C, MATCH($A7, REER_Data!$A:$A, 0)), NA())</f>
        <v/>
      </c>
      <c r="J7" t="inlineStr"/>
      <c r="K7" t="inlineStr"/>
      <c r="L7" t="inlineStr"/>
      <c r="M7">
        <f>IF(ISNA($H7), "", IF(ABS($H7)&lt;=0.03, "near neutral", IF(ABS($H7)&lt;=0.07, "mild " &amp; IF($H7&gt;0, "over", "under") &amp; "valuation", "meaningful " &amp; IF($H7&gt;0, "over", "under") &amp; "valuation")))</f>
        <v/>
      </c>
      <c r="N7" s="5">
        <f>IFERROR(1*INDEX(CAGR!$J:$J, MATCH($A7&amp;"|"&amp;$B$2, CAGR!$Q:$Q, 0)), NA())</f>
        <v/>
      </c>
      <c r="O7" s="5">
        <f>IFERROR(1*INDEX(CAGR!$K:$K, MATCH($A7&amp;"|"&amp;$B$2, CAGR!$Q:$Q, 0)), NA())</f>
        <v/>
      </c>
      <c r="P7" s="5">
        <f>IFERROR(1*INDEX(CAGR!$N:$N, MATCH($A7&amp;"|"&amp;$B$2, CAGR!$Q:$Q, 0)), NA())</f>
        <v/>
      </c>
      <c r="Q7" s="5">
        <f>IF(AND(ISNUMBER(N7),ISNUMBER(P7)),N7+P7,NA())</f>
        <v/>
      </c>
      <c r="R7">
        <f>IFERROR(INDEX(Lists!$E$2:$E$42, MATCH($A7, Lists!$A$2:$A$42, 0)), "")</f>
        <v/>
      </c>
      <c r="S7">
        <f>IFERROR(INDEX(Lists!$J$2:$J$42, MATCH($B7, Lists!$I$2:$I$42, 0)),"")</f>
        <v/>
      </c>
      <c r="T7">
        <f>IFERROR(INDEX(Lists!$K$2:$K$42, MATCH($B7, Lists!$I$2:$I$42, 0)),"")</f>
        <v/>
      </c>
      <c r="U7" s="5">
        <f>IFERROR(1*INDEX(CAGR!$G:$G, MATCH($A7&amp;"|"&amp;$B$2, CAGR!$Q:$Q, 0)), NA())</f>
        <v/>
      </c>
      <c r="V7" s="5">
        <f>IFERROR(1*INDEX(CAGR!$H:$H, MATCH($A7&amp;"|"&amp;$B$2, CAGR!$Q:$Q, 0)), NA())</f>
        <v/>
      </c>
    </row>
    <row r="8">
      <c r="A8" t="inlineStr">
        <is>
          <t>India</t>
        </is>
      </c>
      <c r="B8" t="inlineStr">
        <is>
          <t>LYINR.SW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s="5">
        <f>IF(AND(ISNUMBER(C8),ISNUMBER(D8)),C8-D8,NA())</f>
        <v/>
      </c>
      <c r="F8" s="1">
        <f>IFERROR(INDEX(Crude_Oil_Impact!$I:$I, MATCH($A8, Crude_Oil_Impact!$A:$A, 0)), NA())</f>
        <v/>
      </c>
      <c r="G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H8" s="6">
        <f>IFERROR(INDEX(REER_Data!$E:$E, MATCH($A8, REER_Data!$A:$A, 0)) / 100, NA())</f>
        <v/>
      </c>
      <c r="I8" s="5">
        <f>IFERROR(INDEX(REER_Data!$C:$C, MATCH($A8, REER_Data!$A:$A, 0)), NA())</f>
        <v/>
      </c>
      <c r="J8" t="inlineStr"/>
      <c r="K8" t="inlineStr"/>
      <c r="L8" t="inlineStr"/>
      <c r="M8">
        <f>IF(ISNA($H8), "", IF(ABS($H8)&lt;=0.03, "near neutral", IF(ABS($H8)&lt;=0.07, "mild " &amp; IF($H8&gt;0, "over", "under") &amp; "valuation", "meaningful " &amp; IF($H8&gt;0, "over", "under") &amp; "valuation")))</f>
        <v/>
      </c>
      <c r="N8" s="5">
        <f>IFERROR(1*INDEX(CAGR!$J:$J, MATCH($A8&amp;"|"&amp;$B$2, CAGR!$Q:$Q, 0)), NA())</f>
        <v/>
      </c>
      <c r="O8" s="5">
        <f>IFERROR(1*INDEX(CAGR!$K:$K, MATCH($A8&amp;"|"&amp;$B$2, CAGR!$Q:$Q, 0)), NA())</f>
        <v/>
      </c>
      <c r="P8" s="5">
        <f>IFERROR(1*INDEX(CAGR!$N:$N, MATCH($A8&amp;"|"&amp;$B$2, CAGR!$Q:$Q, 0)), NA())</f>
        <v/>
      </c>
      <c r="Q8" s="5">
        <f>IF(AND(ISNUMBER(N8),ISNUMBER(P8)),N8+P8,NA())</f>
        <v/>
      </c>
      <c r="R8">
        <f>IFERROR(INDEX(Lists!$E$2:$E$42, MATCH($A8, Lists!$A$2:$A$42, 0)), "")</f>
        <v/>
      </c>
      <c r="S8">
        <f>IFERROR(INDEX(Lists!$J$2:$J$42, MATCH($B8, Lists!$I$2:$I$42, 0)),"")</f>
        <v/>
      </c>
      <c r="T8">
        <f>IFERROR(INDEX(Lists!$K$2:$K$42, MATCH($B8, Lists!$I$2:$I$42, 0)),"")</f>
        <v/>
      </c>
      <c r="U8" s="5">
        <f>IFERROR(1*INDEX(CAGR!$G:$G, MATCH($A8&amp;"|"&amp;$B$2, CAGR!$Q:$Q, 0)), NA())</f>
        <v/>
      </c>
      <c r="V8" s="5">
        <f>IFERROR(1*INDEX(CAGR!$H:$H, MATCH($A8&amp;"|"&amp;$B$2, CAGR!$Q:$Q, 0)), NA())</f>
        <v/>
      </c>
    </row>
    <row r="9">
      <c r="A9" t="inlineStr">
        <is>
          <t>Germany</t>
        </is>
      </c>
      <c r="B9" t="inlineStr">
        <is>
          <t>EXS1.DE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s="5">
        <f>IF(AND(ISNUMBER(C9),ISNUMBER(D9)),C9-D9,NA())</f>
        <v/>
      </c>
      <c r="F9" s="1">
        <f>IFERROR(INDEX(Crude_Oil_Impact!$I:$I, MATCH($A9, Crude_Oil_Impact!$A:$A, 0)), NA())</f>
        <v/>
      </c>
      <c r="G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H9" s="6">
        <f>IFERROR(INDEX(REER_Data!$E:$E, MATCH($A9, REER_Data!$A:$A, 0)) / 100, NA())</f>
        <v/>
      </c>
      <c r="I9" s="5">
        <f>IFERROR(INDEX(REER_Data!$C:$C, MATCH($A9, REER_Data!$A:$A, 0)), NA())</f>
        <v/>
      </c>
      <c r="J9" t="inlineStr"/>
      <c r="K9" t="inlineStr"/>
      <c r="L9" t="inlineStr"/>
      <c r="M9">
        <f>IF(ISNA($H9), "", IF(ABS($H9)&lt;=0.03, "near neutral", IF(ABS($H9)&lt;=0.07, "mild " &amp; IF($H9&gt;0, "over", "under") &amp; "valuation", "meaningful " &amp; IF($H9&gt;0, "over", "under") &amp; "valuation")))</f>
        <v/>
      </c>
      <c r="N9" s="5">
        <f>IFERROR(1*INDEX(CAGR!$J:$J, MATCH($A9&amp;"|"&amp;$B$2, CAGR!$Q:$Q, 0)), NA())</f>
        <v/>
      </c>
      <c r="O9" s="5">
        <f>IFERROR(1*INDEX(CAGR!$K:$K, MATCH($A9&amp;"|"&amp;$B$2, CAGR!$Q:$Q, 0)), NA())</f>
        <v/>
      </c>
      <c r="P9" s="5">
        <f>IFERROR(1*INDEX(CAGR!$N:$N, MATCH($A9&amp;"|"&amp;$B$2, CAGR!$Q:$Q, 0)), NA())</f>
        <v/>
      </c>
      <c r="Q9" s="5">
        <f>IF(AND(ISNUMBER(N9),ISNUMBER(P9)),N9+P9,NA())</f>
        <v/>
      </c>
      <c r="R9">
        <f>IFERROR(INDEX(Lists!$E$2:$E$42, MATCH($A9, Lists!$A$2:$A$42, 0)), "")</f>
        <v/>
      </c>
      <c r="S9">
        <f>IFERROR(INDEX(Lists!$J$2:$J$42, MATCH($B9, Lists!$I$2:$I$42, 0)),"")</f>
        <v/>
      </c>
      <c r="T9">
        <f>IFERROR(INDEX(Lists!$K$2:$K$42, MATCH($B9, Lists!$I$2:$I$42, 0)),"")</f>
        <v/>
      </c>
      <c r="U9" s="5">
        <f>IFERROR(1*INDEX(CAGR!$G:$G, MATCH($A9&amp;"|"&amp;$B$2, CAGR!$Q:$Q, 0)), NA())</f>
        <v/>
      </c>
      <c r="V9" s="5">
        <f>IFERROR(1*INDEX(CAGR!$H:$H, MATCH($A9&amp;"|"&amp;$B$2, CAGR!$Q:$Q, 0)), NA())</f>
        <v/>
      </c>
    </row>
    <row r="10">
      <c r="A10" t="inlineStr">
        <is>
          <t>Japan</t>
        </is>
      </c>
      <c r="B10" t="inlineStr">
        <is>
          <t>CJPU.L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s="5">
        <f>IF(AND(ISNUMBER(C10),ISNUMBER(D10)),C10-D10,NA())</f>
        <v/>
      </c>
      <c r="F10" s="1">
        <f>IFERROR(INDEX(Crude_Oil_Impact!$I:$I, MATCH($A10, Crude_Oil_Impact!$A:$A, 0)), NA())</f>
        <v/>
      </c>
      <c r="G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H10" s="6">
        <f>IFERROR(INDEX(REER_Data!$E:$E, MATCH($A10, REER_Data!$A:$A, 0)) / 100, NA())</f>
        <v/>
      </c>
      <c r="I10" s="5">
        <f>IFERROR(INDEX(REER_Data!$C:$C, MATCH($A10, REER_Data!$A:$A, 0)), NA())</f>
        <v/>
      </c>
      <c r="J10" t="inlineStr"/>
      <c r="K10" t="inlineStr"/>
      <c r="L10" t="inlineStr"/>
      <c r="M10">
        <f>IF(ISNA($H10), "", IF(ABS($H10)&lt;=0.03, "near neutral", IF(ABS($H10)&lt;=0.07, "mild " &amp; IF($H10&gt;0, "over", "under") &amp; "valuation", "meaningful " &amp; IF($H10&gt;0, "over", "under") &amp; "valuation")))</f>
        <v/>
      </c>
      <c r="N10" s="5">
        <f>IFERROR(1*INDEX(CAGR!$J:$J, MATCH($A10&amp;"|"&amp;$B$2, CAGR!$Q:$Q, 0)), NA())</f>
        <v/>
      </c>
      <c r="O10" s="5">
        <f>IFERROR(1*INDEX(CAGR!$K:$K, MATCH($A10&amp;"|"&amp;$B$2, CAGR!$Q:$Q, 0)), NA())</f>
        <v/>
      </c>
      <c r="P10" s="5">
        <f>IFERROR(1*INDEX(CAGR!$N:$N, MATCH($A10&amp;"|"&amp;$B$2, CAGR!$Q:$Q, 0)), NA())</f>
        <v/>
      </c>
      <c r="Q10" s="5">
        <f>IF(AND(ISNUMBER(N10),ISNUMBER(P10)),N10+P10,NA())</f>
        <v/>
      </c>
      <c r="R10">
        <f>IFERROR(INDEX(Lists!$E$2:$E$42, MATCH($A10, Lists!$A$2:$A$42, 0)), "")</f>
        <v/>
      </c>
      <c r="S10">
        <f>IFERROR(INDEX(Lists!$J$2:$J$42, MATCH($B10, Lists!$I$2:$I$42, 0)),"")</f>
        <v/>
      </c>
      <c r="T10">
        <f>IFERROR(INDEX(Lists!$K$2:$K$42, MATCH($B10, Lists!$I$2:$I$42, 0)),"")</f>
        <v/>
      </c>
      <c r="U10" s="5">
        <f>IFERROR(1*INDEX(CAGR!$G:$G, MATCH($A10&amp;"|"&amp;$B$2, CAGR!$Q:$Q, 0)), NA())</f>
        <v/>
      </c>
      <c r="V10" s="5">
        <f>IFERROR(1*INDEX(CAGR!$H:$H, MATCH($A10&amp;"|"&amp;$B$2, CAGR!$Q:$Q,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s="5">
        <f>IF(AND(ISNUMBER(C11),ISNUMBER(D11)),C11-D11,NA())</f>
        <v/>
      </c>
      <c r="F11" s="1">
        <f>IFERROR(INDEX(Crude_Oil_Impact!$I:$I, MATCH($A11, Crude_Oil_Impact!$A:$A, 0)), NA())</f>
        <v/>
      </c>
      <c r="G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H11" s="6">
        <f>IFERROR(INDEX(REER_Data!$E:$E, MATCH($A11, REER_Data!$A:$A, 0)) / 100, NA())</f>
        <v/>
      </c>
      <c r="I11" s="5">
        <f>IFERROR(INDEX(REER_Data!$C:$C, MATCH($A11, REER_Data!$A:$A, 0)), NA())</f>
        <v/>
      </c>
      <c r="J11" t="inlineStr"/>
      <c r="K11" t="inlineStr"/>
      <c r="L11" t="inlineStr"/>
      <c r="M11">
        <f>IF(ISNA($H11), "", IF(ABS($H11)&lt;=0.03, "near neutral", IF(ABS($H11)&lt;=0.07, "mild " &amp; IF($H11&gt;0, "over", "under") &amp; "valuation", "meaningful " &amp; IF($H11&gt;0, "over", "under") &amp; "valuation")))</f>
        <v/>
      </c>
      <c r="N11" s="5">
        <f>IFERROR(1*INDEX(CAGR!$J:$J, MATCH($A11&amp;"|"&amp;$B$2, CAGR!$Q:$Q, 0)), NA())</f>
        <v/>
      </c>
      <c r="O11" s="5">
        <f>IFERROR(1*INDEX(CAGR!$K:$K, MATCH($A11&amp;"|"&amp;$B$2, CAGR!$Q:$Q, 0)), NA())</f>
        <v/>
      </c>
      <c r="P11" s="5">
        <f>IFERROR(1*INDEX(CAGR!$N:$N, MATCH($A11&amp;"|"&amp;$B$2, CAGR!$Q:$Q, 0)), NA())</f>
        <v/>
      </c>
      <c r="Q11" s="5">
        <f>IF(AND(ISNUMBER(N11),ISNUMBER(P11)),N11+P11,NA())</f>
        <v/>
      </c>
      <c r="R11">
        <f>IFERROR(INDEX(Lists!$E$2:$E$42, MATCH($A11, Lists!$A$2:$A$42, 0)), "")</f>
        <v/>
      </c>
      <c r="S11">
        <f>IFERROR(INDEX(Lists!$J$2:$J$42, MATCH($B11, Lists!$I$2:$I$42, 0)),"")</f>
        <v/>
      </c>
      <c r="T11">
        <f>IFERROR(INDEX(Lists!$K$2:$K$42, MATCH($B11, Lists!$I$2:$I$42, 0)),"")</f>
        <v/>
      </c>
      <c r="U11" s="5">
        <f>IFERROR(1*INDEX(CAGR!$G:$G, MATCH($A11&amp;"|"&amp;$B$2, CAGR!$Q:$Q, 0)), NA())</f>
        <v/>
      </c>
      <c r="V11" s="5">
        <f>IFERROR(1*INDEX(CAGR!$H:$H, MATCH($A11&amp;"|"&amp;$B$2, CAGR!$Q:$Q, 0)), NA())</f>
        <v/>
      </c>
    </row>
    <row r="12">
      <c r="A12" t="inlineStr">
        <is>
          <t>France</t>
        </is>
      </c>
      <c r="B12" t="inlineStr">
        <is>
          <t>ISFR.L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s="5">
        <f>IF(AND(ISNUMBER(C12),ISNUMBER(D12)),C12-D12,NA())</f>
        <v/>
      </c>
      <c r="F12" s="1">
        <f>IFERROR(INDEX(Crude_Oil_Impact!$I:$I, MATCH($A12, Crude_Oil_Impact!$A:$A, 0)), NA())</f>
        <v/>
      </c>
      <c r="G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H12" s="6">
        <f>IFERROR(INDEX(REER_Data!$E:$E, MATCH($A12, REER_Data!$A:$A, 0)) / 100, NA())</f>
        <v/>
      </c>
      <c r="I12" s="5">
        <f>IFERROR(INDEX(REER_Data!$C:$C, MATCH($A12, REER_Data!$A:$A, 0)), NA())</f>
        <v/>
      </c>
      <c r="J12" t="inlineStr"/>
      <c r="K12" t="inlineStr"/>
      <c r="L12" t="inlineStr"/>
      <c r="M12">
        <f>IF(ISNA($H12), "", IF(ABS($H12)&lt;=0.03, "near neutral", IF(ABS($H12)&lt;=0.07, "mild " &amp; IF($H12&gt;0, "over", "under") &amp; "valuation", "meaningful " &amp; IF($H12&gt;0, "over", "under") &amp; "valuation")))</f>
        <v/>
      </c>
      <c r="N12" s="5">
        <f>IFERROR(1*INDEX(CAGR!$J:$J, MATCH($A12&amp;"|"&amp;$B$2, CAGR!$Q:$Q, 0)), NA())</f>
        <v/>
      </c>
      <c r="O12" s="5">
        <f>IFERROR(1*INDEX(CAGR!$K:$K, MATCH($A12&amp;"|"&amp;$B$2, CAGR!$Q:$Q, 0)), NA())</f>
        <v/>
      </c>
      <c r="P12" s="5">
        <f>IFERROR(1*INDEX(CAGR!$N:$N, MATCH($A12&amp;"|"&amp;$B$2, CAGR!$Q:$Q, 0)), NA())</f>
        <v/>
      </c>
      <c r="Q12" s="5">
        <f>IF(AND(ISNUMBER(N12),ISNUMBER(P12)),N12+P12,NA())</f>
        <v/>
      </c>
      <c r="R12">
        <f>IFERROR(INDEX(Lists!$E$2:$E$42, MATCH($A12, Lists!$A$2:$A$42, 0)), "")</f>
        <v/>
      </c>
      <c r="S12">
        <f>IFERROR(INDEX(Lists!$J$2:$J$42, MATCH($B12, Lists!$I$2:$I$42, 0)),"")</f>
        <v/>
      </c>
      <c r="T12">
        <f>IFERROR(INDEX(Lists!$K$2:$K$42, MATCH($B12, Lists!$I$2:$I$42, 0)),"")</f>
        <v/>
      </c>
      <c r="U12" s="5">
        <f>IFERROR(1*INDEX(CAGR!$G:$G, MATCH($A12&amp;"|"&amp;$B$2, CAGR!$Q:$Q, 0)), NA())</f>
        <v/>
      </c>
      <c r="V12" s="5">
        <f>IFERROR(1*INDEX(CAGR!$H:$H, MATCH($A12&amp;"|"&amp;$B$2, CAGR!$Q:$Q, 0)), NA())</f>
        <v/>
      </c>
    </row>
    <row r="13">
      <c r="A13" t="inlineStr">
        <is>
          <t>Italy</t>
        </is>
      </c>
      <c r="B13" t="inlineStr">
        <is>
          <t>EWI*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s="5">
        <f>IF(AND(ISNUMBER(C13),ISNUMBER(D13)),C13-D13,NA())</f>
        <v/>
      </c>
      <c r="F13" s="1">
        <f>IFERROR(INDEX(Crude_Oil_Impact!$I:$I, MATCH($A13, Crude_Oil_Impact!$A:$A, 0)), NA())</f>
        <v/>
      </c>
      <c r="G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H13" s="6">
        <f>IFERROR(INDEX(REER_Data!$E:$E, MATCH($A13, REER_Data!$A:$A, 0)) / 100, NA())</f>
        <v/>
      </c>
      <c r="I13" s="5">
        <f>IFERROR(INDEX(REER_Data!$C:$C, MATCH($A13, REER_Data!$A:$A, 0)), NA())</f>
        <v/>
      </c>
      <c r="J13" t="inlineStr"/>
      <c r="K13" t="inlineStr"/>
      <c r="L13" t="inlineStr"/>
      <c r="M13">
        <f>IF(ISNA($H13), "", IF(ABS($H13)&lt;=0.03, "near neutral", IF(ABS($H13)&lt;=0.07, "mild " &amp; IF($H13&gt;0, "over", "under") &amp; "valuation", "meaningful " &amp; IF($H13&gt;0, "over", "under") &amp; "valuation")))</f>
        <v/>
      </c>
      <c r="N13" s="5">
        <f>IFERROR(1*INDEX(CAGR!$J:$J, MATCH($A13&amp;"|"&amp;$B$2, CAGR!$Q:$Q, 0)), NA())</f>
        <v/>
      </c>
      <c r="O13" s="5">
        <f>IFERROR(1*INDEX(CAGR!$K:$K, MATCH($A13&amp;"|"&amp;$B$2, CAGR!$Q:$Q, 0)), NA())</f>
        <v/>
      </c>
      <c r="P13" s="5">
        <f>IFERROR(1*INDEX(CAGR!$N:$N, MATCH($A13&amp;"|"&amp;$B$2, CAGR!$Q:$Q, 0)), NA())</f>
        <v/>
      </c>
      <c r="Q13" s="5">
        <f>IF(AND(ISNUMBER(N13),ISNUMBER(P13)),N13+P13,NA())</f>
        <v/>
      </c>
      <c r="R13">
        <f>IFERROR(INDEX(Lists!$E$2:$E$42, MATCH($A13, Lists!$A$2:$A$42, 0)), "")</f>
        <v/>
      </c>
      <c r="S13">
        <f>IFERROR(INDEX(Lists!$J$2:$J$42, MATCH($B13, Lists!$I$2:$I$42, 0)),"")</f>
        <v/>
      </c>
      <c r="T13">
        <f>IFERROR(INDEX(Lists!$K$2:$K$42, MATCH($B13, Lists!$I$2:$I$42, 0)),"")</f>
        <v/>
      </c>
      <c r="U13" s="5">
        <f>IFERROR(1*INDEX(CAGR!$G:$G, MATCH($A13&amp;"|"&amp;$B$2, CAGR!$Q:$Q, 0)), NA())</f>
        <v/>
      </c>
      <c r="V13" s="5">
        <f>IFERROR(1*INDEX(CAGR!$H:$H, MATCH($A13&amp;"|"&amp;$B$2, CAGR!$Q:$Q, 0)), NA())</f>
        <v/>
      </c>
    </row>
    <row r="14">
      <c r="A14" t="inlineStr">
        <is>
          <t>Canada</t>
        </is>
      </c>
      <c r="B14" t="inlineStr">
        <is>
          <t>CSCA.L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s="5">
        <f>IF(AND(ISNUMBER(C14),ISNUMBER(D14)),C14-D14,NA())</f>
        <v/>
      </c>
      <c r="F14" s="1">
        <f>IFERROR(INDEX(Crude_Oil_Impact!$I:$I, MATCH($A14, Crude_Oil_Impact!$A:$A, 0)), NA())</f>
        <v/>
      </c>
      <c r="G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H14" s="6">
        <f>IFERROR(INDEX(REER_Data!$E:$E, MATCH($A14, REER_Data!$A:$A, 0)) / 100, NA())</f>
        <v/>
      </c>
      <c r="I14" s="5">
        <f>IFERROR(INDEX(REER_Data!$C:$C, MATCH($A14, REER_Data!$A:$A, 0)), NA())</f>
        <v/>
      </c>
      <c r="J14" t="inlineStr"/>
      <c r="K14" t="inlineStr"/>
      <c r="L14" t="inlineStr"/>
      <c r="M14">
        <f>IF(ISNA($H14), "", IF(ABS($H14)&lt;=0.03, "near neutral", IF(ABS($H14)&lt;=0.07, "mild " &amp; IF($H14&gt;0, "over", "under") &amp; "valuation", "meaningful " &amp; IF($H14&gt;0, "over", "under") &amp; "valuation")))</f>
        <v/>
      </c>
      <c r="N14" s="5">
        <f>IFERROR(1*INDEX(CAGR!$J:$J, MATCH($A14&amp;"|"&amp;$B$2, CAGR!$Q:$Q, 0)), NA())</f>
        <v/>
      </c>
      <c r="O14" s="5">
        <f>IFERROR(1*INDEX(CAGR!$K:$K, MATCH($A14&amp;"|"&amp;$B$2, CAGR!$Q:$Q, 0)), NA())</f>
        <v/>
      </c>
      <c r="P14" s="5">
        <f>IFERROR(1*INDEX(CAGR!$N:$N, MATCH($A14&amp;"|"&amp;$B$2, CAGR!$Q:$Q, 0)), NA())</f>
        <v/>
      </c>
      <c r="Q14" s="5">
        <f>IF(AND(ISNUMBER(N14),ISNUMBER(P14)),N14+P14,NA())</f>
        <v/>
      </c>
      <c r="R14">
        <f>IFERROR(INDEX(Lists!$E$2:$E$42, MATCH($A14, Lists!$A$2:$A$42, 0)), "")</f>
        <v/>
      </c>
      <c r="S14">
        <f>IFERROR(INDEX(Lists!$J$2:$J$42, MATCH($B14, Lists!$I$2:$I$42, 0)),"")</f>
        <v/>
      </c>
      <c r="T14">
        <f>IFERROR(INDEX(Lists!$K$2:$K$42, MATCH($B14, Lists!$I$2:$I$42, 0)),"")</f>
        <v/>
      </c>
      <c r="U14" s="5">
        <f>IFERROR(1*INDEX(CAGR!$G:$G, MATCH($A14&amp;"|"&amp;$B$2, CAGR!$Q:$Q, 0)), NA())</f>
        <v/>
      </c>
      <c r="V14" s="5">
        <f>IFERROR(1*INDEX(CAGR!$H:$H, MATCH($A14&amp;"|"&amp;$B$2, CAGR!$Q:$Q, 0)), NA())</f>
        <v/>
      </c>
    </row>
    <row r="15">
      <c r="A15" t="inlineStr">
        <is>
          <t>Brazil</t>
        </is>
      </c>
      <c r="B15" t="inlineStr">
        <is>
          <t>XMBR.L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s="5">
        <f>IF(AND(ISNUMBER(C15),ISNUMBER(D15)),C15-D15,NA())</f>
        <v/>
      </c>
      <c r="F15" s="1">
        <f>IFERROR(INDEX(Crude_Oil_Impact!$I:$I, MATCH($A15, Crude_Oil_Impact!$A:$A, 0)), NA())</f>
        <v/>
      </c>
      <c r="G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H15" s="6">
        <f>IFERROR(INDEX(REER_Data!$E:$E, MATCH($A15, REER_Data!$A:$A, 0)) / 100, NA())</f>
        <v/>
      </c>
      <c r="I15" s="5">
        <f>IFERROR(INDEX(REER_Data!$C:$C, MATCH($A15, REER_Data!$A:$A, 0)), NA())</f>
        <v/>
      </c>
      <c r="J15" t="inlineStr"/>
      <c r="K15" t="inlineStr"/>
      <c r="L15" t="inlineStr"/>
      <c r="M15">
        <f>IF(ISNA($H15), "", IF(ABS($H15)&lt;=0.03, "near neutral", IF(ABS($H15)&lt;=0.07, "mild " &amp; IF($H15&gt;0, "over", "under") &amp; "valuation", "meaningful " &amp; IF($H15&gt;0, "over", "under") &amp; "valuation")))</f>
        <v/>
      </c>
      <c r="N15" s="5">
        <f>IFERROR(1*INDEX(CAGR!$J:$J, MATCH($A15&amp;"|"&amp;$B$2, CAGR!$Q:$Q, 0)), NA())</f>
        <v/>
      </c>
      <c r="O15" s="5">
        <f>IFERROR(1*INDEX(CAGR!$K:$K, MATCH($A15&amp;"|"&amp;$B$2, CAGR!$Q:$Q, 0)), NA())</f>
        <v/>
      </c>
      <c r="P15" s="5">
        <f>IFERROR(1*INDEX(CAGR!$N:$N, MATCH($A15&amp;"|"&amp;$B$2, CAGR!$Q:$Q, 0)), NA())</f>
        <v/>
      </c>
      <c r="Q15" s="5">
        <f>IF(AND(ISNUMBER(N15),ISNUMBER(P15)),N15+P15,NA())</f>
        <v/>
      </c>
      <c r="R15">
        <f>IFERROR(INDEX(Lists!$E$2:$E$42, MATCH($A15, Lists!$A$2:$A$42, 0)), "")</f>
        <v/>
      </c>
      <c r="S15">
        <f>IFERROR(INDEX(Lists!$J$2:$J$42, MATCH($B15, Lists!$I$2:$I$42, 0)),"")</f>
        <v/>
      </c>
      <c r="T15">
        <f>IFERROR(INDEX(Lists!$K$2:$K$42, MATCH($B15, Lists!$I$2:$I$42, 0)),"")</f>
        <v/>
      </c>
      <c r="U15" s="5">
        <f>IFERROR(1*INDEX(CAGR!$G:$G, MATCH($A15&amp;"|"&amp;$B$2, CAGR!$Q:$Q, 0)), NA())</f>
        <v/>
      </c>
      <c r="V15" s="5">
        <f>IFERROR(1*INDEX(CAGR!$H:$H, MATCH($A15&amp;"|"&amp;$B$2, CAGR!$Q:$Q, 0)), NA())</f>
        <v/>
      </c>
    </row>
    <row r="16">
      <c r="A16" t="inlineStr">
        <is>
          <t>Mexico</t>
        </is>
      </c>
      <c r="B16" t="inlineStr">
        <is>
          <t>XMEX.L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s="5">
        <f>IF(AND(ISNUMBER(C16),ISNUMBER(D16)),C16-D16,NA())</f>
        <v/>
      </c>
      <c r="F16" s="1">
        <f>IFERROR(INDEX(Crude_Oil_Impact!$I:$I, MATCH($A16, Crude_Oil_Impact!$A:$A, 0)), NA())</f>
        <v/>
      </c>
      <c r="G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H16" s="6">
        <f>IFERROR(INDEX(REER_Data!$E:$E, MATCH($A16, REER_Data!$A:$A, 0)) / 100, NA())</f>
        <v/>
      </c>
      <c r="I16" s="5">
        <f>IFERROR(INDEX(REER_Data!$C:$C, MATCH($A16, REER_Data!$A:$A, 0)), NA())</f>
        <v/>
      </c>
      <c r="J16" t="inlineStr"/>
      <c r="K16" t="inlineStr"/>
      <c r="L16" t="inlineStr"/>
      <c r="M16">
        <f>IF(ISNA($H16), "", IF(ABS($H16)&lt;=0.03, "near neutral", IF(ABS($H16)&lt;=0.07, "mild " &amp; IF($H16&gt;0, "over", "under") &amp; "valuation", "meaningful " &amp; IF($H16&gt;0, "over", "under") &amp; "valuation")))</f>
        <v/>
      </c>
      <c r="N16" s="5">
        <f>IFERROR(1*INDEX(CAGR!$J:$J, MATCH($A16&amp;"|"&amp;$B$2, CAGR!$Q:$Q, 0)), NA())</f>
        <v/>
      </c>
      <c r="O16" s="5">
        <f>IFERROR(1*INDEX(CAGR!$K:$K, MATCH($A16&amp;"|"&amp;$B$2, CAGR!$Q:$Q, 0)), NA())</f>
        <v/>
      </c>
      <c r="P16" s="5">
        <f>IFERROR(1*INDEX(CAGR!$N:$N, MATCH($A16&amp;"|"&amp;$B$2, CAGR!$Q:$Q, 0)), NA())</f>
        <v/>
      </c>
      <c r="Q16" s="5">
        <f>IF(AND(ISNUMBER(N16),ISNUMBER(P16)),N16+P16,NA())</f>
        <v/>
      </c>
      <c r="R16">
        <f>IFERROR(INDEX(Lists!$E$2:$E$42, MATCH($A16, Lists!$A$2:$A$42, 0)), "")</f>
        <v/>
      </c>
      <c r="S16">
        <f>IFERROR(INDEX(Lists!$J$2:$J$42, MATCH($B16, Lists!$I$2:$I$42, 0)),"")</f>
        <v/>
      </c>
      <c r="T16">
        <f>IFERROR(INDEX(Lists!$K$2:$K$42, MATCH($B16, Lists!$I$2:$I$42, 0)),"")</f>
        <v/>
      </c>
      <c r="U16" s="5">
        <f>IFERROR(1*INDEX(CAGR!$G:$G, MATCH($A16&amp;"|"&amp;$B$2, CAGR!$Q:$Q, 0)), NA())</f>
        <v/>
      </c>
      <c r="V16" s="5">
        <f>IFERROR(1*INDEX(CAGR!$H:$H, MATCH($A16&amp;"|"&amp;$B$2, CAGR!$Q:$Q, 0)), NA())</f>
        <v/>
      </c>
    </row>
    <row r="17">
      <c r="A17" t="inlineStr">
        <is>
          <t>Spain</t>
        </is>
      </c>
      <c r="B17" t="inlineStr">
        <is>
          <t>XESP.DE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s="5">
        <f>IF(AND(ISNUMBER(C17),ISNUMBER(D17)),C17-D17,NA())</f>
        <v/>
      </c>
      <c r="F17" s="1">
        <f>IFERROR(INDEX(Crude_Oil_Impact!$I:$I, MATCH($A17, Crude_Oil_Impact!$A:$A, 0)), NA())</f>
        <v/>
      </c>
      <c r="G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H17" s="6">
        <f>IFERROR(INDEX(REER_Data!$E:$E, MATCH($A17, REER_Data!$A:$A, 0)) / 100, NA())</f>
        <v/>
      </c>
      <c r="I17" s="5">
        <f>IFERROR(INDEX(REER_Data!$C:$C, MATCH($A17, REER_Data!$A:$A, 0)), NA())</f>
        <v/>
      </c>
      <c r="J17" t="inlineStr"/>
      <c r="K17" t="inlineStr"/>
      <c r="L17" t="inlineStr"/>
      <c r="M17">
        <f>IF(ISNA($H17), "", IF(ABS($H17)&lt;=0.03, "near neutral", IF(ABS($H17)&lt;=0.07, "mild " &amp; IF($H17&gt;0, "over", "under") &amp; "valuation", "meaningful " &amp; IF($H17&gt;0, "over", "under") &amp; "valuation")))</f>
        <v/>
      </c>
      <c r="N17" s="5">
        <f>IFERROR(1*INDEX(CAGR!$J:$J, MATCH($A17&amp;"|"&amp;$B$2, CAGR!$Q:$Q, 0)), NA())</f>
        <v/>
      </c>
      <c r="O17" s="5">
        <f>IFERROR(1*INDEX(CAGR!$K:$K, MATCH($A17&amp;"|"&amp;$B$2, CAGR!$Q:$Q, 0)), NA())</f>
        <v/>
      </c>
      <c r="P17" s="5">
        <f>IFERROR(1*INDEX(CAGR!$N:$N, MATCH($A17&amp;"|"&amp;$B$2, CAGR!$Q:$Q, 0)), NA())</f>
        <v/>
      </c>
      <c r="Q17" s="5">
        <f>IF(AND(ISNUMBER(N17),ISNUMBER(P17)),N17+P17,NA())</f>
        <v/>
      </c>
      <c r="R17">
        <f>IFERROR(INDEX(Lists!$E$2:$E$42, MATCH($A17, Lists!$A$2:$A$42, 0)), "")</f>
        <v/>
      </c>
      <c r="S17">
        <f>IFERROR(INDEX(Lists!$J$2:$J$42, MATCH($B17, Lists!$I$2:$I$42, 0)),"")</f>
        <v/>
      </c>
      <c r="T17">
        <f>IFERROR(INDEX(Lists!$K$2:$K$42, MATCH($B17, Lists!$I$2:$I$42, 0)),"")</f>
        <v/>
      </c>
      <c r="U17" s="5">
        <f>IFERROR(1*INDEX(CAGR!$G:$G, MATCH($A17&amp;"|"&amp;$B$2, CAGR!$Q:$Q, 0)), NA())</f>
        <v/>
      </c>
      <c r="V17" s="5">
        <f>IFERROR(1*INDEX(CAGR!$H:$H, MATCH($A17&amp;"|"&amp;$B$2, CAGR!$Q:$Q, 0)), NA())</f>
        <v/>
      </c>
    </row>
    <row r="18">
      <c r="A18" t="inlineStr">
        <is>
          <t>Australia</t>
        </is>
      </c>
      <c r="B18" t="inlineStr">
        <is>
          <t>SAUS.L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s="5">
        <f>IF(AND(ISNUMBER(C18),ISNUMBER(D18)),C18-D18,NA())</f>
        <v/>
      </c>
      <c r="F18" s="1">
        <f>IFERROR(INDEX(Crude_Oil_Impact!$I:$I, MATCH($A18, Crude_Oil_Impact!$A:$A, 0)), NA())</f>
        <v/>
      </c>
      <c r="G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H18" s="6">
        <f>IFERROR(INDEX(REER_Data!$E:$E, MATCH($A18, REER_Data!$A:$A, 0)) / 100, NA())</f>
        <v/>
      </c>
      <c r="I18" s="5">
        <f>IFERROR(INDEX(REER_Data!$C:$C, MATCH($A18, REER_Data!$A:$A, 0)), NA())</f>
        <v/>
      </c>
      <c r="J18" t="inlineStr"/>
      <c r="K18" t="inlineStr"/>
      <c r="L18" t="inlineStr"/>
      <c r="M18">
        <f>IF(ISNA($H18), "", IF(ABS($H18)&lt;=0.03, "near neutral", IF(ABS($H18)&lt;=0.07, "mild " &amp; IF($H18&gt;0, "over", "under") &amp; "valuation", "meaningful " &amp; IF($H18&gt;0, "over", "under") &amp; "valuation")))</f>
        <v/>
      </c>
      <c r="N18" s="5">
        <f>IFERROR(1*INDEX(CAGR!$J:$J, MATCH($A18&amp;"|"&amp;$B$2, CAGR!$Q:$Q, 0)), NA())</f>
        <v/>
      </c>
      <c r="O18" s="5">
        <f>IFERROR(1*INDEX(CAGR!$K:$K, MATCH($A18&amp;"|"&amp;$B$2, CAGR!$Q:$Q, 0)), NA())</f>
        <v/>
      </c>
      <c r="P18" s="5">
        <f>IFERROR(1*INDEX(CAGR!$N:$N, MATCH($A18&amp;"|"&amp;$B$2, CAGR!$Q:$Q, 0)), NA())</f>
        <v/>
      </c>
      <c r="Q18" s="5">
        <f>IF(AND(ISNUMBER(N18),ISNUMBER(P18)),N18+P18,NA())</f>
        <v/>
      </c>
      <c r="R18">
        <f>IFERROR(INDEX(Lists!$E$2:$E$42, MATCH($A18, Lists!$A$2:$A$42, 0)), "")</f>
        <v/>
      </c>
      <c r="S18">
        <f>IFERROR(INDEX(Lists!$J$2:$J$42, MATCH($B18, Lists!$I$2:$I$42, 0)),"")</f>
        <v/>
      </c>
      <c r="T18">
        <f>IFERROR(INDEX(Lists!$K$2:$K$42, MATCH($B18, Lists!$I$2:$I$42, 0)),"")</f>
        <v/>
      </c>
      <c r="U18" s="5">
        <f>IFERROR(1*INDEX(CAGR!$G:$G, MATCH($A18&amp;"|"&amp;$B$2, CAGR!$Q:$Q, 0)), NA())</f>
        <v/>
      </c>
      <c r="V18" s="5">
        <f>IFERROR(1*INDEX(CAGR!$H:$H, MATCH($A18&amp;"|"&amp;$B$2, CAGR!$Q:$Q, 0)), NA())</f>
        <v/>
      </c>
    </row>
    <row r="19">
      <c r="A19" t="inlineStr">
        <is>
          <t>South Korea</t>
        </is>
      </c>
      <c r="B19" t="inlineStr">
        <is>
          <t>CSKR.L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s="5">
        <f>IF(AND(ISNUMBER(C19),ISNUMBER(D19)),C19-D19,NA())</f>
        <v/>
      </c>
      <c r="F19" s="1">
        <f>IFERROR(INDEX(Crude_Oil_Impact!$I:$I, MATCH($A19, Crude_Oil_Impact!$A:$A, 0)), NA())</f>
        <v/>
      </c>
      <c r="G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H19" s="6">
        <f>IFERROR(INDEX(REER_Data!$E:$E, MATCH($A19, REER_Data!$A:$A, 0)) / 100, NA())</f>
        <v/>
      </c>
      <c r="I19" s="5">
        <f>IFERROR(INDEX(REER_Data!$C:$C, MATCH($A19, REER_Data!$A:$A, 0)), NA())</f>
        <v/>
      </c>
      <c r="J19" t="inlineStr"/>
      <c r="K19" t="inlineStr"/>
      <c r="L19" t="inlineStr"/>
      <c r="M19">
        <f>IF(ISNA($H19), "", IF(ABS($H19)&lt;=0.03, "near neutral", IF(ABS($H19)&lt;=0.07, "mild " &amp; IF($H19&gt;0, "over", "under") &amp; "valuation", "meaningful " &amp; IF($H19&gt;0, "over", "under") &amp; "valuation")))</f>
        <v/>
      </c>
      <c r="N19" s="5">
        <f>IFERROR(1*INDEX(CAGR!$J:$J, MATCH($A19&amp;"|"&amp;$B$2, CAGR!$Q:$Q, 0)), NA())</f>
        <v/>
      </c>
      <c r="O19" s="5">
        <f>IFERROR(1*INDEX(CAGR!$K:$K, MATCH($A19&amp;"|"&amp;$B$2, CAGR!$Q:$Q, 0)), NA())</f>
        <v/>
      </c>
      <c r="P19" s="5">
        <f>IFERROR(1*INDEX(CAGR!$N:$N, MATCH($A19&amp;"|"&amp;$B$2, CAGR!$Q:$Q, 0)), NA())</f>
        <v/>
      </c>
      <c r="Q19" s="5">
        <f>IF(AND(ISNUMBER(N19),ISNUMBER(P19)),N19+P19,NA())</f>
        <v/>
      </c>
      <c r="R19">
        <f>IFERROR(INDEX(Lists!$E$2:$E$42, MATCH($A19, Lists!$A$2:$A$42, 0)), "")</f>
        <v/>
      </c>
      <c r="S19">
        <f>IFERROR(INDEX(Lists!$J$2:$J$42, MATCH($B19, Lists!$I$2:$I$42, 0)),"")</f>
        <v/>
      </c>
      <c r="T19">
        <f>IFERROR(INDEX(Lists!$K$2:$K$42, MATCH($B19, Lists!$I$2:$I$42, 0)),"")</f>
        <v/>
      </c>
      <c r="U19" s="5">
        <f>IFERROR(1*INDEX(CAGR!$G:$G, MATCH($A19&amp;"|"&amp;$B$2, CAGR!$Q:$Q, 0)), NA())</f>
        <v/>
      </c>
      <c r="V19" s="5">
        <f>IFERROR(1*INDEX(CAGR!$H:$H, MATCH($A19&amp;"|"&amp;$B$2, CAGR!$Q:$Q, 0)), NA())</f>
        <v/>
      </c>
    </row>
    <row r="20">
      <c r="A20" t="inlineStr">
        <is>
          <t>Indonesia</t>
        </is>
      </c>
      <c r="B20" t="inlineStr">
        <is>
          <t>INDO.PA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s="5">
        <f>IF(AND(ISNUMBER(C20),ISNUMBER(D20)),C20-D20,NA())</f>
        <v/>
      </c>
      <c r="F20" s="1">
        <f>IFERROR(INDEX(Crude_Oil_Impact!$I:$I, MATCH($A20, Crude_Oil_Impact!$A:$A, 0)), NA())</f>
        <v/>
      </c>
      <c r="G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H20" s="6">
        <f>IFERROR(INDEX(REER_Data!$E:$E, MATCH($A20, REER_Data!$A:$A, 0)) / 100, NA())</f>
        <v/>
      </c>
      <c r="I20" s="5">
        <f>IFERROR(INDEX(REER_Data!$C:$C, MATCH($A20, REER_Data!$A:$A, 0)), NA())</f>
        <v/>
      </c>
      <c r="J20" t="inlineStr"/>
      <c r="K20" t="inlineStr"/>
      <c r="L20" t="inlineStr"/>
      <c r="M20">
        <f>IF(ISNA($H20), "", IF(ABS($H20)&lt;=0.03, "near neutral", IF(ABS($H20)&lt;=0.07, "mild " &amp; IF($H20&gt;0, "over", "under") &amp; "valuation", "meaningful " &amp; IF($H20&gt;0, "over", "under") &amp; "valuation")))</f>
        <v/>
      </c>
      <c r="N20" s="5">
        <f>IFERROR(1*INDEX(CAGR!$J:$J, MATCH($A20&amp;"|"&amp;$B$2, CAGR!$Q:$Q, 0)), NA())</f>
        <v/>
      </c>
      <c r="O20" s="5">
        <f>IFERROR(1*INDEX(CAGR!$K:$K, MATCH($A20&amp;"|"&amp;$B$2, CAGR!$Q:$Q, 0)), NA())</f>
        <v/>
      </c>
      <c r="P20" s="5">
        <f>IFERROR(1*INDEX(CAGR!$N:$N, MATCH($A20&amp;"|"&amp;$B$2, CAGR!$Q:$Q, 0)), NA())</f>
        <v/>
      </c>
      <c r="Q20" s="5">
        <f>IF(AND(ISNUMBER(N20),ISNUMBER(P20)),N20+P20,NA())</f>
        <v/>
      </c>
      <c r="R20">
        <f>IFERROR(INDEX(Lists!$E$2:$E$42, MATCH($A20, Lists!$A$2:$A$42, 0)), "")</f>
        <v/>
      </c>
      <c r="S20">
        <f>IFERROR(INDEX(Lists!$J$2:$J$42, MATCH($B20, Lists!$I$2:$I$42, 0)),"")</f>
        <v/>
      </c>
      <c r="T20">
        <f>IFERROR(INDEX(Lists!$K$2:$K$42, MATCH($B20, Lists!$I$2:$I$42, 0)),"")</f>
        <v/>
      </c>
      <c r="U20" s="5">
        <f>IFERROR(1*INDEX(CAGR!$G:$G, MATCH($A20&amp;"|"&amp;$B$2, CAGR!$Q:$Q, 0)), NA())</f>
        <v/>
      </c>
      <c r="V20" s="5">
        <f>IFERROR(1*INDEX(CAGR!$H:$H, MATCH($A20&amp;"|"&amp;$B$2, CAGR!$Q:$Q, 0)), NA())</f>
        <v/>
      </c>
    </row>
    <row r="21">
      <c r="A21" t="inlineStr">
        <is>
          <t>Turkey</t>
        </is>
      </c>
      <c r="B21" t="inlineStr">
        <is>
          <t>TUR*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s="5">
        <f>IF(AND(ISNUMBER(C21),ISNUMBER(D21)),C21-D21,NA())</f>
        <v/>
      </c>
      <c r="F21" s="1">
        <f>IFERROR(INDEX(Crude_Oil_Impact!$I:$I, MATCH($A21, Crude_Oil_Impact!$A:$A, 0)), NA())</f>
        <v/>
      </c>
      <c r="G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H21" s="6">
        <f>IFERROR(INDEX(REER_Data!$E:$E, MATCH($A21, REER_Data!$A:$A, 0)) / 100, NA())</f>
        <v/>
      </c>
      <c r="I21" s="5">
        <f>IFERROR(INDEX(REER_Data!$C:$C, MATCH($A21, REER_Data!$A:$A, 0)), NA())</f>
        <v/>
      </c>
      <c r="J21" t="inlineStr"/>
      <c r="K21" t="inlineStr"/>
      <c r="L21" t="inlineStr"/>
      <c r="M21">
        <f>IF(ISNA($H21), "", IF(ABS($H21)&lt;=0.03, "near neutral", IF(ABS($H21)&lt;=0.07, "mild " &amp; IF($H21&gt;0, "over", "under") &amp; "valuation", "meaningful " &amp; IF($H21&gt;0, "over", "under") &amp; "valuation")))</f>
        <v/>
      </c>
      <c r="N21" s="5">
        <f>IFERROR(1*INDEX(CAGR!$J:$J, MATCH($A21&amp;"|"&amp;$B$2, CAGR!$Q:$Q, 0)), NA())</f>
        <v/>
      </c>
      <c r="O21" s="5">
        <f>IFERROR(1*INDEX(CAGR!$K:$K, MATCH($A21&amp;"|"&amp;$B$2, CAGR!$Q:$Q, 0)), NA())</f>
        <v/>
      </c>
      <c r="P21" s="5">
        <f>IFERROR(1*INDEX(CAGR!$N:$N, MATCH($A21&amp;"|"&amp;$B$2, CAGR!$Q:$Q, 0)), NA())</f>
        <v/>
      </c>
      <c r="Q21" s="5">
        <f>IF(AND(ISNUMBER(N21),ISNUMBER(P21)),N21+P21,NA())</f>
        <v/>
      </c>
      <c r="R21">
        <f>IFERROR(INDEX(Lists!$E$2:$E$42, MATCH($A21, Lists!$A$2:$A$42, 0)), "")</f>
        <v/>
      </c>
      <c r="S21">
        <f>IFERROR(INDEX(Lists!$J$2:$J$42, MATCH($B21, Lists!$I$2:$I$42, 0)),"")</f>
        <v/>
      </c>
      <c r="T21">
        <f>IFERROR(INDEX(Lists!$K$2:$K$42, MATCH($B21, Lists!$I$2:$I$42, 0)),"")</f>
        <v/>
      </c>
      <c r="U21" s="5">
        <f>IFERROR(1*INDEX(CAGR!$G:$G, MATCH($A21&amp;"|"&amp;$B$2, CAGR!$Q:$Q, 0)), NA())</f>
        <v/>
      </c>
      <c r="V21" s="5">
        <f>IFERROR(1*INDEX(CAGR!$H:$H, MATCH($A21&amp;"|"&amp;$B$2, CAGR!$Q:$Q, 0)), NA())</f>
        <v/>
      </c>
    </row>
    <row r="22">
      <c r="A22" t="inlineStr">
        <is>
          <t>Netherlands</t>
        </is>
      </c>
      <c r="B22" t="inlineStr">
        <is>
          <t>EWN*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s="5">
        <f>IF(AND(ISNUMBER(C22),ISNUMBER(D22)),C22-D22,NA())</f>
        <v/>
      </c>
      <c r="F22" s="1">
        <f>IFERROR(INDEX(Crude_Oil_Impact!$I:$I, MATCH($A22, Crude_Oil_Impact!$A:$A, 0)), NA())</f>
        <v/>
      </c>
      <c r="G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H22" s="6">
        <f>IFERROR(INDEX(REER_Data!$E:$E, MATCH($A22, REER_Data!$A:$A, 0)) / 100, NA())</f>
        <v/>
      </c>
      <c r="I22" s="5">
        <f>IFERROR(INDEX(REER_Data!$C:$C, MATCH($A22, REER_Data!$A:$A, 0)), NA())</f>
        <v/>
      </c>
      <c r="J22" t="inlineStr"/>
      <c r="K22" t="inlineStr"/>
      <c r="L22" t="inlineStr"/>
      <c r="M22">
        <f>IF(ISNA($H22), "", IF(ABS($H22)&lt;=0.03, "near neutral", IF(ABS($H22)&lt;=0.07, "mild " &amp; IF($H22&gt;0, "over", "under") &amp; "valuation", "meaningful " &amp; IF($H22&gt;0, "over", "under") &amp; "valuation")))</f>
        <v/>
      </c>
      <c r="N22" s="5">
        <f>IFERROR(1*INDEX(CAGR!$J:$J, MATCH($A22&amp;"|"&amp;$B$2, CAGR!$Q:$Q, 0)), NA())</f>
        <v/>
      </c>
      <c r="O22" s="5">
        <f>IFERROR(1*INDEX(CAGR!$K:$K, MATCH($A22&amp;"|"&amp;$B$2, CAGR!$Q:$Q, 0)), NA())</f>
        <v/>
      </c>
      <c r="P22" s="5">
        <f>IFERROR(1*INDEX(CAGR!$N:$N, MATCH($A22&amp;"|"&amp;$B$2, CAGR!$Q:$Q, 0)), NA())</f>
        <v/>
      </c>
      <c r="Q22" s="5">
        <f>IF(AND(ISNUMBER(N22),ISNUMBER(P22)),N22+P22,NA())</f>
        <v/>
      </c>
      <c r="R22">
        <f>IFERROR(INDEX(Lists!$E$2:$E$42, MATCH($A22, Lists!$A$2:$A$42, 0)), "")</f>
        <v/>
      </c>
      <c r="S22">
        <f>IFERROR(INDEX(Lists!$J$2:$J$42, MATCH($B22, Lists!$I$2:$I$42, 0)),"")</f>
        <v/>
      </c>
      <c r="T22">
        <f>IFERROR(INDEX(Lists!$K$2:$K$42, MATCH($B22, Lists!$I$2:$I$42, 0)),"")</f>
        <v/>
      </c>
      <c r="U22" s="5">
        <f>IFERROR(1*INDEX(CAGR!$G:$G, MATCH($A22&amp;"|"&amp;$B$2, CAGR!$Q:$Q, 0)), NA())</f>
        <v/>
      </c>
      <c r="V22" s="5">
        <f>IFERROR(1*INDEX(CAGR!$H:$H, MATCH($A22&amp;"|"&amp;$B$2, CAGR!$Q:$Q, 0)), NA())</f>
        <v/>
      </c>
    </row>
    <row r="23">
      <c r="A23" t="inlineStr">
        <is>
          <t>Saudi Arabia</t>
        </is>
      </c>
      <c r="B23" t="inlineStr">
        <is>
          <t>IKSA.L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s="5">
        <f>IF(AND(ISNUMBER(C23),ISNUMBER(D23)),C23-D23,NA())</f>
        <v/>
      </c>
      <c r="F23" s="1">
        <f>IFERROR(INDEX(Crude_Oil_Impact!$I:$I, MATCH($A23, Crude_Oil_Impact!$A:$A, 0)), NA())</f>
        <v/>
      </c>
      <c r="G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H23" s="6">
        <f>IFERROR(INDEX(REER_Data!$E:$E, MATCH($A23, REER_Data!$A:$A, 0)) / 100, NA())</f>
        <v/>
      </c>
      <c r="I23" s="5">
        <f>IFERROR(INDEX(REER_Data!$C:$C, MATCH($A23, REER_Data!$A:$A, 0)), NA())</f>
        <v/>
      </c>
      <c r="J23" t="inlineStr"/>
      <c r="K23" t="inlineStr"/>
      <c r="L23" t="inlineStr"/>
      <c r="M23">
        <f>IF(ISNA($H23), "", IF(ABS($H23)&lt;=0.03, "near neutral", IF(ABS($H23)&lt;=0.07, "mild " &amp; IF($H23&gt;0, "over", "under") &amp; "valuation", "meaningful " &amp; IF($H23&gt;0, "over", "under") &amp; "valuation")))</f>
        <v/>
      </c>
      <c r="N23" s="5">
        <f>IFERROR(1*INDEX(CAGR!$J:$J, MATCH($A23&amp;"|"&amp;$B$2, CAGR!$Q:$Q, 0)), NA())</f>
        <v/>
      </c>
      <c r="O23" s="5">
        <f>IFERROR(1*INDEX(CAGR!$K:$K, MATCH($A23&amp;"|"&amp;$B$2, CAGR!$Q:$Q, 0)), NA())</f>
        <v/>
      </c>
      <c r="P23" s="5">
        <f>IFERROR(1*INDEX(CAGR!$N:$N, MATCH($A23&amp;"|"&amp;$B$2, CAGR!$Q:$Q, 0)), NA())</f>
        <v/>
      </c>
      <c r="Q23" s="5">
        <f>IF(AND(ISNUMBER(N23),ISNUMBER(P23)),N23+P23,NA())</f>
        <v/>
      </c>
      <c r="R23">
        <f>IFERROR(INDEX(Lists!$E$2:$E$42, MATCH($A23, Lists!$A$2:$A$42, 0)), "")</f>
        <v/>
      </c>
      <c r="S23">
        <f>IFERROR(INDEX(Lists!$J$2:$J$42, MATCH($B23, Lists!$I$2:$I$42, 0)),"")</f>
        <v/>
      </c>
      <c r="T23">
        <f>IFERROR(INDEX(Lists!$K$2:$K$42, MATCH($B23, Lists!$I$2:$I$42, 0)),"")</f>
        <v/>
      </c>
      <c r="U23" s="5">
        <f>IFERROR(1*INDEX(CAGR!$G:$G, MATCH($A23&amp;"|"&amp;$B$2, CAGR!$Q:$Q, 0)), NA())</f>
        <v/>
      </c>
      <c r="V23" s="5">
        <f>IFERROR(1*INDEX(CAGR!$H:$H, MATCH($A23&amp;"|"&amp;$B$2, CAGR!$Q:$Q, 0)), NA())</f>
        <v/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s="5">
        <f>IF(AND(ISNUMBER(C24),ISNUMBER(D24)),C24-D24,NA())</f>
        <v/>
      </c>
      <c r="F24" s="1">
        <f>IFERROR(INDEX(Crude_Oil_Impact!$I:$I, MATCH($A24, Crude_Oil_Impact!$A:$A, 0)), NA())</f>
        <v/>
      </c>
      <c r="G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H24" s="6">
        <f>IFERROR(INDEX(REER_Data!$E:$E, MATCH($A24, REER_Data!$A:$A, 0)) / 100, NA())</f>
        <v/>
      </c>
      <c r="I24" s="5">
        <f>IFERROR(INDEX(REER_Data!$C:$C, MATCH($A24, REER_Data!$A:$A, 0)), NA())</f>
        <v/>
      </c>
      <c r="J24" t="inlineStr"/>
      <c r="K24" t="inlineStr"/>
      <c r="L24" t="inlineStr"/>
      <c r="M24">
        <f>IF(ISNA($H24), "", IF(ABS($H24)&lt;=0.03, "near neutral", IF(ABS($H24)&lt;=0.07, "mild " &amp; IF($H24&gt;0, "over", "under") &amp; "valuation", "meaningful " &amp; IF($H24&gt;0, "over", "under") &amp; "valuation")))</f>
        <v/>
      </c>
      <c r="N24" s="5">
        <f>IFERROR(1*INDEX(CAGR!$J:$J, MATCH($A24&amp;"|"&amp;$B$2, CAGR!$Q:$Q, 0)), NA())</f>
        <v/>
      </c>
      <c r="O24" s="5">
        <f>IFERROR(1*INDEX(CAGR!$K:$K, MATCH($A24&amp;"|"&amp;$B$2, CAGR!$Q:$Q, 0)), NA())</f>
        <v/>
      </c>
      <c r="P24" s="5">
        <f>IFERROR(1*INDEX(CAGR!$N:$N, MATCH($A24&amp;"|"&amp;$B$2, CAGR!$Q:$Q, 0)), NA())</f>
        <v/>
      </c>
      <c r="Q24" s="5">
        <f>IF(AND(ISNUMBER(N24),ISNUMBER(P24)),N24+P24,NA())</f>
        <v/>
      </c>
      <c r="R24">
        <f>IFERROR(INDEX(Lists!$E$2:$E$42, MATCH($A24, Lists!$A$2:$A$42, 0)), "")</f>
        <v/>
      </c>
      <c r="S24">
        <f>IFERROR(INDEX(Lists!$J$2:$J$42, MATCH($B24, Lists!$I$2:$I$42, 0)),"")</f>
        <v/>
      </c>
      <c r="T24">
        <f>IFERROR(INDEX(Lists!$K$2:$K$42, MATCH($B24, Lists!$I$2:$I$42, 0)),"")</f>
        <v/>
      </c>
      <c r="U24" s="5">
        <f>IFERROR(1*INDEX(CAGR!$G:$G, MATCH($A24&amp;"|"&amp;$B$2, CAGR!$Q:$Q, 0)), NA())</f>
        <v/>
      </c>
      <c r="V24" s="5">
        <f>IFERROR(1*INDEX(CAGR!$H:$H, MATCH($A24&amp;"|"&amp;$B$2, CAGR!$Q:$Q, 0)), NA())</f>
        <v/>
      </c>
    </row>
    <row r="25">
      <c r="A25" t="inlineStr">
        <is>
          <t>Switzerland</t>
        </is>
      </c>
      <c r="B25" t="inlineStr">
        <is>
          <t>EWL*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s="5">
        <f>IF(AND(ISNUMBER(C25),ISNUMBER(D25)),C25-D25,NA())</f>
        <v/>
      </c>
      <c r="F25" s="1">
        <f>IFERROR(INDEX(Crude_Oil_Impact!$I:$I, MATCH($A25, Crude_Oil_Impact!$A:$A, 0)), NA())</f>
        <v/>
      </c>
      <c r="G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H25" s="6">
        <f>IFERROR(INDEX(REER_Data!$E:$E, MATCH($A25, REER_Data!$A:$A, 0)) / 100, NA())</f>
        <v/>
      </c>
      <c r="I25" s="5">
        <f>IFERROR(INDEX(REER_Data!$C:$C, MATCH($A25, REER_Data!$A:$A, 0)), NA())</f>
        <v/>
      </c>
      <c r="J25" t="inlineStr"/>
      <c r="K25" t="inlineStr"/>
      <c r="L25" t="inlineStr"/>
      <c r="M25">
        <f>IF(ISNA($H25), "", IF(ABS($H25)&lt;=0.03, "near neutral", IF(ABS($H25)&lt;=0.07, "mild " &amp; IF($H25&gt;0, "over", "under") &amp; "valuation", "meaningful " &amp; IF($H25&gt;0, "over", "under") &amp; "valuation")))</f>
        <v/>
      </c>
      <c r="N25" s="5">
        <f>IFERROR(1*INDEX(CAGR!$J:$J, MATCH($A25&amp;"|"&amp;$B$2, CAGR!$Q:$Q, 0)), NA())</f>
        <v/>
      </c>
      <c r="O25" s="5">
        <f>IFERROR(1*INDEX(CAGR!$K:$K, MATCH($A25&amp;"|"&amp;$B$2, CAGR!$Q:$Q, 0)), NA())</f>
        <v/>
      </c>
      <c r="P25" s="5">
        <f>IFERROR(1*INDEX(CAGR!$N:$N, MATCH($A25&amp;"|"&amp;$B$2, CAGR!$Q:$Q, 0)), NA())</f>
        <v/>
      </c>
      <c r="Q25" s="5">
        <f>IF(AND(ISNUMBER(N25),ISNUMBER(P25)),N25+P25,NA())</f>
        <v/>
      </c>
      <c r="R25">
        <f>IFERROR(INDEX(Lists!$E$2:$E$42, MATCH($A25, Lists!$A$2:$A$42, 0)), "")</f>
        <v/>
      </c>
      <c r="S25">
        <f>IFERROR(INDEX(Lists!$J$2:$J$42, MATCH($B25, Lists!$I$2:$I$42, 0)),"")</f>
        <v/>
      </c>
      <c r="T25">
        <f>IFERROR(INDEX(Lists!$K$2:$K$42, MATCH($B25, Lists!$I$2:$I$42, 0)),"")</f>
        <v/>
      </c>
      <c r="U25" s="5">
        <f>IFERROR(1*INDEX(CAGR!$G:$G, MATCH($A25&amp;"|"&amp;$B$2, CAGR!$Q:$Q, 0)), NA())</f>
        <v/>
      </c>
      <c r="V25" s="5">
        <f>IFERROR(1*INDEX(CAGR!$H:$H, MATCH($A25&amp;"|"&amp;$B$2, CAGR!$Q:$Q, 0)), NA())</f>
        <v/>
      </c>
    </row>
    <row r="26">
      <c r="A26" t="inlineStr">
        <is>
          <t>Taiwan</t>
        </is>
      </c>
      <c r="B26" t="inlineStr">
        <is>
          <t>XMTW.L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s="5">
        <f>IF(AND(ISNUMBER(C26),ISNUMBER(D26)),C26-D26,NA())</f>
        <v/>
      </c>
      <c r="F26" s="1">
        <f>IFERROR(INDEX(Crude_Oil_Impact!$I:$I, MATCH($A26, Crude_Oil_Impact!$A:$A, 0)), NA())</f>
        <v/>
      </c>
      <c r="G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H26" s="6">
        <f>IFERROR(INDEX(REER_Data!$E:$E, MATCH($A26, REER_Data!$A:$A, 0)) / 100, NA())</f>
        <v/>
      </c>
      <c r="I26" s="5">
        <f>IFERROR(INDEX(REER_Data!$C:$C, MATCH($A26, REER_Data!$A:$A, 0)), NA())</f>
        <v/>
      </c>
      <c r="J26" t="inlineStr"/>
      <c r="K26" t="inlineStr"/>
      <c r="L26" t="inlineStr"/>
      <c r="M26">
        <f>IF(ISNA($H26), "", IF(ABS($H26)&lt;=0.03, "near neutral", IF(ABS($H26)&lt;=0.07, "mild " &amp; IF($H26&gt;0, "over", "under") &amp; "valuation", "meaningful " &amp; IF($H26&gt;0, "over", "under") &amp; "valuation")))</f>
        <v/>
      </c>
      <c r="N26" s="5">
        <f>IFERROR(1*INDEX(CAGR!$J:$J, MATCH($A26&amp;"|"&amp;$B$2, CAGR!$Q:$Q, 0)), NA())</f>
        <v/>
      </c>
      <c r="O26" s="5">
        <f>IFERROR(1*INDEX(CAGR!$K:$K, MATCH($A26&amp;"|"&amp;$B$2, CAGR!$Q:$Q, 0)), NA())</f>
        <v/>
      </c>
      <c r="P26" s="5">
        <f>IFERROR(1*INDEX(CAGR!$N:$N, MATCH($A26&amp;"|"&amp;$B$2, CAGR!$Q:$Q, 0)), NA())</f>
        <v/>
      </c>
      <c r="Q26" s="5">
        <f>IF(AND(ISNUMBER(N26),ISNUMBER(P26)),N26+P26,NA())</f>
        <v/>
      </c>
      <c r="R26">
        <f>IFERROR(INDEX(Lists!$E$2:$E$42, MATCH($A26, Lists!$A$2:$A$42, 0)), "")</f>
        <v/>
      </c>
      <c r="S26">
        <f>IFERROR(INDEX(Lists!$J$2:$J$42, MATCH($B26, Lists!$I$2:$I$42, 0)),"")</f>
        <v/>
      </c>
      <c r="T26">
        <f>IFERROR(INDEX(Lists!$K$2:$K$42, MATCH($B26, Lists!$I$2:$I$42, 0)),"")</f>
        <v/>
      </c>
      <c r="U26" s="5">
        <f>IFERROR(1*INDEX(CAGR!$G:$G, MATCH($A26&amp;"|"&amp;$B$2, CAGR!$Q:$Q, 0)), NA())</f>
        <v/>
      </c>
      <c r="V26" s="5">
        <f>IFERROR(1*INDEX(CAGR!$H:$H, MATCH($A26&amp;"|"&amp;$B$2, CAGR!$Q:$Q, 0)), NA())</f>
        <v/>
      </c>
    </row>
    <row r="27">
      <c r="A27" t="inlineStr">
        <is>
          <t>Belgium</t>
        </is>
      </c>
      <c r="B27" t="inlineStr">
        <is>
          <t>EWK*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s="5">
        <f>IF(AND(ISNUMBER(C27),ISNUMBER(D27)),C27-D27,NA())</f>
        <v/>
      </c>
      <c r="F27" s="1">
        <f>IFERROR(INDEX(Crude_Oil_Impact!$I:$I, MATCH($A27, Crude_Oil_Impact!$A:$A, 0)), NA())</f>
        <v/>
      </c>
      <c r="G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H27" s="6">
        <f>IFERROR(INDEX(REER_Data!$E:$E, MATCH($A27, REER_Data!$A:$A, 0)) / 100, NA())</f>
        <v/>
      </c>
      <c r="I27" s="5">
        <f>IFERROR(INDEX(REER_Data!$C:$C, MATCH($A27, REER_Data!$A:$A, 0)), NA())</f>
        <v/>
      </c>
      <c r="J27" t="inlineStr"/>
      <c r="K27" t="inlineStr"/>
      <c r="L27" t="inlineStr"/>
      <c r="M27">
        <f>IF(ISNA($H27), "", IF(ABS($H27)&lt;=0.03, "near neutral", IF(ABS($H27)&lt;=0.07, "mild " &amp; IF($H27&gt;0, "over", "under") &amp; "valuation", "meaningful " &amp; IF($H27&gt;0, "over", "under") &amp; "valuation")))</f>
        <v/>
      </c>
      <c r="N27" s="5">
        <f>IFERROR(1*INDEX(CAGR!$J:$J, MATCH($A27&amp;"|"&amp;$B$2, CAGR!$Q:$Q, 0)), NA())</f>
        <v/>
      </c>
      <c r="O27" s="5">
        <f>IFERROR(1*INDEX(CAGR!$K:$K, MATCH($A27&amp;"|"&amp;$B$2, CAGR!$Q:$Q, 0)), NA())</f>
        <v/>
      </c>
      <c r="P27" s="5">
        <f>IFERROR(1*INDEX(CAGR!$N:$N, MATCH($A27&amp;"|"&amp;$B$2, CAGR!$Q:$Q, 0)), NA())</f>
        <v/>
      </c>
      <c r="Q27" s="5">
        <f>IF(AND(ISNUMBER(N27),ISNUMBER(P27)),N27+P27,NA())</f>
        <v/>
      </c>
      <c r="R27">
        <f>IFERROR(INDEX(Lists!$E$2:$E$42, MATCH($A27, Lists!$A$2:$A$42, 0)), "")</f>
        <v/>
      </c>
      <c r="S27">
        <f>IFERROR(INDEX(Lists!$J$2:$J$42, MATCH($B27, Lists!$I$2:$I$42, 0)),"")</f>
        <v/>
      </c>
      <c r="T27">
        <f>IFERROR(INDEX(Lists!$K$2:$K$42, MATCH($B27, Lists!$I$2:$I$42, 0)),"")</f>
        <v/>
      </c>
      <c r="U27" s="5">
        <f>IFERROR(1*INDEX(CAGR!$G:$G, MATCH($A27&amp;"|"&amp;$B$2, CAGR!$Q:$Q, 0)), NA())</f>
        <v/>
      </c>
      <c r="V27" s="5">
        <f>IFERROR(1*INDEX(CAGR!$H:$H, MATCH($A27&amp;"|"&amp;$B$2, CAGR!$Q:$Q, 0)), NA())</f>
        <v/>
      </c>
    </row>
    <row r="28">
      <c r="A28" t="inlineStr">
        <is>
          <t>Sweden</t>
        </is>
      </c>
      <c r="B28" t="inlineStr">
        <is>
          <t>EWD*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s="5">
        <f>IF(AND(ISNUMBER(C28),ISNUMBER(D28)),C28-D28,NA())</f>
        <v/>
      </c>
      <c r="F28" s="1">
        <f>IFERROR(INDEX(Crude_Oil_Impact!$I:$I, MATCH($A28, Crude_Oil_Impact!$A:$A, 0)), NA())</f>
        <v/>
      </c>
      <c r="G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H28" s="6">
        <f>IFERROR(INDEX(REER_Data!$E:$E, MATCH($A28, REER_Data!$A:$A, 0)) / 100, NA())</f>
        <v/>
      </c>
      <c r="I28" s="5">
        <f>IFERROR(INDEX(REER_Data!$C:$C, MATCH($A28, REER_Data!$A:$A, 0)), NA())</f>
        <v/>
      </c>
      <c r="J28" t="inlineStr"/>
      <c r="K28" t="inlineStr"/>
      <c r="L28" t="inlineStr"/>
      <c r="M28">
        <f>IF(ISNA($H28), "", IF(ABS($H28)&lt;=0.03, "near neutral", IF(ABS($H28)&lt;=0.07, "mild " &amp; IF($H28&gt;0, "over", "under") &amp; "valuation", "meaningful " &amp; IF($H28&gt;0, "over", "under") &amp; "valuation")))</f>
        <v/>
      </c>
      <c r="N28" s="5">
        <f>IFERROR(1*INDEX(CAGR!$J:$J, MATCH($A28&amp;"|"&amp;$B$2, CAGR!$Q:$Q, 0)), NA())</f>
        <v/>
      </c>
      <c r="O28" s="5">
        <f>IFERROR(1*INDEX(CAGR!$K:$K, MATCH($A28&amp;"|"&amp;$B$2, CAGR!$Q:$Q, 0)), NA())</f>
        <v/>
      </c>
      <c r="P28" s="5">
        <f>IFERROR(1*INDEX(CAGR!$N:$N, MATCH($A28&amp;"|"&amp;$B$2, CAGR!$Q:$Q, 0)), NA())</f>
        <v/>
      </c>
      <c r="Q28" s="5">
        <f>IF(AND(ISNUMBER(N28),ISNUMBER(P28)),N28+P28,NA())</f>
        <v/>
      </c>
      <c r="R28">
        <f>IFERROR(INDEX(Lists!$E$2:$E$42, MATCH($A28, Lists!$A$2:$A$42, 0)), "")</f>
        <v/>
      </c>
      <c r="S28">
        <f>IFERROR(INDEX(Lists!$J$2:$J$42, MATCH($B28, Lists!$I$2:$I$42, 0)),"")</f>
        <v/>
      </c>
      <c r="T28">
        <f>IFERROR(INDEX(Lists!$K$2:$K$42, MATCH($B28, Lists!$I$2:$I$42, 0)),"")</f>
        <v/>
      </c>
      <c r="U28" s="5">
        <f>IFERROR(1*INDEX(CAGR!$G:$G, MATCH($A28&amp;"|"&amp;$B$2, CAGR!$Q:$Q, 0)), NA())</f>
        <v/>
      </c>
      <c r="V28" s="5">
        <f>IFERROR(1*INDEX(CAGR!$H:$H, MATCH($A28&amp;"|"&amp;$B$2, CAGR!$Q:$Q, 0)), NA())</f>
        <v/>
      </c>
    </row>
    <row r="29">
      <c r="A29" t="inlineStr">
        <is>
          <t>Singapore</t>
        </is>
      </c>
      <c r="B29" t="inlineStr">
        <is>
          <t>EWS*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s="5">
        <f>IF(AND(ISNUMBER(C29),ISNUMBER(D29)),C29-D29,NA())</f>
        <v/>
      </c>
      <c r="F29" s="1">
        <f>IFERROR(INDEX(Crude_Oil_Impact!$I:$I, MATCH($A29, Crude_Oil_Impact!$A:$A, 0)), NA())</f>
        <v/>
      </c>
      <c r="G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H29" s="6">
        <f>IFERROR(INDEX(REER_Data!$E:$E, MATCH($A29, REER_Data!$A:$A, 0)) / 100, NA())</f>
        <v/>
      </c>
      <c r="I29" s="5">
        <f>IFERROR(INDEX(REER_Data!$C:$C, MATCH($A29, REER_Data!$A:$A, 0)), NA())</f>
        <v/>
      </c>
      <c r="J29" t="inlineStr"/>
      <c r="K29" t="inlineStr"/>
      <c r="L29" t="inlineStr"/>
      <c r="M29">
        <f>IF(ISNA($H29), "", IF(ABS($H29)&lt;=0.03, "near neutral", IF(ABS($H29)&lt;=0.07, "mild " &amp; IF($H29&gt;0, "over", "under") &amp; "valuation", "meaningful " &amp; IF($H29&gt;0, "over", "under") &amp; "valuation")))</f>
        <v/>
      </c>
      <c r="N29" s="5">
        <f>IFERROR(1*INDEX(CAGR!$J:$J, MATCH($A29&amp;"|"&amp;$B$2, CAGR!$Q:$Q, 0)), NA())</f>
        <v/>
      </c>
      <c r="O29" s="5">
        <f>IFERROR(1*INDEX(CAGR!$K:$K, MATCH($A29&amp;"|"&amp;$B$2, CAGR!$Q:$Q, 0)), NA())</f>
        <v/>
      </c>
      <c r="P29" s="5">
        <f>IFERROR(1*INDEX(CAGR!$N:$N, MATCH($A29&amp;"|"&amp;$B$2, CAGR!$Q:$Q, 0)), NA())</f>
        <v/>
      </c>
      <c r="Q29" s="5">
        <f>IF(AND(ISNUMBER(N29),ISNUMBER(P29)),N29+P29,NA())</f>
        <v/>
      </c>
      <c r="R29">
        <f>IFERROR(INDEX(Lists!$E$2:$E$42, MATCH($A29, Lists!$A$2:$A$42, 0)), "")</f>
        <v/>
      </c>
      <c r="S29">
        <f>IFERROR(INDEX(Lists!$J$2:$J$42, MATCH($B29, Lists!$I$2:$I$42, 0)),"")</f>
        <v/>
      </c>
      <c r="T29">
        <f>IFERROR(INDEX(Lists!$K$2:$K$42, MATCH($B29, Lists!$I$2:$I$42, 0)),"")</f>
        <v/>
      </c>
      <c r="U29" s="5">
        <f>IFERROR(1*INDEX(CAGR!$G:$G, MATCH($A29&amp;"|"&amp;$B$2, CAGR!$Q:$Q, 0)), NA())</f>
        <v/>
      </c>
      <c r="V29" s="5">
        <f>IFERROR(1*INDEX(CAGR!$H:$H, MATCH($A29&amp;"|"&amp;$B$2, CAGR!$Q:$Q, 0)), NA())</f>
        <v/>
      </c>
    </row>
    <row r="30">
      <c r="A30" t="inlineStr">
        <is>
          <t>Philippines</t>
        </is>
      </c>
      <c r="B30" t="inlineStr">
        <is>
          <t>XPHG.L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s="5">
        <f>IF(AND(ISNUMBER(C30),ISNUMBER(D30)),C30-D30,NA())</f>
        <v/>
      </c>
      <c r="F30" s="1">
        <f>IFERROR(INDEX(Crude_Oil_Impact!$I:$I, MATCH($A30, Crude_Oil_Impact!$A:$A, 0)), NA())</f>
        <v/>
      </c>
      <c r="G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H30" s="6">
        <f>IFERROR(INDEX(REER_Data!$E:$E, MATCH($A30, REER_Data!$A:$A, 0)) / 100, NA())</f>
        <v/>
      </c>
      <c r="I30" s="5">
        <f>IFERROR(INDEX(REER_Data!$C:$C, MATCH($A30, REER_Data!$A:$A, 0)), NA())</f>
        <v/>
      </c>
      <c r="J30" t="inlineStr"/>
      <c r="K30" t="inlineStr"/>
      <c r="L30" t="inlineStr"/>
      <c r="M30">
        <f>IF(ISNA($H30), "", IF(ABS($H30)&lt;=0.03, "near neutral", IF(ABS($H30)&lt;=0.07, "mild " &amp; IF($H30&gt;0, "over", "under") &amp; "valuation", "meaningful " &amp; IF($H30&gt;0, "over", "under") &amp; "valuation")))</f>
        <v/>
      </c>
      <c r="N30" s="5">
        <f>IFERROR(1*INDEX(CAGR!$J:$J, MATCH($A30&amp;"|"&amp;$B$2, CAGR!$Q:$Q, 0)), NA())</f>
        <v/>
      </c>
      <c r="O30" s="5">
        <f>IFERROR(1*INDEX(CAGR!$K:$K, MATCH($A30&amp;"|"&amp;$B$2, CAGR!$Q:$Q, 0)), NA())</f>
        <v/>
      </c>
      <c r="P30" s="5">
        <f>IFERROR(1*INDEX(CAGR!$N:$N, MATCH($A30&amp;"|"&amp;$B$2, CAGR!$Q:$Q, 0)), NA())</f>
        <v/>
      </c>
      <c r="Q30" s="5">
        <f>IF(AND(ISNUMBER(N30),ISNUMBER(P30)),N30+P30,NA())</f>
        <v/>
      </c>
      <c r="R30">
        <f>IFERROR(INDEX(Lists!$E$2:$E$42, MATCH($A30, Lists!$A$2:$A$42, 0)), "")</f>
        <v/>
      </c>
      <c r="S30">
        <f>IFERROR(INDEX(Lists!$J$2:$J$42, MATCH($B30, Lists!$I$2:$I$42, 0)),"")</f>
        <v/>
      </c>
      <c r="T30">
        <f>IFERROR(INDEX(Lists!$K$2:$K$42, MATCH($B30, Lists!$I$2:$I$42, 0)),"")</f>
        <v/>
      </c>
      <c r="U30" s="5">
        <f>IFERROR(1*INDEX(CAGR!$G:$G, MATCH($A30&amp;"|"&amp;$B$2, CAGR!$Q:$Q, 0)), NA())</f>
        <v/>
      </c>
      <c r="V30" s="5">
        <f>IFERROR(1*INDEX(CAGR!$H:$H, MATCH($A30&amp;"|"&amp;$B$2, CAGR!$Q:$Q, 0)), NA())</f>
        <v/>
      </c>
    </row>
    <row r="31">
      <c r="A31" t="inlineStr">
        <is>
          <t>Austria</t>
        </is>
      </c>
      <c r="B31" t="inlineStr">
        <is>
          <t>EWO*</t>
        </is>
      </c>
      <c r="C31" s="5">
        <f>IFERROR(1*INDEX(CAGR!$I:$I, MATCH($A31&amp;"|"&amp;$B$2, CAGR!$Q:$Q, 0)), NA())</f>
        <v/>
      </c>
      <c r="D31" s="5">
        <f>IFERROR(1*INDEX(CAGR!$F:$F, MATCH($A31&amp;"|"&amp;$B31&amp;"|"&amp;$B$2, CAGR!$P:$P, 0)), NA())</f>
        <v/>
      </c>
      <c r="E31" s="5">
        <f>IF(AND(ISNUMBER(C31),ISNUMBER(D31)),C31-D31,NA())</f>
        <v/>
      </c>
      <c r="F31" s="1">
        <f>IFERROR(INDEX(Crude_Oil_Impact!$I:$I, MATCH($A31, Crude_Oil_Impact!$A:$A, 0)), NA())</f>
        <v/>
      </c>
      <c r="G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H31" s="6">
        <f>IFERROR(INDEX(REER_Data!$E:$E, MATCH($A31, REER_Data!$A:$A, 0)) / 100, NA())</f>
        <v/>
      </c>
      <c r="I31" s="5">
        <f>IFERROR(INDEX(REER_Data!$C:$C, MATCH($A31, REER_Data!$A:$A, 0)), NA())</f>
        <v/>
      </c>
      <c r="J31" t="inlineStr"/>
      <c r="K31" t="inlineStr"/>
      <c r="L31" t="inlineStr"/>
      <c r="M31">
        <f>IF(ISNA($H31), "", IF(ABS($H31)&lt;=0.03, "near neutral", IF(ABS($H31)&lt;=0.07, "mild " &amp; IF($H31&gt;0, "over", "under") &amp; "valuation", "meaningful " &amp; IF($H31&gt;0, "over", "under") &amp; "valuation")))</f>
        <v/>
      </c>
      <c r="N31" s="5">
        <f>IFERROR(1*INDEX(CAGR!$J:$J, MATCH($A31&amp;"|"&amp;$B$2, CAGR!$Q:$Q, 0)), NA())</f>
        <v/>
      </c>
      <c r="O31" s="5">
        <f>IFERROR(1*INDEX(CAGR!$K:$K, MATCH($A31&amp;"|"&amp;$B$2, CAGR!$Q:$Q, 0)), NA())</f>
        <v/>
      </c>
      <c r="P31" s="5">
        <f>IFERROR(1*INDEX(CAGR!$N:$N, MATCH($A31&amp;"|"&amp;$B$2, CAGR!$Q:$Q, 0)), NA())</f>
        <v/>
      </c>
      <c r="Q31" s="5">
        <f>IF(AND(ISNUMBER(N31),ISNUMBER(P31)),N31+P31,NA())</f>
        <v/>
      </c>
      <c r="R31">
        <f>IFERROR(INDEX(Lists!$E$2:$E$42, MATCH($A31, Lists!$A$2:$A$42, 0)), "")</f>
        <v/>
      </c>
      <c r="S31">
        <f>IFERROR(INDEX(Lists!$J$2:$J$42, MATCH($B31, Lists!$I$2:$I$42, 0)),"")</f>
        <v/>
      </c>
      <c r="T31">
        <f>IFERROR(INDEX(Lists!$K$2:$K$42, MATCH($B31, Lists!$I$2:$I$42, 0)),"")</f>
        <v/>
      </c>
      <c r="U31" s="5">
        <f>IFERROR(1*INDEX(CAGR!$G:$G, MATCH($A31&amp;"|"&amp;$B$2, CAGR!$Q:$Q, 0)), NA())</f>
        <v/>
      </c>
      <c r="V31" s="5">
        <f>IFERROR(1*INDEX(CAGR!$H:$H, MATCH($A31&amp;"|"&amp;$B$2, CAGR!$Q:$Q, 0)), NA())</f>
        <v/>
      </c>
    </row>
    <row r="32">
      <c r="A32" t="inlineStr">
        <is>
          <t>Thailand</t>
        </is>
      </c>
      <c r="B32" t="inlineStr">
        <is>
          <t>XCX4.L</t>
        </is>
      </c>
      <c r="C32" s="5">
        <f>IFERROR(1*INDEX(CAGR!$I:$I, MATCH($A32&amp;"|"&amp;$B$2, CAGR!$Q:$Q, 0)), NA())</f>
        <v/>
      </c>
      <c r="D32" s="5">
        <f>IFERROR(1*INDEX(CAGR!$F:$F, MATCH($A32&amp;"|"&amp;$B32&amp;"|"&amp;$B$2, CAGR!$P:$P, 0)), NA())</f>
        <v/>
      </c>
      <c r="E32" s="5">
        <f>IF(AND(ISNUMBER(C32),ISNUMBER(D32)),C32-D32,NA())</f>
        <v/>
      </c>
      <c r="F32" s="1">
        <f>IFERROR(INDEX(Crude_Oil_Impact!$I:$I, MATCH($A32, Crude_Oil_Impact!$A:$A, 0)), NA())</f>
        <v/>
      </c>
      <c r="G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H32" s="6">
        <f>IFERROR(INDEX(REER_Data!$E:$E, MATCH($A32, REER_Data!$A:$A, 0)) / 100, NA())</f>
        <v/>
      </c>
      <c r="I32" s="5">
        <f>IFERROR(INDEX(REER_Data!$C:$C, MATCH($A32, REER_Data!$A:$A, 0)), NA())</f>
        <v/>
      </c>
      <c r="J32" t="inlineStr"/>
      <c r="K32" t="inlineStr"/>
      <c r="L32" t="inlineStr"/>
      <c r="M32">
        <f>IF(ISNA($H32), "", IF(ABS($H32)&lt;=0.03, "near neutral", IF(ABS($H32)&lt;=0.07, "mild " &amp; IF($H32&gt;0, "over", "under") &amp; "valuation", "meaningful " &amp; IF($H32&gt;0, "over", "under") &amp; "valuation")))</f>
        <v/>
      </c>
      <c r="N32" s="5">
        <f>IFERROR(1*INDEX(CAGR!$J:$J, MATCH($A32&amp;"|"&amp;$B$2, CAGR!$Q:$Q, 0)), NA())</f>
        <v/>
      </c>
      <c r="O32" s="5">
        <f>IFERROR(1*INDEX(CAGR!$K:$K, MATCH($A32&amp;"|"&amp;$B$2, CAGR!$Q:$Q, 0)), NA())</f>
        <v/>
      </c>
      <c r="P32" s="5">
        <f>IFERROR(1*INDEX(CAGR!$N:$N, MATCH($A32&amp;"|"&amp;$B$2, CAGR!$Q:$Q, 0)), NA())</f>
        <v/>
      </c>
      <c r="Q32" s="5">
        <f>IF(AND(ISNUMBER(N32),ISNUMBER(P32)),N32+P32,NA())</f>
        <v/>
      </c>
      <c r="R32">
        <f>IFERROR(INDEX(Lists!$E$2:$E$42, MATCH($A32, Lists!$A$2:$A$42, 0)), "")</f>
        <v/>
      </c>
      <c r="S32">
        <f>IFERROR(INDEX(Lists!$J$2:$J$42, MATCH($B32, Lists!$I$2:$I$42, 0)),"")</f>
        <v/>
      </c>
      <c r="T32">
        <f>IFERROR(INDEX(Lists!$K$2:$K$42, MATCH($B32, Lists!$I$2:$I$42, 0)),"")</f>
        <v/>
      </c>
      <c r="U32" s="5">
        <f>IFERROR(1*INDEX(CAGR!$G:$G, MATCH($A32&amp;"|"&amp;$B$2, CAGR!$Q:$Q, 0)), NA())</f>
        <v/>
      </c>
      <c r="V32" s="5">
        <f>IFERROR(1*INDEX(CAGR!$H:$H, MATCH($A32&amp;"|"&amp;$B$2, CAGR!$Q:$Q, 0)), NA())</f>
        <v/>
      </c>
    </row>
    <row r="33">
      <c r="A33" t="inlineStr">
        <is>
          <t>Vietnam</t>
        </is>
      </c>
      <c r="B33" t="inlineStr">
        <is>
          <t>XFVT.L</t>
        </is>
      </c>
      <c r="C33" s="5">
        <f>IFERROR(1*INDEX(CAGR!$I:$I, MATCH($A33&amp;"|"&amp;$B$2, CAGR!$Q:$Q, 0)), NA())</f>
        <v/>
      </c>
      <c r="D33" s="5">
        <f>IFERROR(1*INDEX(CAGR!$F:$F, MATCH($A33&amp;"|"&amp;$B33&amp;"|"&amp;$B$2, CAGR!$P:$P, 0)), NA())</f>
        <v/>
      </c>
      <c r="E33" s="5">
        <f>IF(AND(ISNUMBER(C33),ISNUMBER(D33)),C33-D33,NA())</f>
        <v/>
      </c>
      <c r="F33" s="1">
        <f>IFERROR(INDEX(Crude_Oil_Impact!$I:$I, MATCH($A33, Crude_Oil_Impact!$A:$A, 0)), NA())</f>
        <v/>
      </c>
      <c r="G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H33" s="6">
        <f>IFERROR(INDEX(REER_Data!$E:$E, MATCH($A33, REER_Data!$A:$A, 0)) / 100, NA())</f>
        <v/>
      </c>
      <c r="I33" s="5">
        <f>IFERROR(INDEX(REER_Data!$C:$C, MATCH($A33, REER_Data!$A:$A, 0)), NA())</f>
        <v/>
      </c>
      <c r="J33" t="inlineStr"/>
      <c r="K33" t="inlineStr"/>
      <c r="L33" t="inlineStr"/>
      <c r="M33">
        <f>IF(ISNA($H33), "", IF(ABS($H33)&lt;=0.03, "near neutral", IF(ABS($H33)&lt;=0.07, "mild " &amp; IF($H33&gt;0, "over", "under") &amp; "valuation", "meaningful " &amp; IF($H33&gt;0, "over", "under") &amp; "valuation")))</f>
        <v/>
      </c>
      <c r="N33" s="5">
        <f>IFERROR(1*INDEX(CAGR!$J:$J, MATCH($A33&amp;"|"&amp;$B$2, CAGR!$Q:$Q, 0)), NA())</f>
        <v/>
      </c>
      <c r="O33" s="5">
        <f>IFERROR(1*INDEX(CAGR!$K:$K, MATCH($A33&amp;"|"&amp;$B$2, CAGR!$Q:$Q, 0)), NA())</f>
        <v/>
      </c>
      <c r="P33" s="5">
        <f>IFERROR(1*INDEX(CAGR!$N:$N, MATCH($A33&amp;"|"&amp;$B$2, CAGR!$Q:$Q, 0)), NA())</f>
        <v/>
      </c>
      <c r="Q33" s="5">
        <f>IF(AND(ISNUMBER(N33),ISNUMBER(P33)),N33+P33,NA())</f>
        <v/>
      </c>
      <c r="R33">
        <f>IFERROR(INDEX(Lists!$E$2:$E$42, MATCH($A33, Lists!$A$2:$A$42, 0)), "")</f>
        <v/>
      </c>
      <c r="S33">
        <f>IFERROR(INDEX(Lists!$J$2:$J$42, MATCH($B33, Lists!$I$2:$I$42, 0)),"")</f>
        <v/>
      </c>
      <c r="T33">
        <f>IFERROR(INDEX(Lists!$K$2:$K$42, MATCH($B33, Lists!$I$2:$I$42, 0)),"")</f>
        <v/>
      </c>
      <c r="U33" s="5">
        <f>IFERROR(1*INDEX(CAGR!$G:$G, MATCH($A33&amp;"|"&amp;$B$2, CAGR!$Q:$Q, 0)), NA())</f>
        <v/>
      </c>
      <c r="V33" s="5">
        <f>IFERROR(1*INDEX(CAGR!$H:$H, MATCH($A33&amp;"|"&amp;$B$2, CAGR!$Q:$Q, 0)), NA())</f>
        <v/>
      </c>
    </row>
    <row r="34">
      <c r="A34" t="inlineStr">
        <is>
          <t>Malaysia</t>
        </is>
      </c>
      <c r="B34" t="inlineStr">
        <is>
          <t>XCX3.L</t>
        </is>
      </c>
      <c r="C34" s="5">
        <f>IFERROR(1*INDEX(CAGR!$I:$I, MATCH($A34&amp;"|"&amp;$B$2, CAGR!$Q:$Q, 0)), NA())</f>
        <v/>
      </c>
      <c r="D34" s="5">
        <f>IFERROR(1*INDEX(CAGR!$F:$F, MATCH($A34&amp;"|"&amp;$B34&amp;"|"&amp;$B$2, CAGR!$P:$P, 0)), NA())</f>
        <v/>
      </c>
      <c r="E34" s="5">
        <f>IF(AND(ISNUMBER(C34),ISNUMBER(D34)),C34-D34,NA())</f>
        <v/>
      </c>
      <c r="F34" s="1">
        <f>IFERROR(INDEX(Crude_Oil_Impact!$I:$I, MATCH($A34, Crude_Oil_Impact!$A:$A, 0)), NA())</f>
        <v/>
      </c>
      <c r="G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H34" s="6">
        <f>IFERROR(INDEX(REER_Data!$E:$E, MATCH($A34, REER_Data!$A:$A, 0)) / 100, NA())</f>
        <v/>
      </c>
      <c r="I34" s="5">
        <f>IFERROR(INDEX(REER_Data!$C:$C, MATCH($A34, REER_Data!$A:$A, 0)), NA())</f>
        <v/>
      </c>
      <c r="J34" t="inlineStr"/>
      <c r="K34" t="inlineStr"/>
      <c r="L34" t="inlineStr"/>
      <c r="M34">
        <f>IF(ISNA($H34), "", IF(ABS($H34)&lt;=0.03, "near neutral", IF(ABS($H34)&lt;=0.07, "mild " &amp; IF($H34&gt;0, "over", "under") &amp; "valuation", "meaningful " &amp; IF($H34&gt;0, "over", "under") &amp; "valuation")))</f>
        <v/>
      </c>
      <c r="N34" s="5">
        <f>IFERROR(1*INDEX(CAGR!$J:$J, MATCH($A34&amp;"|"&amp;$B$2, CAGR!$Q:$Q, 0)), NA())</f>
        <v/>
      </c>
      <c r="O34" s="5">
        <f>IFERROR(1*INDEX(CAGR!$K:$K, MATCH($A34&amp;"|"&amp;$B$2, CAGR!$Q:$Q, 0)), NA())</f>
        <v/>
      </c>
      <c r="P34" s="5">
        <f>IFERROR(1*INDEX(CAGR!$N:$N, MATCH($A34&amp;"|"&amp;$B$2, CAGR!$Q:$Q, 0)), NA())</f>
        <v/>
      </c>
      <c r="Q34" s="5">
        <f>IF(AND(ISNUMBER(N34),ISNUMBER(P34)),N34+P34,NA())</f>
        <v/>
      </c>
      <c r="R34">
        <f>IFERROR(INDEX(Lists!$E$2:$E$42, MATCH($A34, Lists!$A$2:$A$42, 0)), "")</f>
        <v/>
      </c>
      <c r="S34">
        <f>IFERROR(INDEX(Lists!$J$2:$J$42, MATCH($B34, Lists!$I$2:$I$42, 0)),"")</f>
        <v/>
      </c>
      <c r="T34">
        <f>IFERROR(INDEX(Lists!$K$2:$K$42, MATCH($B34, Lists!$I$2:$I$42, 0)),"")</f>
        <v/>
      </c>
      <c r="U34" s="5">
        <f>IFERROR(1*INDEX(CAGR!$G:$G, MATCH($A34&amp;"|"&amp;$B$2, CAGR!$Q:$Q, 0)), NA())</f>
        <v/>
      </c>
      <c r="V34" s="5">
        <f>IFERROR(1*INDEX(CAGR!$H:$H, MATCH($A34&amp;"|"&amp;$B$2, CAGR!$Q:$Q, 0)), NA())</f>
        <v/>
      </c>
    </row>
    <row r="35">
      <c r="A35" t="inlineStr">
        <is>
          <t>Hong Kong</t>
        </is>
      </c>
      <c r="B35" t="inlineStr">
        <is>
          <t>EWH*</t>
        </is>
      </c>
      <c r="C35" s="5">
        <f>IFERROR(1*INDEX(CAGR!$I:$I, MATCH($A35&amp;"|"&amp;$B$2, CAGR!$Q:$Q, 0)), NA())</f>
        <v/>
      </c>
      <c r="D35" s="5">
        <f>IFERROR(1*INDEX(CAGR!$F:$F, MATCH($A35&amp;"|"&amp;$B35&amp;"|"&amp;$B$2, CAGR!$P:$P, 0)), NA())</f>
        <v/>
      </c>
      <c r="E35" s="5">
        <f>IF(AND(ISNUMBER(C35),ISNUMBER(D35)),C35-D35,NA())</f>
        <v/>
      </c>
      <c r="F35" s="1">
        <f>IFERROR(INDEX(Crude_Oil_Impact!$I:$I, MATCH($A35, Crude_Oil_Impact!$A:$A, 0)), NA())</f>
        <v/>
      </c>
      <c r="G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H35" s="6">
        <f>IFERROR(INDEX(REER_Data!$E:$E, MATCH($A35, REER_Data!$A:$A, 0)) / 100, NA())</f>
        <v/>
      </c>
      <c r="I35" s="5">
        <f>IFERROR(INDEX(REER_Data!$C:$C, MATCH($A35, REER_Data!$A:$A, 0)), NA())</f>
        <v/>
      </c>
      <c r="J35" t="inlineStr"/>
      <c r="K35" t="inlineStr"/>
      <c r="L35" t="inlineStr"/>
      <c r="M35">
        <f>IF(ISNA($H35), "", IF(ABS($H35)&lt;=0.03, "near neutral", IF(ABS($H35)&lt;=0.07, "mild " &amp; IF($H35&gt;0, "over", "under") &amp; "valuation", "meaningful " &amp; IF($H35&gt;0, "over", "under") &amp; "valuation")))</f>
        <v/>
      </c>
      <c r="N35" s="5">
        <f>IFERROR(1*INDEX(CAGR!$J:$J, MATCH($A35&amp;"|"&amp;$B$2, CAGR!$Q:$Q, 0)), NA())</f>
        <v/>
      </c>
      <c r="O35" s="5">
        <f>IFERROR(1*INDEX(CAGR!$K:$K, MATCH($A35&amp;"|"&amp;$B$2, CAGR!$Q:$Q, 0)), NA())</f>
        <v/>
      </c>
      <c r="P35" s="5">
        <f>IFERROR(1*INDEX(CAGR!$N:$N, MATCH($A35&amp;"|"&amp;$B$2, CAGR!$Q:$Q, 0)), NA())</f>
        <v/>
      </c>
      <c r="Q35" s="5">
        <f>IF(AND(ISNUMBER(N35),ISNUMBER(P35)),N35+P35,NA())</f>
        <v/>
      </c>
      <c r="R35">
        <f>IFERROR(INDEX(Lists!$E$2:$E$42, MATCH($A35, Lists!$A$2:$A$42, 0)), "")</f>
        <v/>
      </c>
      <c r="S35">
        <f>IFERROR(INDEX(Lists!$J$2:$J$42, MATCH($B35, Lists!$I$2:$I$42, 0)),"")</f>
        <v/>
      </c>
      <c r="T35">
        <f>IFERROR(INDEX(Lists!$K$2:$K$42, MATCH($B35, Lists!$I$2:$I$42, 0)),"")</f>
        <v/>
      </c>
      <c r="U35" s="5">
        <f>IFERROR(1*INDEX(CAGR!$G:$G, MATCH($A35&amp;"|"&amp;$B$2, CAGR!$Q:$Q, 0)), NA())</f>
        <v/>
      </c>
      <c r="V35" s="5">
        <f>IFERROR(1*INDEX(CAGR!$H:$H, MATCH($A35&amp;"|"&amp;$B$2, CAGR!$Q:$Q, 0)), NA())</f>
        <v/>
      </c>
    </row>
    <row r="36">
      <c r="A36" t="inlineStr">
        <is>
          <t>South Africa</t>
        </is>
      </c>
      <c r="B36" t="inlineStr">
        <is>
          <t>IRSA.L</t>
        </is>
      </c>
      <c r="C36" s="5">
        <f>IFERROR(1*INDEX(CAGR!$I:$I, MATCH($A36&amp;"|"&amp;$B$2, CAGR!$Q:$Q, 0)), NA())</f>
        <v/>
      </c>
      <c r="D36" s="5">
        <f>IFERROR(1*INDEX(CAGR!$F:$F, MATCH($A36&amp;"|"&amp;$B36&amp;"|"&amp;$B$2, CAGR!$P:$P, 0)), NA())</f>
        <v/>
      </c>
      <c r="E36" s="5">
        <f>IF(AND(ISNUMBER(C36),ISNUMBER(D36)),C36-D36,NA())</f>
        <v/>
      </c>
      <c r="F36" s="1">
        <f>IFERROR(INDEX(Crude_Oil_Impact!$I:$I, MATCH($A36, Crude_Oil_Impact!$A:$A, 0)), NA())</f>
        <v/>
      </c>
      <c r="G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H36" s="6">
        <f>IFERROR(INDEX(REER_Data!$E:$E, MATCH($A36, REER_Data!$A:$A, 0)) / 100, NA())</f>
        <v/>
      </c>
      <c r="I36" s="5">
        <f>IFERROR(INDEX(REER_Data!$C:$C, MATCH($A36, REER_Data!$A:$A, 0)), NA())</f>
        <v/>
      </c>
      <c r="J36" t="inlineStr"/>
      <c r="K36" t="inlineStr"/>
      <c r="L36" t="inlineStr"/>
      <c r="M36">
        <f>IF(ISNA($H36), "", IF(ABS($H36)&lt;=0.03, "near neutral", IF(ABS($H36)&lt;=0.07, "mild " &amp; IF($H36&gt;0, "over", "under") &amp; "valuation", "meaningful " &amp; IF($H36&gt;0, "over", "under") &amp; "valuation")))</f>
        <v/>
      </c>
      <c r="N36" s="5">
        <f>IFERROR(1*INDEX(CAGR!$J:$J, MATCH($A36&amp;"|"&amp;$B$2, CAGR!$Q:$Q, 0)), NA())</f>
        <v/>
      </c>
      <c r="O36" s="5">
        <f>IFERROR(1*INDEX(CAGR!$K:$K, MATCH($A36&amp;"|"&amp;$B$2, CAGR!$Q:$Q, 0)), NA())</f>
        <v/>
      </c>
      <c r="P36" s="5">
        <f>IFERROR(1*INDEX(CAGR!$N:$N, MATCH($A36&amp;"|"&amp;$B$2, CAGR!$Q:$Q, 0)), NA())</f>
        <v/>
      </c>
      <c r="Q36" s="5">
        <f>IF(AND(ISNUMBER(N36),ISNUMBER(P36)),N36+P36,NA())</f>
        <v/>
      </c>
      <c r="R36">
        <f>IFERROR(INDEX(Lists!$E$2:$E$42, MATCH($A36, Lists!$A$2:$A$42, 0)), "")</f>
        <v/>
      </c>
      <c r="S36">
        <f>IFERROR(INDEX(Lists!$J$2:$J$42, MATCH($B36, Lists!$I$2:$I$42, 0)),"")</f>
        <v/>
      </c>
      <c r="T36">
        <f>IFERROR(INDEX(Lists!$K$2:$K$42, MATCH($B36, Lists!$I$2:$I$42, 0)),"")</f>
        <v/>
      </c>
      <c r="U36" s="5">
        <f>IFERROR(1*INDEX(CAGR!$G:$G, MATCH($A36&amp;"|"&amp;$B$2, CAGR!$Q:$Q, 0)), NA())</f>
        <v/>
      </c>
      <c r="V36" s="5">
        <f>IFERROR(1*INDEX(CAGR!$H:$H, MATCH($A36&amp;"|"&amp;$B$2, CAGR!$Q:$Q, 0)), NA())</f>
        <v/>
      </c>
    </row>
    <row r="37">
      <c r="A37" t="inlineStr">
        <is>
          <t>Pakistan</t>
        </is>
      </c>
      <c r="B37" t="inlineStr">
        <is>
          <t>XBAK.L</t>
        </is>
      </c>
      <c r="C37" s="5">
        <f>IFERROR(1*INDEX(CAGR!$I:$I, MATCH($A37&amp;"|"&amp;$B$2, CAGR!$Q:$Q, 0)), NA())</f>
        <v/>
      </c>
      <c r="D37" s="5">
        <f>IFERROR(1*INDEX(CAGR!$F:$F, MATCH($A37&amp;"|"&amp;$B37&amp;"|"&amp;$B$2, CAGR!$P:$P, 0)), NA())</f>
        <v/>
      </c>
      <c r="E37" s="5">
        <f>IF(AND(ISNUMBER(C37),ISNUMBER(D37)),C37-D37,NA())</f>
        <v/>
      </c>
      <c r="F37" s="1">
        <f>IFERROR(INDEX(Crude_Oil_Impact!$I:$I, MATCH($A37, Crude_Oil_Impact!$A:$A, 0)), NA())</f>
        <v/>
      </c>
      <c r="G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H37" s="6">
        <f>IFERROR(INDEX(REER_Data!$E:$E, MATCH($A37, REER_Data!$A:$A, 0)) / 100, NA())</f>
        <v/>
      </c>
      <c r="I37" s="5">
        <f>IFERROR(INDEX(REER_Data!$C:$C, MATCH($A37, REER_Data!$A:$A, 0)), NA())</f>
        <v/>
      </c>
      <c r="J37" t="inlineStr"/>
      <c r="K37" t="inlineStr"/>
      <c r="L37" t="inlineStr"/>
      <c r="M37">
        <f>IF(ISNA($H37), "", IF(ABS($H37)&lt;=0.03, "near neutral", IF(ABS($H37)&lt;=0.07, "mild " &amp; IF($H37&gt;0, "over", "under") &amp; "valuation", "meaningful " &amp; IF($H37&gt;0, "over", "under") &amp; "valuation")))</f>
        <v/>
      </c>
      <c r="N37" s="5">
        <f>IFERROR(1*INDEX(CAGR!$J:$J, MATCH($A37&amp;"|"&amp;$B$2, CAGR!$Q:$Q, 0)), NA())</f>
        <v/>
      </c>
      <c r="O37" s="5">
        <f>IFERROR(1*INDEX(CAGR!$K:$K, MATCH($A37&amp;"|"&amp;$B$2, CAGR!$Q:$Q, 0)), NA())</f>
        <v/>
      </c>
      <c r="P37" s="5">
        <f>IFERROR(1*INDEX(CAGR!$N:$N, MATCH($A37&amp;"|"&amp;$B$2, CAGR!$Q:$Q, 0)), NA())</f>
        <v/>
      </c>
      <c r="Q37" s="5">
        <f>IF(AND(ISNUMBER(N37),ISNUMBER(P37)),N37+P37,NA())</f>
        <v/>
      </c>
      <c r="R37">
        <f>IFERROR(INDEX(Lists!$E$2:$E$42, MATCH($A37, Lists!$A$2:$A$42, 0)), "")</f>
        <v/>
      </c>
      <c r="S37">
        <f>IFERROR(INDEX(Lists!$J$2:$J$42, MATCH($B37, Lists!$I$2:$I$42, 0)),"")</f>
        <v/>
      </c>
      <c r="T37">
        <f>IFERROR(INDEX(Lists!$K$2:$K$42, MATCH($B37, Lists!$I$2:$I$42, 0)),"")</f>
        <v/>
      </c>
      <c r="U37" s="5">
        <f>IFERROR(1*INDEX(CAGR!$G:$G, MATCH($A37&amp;"|"&amp;$B$2, CAGR!$Q:$Q, 0)), NA())</f>
        <v/>
      </c>
      <c r="V37" s="5">
        <f>IFERROR(1*INDEX(CAGR!$H:$H, MATCH($A37&amp;"|"&amp;$B$2, CAGR!$Q:$Q, 0)), NA())</f>
        <v/>
      </c>
    </row>
    <row r="38">
      <c r="A38" t="inlineStr">
        <is>
          <t>Greece</t>
        </is>
      </c>
      <c r="B38" t="inlineStr">
        <is>
          <t>GREK*</t>
        </is>
      </c>
      <c r="C38" s="5">
        <f>IFERROR(1*INDEX(CAGR!$I:$I, MATCH($A38&amp;"|"&amp;$B$2, CAGR!$Q:$Q, 0)), NA())</f>
        <v/>
      </c>
      <c r="D38" s="5">
        <f>IFERROR(1*INDEX(CAGR!$F:$F, MATCH($A38&amp;"|"&amp;$B38&amp;"|"&amp;$B$2, CAGR!$P:$P, 0)), NA())</f>
        <v/>
      </c>
      <c r="E38" s="5">
        <f>IF(AND(ISNUMBER(C38),ISNUMBER(D38)),C38-D38,NA())</f>
        <v/>
      </c>
      <c r="F38" s="1">
        <f>IFERROR(INDEX(Crude_Oil_Impact!$I:$I, MATCH($A38, Crude_Oil_Impact!$A:$A, 0)), NA())</f>
        <v/>
      </c>
      <c r="G38" s="5">
        <f>IFERROR((( (1+INDEX(Annual!$H:$H, MATCH($A38&amp;"|2026", Annual!$K:$K, 0))/100)*(1+INDEX(Annual!$H:$H, MATCH($A38&amp;"|2027", Annual!$K:$K, 0))/100)*(1+INDEX(Annual!$H:$H, MATCH($A38&amp;"|2028", Annual!$K:$K, 0))/100) )^(1/3)-1)*100, NA())</f>
        <v/>
      </c>
      <c r="H38" s="6">
        <f>IFERROR(INDEX(REER_Data!$E:$E, MATCH($A38, REER_Data!$A:$A, 0)) / 100, NA())</f>
        <v/>
      </c>
      <c r="I38" s="5">
        <f>IFERROR(INDEX(REER_Data!$C:$C, MATCH($A38, REER_Data!$A:$A, 0)), NA())</f>
        <v/>
      </c>
      <c r="J38" t="inlineStr"/>
      <c r="K38" t="inlineStr"/>
      <c r="L38" t="inlineStr"/>
      <c r="M38">
        <f>IF(ISNA($H38), "", IF(ABS($H38)&lt;=0.03, "near neutral", IF(ABS($H38)&lt;=0.07, "mild " &amp; IF($H38&gt;0, "over", "under") &amp; "valuation", "meaningful " &amp; IF($H38&gt;0, "over", "under") &amp; "valuation")))</f>
        <v/>
      </c>
      <c r="N38" s="5">
        <f>IFERROR(1*INDEX(CAGR!$J:$J, MATCH($A38&amp;"|"&amp;$B$2, CAGR!$Q:$Q, 0)), NA())</f>
        <v/>
      </c>
      <c r="O38" s="5">
        <f>IFERROR(1*INDEX(CAGR!$K:$K, MATCH($A38&amp;"|"&amp;$B$2, CAGR!$Q:$Q, 0)), NA())</f>
        <v/>
      </c>
      <c r="P38" s="5">
        <f>IFERROR(1*INDEX(CAGR!$N:$N, MATCH($A38&amp;"|"&amp;$B$2, CAGR!$Q:$Q, 0)), NA())</f>
        <v/>
      </c>
      <c r="Q38" s="5">
        <f>IF(AND(ISNUMBER(N38),ISNUMBER(P38)),N38+P38,NA())</f>
        <v/>
      </c>
      <c r="R38">
        <f>IFERROR(INDEX(Lists!$E$2:$E$42, MATCH($A38, Lists!$A$2:$A$42, 0)), "")</f>
        <v/>
      </c>
      <c r="S38">
        <f>IFERROR(INDEX(Lists!$J$2:$J$42, MATCH($B38, Lists!$I$2:$I$42, 0)),"")</f>
        <v/>
      </c>
      <c r="T38">
        <f>IFERROR(INDEX(Lists!$K$2:$K$42, MATCH($B38, Lists!$I$2:$I$42, 0)),"")</f>
        <v/>
      </c>
      <c r="U38" s="5">
        <f>IFERROR(1*INDEX(CAGR!$G:$G, MATCH($A38&amp;"|"&amp;$B$2, CAGR!$Q:$Q, 0)), NA())</f>
        <v/>
      </c>
      <c r="V38" s="5">
        <f>IFERROR(1*INDEX(CAGR!$H:$H, MATCH($A38&amp;"|"&amp;$B$2, CAGR!$Q:$Q, 0)), NA())</f>
        <v/>
      </c>
    </row>
    <row r="40">
      <c r="A40" s="7" t="inlineStr">
        <is>
          <t>Metric Definitions &amp; Interpretation</t>
        </is>
      </c>
    </row>
    <row r="41">
      <c r="A41" s="8" t="inlineStr">
        <is>
          <t>GDP CAGR (USD)</t>
        </is>
      </c>
      <c r="B41" s="9" t="inlineStr">
        <is>
          <t>Annualized growth of the country's economy in US Dollar terms. Represents total economic expansion available to a USD investor.</t>
        </is>
      </c>
    </row>
    <row r="42">
      <c r="A42" s="8" t="inlineStr">
        <is>
          <t>ETF CAGR (USD)</t>
        </is>
      </c>
      <c r="B42" s="9" t="inlineStr">
        <is>
          <t>Annualized price return of the selected ETF in US Dollar terms. Includes both local price movement and currency effects.</t>
        </is>
      </c>
    </row>
    <row r="43">
      <c r="A43" s="8" t="inlineStr">
        <is>
          <t>Macro Gap %</t>
        </is>
      </c>
      <c r="B43" s="9" t="inlineStr">
        <is>
          <t>The difference between GDP growth and ETF performance (GDP CAGR minus ETF CAGR). Positive values suggest the economy grew faster than the market.</t>
        </is>
      </c>
    </row>
    <row r="44">
      <c r="A44" s="8" t="inlineStr">
        <is>
          <t>Oil Impact %</t>
        </is>
      </c>
      <c r="B44" s="9" t="inlineStr">
        <is>
          <t>Value of a $10/barrel price change in crude oil imports as a percentage of nominal GDP. Lower values indicate less sensitivity to oil prices (closer to 0 is better).</t>
        </is>
      </c>
    </row>
    <row r="45">
      <c r="A45" s="8" t="inlineStr">
        <is>
          <t>Proj. 3Y (26-28)</t>
        </is>
      </c>
      <c r="B45" s="9" t="inlineStr">
        <is>
          <t>IMF's forecasted nominal GDP growth (USD) for the 2026-2028 period.</t>
        </is>
      </c>
    </row>
    <row r="46">
      <c r="A46" s="8" t="inlineStr">
        <is>
          <t>REER vs 10Y</t>
        </is>
      </c>
      <c r="B46" s="9" t="inlineStr">
        <is>
          <t>Real Effective Exchange Rate deviation from its 10-year mean. Positive = Currency is stronger than its 10Y historical average.</t>
        </is>
      </c>
    </row>
    <row r="47">
      <c r="A47" s="8" t="inlineStr">
        <is>
          <t>REER Index</t>
        </is>
      </c>
      <c r="B47" s="9" t="inlineStr">
        <is>
          <t>Current Real Effective Exchange Rate level. 100 = at 10-year average. Above 100 = currency stronger than average; Below 100 = weaker than average.</t>
        </is>
      </c>
    </row>
    <row r="48">
      <c r="A48" s="8" t="inlineStr">
        <is>
          <t>Ticker*</t>
        </is>
      </c>
      <c r="B48" s="9" t="inlineStr">
        <is>
          <t>An asterisk (*) next to the ticker indicates a Distributing ETF. Adjusted Close price is used for comparability with Accumulating ETFs.</t>
        </is>
      </c>
    </row>
    <row r="49">
      <c r="A49" s="8" t="inlineStr">
        <is>
          <t>FX CAGR %</t>
        </is>
      </c>
      <c r="B49" s="9" t="inlineStr">
        <is>
          <t>Annualized rate of currency appreciation/depreciation against the USD. Positive = Local Currency strengthened against USD.</t>
        </is>
      </c>
    </row>
    <row r="50">
      <c r="A50" s="8" t="inlineStr">
        <is>
          <t>FX Jan 1st CAGR %</t>
        </is>
      </c>
      <c r="B50" s="9" t="inlineStr">
        <is>
          <t>Annualized rate of currency movement calculated using point-to-point 1st January FX rates. More consistent with standard asset return windows.</t>
        </is>
      </c>
    </row>
    <row r="51">
      <c r="A51" s="8" t="inlineStr">
        <is>
          <t>Inf. Diff CAGR %</t>
        </is>
      </c>
      <c r="B51" s="9" t="inlineStr">
        <is>
          <t>Annualized simple difference between country inflation CAGR and USA inflation CAGR. Positive = Local inflation was higher than USA.</t>
        </is>
      </c>
    </row>
    <row r="52">
      <c r="A52" s="8" t="inlineStr">
        <is>
          <t>Currency Gap %</t>
        </is>
      </c>
      <c r="B52" s="9" t="inlineStr">
        <is>
          <t>The sum of FX CAGR and Inflation Differential. Near zero suggests currency movement offsets inflation. Positive = Currency is 'stronger' than PPP suggests.</t>
        </is>
      </c>
    </row>
    <row r="54">
      <c r="A54" s="3" t="inlineStr">
        <is>
          <t>Country Focus Dashboard</t>
        </is>
      </c>
    </row>
    <row r="55">
      <c r="A55" t="inlineStr">
        <is>
          <t>Country</t>
        </is>
      </c>
      <c r="B55" t="inlineStr">
        <is>
          <t>Australia</t>
        </is>
      </c>
    </row>
    <row r="56">
      <c r="A56" t="inlineStr">
        <is>
          <t>Ticker</t>
        </is>
      </c>
      <c r="B56">
        <f>IFERROR(INDEX(Lists!$D:$D, MATCH($B$55, Lists!$C:$C, 0)),"")</f>
        <v/>
      </c>
    </row>
    <row r="57">
      <c r="A57" t="inlineStr">
        <is>
          <t>As-of Date</t>
        </is>
      </c>
      <c r="B57" s="10">
        <f>IFERROR(INDEX(ETF_Timeframes!$F:$F, MATCH($B$55&amp;"|"&amp;$B$56&amp;"|MAX", ETF_Timeframes!$I:$I, 0)),"")</f>
        <v/>
      </c>
    </row>
    <row r="58">
      <c r="A58" t="inlineStr">
        <is>
          <t>Ticker Currency</t>
        </is>
      </c>
      <c r="B58">
        <f>IFERROR(INDEX(Lists!$K$2:$K$42, MATCH($B$56, Lists!$I$2:$I$42, 0)),"")</f>
        <v/>
      </c>
    </row>
    <row r="59">
      <c r="A59" t="inlineStr">
        <is>
          <t>Ticker Exchange</t>
        </is>
      </c>
      <c r="B59">
        <f>IFERROR(INDEX(Lists!$J$2:$J$42, MATCH($B$56, Lists!$I$2:$I$42, 0)),"")</f>
        <v/>
      </c>
    </row>
    <row r="61">
      <c r="A61" s="4" t="inlineStr">
        <is>
          <t>ETF Cumulative returns</t>
        </is>
      </c>
    </row>
    <row r="62">
      <c r="A62" s="4" t="inlineStr">
        <is>
          <t>Timeframe</t>
        </is>
      </c>
      <c r="B62" s="4" t="inlineStr">
        <is>
          <t>ETF Return (USD) %</t>
        </is>
      </c>
      <c r="C62" s="4">
        <f>IF($B$58&lt;&gt;"USD","ETF Return (" &amp; $B$58 &amp; ") %","")</f>
        <v/>
      </c>
      <c r="D62" s="4" t="inlineStr">
        <is>
          <t>Start Date</t>
        </is>
      </c>
    </row>
    <row r="63">
      <c r="A63" t="inlineStr">
        <is>
          <t>YTD</t>
        </is>
      </c>
      <c r="B63" s="5">
        <f>IFERROR(INDEX(ETF_Timeframes!$H:$H, MATCH($B$55&amp;"|"&amp;$B$56&amp;"|"&amp;$A63, ETF_Timeframes!$I:$I, 0)), "")</f>
        <v/>
      </c>
      <c r="C63" s="5">
        <f>IF($B$58&lt;&gt;"USD", IFERROR(INDEX(ETF_Timeframes!$G:$G, MATCH($B$55&amp;"|"&amp;$B$56&amp;"|"&amp;$A63, ETF_Timeframes!$I:$I, 0)), ""), "")</f>
        <v/>
      </c>
      <c r="D63" s="10">
        <f>IFERROR(INDEX(ETF_Timeframes!$E:$E, MATCH($B$55&amp;"|"&amp;$B$56&amp;"|"&amp;$A63, ETF_Timeframes!$I:$I, 0)),"")</f>
        <v/>
      </c>
    </row>
    <row r="64">
      <c r="A64" t="inlineStr">
        <is>
          <t>1 Month</t>
        </is>
      </c>
      <c r="B64" s="5">
        <f>IFERROR(INDEX(ETF_Timeframes!$H:$H, MATCH($B$55&amp;"|"&amp;$B$56&amp;"|"&amp;$A64, ETF_Timeframes!$I:$I, 0)), "")</f>
        <v/>
      </c>
      <c r="C64" s="5">
        <f>IF($B$58&lt;&gt;"USD", IFERROR(INDEX(ETF_Timeframes!$G:$G, MATCH($B$55&amp;"|"&amp;$B$56&amp;"|"&amp;$A64, ETF_Timeframes!$I:$I, 0)), ""), "")</f>
        <v/>
      </c>
      <c r="D64" s="10">
        <f>IFERROR(INDEX(ETF_Timeframes!$E:$E, MATCH($B$55&amp;"|"&amp;$B$56&amp;"|"&amp;$A64, ETF_Timeframes!$I:$I, 0)),"")</f>
        <v/>
      </c>
    </row>
    <row r="65">
      <c r="A65" t="inlineStr">
        <is>
          <t>3 Months</t>
        </is>
      </c>
      <c r="B65" s="5">
        <f>IFERROR(INDEX(ETF_Timeframes!$H:$H, MATCH($B$55&amp;"|"&amp;$B$56&amp;"|"&amp;$A65, ETF_Timeframes!$I:$I, 0)), "")</f>
        <v/>
      </c>
      <c r="C65" s="5">
        <f>IF($B$58&lt;&gt;"USD", IFERROR(INDEX(ETF_Timeframes!$G:$G, MATCH($B$55&amp;"|"&amp;$B$56&amp;"|"&amp;$A65, ETF_Timeframes!$I:$I, 0)), ""), "")</f>
        <v/>
      </c>
      <c r="D65" s="10">
        <f>IFERROR(INDEX(ETF_Timeframes!$E:$E, MATCH($B$55&amp;"|"&amp;$B$56&amp;"|"&amp;$A65, ETF_Timeframes!$I:$I, 0)),"")</f>
        <v/>
      </c>
    </row>
    <row r="66">
      <c r="A66" t="inlineStr">
        <is>
          <t>6 Months</t>
        </is>
      </c>
      <c r="B66" s="5">
        <f>IFERROR(INDEX(ETF_Timeframes!$H:$H, MATCH($B$55&amp;"|"&amp;$B$56&amp;"|"&amp;$A66, ETF_Timeframes!$I:$I, 0)), "")</f>
        <v/>
      </c>
      <c r="C66" s="5">
        <f>IF($B$58&lt;&gt;"USD", IFERROR(INDEX(ETF_Timeframes!$G:$G, MATCH($B$55&amp;"|"&amp;$B$56&amp;"|"&amp;$A66, ETF_Timeframes!$I:$I, 0)), ""), "")</f>
        <v/>
      </c>
      <c r="D66" s="10">
        <f>IFERROR(INDEX(ETF_Timeframes!$E:$E, MATCH($B$55&amp;"|"&amp;$B$56&amp;"|"&amp;$A66, ETF_Timeframes!$I:$I, 0)),"")</f>
        <v/>
      </c>
    </row>
    <row r="67">
      <c r="A67" t="inlineStr">
        <is>
          <t>1 Year</t>
        </is>
      </c>
      <c r="B67" s="5">
        <f>IFERROR(INDEX(ETF_Timeframes!$H:$H, MATCH($B$55&amp;"|"&amp;$B$56&amp;"|"&amp;$A67, ETF_Timeframes!$I:$I, 0)), "")</f>
        <v/>
      </c>
      <c r="C67" s="5">
        <f>IF($B$58&lt;&gt;"USD", IFERROR(INDEX(ETF_Timeframes!$G:$G, MATCH($B$55&amp;"|"&amp;$B$56&amp;"|"&amp;$A67, ETF_Timeframes!$I:$I, 0)), ""), "")</f>
        <v/>
      </c>
      <c r="D67" s="10">
        <f>IFERROR(INDEX(ETF_Timeframes!$E:$E, MATCH($B$55&amp;"|"&amp;$B$56&amp;"|"&amp;$A67, ETF_Timeframes!$I:$I, 0)),"")</f>
        <v/>
      </c>
    </row>
    <row r="68">
      <c r="A68" t="inlineStr">
        <is>
          <t>3 Years</t>
        </is>
      </c>
      <c r="B68" s="5">
        <f>IFERROR(INDEX(ETF_Timeframes!$H:$H, MATCH($B$55&amp;"|"&amp;$B$56&amp;"|"&amp;$A68, ETF_Timeframes!$I:$I, 0)), "")</f>
        <v/>
      </c>
      <c r="C68" s="5">
        <f>IF($B$58&lt;&gt;"USD", IFERROR(INDEX(ETF_Timeframes!$G:$G, MATCH($B$55&amp;"|"&amp;$B$56&amp;"|"&amp;$A68, ETF_Timeframes!$I:$I, 0)), ""), "")</f>
        <v/>
      </c>
      <c r="D68" s="10">
        <f>IFERROR(INDEX(ETF_Timeframes!$E:$E, MATCH($B$55&amp;"|"&amp;$B$56&amp;"|"&amp;$A68, ETF_Timeframes!$I:$I, 0)),"")</f>
        <v/>
      </c>
    </row>
    <row r="69">
      <c r="A69" t="inlineStr">
        <is>
          <t>5 Years</t>
        </is>
      </c>
      <c r="B69" s="5">
        <f>IFERROR(INDEX(ETF_Timeframes!$H:$H, MATCH($B$55&amp;"|"&amp;$B$56&amp;"|"&amp;$A69, ETF_Timeframes!$I:$I, 0)), "")</f>
        <v/>
      </c>
      <c r="C69" s="5">
        <f>IF($B$58&lt;&gt;"USD", IFERROR(INDEX(ETF_Timeframes!$G:$G, MATCH($B$55&amp;"|"&amp;$B$56&amp;"|"&amp;$A69, ETF_Timeframes!$I:$I, 0)), ""), "")</f>
        <v/>
      </c>
      <c r="D69" s="10">
        <f>IFERROR(INDEX(ETF_Timeframes!$E:$E, MATCH($B$55&amp;"|"&amp;$B$56&amp;"|"&amp;$A69, ETF_Timeframes!$I:$I, 0)),"")</f>
        <v/>
      </c>
    </row>
    <row r="70">
      <c r="A70" t="inlineStr">
        <is>
          <t>10 Years</t>
        </is>
      </c>
      <c r="B70" s="5">
        <f>IFERROR(INDEX(ETF_Timeframes!$H:$H, MATCH($B$55&amp;"|"&amp;$B$56&amp;"|"&amp;$A70, ETF_Timeframes!$I:$I, 0)), "")</f>
        <v/>
      </c>
      <c r="C70" s="5">
        <f>IF($B$58&lt;&gt;"USD", IFERROR(INDEX(ETF_Timeframes!$G:$G, MATCH($B$55&amp;"|"&amp;$B$56&amp;"|"&amp;$A70, ETF_Timeframes!$I:$I, 0)), ""), "")</f>
        <v/>
      </c>
      <c r="D70" s="10">
        <f>IFERROR(INDEX(ETF_Timeframes!$E:$E, MATCH($B$55&amp;"|"&amp;$B$56&amp;"|"&amp;$A70, ETF_Timeframes!$I:$I, 0)),"")</f>
        <v/>
      </c>
    </row>
    <row r="71">
      <c r="A71" t="inlineStr">
        <is>
          <t>MAX</t>
        </is>
      </c>
      <c r="B71" s="5">
        <f>IFERROR(INDEX(ETF_Timeframes!$H:$H, MATCH($B$55&amp;"|"&amp;$B$56&amp;"|"&amp;$A71, ETF_Timeframes!$I:$I, 0)), "")</f>
        <v/>
      </c>
      <c r="C71" s="5">
        <f>IF($B$58&lt;&gt;"USD", IFERROR(INDEX(ETF_Timeframes!$G:$G, MATCH($B$55&amp;"|"&amp;$B$56&amp;"|"&amp;$A71, ETF_Timeframes!$I:$I, 0)), ""), "")</f>
        <v/>
      </c>
      <c r="D71" s="10">
        <f>IFERROR(INDEX(ETF_Timeframes!$E:$E, MATCH($B$55&amp;"|"&amp;$B$56&amp;"|"&amp;$A71, ETF_Timeframes!$I:$I, 0)),"")</f>
        <v/>
      </c>
    </row>
    <row r="75">
      <c r="A75" s="4" t="inlineStr">
        <is>
          <t>Annual ETF vs GDP + FX Decomposition (Last 10 Years, %)</t>
        </is>
      </c>
    </row>
    <row r="76">
      <c r="A76" s="4" t="inlineStr">
        <is>
          <t>Year</t>
        </is>
      </c>
      <c r="B76" s="4" t="inlineStr">
        <is>
          <t>Nominal GDP Growth (USD) %</t>
        </is>
      </c>
      <c r="C76" s="4" t="inlineStr">
        <is>
          <t>ETF Return (USD) %</t>
        </is>
      </c>
      <c r="D76" s="4" t="inlineStr">
        <is>
          <t>Macro Disconnect %</t>
        </is>
      </c>
      <c r="E76" s="4" t="inlineStr"/>
      <c r="F76" s="4" t="inlineStr">
        <is>
          <t>Real GDP Growth %</t>
        </is>
      </c>
      <c r="G76" s="4" t="inlineStr">
        <is>
          <t>Nominal GDP Growth (LCU) %</t>
        </is>
      </c>
      <c r="H76" s="4">
        <f>IF($B$58&lt;&gt;"USD","ETF Return (" &amp; $B$58 &amp; ") %","")</f>
        <v/>
      </c>
      <c r="I76" s="4">
        <f>IF($B$58&lt;&gt;"USD","FX Change (vs USD) %","")</f>
        <v/>
      </c>
      <c r="J76" s="4" t="inlineStr">
        <is>
          <t>WEO LCU Return vs USD %</t>
        </is>
      </c>
      <c r="K76" s="4">
        <f>IF($B$58&lt;&gt;"USD","Jan 1st FX Change %","")</f>
        <v/>
      </c>
    </row>
    <row r="77">
      <c r="A77" t="n">
        <v>2016</v>
      </c>
      <c r="B77" s="5">
        <f>IFERROR(1*INDEX(Annual!$H:$H, MATCH($B$55&amp;"|"&amp;$A77, Annual!$K:$K, 0)), NA())</f>
        <v/>
      </c>
      <c r="C77" s="5">
        <f>IFERROR(1*INDEX(Annual!$P:$P, MATCH($B$55&amp;"|"&amp;$B$56&amp;"|"&amp;$A77, Annual!$J:$J, 0)), NA())</f>
        <v/>
      </c>
      <c r="D77" s="5">
        <f>IF(AND(ISNUMBER(B77),ISNUMBER(C77),C77&lt;&gt;0),B77-C77,NA())</f>
        <v/>
      </c>
      <c r="E77" t="inlineStr"/>
      <c r="F77" s="5">
        <f>IFERROR(1*INDEX(Annual!$F:$F, MATCH($B$55&amp;"|"&amp;$A77, Annual!$K:$K, 0)), NA())</f>
        <v/>
      </c>
      <c r="G77" s="5">
        <f>IFERROR(1*INDEX(Annual!$G:$G, MATCH($B$55&amp;"|"&amp;$A77, Annual!$K:$K, 0)), NA())</f>
        <v/>
      </c>
      <c r="H77" s="5">
        <f>IF($B$58&lt;&gt;"USD",IFERROR(1*INDEX(Annual!$E:$E, MATCH($B$55&amp;"|"&amp;$B$56&amp;"|"&amp;$A77, Annual!$J:$J, 0)), NA()),"")</f>
        <v/>
      </c>
      <c r="I77" s="5">
        <f>IF($B$58&lt;&gt;"USD",IFERROR(1*INDEX(Annual!$N:$N, MATCH($B$55&amp;"|"&amp;$B$56&amp;"|"&amp;$A77, Annual!$J:$J, 0)), NA()),"")</f>
        <v/>
      </c>
      <c r="J77" s="5">
        <f>IFERROR(1*INDEX(Annual!$Q:$Q, MATCH($B$55&amp;"|"&amp;$A77, Annual!$K:$K, 0)), NA())</f>
        <v/>
      </c>
      <c r="K77">
        <f>IF($B$58&lt;&gt;"USD",IFERROR(1*INDEX(Annual!$O:$O, MATCH($B$55&amp;"|"&amp;$B$56&amp;"|"&amp;$A77, Annual!$J:$J, 0)), NA()),"")</f>
        <v/>
      </c>
    </row>
    <row r="78">
      <c r="A78" t="n">
        <v>2017</v>
      </c>
      <c r="B78" s="5">
        <f>IFERROR(1*INDEX(Annual!$H:$H, MATCH($B$55&amp;"|"&amp;$A78, Annual!$K:$K, 0)), NA())</f>
        <v/>
      </c>
      <c r="C78" s="5">
        <f>IFERROR(1*INDEX(Annual!$P:$P, MATCH($B$55&amp;"|"&amp;$B$56&amp;"|"&amp;$A78, Annual!$J:$J, 0)), NA())</f>
        <v/>
      </c>
      <c r="D78" s="5">
        <f>IF(AND(ISNUMBER(B78),ISNUMBER(C78),C78&lt;&gt;0),B78-C78,NA())</f>
        <v/>
      </c>
      <c r="E78" t="inlineStr"/>
      <c r="F78" s="5">
        <f>IFERROR(1*INDEX(Annual!$F:$F, MATCH($B$55&amp;"|"&amp;$A78, Annual!$K:$K, 0)), NA())</f>
        <v/>
      </c>
      <c r="G78" s="5">
        <f>IFERROR(1*INDEX(Annual!$G:$G, MATCH($B$55&amp;"|"&amp;$A78, Annual!$K:$K, 0)), NA())</f>
        <v/>
      </c>
      <c r="H78" s="5">
        <f>IF($B$58&lt;&gt;"USD",IFERROR(1*INDEX(Annual!$E:$E, MATCH($B$55&amp;"|"&amp;$B$56&amp;"|"&amp;$A78, Annual!$J:$J, 0)), NA()),"")</f>
        <v/>
      </c>
      <c r="I78" s="5">
        <f>IF($B$58&lt;&gt;"USD",IFERROR(1*INDEX(Annual!$N:$N, MATCH($B$55&amp;"|"&amp;$B$56&amp;"|"&amp;$A78, Annual!$J:$J, 0)), NA()),"")</f>
        <v/>
      </c>
      <c r="J78" s="5">
        <f>IFERROR(1*INDEX(Annual!$Q:$Q, MATCH($B$55&amp;"|"&amp;$A78, Annual!$K:$K, 0)), NA())</f>
        <v/>
      </c>
      <c r="K78">
        <f>IF($B$58&lt;&gt;"USD",IFERROR(1*INDEX(Annual!$O:$O, MATCH($B$55&amp;"|"&amp;$B$56&amp;"|"&amp;$A78, Annual!$J:$J, 0)), NA()),"")</f>
        <v/>
      </c>
    </row>
    <row r="79">
      <c r="A79" t="n">
        <v>2018</v>
      </c>
      <c r="B79" s="5">
        <f>IFERROR(1*INDEX(Annual!$H:$H, MATCH($B$55&amp;"|"&amp;$A79, Annual!$K:$K, 0)), NA())</f>
        <v/>
      </c>
      <c r="C79" s="5">
        <f>IFERROR(1*INDEX(Annual!$P:$P, MATCH($B$55&amp;"|"&amp;$B$56&amp;"|"&amp;$A79, Annual!$J:$J, 0)), NA())</f>
        <v/>
      </c>
      <c r="D79" s="5">
        <f>IF(AND(ISNUMBER(B79),ISNUMBER(C79),C79&lt;&gt;0),B79-C79,NA())</f>
        <v/>
      </c>
      <c r="E79" t="inlineStr"/>
      <c r="F79" s="5">
        <f>IFERROR(1*INDEX(Annual!$F:$F, MATCH($B$55&amp;"|"&amp;$A79, Annual!$K:$K, 0)), NA())</f>
        <v/>
      </c>
      <c r="G79" s="5">
        <f>IFERROR(1*INDEX(Annual!$G:$G, MATCH($B$55&amp;"|"&amp;$A79, Annual!$K:$K, 0)), NA())</f>
        <v/>
      </c>
      <c r="H79" s="5">
        <f>IF($B$58&lt;&gt;"USD",IFERROR(1*INDEX(Annual!$E:$E, MATCH($B$55&amp;"|"&amp;$B$56&amp;"|"&amp;$A79, Annual!$J:$J, 0)), NA()),"")</f>
        <v/>
      </c>
      <c r="I79" s="5">
        <f>IF($B$58&lt;&gt;"USD",IFERROR(1*INDEX(Annual!$N:$N, MATCH($B$55&amp;"|"&amp;$B$56&amp;"|"&amp;$A79, Annual!$J:$J, 0)), NA()),"")</f>
        <v/>
      </c>
      <c r="J79" s="5">
        <f>IFERROR(1*INDEX(Annual!$Q:$Q, MATCH($B$55&amp;"|"&amp;$A79, Annual!$K:$K, 0)), NA())</f>
        <v/>
      </c>
      <c r="K79">
        <f>IF($B$58&lt;&gt;"USD",IFERROR(1*INDEX(Annual!$O:$O, MATCH($B$55&amp;"|"&amp;$B$56&amp;"|"&amp;$A79, Annual!$J:$J, 0)), NA()),"")</f>
        <v/>
      </c>
    </row>
    <row r="80">
      <c r="A80" t="n">
        <v>2019</v>
      </c>
      <c r="B80" s="5">
        <f>IFERROR(1*INDEX(Annual!$H:$H, MATCH($B$55&amp;"|"&amp;$A80, Annual!$K:$K, 0)), NA())</f>
        <v/>
      </c>
      <c r="C80" s="5">
        <f>IFERROR(1*INDEX(Annual!$P:$P, MATCH($B$55&amp;"|"&amp;$B$56&amp;"|"&amp;$A80, Annual!$J:$J, 0)), NA())</f>
        <v/>
      </c>
      <c r="D80" s="5">
        <f>IF(AND(ISNUMBER(B80),ISNUMBER(C80),C80&lt;&gt;0),B80-C80,NA())</f>
        <v/>
      </c>
      <c r="E80" t="inlineStr"/>
      <c r="F80" s="5">
        <f>IFERROR(1*INDEX(Annual!$F:$F, MATCH($B$55&amp;"|"&amp;$A80, Annual!$K:$K, 0)), NA())</f>
        <v/>
      </c>
      <c r="G80" s="5">
        <f>IFERROR(1*INDEX(Annual!$G:$G, MATCH($B$55&amp;"|"&amp;$A80, Annual!$K:$K, 0)), NA())</f>
        <v/>
      </c>
      <c r="H80" s="5">
        <f>IF($B$58&lt;&gt;"USD",IFERROR(1*INDEX(Annual!$E:$E, MATCH($B$55&amp;"|"&amp;$B$56&amp;"|"&amp;$A80, Annual!$J:$J, 0)), NA()),"")</f>
        <v/>
      </c>
      <c r="I80" s="5">
        <f>IF($B$58&lt;&gt;"USD",IFERROR(1*INDEX(Annual!$N:$N, MATCH($B$55&amp;"|"&amp;$B$56&amp;"|"&amp;$A80, Annual!$J:$J, 0)), NA()),"")</f>
        <v/>
      </c>
      <c r="J80" s="5">
        <f>IFERROR(1*INDEX(Annual!$Q:$Q, MATCH($B$55&amp;"|"&amp;$A80, Annual!$K:$K, 0)), NA())</f>
        <v/>
      </c>
      <c r="K80">
        <f>IF($B$58&lt;&gt;"USD",IFERROR(1*INDEX(Annual!$O:$O, MATCH($B$55&amp;"|"&amp;$B$56&amp;"|"&amp;$A80, Annual!$J:$J, 0)), NA()),"")</f>
        <v/>
      </c>
    </row>
    <row r="81">
      <c r="A81" t="n">
        <v>2020</v>
      </c>
      <c r="B81" s="5">
        <f>IFERROR(1*INDEX(Annual!$H:$H, MATCH($B$55&amp;"|"&amp;$A81, Annual!$K:$K, 0)), NA())</f>
        <v/>
      </c>
      <c r="C81" s="5">
        <f>IFERROR(1*INDEX(Annual!$P:$P, MATCH($B$55&amp;"|"&amp;$B$56&amp;"|"&amp;$A81, Annual!$J:$J, 0)), NA())</f>
        <v/>
      </c>
      <c r="D81" s="5">
        <f>IF(AND(ISNUMBER(B81),ISNUMBER(C81),C81&lt;&gt;0),B81-C81,NA())</f>
        <v/>
      </c>
      <c r="E81" t="inlineStr"/>
      <c r="F81" s="5">
        <f>IFERROR(1*INDEX(Annual!$F:$F, MATCH($B$55&amp;"|"&amp;$A81, Annual!$K:$K, 0)), NA())</f>
        <v/>
      </c>
      <c r="G81" s="5">
        <f>IFERROR(1*INDEX(Annual!$G:$G, MATCH($B$55&amp;"|"&amp;$A81, Annual!$K:$K, 0)), NA())</f>
        <v/>
      </c>
      <c r="H81" s="5">
        <f>IF($B$58&lt;&gt;"USD",IFERROR(1*INDEX(Annual!$E:$E, MATCH($B$55&amp;"|"&amp;$B$56&amp;"|"&amp;$A81, Annual!$J:$J, 0)), NA()),"")</f>
        <v/>
      </c>
      <c r="I81" s="5">
        <f>IF($B$58&lt;&gt;"USD",IFERROR(1*INDEX(Annual!$N:$N, MATCH($B$55&amp;"|"&amp;$B$56&amp;"|"&amp;$A81, Annual!$J:$J, 0)), NA()),"")</f>
        <v/>
      </c>
      <c r="J81" s="5">
        <f>IFERROR(1*INDEX(Annual!$Q:$Q, MATCH($B$55&amp;"|"&amp;$A81, Annual!$K:$K, 0)), NA())</f>
        <v/>
      </c>
      <c r="K81">
        <f>IF($B$58&lt;&gt;"USD",IFERROR(1*INDEX(Annual!$O:$O, MATCH($B$55&amp;"|"&amp;$B$56&amp;"|"&amp;$A81, Annual!$J:$J, 0)), NA()),"")</f>
        <v/>
      </c>
    </row>
    <row r="82">
      <c r="A82" t="n">
        <v>2021</v>
      </c>
      <c r="B82" s="5">
        <f>IFERROR(1*INDEX(Annual!$H:$H, MATCH($B$55&amp;"|"&amp;$A82, Annual!$K:$K, 0)), NA())</f>
        <v/>
      </c>
      <c r="C82" s="5">
        <f>IFERROR(1*INDEX(Annual!$P:$P, MATCH($B$55&amp;"|"&amp;$B$56&amp;"|"&amp;$A82, Annual!$J:$J, 0)), NA())</f>
        <v/>
      </c>
      <c r="D82" s="5">
        <f>IF(AND(ISNUMBER(B82),ISNUMBER(C82),C82&lt;&gt;0),B82-C82,NA())</f>
        <v/>
      </c>
      <c r="E82" t="inlineStr"/>
      <c r="F82" s="5">
        <f>IFERROR(1*INDEX(Annual!$F:$F, MATCH($B$55&amp;"|"&amp;$A82, Annual!$K:$K, 0)), NA())</f>
        <v/>
      </c>
      <c r="G82" s="5">
        <f>IFERROR(1*INDEX(Annual!$G:$G, MATCH($B$55&amp;"|"&amp;$A82, Annual!$K:$K, 0)), NA())</f>
        <v/>
      </c>
      <c r="H82" s="5">
        <f>IF($B$58&lt;&gt;"USD",IFERROR(1*INDEX(Annual!$E:$E, MATCH($B$55&amp;"|"&amp;$B$56&amp;"|"&amp;$A82, Annual!$J:$J, 0)), NA()),"")</f>
        <v/>
      </c>
      <c r="I82" s="5">
        <f>IF($B$58&lt;&gt;"USD",IFERROR(1*INDEX(Annual!$N:$N, MATCH($B$55&amp;"|"&amp;$B$56&amp;"|"&amp;$A82, Annual!$J:$J, 0)), NA()),"")</f>
        <v/>
      </c>
      <c r="J82" s="5">
        <f>IFERROR(1*INDEX(Annual!$Q:$Q, MATCH($B$55&amp;"|"&amp;$A82, Annual!$K:$K, 0)), NA())</f>
        <v/>
      </c>
      <c r="K82">
        <f>IF($B$58&lt;&gt;"USD",IFERROR(1*INDEX(Annual!$O:$O, MATCH($B$55&amp;"|"&amp;$B$56&amp;"|"&amp;$A82, Annual!$J:$J, 0)), NA()),"")</f>
        <v/>
      </c>
    </row>
    <row r="83">
      <c r="A83" t="n">
        <v>2022</v>
      </c>
      <c r="B83" s="5">
        <f>IFERROR(1*INDEX(Annual!$H:$H, MATCH($B$55&amp;"|"&amp;$A83, Annual!$K:$K, 0)), NA())</f>
        <v/>
      </c>
      <c r="C83" s="5">
        <f>IFERROR(1*INDEX(Annual!$P:$P, MATCH($B$55&amp;"|"&amp;$B$56&amp;"|"&amp;$A83, Annual!$J:$J, 0)), NA())</f>
        <v/>
      </c>
      <c r="D83" s="5">
        <f>IF(AND(ISNUMBER(B83),ISNUMBER(C83),C83&lt;&gt;0),B83-C83,NA())</f>
        <v/>
      </c>
      <c r="E83" t="inlineStr"/>
      <c r="F83" s="5">
        <f>IFERROR(1*INDEX(Annual!$F:$F, MATCH($B$55&amp;"|"&amp;$A83, Annual!$K:$K, 0)), NA())</f>
        <v/>
      </c>
      <c r="G83" s="5">
        <f>IFERROR(1*INDEX(Annual!$G:$G, MATCH($B$55&amp;"|"&amp;$A83, Annual!$K:$K, 0)), NA())</f>
        <v/>
      </c>
      <c r="H83" s="5">
        <f>IF($B$58&lt;&gt;"USD",IFERROR(1*INDEX(Annual!$E:$E, MATCH($B$55&amp;"|"&amp;$B$56&amp;"|"&amp;$A83, Annual!$J:$J, 0)), NA()),"")</f>
        <v/>
      </c>
      <c r="I83" s="5">
        <f>IF($B$58&lt;&gt;"USD",IFERROR(1*INDEX(Annual!$N:$N, MATCH($B$55&amp;"|"&amp;$B$56&amp;"|"&amp;$A83, Annual!$J:$J, 0)), NA()),"")</f>
        <v/>
      </c>
      <c r="J83" s="5">
        <f>IFERROR(1*INDEX(Annual!$Q:$Q, MATCH($B$55&amp;"|"&amp;$A83, Annual!$K:$K, 0)), NA())</f>
        <v/>
      </c>
      <c r="K83">
        <f>IF($B$58&lt;&gt;"USD",IFERROR(1*INDEX(Annual!$O:$O, MATCH($B$55&amp;"|"&amp;$B$56&amp;"|"&amp;$A83, Annual!$J:$J, 0)), NA()),"")</f>
        <v/>
      </c>
    </row>
    <row r="84">
      <c r="A84" t="n">
        <v>2023</v>
      </c>
      <c r="B84" s="5">
        <f>IFERROR(1*INDEX(Annual!$H:$H, MATCH($B$55&amp;"|"&amp;$A84, Annual!$K:$K, 0)), NA())</f>
        <v/>
      </c>
      <c r="C84" s="5">
        <f>IFERROR(1*INDEX(Annual!$P:$P, MATCH($B$55&amp;"|"&amp;$B$56&amp;"|"&amp;$A84, Annual!$J:$J, 0)), NA())</f>
        <v/>
      </c>
      <c r="D84" s="5">
        <f>IF(AND(ISNUMBER(B84),ISNUMBER(C84),C84&lt;&gt;0),B84-C84,NA())</f>
        <v/>
      </c>
      <c r="E84" t="inlineStr"/>
      <c r="F84" s="5">
        <f>IFERROR(1*INDEX(Annual!$F:$F, MATCH($B$55&amp;"|"&amp;$A84, Annual!$K:$K, 0)), NA())</f>
        <v/>
      </c>
      <c r="G84" s="5">
        <f>IFERROR(1*INDEX(Annual!$G:$G, MATCH($B$55&amp;"|"&amp;$A84, Annual!$K:$K, 0)), NA())</f>
        <v/>
      </c>
      <c r="H84" s="5">
        <f>IF($B$58&lt;&gt;"USD",IFERROR(1*INDEX(Annual!$E:$E, MATCH($B$55&amp;"|"&amp;$B$56&amp;"|"&amp;$A84, Annual!$J:$J, 0)), NA()),"")</f>
        <v/>
      </c>
      <c r="I84" s="5">
        <f>IF($B$58&lt;&gt;"USD",IFERROR(1*INDEX(Annual!$N:$N, MATCH($B$55&amp;"|"&amp;$B$56&amp;"|"&amp;$A84, Annual!$J:$J, 0)), NA()),"")</f>
        <v/>
      </c>
      <c r="J84" s="5">
        <f>IFERROR(1*INDEX(Annual!$Q:$Q, MATCH($B$55&amp;"|"&amp;$A84, Annual!$K:$K, 0)), NA())</f>
        <v/>
      </c>
      <c r="K84">
        <f>IF($B$58&lt;&gt;"USD",IFERROR(1*INDEX(Annual!$O:$O, MATCH($B$55&amp;"|"&amp;$B$56&amp;"|"&amp;$A84, Annual!$J:$J, 0)), NA()),"")</f>
        <v/>
      </c>
    </row>
    <row r="85">
      <c r="A85" t="n">
        <v>2024</v>
      </c>
      <c r="B85" s="5">
        <f>IFERROR(1*INDEX(Annual!$H:$H, MATCH($B$55&amp;"|"&amp;$A85, Annual!$K:$K, 0)), NA())</f>
        <v/>
      </c>
      <c r="C85" s="5">
        <f>IFERROR(1*INDEX(Annual!$P:$P, MATCH($B$55&amp;"|"&amp;$B$56&amp;"|"&amp;$A85, Annual!$J:$J, 0)), NA())</f>
        <v/>
      </c>
      <c r="D85" s="5">
        <f>IF(AND(ISNUMBER(B85),ISNUMBER(C85),C85&lt;&gt;0),B85-C85,NA())</f>
        <v/>
      </c>
      <c r="E85" t="inlineStr"/>
      <c r="F85" s="5">
        <f>IFERROR(1*INDEX(Annual!$F:$F, MATCH($B$55&amp;"|"&amp;$A85, Annual!$K:$K, 0)), NA())</f>
        <v/>
      </c>
      <c r="G85" s="5">
        <f>IFERROR(1*INDEX(Annual!$G:$G, MATCH($B$55&amp;"|"&amp;$A85, Annual!$K:$K, 0)), NA())</f>
        <v/>
      </c>
      <c r="H85" s="5">
        <f>IF($B$58&lt;&gt;"USD",IFERROR(1*INDEX(Annual!$E:$E, MATCH($B$55&amp;"|"&amp;$B$56&amp;"|"&amp;$A85, Annual!$J:$J, 0)), NA()),"")</f>
        <v/>
      </c>
      <c r="I85" s="5">
        <f>IF($B$58&lt;&gt;"USD",IFERROR(1*INDEX(Annual!$N:$N, MATCH($B$55&amp;"|"&amp;$B$56&amp;"|"&amp;$A85, Annual!$J:$J, 0)), NA()),"")</f>
        <v/>
      </c>
      <c r="J85" s="5">
        <f>IFERROR(1*INDEX(Annual!$Q:$Q, MATCH($B$55&amp;"|"&amp;$A85, Annual!$K:$K, 0)), NA())</f>
        <v/>
      </c>
      <c r="K85">
        <f>IF($B$58&lt;&gt;"USD",IFERROR(1*INDEX(Annual!$O:$O, MATCH($B$55&amp;"|"&amp;$B$56&amp;"|"&amp;$A85, Annual!$J:$J, 0)), NA()),"")</f>
        <v/>
      </c>
    </row>
    <row r="86">
      <c r="A86" t="n">
        <v>2025</v>
      </c>
      <c r="B86" s="5">
        <f>IFERROR(1*INDEX(Annual!$H:$H, MATCH($B$55&amp;"|"&amp;$A86, Annual!$K:$K, 0)), NA())</f>
        <v/>
      </c>
      <c r="C86" s="5">
        <f>IFERROR(1*INDEX(Annual!$P:$P, MATCH($B$55&amp;"|"&amp;$B$56&amp;"|"&amp;$A86, Annual!$J:$J, 0)), NA())</f>
        <v/>
      </c>
      <c r="D86" s="5">
        <f>IF(AND(ISNUMBER(B86),ISNUMBER(C86),C86&lt;&gt;0),B86-C86,NA())</f>
        <v/>
      </c>
      <c r="E86" t="inlineStr"/>
      <c r="F86" s="5">
        <f>IFERROR(1*INDEX(Annual!$F:$F, MATCH($B$55&amp;"|"&amp;$A86, Annual!$K:$K, 0)), NA())</f>
        <v/>
      </c>
      <c r="G86" s="5">
        <f>IFERROR(1*INDEX(Annual!$G:$G, MATCH($B$55&amp;"|"&amp;$A86, Annual!$K:$K, 0)), NA())</f>
        <v/>
      </c>
      <c r="H86" s="5">
        <f>IF($B$58&lt;&gt;"USD",IFERROR(1*INDEX(Annual!$E:$E, MATCH($B$55&amp;"|"&amp;$B$56&amp;"|"&amp;$A86, Annual!$J:$J, 0)), NA()),"")</f>
        <v/>
      </c>
      <c r="I86" s="5">
        <f>IF($B$58&lt;&gt;"USD",IFERROR(1*INDEX(Annual!$N:$N, MATCH($B$55&amp;"|"&amp;$B$56&amp;"|"&amp;$A86, Annual!$J:$J, 0)), NA()),"")</f>
        <v/>
      </c>
      <c r="J86" s="5">
        <f>IFERROR(1*INDEX(Annual!$Q:$Q, MATCH($B$55&amp;"|"&amp;$A86, Annual!$K:$K, 0)), NA())</f>
        <v/>
      </c>
      <c r="K86">
        <f>IF($B$58&lt;&gt;"USD",IFERROR(1*INDEX(Annual!$O:$O, MATCH($B$55&amp;"|"&amp;$B$56&amp;"|"&amp;$A86, Annual!$J:$J, 0)), NA()),"")</f>
        <v/>
      </c>
    </row>
    <row r="87">
      <c r="A87" t="inlineStr">
        <is>
          <t>2026 (Proj GDP / ETF YTD)</t>
        </is>
      </c>
      <c r="B87" s="5">
        <f>IFERROR(1*INDEX(Annual!$H:$H, MATCH($B$55&amp;"|"&amp;2026, Annual!$K:$K, 0)), NA())</f>
        <v/>
      </c>
      <c r="C87" s="5">
        <f>IFERROR(1*INDEX(ETF_Timeframes!$H:$H, MATCH($B$55&amp;"|"&amp;$B$56&amp;"|YTD", ETF_Timeframes!$I:$I, 0)), NA())</f>
        <v/>
      </c>
      <c r="D87" s="5">
        <f>IF(AND(ISNUMBER(B87),ISNUMBER(C87),C87&lt;&gt;0),B87-C87,NA())</f>
        <v/>
      </c>
      <c r="E87" t="inlineStr"/>
      <c r="F87" s="5">
        <f>IFERROR(1*INDEX(Annual!$F:$F, MATCH($B$55&amp;"|"&amp;2026, Annual!$K:$K, 0)), NA())</f>
        <v/>
      </c>
      <c r="G87" s="5">
        <f>IFERROR(1*INDEX(Annual!$G:$G, MATCH($B$55&amp;"|"&amp;2026, Annual!$K:$K, 0)), NA())</f>
        <v/>
      </c>
      <c r="H87" s="5">
        <f>IF($B$58&lt;&gt;"USD",IFERROR(1*INDEX(Annual!$E:$E, MATCH($B$55&amp;"|"&amp;$B$56&amp;"|"&amp;2026, Annual!$J:$J, 0)), NA()),"")</f>
        <v/>
      </c>
      <c r="I87" s="5">
        <f>IF($B$58&lt;&gt;"USD",IFERROR(1*INDEX(Annual!$N:$N, MATCH($B$55&amp;"|"&amp;$B$56&amp;"|"&amp;2026, Annual!$J:$J, 0)), NA()),"")</f>
        <v/>
      </c>
      <c r="J87" s="5">
        <f>IFERROR(1*INDEX(Annual!$Q:$Q, MATCH($B$55&amp;"|"&amp;2026, Annual!$K:$K, 0)), NA())</f>
        <v/>
      </c>
      <c r="K87">
        <f>IF($B$58&lt;&gt;"USD",IFERROR(1*INDEX(Annual!$O:$O, MATCH($B$55&amp;"|"&amp;$B$56&amp;"|"&amp;2026, Annual!$J:$J, 0)), NA()),"")</f>
        <v/>
      </c>
    </row>
    <row r="88">
      <c r="A88" t="inlineStr">
        <is>
          <t>* 2026 row: GDP is IMF projection; ETF is YTD return (USD).</t>
        </is>
      </c>
    </row>
    <row r="90">
      <c r="A90" s="4" t="inlineStr">
        <is>
          <t>CAGR Comparison (%)</t>
        </is>
      </c>
    </row>
    <row r="91">
      <c r="A91" s="4" t="inlineStr">
        <is>
          <t>Horizon</t>
        </is>
      </c>
      <c r="B91" s="4" t="inlineStr">
        <is>
          <t>Nominal GDP CAGR % (USD)</t>
        </is>
      </c>
      <c r="C91" s="4" t="inlineStr">
        <is>
          <t>ETF CAGR % (USD)</t>
        </is>
      </c>
      <c r="D91" s="4" t="inlineStr"/>
      <c r="E91" s="4" t="inlineStr"/>
      <c r="F91" s="4" t="inlineStr">
        <is>
          <t>Real GDP CAGR %</t>
        </is>
      </c>
      <c r="G91" s="4" t="inlineStr">
        <is>
          <t>Nominal GDP CAGR % (LCU)</t>
        </is>
      </c>
    </row>
    <row r="92">
      <c r="A92" t="inlineStr">
        <is>
          <t>3Y</t>
        </is>
      </c>
      <c r="B92" s="5">
        <f>IFERROR(1*INDEX(CAGR!$I:$I, MATCH($B$55&amp;"|"&amp;$A92, CAGR!$Q:$Q, 0)), NA())</f>
        <v/>
      </c>
      <c r="C92" s="5">
        <f>IFERROR(1*INDEX(CAGR!$F:$F, MATCH($B$55&amp;"|"&amp;$B$56&amp;"|"&amp;$A92, CAGR!$P:$P, 0)), NA())</f>
        <v/>
      </c>
      <c r="D92" t="inlineStr"/>
      <c r="E92" t="inlineStr"/>
      <c r="F92" s="5">
        <f>IFERROR(1*INDEX(CAGR!$G:$G, MATCH($B$55&amp;"|"&amp;$A92, CAGR!$Q:$Q, 0)), NA())</f>
        <v/>
      </c>
      <c r="G92" s="5">
        <f>IFERROR(1*INDEX(CAGR!$H:$H, MATCH($B$55&amp;"|"&amp;$A92, CAGR!$Q:$Q, 0)), NA())</f>
        <v/>
      </c>
    </row>
    <row r="93">
      <c r="A93" t="inlineStr">
        <is>
          <t>5Y</t>
        </is>
      </c>
      <c r="B93" s="5">
        <f>IFERROR(1*INDEX(CAGR!$I:$I, MATCH($B$55&amp;"|"&amp;$A93, CAGR!$Q:$Q, 0)), NA())</f>
        <v/>
      </c>
      <c r="C93" s="5">
        <f>IFERROR(1*INDEX(CAGR!$F:$F, MATCH($B$55&amp;"|"&amp;$B$56&amp;"|"&amp;$A93, CAGR!$P:$P, 0)), NA())</f>
        <v/>
      </c>
      <c r="D93" t="inlineStr"/>
      <c r="E93" t="inlineStr"/>
      <c r="F93" s="5">
        <f>IFERROR(1*INDEX(CAGR!$G:$G, MATCH($B$55&amp;"|"&amp;$A93, CAGR!$Q:$Q, 0)), NA())</f>
        <v/>
      </c>
      <c r="G93" s="5">
        <f>IFERROR(1*INDEX(CAGR!$H:$H, MATCH($B$55&amp;"|"&amp;$A93, CAGR!$Q:$Q, 0)), NA())</f>
        <v/>
      </c>
    </row>
    <row r="94">
      <c r="A94" t="inlineStr">
        <is>
          <t>10Y</t>
        </is>
      </c>
      <c r="B94" s="5">
        <f>IFERROR(1*INDEX(CAGR!$I:$I, MATCH($B$55&amp;"|"&amp;$A94, CAGR!$Q:$Q, 0)), NA())</f>
        <v/>
      </c>
      <c r="C94" s="5">
        <f>IFERROR(1*INDEX(CAGR!$F:$F, MATCH($B$55&amp;"|"&amp;$B$56&amp;"|"&amp;$A94, CAGR!$P:$P, 0)), NA())</f>
        <v/>
      </c>
      <c r="D94" t="inlineStr"/>
      <c r="E94" t="inlineStr"/>
      <c r="F94" s="5">
        <f>IFERROR(1*INDEX(CAGR!$G:$G, MATCH($B$55&amp;"|"&amp;$A94, CAGR!$Q:$Q, 0)), NA())</f>
        <v/>
      </c>
      <c r="G94" s="5">
        <f>IFERROR(1*INDEX(CAGR!$H:$H, MATCH($B$55&amp;"|"&amp;$A94, CAGR!$Q:$Q, 0)), NA())</f>
        <v/>
      </c>
    </row>
  </sheetData>
  <autoFilter ref="A5:V38"/>
  <conditionalFormatting sqref="C6:G38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H6:H38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U6:V38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63:C71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B77:D8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F77:G8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B92:C94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F92:G94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conditionalFormatting sqref="F6:F38">
    <cfRule type="cellIs" priority="33" operator="lessThanOrEqual" dxfId="0">
      <formula>1</formula>
    </cfRule>
    <cfRule type="cellIs" priority="34" operator="lessThanOrEqual" dxfId="2">
      <formula>3</formula>
    </cfRule>
    <cfRule type="cellIs" priority="35" operator="greaterThan" dxfId="3">
      <formula>3</formula>
    </cfRule>
    <cfRule type="cellIs" priority="36" operator="greaterThan" dxfId="4">
      <formula>6</formula>
    </cfRule>
  </conditionalFormatting>
  <conditionalFormatting sqref="I6:I38">
    <cfRule type="cellIs" priority="37" operator="greaterThanOrEqual" dxfId="0">
      <formula>110</formula>
    </cfRule>
    <cfRule type="cellIs" priority="38" operator="between" dxfId="2">
      <formula>100</formula>
      <formula>110</formula>
    </cfRule>
    <cfRule type="cellIs" priority="39" operator="between" dxfId="3">
      <formula>90</formula>
      <formula>100</formula>
    </cfRule>
    <cfRule type="cellIs" priority="40" operator="lessThan" dxfId="4">
      <formula>90</formula>
    </cfRule>
  </conditionalFormatting>
  <dataValidations count="36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  <dataValidation sqref="B38" showDropDown="0" showInputMessage="0" showErrorMessage="0" allowBlank="0" type="list">
      <formula1>=OFFSET(Lists!$H$2,IFERROR(MATCH($A38,Lists!$F$2:$F$42,0)-1,0),0,COUNTIF(Lists!$F$2:$F$42,$A38),1)</formula1>
    </dataValidation>
    <dataValidation sqref="B55" showDropDown="0" showInputMessage="0" showErrorMessage="0" allowBlank="0" type="list">
      <formula1>=Lists!$A$2:$A$42</formula1>
    </dataValidation>
    <dataValidation sqref="B56" showDropDown="0" showInputMessage="0" showErrorMessage="0" allowBlank="0" type="list">
      <formula1>=OFFSET(Lists!$H$2,IFERROR(MATCH($B$55,Lists!$F$2:$F$42,0)-1,0),0,COUNTIF(Lists!$F$2:$F$42,$B$55),1)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2026-03-16T09:51:46Z</dcterms:created>
  <dcterms:modified xsi:type="dcterms:W3CDTF">2026-03-16T09:51:46Z</dcterms:modified>
</cp:coreProperties>
</file>