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Dashboard" sheetId="5" state="visible" r:id="rId5"/>
  </sheets>
  <definedNames>
    <definedName name="_xlnm._FilterDatabase" localSheetId="0" hidden="1">'ETF_Timeframes'!$A$1:$H$230</definedName>
    <definedName name="_xlnm._FilterDatabase" localSheetId="1" hidden="1">'Annual'!$A$1:$K$271</definedName>
    <definedName name="_xlnm._FilterDatabase" localSheetId="2" hidden="1">'CAGR'!$A$1:$L$136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46083</v>
      </c>
      <c r="G2" t="n">
        <v>13.66341347298263</v>
      </c>
      <c r="H2" t="inlineStr">
        <is>
          <t>Australia|SAUS.L|YTD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46055</v>
      </c>
      <c r="F3" s="1" t="n">
        <v>46083</v>
      </c>
      <c r="G3" t="n">
        <v>8.83190883190883</v>
      </c>
      <c r="H3" t="inlineStr">
        <is>
          <t>Australia|SAUS.L|1 Month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45993</v>
      </c>
      <c r="F4" s="1" t="n">
        <v>46083</v>
      </c>
      <c r="G4" t="n">
        <v>15.71549739488671</v>
      </c>
      <c r="H4" t="inlineStr">
        <is>
          <t>Australia|SAUS.L|3 Months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45902</v>
      </c>
      <c r="F5" s="1" t="n">
        <v>46083</v>
      </c>
      <c r="G5" t="n">
        <v>13.7446403049071</v>
      </c>
      <c r="H5" t="inlineStr">
        <is>
          <t>Australia|SAUS.L|6 Months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45716</v>
      </c>
      <c r="F6" s="1" t="n">
        <v>46083</v>
      </c>
      <c r="G6" t="n">
        <v>20.93199949347855</v>
      </c>
      <c r="H6" t="inlineStr">
        <is>
          <t>Australia|SAUS.L|1 Year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44987</v>
      </c>
      <c r="F7" s="1" t="n">
        <v>46083</v>
      </c>
      <c r="G7" t="n">
        <v>8.166270245780938</v>
      </c>
      <c r="H7" t="inlineStr">
        <is>
          <t>Australia|SAUS.L|3 Years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44257</v>
      </c>
      <c r="F8" s="1" t="n">
        <v>46083</v>
      </c>
      <c r="G8" t="n">
        <v>51.6595204065428</v>
      </c>
      <c r="H8" t="inlineStr">
        <is>
          <t>Australia|SAUS.L|5 Years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42431</v>
      </c>
      <c r="F9" s="1" t="n">
        <v>46083</v>
      </c>
      <c r="G9" t="n">
        <v>160.0054451402124</v>
      </c>
      <c r="H9" t="inlineStr">
        <is>
          <t>Australia|SAUS.L|10 Years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46083</v>
      </c>
      <c r="G10" t="n">
        <v>225.3921828946834</v>
      </c>
      <c r="H10" t="inlineStr">
        <is>
          <t>Australia|SAUS.L|MAX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46083</v>
      </c>
      <c r="G11" t="n">
        <v>21.01925515969099</v>
      </c>
      <c r="H11" t="inlineStr">
        <is>
          <t>Brazil|XMBR.L|YTD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46055</v>
      </c>
      <c r="F12" s="1" t="n">
        <v>46083</v>
      </c>
      <c r="G12" t="n">
        <v>4.583499402152236</v>
      </c>
      <c r="H12" t="inlineStr">
        <is>
          <t>Brazil|XMBR.L|1 Month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45993</v>
      </c>
      <c r="F13" s="1" t="n">
        <v>46083</v>
      </c>
      <c r="G13" t="n">
        <v>16.36363636363636</v>
      </c>
      <c r="H13" t="inlineStr">
        <is>
          <t>Brazil|XMBR.L|3 Months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45902</v>
      </c>
      <c r="F14" s="1" t="n">
        <v>46083</v>
      </c>
      <c r="G14" t="n">
        <v>37.05928440846174</v>
      </c>
      <c r="H14" t="inlineStr">
        <is>
          <t>Brazil|XMBR.L|6 Months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45716</v>
      </c>
      <c r="F15" s="1" t="n">
        <v>46083</v>
      </c>
      <c r="G15" t="n">
        <v>56.56324582338901</v>
      </c>
      <c r="H15" t="inlineStr">
        <is>
          <t>Brazil|XMBR.L|1 Year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44987</v>
      </c>
      <c r="F16" s="1" t="n">
        <v>46083</v>
      </c>
      <c r="G16" t="n">
        <v>52.42521057217542</v>
      </c>
      <c r="H16" t="inlineStr">
        <is>
          <t>Brazil|XMBR.L|3 Years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44257</v>
      </c>
      <c r="F17" s="1" t="n">
        <v>46083</v>
      </c>
      <c r="G17" t="n">
        <v>92.19923091008972</v>
      </c>
      <c r="H17" t="inlineStr">
        <is>
          <t>Brazil|XMBR.L|5 Years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42431</v>
      </c>
      <c r="F18" s="1" t="n">
        <v>46083</v>
      </c>
      <c r="G18" t="n">
        <v>211.6852264291017</v>
      </c>
      <c r="H18" t="inlineStr">
        <is>
          <t>Brazil|XMBR.L|10 Years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46083</v>
      </c>
      <c r="G19" t="n">
        <v>129.5381603125232</v>
      </c>
      <c r="H19" t="inlineStr">
        <is>
          <t>Brazil|XMBR.L|MAX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46083</v>
      </c>
      <c r="G20" t="n">
        <v>7.261979141635044</v>
      </c>
      <c r="H20" t="inlineStr">
        <is>
          <t>Canada|CSCA.L|YTD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46055</v>
      </c>
      <c r="F21" s="1" t="n">
        <v>46083</v>
      </c>
      <c r="G21" t="n">
        <v>8.150804419461121</v>
      </c>
      <c r="H21" t="inlineStr">
        <is>
          <t>Canada|CSCA.L|1 Month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45993</v>
      </c>
      <c r="F22" s="1" t="n">
        <v>46083</v>
      </c>
      <c r="G22" t="n">
        <v>10.55082227065585</v>
      </c>
      <c r="H22" t="inlineStr">
        <is>
          <t>Canada|CSCA.L|3 Months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45902</v>
      </c>
      <c r="F23" s="1" t="n">
        <v>46083</v>
      </c>
      <c r="G23" t="n">
        <v>20.31266846361186</v>
      </c>
      <c r="H23" t="inlineStr">
        <is>
          <t>Canada|CSCA.L|6 Months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45716</v>
      </c>
      <c r="F24" s="1" t="n">
        <v>46083</v>
      </c>
      <c r="G24" t="n">
        <v>34.59172596791702</v>
      </c>
      <c r="H24" t="inlineStr">
        <is>
          <t>Canada|CSCA.L|1 Year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44987</v>
      </c>
      <c r="F25" s="1" t="n">
        <v>46083</v>
      </c>
      <c r="G25" t="n">
        <v>59.86533433616277</v>
      </c>
      <c r="H25" t="inlineStr">
        <is>
          <t>Canada|CSCA.L|3 Years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44257</v>
      </c>
      <c r="F26" s="1" t="n">
        <v>46083</v>
      </c>
      <c r="G26" t="n">
        <v>99.6957766642806</v>
      </c>
      <c r="H26" t="inlineStr">
        <is>
          <t>Canada|CSCA.L|5 Years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42431</v>
      </c>
      <c r="F27" s="1" t="n">
        <v>46083</v>
      </c>
      <c r="G27" t="n">
        <v>232.0142814638501</v>
      </c>
      <c r="H27" t="inlineStr">
        <is>
          <t>Canada|CSCA.L|10 Years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46083</v>
      </c>
      <c r="G28" t="n">
        <v>118.8433958484393</v>
      </c>
      <c r="H28" t="inlineStr">
        <is>
          <t>Canada|CSCA.L|MAX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FRCH.L</t>
        </is>
      </c>
      <c r="D29" t="inlineStr">
        <is>
          <t>YTD</t>
        </is>
      </c>
      <c r="E29" s="1" t="n">
        <v>46022</v>
      </c>
      <c r="F29" s="1" t="n">
        <v>46083</v>
      </c>
      <c r="G29" t="n">
        <v>-1.098678639206441</v>
      </c>
      <c r="H29" t="inlineStr">
        <is>
          <t>China|FRCH.L|YTD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FRCH.L</t>
        </is>
      </c>
      <c r="D30" t="inlineStr">
        <is>
          <t>1 Month</t>
        </is>
      </c>
      <c r="E30" s="1" t="n">
        <v>46055</v>
      </c>
      <c r="F30" s="1" t="n">
        <v>46083</v>
      </c>
      <c r="G30" t="n">
        <v>-2.373644102241379</v>
      </c>
      <c r="H30" t="inlineStr">
        <is>
          <t>China|FRCH.L|1 Month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FRCH.L</t>
        </is>
      </c>
      <c r="D31" t="inlineStr">
        <is>
          <t>3 Months</t>
        </is>
      </c>
      <c r="E31" s="1" t="n">
        <v>45993</v>
      </c>
      <c r="F31" s="1" t="n">
        <v>46083</v>
      </c>
      <c r="G31" t="n">
        <v>-4.388782313504502</v>
      </c>
      <c r="H31" t="inlineStr">
        <is>
          <t>China|FRCH.L|3 Months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FRCH.L</t>
        </is>
      </c>
      <c r="D32" t="inlineStr">
        <is>
          <t>6 Months</t>
        </is>
      </c>
      <c r="E32" s="1" t="n">
        <v>45902</v>
      </c>
      <c r="F32" s="1" t="n">
        <v>46083</v>
      </c>
      <c r="G32" t="n">
        <v>-1.547668209181441</v>
      </c>
      <c r="H32" t="inlineStr">
        <is>
          <t>China|FRCH.L|6 Months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FRCH.L</t>
        </is>
      </c>
      <c r="D33" t="inlineStr">
        <is>
          <t>1 Year</t>
        </is>
      </c>
      <c r="E33" s="1" t="n">
        <v>45716</v>
      </c>
      <c r="F33" s="1" t="n">
        <v>46083</v>
      </c>
      <c r="G33" t="n">
        <v>7.770496026967399</v>
      </c>
      <c r="H33" t="inlineStr">
        <is>
          <t>China|FRCH.L|1 Year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FRCH.L</t>
        </is>
      </c>
      <c r="D34" t="inlineStr">
        <is>
          <t>3 Years</t>
        </is>
      </c>
      <c r="E34" s="1" t="n">
        <v>44987</v>
      </c>
      <c r="F34" s="1" t="n">
        <v>46083</v>
      </c>
      <c r="G34" t="n">
        <v>15.75882302035354</v>
      </c>
      <c r="H34" t="inlineStr">
        <is>
          <t>China|FRCH.L|3 Years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FRCH.L</t>
        </is>
      </c>
      <c r="D35" t="inlineStr">
        <is>
          <t>5 Years</t>
        </is>
      </c>
      <c r="E35" s="1" t="n">
        <v>44257</v>
      </c>
      <c r="F35" s="1" t="n">
        <v>46083</v>
      </c>
      <c r="G35" t="n">
        <v>-19.92279688114253</v>
      </c>
      <c r="H35" t="inlineStr">
        <is>
          <t>China|FRCH.L|5 Years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FRCH.L</t>
        </is>
      </c>
      <c r="D36" t="inlineStr">
        <is>
          <t>MAX</t>
        </is>
      </c>
      <c r="E36" s="1" t="n">
        <v>43621</v>
      </c>
      <c r="F36" s="1" t="n">
        <v>46083</v>
      </c>
      <c r="G36" t="n">
        <v>-4.235248139856507</v>
      </c>
      <c r="H36" t="inlineStr">
        <is>
          <t>China|FRCH.L|MAX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YTD</t>
        </is>
      </c>
      <c r="E37" s="1" t="n">
        <v>46022</v>
      </c>
      <c r="F37" s="1" t="n">
        <v>46083</v>
      </c>
      <c r="G37" t="n">
        <v>4.780783718188375</v>
      </c>
      <c r="H37" t="inlineStr">
        <is>
          <t>China|IASH.L|YTD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inlineStr">
        <is>
          <t>1 Month</t>
        </is>
      </c>
      <c r="E38" s="1" t="n">
        <v>46055</v>
      </c>
      <c r="F38" s="1" t="n">
        <v>46083</v>
      </c>
      <c r="G38" t="n">
        <v>5.14860768277372</v>
      </c>
      <c r="H38" t="inlineStr">
        <is>
          <t>China|IASH.L|1 Month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inlineStr">
        <is>
          <t>3 Months</t>
        </is>
      </c>
      <c r="E39" s="1" t="n">
        <v>45993</v>
      </c>
      <c r="F39" s="1" t="n">
        <v>46083</v>
      </c>
      <c r="G39" t="n">
        <v>6.570204290426851</v>
      </c>
      <c r="H39" t="inlineStr">
        <is>
          <t>China|IASH.L|3 Months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inlineStr">
        <is>
          <t>6 Months</t>
        </is>
      </c>
      <c r="E40" s="1" t="n">
        <v>45902</v>
      </c>
      <c r="F40" s="1" t="n">
        <v>46083</v>
      </c>
      <c r="G40" t="n">
        <v>10.23061360771003</v>
      </c>
      <c r="H40" t="inlineStr">
        <is>
          <t>China|IASH.L|6 Months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inlineStr">
        <is>
          <t>1 Year</t>
        </is>
      </c>
      <c r="E41" s="1" t="n">
        <v>45716</v>
      </c>
      <c r="F41" s="1" t="n">
        <v>46083</v>
      </c>
      <c r="G41" t="n">
        <v>23.51889698775773</v>
      </c>
      <c r="H41" t="inlineStr">
        <is>
          <t>China|IASH.L|1 Year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inlineStr">
        <is>
          <t>3 Years</t>
        </is>
      </c>
      <c r="E42" s="1" t="n">
        <v>44987</v>
      </c>
      <c r="F42" s="1" t="n">
        <v>46083</v>
      </c>
      <c r="G42" t="n">
        <v>5.692773780756011</v>
      </c>
      <c r="H42" t="inlineStr">
        <is>
          <t>China|IASH.L|3 Years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inlineStr">
        <is>
          <t>5 Years</t>
        </is>
      </c>
      <c r="E43" s="1" t="n">
        <v>44257</v>
      </c>
      <c r="F43" s="1" t="n">
        <v>46083</v>
      </c>
      <c r="G43" t="n">
        <v>-3.105461297170131</v>
      </c>
      <c r="H43" t="inlineStr">
        <is>
          <t>China|IASH.L|5 Years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inlineStr">
        <is>
          <t>10 Years</t>
        </is>
      </c>
      <c r="E44" s="1" t="n">
        <v>42431</v>
      </c>
      <c r="F44" s="1" t="n">
        <v>46083</v>
      </c>
      <c r="G44" t="n">
        <v>79.89989501219969</v>
      </c>
      <c r="H44" t="inlineStr">
        <is>
          <t>China|IASH.L|10 Years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inlineStr">
        <is>
          <t>MAX</t>
        </is>
      </c>
      <c r="E45" s="1" t="n">
        <v>42103</v>
      </c>
      <c r="F45" s="1" t="n">
        <v>46083</v>
      </c>
      <c r="G45" t="n">
        <v>-12.07436638102374</v>
      </c>
      <c r="H45" t="inlineStr">
        <is>
          <t>China|IASH.L|MAX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YTD</t>
        </is>
      </c>
      <c r="E46" s="1" t="n">
        <v>46022</v>
      </c>
      <c r="F46" s="1" t="n">
        <v>46083</v>
      </c>
      <c r="G46" t="n">
        <v>3.844026548672574</v>
      </c>
      <c r="H46" t="inlineStr">
        <is>
          <t>France|ISFR.L|YTD</t>
        </is>
      </c>
    </row>
    <row r="47">
      <c r="A47" t="inlineStr">
        <is>
          <t>France</t>
        </is>
      </c>
      <c r="B47" t="inlineStr">
        <is>
          <t>FRA</t>
        </is>
      </c>
      <c r="C47" t="inlineStr">
        <is>
          <t>ISFR.L</t>
        </is>
      </c>
      <c r="D47" t="inlineStr">
        <is>
          <t>1 Month</t>
        </is>
      </c>
      <c r="E47" s="1" t="n">
        <v>46055</v>
      </c>
      <c r="F47" s="1" t="n">
        <v>46083</v>
      </c>
      <c r="G47" t="n">
        <v>3.959025470653388</v>
      </c>
      <c r="H47" t="inlineStr">
        <is>
          <t>France|ISFR.L|1 Month</t>
        </is>
      </c>
    </row>
    <row r="48">
      <c r="A48" t="inlineStr">
        <is>
          <t>France</t>
        </is>
      </c>
      <c r="B48" t="inlineStr">
        <is>
          <t>FRA</t>
        </is>
      </c>
      <c r="C48" t="inlineStr">
        <is>
          <t>ISFR.L</t>
        </is>
      </c>
      <c r="D48" t="inlineStr">
        <is>
          <t>3 Months</t>
        </is>
      </c>
      <c r="E48" s="1" t="n">
        <v>45993</v>
      </c>
      <c r="F48" s="1" t="n">
        <v>46083</v>
      </c>
      <c r="G48" t="n">
        <v>3.691089837997064</v>
      </c>
      <c r="H48" t="inlineStr">
        <is>
          <t>France|ISFR.L|3 Months</t>
        </is>
      </c>
    </row>
    <row r="49">
      <c r="A49" t="inlineStr">
        <is>
          <t>France</t>
        </is>
      </c>
      <c r="B49" t="inlineStr">
        <is>
          <t>FRA</t>
        </is>
      </c>
      <c r="C49" t="inlineStr">
        <is>
          <t>ISFR.L</t>
        </is>
      </c>
      <c r="D49" t="inlineStr">
        <is>
          <t>6 Months</t>
        </is>
      </c>
      <c r="E49" s="1" t="n">
        <v>45902</v>
      </c>
      <c r="F49" s="1" t="n">
        <v>46083</v>
      </c>
      <c r="G49" t="n">
        <v>10.5278649921507</v>
      </c>
      <c r="H49" t="inlineStr">
        <is>
          <t>France|ISFR.L|6 Months</t>
        </is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inlineStr">
        <is>
          <t>1 Year</t>
        </is>
      </c>
      <c r="E50" s="1" t="n">
        <v>45716</v>
      </c>
      <c r="F50" s="1" t="n">
        <v>46083</v>
      </c>
      <c r="G50" t="n">
        <v>13.66732253670351</v>
      </c>
      <c r="H50" t="inlineStr">
        <is>
          <t>France|ISFR.L|1 Year</t>
        </is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inlineStr">
        <is>
          <t>3 Years</t>
        </is>
      </c>
      <c r="E51" s="1" t="n">
        <v>44987</v>
      </c>
      <c r="F51" s="1" t="n">
        <v>46083</v>
      </c>
      <c r="G51" t="n">
        <v>23.7504119521037</v>
      </c>
      <c r="H51" t="inlineStr">
        <is>
          <t>France|ISFR.L|3 Years</t>
        </is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inlineStr">
        <is>
          <t>5 Years</t>
        </is>
      </c>
      <c r="E52" s="1" t="n">
        <v>44257</v>
      </c>
      <c r="F52" s="1" t="n">
        <v>46083</v>
      </c>
      <c r="G52" t="n">
        <v>63.48595892896016</v>
      </c>
      <c r="H52" t="inlineStr">
        <is>
          <t>France|ISFR.L|5 Years</t>
        </is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inlineStr">
        <is>
          <t>10 Years</t>
        </is>
      </c>
      <c r="E53" s="1" t="n">
        <v>42431</v>
      </c>
      <c r="F53" s="1" t="n">
        <v>46083</v>
      </c>
      <c r="G53" t="n">
        <v>182.0480721081623</v>
      </c>
      <c r="H53" t="inlineStr">
        <is>
          <t>France|ISFR.L|10 Years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inlineStr">
        <is>
          <t>MAX</t>
        </is>
      </c>
      <c r="E54" s="1" t="n">
        <v>41890</v>
      </c>
      <c r="F54" s="1" t="n">
        <v>46083</v>
      </c>
      <c r="G54" t="n">
        <v>126.2120942330757</v>
      </c>
      <c r="H54" t="inlineStr">
        <is>
          <t>France|ISFR.L|MAX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XDAX.L</t>
        </is>
      </c>
      <c r="D55" t="inlineStr">
        <is>
          <t>YTD</t>
        </is>
      </c>
      <c r="E55" s="1" t="n">
        <v>46022</v>
      </c>
      <c r="F55" s="1" t="n">
        <v>46083</v>
      </c>
      <c r="G55" t="n">
        <v>0.3986048829098143</v>
      </c>
      <c r="H55" t="inlineStr">
        <is>
          <t>Germany|XDAX.L|YTD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1 Month</t>
        </is>
      </c>
      <c r="E56" s="1" t="n">
        <v>46055</v>
      </c>
      <c r="F56" s="1" t="n">
        <v>46083</v>
      </c>
      <c r="G56" t="n">
        <v>0.3486055776892316</v>
      </c>
      <c r="H56" t="inlineStr">
        <is>
          <t>Germany|XDAX.L|1 Month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3 Months</t>
        </is>
      </c>
      <c r="E57" s="1" t="n">
        <v>45993</v>
      </c>
      <c r="F57" s="1" t="n">
        <v>46083</v>
      </c>
      <c r="G57" t="n">
        <v>3.105971447577138</v>
      </c>
      <c r="H57" t="inlineStr">
        <is>
          <t>Germany|XDAX.L|3 Months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6 Months</t>
        </is>
      </c>
      <c r="E58" s="1" t="n">
        <v>45902</v>
      </c>
      <c r="F58" s="1" t="n">
        <v>46083</v>
      </c>
      <c r="G58" t="n">
        <v>5.024497029083697</v>
      </c>
      <c r="H58" t="inlineStr">
        <is>
          <t>Germany|XDAX.L|6 Months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1 Year</t>
        </is>
      </c>
      <c r="E59" s="1" t="n">
        <v>45716</v>
      </c>
      <c r="F59" s="1" t="n">
        <v>46083</v>
      </c>
      <c r="G59" t="n">
        <v>15.22186642268986</v>
      </c>
      <c r="H59" t="inlineStr">
        <is>
          <t>Germany|XDAX.L|1 Year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3 Years</t>
        </is>
      </c>
      <c r="E60" s="1" t="n">
        <v>44987</v>
      </c>
      <c r="F60" s="1" t="n">
        <v>46083</v>
      </c>
      <c r="G60" t="n">
        <v>55.99597429743746</v>
      </c>
      <c r="H60" t="inlineStr">
        <is>
          <t>Germany|XDAX.L|3 Years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5 Years</t>
        </is>
      </c>
      <c r="E61" s="1" t="n">
        <v>44257</v>
      </c>
      <c r="F61" s="1" t="n">
        <v>46083</v>
      </c>
      <c r="G61" t="n">
        <v>72.75377229080932</v>
      </c>
      <c r="H61" t="inlineStr">
        <is>
          <t>Germany|XDAX.L|5 Years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10 Years</t>
        </is>
      </c>
      <c r="E62" s="1" t="n">
        <v>42431</v>
      </c>
      <c r="F62" s="1" t="n">
        <v>46083</v>
      </c>
      <c r="G62" t="n">
        <v>109.910481627441</v>
      </c>
      <c r="H62" t="inlineStr">
        <is>
          <t>Germany|XDAX.L|10 Years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MAX</t>
        </is>
      </c>
      <c r="E63" s="1" t="n">
        <v>39818</v>
      </c>
      <c r="F63" s="1" t="n">
        <v>46083</v>
      </c>
      <c r="G63" t="n">
        <v>304.9722226338405</v>
      </c>
      <c r="H63" t="inlineStr">
        <is>
          <t>Germany|XDAX.L|MAX</t>
        </is>
      </c>
    </row>
    <row r="64">
      <c r="A64" t="inlineStr">
        <is>
          <t>India</t>
        </is>
      </c>
      <c r="B64" t="inlineStr">
        <is>
          <t>IND</t>
        </is>
      </c>
      <c r="C64" t="inlineStr">
        <is>
          <t>FRIN.L</t>
        </is>
      </c>
      <c r="D64" t="inlineStr">
        <is>
          <t>YTD</t>
        </is>
      </c>
      <c r="E64" s="1" t="n">
        <v>46022</v>
      </c>
      <c r="F64" s="1" t="n">
        <v>46083</v>
      </c>
      <c r="G64" t="n">
        <v>-5.546017942431403</v>
      </c>
      <c r="H64" t="inlineStr">
        <is>
          <t>India|FRIN.L|YTD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FRIN.L</t>
        </is>
      </c>
      <c r="D65" t="inlineStr">
        <is>
          <t>1 Month</t>
        </is>
      </c>
      <c r="E65" s="1" t="n">
        <v>46055</v>
      </c>
      <c r="F65" s="1" t="n">
        <v>46083</v>
      </c>
      <c r="G65" t="n">
        <v>-0.01580012914993434</v>
      </c>
      <c r="H65" t="inlineStr">
        <is>
          <t>India|FRIN.L|1 Month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FRIN.L</t>
        </is>
      </c>
      <c r="D66" t="inlineStr">
        <is>
          <t>3 Months</t>
        </is>
      </c>
      <c r="E66" s="1" t="n">
        <v>45993</v>
      </c>
      <c r="F66" s="1" t="n">
        <v>46083</v>
      </c>
      <c r="G66" t="n">
        <v>-6.736432969962392</v>
      </c>
      <c r="H66" t="inlineStr">
        <is>
          <t>India|FRIN.L|3 Months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FRIN.L</t>
        </is>
      </c>
      <c r="D67" t="inlineStr">
        <is>
          <t>6 Months</t>
        </is>
      </c>
      <c r="E67" s="1" t="n">
        <v>45902</v>
      </c>
      <c r="F67" s="1" t="n">
        <v>46083</v>
      </c>
      <c r="G67" t="n">
        <v>-2.571607515951935</v>
      </c>
      <c r="H67" t="inlineStr">
        <is>
          <t>India|FRIN.L|6 Months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FRIN.L</t>
        </is>
      </c>
      <c r="D68" t="inlineStr">
        <is>
          <t>1 Year</t>
        </is>
      </c>
      <c r="E68" s="1" t="n">
        <v>45716</v>
      </c>
      <c r="F68" s="1" t="n">
        <v>46083</v>
      </c>
      <c r="G68" t="n">
        <v>1.402355947721001</v>
      </c>
      <c r="H68" t="inlineStr">
        <is>
          <t>India|FRIN.L|1 Year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FRIN.L</t>
        </is>
      </c>
      <c r="D69" t="inlineStr">
        <is>
          <t>3 Years</t>
        </is>
      </c>
      <c r="E69" s="1" t="n">
        <v>44987</v>
      </c>
      <c r="F69" s="1" t="n">
        <v>46083</v>
      </c>
      <c r="G69" t="n">
        <v>23.00962140270943</v>
      </c>
      <c r="H69" t="inlineStr">
        <is>
          <t>India|FRIN.L|3 Years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FRIN.L</t>
        </is>
      </c>
      <c r="D70" t="inlineStr">
        <is>
          <t>5 Years</t>
        </is>
      </c>
      <c r="E70" s="1" t="n">
        <v>44257</v>
      </c>
      <c r="F70" s="1" t="n">
        <v>46083</v>
      </c>
      <c r="G70" t="n">
        <v>46.2552078423689</v>
      </c>
      <c r="H70" t="inlineStr">
        <is>
          <t>India|FRIN.L|5 Years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FRIN.L</t>
        </is>
      </c>
      <c r="D71" t="inlineStr">
        <is>
          <t>MAX</t>
        </is>
      </c>
      <c r="E71" s="1" t="n">
        <v>43647</v>
      </c>
      <c r="F71" s="1" t="n">
        <v>46083</v>
      </c>
      <c r="G71" t="n">
        <v>56.66708700598915</v>
      </c>
      <c r="H71" t="inlineStr">
        <is>
          <t>India|FRIN.L|MAX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IIND.L</t>
        </is>
      </c>
      <c r="D72" t="inlineStr">
        <is>
          <t>YTD</t>
        </is>
      </c>
      <c r="E72" s="1" t="n">
        <v>46022</v>
      </c>
      <c r="F72" s="1" t="n">
        <v>46083</v>
      </c>
      <c r="G72" t="n">
        <v>-5.956804024718121</v>
      </c>
      <c r="H72" t="inlineStr">
        <is>
          <t>India|IIND.L|YTD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IIND.L</t>
        </is>
      </c>
      <c r="D73" t="inlineStr">
        <is>
          <t>1 Month</t>
        </is>
      </c>
      <c r="E73" s="1" t="n">
        <v>46055</v>
      </c>
      <c r="F73" s="1" t="n">
        <v>46083</v>
      </c>
      <c r="G73" t="n">
        <v>-0.2480694288245266</v>
      </c>
      <c r="H73" t="inlineStr">
        <is>
          <t>India|IIND.L|1 Month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IIND.L</t>
        </is>
      </c>
      <c r="D74" t="inlineStr">
        <is>
          <t>3 Months</t>
        </is>
      </c>
      <c r="E74" s="1" t="n">
        <v>45993</v>
      </c>
      <c r="F74" s="1" t="n">
        <v>46083</v>
      </c>
      <c r="G74" t="n">
        <v>-7.30847504179356</v>
      </c>
      <c r="H74" t="inlineStr">
        <is>
          <t>India|IIND.L|3 Months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IIND.L</t>
        </is>
      </c>
      <c r="D75" t="inlineStr">
        <is>
          <t>6 Months</t>
        </is>
      </c>
      <c r="E75" s="1" t="n">
        <v>45902</v>
      </c>
      <c r="F75" s="1" t="n">
        <v>46083</v>
      </c>
      <c r="G75" t="n">
        <v>-2.551673616888428</v>
      </c>
      <c r="H75" t="inlineStr">
        <is>
          <t>India|IIND.L|6 Months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IIND.L</t>
        </is>
      </c>
      <c r="D76" t="inlineStr">
        <is>
          <t>1 Year</t>
        </is>
      </c>
      <c r="E76" s="1" t="n">
        <v>45716</v>
      </c>
      <c r="F76" s="1" t="n">
        <v>46083</v>
      </c>
      <c r="G76" t="n">
        <v>3.43470650020874</v>
      </c>
      <c r="H76" t="inlineStr">
        <is>
          <t>India|IIND.L|1 Year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IIND.L</t>
        </is>
      </c>
      <c r="D77" t="inlineStr">
        <is>
          <t>3 Years</t>
        </is>
      </c>
      <c r="E77" s="1" t="n">
        <v>44987</v>
      </c>
      <c r="F77" s="1" t="n">
        <v>46083</v>
      </c>
      <c r="G77" t="n">
        <v>21.79954981476204</v>
      </c>
      <c r="H77" t="inlineStr">
        <is>
          <t>India|IIND.L|3 Years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IIND.L</t>
        </is>
      </c>
      <c r="D78" t="inlineStr">
        <is>
          <t>5 Years</t>
        </is>
      </c>
      <c r="E78" s="1" t="n">
        <v>44257</v>
      </c>
      <c r="F78" s="1" t="n">
        <v>46083</v>
      </c>
      <c r="G78" t="n">
        <v>43.19979495127446</v>
      </c>
      <c r="H78" t="inlineStr">
        <is>
          <t>India|IIND.L|5 Years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IIND.L</t>
        </is>
      </c>
      <c r="D79" t="inlineStr">
        <is>
          <t>MAX</t>
        </is>
      </c>
      <c r="E79" s="1" t="n">
        <v>43250</v>
      </c>
      <c r="F79" s="1" t="n">
        <v>46083</v>
      </c>
      <c r="G79" t="n">
        <v>77.0984495194661</v>
      </c>
      <c r="H79" t="inlineStr">
        <is>
          <t>India|IIND.L|MAX</t>
        </is>
      </c>
    </row>
    <row r="80">
      <c r="A80" t="inlineStr">
        <is>
          <t>Japan</t>
        </is>
      </c>
      <c r="B80" t="inlineStr">
        <is>
          <t>JPN</t>
        </is>
      </c>
      <c r="C80" t="inlineStr">
        <is>
          <t>IJPN.L</t>
        </is>
      </c>
      <c r="D80" t="inlineStr">
        <is>
          <t>YTD</t>
        </is>
      </c>
      <c r="E80" s="1" t="n">
        <v>46022</v>
      </c>
      <c r="F80" s="1" t="n">
        <v>46083</v>
      </c>
      <c r="G80" t="n">
        <v>11.04449353108235</v>
      </c>
      <c r="H80" t="inlineStr">
        <is>
          <t>Japan|IJPN.L|YTD</t>
        </is>
      </c>
    </row>
    <row r="81">
      <c r="A81" t="inlineStr">
        <is>
          <t>Japan</t>
        </is>
      </c>
      <c r="B81" t="inlineStr">
        <is>
          <t>JPN</t>
        </is>
      </c>
      <c r="C81" t="inlineStr">
        <is>
          <t>IJPN.L</t>
        </is>
      </c>
      <c r="D81" t="inlineStr">
        <is>
          <t>1 Month</t>
        </is>
      </c>
      <c r="E81" s="1" t="n">
        <v>46055</v>
      </c>
      <c r="F81" s="1" t="n">
        <v>46083</v>
      </c>
      <c r="G81" t="n">
        <v>6.895504252733886</v>
      </c>
      <c r="H81" t="inlineStr">
        <is>
          <t>Japan|IJPN.L|1 Month</t>
        </is>
      </c>
    </row>
    <row r="82">
      <c r="A82" t="inlineStr">
        <is>
          <t>Japan</t>
        </is>
      </c>
      <c r="B82" t="inlineStr">
        <is>
          <t>JPN</t>
        </is>
      </c>
      <c r="C82" t="inlineStr">
        <is>
          <t>IJPN.L</t>
        </is>
      </c>
      <c r="D82" t="inlineStr">
        <is>
          <t>3 Months</t>
        </is>
      </c>
      <c r="E82" s="1" t="n">
        <v>45993</v>
      </c>
      <c r="F82" s="1" t="n">
        <v>46083</v>
      </c>
      <c r="G82" t="n">
        <v>10.62558943728387</v>
      </c>
      <c r="H82" t="inlineStr">
        <is>
          <t>Japan|IJPN.L|3 Months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IJPN.L</t>
        </is>
      </c>
      <c r="D83" t="inlineStr">
        <is>
          <t>6 Months</t>
        </is>
      </c>
      <c r="E83" s="1" t="n">
        <v>45902</v>
      </c>
      <c r="F83" s="1" t="n">
        <v>46083</v>
      </c>
      <c r="G83" t="n">
        <v>18.8449848024316</v>
      </c>
      <c r="H83" t="inlineStr">
        <is>
          <t>Japan|IJPN.L|6 Months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IJPN.L</t>
        </is>
      </c>
      <c r="D84" t="inlineStr">
        <is>
          <t>1 Year</t>
        </is>
      </c>
      <c r="E84" s="1" t="n">
        <v>45716</v>
      </c>
      <c r="F84" s="1" t="n">
        <v>46083</v>
      </c>
      <c r="G84" t="n">
        <v>27.03971119133573</v>
      </c>
      <c r="H84" t="inlineStr">
        <is>
          <t>Japan|IJPN.L|1 Year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IJPN.L</t>
        </is>
      </c>
      <c r="D85" t="inlineStr">
        <is>
          <t>3 Years</t>
        </is>
      </c>
      <c r="E85" s="1" t="n">
        <v>44987</v>
      </c>
      <c r="F85" s="1" t="n">
        <v>46083</v>
      </c>
      <c r="G85" t="n">
        <v>49.74468085106383</v>
      </c>
      <c r="H85" t="inlineStr">
        <is>
          <t>Japan|IJPN.L|3 Years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IJPN.L</t>
        </is>
      </c>
      <c r="D86" t="inlineStr">
        <is>
          <t>5 Years</t>
        </is>
      </c>
      <c r="E86" s="1" t="n">
        <v>44257</v>
      </c>
      <c r="F86" s="1" t="n">
        <v>46083</v>
      </c>
      <c r="G86" t="n">
        <v>41.86655916145939</v>
      </c>
      <c r="H86" t="inlineStr">
        <is>
          <t>Japan|IJPN.L|5 Years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IJPN.L</t>
        </is>
      </c>
      <c r="D87" t="inlineStr">
        <is>
          <t>10 Years</t>
        </is>
      </c>
      <c r="E87" s="1" t="n">
        <v>42431</v>
      </c>
      <c r="F87" s="1" t="n">
        <v>46083</v>
      </c>
      <c r="G87" t="n">
        <v>117.8947368421053</v>
      </c>
      <c r="H87" t="inlineStr">
        <is>
          <t>Japan|IJPN.L|10 Years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IJPN.L</t>
        </is>
      </c>
      <c r="D88" t="inlineStr">
        <is>
          <t>MAX</t>
        </is>
      </c>
      <c r="E88" s="1" t="n">
        <v>39818</v>
      </c>
      <c r="F88" s="1" t="n">
        <v>46083</v>
      </c>
      <c r="G88" t="n">
        <v>173.2142857142857</v>
      </c>
      <c r="H88" t="inlineStr">
        <is>
          <t>Japan|IJPN.L|MAX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LCJP.L</t>
        </is>
      </c>
      <c r="D89" t="inlineStr">
        <is>
          <t>YTD</t>
        </is>
      </c>
      <c r="E89" s="1" t="n">
        <v>46022</v>
      </c>
      <c r="F89" s="1" t="n">
        <v>46083</v>
      </c>
      <c r="G89" t="n">
        <v>23582.47476124127</v>
      </c>
      <c r="H89" t="inlineStr">
        <is>
          <t>Japan|LCJP.L|YTD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LCJP.L</t>
        </is>
      </c>
      <c r="D90" t="inlineStr">
        <is>
          <t>1 Month</t>
        </is>
      </c>
      <c r="E90" s="1" t="n">
        <v>46055</v>
      </c>
      <c r="F90" s="1" t="n">
        <v>46083</v>
      </c>
      <c r="G90" t="n">
        <v>22526.51679610361</v>
      </c>
      <c r="H90" t="inlineStr">
        <is>
          <t>Japan|LCJP.L|1 Month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LCJP.L</t>
        </is>
      </c>
      <c r="D91" t="inlineStr">
        <is>
          <t>3 Months</t>
        </is>
      </c>
      <c r="E91" s="1" t="n">
        <v>45993</v>
      </c>
      <c r="F91" s="1" t="n">
        <v>46083</v>
      </c>
      <c r="G91" t="n">
        <v>23522.49769747223</v>
      </c>
      <c r="H91" t="inlineStr">
        <is>
          <t>Japan|LCJP.L|3 Months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LCJP.L</t>
        </is>
      </c>
      <c r="D92" t="inlineStr">
        <is>
          <t>6 Months</t>
        </is>
      </c>
      <c r="E92" s="1" t="n">
        <v>45902</v>
      </c>
      <c r="F92" s="1" t="n">
        <v>46083</v>
      </c>
      <c r="G92" t="n">
        <v>25297.4384648224</v>
      </c>
      <c r="H92" t="inlineStr">
        <is>
          <t>Japan|LCJP.L|6 Months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LCJP.L</t>
        </is>
      </c>
      <c r="D93" t="inlineStr">
        <is>
          <t>1 Year</t>
        </is>
      </c>
      <c r="E93" s="1" t="n">
        <v>45716</v>
      </c>
      <c r="F93" s="1" t="n">
        <v>46083</v>
      </c>
      <c r="G93" t="n">
        <v>27316.57955742409</v>
      </c>
      <c r="H93" t="inlineStr">
        <is>
          <t>Japan|LCJP.L|1 Year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LCJP.L</t>
        </is>
      </c>
      <c r="D94" t="inlineStr">
        <is>
          <t>3 Years</t>
        </is>
      </c>
      <c r="E94" s="1" t="n">
        <v>44987</v>
      </c>
      <c r="F94" s="1" t="n">
        <v>46083</v>
      </c>
      <c r="G94" t="n">
        <v>33426.35679040165</v>
      </c>
      <c r="H94" t="inlineStr">
        <is>
          <t>Japan|LCJP.L|3 Years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LCJP.L</t>
        </is>
      </c>
      <c r="D95" t="inlineStr">
        <is>
          <t>5 Years</t>
        </is>
      </c>
      <c r="E95" s="1" t="n">
        <v>44257</v>
      </c>
      <c r="F95" s="1" t="n">
        <v>46083</v>
      </c>
      <c r="G95" t="n">
        <v>32903.83293521916</v>
      </c>
      <c r="H95" t="inlineStr">
        <is>
          <t>Japan|LCJP.L|5 Years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LCJP.L</t>
        </is>
      </c>
      <c r="D96" t="inlineStr">
        <is>
          <t>MAX</t>
        </is>
      </c>
      <c r="E96" s="1" t="n">
        <v>43185</v>
      </c>
      <c r="F96" s="1" t="n">
        <v>46083</v>
      </c>
      <c r="G96" t="n">
        <v>41602.73482402557</v>
      </c>
      <c r="H96" t="inlineStr">
        <is>
          <t>Japan|LCJP.L|MAX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YTD</t>
        </is>
      </c>
      <c r="E97" s="1" t="n">
        <v>46022</v>
      </c>
      <c r="F97" s="1" t="n">
        <v>46083</v>
      </c>
      <c r="G97" t="n">
        <v>4.824771963514185</v>
      </c>
      <c r="H97" t="inlineStr">
        <is>
          <t>Malaysia|XCX3.L|YTD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1 Month</t>
        </is>
      </c>
      <c r="E98" s="1" t="n">
        <v>46055</v>
      </c>
      <c r="F98" s="1" t="n">
        <v>46083</v>
      </c>
      <c r="G98" t="n">
        <v>0.09168003667201496</v>
      </c>
      <c r="H98" t="inlineStr">
        <is>
          <t>Malaysia|XCX3.L|1 Month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3 Months</t>
        </is>
      </c>
      <c r="E99" s="1" t="n">
        <v>45993</v>
      </c>
      <c r="F99" s="1" t="n">
        <v>46083</v>
      </c>
      <c r="G99" t="n">
        <v>7.139352306182545</v>
      </c>
      <c r="H99" t="inlineStr">
        <is>
          <t>Malaysia|XCX3.L|3 Months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6 Months</t>
        </is>
      </c>
      <c r="E100" s="1" t="n">
        <v>45902</v>
      </c>
      <c r="F100" s="1" t="n">
        <v>46083</v>
      </c>
      <c r="G100" t="n">
        <v>17.88365501417195</v>
      </c>
      <c r="H100" t="inlineStr">
        <is>
          <t>Malaysia|XCX3.L|6 Months</t>
        </is>
      </c>
    </row>
    <row r="101">
      <c r="A101" t="inlineStr">
        <is>
          <t>Malaysia</t>
        </is>
      </c>
      <c r="B101" t="inlineStr">
        <is>
          <t>MYS</t>
        </is>
      </c>
      <c r="C101" t="inlineStr">
        <is>
          <t>XCX3.L</t>
        </is>
      </c>
      <c r="D101" t="inlineStr">
        <is>
          <t>1 Year</t>
        </is>
      </c>
      <c r="E101" s="1" t="n">
        <v>45716</v>
      </c>
      <c r="F101" s="1" t="n">
        <v>46083</v>
      </c>
      <c r="G101" t="n">
        <v>18.53963083604777</v>
      </c>
      <c r="H101" t="inlineStr">
        <is>
          <t>Malaysia|XCX3.L|1 Year</t>
        </is>
      </c>
    </row>
    <row r="102">
      <c r="A102" t="inlineStr">
        <is>
          <t>Malaysia</t>
        </is>
      </c>
      <c r="B102" t="inlineStr">
        <is>
          <t>MYS</t>
        </is>
      </c>
      <c r="C102" t="inlineStr">
        <is>
          <t>XCX3.L</t>
        </is>
      </c>
      <c r="D102" t="inlineStr">
        <is>
          <t>3 Years</t>
        </is>
      </c>
      <c r="E102" s="1" t="n">
        <v>44987</v>
      </c>
      <c r="F102" s="1" t="n">
        <v>46083</v>
      </c>
      <c r="G102" t="n">
        <v>30.10576493371073</v>
      </c>
      <c r="H102" t="inlineStr">
        <is>
          <t>Malaysia|XCX3.L|3 Years</t>
        </is>
      </c>
    </row>
    <row r="103">
      <c r="A103" t="inlineStr">
        <is>
          <t>Malaysia</t>
        </is>
      </c>
      <c r="B103" t="inlineStr">
        <is>
          <t>MYS</t>
        </is>
      </c>
      <c r="C103" t="inlineStr">
        <is>
          <t>XCX3.L</t>
        </is>
      </c>
      <c r="D103" t="inlineStr">
        <is>
          <t>5 Years</t>
        </is>
      </c>
      <c r="E103" s="1" t="n">
        <v>44257</v>
      </c>
      <c r="F103" s="1" t="n">
        <v>46083</v>
      </c>
      <c r="G103" t="n">
        <v>33.71096142069809</v>
      </c>
      <c r="H103" t="inlineStr">
        <is>
          <t>Malaysia|XCX3.L|5 Years</t>
        </is>
      </c>
    </row>
    <row r="104">
      <c r="A104" t="inlineStr">
        <is>
          <t>Malaysia</t>
        </is>
      </c>
      <c r="B104" t="inlineStr">
        <is>
          <t>MYS</t>
        </is>
      </c>
      <c r="C104" t="inlineStr">
        <is>
          <t>XCX3.L</t>
        </is>
      </c>
      <c r="D104" t="inlineStr">
        <is>
          <t>10 Years</t>
        </is>
      </c>
      <c r="E104" s="1" t="n">
        <v>42431</v>
      </c>
      <c r="F104" s="1" t="n">
        <v>46083</v>
      </c>
      <c r="G104" t="n">
        <v>36.44743008904858</v>
      </c>
      <c r="H104" t="inlineStr">
        <is>
          <t>Malaysia|XCX3.L|10 Years</t>
        </is>
      </c>
    </row>
    <row r="105">
      <c r="A105" t="inlineStr">
        <is>
          <t>Malaysia</t>
        </is>
      </c>
      <c r="B105" t="inlineStr">
        <is>
          <t>MYS</t>
        </is>
      </c>
      <c r="C105" t="inlineStr">
        <is>
          <t>XCX3.L</t>
        </is>
      </c>
      <c r="D105" t="inlineStr">
        <is>
          <t>MAX</t>
        </is>
      </c>
      <c r="E105" s="1" t="n">
        <v>40354</v>
      </c>
      <c r="F105" s="1" t="n">
        <v>46083</v>
      </c>
      <c r="G105" t="n">
        <v>7.485333703170549</v>
      </c>
      <c r="H105" t="inlineStr">
        <is>
          <t>Malaysia|XCX3.L|MAX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YTD</t>
        </is>
      </c>
      <c r="E106" s="1" t="n">
        <v>46022</v>
      </c>
      <c r="F106" s="1" t="n">
        <v>46083</v>
      </c>
      <c r="G106" t="n">
        <v>14.30327868852459</v>
      </c>
      <c r="H106" t="inlineStr">
        <is>
          <t>Mexico|XMEX.L|YTD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1 Month</t>
        </is>
      </c>
      <c r="E107" s="1" t="n">
        <v>46055</v>
      </c>
      <c r="F107" s="1" t="n">
        <v>46083</v>
      </c>
      <c r="G107" t="n">
        <v>5.744075829383899</v>
      </c>
      <c r="H107" t="inlineStr">
        <is>
          <t>Mexico|XMEX.L|1 Month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3 Months</t>
        </is>
      </c>
      <c r="E108" s="1" t="n">
        <v>45993</v>
      </c>
      <c r="F108" s="1" t="n">
        <v>46083</v>
      </c>
      <c r="G108" t="n">
        <v>15.60621761658032</v>
      </c>
      <c r="H108" t="inlineStr">
        <is>
          <t>Mexico|XMEX.L|3 Months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6 Months</t>
        </is>
      </c>
      <c r="E109" s="1" t="n">
        <v>45902</v>
      </c>
      <c r="F109" s="1" t="n">
        <v>46083</v>
      </c>
      <c r="G109" t="n">
        <v>31.46358708460994</v>
      </c>
      <c r="H109" t="inlineStr">
        <is>
          <t>Mexico|XMEX.L|6 Months</t>
        </is>
      </c>
    </row>
    <row r="110">
      <c r="A110" t="inlineStr">
        <is>
          <t>Mexico</t>
        </is>
      </c>
      <c r="B110" t="inlineStr">
        <is>
          <t>MEX</t>
        </is>
      </c>
      <c r="C110" t="inlineStr">
        <is>
          <t>XMEX.L</t>
        </is>
      </c>
      <c r="D110" t="inlineStr">
        <is>
          <t>1 Year</t>
        </is>
      </c>
      <c r="E110" s="1" t="n">
        <v>45716</v>
      </c>
      <c r="F110" s="1" t="n">
        <v>46083</v>
      </c>
      <c r="G110" t="n">
        <v>54.20767652595148</v>
      </c>
      <c r="H110" t="inlineStr">
        <is>
          <t>Mexico|XMEX.L|1 Year</t>
        </is>
      </c>
    </row>
    <row r="111">
      <c r="A111" t="inlineStr">
        <is>
          <t>Mexico</t>
        </is>
      </c>
      <c r="B111" t="inlineStr">
        <is>
          <t>MEX</t>
        </is>
      </c>
      <c r="C111" t="inlineStr">
        <is>
          <t>XMEX.L</t>
        </is>
      </c>
      <c r="D111" t="inlineStr">
        <is>
          <t>3 Years</t>
        </is>
      </c>
      <c r="E111" s="1" t="n">
        <v>44987</v>
      </c>
      <c r="F111" s="1" t="n">
        <v>46083</v>
      </c>
      <c r="G111" t="n">
        <v>34.21559191530316</v>
      </c>
      <c r="H111" t="inlineStr">
        <is>
          <t>Mexico|XMEX.L|3 Years</t>
        </is>
      </c>
    </row>
    <row r="112">
      <c r="A112" t="inlineStr">
        <is>
          <t>Mexico</t>
        </is>
      </c>
      <c r="B112" t="inlineStr">
        <is>
          <t>MEX</t>
        </is>
      </c>
      <c r="C112" t="inlineStr">
        <is>
          <t>XMEX.L</t>
        </is>
      </c>
      <c r="D112" t="inlineStr">
        <is>
          <t>5 Years</t>
        </is>
      </c>
      <c r="E112" s="1" t="n">
        <v>44257</v>
      </c>
      <c r="F112" s="1" t="n">
        <v>46083</v>
      </c>
      <c r="G112" t="n">
        <v>124.0520477666763</v>
      </c>
      <c r="H112" t="inlineStr">
        <is>
          <t>Mexico|XMEX.L|5 Years</t>
        </is>
      </c>
    </row>
    <row r="113">
      <c r="A113" t="inlineStr">
        <is>
          <t>Mexico</t>
        </is>
      </c>
      <c r="B113" t="inlineStr">
        <is>
          <t>MEX</t>
        </is>
      </c>
      <c r="C113" t="inlineStr">
        <is>
          <t>XMEX.L</t>
        </is>
      </c>
      <c r="D113" t="inlineStr">
        <is>
          <t>10 Years</t>
        </is>
      </c>
      <c r="E113" s="1" t="n">
        <v>42431</v>
      </c>
      <c r="F113" s="1" t="n">
        <v>46083</v>
      </c>
      <c r="G113" t="n">
        <v>109.8254666305929</v>
      </c>
      <c r="H113" t="inlineStr">
        <is>
          <t>Mexico|XMEX.L|10 Years</t>
        </is>
      </c>
    </row>
    <row r="114">
      <c r="A114" t="inlineStr">
        <is>
          <t>Mexico</t>
        </is>
      </c>
      <c r="B114" t="inlineStr">
        <is>
          <t>MEX</t>
        </is>
      </c>
      <c r="C114" t="inlineStr">
        <is>
          <t>XMEX.L</t>
        </is>
      </c>
      <c r="D114" t="inlineStr">
        <is>
          <t>MAX</t>
        </is>
      </c>
      <c r="E114" s="1" t="n">
        <v>40266</v>
      </c>
      <c r="F114" s="1" t="n">
        <v>46083</v>
      </c>
      <c r="G114" t="n">
        <v>52.37938729148242</v>
      </c>
      <c r="H114" t="inlineStr">
        <is>
          <t>Mexico|XMEX.L|MAX</t>
        </is>
      </c>
    </row>
    <row r="115">
      <c r="A115" t="inlineStr">
        <is>
          <t>Philippines</t>
        </is>
      </c>
      <c r="B115" t="inlineStr">
        <is>
          <t>PHL</t>
        </is>
      </c>
      <c r="C115" t="inlineStr">
        <is>
          <t>XPHG.L</t>
        </is>
      </c>
      <c r="D115" t="inlineStr">
        <is>
          <t>YTD</t>
        </is>
      </c>
      <c r="E115" s="1" t="n">
        <v>46022</v>
      </c>
      <c r="F115" s="1" t="n">
        <v>46083</v>
      </c>
      <c r="G115" t="n">
        <v>8.203991130820398</v>
      </c>
      <c r="H115" t="inlineStr">
        <is>
          <t>Philippines|XPHG.L|YTD</t>
        </is>
      </c>
    </row>
    <row r="116">
      <c r="A116" t="inlineStr">
        <is>
          <t>Philippines</t>
        </is>
      </c>
      <c r="B116" t="inlineStr">
        <is>
          <t>PHL</t>
        </is>
      </c>
      <c r="C116" t="inlineStr">
        <is>
          <t>XPHG.L</t>
        </is>
      </c>
      <c r="D116" t="inlineStr">
        <is>
          <t>1 Month</t>
        </is>
      </c>
      <c r="E116" s="1" t="n">
        <v>46055</v>
      </c>
      <c r="F116" s="1" t="n">
        <v>46083</v>
      </c>
      <c r="G116" t="n">
        <v>4.362701802867019</v>
      </c>
      <c r="H116" t="inlineStr">
        <is>
          <t>Philippines|XPHG.L|1 Month</t>
        </is>
      </c>
    </row>
    <row r="117">
      <c r="A117" t="inlineStr">
        <is>
          <t>Philippines</t>
        </is>
      </c>
      <c r="B117" t="inlineStr">
        <is>
          <t>PHL</t>
        </is>
      </c>
      <c r="C117" t="inlineStr">
        <is>
          <t>XPHG.L</t>
        </is>
      </c>
      <c r="D117" t="inlineStr">
        <is>
          <t>3 Months</t>
        </is>
      </c>
      <c r="E117" s="1" t="n">
        <v>45993</v>
      </c>
      <c r="F117" s="1" t="n">
        <v>46083</v>
      </c>
      <c r="G117" t="n">
        <v>7.111499882008965</v>
      </c>
      <c r="H117" t="inlineStr">
        <is>
          <t>Philippines|XPHG.L|3 Months</t>
        </is>
      </c>
    </row>
    <row r="118">
      <c r="A118" t="inlineStr">
        <is>
          <t>Philippines</t>
        </is>
      </c>
      <c r="B118" t="inlineStr">
        <is>
          <t>PHL</t>
        </is>
      </c>
      <c r="C118" t="inlineStr">
        <is>
          <t>XPHG.L</t>
        </is>
      </c>
      <c r="D118" t="inlineStr">
        <is>
          <t>6 Months</t>
        </is>
      </c>
      <c r="E118" s="1" t="n">
        <v>45902</v>
      </c>
      <c r="F118" s="1" t="n">
        <v>46083</v>
      </c>
      <c r="G118" t="n">
        <v>5.081827393127858</v>
      </c>
      <c r="H118" t="inlineStr">
        <is>
          <t>Philippines|XPHG.L|6 Months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1 Year</t>
        </is>
      </c>
      <c r="E119" s="1" t="n">
        <v>45716</v>
      </c>
      <c r="F119" s="1" t="n">
        <v>46083</v>
      </c>
      <c r="G119" t="n">
        <v>6.318082788671031</v>
      </c>
      <c r="H119" t="inlineStr">
        <is>
          <t>Philippines|XPHG.L|1 Year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3 Years</t>
        </is>
      </c>
      <c r="E120" s="1" t="n">
        <v>44987</v>
      </c>
      <c r="F120" s="1" t="n">
        <v>46083</v>
      </c>
      <c r="G120" t="n">
        <v>-5.682261891532969</v>
      </c>
      <c r="H120" t="inlineStr">
        <is>
          <t>Philippines|XPHG.L|3 Years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5 Years</t>
        </is>
      </c>
      <c r="E121" s="1" t="n">
        <v>44257</v>
      </c>
      <c r="F121" s="1" t="n">
        <v>46083</v>
      </c>
      <c r="G121" t="n">
        <v>-2.633681541407995</v>
      </c>
      <c r="H121" t="inlineStr">
        <is>
          <t>Philippines|XPHG.L|5 Years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10 Years</t>
        </is>
      </c>
      <c r="E122" s="1" t="n">
        <v>42431</v>
      </c>
      <c r="F122" s="1" t="n">
        <v>46083</v>
      </c>
      <c r="G122" t="n">
        <v>-6.727830922355283</v>
      </c>
      <c r="H122" t="inlineStr">
        <is>
          <t>Philippines|XPHG.L|10 Years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MAX</t>
        </is>
      </c>
      <c r="E123" s="1" t="n">
        <v>40731</v>
      </c>
      <c r="F123" s="1" t="n">
        <v>46083</v>
      </c>
      <c r="G123" t="n">
        <v>49.69325153374231</v>
      </c>
      <c r="H123" t="inlineStr">
        <is>
          <t>Philippines|XPHG.L|MAX</t>
        </is>
      </c>
    </row>
    <row r="124">
      <c r="A124" t="inlineStr">
        <is>
          <t>Poland</t>
        </is>
      </c>
      <c r="B124" t="inlineStr">
        <is>
          <t>POL</t>
        </is>
      </c>
      <c r="C124" t="inlineStr">
        <is>
          <t>SPOL.L</t>
        </is>
      </c>
      <c r="D124" t="inlineStr">
        <is>
          <t>YTD</t>
        </is>
      </c>
      <c r="E124" s="1" t="n">
        <v>46022</v>
      </c>
      <c r="F124" s="1" t="n">
        <v>46083</v>
      </c>
      <c r="G124" t="n">
        <v>5.455287039869483</v>
      </c>
      <c r="H124" t="inlineStr">
        <is>
          <t>Poland|SPOL.L|YTD</t>
        </is>
      </c>
    </row>
    <row r="125">
      <c r="A125" t="inlineStr">
        <is>
          <t>Poland</t>
        </is>
      </c>
      <c r="B125" t="inlineStr">
        <is>
          <t>POL</t>
        </is>
      </c>
      <c r="C125" t="inlineStr">
        <is>
          <t>SPOL.L</t>
        </is>
      </c>
      <c r="D125" t="inlineStr">
        <is>
          <t>1 Month</t>
        </is>
      </c>
      <c r="E125" s="1" t="n">
        <v>46055</v>
      </c>
      <c r="F125" s="1" t="n">
        <v>46083</v>
      </c>
      <c r="G125" t="n">
        <v>0.524883359253514</v>
      </c>
      <c r="H125" t="inlineStr">
        <is>
          <t>Poland|SPOL.L|1 Month</t>
        </is>
      </c>
    </row>
    <row r="126">
      <c r="A126" t="inlineStr">
        <is>
          <t>Poland</t>
        </is>
      </c>
      <c r="B126" t="inlineStr">
        <is>
          <t>POL</t>
        </is>
      </c>
      <c r="C126" t="inlineStr">
        <is>
          <t>SPOL.L</t>
        </is>
      </c>
      <c r="D126" t="inlineStr">
        <is>
          <t>3 Months</t>
        </is>
      </c>
      <c r="E126" s="1" t="n">
        <v>45993</v>
      </c>
      <c r="F126" s="1" t="n">
        <v>46083</v>
      </c>
      <c r="G126" t="n">
        <v>13.37426003069502</v>
      </c>
      <c r="H126" t="inlineStr">
        <is>
          <t>Poland|SPOL.L|3 Months</t>
        </is>
      </c>
    </row>
    <row r="127">
      <c r="A127" t="inlineStr">
        <is>
          <t>Poland</t>
        </is>
      </c>
      <c r="B127" t="inlineStr">
        <is>
          <t>POL</t>
        </is>
      </c>
      <c r="C127" t="inlineStr">
        <is>
          <t>SPOL.L</t>
        </is>
      </c>
      <c r="D127" t="inlineStr">
        <is>
          <t>6 Months</t>
        </is>
      </c>
      <c r="E127" s="1" t="n">
        <v>45902</v>
      </c>
      <c r="F127" s="1" t="n">
        <v>46083</v>
      </c>
      <c r="G127" t="n">
        <v>23.97506593143131</v>
      </c>
      <c r="H127" t="inlineStr">
        <is>
          <t>Poland|SPOL.L|6 Months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SPOL.L</t>
        </is>
      </c>
      <c r="D128" t="inlineStr">
        <is>
          <t>1 Year</t>
        </is>
      </c>
      <c r="E128" s="1" t="n">
        <v>45716</v>
      </c>
      <c r="F128" s="1" t="n">
        <v>46083</v>
      </c>
      <c r="G128" t="n">
        <v>40.62330220449586</v>
      </c>
      <c r="H128" t="inlineStr">
        <is>
          <t>Poland|SPOL.L|1 Year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SPOL.L</t>
        </is>
      </c>
      <c r="D129" t="inlineStr">
        <is>
          <t>3 Years</t>
        </is>
      </c>
      <c r="E129" s="1" t="n">
        <v>44987</v>
      </c>
      <c r="F129" s="1" t="n">
        <v>46083</v>
      </c>
      <c r="G129" t="n">
        <v>127.1768786102368</v>
      </c>
      <c r="H129" t="inlineStr">
        <is>
          <t>Poland|SPOL.L|3 Years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SPOL.L</t>
        </is>
      </c>
      <c r="D130" t="inlineStr">
        <is>
          <t>5 Years</t>
        </is>
      </c>
      <c r="E130" s="1" t="n">
        <v>44257</v>
      </c>
      <c r="F130" s="1" t="n">
        <v>46083</v>
      </c>
      <c r="G130" t="n">
        <v>114.066889838976</v>
      </c>
      <c r="H130" t="inlineStr">
        <is>
          <t>Poland|SPOL.L|5 Years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SPOL.L</t>
        </is>
      </c>
      <c r="D131" t="inlineStr">
        <is>
          <t>10 Years</t>
        </is>
      </c>
      <c r="E131" s="1" t="n">
        <v>42431</v>
      </c>
      <c r="F131" s="1" t="n">
        <v>46083</v>
      </c>
      <c r="G131" t="n">
        <v>139.7866913980988</v>
      </c>
      <c r="H131" t="inlineStr">
        <is>
          <t>Poland|SPOL.L|10 Years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SPOL.L</t>
        </is>
      </c>
      <c r="D132" t="inlineStr">
        <is>
          <t>MAX</t>
        </is>
      </c>
      <c r="E132" s="1" t="n">
        <v>40567</v>
      </c>
      <c r="F132" s="1" t="n">
        <v>46083</v>
      </c>
      <c r="G132" t="n">
        <v>65.10217113665388</v>
      </c>
      <c r="H132" t="inlineStr">
        <is>
          <t>Poland|SPOL.L|MAX</t>
        </is>
      </c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SRSA.L</t>
        </is>
      </c>
      <c r="D133" t="inlineStr">
        <is>
          <t>YTD</t>
        </is>
      </c>
      <c r="E133" s="1" t="n">
        <v>46022</v>
      </c>
      <c r="F133" s="1" t="n">
        <v>46083</v>
      </c>
      <c r="G133" t="n">
        <v>15.98356103521048</v>
      </c>
      <c r="H133" t="inlineStr">
        <is>
          <t>South Africa|SRSA.L|YTD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SRSA.L</t>
        </is>
      </c>
      <c r="D134" t="inlineStr">
        <is>
          <t>1 Month</t>
        </is>
      </c>
      <c r="E134" s="1" t="n">
        <v>46055</v>
      </c>
      <c r="F134" s="1" t="n">
        <v>46083</v>
      </c>
      <c r="G134" t="n">
        <v>11.75085616438356</v>
      </c>
      <c r="H134" t="inlineStr">
        <is>
          <t>South Africa|SRSA.L|1 Month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SRSA.L</t>
        </is>
      </c>
      <c r="D135" t="inlineStr">
        <is>
          <t>3 Months</t>
        </is>
      </c>
      <c r="E135" s="1" t="n">
        <v>45993</v>
      </c>
      <c r="F135" s="1" t="n">
        <v>46083</v>
      </c>
      <c r="G135" t="n">
        <v>25.26391554702496</v>
      </c>
      <c r="H135" t="inlineStr">
        <is>
          <t>South Africa|SRSA.L|3 Months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SRSA.L</t>
        </is>
      </c>
      <c r="D136" t="inlineStr">
        <is>
          <t>6 Months</t>
        </is>
      </c>
      <c r="E136" s="1" t="n">
        <v>45902</v>
      </c>
      <c r="F136" s="1" t="n">
        <v>46083</v>
      </c>
      <c r="G136" t="n">
        <v>47.94559365259281</v>
      </c>
      <c r="H136" t="inlineStr">
        <is>
          <t>South Africa|SRSA.L|6 Months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t="inlineStr">
        <is>
          <t>1 Year</t>
        </is>
      </c>
      <c r="E137" s="1" t="n">
        <v>45716</v>
      </c>
      <c r="F137" s="1" t="n">
        <v>46083</v>
      </c>
      <c r="G137" t="n">
        <v>82.45675345098726</v>
      </c>
      <c r="H137" t="inlineStr">
        <is>
          <t>South Africa|SRSA.L|1 Year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t="inlineStr">
        <is>
          <t>3 Years</t>
        </is>
      </c>
      <c r="E138" s="1" t="n">
        <v>44987</v>
      </c>
      <c r="F138" s="1" t="n">
        <v>46083</v>
      </c>
      <c r="G138" t="n">
        <v>104.0648817666602</v>
      </c>
      <c r="H138" t="inlineStr">
        <is>
          <t>South Africa|SRSA.L|3 Years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t="inlineStr">
        <is>
          <t>5 Years</t>
        </is>
      </c>
      <c r="E139" s="1" t="n">
        <v>44257</v>
      </c>
      <c r="F139" s="1" t="n">
        <v>46083</v>
      </c>
      <c r="G139" t="n">
        <v>107.9665405297749</v>
      </c>
      <c r="H139" t="inlineStr">
        <is>
          <t>South Africa|SRSA.L|5 Years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t="inlineStr">
        <is>
          <t>10 Years</t>
        </is>
      </c>
      <c r="E140" s="1" t="n">
        <v>42431</v>
      </c>
      <c r="F140" s="1" t="n">
        <v>46083</v>
      </c>
      <c r="G140" t="n">
        <v>188.174417000138</v>
      </c>
      <c r="H140" t="inlineStr">
        <is>
          <t>South Africa|SRSA.L|10 Years</t>
        </is>
      </c>
    </row>
    <row r="141">
      <c r="A141" t="inlineStr">
        <is>
          <t>South Africa</t>
        </is>
      </c>
      <c r="B141" t="inlineStr">
        <is>
          <t>ZAF</t>
        </is>
      </c>
      <c r="C141" t="inlineStr">
        <is>
          <t>SRSA.L</t>
        </is>
      </c>
      <c r="D141" t="inlineStr">
        <is>
          <t>MAX</t>
        </is>
      </c>
      <c r="E141" s="1" t="n">
        <v>40203</v>
      </c>
      <c r="F141" s="1" t="n">
        <v>46083</v>
      </c>
      <c r="G141" t="n">
        <v>247.2587136536979</v>
      </c>
      <c r="H141" t="inlineStr">
        <is>
          <t>South Africa|SRSA.L|MAX</t>
        </is>
      </c>
    </row>
    <row r="142">
      <c r="A142" t="inlineStr">
        <is>
          <t>South Korea</t>
        </is>
      </c>
      <c r="B142" t="inlineStr">
        <is>
          <t>KOR</t>
        </is>
      </c>
      <c r="C142" t="inlineStr">
        <is>
          <t>FLRK.L</t>
        </is>
      </c>
      <c r="D142" t="inlineStr">
        <is>
          <t>YTD</t>
        </is>
      </c>
      <c r="E142" s="1" t="n">
        <v>46022</v>
      </c>
      <c r="F142" s="1" t="n">
        <v>46083</v>
      </c>
      <c r="G142" t="n">
        <v>49.57275003415275</v>
      </c>
      <c r="H142" t="inlineStr">
        <is>
          <t>South Korea|FLRK.L|YTD</t>
        </is>
      </c>
    </row>
    <row r="143">
      <c r="A143" t="inlineStr">
        <is>
          <t>South Korea</t>
        </is>
      </c>
      <c r="B143" t="inlineStr">
        <is>
          <t>KOR</t>
        </is>
      </c>
      <c r="C143" t="inlineStr">
        <is>
          <t>FLRK.L</t>
        </is>
      </c>
      <c r="D143" t="inlineStr">
        <is>
          <t>1 Month</t>
        </is>
      </c>
      <c r="E143" s="1" t="n">
        <v>46055</v>
      </c>
      <c r="F143" s="1" t="n">
        <v>46083</v>
      </c>
      <c r="G143" t="n">
        <v>23.29688329777841</v>
      </c>
      <c r="H143" t="inlineStr">
        <is>
          <t>South Korea|FLRK.L|1 Month</t>
        </is>
      </c>
    </row>
    <row r="144">
      <c r="A144" t="inlineStr">
        <is>
          <t>South Korea</t>
        </is>
      </c>
      <c r="B144" t="inlineStr">
        <is>
          <t>KOR</t>
        </is>
      </c>
      <c r="C144" t="inlineStr">
        <is>
          <t>FLRK.L</t>
        </is>
      </c>
      <c r="D144" t="inlineStr">
        <is>
          <t>3 Months</t>
        </is>
      </c>
      <c r="E144" s="1" t="n">
        <v>45993</v>
      </c>
      <c r="F144" s="1" t="n">
        <v>46083</v>
      </c>
      <c r="G144" t="n">
        <v>61.07677889278313</v>
      </c>
      <c r="H144" t="inlineStr">
        <is>
          <t>South Korea|FLRK.L|3 Months</t>
        </is>
      </c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FLRK.L</t>
        </is>
      </c>
      <c r="D145" t="inlineStr">
        <is>
          <t>6 Months</t>
        </is>
      </c>
      <c r="E145" s="1" t="n">
        <v>45902</v>
      </c>
      <c r="F145" s="1" t="n">
        <v>46083</v>
      </c>
      <c r="G145" t="n">
        <v>108.534842245926</v>
      </c>
      <c r="H145" t="inlineStr">
        <is>
          <t>South Korea|FLRK.L|6 Months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FLRK.L</t>
        </is>
      </c>
      <c r="D146" t="inlineStr">
        <is>
          <t>1 Year</t>
        </is>
      </c>
      <c r="E146" s="1" t="n">
        <v>45716</v>
      </c>
      <c r="F146" s="1" t="n">
        <v>46083</v>
      </c>
      <c r="G146" t="n">
        <v>157.2776157392647</v>
      </c>
      <c r="H146" t="inlineStr">
        <is>
          <t>South Korea|FLRK.L|1 Year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FLRK.L</t>
        </is>
      </c>
      <c r="D147" t="inlineStr">
        <is>
          <t>3 Years</t>
        </is>
      </c>
      <c r="E147" s="1" t="n">
        <v>44987</v>
      </c>
      <c r="F147" s="1" t="n">
        <v>46083</v>
      </c>
      <c r="G147" t="n">
        <v>135.8097865487648</v>
      </c>
      <c r="H147" t="inlineStr">
        <is>
          <t>South Korea|FLRK.L|3 Years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FLRK.L</t>
        </is>
      </c>
      <c r="D148" t="inlineStr">
        <is>
          <t>5 Years</t>
        </is>
      </c>
      <c r="E148" s="1" t="n">
        <v>44257</v>
      </c>
      <c r="F148" s="1" t="n">
        <v>46083</v>
      </c>
      <c r="G148" t="n">
        <v>86.67727394359299</v>
      </c>
      <c r="H148" t="inlineStr">
        <is>
          <t>South Korea|FLRK.L|5 Years</t>
        </is>
      </c>
    </row>
    <row r="149">
      <c r="A149" t="inlineStr">
        <is>
          <t>South Korea</t>
        </is>
      </c>
      <c r="B149" t="inlineStr">
        <is>
          <t>KOR</t>
        </is>
      </c>
      <c r="C149" t="inlineStr">
        <is>
          <t>FLRK.L</t>
        </is>
      </c>
      <c r="D149" t="inlineStr">
        <is>
          <t>MAX</t>
        </is>
      </c>
      <c r="E149" s="1" t="n">
        <v>43621</v>
      </c>
      <c r="F149" s="1" t="n">
        <v>46083</v>
      </c>
      <c r="G149" t="n">
        <v>128.3489045669116</v>
      </c>
      <c r="H149" t="inlineStr">
        <is>
          <t>South Korea|FLRK.L|MAX</t>
        </is>
      </c>
    </row>
    <row r="150">
      <c r="A150" t="inlineStr">
        <is>
          <t>Spain</t>
        </is>
      </c>
      <c r="B150" t="inlineStr">
        <is>
          <t>ESP</t>
        </is>
      </c>
      <c r="C150" t="inlineStr">
        <is>
          <t>CS1.L</t>
        </is>
      </c>
      <c r="D150" t="inlineStr">
        <is>
          <t>YTD</t>
        </is>
      </c>
      <c r="E150" s="1" t="n">
        <v>46022</v>
      </c>
      <c r="F150" s="1" t="n">
        <v>46083</v>
      </c>
      <c r="G150" t="n">
        <v>3.643142128327548</v>
      </c>
      <c r="H150" t="inlineStr">
        <is>
          <t>Spain|CS1.L|YTD</t>
        </is>
      </c>
    </row>
    <row r="151">
      <c r="A151" t="inlineStr">
        <is>
          <t>Spain</t>
        </is>
      </c>
      <c r="B151" t="inlineStr">
        <is>
          <t>ESP</t>
        </is>
      </c>
      <c r="C151" t="inlineStr">
        <is>
          <t>CS1.L</t>
        </is>
      </c>
      <c r="D151" t="inlineStr">
        <is>
          <t>1 Month</t>
        </is>
      </c>
      <c r="E151" s="1" t="n">
        <v>46055</v>
      </c>
      <c r="F151" s="1" t="n">
        <v>46083</v>
      </c>
      <c r="G151" t="n">
        <v>-0.2831791580139686</v>
      </c>
      <c r="H151" t="inlineStr">
        <is>
          <t>Spain|CS1.L|1 Month</t>
        </is>
      </c>
    </row>
    <row r="152">
      <c r="A152" t="inlineStr">
        <is>
          <t>Spain</t>
        </is>
      </c>
      <c r="B152" t="inlineStr">
        <is>
          <t>ESP</t>
        </is>
      </c>
      <c r="C152" t="inlineStr">
        <is>
          <t>CS1.L</t>
        </is>
      </c>
      <c r="D152" t="inlineStr">
        <is>
          <t>3 Months</t>
        </is>
      </c>
      <c r="E152" s="1" t="n">
        <v>45993</v>
      </c>
      <c r="F152" s="1" t="n">
        <v>46083</v>
      </c>
      <c r="G152" t="n">
        <v>8.259889321582282</v>
      </c>
      <c r="H152" t="inlineStr">
        <is>
          <t>Spain|CS1.L|3 Months</t>
        </is>
      </c>
    </row>
    <row r="153">
      <c r="A153" t="inlineStr">
        <is>
          <t>Spain</t>
        </is>
      </c>
      <c r="B153" t="inlineStr">
        <is>
          <t>ESP</t>
        </is>
      </c>
      <c r="C153" t="inlineStr">
        <is>
          <t>CS1.L</t>
        </is>
      </c>
      <c r="D153" t="inlineStr">
        <is>
          <t>6 Months</t>
        </is>
      </c>
      <c r="E153" s="1" t="n">
        <v>45902</v>
      </c>
      <c r="F153" s="1" t="n">
        <v>46083</v>
      </c>
      <c r="G153" t="n">
        <v>23.26721120186697</v>
      </c>
      <c r="H153" t="inlineStr">
        <is>
          <t>Spain|CS1.L|6 Months</t>
        </is>
      </c>
    </row>
    <row r="154">
      <c r="A154" t="inlineStr">
        <is>
          <t>Spain</t>
        </is>
      </c>
      <c r="B154" t="inlineStr">
        <is>
          <t>ESP</t>
        </is>
      </c>
      <c r="C154" t="inlineStr">
        <is>
          <t>CS1.L</t>
        </is>
      </c>
      <c r="D154" t="inlineStr">
        <is>
          <t>1 Year</t>
        </is>
      </c>
      <c r="E154" s="1" t="n">
        <v>45716</v>
      </c>
      <c r="F154" s="1" t="n">
        <v>46083</v>
      </c>
      <c r="G154" t="n">
        <v>46.69505647102388</v>
      </c>
      <c r="H154" t="inlineStr">
        <is>
          <t>Spain|CS1.L|1 Year</t>
        </is>
      </c>
    </row>
    <row r="155">
      <c r="A155" t="inlineStr">
        <is>
          <t>Spain</t>
        </is>
      </c>
      <c r="B155" t="inlineStr">
        <is>
          <t>ESP</t>
        </is>
      </c>
      <c r="C155" t="inlineStr">
        <is>
          <t>CS1.L</t>
        </is>
      </c>
      <c r="D155" t="inlineStr">
        <is>
          <t>MAX</t>
        </is>
      </c>
      <c r="E155" s="1" t="n">
        <v>45391</v>
      </c>
      <c r="F155" s="1" t="n">
        <v>46083</v>
      </c>
      <c r="G155" t="n">
        <v>80.64295485636113</v>
      </c>
      <c r="H155" t="inlineStr">
        <is>
          <t>Spain|CS1.L|MAX</t>
        </is>
      </c>
    </row>
    <row r="156">
      <c r="A156" t="inlineStr">
        <is>
          <t>Sweden</t>
        </is>
      </c>
      <c r="B156" t="inlineStr">
        <is>
          <t>SWE</t>
        </is>
      </c>
      <c r="C156" t="inlineStr">
        <is>
          <t>OMXS.L</t>
        </is>
      </c>
      <c r="D156" t="inlineStr">
        <is>
          <t>YTD</t>
        </is>
      </c>
      <c r="E156" s="1" t="n">
        <v>46022</v>
      </c>
      <c r="F156" s="1" t="n">
        <v>46083</v>
      </c>
      <c r="G156" t="n">
        <v>8.815958815958824</v>
      </c>
      <c r="H156" t="inlineStr">
        <is>
          <t>Sweden|OMXS.L|YTD</t>
        </is>
      </c>
    </row>
    <row r="157">
      <c r="A157" t="inlineStr">
        <is>
          <t>Sweden</t>
        </is>
      </c>
      <c r="B157" t="inlineStr">
        <is>
          <t>SWE</t>
        </is>
      </c>
      <c r="C157" t="inlineStr">
        <is>
          <t>OMXS.L</t>
        </is>
      </c>
      <c r="D157" t="inlineStr">
        <is>
          <t>1 Month</t>
        </is>
      </c>
      <c r="E157" s="1" t="n">
        <v>46055</v>
      </c>
      <c r="F157" s="1" t="n">
        <v>46083</v>
      </c>
      <c r="G157" t="n">
        <v>2.500378845279605</v>
      </c>
      <c r="H157" t="inlineStr">
        <is>
          <t>Sweden|OMXS.L|1 Month</t>
        </is>
      </c>
    </row>
    <row r="158">
      <c r="A158" t="inlineStr">
        <is>
          <t>Sweden</t>
        </is>
      </c>
      <c r="B158" t="inlineStr">
        <is>
          <t>SWE</t>
        </is>
      </c>
      <c r="C158" t="inlineStr">
        <is>
          <t>OMXS.L</t>
        </is>
      </c>
      <c r="D158" t="inlineStr">
        <is>
          <t>3 Months</t>
        </is>
      </c>
      <c r="E158" s="1" t="n">
        <v>45993</v>
      </c>
      <c r="F158" s="1" t="n">
        <v>46083</v>
      </c>
      <c r="G158" t="n">
        <v>12.60196437489596</v>
      </c>
      <c r="H158" t="inlineStr">
        <is>
          <t>Sweden|OMXS.L|3 Months</t>
        </is>
      </c>
    </row>
    <row r="159">
      <c r="A159" t="inlineStr">
        <is>
          <t>Sweden</t>
        </is>
      </c>
      <c r="B159" t="inlineStr">
        <is>
          <t>SWE</t>
        </is>
      </c>
      <c r="C159" t="inlineStr">
        <is>
          <t>OMXS.L</t>
        </is>
      </c>
      <c r="D159" t="inlineStr">
        <is>
          <t>6 Months</t>
        </is>
      </c>
      <c r="E159" s="1" t="n">
        <v>45902</v>
      </c>
      <c r="F159" s="1" t="n">
        <v>46083</v>
      </c>
      <c r="G159" t="n">
        <v>22.24832821254292</v>
      </c>
      <c r="H159" t="inlineStr">
        <is>
          <t>Sweden|OMXS.L|6 Months</t>
        </is>
      </c>
    </row>
    <row r="160">
      <c r="A160" t="inlineStr">
        <is>
          <t>Sweden</t>
        </is>
      </c>
      <c r="B160" t="inlineStr">
        <is>
          <t>SWE</t>
        </is>
      </c>
      <c r="C160" t="inlineStr">
        <is>
          <t>OMXS.L</t>
        </is>
      </c>
      <c r="D160" t="inlineStr">
        <is>
          <t>1 Year</t>
        </is>
      </c>
      <c r="E160" s="1" t="n">
        <v>45716</v>
      </c>
      <c r="F160" s="1" t="n">
        <v>46083</v>
      </c>
      <c r="G160" t="n">
        <v>23.67891753519839</v>
      </c>
      <c r="H160" t="inlineStr">
        <is>
          <t>Sweden|OMXS.L|1 Year</t>
        </is>
      </c>
    </row>
    <row r="161">
      <c r="A161" t="inlineStr">
        <is>
          <t>Sweden</t>
        </is>
      </c>
      <c r="B161" t="inlineStr">
        <is>
          <t>SWE</t>
        </is>
      </c>
      <c r="C161" t="inlineStr">
        <is>
          <t>OMXS.L</t>
        </is>
      </c>
      <c r="D161" t="inlineStr">
        <is>
          <t>3 Years</t>
        </is>
      </c>
      <c r="E161" s="1" t="n">
        <v>44987</v>
      </c>
      <c r="F161" s="1" t="n">
        <v>46083</v>
      </c>
      <c r="G161" t="n">
        <v>47.39594682937458</v>
      </c>
      <c r="H161" t="inlineStr">
        <is>
          <t>Sweden|OMXS.L|3 Years</t>
        </is>
      </c>
    </row>
    <row r="162">
      <c r="A162" t="inlineStr">
        <is>
          <t>Sweden</t>
        </is>
      </c>
      <c r="B162" t="inlineStr">
        <is>
          <t>SWE</t>
        </is>
      </c>
      <c r="C162" t="inlineStr">
        <is>
          <t>OMXS.L</t>
        </is>
      </c>
      <c r="D162" t="inlineStr">
        <is>
          <t>5 Years</t>
        </is>
      </c>
      <c r="E162" s="1" t="n">
        <v>44257</v>
      </c>
      <c r="F162" s="1" t="n">
        <v>46083</v>
      </c>
      <c r="G162" t="n">
        <v>48.00875273522976</v>
      </c>
      <c r="H162" t="inlineStr">
        <is>
          <t>Sweden|OMXS.L|5 Years</t>
        </is>
      </c>
    </row>
    <row r="163">
      <c r="A163" t="inlineStr">
        <is>
          <t>Sweden</t>
        </is>
      </c>
      <c r="B163" t="inlineStr">
        <is>
          <t>SWE</t>
        </is>
      </c>
      <c r="C163" t="inlineStr">
        <is>
          <t>OMXS.L</t>
        </is>
      </c>
      <c r="D163" t="inlineStr">
        <is>
          <t>MAX</t>
        </is>
      </c>
      <c r="E163" s="1" t="n">
        <v>42724</v>
      </c>
      <c r="F163" s="1" t="n">
        <v>46083</v>
      </c>
      <c r="G163" t="n">
        <v>145.3569312317474</v>
      </c>
      <c r="H163" t="inlineStr">
        <is>
          <t>Sweden|OMXS.L|MAX</t>
        </is>
      </c>
    </row>
    <row r="164">
      <c r="A164" t="inlineStr">
        <is>
          <t>Taiwan</t>
        </is>
      </c>
      <c r="B164" t="inlineStr">
        <is>
          <t>TWN</t>
        </is>
      </c>
      <c r="C164" t="inlineStr">
        <is>
          <t>FRXT.L</t>
        </is>
      </c>
      <c r="D164" t="inlineStr">
        <is>
          <t>YTD</t>
        </is>
      </c>
      <c r="E164" s="1" t="n">
        <v>46022</v>
      </c>
      <c r="F164" s="1" t="n">
        <v>46083</v>
      </c>
      <c r="G164" t="n">
        <v>20.2517633801619</v>
      </c>
      <c r="H164" t="inlineStr">
        <is>
          <t>Taiwan|FRXT.L|YTD</t>
        </is>
      </c>
    </row>
    <row r="165">
      <c r="A165" t="inlineStr">
        <is>
          <t>Taiwan</t>
        </is>
      </c>
      <c r="B165" t="inlineStr">
        <is>
          <t>TWN</t>
        </is>
      </c>
      <c r="C165" t="inlineStr">
        <is>
          <t>FRXT.L</t>
        </is>
      </c>
      <c r="D165" t="inlineStr">
        <is>
          <t>1 Month</t>
        </is>
      </c>
      <c r="E165" s="1" t="n">
        <v>46055</v>
      </c>
      <c r="F165" s="1" t="n">
        <v>46083</v>
      </c>
      <c r="G165" t="n">
        <v>11.0550520178875</v>
      </c>
      <c r="H165" t="inlineStr">
        <is>
          <t>Taiwan|FRXT.L|1 Month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FRXT.L</t>
        </is>
      </c>
      <c r="D166" t="inlineStr">
        <is>
          <t>3 Months</t>
        </is>
      </c>
      <c r="E166" s="1" t="n">
        <v>45993</v>
      </c>
      <c r="F166" s="1" t="n">
        <v>46083</v>
      </c>
      <c r="G166" t="n">
        <v>23.27733180609213</v>
      </c>
      <c r="H166" t="inlineStr">
        <is>
          <t>Taiwan|FRXT.L|3 Months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FRXT.L</t>
        </is>
      </c>
      <c r="D167" t="inlineStr">
        <is>
          <t>6 Months</t>
        </is>
      </c>
      <c r="E167" s="1" t="n">
        <v>45902</v>
      </c>
      <c r="F167" s="1" t="n">
        <v>46083</v>
      </c>
      <c r="G167" t="n">
        <v>42.94183731985824</v>
      </c>
      <c r="H167" t="inlineStr">
        <is>
          <t>Taiwan|FRXT.L|6 Months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FRXT.L</t>
        </is>
      </c>
      <c r="D168" t="inlineStr">
        <is>
          <t>1 Year</t>
        </is>
      </c>
      <c r="E168" s="1" t="n">
        <v>45716</v>
      </c>
      <c r="F168" s="1" t="n">
        <v>46083</v>
      </c>
      <c r="G168" t="n">
        <v>56.04068738856491</v>
      </c>
      <c r="H168" t="inlineStr">
        <is>
          <t>Taiwan|FRXT.L|1 Year</t>
        </is>
      </c>
    </row>
    <row r="169">
      <c r="A169" t="inlineStr">
        <is>
          <t>Taiwan</t>
        </is>
      </c>
      <c r="B169" t="inlineStr">
        <is>
          <t>TWN</t>
        </is>
      </c>
      <c r="C169" t="inlineStr">
        <is>
          <t>FRXT.L</t>
        </is>
      </c>
      <c r="D169" t="inlineStr">
        <is>
          <t>3 Years</t>
        </is>
      </c>
      <c r="E169" s="1" t="n">
        <v>44987</v>
      </c>
      <c r="F169" s="1" t="n">
        <v>46083</v>
      </c>
      <c r="G169" t="n">
        <v>107.965924908401</v>
      </c>
      <c r="H169" t="inlineStr">
        <is>
          <t>Taiwan|FRXT.L|3 Years</t>
        </is>
      </c>
    </row>
    <row r="170">
      <c r="A170" t="inlineStr">
        <is>
          <t>Taiwan</t>
        </is>
      </c>
      <c r="B170" t="inlineStr">
        <is>
          <t>TWN</t>
        </is>
      </c>
      <c r="C170" t="inlineStr">
        <is>
          <t>FRXT.L</t>
        </is>
      </c>
      <c r="D170" t="inlineStr">
        <is>
          <t>MAX</t>
        </is>
      </c>
      <c r="E170" s="1" t="n">
        <v>44642</v>
      </c>
      <c r="F170" s="1" t="n">
        <v>46083</v>
      </c>
      <c r="G170" t="n">
        <v>48.85338889342898</v>
      </c>
      <c r="H170" t="inlineStr">
        <is>
          <t>Taiwan|FRXT.L|MAX</t>
        </is>
      </c>
    </row>
    <row r="171">
      <c r="A171" t="inlineStr">
        <is>
          <t>Taiwan</t>
        </is>
      </c>
      <c r="B171" t="inlineStr">
        <is>
          <t>TWN</t>
        </is>
      </c>
      <c r="C171" t="inlineStr">
        <is>
          <t>XMTW.L</t>
        </is>
      </c>
      <c r="D171" t="inlineStr">
        <is>
          <t>YTD</t>
        </is>
      </c>
      <c r="E171" s="1" t="n">
        <v>46022</v>
      </c>
      <c r="F171" s="1" t="n">
        <v>46083</v>
      </c>
      <c r="G171" t="n">
        <v>20.3606143800549</v>
      </c>
      <c r="H171" t="inlineStr">
        <is>
          <t>Taiwan|XMTW.L|YTD</t>
        </is>
      </c>
    </row>
    <row r="172">
      <c r="A172" t="inlineStr">
        <is>
          <t>Taiwan</t>
        </is>
      </c>
      <c r="B172" t="inlineStr">
        <is>
          <t>TWN</t>
        </is>
      </c>
      <c r="C172" t="inlineStr">
        <is>
          <t>XMTW.L</t>
        </is>
      </c>
      <c r="D172" t="inlineStr">
        <is>
          <t>1 Month</t>
        </is>
      </c>
      <c r="E172" s="1" t="n">
        <v>46055</v>
      </c>
      <c r="F172" s="1" t="n">
        <v>46083</v>
      </c>
      <c r="G172" t="n">
        <v>12.27936595833046</v>
      </c>
      <c r="H172" t="inlineStr">
        <is>
          <t>Taiwan|XMTW.L|1 Month</t>
        </is>
      </c>
    </row>
    <row r="173">
      <c r="A173" t="inlineStr">
        <is>
          <t>Taiwan</t>
        </is>
      </c>
      <c r="B173" t="inlineStr">
        <is>
          <t>TWN</t>
        </is>
      </c>
      <c r="C173" t="inlineStr">
        <is>
          <t>XMTW.L</t>
        </is>
      </c>
      <c r="D173" t="inlineStr">
        <is>
          <t>3 Months</t>
        </is>
      </c>
      <c r="E173" s="1" t="n">
        <v>45993</v>
      </c>
      <c r="F173" s="1" t="n">
        <v>46083</v>
      </c>
      <c r="G173" t="n">
        <v>23.51328713926748</v>
      </c>
      <c r="H173" t="inlineStr">
        <is>
          <t>Taiwan|XMTW.L|3 Months</t>
        </is>
      </c>
    </row>
    <row r="174">
      <c r="A174" t="inlineStr">
        <is>
          <t>Taiwan</t>
        </is>
      </c>
      <c r="B174" t="inlineStr">
        <is>
          <t>TWN</t>
        </is>
      </c>
      <c r="C174" t="inlineStr">
        <is>
          <t>XMTW.L</t>
        </is>
      </c>
      <c r="D174" t="inlineStr">
        <is>
          <t>6 Months</t>
        </is>
      </c>
      <c r="E174" s="1" t="n">
        <v>45902</v>
      </c>
      <c r="F174" s="1" t="n">
        <v>46083</v>
      </c>
      <c r="G174" t="n">
        <v>41.77956472336335</v>
      </c>
      <c r="H174" t="inlineStr">
        <is>
          <t>Taiwan|XMTW.L|6 Months</t>
        </is>
      </c>
    </row>
    <row r="175">
      <c r="A175" t="inlineStr">
        <is>
          <t>Taiwan</t>
        </is>
      </c>
      <c r="B175" t="inlineStr">
        <is>
          <t>TWN</t>
        </is>
      </c>
      <c r="C175" t="inlineStr">
        <is>
          <t>XMTW.L</t>
        </is>
      </c>
      <c r="D175" t="inlineStr">
        <is>
          <t>1 Year</t>
        </is>
      </c>
      <c r="E175" s="1" t="n">
        <v>45716</v>
      </c>
      <c r="F175" s="1" t="n">
        <v>46083</v>
      </c>
      <c r="G175" t="n">
        <v>55.26945534603236</v>
      </c>
      <c r="H175" t="inlineStr">
        <is>
          <t>Taiwan|XMTW.L|1 Year</t>
        </is>
      </c>
    </row>
    <row r="176">
      <c r="A176" t="inlineStr">
        <is>
          <t>Taiwan</t>
        </is>
      </c>
      <c r="B176" t="inlineStr">
        <is>
          <t>TWN</t>
        </is>
      </c>
      <c r="C176" t="inlineStr">
        <is>
          <t>XMTW.L</t>
        </is>
      </c>
      <c r="D176" t="inlineStr">
        <is>
          <t>3 Years</t>
        </is>
      </c>
      <c r="E176" s="1" t="n">
        <v>44987</v>
      </c>
      <c r="F176" s="1" t="n">
        <v>46083</v>
      </c>
      <c r="G176" t="n">
        <v>105.0954608673663</v>
      </c>
      <c r="H176" t="inlineStr">
        <is>
          <t>Taiwan|XMTW.L|3 Years</t>
        </is>
      </c>
    </row>
    <row r="177">
      <c r="A177" t="inlineStr">
        <is>
          <t>Taiwan</t>
        </is>
      </c>
      <c r="B177" t="inlineStr">
        <is>
          <t>TWN</t>
        </is>
      </c>
      <c r="C177" t="inlineStr">
        <is>
          <t>XMTW.L</t>
        </is>
      </c>
      <c r="D177" t="inlineStr">
        <is>
          <t>5 Years</t>
        </is>
      </c>
      <c r="E177" s="1" t="n">
        <v>44257</v>
      </c>
      <c r="F177" s="1" t="n">
        <v>46083</v>
      </c>
      <c r="G177" t="n">
        <v>114.0538400633413</v>
      </c>
      <c r="H177" t="inlineStr">
        <is>
          <t>Taiwan|XMTW.L|5 Years</t>
        </is>
      </c>
    </row>
    <row r="178">
      <c r="A178" t="inlineStr">
        <is>
          <t>Taiwan</t>
        </is>
      </c>
      <c r="B178" t="inlineStr">
        <is>
          <t>TWN</t>
        </is>
      </c>
      <c r="C178" t="inlineStr">
        <is>
          <t>XMTW.L</t>
        </is>
      </c>
      <c r="D178" t="inlineStr">
        <is>
          <t>10 Years</t>
        </is>
      </c>
      <c r="E178" s="1" t="n">
        <v>42431</v>
      </c>
      <c r="F178" s="1" t="n">
        <v>46083</v>
      </c>
      <c r="G178" t="n">
        <v>489.1047757399673</v>
      </c>
      <c r="H178" t="inlineStr">
        <is>
          <t>Taiwan|XMTW.L|10 Years</t>
        </is>
      </c>
    </row>
    <row r="179">
      <c r="A179" t="inlineStr">
        <is>
          <t>Taiwan</t>
        </is>
      </c>
      <c r="B179" t="inlineStr">
        <is>
          <t>TWN</t>
        </is>
      </c>
      <c r="C179" t="inlineStr">
        <is>
          <t>XMTW.L</t>
        </is>
      </c>
      <c r="D179" t="inlineStr">
        <is>
          <t>MAX</t>
        </is>
      </c>
      <c r="E179" s="1" t="n">
        <v>39818</v>
      </c>
      <c r="F179" s="1" t="n">
        <v>46083</v>
      </c>
      <c r="G179" t="n">
        <v>1126.077097505669</v>
      </c>
      <c r="H179" t="inlineStr">
        <is>
          <t>Taiwan|XMTW.L|MAX</t>
        </is>
      </c>
    </row>
    <row r="180">
      <c r="A180" t="inlineStr">
        <is>
          <t>Thailand</t>
        </is>
      </c>
      <c r="B180" t="inlineStr">
        <is>
          <t>THA</t>
        </is>
      </c>
      <c r="C180" t="inlineStr">
        <is>
          <t>XCX4.L</t>
        </is>
      </c>
      <c r="D180" t="inlineStr">
        <is>
          <t>YTD</t>
        </is>
      </c>
      <c r="E180" s="1" t="n">
        <v>46022</v>
      </c>
      <c r="F180" s="1" t="n">
        <v>46083</v>
      </c>
      <c r="G180" t="n">
        <v>23.2888631090487</v>
      </c>
      <c r="H180" t="inlineStr">
        <is>
          <t>Thailand|XCX4.L|YTD</t>
        </is>
      </c>
    </row>
    <row r="181">
      <c r="A181" t="inlineStr">
        <is>
          <t>Thailand</t>
        </is>
      </c>
      <c r="B181" t="inlineStr">
        <is>
          <t>THA</t>
        </is>
      </c>
      <c r="C181" t="inlineStr">
        <is>
          <t>XCX4.L</t>
        </is>
      </c>
      <c r="D181" t="inlineStr">
        <is>
          <t>1 Month</t>
        </is>
      </c>
      <c r="E181" s="1" t="n">
        <v>46055</v>
      </c>
      <c r="F181" s="1" t="n">
        <v>46083</v>
      </c>
      <c r="G181" t="n">
        <v>17.05906650144568</v>
      </c>
      <c r="H181" t="inlineStr">
        <is>
          <t>Thailand|XCX4.L|1 Month</t>
        </is>
      </c>
    </row>
    <row r="182">
      <c r="A182" t="inlineStr">
        <is>
          <t>Thailand</t>
        </is>
      </c>
      <c r="B182" t="inlineStr">
        <is>
          <t>THA</t>
        </is>
      </c>
      <c r="C182" t="inlineStr">
        <is>
          <t>XCX4.L</t>
        </is>
      </c>
      <c r="D182" t="inlineStr">
        <is>
          <t>3 Months</t>
        </is>
      </c>
      <c r="E182" s="1" t="n">
        <v>45993</v>
      </c>
      <c r="F182" s="1" t="n">
        <v>46083</v>
      </c>
      <c r="G182" t="n">
        <v>21.73539518900343</v>
      </c>
      <c r="H182" t="inlineStr">
        <is>
          <t>Thailand|XCX4.L|3 Months</t>
        </is>
      </c>
    </row>
    <row r="183">
      <c r="A183" t="inlineStr">
        <is>
          <t>Thailand</t>
        </is>
      </c>
      <c r="B183" t="inlineStr">
        <is>
          <t>THA</t>
        </is>
      </c>
      <c r="C183" t="inlineStr">
        <is>
          <t>XCX4.L</t>
        </is>
      </c>
      <c r="D183" t="inlineStr">
        <is>
          <t>6 Months</t>
        </is>
      </c>
      <c r="E183" s="1" t="n">
        <v>45902</v>
      </c>
      <c r="F183" s="1" t="n">
        <v>46083</v>
      </c>
      <c r="G183" t="n">
        <v>30.9611829944547</v>
      </c>
      <c r="H183" t="inlineStr">
        <is>
          <t>Thailand|XCX4.L|6 Months</t>
        </is>
      </c>
    </row>
    <row r="184">
      <c r="A184" t="inlineStr">
        <is>
          <t>Thailand</t>
        </is>
      </c>
      <c r="B184" t="inlineStr">
        <is>
          <t>THA</t>
        </is>
      </c>
      <c r="C184" t="inlineStr">
        <is>
          <t>XCX4.L</t>
        </is>
      </c>
      <c r="D184" t="inlineStr">
        <is>
          <t>1 Year</t>
        </is>
      </c>
      <c r="E184" s="1" t="n">
        <v>45716</v>
      </c>
      <c r="F184" s="1" t="n">
        <v>46083</v>
      </c>
      <c r="G184" t="n">
        <v>39.56007879185817</v>
      </c>
      <c r="H184" t="inlineStr">
        <is>
          <t>Thailand|XCX4.L|1 Year</t>
        </is>
      </c>
    </row>
    <row r="185">
      <c r="A185" t="inlineStr">
        <is>
          <t>Thailand</t>
        </is>
      </c>
      <c r="B185" t="inlineStr">
        <is>
          <t>THA</t>
        </is>
      </c>
      <c r="C185" t="inlineStr">
        <is>
          <t>XCX4.L</t>
        </is>
      </c>
      <c r="D185" t="inlineStr">
        <is>
          <t>3 Years</t>
        </is>
      </c>
      <c r="E185" s="1" t="n">
        <v>44987</v>
      </c>
      <c r="F185" s="1" t="n">
        <v>46083</v>
      </c>
      <c r="G185" t="n">
        <v>9.238083001413333</v>
      </c>
      <c r="H185" t="inlineStr">
        <is>
          <t>Thailand|XCX4.L|3 Years</t>
        </is>
      </c>
    </row>
    <row r="186">
      <c r="A186" t="inlineStr">
        <is>
          <t>Thailand</t>
        </is>
      </c>
      <c r="B186" t="inlineStr">
        <is>
          <t>THA</t>
        </is>
      </c>
      <c r="C186" t="inlineStr">
        <is>
          <t>XCX4.L</t>
        </is>
      </c>
      <c r="D186" t="inlineStr">
        <is>
          <t>5 Years</t>
        </is>
      </c>
      <c r="E186" s="1" t="n">
        <v>44257</v>
      </c>
      <c r="F186" s="1" t="n">
        <v>46083</v>
      </c>
      <c r="G186" t="n">
        <v>22.79029462738302</v>
      </c>
      <c r="H186" t="inlineStr">
        <is>
          <t>Thailand|XCX4.L|5 Years</t>
        </is>
      </c>
    </row>
    <row r="187">
      <c r="A187" t="inlineStr">
        <is>
          <t>Thailand</t>
        </is>
      </c>
      <c r="B187" t="inlineStr">
        <is>
          <t>THA</t>
        </is>
      </c>
      <c r="C187" t="inlineStr">
        <is>
          <t>XCX4.L</t>
        </is>
      </c>
      <c r="D187" t="inlineStr">
        <is>
          <t>10 Years</t>
        </is>
      </c>
      <c r="E187" s="1" t="n">
        <v>42431</v>
      </c>
      <c r="F187" s="1" t="n">
        <v>46083</v>
      </c>
      <c r="G187" t="n">
        <v>69.90407673860911</v>
      </c>
      <c r="H187" t="inlineStr">
        <is>
          <t>Thailand|XCX4.L|10 Years</t>
        </is>
      </c>
    </row>
    <row r="188">
      <c r="A188" t="inlineStr">
        <is>
          <t>Thailand</t>
        </is>
      </c>
      <c r="B188" t="inlineStr">
        <is>
          <t>THA</t>
        </is>
      </c>
      <c r="C188" t="inlineStr">
        <is>
          <t>XCX4.L</t>
        </is>
      </c>
      <c r="D188" t="inlineStr">
        <is>
          <t>MAX</t>
        </is>
      </c>
      <c r="E188" s="1" t="n">
        <v>40354</v>
      </c>
      <c r="F188" s="1" t="n">
        <v>46083</v>
      </c>
      <c r="G188" t="n">
        <v>85.20292915133551</v>
      </c>
      <c r="H188" t="inlineStr">
        <is>
          <t>Thailand|XCX4.L|MAX</t>
        </is>
      </c>
    </row>
    <row r="189">
      <c r="A189" t="inlineStr">
        <is>
          <t>Turkey</t>
        </is>
      </c>
      <c r="B189" t="inlineStr">
        <is>
          <t>TUR</t>
        </is>
      </c>
      <c r="C189" t="inlineStr">
        <is>
          <t>TURL.L</t>
        </is>
      </c>
      <c r="D189" t="inlineStr">
        <is>
          <t>YTD</t>
        </is>
      </c>
      <c r="E189" s="1" t="n">
        <v>46022</v>
      </c>
      <c r="F189" s="1" t="n">
        <v>46080</v>
      </c>
      <c r="G189" t="n">
        <v>0</v>
      </c>
      <c r="H189" t="inlineStr">
        <is>
          <t>Turkey|TURL.L|YTD</t>
        </is>
      </c>
    </row>
    <row r="190">
      <c r="A190" t="inlineStr">
        <is>
          <t>Turkey</t>
        </is>
      </c>
      <c r="B190" t="inlineStr">
        <is>
          <t>TUR</t>
        </is>
      </c>
      <c r="C190" t="inlineStr">
        <is>
          <t>TURL.L</t>
        </is>
      </c>
      <c r="D190" t="inlineStr">
        <is>
          <t>1 Month</t>
        </is>
      </c>
      <c r="E190" s="1" t="n">
        <v>46049</v>
      </c>
      <c r="F190" s="1" t="n">
        <v>46080</v>
      </c>
      <c r="G190" t="n">
        <v>0</v>
      </c>
      <c r="H190" t="inlineStr">
        <is>
          <t>Turkey|TURL.L|1 Month</t>
        </is>
      </c>
    </row>
    <row r="191">
      <c r="A191" t="inlineStr">
        <is>
          <t>Turkey</t>
        </is>
      </c>
      <c r="B191" t="inlineStr">
        <is>
          <t>TUR</t>
        </is>
      </c>
      <c r="C191" t="inlineStr">
        <is>
          <t>TURL.L</t>
        </is>
      </c>
      <c r="D191" t="inlineStr">
        <is>
          <t>3 Months</t>
        </is>
      </c>
      <c r="E191" s="1" t="n">
        <v>45988</v>
      </c>
      <c r="F191" s="1" t="n">
        <v>46080</v>
      </c>
      <c r="G191" t="n">
        <v>0</v>
      </c>
      <c r="H191" t="inlineStr">
        <is>
          <t>Turkey|TURL.L|3 Months</t>
        </is>
      </c>
    </row>
    <row r="192">
      <c r="A192" t="inlineStr">
        <is>
          <t>Turkey</t>
        </is>
      </c>
      <c r="B192" t="inlineStr">
        <is>
          <t>TUR</t>
        </is>
      </c>
      <c r="C192" t="inlineStr">
        <is>
          <t>TURL.L</t>
        </is>
      </c>
      <c r="D192" t="inlineStr">
        <is>
          <t>6 Months</t>
        </is>
      </c>
      <c r="E192" s="1" t="n">
        <v>45896</v>
      </c>
      <c r="F192" s="1" t="n">
        <v>46080</v>
      </c>
      <c r="G192" t="n">
        <v>0</v>
      </c>
      <c r="H192" t="inlineStr">
        <is>
          <t>Turkey|TURL.L|6 Months</t>
        </is>
      </c>
    </row>
    <row r="193">
      <c r="A193" t="inlineStr">
        <is>
          <t>Turkey</t>
        </is>
      </c>
      <c r="B193" t="inlineStr">
        <is>
          <t>TUR</t>
        </is>
      </c>
      <c r="C193" t="inlineStr">
        <is>
          <t>TURL.L</t>
        </is>
      </c>
      <c r="D193" t="inlineStr">
        <is>
          <t>1 Year</t>
        </is>
      </c>
      <c r="E193" s="1" t="n">
        <v>45715</v>
      </c>
      <c r="F193" s="1" t="n">
        <v>46080</v>
      </c>
      <c r="G193" t="n">
        <v>0</v>
      </c>
      <c r="H193" t="inlineStr">
        <is>
          <t>Turkey|TURL.L|1 Year</t>
        </is>
      </c>
    </row>
    <row r="194">
      <c r="A194" t="inlineStr">
        <is>
          <t>Turkey</t>
        </is>
      </c>
      <c r="B194" t="inlineStr">
        <is>
          <t>TUR</t>
        </is>
      </c>
      <c r="C194" t="inlineStr">
        <is>
          <t>TURL.L</t>
        </is>
      </c>
      <c r="D194" t="inlineStr">
        <is>
          <t>3 Years</t>
        </is>
      </c>
      <c r="E194" s="1" t="n">
        <v>44984</v>
      </c>
      <c r="F194" s="1" t="n">
        <v>46080</v>
      </c>
      <c r="G194" t="n">
        <v>-15.55716387465049</v>
      </c>
      <c r="H194" t="inlineStr">
        <is>
          <t>Turkey|TURL.L|3 Years</t>
        </is>
      </c>
    </row>
    <row r="195">
      <c r="A195" t="inlineStr">
        <is>
          <t>Turkey</t>
        </is>
      </c>
      <c r="B195" t="inlineStr">
        <is>
          <t>TUR</t>
        </is>
      </c>
      <c r="C195" t="inlineStr">
        <is>
          <t>TURL.L</t>
        </is>
      </c>
      <c r="D195" t="inlineStr">
        <is>
          <t>5 Years</t>
        </is>
      </c>
      <c r="E195" s="1" t="n">
        <v>44253</v>
      </c>
      <c r="F195" s="1" t="n">
        <v>46080</v>
      </c>
      <c r="G195" t="n">
        <v>39.27675817296263</v>
      </c>
      <c r="H195" t="inlineStr">
        <is>
          <t>Turkey|TURL.L|5 Years</t>
        </is>
      </c>
    </row>
    <row r="196">
      <c r="A196" t="inlineStr">
        <is>
          <t>Turkey</t>
        </is>
      </c>
      <c r="B196" t="inlineStr">
        <is>
          <t>TUR</t>
        </is>
      </c>
      <c r="C196" t="inlineStr">
        <is>
          <t>TURL.L</t>
        </is>
      </c>
      <c r="D196" t="inlineStr">
        <is>
          <t>10 Years</t>
        </is>
      </c>
      <c r="E196" s="1" t="n">
        <v>42426</v>
      </c>
      <c r="F196" s="1" t="n">
        <v>46080</v>
      </c>
      <c r="G196" t="n">
        <v>-27.82913699869165</v>
      </c>
      <c r="H196" t="inlineStr">
        <is>
          <t>Turkey|TURL.L|10 Years</t>
        </is>
      </c>
    </row>
    <row r="197">
      <c r="A197" t="inlineStr">
        <is>
          <t>Turkey</t>
        </is>
      </c>
      <c r="B197" t="inlineStr">
        <is>
          <t>TUR</t>
        </is>
      </c>
      <c r="C197" t="inlineStr">
        <is>
          <t>TURL.L</t>
        </is>
      </c>
      <c r="D197" t="inlineStr">
        <is>
          <t>MAX</t>
        </is>
      </c>
      <c r="E197" s="1" t="n">
        <v>39450</v>
      </c>
      <c r="F197" s="1" t="n">
        <v>46080</v>
      </c>
      <c r="G197" t="n">
        <v>-99.43612293704946</v>
      </c>
      <c r="H197" t="inlineStr">
        <is>
          <t>Turkey|TURL.L|MAX</t>
        </is>
      </c>
    </row>
    <row r="198">
      <c r="A198" t="inlineStr">
        <is>
          <t>United Kingdom</t>
        </is>
      </c>
      <c r="B198" t="inlineStr">
        <is>
          <t>GBR</t>
        </is>
      </c>
      <c r="C198" t="inlineStr">
        <is>
          <t>CSUK.L</t>
        </is>
      </c>
      <c r="D198" t="inlineStr">
        <is>
          <t>YTD</t>
        </is>
      </c>
      <c r="E198" s="1" t="n">
        <v>46022</v>
      </c>
      <c r="F198" s="1" t="n">
        <v>46083</v>
      </c>
      <c r="G198" t="n">
        <v>9.638093155477812</v>
      </c>
      <c r="H198" t="inlineStr">
        <is>
          <t>United Kingdom|CSUK.L|YTD</t>
        </is>
      </c>
    </row>
    <row r="199">
      <c r="A199" t="inlineStr">
        <is>
          <t>United Kingdom</t>
        </is>
      </c>
      <c r="B199" t="inlineStr">
        <is>
          <t>GBR</t>
        </is>
      </c>
      <c r="C199" t="inlineStr">
        <is>
          <t>CSUK.L</t>
        </is>
      </c>
      <c r="D199" t="inlineStr">
        <is>
          <t>1 Month</t>
        </is>
      </c>
      <c r="E199" s="1" t="n">
        <v>46055</v>
      </c>
      <c r="F199" s="1" t="n">
        <v>46083</v>
      </c>
      <c r="G199" t="n">
        <v>5.082525543620653</v>
      </c>
      <c r="H199" t="inlineStr">
        <is>
          <t>United Kingdom|CSUK.L|1 Month</t>
        </is>
      </c>
    </row>
    <row r="200">
      <c r="A200" t="inlineStr">
        <is>
          <t>United Kingdom</t>
        </is>
      </c>
      <c r="B200" t="inlineStr">
        <is>
          <t>GBR</t>
        </is>
      </c>
      <c r="C200" t="inlineStr">
        <is>
          <t>CSUK.L</t>
        </is>
      </c>
      <c r="D200" t="inlineStr">
        <is>
          <t>3 Months</t>
        </is>
      </c>
      <c r="E200" s="1" t="n">
        <v>45993</v>
      </c>
      <c r="F200" s="1" t="n">
        <v>46083</v>
      </c>
      <c r="G200" t="n">
        <v>12.12053446637222</v>
      </c>
      <c r="H200" t="inlineStr">
        <is>
          <t>United Kingdom|CSUK.L|3 Months</t>
        </is>
      </c>
    </row>
    <row r="201">
      <c r="A201" t="inlineStr">
        <is>
          <t>United Kingdom</t>
        </is>
      </c>
      <c r="B201" t="inlineStr">
        <is>
          <t>GBR</t>
        </is>
      </c>
      <c r="C201" t="inlineStr">
        <is>
          <t>CSUK.L</t>
        </is>
      </c>
      <c r="D201" t="inlineStr">
        <is>
          <t>6 Months</t>
        </is>
      </c>
      <c r="E201" s="1" t="n">
        <v>45902</v>
      </c>
      <c r="F201" s="1" t="n">
        <v>46083</v>
      </c>
      <c r="G201" t="n">
        <v>19.71704871060172</v>
      </c>
      <c r="H201" t="inlineStr">
        <is>
          <t>United Kingdom|CSUK.L|6 Months</t>
        </is>
      </c>
    </row>
    <row r="202">
      <c r="A202" t="inlineStr">
        <is>
          <t>United Kingdom</t>
        </is>
      </c>
      <c r="B202" t="inlineStr">
        <is>
          <t>GBR</t>
        </is>
      </c>
      <c r="C202" t="inlineStr">
        <is>
          <t>CSUK.L</t>
        </is>
      </c>
      <c r="D202" t="inlineStr">
        <is>
          <t>1 Year</t>
        </is>
      </c>
      <c r="E202" s="1" t="n">
        <v>45716</v>
      </c>
      <c r="F202" s="1" t="n">
        <v>46083</v>
      </c>
      <c r="G202" t="n">
        <v>26.74587625608293</v>
      </c>
      <c r="H202" t="inlineStr">
        <is>
          <t>United Kingdom|CSUK.L|1 Year</t>
        </is>
      </c>
    </row>
    <row r="203">
      <c r="A203" t="inlineStr">
        <is>
          <t>United Kingdom</t>
        </is>
      </c>
      <c r="B203" t="inlineStr">
        <is>
          <t>GBR</t>
        </is>
      </c>
      <c r="C203" t="inlineStr">
        <is>
          <t>CSUK.L</t>
        </is>
      </c>
      <c r="D203" t="inlineStr">
        <is>
          <t>3 Years</t>
        </is>
      </c>
      <c r="E203" s="1" t="n">
        <v>44987</v>
      </c>
      <c r="F203" s="1" t="n">
        <v>46083</v>
      </c>
      <c r="G203" t="n">
        <v>49.67534890663483</v>
      </c>
      <c r="H203" t="inlineStr">
        <is>
          <t>United Kingdom|CSUK.L|3 Years</t>
        </is>
      </c>
    </row>
    <row r="204">
      <c r="A204" t="inlineStr">
        <is>
          <t>United Kingdom</t>
        </is>
      </c>
      <c r="B204" t="inlineStr">
        <is>
          <t>GBR</t>
        </is>
      </c>
      <c r="C204" t="inlineStr">
        <is>
          <t>CSUK.L</t>
        </is>
      </c>
      <c r="D204" t="inlineStr">
        <is>
          <t>5 Years</t>
        </is>
      </c>
      <c r="E204" s="1" t="n">
        <v>44257</v>
      </c>
      <c r="F204" s="1" t="n">
        <v>46083</v>
      </c>
      <c r="G204" t="n">
        <v>96.79128642920224</v>
      </c>
      <c r="H204" t="inlineStr">
        <is>
          <t>United Kingdom|CSUK.L|5 Years</t>
        </is>
      </c>
    </row>
    <row r="205">
      <c r="A205" t="inlineStr">
        <is>
          <t>United Kingdom</t>
        </is>
      </c>
      <c r="B205" t="inlineStr">
        <is>
          <t>GBR</t>
        </is>
      </c>
      <c r="C205" t="inlineStr">
        <is>
          <t>CSUK.L</t>
        </is>
      </c>
      <c r="D205" t="inlineStr">
        <is>
          <t>10 Years</t>
        </is>
      </c>
      <c r="E205" s="1" t="n">
        <v>42431</v>
      </c>
      <c r="F205" s="1" t="n">
        <v>46083</v>
      </c>
      <c r="G205" t="n">
        <v>146.1038164191926</v>
      </c>
      <c r="H205" t="inlineStr">
        <is>
          <t>United Kingdom|CSUK.L|10 Years</t>
        </is>
      </c>
    </row>
    <row r="206">
      <c r="A206" t="inlineStr">
        <is>
          <t>United Kingdom</t>
        </is>
      </c>
      <c r="B206" t="inlineStr">
        <is>
          <t>GBR</t>
        </is>
      </c>
      <c r="C206" t="inlineStr">
        <is>
          <t>CSUK.L</t>
        </is>
      </c>
      <c r="D206" t="inlineStr">
        <is>
          <t>MAX</t>
        </is>
      </c>
      <c r="E206" s="1" t="n">
        <v>40443</v>
      </c>
      <c r="F206" s="1" t="n">
        <v>46083</v>
      </c>
      <c r="G206" t="n">
        <v>221.0854947166187</v>
      </c>
      <c r="H206" t="inlineStr">
        <is>
          <t>United Kingdom|CSUK.L|MAX</t>
        </is>
      </c>
    </row>
    <row r="207">
      <c r="A207" t="inlineStr">
        <is>
          <t>United Kingdom</t>
        </is>
      </c>
      <c r="B207" t="inlineStr">
        <is>
          <t>GBR</t>
        </is>
      </c>
      <c r="C207" t="inlineStr">
        <is>
          <t>CUKX.L</t>
        </is>
      </c>
      <c r="D207" t="inlineStr">
        <is>
          <t>YTD</t>
        </is>
      </c>
      <c r="E207" s="1" t="n">
        <v>46022</v>
      </c>
      <c r="F207" s="1" t="n">
        <v>46083</v>
      </c>
      <c r="G207" t="n">
        <v>9.064942874323512</v>
      </c>
      <c r="H207" t="inlineStr">
        <is>
          <t>United Kingdom|CUKX.L|YTD</t>
        </is>
      </c>
    </row>
    <row r="208">
      <c r="A208" t="inlineStr">
        <is>
          <t>United Kingdom</t>
        </is>
      </c>
      <c r="B208" t="inlineStr">
        <is>
          <t>GBR</t>
        </is>
      </c>
      <c r="C208" t="inlineStr">
        <is>
          <t>CUKX.L</t>
        </is>
      </c>
      <c r="D208" t="inlineStr">
        <is>
          <t>1 Month</t>
        </is>
      </c>
      <c r="E208" s="1" t="n">
        <v>46055</v>
      </c>
      <c r="F208" s="1" t="n">
        <v>46083</v>
      </c>
      <c r="G208" t="n">
        <v>4.438579654510555</v>
      </c>
      <c r="H208" t="inlineStr">
        <is>
          <t>United Kingdom|CUKX.L|1 Month</t>
        </is>
      </c>
    </row>
    <row r="209">
      <c r="A209" t="inlineStr">
        <is>
          <t>United Kingdom</t>
        </is>
      </c>
      <c r="B209" t="inlineStr">
        <is>
          <t>GBR</t>
        </is>
      </c>
      <c r="C209" t="inlineStr">
        <is>
          <t>CUKX.L</t>
        </is>
      </c>
      <c r="D209" t="inlineStr">
        <is>
          <t>3 Months</t>
        </is>
      </c>
      <c r="E209" s="1" t="n">
        <v>45993</v>
      </c>
      <c r="F209" s="1" t="n">
        <v>46083</v>
      </c>
      <c r="G209" t="n">
        <v>11.50102459016393</v>
      </c>
      <c r="H209" t="inlineStr">
        <is>
          <t>United Kingdom|CUKX.L|3 Months</t>
        </is>
      </c>
    </row>
    <row r="210">
      <c r="A210" t="inlineStr">
        <is>
          <t>United Kingdom</t>
        </is>
      </c>
      <c r="B210" t="inlineStr">
        <is>
          <t>GBR</t>
        </is>
      </c>
      <c r="C210" t="inlineStr">
        <is>
          <t>CUKX.L</t>
        </is>
      </c>
      <c r="D210" t="inlineStr">
        <is>
          <t>6 Months</t>
        </is>
      </c>
      <c r="E210" s="1" t="n">
        <v>45902</v>
      </c>
      <c r="F210" s="1" t="n">
        <v>46083</v>
      </c>
      <c r="G210" t="n">
        <v>19.8381235546746</v>
      </c>
      <c r="H210" t="inlineStr">
        <is>
          <t>United Kingdom|CUKX.L|6 Months</t>
        </is>
      </c>
    </row>
    <row r="211">
      <c r="A211" t="inlineStr">
        <is>
          <t>United Kingdom</t>
        </is>
      </c>
      <c r="B211" t="inlineStr">
        <is>
          <t>GBR</t>
        </is>
      </c>
      <c r="C211" t="inlineStr">
        <is>
          <t>CUKX.L</t>
        </is>
      </c>
      <c r="D211" t="inlineStr">
        <is>
          <t>1 Year</t>
        </is>
      </c>
      <c r="E211" s="1" t="n">
        <v>45716</v>
      </c>
      <c r="F211" s="1" t="n">
        <v>46083</v>
      </c>
      <c r="G211" t="n">
        <v>26.71751280857011</v>
      </c>
      <c r="H211" t="inlineStr">
        <is>
          <t>United Kingdom|CUKX.L|1 Year</t>
        </is>
      </c>
    </row>
    <row r="212">
      <c r="A212" t="inlineStr">
        <is>
          <t>United Kingdom</t>
        </is>
      </c>
      <c r="B212" t="inlineStr">
        <is>
          <t>GBR</t>
        </is>
      </c>
      <c r="C212" t="inlineStr">
        <is>
          <t>CUKX.L</t>
        </is>
      </c>
      <c r="D212" t="inlineStr">
        <is>
          <t>3 Years</t>
        </is>
      </c>
      <c r="E212" s="1" t="n">
        <v>44987</v>
      </c>
      <c r="F212" s="1" t="n">
        <v>46083</v>
      </c>
      <c r="G212" t="n">
        <v>50.91526834003606</v>
      </c>
      <c r="H212" t="inlineStr">
        <is>
          <t>United Kingdom|CUKX.L|3 Years</t>
        </is>
      </c>
    </row>
    <row r="213">
      <c r="A213" t="inlineStr">
        <is>
          <t>United Kingdom</t>
        </is>
      </c>
      <c r="B213" t="inlineStr">
        <is>
          <t>GBR</t>
        </is>
      </c>
      <c r="C213" t="inlineStr">
        <is>
          <t>CUKX.L</t>
        </is>
      </c>
      <c r="D213" t="inlineStr">
        <is>
          <t>5 Years</t>
        </is>
      </c>
      <c r="E213" s="1" t="n">
        <v>44257</v>
      </c>
      <c r="F213" s="1" t="n">
        <v>46083</v>
      </c>
      <c r="G213" t="n">
        <v>94.19164882226983</v>
      </c>
      <c r="H213" t="inlineStr">
        <is>
          <t>United Kingdom|CUKX.L|5 Years</t>
        </is>
      </c>
    </row>
    <row r="214">
      <c r="A214" t="inlineStr">
        <is>
          <t>United Kingdom</t>
        </is>
      </c>
      <c r="B214" t="inlineStr">
        <is>
          <t>GBR</t>
        </is>
      </c>
      <c r="C214" t="inlineStr">
        <is>
          <t>CUKX.L</t>
        </is>
      </c>
      <c r="D214" t="inlineStr">
        <is>
          <t>10 Years</t>
        </is>
      </c>
      <c r="E214" s="1" t="n">
        <v>42431</v>
      </c>
      <c r="F214" s="1" t="n">
        <v>46083</v>
      </c>
      <c r="G214" t="n">
        <v>153.3907677978928</v>
      </c>
      <c r="H214" t="inlineStr">
        <is>
          <t>United Kingdom|CUKX.L|10 Years</t>
        </is>
      </c>
    </row>
    <row r="215">
      <c r="A215" t="inlineStr">
        <is>
          <t>United Kingdom</t>
        </is>
      </c>
      <c r="B215" t="inlineStr">
        <is>
          <t>GBR</t>
        </is>
      </c>
      <c r="C215" t="inlineStr">
        <is>
          <t>CUKX.L</t>
        </is>
      </c>
      <c r="D215" t="inlineStr">
        <is>
          <t>MAX</t>
        </is>
      </c>
      <c r="E215" s="1" t="n">
        <v>40438</v>
      </c>
      <c r="F215" s="1" t="n">
        <v>46083</v>
      </c>
      <c r="G215" t="n">
        <v>235.6724244293646</v>
      </c>
      <c r="H215" t="inlineStr">
        <is>
          <t>United Kingdom|CUKX.L|MAX</t>
        </is>
      </c>
    </row>
    <row r="216">
      <c r="A216" t="inlineStr">
        <is>
          <t>United States</t>
        </is>
      </c>
      <c r="B216" t="inlineStr">
        <is>
          <t>USA</t>
        </is>
      </c>
      <c r="C216" t="inlineStr">
        <is>
          <t>SPXL.L</t>
        </is>
      </c>
      <c r="D216" t="inlineStr">
        <is>
          <t>YTD</t>
        </is>
      </c>
      <c r="E216" s="1" t="n">
        <v>46022</v>
      </c>
      <c r="F216" s="1" t="n">
        <v>46083</v>
      </c>
      <c r="G216" t="n">
        <v>0.2542474724903654</v>
      </c>
      <c r="H216" t="inlineStr">
        <is>
          <t>United States|SPXL.L|YTD</t>
        </is>
      </c>
    </row>
    <row r="217">
      <c r="A217" t="inlineStr">
        <is>
          <t>United States</t>
        </is>
      </c>
      <c r="B217" t="inlineStr">
        <is>
          <t>USA</t>
        </is>
      </c>
      <c r="C217" t="inlineStr">
        <is>
          <t>SPXL.L</t>
        </is>
      </c>
      <c r="D217" t="inlineStr">
        <is>
          <t>1 Month</t>
        </is>
      </c>
      <c r="E217" s="1" t="n">
        <v>46055</v>
      </c>
      <c r="F217" s="1" t="n">
        <v>46083</v>
      </c>
      <c r="G217" t="n">
        <v>0.3818642550414753</v>
      </c>
      <c r="H217" t="inlineStr">
        <is>
          <t>United States|SPXL.L|1 Month</t>
        </is>
      </c>
    </row>
    <row r="218">
      <c r="A218" t="inlineStr">
        <is>
          <t>United States</t>
        </is>
      </c>
      <c r="B218" t="inlineStr">
        <is>
          <t>USA</t>
        </is>
      </c>
      <c r="C218" t="inlineStr">
        <is>
          <t>SPXL.L</t>
        </is>
      </c>
      <c r="D218" t="inlineStr">
        <is>
          <t>3 Months</t>
        </is>
      </c>
      <c r="E218" s="1" t="n">
        <v>45993</v>
      </c>
      <c r="F218" s="1" t="n">
        <v>46083</v>
      </c>
      <c r="G218" t="n">
        <v>-0.5517000026758256</v>
      </c>
      <c r="H218" t="inlineStr">
        <is>
          <t>United States|SPXL.L|3 Months</t>
        </is>
      </c>
    </row>
    <row r="219">
      <c r="A219" t="inlineStr">
        <is>
          <t>United States</t>
        </is>
      </c>
      <c r="B219" t="inlineStr">
        <is>
          <t>USA</t>
        </is>
      </c>
      <c r="C219" t="inlineStr">
        <is>
          <t>SPXL.L</t>
        </is>
      </c>
      <c r="D219" t="inlineStr">
        <is>
          <t>6 Months</t>
        </is>
      </c>
      <c r="E219" s="1" t="n">
        <v>45902</v>
      </c>
      <c r="F219" s="1" t="n">
        <v>46083</v>
      </c>
      <c r="G219" t="n">
        <v>8.067835029366988</v>
      </c>
      <c r="H219" t="inlineStr">
        <is>
          <t>United States|SPXL.L|6 Months</t>
        </is>
      </c>
    </row>
    <row r="220">
      <c r="A220" t="inlineStr">
        <is>
          <t>United States</t>
        </is>
      </c>
      <c r="B220" t="inlineStr">
        <is>
          <t>USA</t>
        </is>
      </c>
      <c r="C220" t="inlineStr">
        <is>
          <t>SPXL.L</t>
        </is>
      </c>
      <c r="D220" t="inlineStr">
        <is>
          <t>1 Year</t>
        </is>
      </c>
      <c r="E220" s="1" t="n">
        <v>45716</v>
      </c>
      <c r="F220" s="1" t="n">
        <v>46083</v>
      </c>
      <c r="G220" t="n">
        <v>10.90797390602187</v>
      </c>
      <c r="H220" t="inlineStr">
        <is>
          <t>United States|SPXL.L|1 Year</t>
        </is>
      </c>
    </row>
    <row r="221">
      <c r="A221" t="inlineStr">
        <is>
          <t>United States</t>
        </is>
      </c>
      <c r="B221" t="inlineStr">
        <is>
          <t>USA</t>
        </is>
      </c>
      <c r="C221" t="inlineStr">
        <is>
          <t>SPXL.L</t>
        </is>
      </c>
      <c r="D221" t="inlineStr">
        <is>
          <t>MAX</t>
        </is>
      </c>
      <c r="E221" s="1" t="n">
        <v>45231</v>
      </c>
      <c r="F221" s="1" t="n">
        <v>46083</v>
      </c>
      <c r="G221" t="n">
        <v>24.05981380899436</v>
      </c>
      <c r="H221" t="inlineStr">
        <is>
          <t>United States|SPXL.L|MAX</t>
        </is>
      </c>
    </row>
    <row r="222">
      <c r="A222" t="inlineStr">
        <is>
          <t>Vietnam</t>
        </is>
      </c>
      <c r="B222" t="inlineStr">
        <is>
          <t>VNM</t>
        </is>
      </c>
      <c r="C222" t="inlineStr">
        <is>
          <t>XFVT.L</t>
        </is>
      </c>
      <c r="D222" t="inlineStr">
        <is>
          <t>YTD</t>
        </is>
      </c>
      <c r="E222" s="1" t="n">
        <v>46022</v>
      </c>
      <c r="F222" s="1" t="n">
        <v>46083</v>
      </c>
      <c r="G222" t="n">
        <v>-0.6313744536182608</v>
      </c>
      <c r="H222" t="inlineStr">
        <is>
          <t>Vietnam|XFVT.L|YTD</t>
        </is>
      </c>
    </row>
    <row r="223">
      <c r="A223" t="inlineStr">
        <is>
          <t>Vietnam</t>
        </is>
      </c>
      <c r="B223" t="inlineStr">
        <is>
          <t>VNM</t>
        </is>
      </c>
      <c r="C223" t="inlineStr">
        <is>
          <t>XFVT.L</t>
        </is>
      </c>
      <c r="D223" t="inlineStr">
        <is>
          <t>1 Month</t>
        </is>
      </c>
      <c r="E223" s="1" t="n">
        <v>46055</v>
      </c>
      <c r="F223" s="1" t="n">
        <v>46083</v>
      </c>
      <c r="G223" t="n">
        <v>4.941015558215089</v>
      </c>
      <c r="H223" t="inlineStr">
        <is>
          <t>Vietnam|XFVT.L|1 Month</t>
        </is>
      </c>
    </row>
    <row r="224">
      <c r="A224" t="inlineStr">
        <is>
          <t>Vietnam</t>
        </is>
      </c>
      <c r="B224" t="inlineStr">
        <is>
          <t>VNM</t>
        </is>
      </c>
      <c r="C224" t="inlineStr">
        <is>
          <t>XFVT.L</t>
        </is>
      </c>
      <c r="D224" t="inlineStr">
        <is>
          <t>3 Months</t>
        </is>
      </c>
      <c r="E224" s="1" t="n">
        <v>45993</v>
      </c>
      <c r="F224" s="1" t="n">
        <v>46083</v>
      </c>
      <c r="G224" t="n">
        <v>1.555261416280618</v>
      </c>
      <c r="H224" t="inlineStr">
        <is>
          <t>Vietnam|XFVT.L|3 Months</t>
        </is>
      </c>
    </row>
    <row r="225">
      <c r="A225" t="inlineStr">
        <is>
          <t>Vietnam</t>
        </is>
      </c>
      <c r="B225" t="inlineStr">
        <is>
          <t>VNM</t>
        </is>
      </c>
      <c r="C225" t="inlineStr">
        <is>
          <t>XFVT.L</t>
        </is>
      </c>
      <c r="D225" t="inlineStr">
        <is>
          <t>6 Months</t>
        </is>
      </c>
      <c r="E225" s="1" t="n">
        <v>45902</v>
      </c>
      <c r="F225" s="1" t="n">
        <v>46083</v>
      </c>
      <c r="G225" t="n">
        <v>7.797681770284526</v>
      </c>
      <c r="H225" t="inlineStr">
        <is>
          <t>Vietnam|XFVT.L|6 Months</t>
        </is>
      </c>
    </row>
    <row r="226">
      <c r="A226" t="inlineStr">
        <is>
          <t>Vietnam</t>
        </is>
      </c>
      <c r="B226" t="inlineStr">
        <is>
          <t>VNM</t>
        </is>
      </c>
      <c r="C226" t="inlineStr">
        <is>
          <t>XFVT.L</t>
        </is>
      </c>
      <c r="D226" t="inlineStr">
        <is>
          <t>1 Year</t>
        </is>
      </c>
      <c r="E226" s="1" t="n">
        <v>45716</v>
      </c>
      <c r="F226" s="1" t="n">
        <v>46083</v>
      </c>
      <c r="G226" t="n">
        <v>53.8731511657057</v>
      </c>
      <c r="H226" t="inlineStr">
        <is>
          <t>Vietnam|XFVT.L|1 Year</t>
        </is>
      </c>
    </row>
    <row r="227">
      <c r="A227" t="inlineStr">
        <is>
          <t>Vietnam</t>
        </is>
      </c>
      <c r="B227" t="inlineStr">
        <is>
          <t>VNM</t>
        </is>
      </c>
      <c r="C227" t="inlineStr">
        <is>
          <t>XFVT.L</t>
        </is>
      </c>
      <c r="D227" t="inlineStr">
        <is>
          <t>3 Years</t>
        </is>
      </c>
      <c r="E227" s="1" t="n">
        <v>44987</v>
      </c>
      <c r="F227" s="1" t="n">
        <v>46083</v>
      </c>
      <c r="G227" t="n">
        <v>45.3813358597821</v>
      </c>
      <c r="H227" t="inlineStr">
        <is>
          <t>Vietnam|XFVT.L|3 Years</t>
        </is>
      </c>
    </row>
    <row r="228">
      <c r="A228" t="inlineStr">
        <is>
          <t>Vietnam</t>
        </is>
      </c>
      <c r="B228" t="inlineStr">
        <is>
          <t>VNM</t>
        </is>
      </c>
      <c r="C228" t="inlineStr">
        <is>
          <t>XFVT.L</t>
        </is>
      </c>
      <c r="D228" t="inlineStr">
        <is>
          <t>5 Years</t>
        </is>
      </c>
      <c r="E228" s="1" t="n">
        <v>44257</v>
      </c>
      <c r="F228" s="1" t="n">
        <v>46083</v>
      </c>
      <c r="G228" t="n">
        <v>11.57971277949466</v>
      </c>
      <c r="H228" t="inlineStr">
        <is>
          <t>Vietnam|XFVT.L|5 Years</t>
        </is>
      </c>
    </row>
    <row r="229">
      <c r="A229" t="inlineStr">
        <is>
          <t>Vietnam</t>
        </is>
      </c>
      <c r="B229" t="inlineStr">
        <is>
          <t>VNM</t>
        </is>
      </c>
      <c r="C229" t="inlineStr">
        <is>
          <t>XFVT.L</t>
        </is>
      </c>
      <c r="D229" t="inlineStr">
        <is>
          <t>10 Years</t>
        </is>
      </c>
      <c r="E229" s="1" t="n">
        <v>42431</v>
      </c>
      <c r="F229" s="1" t="n">
        <v>46083</v>
      </c>
      <c r="G229" t="n">
        <v>93.84178114637614</v>
      </c>
      <c r="H229" t="inlineStr">
        <is>
          <t>Vietnam|XFVT.L|10 Years</t>
        </is>
      </c>
    </row>
    <row r="230">
      <c r="A230" t="inlineStr">
        <is>
          <t>Vietnam</t>
        </is>
      </c>
      <c r="B230" t="inlineStr">
        <is>
          <t>VNM</t>
        </is>
      </c>
      <c r="C230" t="inlineStr">
        <is>
          <t>XFVT.L</t>
        </is>
      </c>
      <c r="D230" t="inlineStr">
        <is>
          <t>MAX</t>
        </is>
      </c>
      <c r="E230" s="1" t="n">
        <v>39818</v>
      </c>
      <c r="F230" s="1" t="n">
        <v>46083</v>
      </c>
      <c r="G230" t="n">
        <v>29.98729351969505</v>
      </c>
      <c r="H230" t="inlineStr">
        <is>
          <t>Vietnam|XFVT.L|MAX</t>
        </is>
      </c>
    </row>
  </sheetData>
  <autoFilter ref="A1:H23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gdp_nominal_growth_pct</t>
        </is>
      </c>
      <c r="H1" t="inlineStr">
        <is>
          <t>gdp_real_minus_etf_growth_pct</t>
        </is>
      </c>
      <c r="I1" t="inlineStr">
        <is>
          <t>gdp_nominal_minus_etf_growth_pct</t>
        </is>
      </c>
      <c r="J1" t="inlineStr">
        <is>
          <t>lookup_key</t>
        </is>
      </c>
      <c r="K1" t="inlineStr">
        <is>
          <t>country_year_key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2016</v>
      </c>
      <c r="E2" t="n">
        <v>36.15740092424031</v>
      </c>
      <c r="F2" t="n">
        <v>2.694</v>
      </c>
      <c r="G2" t="n">
        <v>2.328444</v>
      </c>
      <c r="H2" t="n">
        <v>-33.46340092424031</v>
      </c>
      <c r="I2" t="n">
        <v>-33.82895692424032</v>
      </c>
      <c r="J2" t="inlineStr">
        <is>
          <t>Australia|SAUS.L|2016</t>
        </is>
      </c>
      <c r="K2" t="inlineStr">
        <is>
          <t>Australia|2016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2017</v>
      </c>
      <c r="E3" t="n">
        <v>7.597244732576991</v>
      </c>
      <c r="F3" t="n">
        <v>2.38</v>
      </c>
      <c r="G3" t="n">
        <v>9.381971999999999</v>
      </c>
      <c r="H3" t="n">
        <v>-5.217244732576991</v>
      </c>
      <c r="I3" t="n">
        <v>1.784727267423008</v>
      </c>
      <c r="J3" t="inlineStr">
        <is>
          <t>Australia|SAUS.L|2017</t>
        </is>
      </c>
      <c r="K3" t="inlineStr">
        <is>
          <t>Australia|2017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2018</v>
      </c>
      <c r="E4" t="n">
        <v>-6.916453779922415</v>
      </c>
      <c r="F4" t="n">
        <v>2.791</v>
      </c>
      <c r="G4" t="n">
        <v>2.610372</v>
      </c>
      <c r="H4" t="n">
        <v>9.707453779922416</v>
      </c>
      <c r="I4" t="n">
        <v>9.526825779922415</v>
      </c>
      <c r="J4" t="inlineStr">
        <is>
          <t>Australia|SAUS.L|2018</t>
        </is>
      </c>
      <c r="K4" t="inlineStr">
        <is>
          <t>Australia|2018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2019</v>
      </c>
      <c r="E5" t="n">
        <v>17.4577471915798</v>
      </c>
      <c r="F5" t="n">
        <v>1.936</v>
      </c>
      <c r="G5" t="n">
        <v>-2.178233</v>
      </c>
      <c r="H5" t="n">
        <v>-15.5217471915798</v>
      </c>
      <c r="I5" t="n">
        <v>-19.6359801915798</v>
      </c>
      <c r="J5" t="inlineStr">
        <is>
          <t>Australia|SAUS.L|2019</t>
        </is>
      </c>
      <c r="K5" t="inlineStr">
        <is>
          <t>Australia|2019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2020</v>
      </c>
      <c r="E6" t="n">
        <v>4.692832764505117</v>
      </c>
      <c r="F6" t="n">
        <v>-1.953</v>
      </c>
      <c r="G6" t="n">
        <v>-1.704118</v>
      </c>
      <c r="H6" t="n">
        <v>-6.645832764505117</v>
      </c>
      <c r="I6" t="n">
        <v>-6.396950764505117</v>
      </c>
      <c r="J6" t="inlineStr">
        <is>
          <t>Australia|SAUS.L|2020</t>
        </is>
      </c>
      <c r="K6" t="inlineStr">
        <is>
          <t>Australia|2020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2021</v>
      </c>
      <c r="E7" t="n">
        <v>46.78097703008734</v>
      </c>
      <c r="F7" t="n">
        <v>5.418</v>
      </c>
      <c r="G7" t="n">
        <v>21.514679</v>
      </c>
      <c r="H7" t="n">
        <v>-41.36297703008734</v>
      </c>
      <c r="I7" t="n">
        <v>-25.26629803008734</v>
      </c>
      <c r="J7" t="inlineStr">
        <is>
          <t>Australia|SAUS.L|2021</t>
        </is>
      </c>
      <c r="K7" t="inlineStr">
        <is>
          <t>Australia|2021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2022</v>
      </c>
      <c r="E8" t="n">
        <v>-7.30731812776998</v>
      </c>
      <c r="F8" t="n">
        <v>4.132</v>
      </c>
      <c r="G8" t="n">
        <v>4.203008</v>
      </c>
      <c r="H8" t="n">
        <v>11.43931812776998</v>
      </c>
      <c r="I8" t="n">
        <v>11.51032612776998</v>
      </c>
      <c r="J8" t="inlineStr">
        <is>
          <t>Australia|SAUS.L|2022</t>
        </is>
      </c>
      <c r="K8" t="inlineStr">
        <is>
          <t>Australia|2022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2023</v>
      </c>
      <c r="E9" t="n">
        <v>15.33735082122178</v>
      </c>
      <c r="F9" t="n">
        <v>2.066</v>
      </c>
      <c r="G9" t="n">
        <v>0.978189</v>
      </c>
      <c r="H9" t="n">
        <v>-13.27135082122178</v>
      </c>
      <c r="I9" t="n">
        <v>-14.35916182122178</v>
      </c>
      <c r="J9" t="inlineStr">
        <is>
          <t>Australia|SAUS.L|2023</t>
        </is>
      </c>
      <c r="K9" t="inlineStr">
        <is>
          <t>Australia|2023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2024</v>
      </c>
      <c r="E10" t="n">
        <v>-18.61494134595596</v>
      </c>
      <c r="F10" t="n">
        <v>1.023</v>
      </c>
      <c r="G10" t="n">
        <v>3.052325</v>
      </c>
      <c r="H10" t="n">
        <v>19.63794134595596</v>
      </c>
      <c r="I10" t="n">
        <v>21.66726634595596</v>
      </c>
      <c r="J10" t="inlineStr">
        <is>
          <t>Australia|SAUS.L|2024</t>
        </is>
      </c>
      <c r="K10" t="inlineStr">
        <is>
          <t>Australia|2024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2025</v>
      </c>
      <c r="E11" t="n">
        <v>4.217315802530375</v>
      </c>
      <c r="F11" t="n">
        <v>1.809</v>
      </c>
      <c r="G11" t="n">
        <v>1.894523</v>
      </c>
      <c r="H11" t="n">
        <v>-2.408315802530375</v>
      </c>
      <c r="I11" t="n">
        <v>-2.322792802530375</v>
      </c>
      <c r="J11" t="inlineStr">
        <is>
          <t>Australia|SAUS.L|2025</t>
        </is>
      </c>
      <c r="K11" t="inlineStr">
        <is>
          <t>Australia|2025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n">
        <v>2016</v>
      </c>
      <c r="E12" t="n">
        <v>105.2944171050399</v>
      </c>
      <c r="F12" t="n">
        <v>-3.276</v>
      </c>
      <c r="G12" t="n">
        <v>-0.190217</v>
      </c>
      <c r="H12" t="n">
        <v>-108.5704171050399</v>
      </c>
      <c r="I12" t="n">
        <v>-105.4846341050399</v>
      </c>
      <c r="J12" t="inlineStr">
        <is>
          <t>Brazil|XMBR.L|2016</t>
        </is>
      </c>
      <c r="K12" t="inlineStr">
        <is>
          <t>Brazil|2016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n">
        <v>2017</v>
      </c>
      <c r="E13" t="n">
        <v>10.3247697527872</v>
      </c>
      <c r="F13" t="n">
        <v>1.323</v>
      </c>
      <c r="G13" t="n">
        <v>14.85549</v>
      </c>
      <c r="H13" t="n">
        <v>-9.001769752787199</v>
      </c>
      <c r="I13" t="n">
        <v>4.5307202472128</v>
      </c>
      <c r="J13" t="inlineStr">
        <is>
          <t>Brazil|XMBR.L|2017</t>
        </is>
      </c>
      <c r="K13" t="inlineStr">
        <is>
          <t>Brazil|2017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2018</v>
      </c>
      <c r="E14" t="n">
        <v>2.443218456688401</v>
      </c>
      <c r="F14" t="n">
        <v>1.784</v>
      </c>
      <c r="G14" t="n">
        <v>-7.103642</v>
      </c>
      <c r="H14" t="n">
        <v>-0.6592184566884007</v>
      </c>
      <c r="I14" t="n">
        <v>-9.5468604566884</v>
      </c>
      <c r="J14" t="inlineStr">
        <is>
          <t>Brazil|XMBR.L|2018</t>
        </is>
      </c>
      <c r="K14" t="inlineStr">
        <is>
          <t>Brazil|2018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2019</v>
      </c>
      <c r="E15" t="n">
        <v>13.68379342226918</v>
      </c>
      <c r="F15" t="n">
        <v>1.221</v>
      </c>
      <c r="G15" t="n">
        <v>-2.276969</v>
      </c>
      <c r="H15" t="n">
        <v>-12.46279342226918</v>
      </c>
      <c r="I15" t="n">
        <v>-15.96076242226918</v>
      </c>
      <c r="J15" t="inlineStr">
        <is>
          <t>Brazil|XMBR.L|2019</t>
        </is>
      </c>
      <c r="K15" t="inlineStr">
        <is>
          <t>Brazil|2019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2020</v>
      </c>
      <c r="E16" t="n">
        <v>-23.38314132542488</v>
      </c>
      <c r="F16" t="n">
        <v>-3.277</v>
      </c>
      <c r="G16" t="n">
        <v>-21.203062</v>
      </c>
      <c r="H16" t="n">
        <v>20.10614132542488</v>
      </c>
      <c r="I16" t="n">
        <v>2.180079325424884</v>
      </c>
      <c r="J16" t="inlineStr">
        <is>
          <t>Brazil|XMBR.L|2020</t>
        </is>
      </c>
      <c r="K16" t="inlineStr">
        <is>
          <t>Brazil|2020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2021</v>
      </c>
      <c r="E17" t="n">
        <v>-16.78624813153962</v>
      </c>
      <c r="F17" t="n">
        <v>4.763</v>
      </c>
      <c r="G17" t="n">
        <v>13.180615</v>
      </c>
      <c r="H17" t="n">
        <v>21.54924813153961</v>
      </c>
      <c r="I17" t="n">
        <v>29.96686313153961</v>
      </c>
      <c r="J17" t="inlineStr">
        <is>
          <t>Brazil|XMBR.L|2021</t>
        </is>
      </c>
      <c r="K17" t="inlineStr">
        <is>
          <t>Brazil|2021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2022</v>
      </c>
      <c r="E18" t="n">
        <v>29.69270640503516</v>
      </c>
      <c r="F18" t="n">
        <v>3.017</v>
      </c>
      <c r="G18" t="n">
        <v>16.831712</v>
      </c>
      <c r="H18" t="n">
        <v>-26.67570640503516</v>
      </c>
      <c r="I18" t="n">
        <v>-12.86099440503516</v>
      </c>
      <c r="J18" t="inlineStr">
        <is>
          <t>Brazil|XMBR.L|2022</t>
        </is>
      </c>
      <c r="K18" t="inlineStr">
        <is>
          <t>Brazil|2022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2023</v>
      </c>
      <c r="E19" t="n">
        <v>32.01622596153846</v>
      </c>
      <c r="F19" t="n">
        <v>3.242</v>
      </c>
      <c r="G19" t="n">
        <v>12.259555</v>
      </c>
      <c r="H19" t="n">
        <v>-28.77422596153846</v>
      </c>
      <c r="I19" t="n">
        <v>-19.75667096153846</v>
      </c>
      <c r="J19" t="inlineStr">
        <is>
          <t>Brazil|XMBR.L|2023</t>
        </is>
      </c>
      <c r="K19" t="inlineStr">
        <is>
          <t>Brazil|2023</t>
        </is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2024</v>
      </c>
      <c r="E20" t="n">
        <v>-28.08666743092974</v>
      </c>
      <c r="F20" t="n">
        <v>3.396</v>
      </c>
      <c r="G20" t="n">
        <v>-0.535065</v>
      </c>
      <c r="H20" t="n">
        <v>31.48266743092974</v>
      </c>
      <c r="I20" t="n">
        <v>27.55160243092974</v>
      </c>
      <c r="J20" t="inlineStr">
        <is>
          <t>Brazil|XMBR.L|2024</t>
        </is>
      </c>
      <c r="K20" t="inlineStr">
        <is>
          <t>Brazil|2024</t>
        </is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2025</v>
      </c>
      <c r="E21" t="n">
        <v>35.96174949051576</v>
      </c>
      <c r="F21" t="n">
        <v>2.4</v>
      </c>
      <c r="G21" t="n">
        <v>3.555866</v>
      </c>
      <c r="H21" t="n">
        <v>-33.56174949051576</v>
      </c>
      <c r="I21" t="n">
        <v>-32.40588349051576</v>
      </c>
      <c r="J21" t="inlineStr">
        <is>
          <t>Brazil|XMBR.L|2025</t>
        </is>
      </c>
      <c r="K21" t="inlineStr">
        <is>
          <t>Brazil|2025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n">
        <v>2016</v>
      </c>
      <c r="E22" t="n">
        <v>52.57496740547589</v>
      </c>
      <c r="F22" t="n">
        <v>1.039</v>
      </c>
      <c r="G22" t="n">
        <v>-1.831793</v>
      </c>
      <c r="H22" t="n">
        <v>-51.53596740547589</v>
      </c>
      <c r="I22" t="n">
        <v>-54.40676040547589</v>
      </c>
      <c r="J22" t="inlineStr">
        <is>
          <t>Canada|CSCA.L|2016</t>
        </is>
      </c>
      <c r="K22" t="inlineStr">
        <is>
          <t>Canada|2016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n">
        <v>2017</v>
      </c>
      <c r="E23" t="n">
        <v>4.695559691571383</v>
      </c>
      <c r="F23" t="n">
        <v>3.034</v>
      </c>
      <c r="G23" t="n">
        <v>7.936539</v>
      </c>
      <c r="H23" t="n">
        <v>-1.661559691571383</v>
      </c>
      <c r="I23" t="n">
        <v>3.240979308428617</v>
      </c>
      <c r="J23" t="inlineStr">
        <is>
          <t>Canada|CSCA.L|2017</t>
        </is>
      </c>
      <c r="K23" t="inlineStr">
        <is>
          <t>Canada|2017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n">
        <v>2018</v>
      </c>
      <c r="E24" t="n">
        <v>-11.89139532509951</v>
      </c>
      <c r="F24" t="n">
        <v>2.743</v>
      </c>
      <c r="G24" t="n">
        <v>4.610172</v>
      </c>
      <c r="H24" t="n">
        <v>14.63439532509951</v>
      </c>
      <c r="I24" t="n">
        <v>16.50156732509951</v>
      </c>
      <c r="J24" t="inlineStr">
        <is>
          <t>Canada|CSCA.L|2018</t>
        </is>
      </c>
      <c r="K24" t="inlineStr">
        <is>
          <t>Canada|2018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n">
        <v>2019</v>
      </c>
      <c r="E25" t="n">
        <v>20.07651458916233</v>
      </c>
      <c r="F25" t="n">
        <v>1.908</v>
      </c>
      <c r="G25" t="n">
        <v>1.06793</v>
      </c>
      <c r="H25" t="n">
        <v>-18.16851458916233</v>
      </c>
      <c r="I25" t="n">
        <v>-19.00858458916233</v>
      </c>
      <c r="J25" t="inlineStr">
        <is>
          <t>Canada|CSCA.L|2019</t>
        </is>
      </c>
      <c r="K25" t="inlineStr">
        <is>
          <t>Canada|2019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2020</v>
      </c>
      <c r="E26" t="n">
        <v>1.681545510367966</v>
      </c>
      <c r="F26" t="n">
        <v>-5.038</v>
      </c>
      <c r="G26" t="n">
        <v>-5.048961</v>
      </c>
      <c r="H26" t="n">
        <v>-6.719545510367966</v>
      </c>
      <c r="I26" t="n">
        <v>-6.730506510367966</v>
      </c>
      <c r="J26" t="inlineStr">
        <is>
          <t>Canada|CSCA.L|2020</t>
        </is>
      </c>
      <c r="K26" t="inlineStr">
        <is>
          <t>Canada|2020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2021</v>
      </c>
      <c r="E27" t="n">
        <v>25.51308779244847</v>
      </c>
      <c r="F27" t="n">
        <v>5.951</v>
      </c>
      <c r="G27" t="n">
        <v>22.147752</v>
      </c>
      <c r="H27" t="n">
        <v>-19.56208779244847</v>
      </c>
      <c r="I27" t="n">
        <v>-3.365335792448473</v>
      </c>
      <c r="J27" t="inlineStr">
        <is>
          <t>Canada|CSCA.L|2021</t>
        </is>
      </c>
      <c r="K27" t="inlineStr">
        <is>
          <t>Canada|2021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2022</v>
      </c>
      <c r="E28" t="n">
        <v>-1.89243027888446</v>
      </c>
      <c r="F28" t="n">
        <v>4.189</v>
      </c>
      <c r="G28" t="n">
        <v>8.30847</v>
      </c>
      <c r="H28" t="n">
        <v>6.081430278884461</v>
      </c>
      <c r="I28" t="n">
        <v>10.20090027888446</v>
      </c>
      <c r="J28" t="inlineStr">
        <is>
          <t>Canada|CSCA.L|2022</t>
        </is>
      </c>
      <c r="K28" t="inlineStr">
        <is>
          <t>Canada|2022</t>
        </is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2023</v>
      </c>
      <c r="E29" t="n">
        <v>7.801685224194976</v>
      </c>
      <c r="F29" t="n">
        <v>1.529</v>
      </c>
      <c r="G29" t="n">
        <v>-0.779351</v>
      </c>
      <c r="H29" t="n">
        <v>-6.272685224194976</v>
      </c>
      <c r="I29" t="n">
        <v>-8.581036224194976</v>
      </c>
      <c r="J29" t="inlineStr">
        <is>
          <t>Canada|CSCA.L|2023</t>
        </is>
      </c>
      <c r="K29" t="inlineStr">
        <is>
          <t>Canada|2023</t>
        </is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2024</v>
      </c>
      <c r="E30" t="n">
        <v>13.72084928646016</v>
      </c>
      <c r="F30" t="n">
        <v>1.555</v>
      </c>
      <c r="G30" t="n">
        <v>3.234515</v>
      </c>
      <c r="H30" t="n">
        <v>-12.16584928646016</v>
      </c>
      <c r="I30" t="n">
        <v>-10.48633428646016</v>
      </c>
      <c r="J30" t="inlineStr">
        <is>
          <t>Canada|CSCA.L|2024</t>
        </is>
      </c>
      <c r="K30" t="inlineStr">
        <is>
          <t>Canada|2024</t>
        </is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2025</v>
      </c>
      <c r="E31" t="n">
        <v>24.92570021914682</v>
      </c>
      <c r="F31" t="n">
        <v>1.153</v>
      </c>
      <c r="G31" t="n">
        <v>1.781126</v>
      </c>
      <c r="H31" t="n">
        <v>-23.77270021914682</v>
      </c>
      <c r="I31" t="n">
        <v>-23.14457421914682</v>
      </c>
      <c r="J31" t="inlineStr">
        <is>
          <t>Canada|CSCA.L|2025</t>
        </is>
      </c>
      <c r="K31" t="inlineStr">
        <is>
          <t>Canada|2025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FRCH.L</t>
        </is>
      </c>
      <c r="D32" t="n">
        <v>2016</v>
      </c>
      <c r="E32" t="inlineStr"/>
      <c r="F32" t="n">
        <v>6.776</v>
      </c>
      <c r="G32" t="n">
        <v>1.245018</v>
      </c>
      <c r="H32" t="inlineStr"/>
      <c r="I32" t="inlineStr"/>
      <c r="J32" t="inlineStr">
        <is>
          <t>China|FRCH.L|2016</t>
        </is>
      </c>
      <c r="K32" t="inlineStr">
        <is>
          <t>China|2016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FRCH.L</t>
        </is>
      </c>
      <c r="D33" t="n">
        <v>2017</v>
      </c>
      <c r="E33" t="inlineStr"/>
      <c r="F33" t="n">
        <v>6.891</v>
      </c>
      <c r="G33" t="n">
        <v>9.218166999999999</v>
      </c>
      <c r="H33" t="inlineStr"/>
      <c r="I33" t="inlineStr"/>
      <c r="J33" t="inlineStr">
        <is>
          <t>China|FRCH.L|2017</t>
        </is>
      </c>
      <c r="K33" t="inlineStr">
        <is>
          <t>China|2017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FRCH.L</t>
        </is>
      </c>
      <c r="D34" t="n">
        <v>2018</v>
      </c>
      <c r="E34" t="inlineStr"/>
      <c r="F34" t="n">
        <v>6.759</v>
      </c>
      <c r="G34" t="n">
        <v>12.857919</v>
      </c>
      <c r="H34" t="inlineStr"/>
      <c r="I34" t="inlineStr"/>
      <c r="J34" t="inlineStr">
        <is>
          <t>China|FRCH.L|2018</t>
        </is>
      </c>
      <c r="K34" t="inlineStr">
        <is>
          <t>China|2018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FRCH.L</t>
        </is>
      </c>
      <c r="D35" t="n">
        <v>2019</v>
      </c>
      <c r="E35" t="n">
        <v>-10.87044106958419</v>
      </c>
      <c r="F35" t="n">
        <v>6.065</v>
      </c>
      <c r="G35" t="n">
        <v>3.270131</v>
      </c>
      <c r="H35" t="n">
        <v>16.93544106958419</v>
      </c>
      <c r="I35" t="n">
        <v>14.14057206958419</v>
      </c>
      <c r="J35" t="inlineStr">
        <is>
          <t>China|FRCH.L|2019</t>
        </is>
      </c>
      <c r="K35" t="inlineStr">
        <is>
          <t>China|2019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FRCH.L</t>
        </is>
      </c>
      <c r="D36" t="n">
        <v>2020</v>
      </c>
      <c r="E36" t="n">
        <v>23.07524006097852</v>
      </c>
      <c r="F36" t="n">
        <v>2.337</v>
      </c>
      <c r="G36" t="n">
        <v>3.643509</v>
      </c>
      <c r="H36" t="n">
        <v>-20.73824006097852</v>
      </c>
      <c r="I36" t="n">
        <v>-19.43173106097852</v>
      </c>
      <c r="J36" t="inlineStr">
        <is>
          <t>China|FRCH.L|2020</t>
        </is>
      </c>
      <c r="K36" t="inlineStr">
        <is>
          <t>China|2020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FRCH.L</t>
        </is>
      </c>
      <c r="D37" t="n">
        <v>2021</v>
      </c>
      <c r="E37" t="n">
        <v>-19.60732133084115</v>
      </c>
      <c r="F37" t="n">
        <v>8.555999999999999</v>
      </c>
      <c r="G37" t="n">
        <v>20.442118</v>
      </c>
      <c r="H37" t="n">
        <v>28.16332133084115</v>
      </c>
      <c r="I37" t="n">
        <v>40.04943933084115</v>
      </c>
      <c r="J37" t="inlineStr">
        <is>
          <t>China|FRCH.L|2021</t>
        </is>
      </c>
      <c r="K37" t="inlineStr">
        <is>
          <t>China|2021</t>
        </is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FRCH.L</t>
        </is>
      </c>
      <c r="D38" t="n">
        <v>2022</v>
      </c>
      <c r="E38" t="n">
        <v>-11.50830910951064</v>
      </c>
      <c r="F38" t="n">
        <v>3.112</v>
      </c>
      <c r="G38" t="n">
        <v>0.643254</v>
      </c>
      <c r="H38" t="n">
        <v>14.62030910951064</v>
      </c>
      <c r="I38" t="n">
        <v>12.15156310951064</v>
      </c>
      <c r="J38" t="inlineStr">
        <is>
          <t>China|FRCH.L|2022</t>
        </is>
      </c>
      <c r="K38" t="inlineStr">
        <is>
          <t>China|2022</t>
        </is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FRCH.L</t>
        </is>
      </c>
      <c r="D39" t="n">
        <v>2023</v>
      </c>
      <c r="E39" t="n">
        <v>-20.24672517688978</v>
      </c>
      <c r="F39" t="n">
        <v>5.377</v>
      </c>
      <c r="G39" t="n">
        <v>-0.204639</v>
      </c>
      <c r="H39" t="n">
        <v>25.62372517688978</v>
      </c>
      <c r="I39" t="n">
        <v>20.04208617688978</v>
      </c>
      <c r="J39" t="inlineStr">
        <is>
          <t>China|FRCH.L|2023</t>
        </is>
      </c>
      <c r="K39" t="inlineStr">
        <is>
          <t>China|2023</t>
        </is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FRCH.L</t>
        </is>
      </c>
      <c r="D40" t="n">
        <v>2024</v>
      </c>
      <c r="E40" t="n">
        <v>21.9474252872935</v>
      </c>
      <c r="F40" t="n">
        <v>5.003</v>
      </c>
      <c r="G40" t="n">
        <v>2.623967</v>
      </c>
      <c r="H40" t="n">
        <v>-16.9444252872935</v>
      </c>
      <c r="I40" t="n">
        <v>-19.3234582872935</v>
      </c>
      <c r="J40" t="inlineStr">
        <is>
          <t>China|FRCH.L|2024</t>
        </is>
      </c>
      <c r="K40" t="inlineStr">
        <is>
          <t>China|2024</t>
        </is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FRCH.L</t>
        </is>
      </c>
      <c r="D41" t="n">
        <v>2025</v>
      </c>
      <c r="E41" t="n">
        <v>23.31919229212323</v>
      </c>
      <c r="F41" t="n">
        <v>4.796</v>
      </c>
      <c r="G41" t="n">
        <v>3.460407</v>
      </c>
      <c r="H41" t="n">
        <v>-18.52319229212323</v>
      </c>
      <c r="I41" t="n">
        <v>-19.85878529212323</v>
      </c>
      <c r="J41" t="inlineStr">
        <is>
          <t>China|FRCH.L|2025</t>
        </is>
      </c>
      <c r="K41" t="inlineStr">
        <is>
          <t>China|2025</t>
        </is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2016</v>
      </c>
      <c r="E42" t="n">
        <v>7.19257759648706</v>
      </c>
      <c r="F42" t="n">
        <v>6.776</v>
      </c>
      <c r="G42" t="n">
        <v>1.245018</v>
      </c>
      <c r="H42" t="n">
        <v>-0.4165775964870599</v>
      </c>
      <c r="I42" t="n">
        <v>-5.94755959648706</v>
      </c>
      <c r="J42" t="inlineStr">
        <is>
          <t>China|IASH.L|2016</t>
        </is>
      </c>
      <c r="K42" t="inlineStr">
        <is>
          <t>China|2016</t>
        </is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2017</v>
      </c>
      <c r="E43" t="n">
        <v>16.93833654333832</v>
      </c>
      <c r="F43" t="n">
        <v>6.891</v>
      </c>
      <c r="G43" t="n">
        <v>9.218166999999999</v>
      </c>
      <c r="H43" t="n">
        <v>-10.04733654333832</v>
      </c>
      <c r="I43" t="n">
        <v>-7.720169543338317</v>
      </c>
      <c r="J43" t="inlineStr">
        <is>
          <t>China|IASH.L|2017</t>
        </is>
      </c>
      <c r="K43" t="inlineStr">
        <is>
          <t>China|2017</t>
        </is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2018</v>
      </c>
      <c r="E44" t="n">
        <v>-23.35946430862727</v>
      </c>
      <c r="F44" t="n">
        <v>6.759</v>
      </c>
      <c r="G44" t="n">
        <v>12.857919</v>
      </c>
      <c r="H44" t="n">
        <v>30.11846430862727</v>
      </c>
      <c r="I44" t="n">
        <v>36.21738330862728</v>
      </c>
      <c r="J44" t="inlineStr">
        <is>
          <t>China|IASH.L|2018</t>
        </is>
      </c>
      <c r="K44" t="inlineStr">
        <is>
          <t>China|2018</t>
        </is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2019</v>
      </c>
      <c r="E45" t="n">
        <v>30.09538094455615</v>
      </c>
      <c r="F45" t="n">
        <v>6.065</v>
      </c>
      <c r="G45" t="n">
        <v>3.270131</v>
      </c>
      <c r="H45" t="n">
        <v>-24.03038094455615</v>
      </c>
      <c r="I45" t="n">
        <v>-26.82524994455615</v>
      </c>
      <c r="J45" t="inlineStr">
        <is>
          <t>China|IASH.L|2019</t>
        </is>
      </c>
      <c r="K45" t="inlineStr">
        <is>
          <t>China|2019</t>
        </is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2020</v>
      </c>
      <c r="E46" t="n">
        <v>34.60637862908649</v>
      </c>
      <c r="F46" t="n">
        <v>2.337</v>
      </c>
      <c r="G46" t="n">
        <v>3.643509</v>
      </c>
      <c r="H46" t="n">
        <v>-32.26937862908648</v>
      </c>
      <c r="I46" t="n">
        <v>-30.96286962908648</v>
      </c>
      <c r="J46" t="inlineStr">
        <is>
          <t>China|IASH.L|2020</t>
        </is>
      </c>
      <c r="K46" t="inlineStr">
        <is>
          <t>China|2020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2021</v>
      </c>
      <c r="E47" t="n">
        <v>1.574716041712132</v>
      </c>
      <c r="F47" t="n">
        <v>8.555999999999999</v>
      </c>
      <c r="G47" t="n">
        <v>20.442118</v>
      </c>
      <c r="H47" t="n">
        <v>6.981283958287867</v>
      </c>
      <c r="I47" t="n">
        <v>18.86740195828787</v>
      </c>
      <c r="J47" t="inlineStr">
        <is>
          <t>China|IASH.L|2021</t>
        </is>
      </c>
      <c r="K47" t="inlineStr">
        <is>
          <t>China|2021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2022</v>
      </c>
      <c r="E48" t="n">
        <v>-16.15522663493669</v>
      </c>
      <c r="F48" t="n">
        <v>3.112</v>
      </c>
      <c r="G48" t="n">
        <v>0.643254</v>
      </c>
      <c r="H48" t="n">
        <v>19.26722663493669</v>
      </c>
      <c r="I48" t="n">
        <v>16.79848063493669</v>
      </c>
      <c r="J48" t="inlineStr">
        <is>
          <t>China|IASH.L|2022</t>
        </is>
      </c>
      <c r="K48" t="inlineStr">
        <is>
          <t>China|2022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2023</v>
      </c>
      <c r="E49" t="n">
        <v>-19.74632994062772</v>
      </c>
      <c r="F49" t="n">
        <v>5.377</v>
      </c>
      <c r="G49" t="n">
        <v>-0.204639</v>
      </c>
      <c r="H49" t="n">
        <v>25.12332994062772</v>
      </c>
      <c r="I49" t="n">
        <v>19.54169094062772</v>
      </c>
      <c r="J49" t="inlineStr">
        <is>
          <t>China|IASH.L|2023</t>
        </is>
      </c>
      <c r="K49" t="inlineStr">
        <is>
          <t>China|2023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n">
        <v>2024</v>
      </c>
      <c r="E50" t="n">
        <v>13.75058122481656</v>
      </c>
      <c r="F50" t="n">
        <v>5.003</v>
      </c>
      <c r="G50" t="n">
        <v>2.623967</v>
      </c>
      <c r="H50" t="n">
        <v>-8.74758122481656</v>
      </c>
      <c r="I50" t="n">
        <v>-11.12661422481656</v>
      </c>
      <c r="J50" t="inlineStr">
        <is>
          <t>China|IASH.L|2024</t>
        </is>
      </c>
      <c r="K50" t="inlineStr">
        <is>
          <t>China|2024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n">
        <v>2025</v>
      </c>
      <c r="E51" t="n">
        <v>19.49281886573942</v>
      </c>
      <c r="F51" t="n">
        <v>4.796</v>
      </c>
      <c r="G51" t="n">
        <v>3.460407</v>
      </c>
      <c r="H51" t="n">
        <v>-14.69681886573942</v>
      </c>
      <c r="I51" t="n">
        <v>-16.03241186573942</v>
      </c>
      <c r="J51" t="inlineStr">
        <is>
          <t>China|IASH.L|2025</t>
        </is>
      </c>
      <c r="K51" t="inlineStr">
        <is>
          <t>China|2025</t>
        </is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2016</v>
      </c>
      <c r="E52" t="n">
        <v>29.38290730699718</v>
      </c>
      <c r="F52" t="n">
        <v>0.735</v>
      </c>
      <c r="G52" t="n">
        <v>1.105116</v>
      </c>
      <c r="H52" t="n">
        <v>-28.64790730699718</v>
      </c>
      <c r="I52" t="n">
        <v>-28.27779130699718</v>
      </c>
      <c r="J52" t="inlineStr">
        <is>
          <t>France|ISFR.L|2016</t>
        </is>
      </c>
      <c r="K52" t="inlineStr">
        <is>
          <t>France|2016</t>
        </is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2017</v>
      </c>
      <c r="E53" t="n">
        <v>18.65315852205005</v>
      </c>
      <c r="F53" t="n">
        <v>2.268</v>
      </c>
      <c r="G53" t="n">
        <v>4.78713</v>
      </c>
      <c r="H53" t="n">
        <v>-16.38515852205005</v>
      </c>
      <c r="I53" t="n">
        <v>-13.86602852205005</v>
      </c>
      <c r="J53" t="inlineStr">
        <is>
          <t>France|ISFR.L|2017</t>
        </is>
      </c>
      <c r="K53" t="inlineStr">
        <is>
          <t>France|2017</t>
        </is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2018</v>
      </c>
      <c r="E54" t="n">
        <v>-7.625983592834418</v>
      </c>
      <c r="F54" t="n">
        <v>1.593</v>
      </c>
      <c r="G54" t="n">
        <v>7.530386</v>
      </c>
      <c r="H54" t="n">
        <v>9.218983592834418</v>
      </c>
      <c r="I54" t="n">
        <v>15.15636959283442</v>
      </c>
      <c r="J54" t="inlineStr">
        <is>
          <t>France|ISFR.L|2018</t>
        </is>
      </c>
      <c r="K54" t="inlineStr">
        <is>
          <t>France|2018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2019</v>
      </c>
      <c r="E55" t="n">
        <v>23.20391872278664</v>
      </c>
      <c r="F55" t="n">
        <v>2.091</v>
      </c>
      <c r="G55" t="n">
        <v>-2.146873</v>
      </c>
      <c r="H55" t="n">
        <v>-21.11291872278664</v>
      </c>
      <c r="I55" t="n">
        <v>-25.35079172278664</v>
      </c>
      <c r="J55" t="inlineStr">
        <is>
          <t>France|ISFR.L|2019</t>
        </is>
      </c>
      <c r="K55" t="inlineStr">
        <is>
          <t>France|2019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2020</v>
      </c>
      <c r="E56" t="n">
        <v>0.5099067599067419</v>
      </c>
      <c r="F56" t="n">
        <v>-7.603</v>
      </c>
      <c r="G56" t="n">
        <v>-2.838242</v>
      </c>
      <c r="H56" t="n">
        <v>-8.112906759906743</v>
      </c>
      <c r="I56" t="n">
        <v>-3.348148759906742</v>
      </c>
      <c r="J56" t="inlineStr">
        <is>
          <t>France|ISFR.L|2020</t>
        </is>
      </c>
      <c r="K56" t="inlineStr">
        <is>
          <t>France|2020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2021</v>
      </c>
      <c r="E57" t="n">
        <v>19.09182498560737</v>
      </c>
      <c r="F57" t="n">
        <v>6.794</v>
      </c>
      <c r="G57" t="n">
        <v>12.192844</v>
      </c>
      <c r="H57" t="n">
        <v>-12.29782498560737</v>
      </c>
      <c r="I57" t="n">
        <v>-6.898980985607375</v>
      </c>
      <c r="J57" t="inlineStr">
        <is>
          <t>France|ISFR.L|2021</t>
        </is>
      </c>
      <c r="K57" t="inlineStr">
        <is>
          <t>France|2021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2022</v>
      </c>
      <c r="E58" t="n">
        <v>-2.64912489582092</v>
      </c>
      <c r="F58" t="n">
        <v>2.801</v>
      </c>
      <c r="G58" t="n">
        <v>-5.774751</v>
      </c>
      <c r="H58" t="n">
        <v>5.45012489582092</v>
      </c>
      <c r="I58" t="n">
        <v>-3.12562610417908</v>
      </c>
      <c r="J58" t="inlineStr">
        <is>
          <t>France|ISFR.L|2022</t>
        </is>
      </c>
      <c r="K58" t="inlineStr">
        <is>
          <t>France|2022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2023</v>
      </c>
      <c r="E59" t="n">
        <v>13.95968278951512</v>
      </c>
      <c r="F59" t="n">
        <v>1.619</v>
      </c>
      <c r="G59" t="n">
        <v>9.442518</v>
      </c>
      <c r="H59" t="n">
        <v>-12.34068278951512</v>
      </c>
      <c r="I59" t="n">
        <v>-4.517164789515116</v>
      </c>
      <c r="J59" t="inlineStr">
        <is>
          <t>France|ISFR.L|2023</t>
        </is>
      </c>
      <c r="K59" t="inlineStr">
        <is>
          <t>France|2023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2024</v>
      </c>
      <c r="E60" t="n">
        <v>-3.266438941076011</v>
      </c>
      <c r="F60" t="n">
        <v>1.102</v>
      </c>
      <c r="G60" t="n">
        <v>3.260567</v>
      </c>
      <c r="H60" t="n">
        <v>4.368438941076011</v>
      </c>
      <c r="I60" t="n">
        <v>6.527005941076011</v>
      </c>
      <c r="J60" t="inlineStr">
        <is>
          <t>France|ISFR.L|2024</t>
        </is>
      </c>
      <c r="K60" t="inlineStr">
        <is>
          <t>France|2024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2025</v>
      </c>
      <c r="E61" t="n">
        <v>19.35963030203003</v>
      </c>
      <c r="F61" t="n">
        <v>0.671</v>
      </c>
      <c r="G61" t="n">
        <v>6.34803</v>
      </c>
      <c r="H61" t="n">
        <v>-18.68863030203003</v>
      </c>
      <c r="I61" t="n">
        <v>-13.01160030203003</v>
      </c>
      <c r="J61" t="inlineStr">
        <is>
          <t>France|ISFR.L|2025</t>
        </is>
      </c>
      <c r="K61" t="inlineStr">
        <is>
          <t>France|2025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n">
        <v>2016</v>
      </c>
      <c r="E62" t="n">
        <v>11.10671765226789</v>
      </c>
      <c r="F62" t="n">
        <v>2.217</v>
      </c>
      <c r="G62" t="n">
        <v>3.221945</v>
      </c>
      <c r="H62" t="n">
        <v>-8.889717652267894</v>
      </c>
      <c r="I62" t="n">
        <v>-7.884772652267895</v>
      </c>
      <c r="J62" t="inlineStr">
        <is>
          <t>Germany|XDAX.L|2016</t>
        </is>
      </c>
      <c r="K62" t="inlineStr">
        <is>
          <t>Germany|2016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n">
        <v>2017</v>
      </c>
      <c r="E63" t="n">
        <v>-1.427771945157674</v>
      </c>
      <c r="F63" t="n">
        <v>2.806</v>
      </c>
      <c r="G63" t="n">
        <v>6.454274</v>
      </c>
      <c r="H63" t="n">
        <v>4.233771945157674</v>
      </c>
      <c r="I63" t="n">
        <v>7.882045945157675</v>
      </c>
      <c r="J63" t="inlineStr">
        <is>
          <t>Germany|XDAX.L|2017</t>
        </is>
      </c>
      <c r="K63" t="inlineStr">
        <is>
          <t>Germany|2017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n">
        <v>2018</v>
      </c>
      <c r="E64" t="n">
        <v>-16.66816789767609</v>
      </c>
      <c r="F64" t="n">
        <v>1.133</v>
      </c>
      <c r="G64" t="n">
        <v>7.79084</v>
      </c>
      <c r="H64" t="n">
        <v>17.80116789767609</v>
      </c>
      <c r="I64" t="n">
        <v>24.45900789767609</v>
      </c>
      <c r="J64" t="inlineStr">
        <is>
          <t>Germany|XDAX.L|2018</t>
        </is>
      </c>
      <c r="K64" t="inlineStr">
        <is>
          <t>Germany|2018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XDAX.L</t>
        </is>
      </c>
      <c r="D65" t="n">
        <v>2019</v>
      </c>
      <c r="E65" t="n">
        <v>16.50359478890751</v>
      </c>
      <c r="F65" t="n">
        <v>0.973</v>
      </c>
      <c r="G65" t="n">
        <v>-2.38929</v>
      </c>
      <c r="H65" t="n">
        <v>-15.53059478890751</v>
      </c>
      <c r="I65" t="n">
        <v>-18.89288478890751</v>
      </c>
      <c r="J65" t="inlineStr">
        <is>
          <t>Germany|XDAX.L|2019</t>
        </is>
      </c>
      <c r="K65" t="inlineStr">
        <is>
          <t>Germany|2019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t="n">
        <v>2020</v>
      </c>
      <c r="E66" t="n">
        <v>7.320404261130853</v>
      </c>
      <c r="F66" t="n">
        <v>-4.127</v>
      </c>
      <c r="G66" t="n">
        <v>-0.557731</v>
      </c>
      <c r="H66" t="n">
        <v>-11.44740426113085</v>
      </c>
      <c r="I66" t="n">
        <v>-7.878135261130852</v>
      </c>
      <c r="J66" t="inlineStr">
        <is>
          <t>Germany|XDAX.L|2020</t>
        </is>
      </c>
      <c r="K66" t="inlineStr">
        <is>
          <t>Germany|2020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t="n">
        <v>2021</v>
      </c>
      <c r="E67" t="n">
        <v>6.768558951965065</v>
      </c>
      <c r="F67" t="n">
        <v>3.913</v>
      </c>
      <c r="G67" t="n">
        <v>10.662189</v>
      </c>
      <c r="H67" t="n">
        <v>-2.855558951965065</v>
      </c>
      <c r="I67" t="n">
        <v>3.893630048034935</v>
      </c>
      <c r="J67" t="inlineStr">
        <is>
          <t>Germany|XDAX.L|2021</t>
        </is>
      </c>
      <c r="K67" t="inlineStr">
        <is>
          <t>Germany|2021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t="n">
        <v>2022</v>
      </c>
      <c r="E68" t="n">
        <v>-8.695314321237079</v>
      </c>
      <c r="F68" t="n">
        <v>1.807</v>
      </c>
      <c r="G68" t="n">
        <v>-3.529482</v>
      </c>
      <c r="H68" t="n">
        <v>10.50231432123708</v>
      </c>
      <c r="I68" t="n">
        <v>5.16583232123708</v>
      </c>
      <c r="J68" t="inlineStr">
        <is>
          <t>Germany|XDAX.L|2022</t>
        </is>
      </c>
      <c r="K68" t="inlineStr">
        <is>
          <t>Germany|2022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t="n">
        <v>2023</v>
      </c>
      <c r="E69" t="n">
        <v>15.80053817692566</v>
      </c>
      <c r="F69" t="n">
        <v>-0.872</v>
      </c>
      <c r="G69" t="n">
        <v>8.543483999999999</v>
      </c>
      <c r="H69" t="n">
        <v>-16.67253817692566</v>
      </c>
      <c r="I69" t="n">
        <v>-7.25705417692566</v>
      </c>
      <c r="J69" t="inlineStr">
        <is>
          <t>Germany|XDAX.L|2023</t>
        </is>
      </c>
      <c r="K69" t="inlineStr">
        <is>
          <t>Germany|2023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XDAX.L</t>
        </is>
      </c>
      <c r="D70" t="n">
        <v>2024</v>
      </c>
      <c r="E70" t="n">
        <v>13.16821615339918</v>
      </c>
      <c r="F70" t="n">
        <v>-0.496</v>
      </c>
      <c r="G70" t="n">
        <v>2.643988</v>
      </c>
      <c r="H70" t="n">
        <v>-13.66421615339918</v>
      </c>
      <c r="I70" t="n">
        <v>-10.52422815339918</v>
      </c>
      <c r="J70" t="inlineStr">
        <is>
          <t>Germany|XDAX.L|2024</t>
        </is>
      </c>
      <c r="K70" t="inlineStr">
        <is>
          <t>Germany|2024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XDAX.L</t>
        </is>
      </c>
      <c r="D71" t="n">
        <v>2025</v>
      </c>
      <c r="E71" t="n">
        <v>28.64559964104865</v>
      </c>
      <c r="F71" t="n">
        <v>0.191</v>
      </c>
      <c r="G71" t="n">
        <v>7.032007</v>
      </c>
      <c r="H71" t="n">
        <v>-28.45459964104865</v>
      </c>
      <c r="I71" t="n">
        <v>-21.61359264104865</v>
      </c>
      <c r="J71" t="inlineStr">
        <is>
          <t>Germany|XDAX.L|2025</t>
        </is>
      </c>
      <c r="K71" t="inlineStr">
        <is>
          <t>Germany|2025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FRIN.L</t>
        </is>
      </c>
      <c r="D72" t="n">
        <v>2016</v>
      </c>
      <c r="E72" t="inlineStr"/>
      <c r="F72" t="n">
        <v>8.256</v>
      </c>
      <c r="G72" t="n">
        <v>9.08966</v>
      </c>
      <c r="H72" t="inlineStr"/>
      <c r="I72" t="inlineStr"/>
      <c r="J72" t="inlineStr">
        <is>
          <t>India|FRIN.L|2016</t>
        </is>
      </c>
      <c r="K72" t="inlineStr">
        <is>
          <t>India|2016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FRIN.L</t>
        </is>
      </c>
      <c r="D73" t="n">
        <v>2017</v>
      </c>
      <c r="E73" t="inlineStr"/>
      <c r="F73" t="n">
        <v>6.795</v>
      </c>
      <c r="G73" t="n">
        <v>15.542856</v>
      </c>
      <c r="H73" t="inlineStr"/>
      <c r="I73" t="inlineStr"/>
      <c r="J73" t="inlineStr">
        <is>
          <t>India|FRIN.L|2017</t>
        </is>
      </c>
      <c r="K73" t="inlineStr">
        <is>
          <t>India|2017</t>
        </is>
      </c>
    </row>
    <row r="74">
      <c r="A74" t="inlineStr">
        <is>
          <t>India</t>
        </is>
      </c>
      <c r="B74" t="inlineStr">
        <is>
          <t>IND</t>
        </is>
      </c>
      <c r="C74" t="inlineStr">
        <is>
          <t>FRIN.L</t>
        </is>
      </c>
      <c r="D74" t="n">
        <v>2018</v>
      </c>
      <c r="E74" t="inlineStr"/>
      <c r="F74" t="n">
        <v>6.454</v>
      </c>
      <c r="G74" t="n">
        <v>1.940656</v>
      </c>
      <c r="H74" t="inlineStr"/>
      <c r="I74" t="inlineStr"/>
      <c r="J74" t="inlineStr">
        <is>
          <t>India|FRIN.L|2018</t>
        </is>
      </c>
      <c r="K74" t="inlineStr">
        <is>
          <t>India|2018</t>
        </is>
      </c>
    </row>
    <row r="75">
      <c r="A75" t="inlineStr">
        <is>
          <t>India</t>
        </is>
      </c>
      <c r="B75" t="inlineStr">
        <is>
          <t>IND</t>
        </is>
      </c>
      <c r="C75" t="inlineStr">
        <is>
          <t>FRIN.L</t>
        </is>
      </c>
      <c r="D75" t="n">
        <v>2019</v>
      </c>
      <c r="E75" t="n">
        <v>-4.637822015006455</v>
      </c>
      <c r="F75" t="n">
        <v>3.871</v>
      </c>
      <c r="G75" t="n">
        <v>4.908599</v>
      </c>
      <c r="H75" t="n">
        <v>8.508822015006455</v>
      </c>
      <c r="I75" t="n">
        <v>9.546421015006455</v>
      </c>
      <c r="J75" t="inlineStr">
        <is>
          <t>India|FRIN.L|2019</t>
        </is>
      </c>
      <c r="K75" t="inlineStr">
        <is>
          <t>India|2019</t>
        </is>
      </c>
    </row>
    <row r="76">
      <c r="A76" t="inlineStr">
        <is>
          <t>India</t>
        </is>
      </c>
      <c r="B76" t="inlineStr">
        <is>
          <t>IND</t>
        </is>
      </c>
      <c r="C76" t="inlineStr">
        <is>
          <t>FRIN.L</t>
        </is>
      </c>
      <c r="D76" t="n">
        <v>2020</v>
      </c>
      <c r="E76" t="n">
        <v>7.24277646797018</v>
      </c>
      <c r="F76" t="n">
        <v>-5.778</v>
      </c>
      <c r="G76" t="n">
        <v>-5.669123</v>
      </c>
      <c r="H76" t="n">
        <v>-13.02077646797018</v>
      </c>
      <c r="I76" t="n">
        <v>-12.91189946797018</v>
      </c>
      <c r="J76" t="inlineStr">
        <is>
          <t>India|FRIN.L|2020</t>
        </is>
      </c>
      <c r="K76" t="inlineStr">
        <is>
          <t>India|2020</t>
        </is>
      </c>
    </row>
    <row r="77">
      <c r="A77" t="inlineStr">
        <is>
          <t>India</t>
        </is>
      </c>
      <c r="B77" t="inlineStr">
        <is>
          <t>IND</t>
        </is>
      </c>
      <c r="C77" t="inlineStr">
        <is>
          <t>FRIN.L</t>
        </is>
      </c>
      <c r="D77" t="n">
        <v>2021</v>
      </c>
      <c r="E77" t="n">
        <v>24.04403606616248</v>
      </c>
      <c r="F77" t="n">
        <v>9.69</v>
      </c>
      <c r="G77" t="n">
        <v>18.409205</v>
      </c>
      <c r="H77" t="n">
        <v>-14.35403606616248</v>
      </c>
      <c r="I77" t="n">
        <v>-5.634831066162477</v>
      </c>
      <c r="J77" t="inlineStr">
        <is>
          <t>India|FRIN.L|2021</t>
        </is>
      </c>
      <c r="K77" t="inlineStr">
        <is>
          <t>India|2021</t>
        </is>
      </c>
    </row>
    <row r="78">
      <c r="A78" t="inlineStr">
        <is>
          <t>India</t>
        </is>
      </c>
      <c r="B78" t="inlineStr">
        <is>
          <t>IND</t>
        </is>
      </c>
      <c r="C78" t="inlineStr">
        <is>
          <t>FRIN.L</t>
        </is>
      </c>
      <c r="D78" t="n">
        <v>2022</v>
      </c>
      <c r="E78" t="n">
        <v>1.5595603106348</v>
      </c>
      <c r="F78" t="n">
        <v>7.609</v>
      </c>
      <c r="G78" t="n">
        <v>5.646375</v>
      </c>
      <c r="H78" t="n">
        <v>6.0494396893652</v>
      </c>
      <c r="I78" t="n">
        <v>4.0868146893652</v>
      </c>
      <c r="J78" t="inlineStr">
        <is>
          <t>India|FRIN.L|2022</t>
        </is>
      </c>
      <c r="K78" t="inlineStr">
        <is>
          <t>India|2022</t>
        </is>
      </c>
    </row>
    <row r="79">
      <c r="A79" t="inlineStr">
        <is>
          <t>India</t>
        </is>
      </c>
      <c r="B79" t="inlineStr">
        <is>
          <t>IND</t>
        </is>
      </c>
      <c r="C79" t="inlineStr">
        <is>
          <t>FRIN.L</t>
        </is>
      </c>
      <c r="D79" t="n">
        <v>2023</v>
      </c>
      <c r="E79" t="n">
        <v>14.77472639630843</v>
      </c>
      <c r="F79" t="n">
        <v>9.191000000000001</v>
      </c>
      <c r="G79" t="n">
        <v>8.738004999999999</v>
      </c>
      <c r="H79" t="n">
        <v>-5.583726396308434</v>
      </c>
      <c r="I79" t="n">
        <v>-6.036721396308435</v>
      </c>
      <c r="J79" t="inlineStr">
        <is>
          <t>India|FRIN.L|2023</t>
        </is>
      </c>
      <c r="K79" t="inlineStr">
        <is>
          <t>India|2023</t>
        </is>
      </c>
    </row>
    <row r="80">
      <c r="A80" t="inlineStr">
        <is>
          <t>India</t>
        </is>
      </c>
      <c r="B80" t="inlineStr">
        <is>
          <t>IND</t>
        </is>
      </c>
      <c r="C80" t="inlineStr">
        <is>
          <t>FRIN.L</t>
        </is>
      </c>
      <c r="D80" t="n">
        <v>2024</v>
      </c>
      <c r="E80" t="n">
        <v>11.93300171126379</v>
      </c>
      <c r="F80" t="n">
        <v>6.495</v>
      </c>
      <c r="G80" t="n">
        <v>7.459193</v>
      </c>
      <c r="H80" t="n">
        <v>-5.438001711263792</v>
      </c>
      <c r="I80" t="n">
        <v>-4.473808711263792</v>
      </c>
      <c r="J80" t="inlineStr">
        <is>
          <t>India|FRIN.L|2024</t>
        </is>
      </c>
      <c r="K80" t="inlineStr">
        <is>
          <t>India|2024</t>
        </is>
      </c>
    </row>
    <row r="81">
      <c r="A81" t="inlineStr">
        <is>
          <t>India</t>
        </is>
      </c>
      <c r="B81" t="inlineStr">
        <is>
          <t>IND</t>
        </is>
      </c>
      <c r="C81" t="inlineStr">
        <is>
          <t>FRIN.L</t>
        </is>
      </c>
      <c r="D81" t="n">
        <v>2025</v>
      </c>
      <c r="E81" t="n">
        <v>-6.536902020772983</v>
      </c>
      <c r="F81" t="n">
        <v>6.646</v>
      </c>
      <c r="G81" t="n">
        <v>5.507083</v>
      </c>
      <c r="H81" t="n">
        <v>13.18290202077298</v>
      </c>
      <c r="I81" t="n">
        <v>12.04398502077298</v>
      </c>
      <c r="J81" t="inlineStr">
        <is>
          <t>India|FRIN.L|2025</t>
        </is>
      </c>
      <c r="K81" t="inlineStr">
        <is>
          <t>India|2025</t>
        </is>
      </c>
    </row>
    <row r="82">
      <c r="A82" t="inlineStr">
        <is>
          <t>India</t>
        </is>
      </c>
      <c r="B82" t="inlineStr">
        <is>
          <t>IND</t>
        </is>
      </c>
      <c r="C82" t="inlineStr">
        <is>
          <t>IIND.L</t>
        </is>
      </c>
      <c r="D82" t="n">
        <v>2016</v>
      </c>
      <c r="E82" t="inlineStr"/>
      <c r="F82" t="n">
        <v>8.256</v>
      </c>
      <c r="G82" t="n">
        <v>9.08966</v>
      </c>
      <c r="H82" t="inlineStr"/>
      <c r="I82" t="inlineStr"/>
      <c r="J82" t="inlineStr">
        <is>
          <t>India|IIND.L|2016</t>
        </is>
      </c>
      <c r="K82" t="inlineStr">
        <is>
          <t>India|2016</t>
        </is>
      </c>
    </row>
    <row r="83">
      <c r="A83" t="inlineStr">
        <is>
          <t>India</t>
        </is>
      </c>
      <c r="B83" t="inlineStr">
        <is>
          <t>IND</t>
        </is>
      </c>
      <c r="C83" t="inlineStr">
        <is>
          <t>IIND.L</t>
        </is>
      </c>
      <c r="D83" t="n">
        <v>2017</v>
      </c>
      <c r="E83" t="inlineStr"/>
      <c r="F83" t="n">
        <v>6.795</v>
      </c>
      <c r="G83" t="n">
        <v>15.542856</v>
      </c>
      <c r="H83" t="inlineStr"/>
      <c r="I83" t="inlineStr"/>
      <c r="J83" t="inlineStr">
        <is>
          <t>India|IIND.L|2017</t>
        </is>
      </c>
      <c r="K83" t="inlineStr">
        <is>
          <t>India|2017</t>
        </is>
      </c>
    </row>
    <row r="84">
      <c r="A84" t="inlineStr">
        <is>
          <t>India</t>
        </is>
      </c>
      <c r="B84" t="inlineStr">
        <is>
          <t>IND</t>
        </is>
      </c>
      <c r="C84" t="inlineStr">
        <is>
          <t>IIND.L</t>
        </is>
      </c>
      <c r="D84" t="n">
        <v>2018</v>
      </c>
      <c r="E84" t="n">
        <v>-21.95159644533496</v>
      </c>
      <c r="F84" t="n">
        <v>6.454</v>
      </c>
      <c r="G84" t="n">
        <v>1.940656</v>
      </c>
      <c r="H84" t="n">
        <v>28.40559644533496</v>
      </c>
      <c r="I84" t="n">
        <v>23.89225244533496</v>
      </c>
      <c r="J84" t="inlineStr">
        <is>
          <t>India|IIND.L|2018</t>
        </is>
      </c>
      <c r="K84" t="inlineStr">
        <is>
          <t>India|2018</t>
        </is>
      </c>
    </row>
    <row r="85">
      <c r="A85" t="inlineStr">
        <is>
          <t>India</t>
        </is>
      </c>
      <c r="B85" t="inlineStr">
        <is>
          <t>IND</t>
        </is>
      </c>
      <c r="C85" t="inlineStr">
        <is>
          <t>IIND.L</t>
        </is>
      </c>
      <c r="D85" t="n">
        <v>2019</v>
      </c>
      <c r="E85" t="n">
        <v>3.026741249554177</v>
      </c>
      <c r="F85" t="n">
        <v>3.871</v>
      </c>
      <c r="G85" t="n">
        <v>4.908599</v>
      </c>
      <c r="H85" t="n">
        <v>0.8442587504458232</v>
      </c>
      <c r="I85" t="n">
        <v>1.881857750445823</v>
      </c>
      <c r="J85" t="inlineStr">
        <is>
          <t>India|IIND.L|2019</t>
        </is>
      </c>
      <c r="K85" t="inlineStr">
        <is>
          <t>India|2019</t>
        </is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IIND.L</t>
        </is>
      </c>
      <c r="D86" t="n">
        <v>2020</v>
      </c>
      <c r="E86" t="n">
        <v>9.282150919931919</v>
      </c>
      <c r="F86" t="n">
        <v>-5.778</v>
      </c>
      <c r="G86" t="n">
        <v>-5.669123</v>
      </c>
      <c r="H86" t="n">
        <v>-15.06015091993192</v>
      </c>
      <c r="I86" t="n">
        <v>-14.95127391993192</v>
      </c>
      <c r="J86" t="inlineStr">
        <is>
          <t>India|IIND.L|2020</t>
        </is>
      </c>
      <c r="K86" t="inlineStr">
        <is>
          <t>India|2020</t>
        </is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IIND.L</t>
        </is>
      </c>
      <c r="D87" t="n">
        <v>2021</v>
      </c>
      <c r="E87" t="n">
        <v>25.17963082524994</v>
      </c>
      <c r="F87" t="n">
        <v>9.69</v>
      </c>
      <c r="G87" t="n">
        <v>18.409205</v>
      </c>
      <c r="H87" t="n">
        <v>-15.48963082524994</v>
      </c>
      <c r="I87" t="n">
        <v>-6.770425825249944</v>
      </c>
      <c r="J87" t="inlineStr">
        <is>
          <t>India|IIND.L|2021</t>
        </is>
      </c>
      <c r="K87" t="inlineStr">
        <is>
          <t>India|2021</t>
        </is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IIND.L</t>
        </is>
      </c>
      <c r="D88" t="n">
        <v>2022</v>
      </c>
      <c r="E88" t="n">
        <v>1.472577747136516</v>
      </c>
      <c r="F88" t="n">
        <v>7.609</v>
      </c>
      <c r="G88" t="n">
        <v>5.646375</v>
      </c>
      <c r="H88" t="n">
        <v>6.136422252863484</v>
      </c>
      <c r="I88" t="n">
        <v>4.173797252863483</v>
      </c>
      <c r="J88" t="inlineStr">
        <is>
          <t>India|IIND.L|2022</t>
        </is>
      </c>
      <c r="K88" t="inlineStr">
        <is>
          <t>India|2022</t>
        </is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IIND.L</t>
        </is>
      </c>
      <c r="D89" t="n">
        <v>2023</v>
      </c>
      <c r="E89" t="n">
        <v>12.41873439836767</v>
      </c>
      <c r="F89" t="n">
        <v>9.191000000000001</v>
      </c>
      <c r="G89" t="n">
        <v>8.738004999999999</v>
      </c>
      <c r="H89" t="n">
        <v>-3.227734398367669</v>
      </c>
      <c r="I89" t="n">
        <v>-3.680729398367671</v>
      </c>
      <c r="J89" t="inlineStr">
        <is>
          <t>India|IIND.L|2023</t>
        </is>
      </c>
      <c r="K89" t="inlineStr">
        <is>
          <t>India|2023</t>
        </is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IIND.L</t>
        </is>
      </c>
      <c r="D90" t="n">
        <v>2024</v>
      </c>
      <c r="E90" t="n">
        <v>10.48244693304636</v>
      </c>
      <c r="F90" t="n">
        <v>6.495</v>
      </c>
      <c r="G90" t="n">
        <v>7.459193</v>
      </c>
      <c r="H90" t="n">
        <v>-3.987446933046363</v>
      </c>
      <c r="I90" t="n">
        <v>-3.023253933046363</v>
      </c>
      <c r="J90" t="inlineStr">
        <is>
          <t>India|IIND.L|2024</t>
        </is>
      </c>
      <c r="K90" t="inlineStr">
        <is>
          <t>India|2024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IIND.L</t>
        </is>
      </c>
      <c r="D91" t="n">
        <v>2025</v>
      </c>
      <c r="E91" t="n">
        <v>-5.707615136935273</v>
      </c>
      <c r="F91" t="n">
        <v>6.646</v>
      </c>
      <c r="G91" t="n">
        <v>5.507083</v>
      </c>
      <c r="H91" t="n">
        <v>12.35361513693527</v>
      </c>
      <c r="I91" t="n">
        <v>11.21469813693527</v>
      </c>
      <c r="J91" t="inlineStr">
        <is>
          <t>India|IIND.L|2025</t>
        </is>
      </c>
      <c r="K91" t="inlineStr">
        <is>
          <t>India|2025</t>
        </is>
      </c>
    </row>
    <row r="92">
      <c r="A92" t="inlineStr">
        <is>
          <t>Japan</t>
        </is>
      </c>
      <c r="B92" t="inlineStr">
        <is>
          <t>JPN</t>
        </is>
      </c>
      <c r="C92" t="inlineStr">
        <is>
          <t>IJPN.L</t>
        </is>
      </c>
      <c r="D92" t="n">
        <v>2016</v>
      </c>
      <c r="E92" t="n">
        <v>24.76837554045705</v>
      </c>
      <c r="F92" t="n">
        <v>0.754</v>
      </c>
      <c r="G92" t="n">
        <v>12.570431</v>
      </c>
      <c r="H92" t="n">
        <v>-24.01437554045705</v>
      </c>
      <c r="I92" t="n">
        <v>-12.19794454045705</v>
      </c>
      <c r="J92" t="inlineStr">
        <is>
          <t>Japan|IJPN.L|2016</t>
        </is>
      </c>
      <c r="K92" t="inlineStr">
        <is>
          <t>Japan|2016</t>
        </is>
      </c>
    </row>
    <row r="93">
      <c r="A93" t="inlineStr">
        <is>
          <t>Japan</t>
        </is>
      </c>
      <c r="B93" t="inlineStr">
        <is>
          <t>JPN</t>
        </is>
      </c>
      <c r="C93" t="inlineStr">
        <is>
          <t>IJPN.L</t>
        </is>
      </c>
      <c r="D93" t="n">
        <v>2017</v>
      </c>
      <c r="E93" t="n">
        <v>10.94135041892559</v>
      </c>
      <c r="F93" t="n">
        <v>1.675</v>
      </c>
      <c r="G93" t="n">
        <v>-1.455749</v>
      </c>
      <c r="H93" t="n">
        <v>-9.266350418925587</v>
      </c>
      <c r="I93" t="n">
        <v>-12.39709941892559</v>
      </c>
      <c r="J93" t="inlineStr">
        <is>
          <t>Japan|IJPN.L|2017</t>
        </is>
      </c>
      <c r="K93" t="inlineStr">
        <is>
          <t>Japan|2017</t>
        </is>
      </c>
    </row>
    <row r="94">
      <c r="A94" t="inlineStr">
        <is>
          <t>Japan</t>
        </is>
      </c>
      <c r="B94" t="inlineStr">
        <is>
          <t>JPN</t>
        </is>
      </c>
      <c r="C94" t="inlineStr">
        <is>
          <t>IJPN.L</t>
        </is>
      </c>
      <c r="D94" t="n">
        <v>2018</v>
      </c>
      <c r="E94" t="n">
        <v>-9.746972740059723</v>
      </c>
      <c r="F94" t="n">
        <v>0.643</v>
      </c>
      <c r="G94" t="n">
        <v>2.231751</v>
      </c>
      <c r="H94" t="n">
        <v>10.38997274005972</v>
      </c>
      <c r="I94" t="n">
        <v>11.97872374005972</v>
      </c>
      <c r="J94" t="inlineStr">
        <is>
          <t>Japan|IJPN.L|2018</t>
        </is>
      </c>
      <c r="K94" t="inlineStr">
        <is>
          <t>Japan|2018</t>
        </is>
      </c>
    </row>
    <row r="95">
      <c r="A95" t="inlineStr">
        <is>
          <t>Japan</t>
        </is>
      </c>
      <c r="B95" t="inlineStr">
        <is>
          <t>JPN</t>
        </is>
      </c>
      <c r="C95" t="inlineStr">
        <is>
          <t>IJPN.L</t>
        </is>
      </c>
      <c r="D95" t="n">
        <v>2019</v>
      </c>
      <c r="E95" t="n">
        <v>11.05687088113254</v>
      </c>
      <c r="F95" t="n">
        <v>-0.402</v>
      </c>
      <c r="G95" t="n">
        <v>1.529772</v>
      </c>
      <c r="H95" t="n">
        <v>-11.45887088113254</v>
      </c>
      <c r="I95" t="n">
        <v>-9.527098881132542</v>
      </c>
      <c r="J95" t="inlineStr">
        <is>
          <t>Japan|IJPN.L|2019</t>
        </is>
      </c>
      <c r="K95" t="inlineStr">
        <is>
          <t>Japan|2019</t>
        </is>
      </c>
    </row>
    <row r="96">
      <c r="A96" t="inlineStr">
        <is>
          <t>Japan</t>
        </is>
      </c>
      <c r="B96" t="inlineStr">
        <is>
          <t>JPN</t>
        </is>
      </c>
      <c r="C96" t="inlineStr">
        <is>
          <t>IJPN.L</t>
        </is>
      </c>
      <c r="D96" t="n">
        <v>2020</v>
      </c>
      <c r="E96" t="n">
        <v>8.564013840830453</v>
      </c>
      <c r="F96" t="n">
        <v>-4.169</v>
      </c>
      <c r="G96" t="n">
        <v>-1.249044</v>
      </c>
      <c r="H96" t="n">
        <v>-12.73301384083045</v>
      </c>
      <c r="I96" t="n">
        <v>-9.813057840830453</v>
      </c>
      <c r="J96" t="inlineStr">
        <is>
          <t>Japan|IJPN.L|2020</t>
        </is>
      </c>
      <c r="K96" t="inlineStr">
        <is>
          <t>Japan|2020</t>
        </is>
      </c>
    </row>
    <row r="97">
      <c r="A97" t="inlineStr">
        <is>
          <t>Japan</t>
        </is>
      </c>
      <c r="B97" t="inlineStr">
        <is>
          <t>JPN</t>
        </is>
      </c>
      <c r="C97" t="inlineStr">
        <is>
          <t>IJPN.L</t>
        </is>
      </c>
      <c r="D97" t="n">
        <v>2021</v>
      </c>
      <c r="E97" t="n">
        <v>0.8393285371702586</v>
      </c>
      <c r="F97" t="n">
        <v>2.697</v>
      </c>
      <c r="G97" t="n">
        <v>-0.295227</v>
      </c>
      <c r="H97" t="n">
        <v>1.857671462829741</v>
      </c>
      <c r="I97" t="n">
        <v>-1.134555537170259</v>
      </c>
      <c r="J97" t="inlineStr">
        <is>
          <t>Japan|IJPN.L|2021</t>
        </is>
      </c>
      <c r="K97" t="inlineStr">
        <is>
          <t>Japan|2021</t>
        </is>
      </c>
    </row>
    <row r="98">
      <c r="A98" t="inlineStr">
        <is>
          <t>Japan</t>
        </is>
      </c>
      <c r="B98" t="inlineStr">
        <is>
          <t>JPN</t>
        </is>
      </c>
      <c r="C98" t="inlineStr">
        <is>
          <t>IJPN.L</t>
        </is>
      </c>
      <c r="D98" t="n">
        <v>2022</v>
      </c>
      <c r="E98" t="n">
        <v>-10.19170579029734</v>
      </c>
      <c r="F98" t="n">
        <v>0.96</v>
      </c>
      <c r="G98" t="n">
        <v>-15.397782</v>
      </c>
      <c r="H98" t="n">
        <v>11.15170579029735</v>
      </c>
      <c r="I98" t="n">
        <v>-5.206076209702655</v>
      </c>
      <c r="J98" t="inlineStr">
        <is>
          <t>Japan|IJPN.L|2022</t>
        </is>
      </c>
      <c r="K98" t="inlineStr">
        <is>
          <t>Japan|2022</t>
        </is>
      </c>
    </row>
    <row r="99">
      <c r="A99" t="inlineStr">
        <is>
          <t>Japan</t>
        </is>
      </c>
      <c r="B99" t="inlineStr">
        <is>
          <t>JPN</t>
        </is>
      </c>
      <c r="C99" t="inlineStr">
        <is>
          <t>IJPN.L</t>
        </is>
      </c>
      <c r="D99" t="n">
        <v>2023</v>
      </c>
      <c r="E99" t="n">
        <v>10.74433656957927</v>
      </c>
      <c r="F99" t="n">
        <v>1.245</v>
      </c>
      <c r="G99" t="n">
        <v>-1.375905</v>
      </c>
      <c r="H99" t="n">
        <v>-9.49933656957927</v>
      </c>
      <c r="I99" t="n">
        <v>-12.12024156957927</v>
      </c>
      <c r="J99" t="inlineStr">
        <is>
          <t>Japan|IJPN.L|2023</t>
        </is>
      </c>
      <c r="K99" t="inlineStr">
        <is>
          <t>Japan|2023</t>
        </is>
      </c>
    </row>
    <row r="100">
      <c r="A100" t="inlineStr">
        <is>
          <t>Japan</t>
        </is>
      </c>
      <c r="B100" t="inlineStr">
        <is>
          <t>JPN</t>
        </is>
      </c>
      <c r="C100" t="inlineStr">
        <is>
          <t>IJPN.L</t>
        </is>
      </c>
      <c r="D100" t="n">
        <v>2024</v>
      </c>
      <c r="E100" t="n">
        <v>6.997084548104948</v>
      </c>
      <c r="F100" t="n">
        <v>0.104</v>
      </c>
      <c r="G100" t="n">
        <v>-4.404514</v>
      </c>
      <c r="H100" t="n">
        <v>-6.893084548104948</v>
      </c>
      <c r="I100" t="n">
        <v>-11.40159854810495</v>
      </c>
      <c r="J100" t="inlineStr">
        <is>
          <t>Japan|IJPN.L|2024</t>
        </is>
      </c>
      <c r="K100" t="inlineStr">
        <is>
          <t>Japan|2024</t>
        </is>
      </c>
    </row>
    <row r="101">
      <c r="A101" t="inlineStr">
        <is>
          <t>Japan</t>
        </is>
      </c>
      <c r="B101" t="inlineStr">
        <is>
          <t>JPN</t>
        </is>
      </c>
      <c r="C101" t="inlineStr">
        <is>
          <t>IJPN.L</t>
        </is>
      </c>
      <c r="D101" t="n">
        <v>2025</v>
      </c>
      <c r="E101" t="n">
        <v>13.36075836165267</v>
      </c>
      <c r="F101" t="n">
        <v>1.076</v>
      </c>
      <c r="G101" t="n">
        <v>6.479752</v>
      </c>
      <c r="H101" t="n">
        <v>-12.28475836165267</v>
      </c>
      <c r="I101" t="n">
        <v>-6.881006361652669</v>
      </c>
      <c r="J101" t="inlineStr">
        <is>
          <t>Japan|IJPN.L|2025</t>
        </is>
      </c>
      <c r="K101" t="inlineStr">
        <is>
          <t>Japan|2025</t>
        </is>
      </c>
    </row>
    <row r="102">
      <c r="A102" t="inlineStr">
        <is>
          <t>Japan</t>
        </is>
      </c>
      <c r="B102" t="inlineStr">
        <is>
          <t>JPN</t>
        </is>
      </c>
      <c r="C102" t="inlineStr">
        <is>
          <t>LCJP.L</t>
        </is>
      </c>
      <c r="D102" t="n">
        <v>2016</v>
      </c>
      <c r="E102" t="inlineStr"/>
      <c r="F102" t="n">
        <v>0.754</v>
      </c>
      <c r="G102" t="n">
        <v>12.570431</v>
      </c>
      <c r="H102" t="inlineStr"/>
      <c r="I102" t="inlineStr"/>
      <c r="J102" t="inlineStr">
        <is>
          <t>Japan|LCJP.L|2016</t>
        </is>
      </c>
      <c r="K102" t="inlineStr">
        <is>
          <t>Japan|2016</t>
        </is>
      </c>
    </row>
    <row r="103">
      <c r="A103" t="inlineStr">
        <is>
          <t>Japan</t>
        </is>
      </c>
      <c r="B103" t="inlineStr">
        <is>
          <t>JPN</t>
        </is>
      </c>
      <c r="C103" t="inlineStr">
        <is>
          <t>LCJP.L</t>
        </is>
      </c>
      <c r="D103" t="n">
        <v>2017</v>
      </c>
      <c r="E103" t="inlineStr"/>
      <c r="F103" t="n">
        <v>1.675</v>
      </c>
      <c r="G103" t="n">
        <v>-1.455749</v>
      </c>
      <c r="H103" t="inlineStr"/>
      <c r="I103" t="inlineStr"/>
      <c r="J103" t="inlineStr">
        <is>
          <t>Japan|LCJP.L|2017</t>
        </is>
      </c>
      <c r="K103" t="inlineStr">
        <is>
          <t>Japan|2017</t>
        </is>
      </c>
    </row>
    <row r="104">
      <c r="A104" t="inlineStr">
        <is>
          <t>Japan</t>
        </is>
      </c>
      <c r="B104" t="inlineStr">
        <is>
          <t>JPN</t>
        </is>
      </c>
      <c r="C104" t="inlineStr">
        <is>
          <t>LCJP.L</t>
        </is>
      </c>
      <c r="D104" t="n">
        <v>2018</v>
      </c>
      <c r="E104" t="n">
        <v>-99.38213335673014</v>
      </c>
      <c r="F104" t="n">
        <v>0.643</v>
      </c>
      <c r="G104" t="n">
        <v>2.231751</v>
      </c>
      <c r="H104" t="n">
        <v>100.0251333567301</v>
      </c>
      <c r="I104" t="n">
        <v>101.6138843567301</v>
      </c>
      <c r="J104" t="inlineStr">
        <is>
          <t>Japan|LCJP.L|2018</t>
        </is>
      </c>
      <c r="K104" t="inlineStr">
        <is>
          <t>Japan|2018</t>
        </is>
      </c>
    </row>
    <row r="105">
      <c r="A105" t="inlineStr">
        <is>
          <t>Japan</t>
        </is>
      </c>
      <c r="B105" t="inlineStr">
        <is>
          <t>JPN</t>
        </is>
      </c>
      <c r="C105" t="inlineStr">
        <is>
          <t>LCJP.L</t>
        </is>
      </c>
      <c r="D105" t="n">
        <v>2019</v>
      </c>
      <c r="E105" t="n">
        <v>13.37103048725012</v>
      </c>
      <c r="F105" t="n">
        <v>-0.402</v>
      </c>
      <c r="G105" t="n">
        <v>1.529772</v>
      </c>
      <c r="H105" t="n">
        <v>-13.77303048725012</v>
      </c>
      <c r="I105" t="n">
        <v>-11.84125848725012</v>
      </c>
      <c r="J105" t="inlineStr">
        <is>
          <t>Japan|LCJP.L|2019</t>
        </is>
      </c>
      <c r="K105" t="inlineStr">
        <is>
          <t>Japan|2019</t>
        </is>
      </c>
    </row>
    <row r="106">
      <c r="A106" t="inlineStr">
        <is>
          <t>Japan</t>
        </is>
      </c>
      <c r="B106" t="inlineStr">
        <is>
          <t>JPN</t>
        </is>
      </c>
      <c r="C106" t="inlineStr">
        <is>
          <t>LCJP.L</t>
        </is>
      </c>
      <c r="D106" t="n">
        <v>2020</v>
      </c>
      <c r="E106" t="n">
        <v>10.47610752457546</v>
      </c>
      <c r="F106" t="n">
        <v>-4.169</v>
      </c>
      <c r="G106" t="n">
        <v>-1.249044</v>
      </c>
      <c r="H106" t="n">
        <v>-14.64510752457546</v>
      </c>
      <c r="I106" t="n">
        <v>-11.72515152457546</v>
      </c>
      <c r="J106" t="inlineStr">
        <is>
          <t>Japan|LCJP.L|2020</t>
        </is>
      </c>
      <c r="K106" t="inlineStr">
        <is>
          <t>Japan|2020</t>
        </is>
      </c>
    </row>
    <row r="107">
      <c r="A107" t="inlineStr">
        <is>
          <t>Japan</t>
        </is>
      </c>
      <c r="B107" t="inlineStr">
        <is>
          <t>JPN</t>
        </is>
      </c>
      <c r="C107" t="inlineStr">
        <is>
          <t>LCJP.L</t>
        </is>
      </c>
      <c r="D107" t="n">
        <v>2021</v>
      </c>
      <c r="E107" t="n">
        <v>2.436155535753204</v>
      </c>
      <c r="F107" t="n">
        <v>2.697</v>
      </c>
      <c r="G107" t="n">
        <v>-0.295227</v>
      </c>
      <c r="H107" t="n">
        <v>0.2608444642467962</v>
      </c>
      <c r="I107" t="n">
        <v>-2.731382535753204</v>
      </c>
      <c r="J107" t="inlineStr">
        <is>
          <t>Japan|LCJP.L|2021</t>
        </is>
      </c>
      <c r="K107" t="inlineStr">
        <is>
          <t>Japan|2021</t>
        </is>
      </c>
    </row>
    <row r="108">
      <c r="A108" t="inlineStr">
        <is>
          <t>Japan</t>
        </is>
      </c>
      <c r="B108" t="inlineStr">
        <is>
          <t>JPN</t>
        </is>
      </c>
      <c r="C108" t="inlineStr">
        <is>
          <t>LCJP.L</t>
        </is>
      </c>
      <c r="D108" t="n">
        <v>2022</v>
      </c>
      <c r="E108" t="n">
        <v>-8.411516781782735</v>
      </c>
      <c r="F108" t="n">
        <v>0.96</v>
      </c>
      <c r="G108" t="n">
        <v>-15.397782</v>
      </c>
      <c r="H108" t="n">
        <v>9.371516781782734</v>
      </c>
      <c r="I108" t="n">
        <v>-6.986265218217264</v>
      </c>
      <c r="J108" t="inlineStr">
        <is>
          <t>Japan|LCJP.L|2022</t>
        </is>
      </c>
      <c r="K108" t="inlineStr">
        <is>
          <t>Japan|2022</t>
        </is>
      </c>
    </row>
    <row r="109">
      <c r="A109" t="inlineStr">
        <is>
          <t>Japan</t>
        </is>
      </c>
      <c r="B109" t="inlineStr">
        <is>
          <t>JPN</t>
        </is>
      </c>
      <c r="C109" t="inlineStr">
        <is>
          <t>LCJP.L</t>
        </is>
      </c>
      <c r="D109" t="n">
        <v>2023</v>
      </c>
      <c r="E109" t="n">
        <v>12.84403937287639</v>
      </c>
      <c r="F109" t="n">
        <v>1.245</v>
      </c>
      <c r="G109" t="n">
        <v>-1.375905</v>
      </c>
      <c r="H109" t="n">
        <v>-11.59903937287639</v>
      </c>
      <c r="I109" t="n">
        <v>-14.21994437287639</v>
      </c>
      <c r="J109" t="inlineStr">
        <is>
          <t>Japan|LCJP.L|2023</t>
        </is>
      </c>
      <c r="K109" t="inlineStr">
        <is>
          <t>Japan|2023</t>
        </is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LCJP.L</t>
        </is>
      </c>
      <c r="D110" t="n">
        <v>2024</v>
      </c>
      <c r="E110" t="n">
        <v>8.710773527333115</v>
      </c>
      <c r="F110" t="n">
        <v>0.104</v>
      </c>
      <c r="G110" t="n">
        <v>-4.404514</v>
      </c>
      <c r="H110" t="n">
        <v>-8.606773527333116</v>
      </c>
      <c r="I110" t="n">
        <v>-13.11528752733312</v>
      </c>
      <c r="J110" t="inlineStr">
        <is>
          <t>Japan|LCJP.L|2024</t>
        </is>
      </c>
      <c r="K110" t="inlineStr">
        <is>
          <t>Japan|2024</t>
        </is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LCJP.L</t>
        </is>
      </c>
      <c r="D111" t="n">
        <v>2025</v>
      </c>
      <c r="E111" t="n">
        <v>15.82411632877179</v>
      </c>
      <c r="F111" t="n">
        <v>1.076</v>
      </c>
      <c r="G111" t="n">
        <v>6.479752</v>
      </c>
      <c r="H111" t="n">
        <v>-14.74811632877179</v>
      </c>
      <c r="I111" t="n">
        <v>-9.344364328771785</v>
      </c>
      <c r="J111" t="inlineStr">
        <is>
          <t>Japan|LCJP.L|2025</t>
        </is>
      </c>
      <c r="K111" t="inlineStr">
        <is>
          <t>Japan|2025</t>
        </is>
      </c>
    </row>
    <row r="112">
      <c r="A112" t="inlineStr">
        <is>
          <t>Malaysia</t>
        </is>
      </c>
      <c r="B112" t="inlineStr">
        <is>
          <t>MYS</t>
        </is>
      </c>
      <c r="C112" t="inlineStr">
        <is>
          <t>XCX3.L</t>
        </is>
      </c>
      <c r="D112" t="n">
        <v>2016</v>
      </c>
      <c r="E112" t="n">
        <v>18.38652482269503</v>
      </c>
      <c r="F112" t="n">
        <v>4.45</v>
      </c>
      <c r="G112" t="n">
        <v>-0.032852</v>
      </c>
      <c r="H112" t="n">
        <v>-13.93652482269503</v>
      </c>
      <c r="I112" t="n">
        <v>-18.41937682269502</v>
      </c>
      <c r="J112" t="inlineStr">
        <is>
          <t>Malaysia|XCX3.L|2016</t>
        </is>
      </c>
      <c r="K112" t="inlineStr">
        <is>
          <t>Malaysia|2016</t>
        </is>
      </c>
    </row>
    <row r="113">
      <c r="A113" t="inlineStr">
        <is>
          <t>Malaysia</t>
        </is>
      </c>
      <c r="B113" t="inlineStr">
        <is>
          <t>MYS</t>
        </is>
      </c>
      <c r="C113" t="inlineStr">
        <is>
          <t>XCX3.L</t>
        </is>
      </c>
      <c r="D113" t="n">
        <v>2017</v>
      </c>
      <c r="E113" t="n">
        <v>10.07011785767567</v>
      </c>
      <c r="F113" t="n">
        <v>5.813</v>
      </c>
      <c r="G113" t="n">
        <v>5.926189</v>
      </c>
      <c r="H113" t="n">
        <v>-4.257117857675666</v>
      </c>
      <c r="I113" t="n">
        <v>-4.143928857675665</v>
      </c>
      <c r="J113" t="inlineStr">
        <is>
          <t>Malaysia|XCX3.L|2017</t>
        </is>
      </c>
      <c r="K113" t="inlineStr">
        <is>
          <t>Malaysia|2017</t>
        </is>
      </c>
    </row>
    <row r="114">
      <c r="A114" t="inlineStr">
        <is>
          <t>Malaysia</t>
        </is>
      </c>
      <c r="B114" t="inlineStr">
        <is>
          <t>MYS</t>
        </is>
      </c>
      <c r="C114" t="inlineStr">
        <is>
          <t>XCX3.L</t>
        </is>
      </c>
      <c r="D114" t="n">
        <v>2018</v>
      </c>
      <c r="E114" t="n">
        <v>2.100840336134446</v>
      </c>
      <c r="F114" t="n">
        <v>4.843</v>
      </c>
      <c r="G114" t="n">
        <v>12.432742</v>
      </c>
      <c r="H114" t="n">
        <v>2.742159663865554</v>
      </c>
      <c r="I114" t="n">
        <v>10.33190166386555</v>
      </c>
      <c r="J114" t="inlineStr">
        <is>
          <t>Malaysia|XCX3.L|2018</t>
        </is>
      </c>
      <c r="K114" t="inlineStr">
        <is>
          <t>Malaysia|2018</t>
        </is>
      </c>
    </row>
    <row r="115">
      <c r="A115" t="inlineStr">
        <is>
          <t>Malaysia</t>
        </is>
      </c>
      <c r="B115" t="inlineStr">
        <is>
          <t>MYS</t>
        </is>
      </c>
      <c r="C115" t="inlineStr">
        <is>
          <t>XCX3.L</t>
        </is>
      </c>
      <c r="D115" t="n">
        <v>2019</v>
      </c>
      <c r="E115" t="n">
        <v>-6.105762890676503</v>
      </c>
      <c r="F115" t="n">
        <v>4.413</v>
      </c>
      <c r="G115" t="n">
        <v>1.782414</v>
      </c>
      <c r="H115" t="n">
        <v>10.5187628906765</v>
      </c>
      <c r="I115" t="n">
        <v>7.888176890676503</v>
      </c>
      <c r="J115" t="inlineStr">
        <is>
          <t>Malaysia|XCX3.L|2019</t>
        </is>
      </c>
      <c r="K115" t="inlineStr">
        <is>
          <t>Malaysia|2019</t>
        </is>
      </c>
    </row>
    <row r="116">
      <c r="A116" t="inlineStr">
        <is>
          <t>Malaysia</t>
        </is>
      </c>
      <c r="B116" t="inlineStr">
        <is>
          <t>MYS</t>
        </is>
      </c>
      <c r="C116" t="inlineStr">
        <is>
          <t>XCX3.L</t>
        </is>
      </c>
      <c r="D116" t="n">
        <v>2020</v>
      </c>
      <c r="E116" t="n">
        <v>-1.636615811373088</v>
      </c>
      <c r="F116" t="n">
        <v>-5.457</v>
      </c>
      <c r="G116" t="n">
        <v>-7.591366</v>
      </c>
      <c r="H116" t="n">
        <v>-3.820384188626912</v>
      </c>
      <c r="I116" t="n">
        <v>-5.954750188626912</v>
      </c>
      <c r="J116" t="inlineStr">
        <is>
          <t>Malaysia|XCX3.L|2020</t>
        </is>
      </c>
      <c r="K116" t="inlineStr">
        <is>
          <t>Malaysia|2020</t>
        </is>
      </c>
    </row>
    <row r="117">
      <c r="A117" t="inlineStr">
        <is>
          <t>Malaysia</t>
        </is>
      </c>
      <c r="B117" t="inlineStr">
        <is>
          <t>MYS</t>
        </is>
      </c>
      <c r="C117" t="inlineStr">
        <is>
          <t>XCX3.L</t>
        </is>
      </c>
      <c r="D117" t="n">
        <v>2021</v>
      </c>
      <c r="E117" t="n">
        <v>-5.977566377963949</v>
      </c>
      <c r="F117" t="n">
        <v>3.315</v>
      </c>
      <c r="G117" t="n">
        <v>10.765552</v>
      </c>
      <c r="H117" t="n">
        <v>9.292566377963949</v>
      </c>
      <c r="I117" t="n">
        <v>16.74311837796395</v>
      </c>
      <c r="J117" t="inlineStr">
        <is>
          <t>Malaysia|XCX3.L|2021</t>
        </is>
      </c>
      <c r="K117" t="inlineStr">
        <is>
          <t>Malaysia|2021</t>
        </is>
      </c>
    </row>
    <row r="118">
      <c r="A118" t="inlineStr">
        <is>
          <t>Malaysia</t>
        </is>
      </c>
      <c r="B118" t="inlineStr">
        <is>
          <t>MYS</t>
        </is>
      </c>
      <c r="C118" t="inlineStr">
        <is>
          <t>XCX3.L</t>
        </is>
      </c>
      <c r="D118" t="n">
        <v>2022</v>
      </c>
      <c r="E118" t="n">
        <v>7.51303281202087</v>
      </c>
      <c r="F118" t="n">
        <v>9.032</v>
      </c>
      <c r="G118" t="n">
        <v>9.108177</v>
      </c>
      <c r="H118" t="n">
        <v>1.51896718797913</v>
      </c>
      <c r="I118" t="n">
        <v>1.595144187979129</v>
      </c>
      <c r="J118" t="inlineStr">
        <is>
          <t>Malaysia|XCX3.L|2022</t>
        </is>
      </c>
      <c r="K118" t="inlineStr">
        <is>
          <t>Malaysia|2022</t>
        </is>
      </c>
    </row>
    <row r="119">
      <c r="A119" t="inlineStr">
        <is>
          <t>Malaysia</t>
        </is>
      </c>
      <c r="B119" t="inlineStr">
        <is>
          <t>MYS</t>
        </is>
      </c>
      <c r="C119" t="inlineStr">
        <is>
          <t>XCX3.L</t>
        </is>
      </c>
      <c r="D119" t="n">
        <v>2023</v>
      </c>
      <c r="E119" t="n">
        <v>-8.690630864732206</v>
      </c>
      <c r="F119" t="n">
        <v>3.537</v>
      </c>
      <c r="G119" t="n">
        <v>-1.932423</v>
      </c>
      <c r="H119" t="n">
        <v>12.22763086473221</v>
      </c>
      <c r="I119" t="n">
        <v>6.758207864732206</v>
      </c>
      <c r="J119" t="inlineStr">
        <is>
          <t>Malaysia|XCX3.L|2023</t>
        </is>
      </c>
      <c r="K119" t="inlineStr">
        <is>
          <t>Malaysia|2023</t>
        </is>
      </c>
    </row>
    <row r="120">
      <c r="A120" t="inlineStr">
        <is>
          <t>Malaysia</t>
        </is>
      </c>
      <c r="B120" t="inlineStr">
        <is>
          <t>MYS</t>
        </is>
      </c>
      <c r="C120" t="inlineStr">
        <is>
          <t>XCX3.L</t>
        </is>
      </c>
      <c r="D120" t="n">
        <v>2024</v>
      </c>
      <c r="E120" t="n">
        <v>21.8267716535433</v>
      </c>
      <c r="F120" t="n">
        <v>5.105</v>
      </c>
      <c r="G120" t="n">
        <v>5.57021</v>
      </c>
      <c r="H120" t="n">
        <v>-16.7217716535433</v>
      </c>
      <c r="I120" t="n">
        <v>-16.2565616535433</v>
      </c>
      <c r="J120" t="inlineStr">
        <is>
          <t>Malaysia|XCX3.L|2024</t>
        </is>
      </c>
      <c r="K120" t="inlineStr">
        <is>
          <t>Malaysia|2024</t>
        </is>
      </c>
    </row>
    <row r="121">
      <c r="A121" t="inlineStr">
        <is>
          <t>Malaysia</t>
        </is>
      </c>
      <c r="B121" t="inlineStr">
        <is>
          <t>MYS</t>
        </is>
      </c>
      <c r="C121" t="inlineStr">
        <is>
          <t>XCX3.L</t>
        </is>
      </c>
      <c r="D121" t="n">
        <v>2025</v>
      </c>
      <c r="E121" t="n">
        <v>6.998844227558743</v>
      </c>
      <c r="F121" t="n">
        <v>4.5</v>
      </c>
      <c r="G121" t="n">
        <v>11.450002</v>
      </c>
      <c r="H121" t="n">
        <v>-2.498844227558743</v>
      </c>
      <c r="I121" t="n">
        <v>4.451157772441257</v>
      </c>
      <c r="J121" t="inlineStr">
        <is>
          <t>Malaysia|XCX3.L|2025</t>
        </is>
      </c>
      <c r="K121" t="inlineStr">
        <is>
          <t>Malaysia|2025</t>
        </is>
      </c>
    </row>
    <row r="122">
      <c r="A122" t="inlineStr">
        <is>
          <t>Mexico</t>
        </is>
      </c>
      <c r="B122" t="inlineStr">
        <is>
          <t>MEX</t>
        </is>
      </c>
      <c r="C122" t="inlineStr">
        <is>
          <t>XMEX.L</t>
        </is>
      </c>
      <c r="D122" t="n">
        <v>2016</v>
      </c>
      <c r="E122" t="n">
        <v>11.89535854640324</v>
      </c>
      <c r="F122" t="n">
        <v>1.772</v>
      </c>
      <c r="G122" t="n">
        <v>-8.329473</v>
      </c>
      <c r="H122" t="n">
        <v>-10.12335854640324</v>
      </c>
      <c r="I122" t="n">
        <v>-20.22483154640324</v>
      </c>
      <c r="J122" t="inlineStr">
        <is>
          <t>Mexico|XMEX.L|2016</t>
        </is>
      </c>
      <c r="K122" t="inlineStr">
        <is>
          <t>Mexico|2016</t>
        </is>
      </c>
    </row>
    <row r="123">
      <c r="A123" t="inlineStr">
        <is>
          <t>Mexico</t>
        </is>
      </c>
      <c r="B123" t="inlineStr">
        <is>
          <t>MEX</t>
        </is>
      </c>
      <c r="C123" t="inlineStr">
        <is>
          <t>XMEX.L</t>
        </is>
      </c>
      <c r="D123" t="n">
        <v>2017</v>
      </c>
      <c r="E123" t="n">
        <v>3.693817729694904</v>
      </c>
      <c r="F123" t="n">
        <v>1.872</v>
      </c>
      <c r="G123" t="n">
        <v>7.056795</v>
      </c>
      <c r="H123" t="n">
        <v>-1.821817729694904</v>
      </c>
      <c r="I123" t="n">
        <v>3.362977270305096</v>
      </c>
      <c r="J123" t="inlineStr">
        <is>
          <t>Mexico|XMEX.L|2017</t>
        </is>
      </c>
      <c r="K123" t="inlineStr">
        <is>
          <t>Mexico|2017</t>
        </is>
      </c>
    </row>
    <row r="124">
      <c r="A124" t="inlineStr">
        <is>
          <t>Mexico</t>
        </is>
      </c>
      <c r="B124" t="inlineStr">
        <is>
          <t>MEX</t>
        </is>
      </c>
      <c r="C124" t="inlineStr">
        <is>
          <t>XMEX.L</t>
        </is>
      </c>
      <c r="D124" t="n">
        <v>2018</v>
      </c>
      <c r="E124" t="n">
        <v>-10.87596013818325</v>
      </c>
      <c r="F124" t="n">
        <v>1.972</v>
      </c>
      <c r="G124" t="n">
        <v>5.507503</v>
      </c>
      <c r="H124" t="n">
        <v>12.84796013818325</v>
      </c>
      <c r="I124" t="n">
        <v>16.38346313818325</v>
      </c>
      <c r="J124" t="inlineStr">
        <is>
          <t>Mexico|XMEX.L|2018</t>
        </is>
      </c>
      <c r="K124" t="inlineStr">
        <is>
          <t>Mexico|2018</t>
        </is>
      </c>
    </row>
    <row r="125">
      <c r="A125" t="inlineStr">
        <is>
          <t>Mexico</t>
        </is>
      </c>
      <c r="B125" t="inlineStr">
        <is>
          <t>MEX</t>
        </is>
      </c>
      <c r="C125" t="inlineStr">
        <is>
          <t>XMEX.L</t>
        </is>
      </c>
      <c r="D125" t="n">
        <v>2019</v>
      </c>
      <c r="E125" t="n">
        <v>4.346498216753458</v>
      </c>
      <c r="F125" t="n">
        <v>-0.393</v>
      </c>
      <c r="G125" t="n">
        <v>3.805301</v>
      </c>
      <c r="H125" t="n">
        <v>-4.739498216753458</v>
      </c>
      <c r="I125" t="n">
        <v>-0.5411972167534582</v>
      </c>
      <c r="J125" t="inlineStr">
        <is>
          <t>Mexico|XMEX.L|2019</t>
        </is>
      </c>
      <c r="K125" t="inlineStr">
        <is>
          <t>Mexico|2019</t>
        </is>
      </c>
    </row>
    <row r="126">
      <c r="A126" t="inlineStr">
        <is>
          <t>Mexico</t>
        </is>
      </c>
      <c r="B126" t="inlineStr">
        <is>
          <t>MEX</t>
        </is>
      </c>
      <c r="C126" t="inlineStr">
        <is>
          <t>XMEX.L</t>
        </is>
      </c>
      <c r="D126" t="n">
        <v>2020</v>
      </c>
      <c r="E126" t="n">
        <v>-5.381167780111673</v>
      </c>
      <c r="F126" t="n">
        <v>-8.353999999999999</v>
      </c>
      <c r="G126" t="n">
        <v>-14.035746</v>
      </c>
      <c r="H126" t="n">
        <v>-2.972832219888327</v>
      </c>
      <c r="I126" t="n">
        <v>-8.654578219888327</v>
      </c>
      <c r="J126" t="inlineStr">
        <is>
          <t>Mexico|XMEX.L|2020</t>
        </is>
      </c>
      <c r="K126" t="inlineStr">
        <is>
          <t>Mexico|2020</t>
        </is>
      </c>
    </row>
    <row r="127">
      <c r="A127" t="inlineStr">
        <is>
          <t>Mexico</t>
        </is>
      </c>
      <c r="B127" t="inlineStr">
        <is>
          <t>MEX</t>
        </is>
      </c>
      <c r="C127" t="inlineStr">
        <is>
          <t>XMEX.L</t>
        </is>
      </c>
      <c r="D127" t="n">
        <v>2021</v>
      </c>
      <c r="E127" t="n">
        <v>19.99089795741909</v>
      </c>
      <c r="F127" t="n">
        <v>6.048</v>
      </c>
      <c r="G127" t="n">
        <v>17.439132</v>
      </c>
      <c r="H127" t="n">
        <v>-13.94289795741909</v>
      </c>
      <c r="I127" t="n">
        <v>-2.551765957419086</v>
      </c>
      <c r="J127" t="inlineStr">
        <is>
          <t>Mexico|XMEX.L|2021</t>
        </is>
      </c>
      <c r="K127" t="inlineStr">
        <is>
          <t>Mexico|2021</t>
        </is>
      </c>
    </row>
    <row r="128">
      <c r="A128" t="inlineStr">
        <is>
          <t>Mexico</t>
        </is>
      </c>
      <c r="B128" t="inlineStr">
        <is>
          <t>MEX</t>
        </is>
      </c>
      <c r="C128" t="inlineStr">
        <is>
          <t>XMEX.L</t>
        </is>
      </c>
      <c r="D128" t="n">
        <v>2022</v>
      </c>
      <c r="E128" t="n">
        <v>11.77221792262422</v>
      </c>
      <c r="F128" t="n">
        <v>3.71</v>
      </c>
      <c r="G128" t="n">
        <v>11.42105</v>
      </c>
      <c r="H128" t="n">
        <v>-8.062217922624217</v>
      </c>
      <c r="I128" t="n">
        <v>-0.351167922624219</v>
      </c>
      <c r="J128" t="inlineStr">
        <is>
          <t>Mexico|XMEX.L|2022</t>
        </is>
      </c>
      <c r="K128" t="inlineStr">
        <is>
          <t>Mexico|2022</t>
        </is>
      </c>
    </row>
    <row r="129">
      <c r="A129" t="inlineStr">
        <is>
          <t>Mexico</t>
        </is>
      </c>
      <c r="B129" t="inlineStr">
        <is>
          <t>MEX</t>
        </is>
      </c>
      <c r="C129" t="inlineStr">
        <is>
          <t>XMEX.L</t>
        </is>
      </c>
      <c r="D129" t="n">
        <v>2023</v>
      </c>
      <c r="E129" t="n">
        <v>29.66957921780331</v>
      </c>
      <c r="F129" t="n">
        <v>3.354</v>
      </c>
      <c r="G129" t="n">
        <v>22.590162</v>
      </c>
      <c r="H129" t="n">
        <v>-26.31557921780331</v>
      </c>
      <c r="I129" t="n">
        <v>-7.079417217803311</v>
      </c>
      <c r="J129" t="inlineStr">
        <is>
          <t>Mexico|XMEX.L|2023</t>
        </is>
      </c>
      <c r="K129" t="inlineStr">
        <is>
          <t>Mexico|2023</t>
        </is>
      </c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t="n">
        <v>2024</v>
      </c>
      <c r="E130" t="n">
        <v>-26.73406378777472</v>
      </c>
      <c r="F130" t="n">
        <v>1.427</v>
      </c>
      <c r="G130" t="n">
        <v>3.227905</v>
      </c>
      <c r="H130" t="n">
        <v>28.16106378777472</v>
      </c>
      <c r="I130" t="n">
        <v>29.96196878777472</v>
      </c>
      <c r="J130" t="inlineStr">
        <is>
          <t>Mexico|XMEX.L|2024</t>
        </is>
      </c>
      <c r="K130" t="inlineStr">
        <is>
          <t>Mexico|2024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t="n">
        <v>2025</v>
      </c>
      <c r="E131" t="n">
        <v>41.10571760925725</v>
      </c>
      <c r="F131" t="n">
        <v>0.99</v>
      </c>
      <c r="G131" t="n">
        <v>0.343359</v>
      </c>
      <c r="H131" t="n">
        <v>-40.11571760925725</v>
      </c>
      <c r="I131" t="n">
        <v>-40.76235860925726</v>
      </c>
      <c r="J131" t="inlineStr">
        <is>
          <t>Mexico|XMEX.L|2025</t>
        </is>
      </c>
      <c r="K131" t="inlineStr">
        <is>
          <t>Mexico|2025</t>
        </is>
      </c>
    </row>
    <row r="132">
      <c r="A132" t="inlineStr">
        <is>
          <t>Philippines</t>
        </is>
      </c>
      <c r="B132" t="inlineStr">
        <is>
          <t>PHL</t>
        </is>
      </c>
      <c r="C132" t="inlineStr">
        <is>
          <t>XPHG.L</t>
        </is>
      </c>
      <c r="D132" t="n">
        <v>2016</v>
      </c>
      <c r="E132" t="n">
        <v>17.71382143851849</v>
      </c>
      <c r="F132" t="n">
        <v>7.149</v>
      </c>
      <c r="G132" t="n">
        <v>3.974925</v>
      </c>
      <c r="H132" t="n">
        <v>-10.56482143851849</v>
      </c>
      <c r="I132" t="n">
        <v>-13.73889643851849</v>
      </c>
      <c r="J132" t="inlineStr">
        <is>
          <t>Philippines|XPHG.L|2016</t>
        </is>
      </c>
      <c r="K132" t="inlineStr">
        <is>
          <t>Philippines|2016</t>
        </is>
      </c>
    </row>
    <row r="133">
      <c r="A133" t="inlineStr">
        <is>
          <t>Philippines</t>
        </is>
      </c>
      <c r="B133" t="inlineStr">
        <is>
          <t>PHL</t>
        </is>
      </c>
      <c r="C133" t="inlineStr">
        <is>
          <t>XPHG.L</t>
        </is>
      </c>
      <c r="D133" t="n">
        <v>2017</v>
      </c>
      <c r="E133" t="n">
        <v>9.373920972458262</v>
      </c>
      <c r="F133" t="n">
        <v>6.931</v>
      </c>
      <c r="G133" t="n">
        <v>3.092644</v>
      </c>
      <c r="H133" t="n">
        <v>-2.442920972458261</v>
      </c>
      <c r="I133" t="n">
        <v>-6.281276972458262</v>
      </c>
      <c r="J133" t="inlineStr">
        <is>
          <t>Philippines|XPHG.L|2017</t>
        </is>
      </c>
      <c r="K133" t="inlineStr">
        <is>
          <t>Philippines|2017</t>
        </is>
      </c>
    </row>
    <row r="134">
      <c r="A134" t="inlineStr">
        <is>
          <t>Philippines</t>
        </is>
      </c>
      <c r="B134" t="inlineStr">
        <is>
          <t>PHL</t>
        </is>
      </c>
      <c r="C134" t="inlineStr">
        <is>
          <t>XPHG.L</t>
        </is>
      </c>
      <c r="D134" t="n">
        <v>2018</v>
      </c>
      <c r="E134" t="n">
        <v>-11.28058424625853</v>
      </c>
      <c r="F134" t="n">
        <v>6.341</v>
      </c>
      <c r="G134" t="n">
        <v>5.589669</v>
      </c>
      <c r="H134" t="n">
        <v>17.62158424625853</v>
      </c>
      <c r="I134" t="n">
        <v>16.87025324625853</v>
      </c>
      <c r="J134" t="inlineStr">
        <is>
          <t>Philippines|XPHG.L|2018</t>
        </is>
      </c>
      <c r="K134" t="inlineStr">
        <is>
          <t>Philippines|2018</t>
        </is>
      </c>
    </row>
    <row r="135">
      <c r="A135" t="inlineStr">
        <is>
          <t>Philippines</t>
        </is>
      </c>
      <c r="B135" t="inlineStr">
        <is>
          <t>PHL</t>
        </is>
      </c>
      <c r="C135" t="inlineStr">
        <is>
          <t>XPHG.L</t>
        </is>
      </c>
      <c r="D135" t="n">
        <v>2019</v>
      </c>
      <c r="E135" t="n">
        <v>1.759943643992123</v>
      </c>
      <c r="F135" t="n">
        <v>6.119</v>
      </c>
      <c r="G135" t="n">
        <v>8.643993999999999</v>
      </c>
      <c r="H135" t="n">
        <v>4.359056356007876</v>
      </c>
      <c r="I135" t="n">
        <v>6.884050356007876</v>
      </c>
      <c r="J135" t="inlineStr">
        <is>
          <t>Philippines|XPHG.L|2019</t>
        </is>
      </c>
      <c r="K135" t="inlineStr">
        <is>
          <t>Philippines|2019</t>
        </is>
      </c>
    </row>
    <row r="136">
      <c r="A136" t="inlineStr">
        <is>
          <t>Philippines</t>
        </is>
      </c>
      <c r="B136" t="inlineStr">
        <is>
          <t>PHL</t>
        </is>
      </c>
      <c r="C136" t="inlineStr">
        <is>
          <t>XPHG.L</t>
        </is>
      </c>
      <c r="D136" t="n">
        <v>2020</v>
      </c>
      <c r="E136" t="n">
        <v>-5.298006975537762</v>
      </c>
      <c r="F136" t="n">
        <v>-9.518000000000001</v>
      </c>
      <c r="G136" t="n">
        <v>-3.999756</v>
      </c>
      <c r="H136" t="n">
        <v>-4.219993024462239</v>
      </c>
      <c r="I136" t="n">
        <v>1.298250975537762</v>
      </c>
      <c r="J136" t="inlineStr">
        <is>
          <t>Philippines|XPHG.L|2020</t>
        </is>
      </c>
      <c r="K136" t="inlineStr">
        <is>
          <t>Philippines|2020</t>
        </is>
      </c>
    </row>
    <row r="137">
      <c r="A137" t="inlineStr">
        <is>
          <t>Philippines</t>
        </is>
      </c>
      <c r="B137" t="inlineStr">
        <is>
          <t>PHL</t>
        </is>
      </c>
      <c r="C137" t="inlineStr">
        <is>
          <t>XPHG.L</t>
        </is>
      </c>
      <c r="D137" t="n">
        <v>2021</v>
      </c>
      <c r="E137" t="n">
        <v>-2.604550970119768</v>
      </c>
      <c r="F137" t="n">
        <v>5.715</v>
      </c>
      <c r="G137" t="n">
        <v>8.938745000000001</v>
      </c>
      <c r="H137" t="n">
        <v>8.319550970119767</v>
      </c>
      <c r="I137" t="n">
        <v>11.54329597011977</v>
      </c>
      <c r="J137" t="inlineStr">
        <is>
          <t>Philippines|XPHG.L|2021</t>
        </is>
      </c>
      <c r="K137" t="inlineStr">
        <is>
          <t>Philippines|2021</t>
        </is>
      </c>
    </row>
    <row r="138">
      <c r="A138" t="inlineStr">
        <is>
          <t>Philippines</t>
        </is>
      </c>
      <c r="B138" t="inlineStr">
        <is>
          <t>PHL</t>
        </is>
      </c>
      <c r="C138" t="inlineStr">
        <is>
          <t>XPHG.L</t>
        </is>
      </c>
      <c r="D138" t="n">
        <v>2022</v>
      </c>
      <c r="E138" t="n">
        <v>-3.244274809160308</v>
      </c>
      <c r="F138" t="n">
        <v>7.581</v>
      </c>
      <c r="G138" t="n">
        <v>2.605009</v>
      </c>
      <c r="H138" t="n">
        <v>10.82527480916031</v>
      </c>
      <c r="I138" t="n">
        <v>5.849283809160308</v>
      </c>
      <c r="J138" t="inlineStr">
        <is>
          <t>Philippines|XPHG.L|2022</t>
        </is>
      </c>
      <c r="K138" t="inlineStr">
        <is>
          <t>Philippines|2022</t>
        </is>
      </c>
    </row>
    <row r="139">
      <c r="A139" t="inlineStr">
        <is>
          <t>Philippines</t>
        </is>
      </c>
      <c r="B139" t="inlineStr">
        <is>
          <t>PHL</t>
        </is>
      </c>
      <c r="C139" t="inlineStr">
        <is>
          <t>XPHG.L</t>
        </is>
      </c>
      <c r="D139" t="n">
        <v>2023</v>
      </c>
      <c r="E139" t="n">
        <v>-5.217727780083791</v>
      </c>
      <c r="F139" t="n">
        <v>5.519</v>
      </c>
      <c r="G139" t="n">
        <v>8.087488</v>
      </c>
      <c r="H139" t="n">
        <v>10.73672778008379</v>
      </c>
      <c r="I139" t="n">
        <v>13.30521578008379</v>
      </c>
      <c r="J139" t="inlineStr">
        <is>
          <t>Philippines|XPHG.L|2023</t>
        </is>
      </c>
      <c r="K139" t="inlineStr">
        <is>
          <t>Philippines|2023</t>
        </is>
      </c>
    </row>
    <row r="140">
      <c r="A140" t="inlineStr">
        <is>
          <t>Philippines</t>
        </is>
      </c>
      <c r="B140" t="inlineStr">
        <is>
          <t>PHL</t>
        </is>
      </c>
      <c r="C140" t="inlineStr">
        <is>
          <t>XPHG.L</t>
        </is>
      </c>
      <c r="D140" t="n">
        <v>2024</v>
      </c>
      <c r="E140" t="n">
        <v>-2.961461684283073</v>
      </c>
      <c r="F140" t="n">
        <v>5.692</v>
      </c>
      <c r="G140" t="n">
        <v>5.619888</v>
      </c>
      <c r="H140" t="n">
        <v>8.653461684283073</v>
      </c>
      <c r="I140" t="n">
        <v>8.581349684283074</v>
      </c>
      <c r="J140" t="inlineStr">
        <is>
          <t>Philippines|XPHG.L|2024</t>
        </is>
      </c>
      <c r="K140" t="inlineStr">
        <is>
          <t>Philippines|2024</t>
        </is>
      </c>
    </row>
    <row r="141">
      <c r="A141" t="inlineStr">
        <is>
          <t>Philippines</t>
        </is>
      </c>
      <c r="B141" t="inlineStr">
        <is>
          <t>PHL</t>
        </is>
      </c>
      <c r="C141" t="inlineStr">
        <is>
          <t>XPHG.L</t>
        </is>
      </c>
      <c r="D141" t="n">
        <v>2025</v>
      </c>
      <c r="E141" t="n">
        <v>-7.84634131086781</v>
      </c>
      <c r="F141" t="n">
        <v>5.435</v>
      </c>
      <c r="G141" t="n">
        <v>7.04935</v>
      </c>
      <c r="H141" t="n">
        <v>13.28134131086781</v>
      </c>
      <c r="I141" t="n">
        <v>14.89569131086781</v>
      </c>
      <c r="J141" t="inlineStr">
        <is>
          <t>Philippines|XPHG.L|2025</t>
        </is>
      </c>
      <c r="K141" t="inlineStr">
        <is>
          <t>Philippines|2025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n">
        <v>2016</v>
      </c>
      <c r="E142" t="n">
        <v>23.83863080684596</v>
      </c>
      <c r="F142" t="n">
        <v>3.031</v>
      </c>
      <c r="G142" t="n">
        <v>-1.427056</v>
      </c>
      <c r="H142" t="n">
        <v>-20.80763080684596</v>
      </c>
      <c r="I142" t="n">
        <v>-25.26568680684596</v>
      </c>
      <c r="J142" t="inlineStr">
        <is>
          <t>Poland|SPOL.L|2016</t>
        </is>
      </c>
      <c r="K142" t="inlineStr">
        <is>
          <t>Poland|2016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n">
        <v>2017</v>
      </c>
      <c r="E143" t="n">
        <v>38.72854914196569</v>
      </c>
      <c r="F143" t="n">
        <v>5.152</v>
      </c>
      <c r="G143" t="n">
        <v>11.760626</v>
      </c>
      <c r="H143" t="n">
        <v>-33.57654914196569</v>
      </c>
      <c r="I143" t="n">
        <v>-26.96792314196568</v>
      </c>
      <c r="J143" t="inlineStr">
        <is>
          <t>Poland|SPOL.L|2017</t>
        </is>
      </c>
      <c r="K143" t="inlineStr">
        <is>
          <t>Poland|2017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n">
        <v>2018</v>
      </c>
      <c r="E144" t="n">
        <v>-7.426416568687122</v>
      </c>
      <c r="F144" t="n">
        <v>6.246</v>
      </c>
      <c r="G144" t="n">
        <v>12.515492</v>
      </c>
      <c r="H144" t="n">
        <v>13.67241656868712</v>
      </c>
      <c r="I144" t="n">
        <v>19.94190856868712</v>
      </c>
      <c r="J144" t="inlineStr">
        <is>
          <t>Poland|SPOL.L|2018</t>
        </is>
      </c>
      <c r="K144" t="inlineStr">
        <is>
          <t>Poland|2018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n">
        <v>2019</v>
      </c>
      <c r="E145" t="n">
        <v>-11.19362207638414</v>
      </c>
      <c r="F145" t="n">
        <v>4.581</v>
      </c>
      <c r="G145" t="n">
        <v>1.337109</v>
      </c>
      <c r="H145" t="n">
        <v>15.77462207638414</v>
      </c>
      <c r="I145" t="n">
        <v>12.53073107638414</v>
      </c>
      <c r="J145" t="inlineStr">
        <is>
          <t>Poland|SPOL.L|2019</t>
        </is>
      </c>
      <c r="K145" t="inlineStr">
        <is>
          <t>Poland|2019</t>
        </is>
      </c>
    </row>
    <row r="146">
      <c r="A146" t="inlineStr">
        <is>
          <t>Poland</t>
        </is>
      </c>
      <c r="B146" t="inlineStr">
        <is>
          <t>POL</t>
        </is>
      </c>
      <c r="C146" t="inlineStr">
        <is>
          <t>SPOL.L</t>
        </is>
      </c>
      <c r="D146" t="n">
        <v>2020</v>
      </c>
      <c r="E146" t="n">
        <v>-16.46533185382913</v>
      </c>
      <c r="F146" t="n">
        <v>-2.036</v>
      </c>
      <c r="G146" t="n">
        <v>0.55394</v>
      </c>
      <c r="H146" t="n">
        <v>14.42933185382913</v>
      </c>
      <c r="I146" t="n">
        <v>17.01927185382914</v>
      </c>
      <c r="J146" t="inlineStr">
        <is>
          <t>Poland|SPOL.L|2020</t>
        </is>
      </c>
      <c r="K146" t="inlineStr">
        <is>
          <t>Poland|2020</t>
        </is>
      </c>
    </row>
    <row r="147">
      <c r="A147" t="inlineStr">
        <is>
          <t>Poland</t>
        </is>
      </c>
      <c r="B147" t="inlineStr">
        <is>
          <t>POL</t>
        </is>
      </c>
      <c r="C147" t="inlineStr">
        <is>
          <t>SPOL.L</t>
        </is>
      </c>
      <c r="D147" t="n">
        <v>2021</v>
      </c>
      <c r="E147" t="n">
        <v>6.55738107253101</v>
      </c>
      <c r="F147" t="n">
        <v>6.927</v>
      </c>
      <c r="G147" t="n">
        <v>13.751258</v>
      </c>
      <c r="H147" t="n">
        <v>0.3696189274689896</v>
      </c>
      <c r="I147" t="n">
        <v>7.19387692746899</v>
      </c>
      <c r="J147" t="inlineStr">
        <is>
          <t>Poland|SPOL.L|2021</t>
        </is>
      </c>
      <c r="K147" t="inlineStr">
        <is>
          <t>Poland|2021</t>
        </is>
      </c>
    </row>
    <row r="148">
      <c r="A148" t="inlineStr">
        <is>
          <t>Poland</t>
        </is>
      </c>
      <c r="B148" t="inlineStr">
        <is>
          <t>POL</t>
        </is>
      </c>
      <c r="C148" t="inlineStr">
        <is>
          <t>SPOL.L</t>
        </is>
      </c>
      <c r="D148" t="n">
        <v>2022</v>
      </c>
      <c r="E148" t="n">
        <v>-19.146042091298</v>
      </c>
      <c r="F148" t="n">
        <v>5.255</v>
      </c>
      <c r="G148" t="n">
        <v>0.940293</v>
      </c>
      <c r="H148" t="n">
        <v>24.401042091298</v>
      </c>
      <c r="I148" t="n">
        <v>20.086335091298</v>
      </c>
      <c r="J148" t="inlineStr">
        <is>
          <t>Poland|SPOL.L|2022</t>
        </is>
      </c>
      <c r="K148" t="inlineStr">
        <is>
          <t>Poland|2022</t>
        </is>
      </c>
    </row>
    <row r="149">
      <c r="A149" t="inlineStr">
        <is>
          <t>Poland</t>
        </is>
      </c>
      <c r="B149" t="inlineStr">
        <is>
          <t>POL</t>
        </is>
      </c>
      <c r="C149" t="inlineStr">
        <is>
          <t>SPOL.L</t>
        </is>
      </c>
      <c r="D149" t="n">
        <v>2023</v>
      </c>
      <c r="E149" t="n">
        <v>40.03501307781727</v>
      </c>
      <c r="F149" t="n">
        <v>0.25</v>
      </c>
      <c r="G149" t="n">
        <v>16.849112</v>
      </c>
      <c r="H149" t="n">
        <v>-39.78501307781727</v>
      </c>
      <c r="I149" t="n">
        <v>-23.18590107781727</v>
      </c>
      <c r="J149" t="inlineStr">
        <is>
          <t>Poland|SPOL.L|2023</t>
        </is>
      </c>
      <c r="K149" t="inlineStr">
        <is>
          <t>Poland|2023</t>
        </is>
      </c>
    </row>
    <row r="150">
      <c r="A150" t="inlineStr">
        <is>
          <t>Poland</t>
        </is>
      </c>
      <c r="B150" t="inlineStr">
        <is>
          <t>POL</t>
        </is>
      </c>
      <c r="C150" t="inlineStr">
        <is>
          <t>SPOL.L</t>
        </is>
      </c>
      <c r="D150" t="n">
        <v>2024</v>
      </c>
      <c r="E150" t="n">
        <v>-2.256652631798706</v>
      </c>
      <c r="F150" t="n">
        <v>2.923</v>
      </c>
      <c r="G150" t="n">
        <v>12.496817</v>
      </c>
      <c r="H150" t="n">
        <v>5.179652631798706</v>
      </c>
      <c r="I150" t="n">
        <v>14.7534696317987</v>
      </c>
      <c r="J150" t="inlineStr">
        <is>
          <t>Poland|SPOL.L|2024</t>
        </is>
      </c>
      <c r="K150" t="inlineStr">
        <is>
          <t>Poland|2024</t>
        </is>
      </c>
    </row>
    <row r="151">
      <c r="A151" t="inlineStr">
        <is>
          <t>Poland</t>
        </is>
      </c>
      <c r="B151" t="inlineStr">
        <is>
          <t>POL</t>
        </is>
      </c>
      <c r="C151" t="inlineStr">
        <is>
          <t>SPOL.L</t>
        </is>
      </c>
      <c r="D151" t="n">
        <v>2025</v>
      </c>
      <c r="E151" t="n">
        <v>60.01501619451324</v>
      </c>
      <c r="F151" t="n">
        <v>3.243</v>
      </c>
      <c r="G151" t="n">
        <v>13.675096</v>
      </c>
      <c r="H151" t="n">
        <v>-56.77201619451323</v>
      </c>
      <c r="I151" t="n">
        <v>-46.33992019451324</v>
      </c>
      <c r="J151" t="inlineStr">
        <is>
          <t>Poland|SPOL.L|2025</t>
        </is>
      </c>
      <c r="K151" t="inlineStr">
        <is>
          <t>Poland|2025</t>
        </is>
      </c>
    </row>
    <row r="152">
      <c r="A152" t="inlineStr">
        <is>
          <t>South Africa</t>
        </is>
      </c>
      <c r="B152" t="inlineStr">
        <is>
          <t>ZAF</t>
        </is>
      </c>
      <c r="C152" t="inlineStr">
        <is>
          <t>SRSA.L</t>
        </is>
      </c>
      <c r="D152" t="n">
        <v>2016</v>
      </c>
      <c r="E152" t="n">
        <v>45.48229548229548</v>
      </c>
      <c r="F152" t="n">
        <v>0.665</v>
      </c>
      <c r="G152" t="n">
        <v>-6.683725</v>
      </c>
      <c r="H152" t="n">
        <v>-44.81729548229548</v>
      </c>
      <c r="I152" t="n">
        <v>-52.16602048229548</v>
      </c>
      <c r="J152" t="inlineStr">
        <is>
          <t>South Africa|SRSA.L|2016</t>
        </is>
      </c>
      <c r="K152" t="inlineStr">
        <is>
          <t>South Africa|2016</t>
        </is>
      </c>
    </row>
    <row r="153">
      <c r="A153" t="inlineStr">
        <is>
          <t>South Africa</t>
        </is>
      </c>
      <c r="B153" t="inlineStr">
        <is>
          <t>ZAF</t>
        </is>
      </c>
      <c r="C153" t="inlineStr">
        <is>
          <t>SRSA.L</t>
        </is>
      </c>
      <c r="D153" t="n">
        <v>2017</v>
      </c>
      <c r="E153" t="n">
        <v>23.73816213966073</v>
      </c>
      <c r="F153" t="n">
        <v>1.158</v>
      </c>
      <c r="G153" t="n">
        <v>17.874884</v>
      </c>
      <c r="H153" t="n">
        <v>-22.58016213966073</v>
      </c>
      <c r="I153" t="n">
        <v>-5.863278139660732</v>
      </c>
      <c r="J153" t="inlineStr">
        <is>
          <t>South Africa|SRSA.L|2017</t>
        </is>
      </c>
      <c r="K153" t="inlineStr">
        <is>
          <t>South Africa|2017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SRSA.L</t>
        </is>
      </c>
      <c r="D154" t="n">
        <v>2018</v>
      </c>
      <c r="E154" t="n">
        <v>-19.97611736608667</v>
      </c>
      <c r="F154" t="n">
        <v>1.557</v>
      </c>
      <c r="G154" t="n">
        <v>6.235232</v>
      </c>
      <c r="H154" t="n">
        <v>21.53311736608666</v>
      </c>
      <c r="I154" t="n">
        <v>26.21134936608667</v>
      </c>
      <c r="J154" t="inlineStr">
        <is>
          <t>South Africa|SRSA.L|2018</t>
        </is>
      </c>
      <c r="K154" t="inlineStr">
        <is>
          <t>South Africa|2018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SRSA.L</t>
        </is>
      </c>
      <c r="D155" t="n">
        <v>2019</v>
      </c>
      <c r="E155" t="n">
        <v>5.935386927122455</v>
      </c>
      <c r="F155" t="n">
        <v>0.26</v>
      </c>
      <c r="G155" t="n">
        <v>-3.912188</v>
      </c>
      <c r="H155" t="n">
        <v>-5.675386927122455</v>
      </c>
      <c r="I155" t="n">
        <v>-9.847574927122455</v>
      </c>
      <c r="J155" t="inlineStr">
        <is>
          <t>South Africa|SRSA.L|2019</t>
        </is>
      </c>
      <c r="K155" t="inlineStr">
        <is>
          <t>South Africa|2019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SRSA.L</t>
        </is>
      </c>
      <c r="D156" t="n">
        <v>2020</v>
      </c>
      <c r="E156" t="n">
        <v>-6.724969843184558</v>
      </c>
      <c r="F156" t="n">
        <v>-6.169</v>
      </c>
      <c r="G156" t="n">
        <v>-13.197087</v>
      </c>
      <c r="H156" t="n">
        <v>0.5559698431845588</v>
      </c>
      <c r="I156" t="n">
        <v>-6.472117156815441</v>
      </c>
      <c r="J156" t="inlineStr">
        <is>
          <t>South Africa|SRSA.L|2020</t>
        </is>
      </c>
      <c r="K156" t="inlineStr">
        <is>
          <t>South Africa|2020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SRSA.L</t>
        </is>
      </c>
      <c r="D157" t="n">
        <v>2021</v>
      </c>
      <c r="E157" t="n">
        <v>4.558099721806119</v>
      </c>
      <c r="F157" t="n">
        <v>4.859</v>
      </c>
      <c r="G157" t="n">
        <v>24.26985</v>
      </c>
      <c r="H157" t="n">
        <v>0.3009002781938808</v>
      </c>
      <c r="I157" t="n">
        <v>19.71175027819388</v>
      </c>
      <c r="J157" t="inlineStr">
        <is>
          <t>South Africa|SRSA.L|2021</t>
        </is>
      </c>
      <c r="K157" t="inlineStr">
        <is>
          <t>South Africa|2021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SRSA.L</t>
        </is>
      </c>
      <c r="D158" t="n">
        <v>2022</v>
      </c>
      <c r="E158" t="n">
        <v>7.076672436615428</v>
      </c>
      <c r="F158" t="n">
        <v>2.058</v>
      </c>
      <c r="G158" t="n">
        <v>-2.964671</v>
      </c>
      <c r="H158" t="n">
        <v>-5.018672436615428</v>
      </c>
      <c r="I158" t="n">
        <v>-10.04134343661543</v>
      </c>
      <c r="J158" t="inlineStr">
        <is>
          <t>South Africa|SRSA.L|2022</t>
        </is>
      </c>
      <c r="K158" t="inlineStr">
        <is>
          <t>South Africa|2022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SRSA.L</t>
        </is>
      </c>
      <c r="D159" t="n">
        <v>2023</v>
      </c>
      <c r="E159" t="n">
        <v>-7.169459962756052</v>
      </c>
      <c r="F159" t="n">
        <v>0.806</v>
      </c>
      <c r="G159" t="n">
        <v>-6.405027</v>
      </c>
      <c r="H159" t="n">
        <v>7.975459962756053</v>
      </c>
      <c r="I159" t="n">
        <v>0.7644329627560529</v>
      </c>
      <c r="J159" t="inlineStr">
        <is>
          <t>South Africa|SRSA.L|2023</t>
        </is>
      </c>
      <c r="K159" t="inlineStr">
        <is>
          <t>South Africa|2023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SRSA.L</t>
        </is>
      </c>
      <c r="D160" t="n">
        <v>2024</v>
      </c>
      <c r="E160" t="n">
        <v>10.55623223710922</v>
      </c>
      <c r="F160" t="n">
        <v>0.535</v>
      </c>
      <c r="G160" t="n">
        <v>5.177089</v>
      </c>
      <c r="H160" t="n">
        <v>-10.02123223710922</v>
      </c>
      <c r="I160" t="n">
        <v>-5.379143237109221</v>
      </c>
      <c r="J160" t="inlineStr">
        <is>
          <t>South Africa|SRSA.L|2024</t>
        </is>
      </c>
      <c r="K160" t="inlineStr">
        <is>
          <t>South Africa|2024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SRSA.L</t>
        </is>
      </c>
      <c r="D161" t="n">
        <v>2025</v>
      </c>
      <c r="E161" t="n">
        <v>61.05545617173524</v>
      </c>
      <c r="F161" t="n">
        <v>1.149</v>
      </c>
      <c r="G161" t="n">
        <v>6.309777</v>
      </c>
      <c r="H161" t="n">
        <v>-59.90645617173524</v>
      </c>
      <c r="I161" t="n">
        <v>-54.74567917173525</v>
      </c>
      <c r="J161" t="inlineStr">
        <is>
          <t>South Africa|SRSA.L|2025</t>
        </is>
      </c>
      <c r="K161" t="inlineStr">
        <is>
          <t>South Africa|2025</t>
        </is>
      </c>
    </row>
    <row r="162">
      <c r="A162" t="inlineStr">
        <is>
          <t>South Korea</t>
        </is>
      </c>
      <c r="B162" t="inlineStr">
        <is>
          <t>KOR</t>
        </is>
      </c>
      <c r="C162" t="inlineStr">
        <is>
          <t>FLRK.L</t>
        </is>
      </c>
      <c r="D162" t="n">
        <v>2016</v>
      </c>
      <c r="E162" t="inlineStr"/>
      <c r="F162" t="n">
        <v>3.172</v>
      </c>
      <c r="G162" t="n">
        <v>2.573005</v>
      </c>
      <c r="H162" t="inlineStr"/>
      <c r="I162" t="inlineStr"/>
      <c r="J162" t="inlineStr">
        <is>
          <t>South Korea|FLRK.L|2016</t>
        </is>
      </c>
      <c r="K162" t="inlineStr">
        <is>
          <t>South Korea|2016</t>
        </is>
      </c>
    </row>
    <row r="163">
      <c r="A163" t="inlineStr">
        <is>
          <t>South Korea</t>
        </is>
      </c>
      <c r="B163" t="inlineStr">
        <is>
          <t>KOR</t>
        </is>
      </c>
      <c r="C163" t="inlineStr">
        <is>
          <t>FLRK.L</t>
        </is>
      </c>
      <c r="D163" t="n">
        <v>2017</v>
      </c>
      <c r="E163" t="inlineStr"/>
      <c r="F163" t="n">
        <v>3.433</v>
      </c>
      <c r="G163" t="n">
        <v>8.321489</v>
      </c>
      <c r="H163" t="inlineStr"/>
      <c r="I163" t="inlineStr"/>
      <c r="J163" t="inlineStr">
        <is>
          <t>South Korea|FLRK.L|2017</t>
        </is>
      </c>
      <c r="K163" t="inlineStr">
        <is>
          <t>South Korea|2017</t>
        </is>
      </c>
    </row>
    <row r="164">
      <c r="A164" t="inlineStr">
        <is>
          <t>South Korea</t>
        </is>
      </c>
      <c r="B164" t="inlineStr">
        <is>
          <t>KOR</t>
        </is>
      </c>
      <c r="C164" t="inlineStr">
        <is>
          <t>FLRK.L</t>
        </is>
      </c>
      <c r="D164" t="n">
        <v>2018</v>
      </c>
      <c r="E164" t="inlineStr"/>
      <c r="F164" t="n">
        <v>3.176</v>
      </c>
      <c r="G164" t="n">
        <v>6.669056</v>
      </c>
      <c r="H164" t="inlineStr"/>
      <c r="I164" t="inlineStr"/>
      <c r="J164" t="inlineStr">
        <is>
          <t>South Korea|FLRK.L|2018</t>
        </is>
      </c>
      <c r="K164" t="inlineStr">
        <is>
          <t>South Korea|2018</t>
        </is>
      </c>
    </row>
    <row r="165">
      <c r="A165" t="inlineStr">
        <is>
          <t>South Korea</t>
        </is>
      </c>
      <c r="B165" t="inlineStr">
        <is>
          <t>KOR</t>
        </is>
      </c>
      <c r="C165" t="inlineStr">
        <is>
          <t>FLRK.L</t>
        </is>
      </c>
      <c r="D165" t="n">
        <v>2019</v>
      </c>
      <c r="E165" t="n">
        <v>-14.15297488560572</v>
      </c>
      <c r="F165" t="n">
        <v>2.314</v>
      </c>
      <c r="G165" t="n">
        <v>-4.01288</v>
      </c>
      <c r="H165" t="n">
        <v>16.46697488560572</v>
      </c>
      <c r="I165" t="n">
        <v>10.14009488560572</v>
      </c>
      <c r="J165" t="inlineStr">
        <is>
          <t>South Korea|FLRK.L|2019</t>
        </is>
      </c>
      <c r="K165" t="inlineStr">
        <is>
          <t>South Korea|2019</t>
        </is>
      </c>
    </row>
    <row r="166">
      <c r="A166" t="inlineStr">
        <is>
          <t>South Korea</t>
        </is>
      </c>
      <c r="B166" t="inlineStr">
        <is>
          <t>KOR</t>
        </is>
      </c>
      <c r="C166" t="inlineStr">
        <is>
          <t>FLRK.L</t>
        </is>
      </c>
      <c r="D166" t="n">
        <v>2020</v>
      </c>
      <c r="E166" t="n">
        <v>42.59998683957645</v>
      </c>
      <c r="F166" t="n">
        <v>-0.7</v>
      </c>
      <c r="G166" t="n">
        <v>-0.376404</v>
      </c>
      <c r="H166" t="n">
        <v>-43.29998683957645</v>
      </c>
      <c r="I166" t="n">
        <v>-42.97639083957645</v>
      </c>
      <c r="J166" t="inlineStr">
        <is>
          <t>South Korea|FLRK.L|2020</t>
        </is>
      </c>
      <c r="K166" t="inlineStr">
        <is>
          <t>South Korea|2020</t>
        </is>
      </c>
    </row>
    <row r="167">
      <c r="A167" t="inlineStr">
        <is>
          <t>South Korea</t>
        </is>
      </c>
      <c r="B167" t="inlineStr">
        <is>
          <t>KOR</t>
        </is>
      </c>
      <c r="C167" t="inlineStr">
        <is>
          <t>FLRK.L</t>
        </is>
      </c>
      <c r="D167" t="n">
        <v>2021</v>
      </c>
      <c r="E167" t="n">
        <v>-8.655857183501714</v>
      </c>
      <c r="F167" t="n">
        <v>4.613</v>
      </c>
      <c r="G167" t="n">
        <v>11.342167</v>
      </c>
      <c r="H167" t="n">
        <v>13.26885718350172</v>
      </c>
      <c r="I167" t="n">
        <v>19.99802418350171</v>
      </c>
      <c r="J167" t="inlineStr">
        <is>
          <t>South Korea|FLRK.L|2021</t>
        </is>
      </c>
      <c r="K167" t="inlineStr">
        <is>
          <t>South Korea|2021</t>
        </is>
      </c>
    </row>
    <row r="168">
      <c r="A168" t="inlineStr">
        <is>
          <t>South Korea</t>
        </is>
      </c>
      <c r="B168" t="inlineStr">
        <is>
          <t>KOR</t>
        </is>
      </c>
      <c r="C168" t="inlineStr">
        <is>
          <t>FLRK.L</t>
        </is>
      </c>
      <c r="D168" t="n">
        <v>2022</v>
      </c>
      <c r="E168" t="n">
        <v>-18.20844071273661</v>
      </c>
      <c r="F168" t="n">
        <v>2.728</v>
      </c>
      <c r="G168" t="n">
        <v>-7.35983</v>
      </c>
      <c r="H168" t="n">
        <v>20.93644071273661</v>
      </c>
      <c r="I168" t="n">
        <v>10.84861071273661</v>
      </c>
      <c r="J168" t="inlineStr">
        <is>
          <t>South Korea|FLRK.L|2022</t>
        </is>
      </c>
      <c r="K168" t="inlineStr">
        <is>
          <t>South Korea|2022</t>
        </is>
      </c>
    </row>
    <row r="169">
      <c r="A169" t="inlineStr">
        <is>
          <t>South Korea</t>
        </is>
      </c>
      <c r="B169" t="inlineStr">
        <is>
          <t>KOR</t>
        </is>
      </c>
      <c r="C169" t="inlineStr">
        <is>
          <t>FLRK.L</t>
        </is>
      </c>
      <c r="D169" t="n">
        <v>2023</v>
      </c>
      <c r="E169" t="n">
        <v>16.84630856699279</v>
      </c>
      <c r="F169" t="n">
        <v>1.583</v>
      </c>
      <c r="G169" t="n">
        <v>2.525227</v>
      </c>
      <c r="H169" t="n">
        <v>-15.26330856699279</v>
      </c>
      <c r="I169" t="n">
        <v>-14.32108156699278</v>
      </c>
      <c r="J169" t="inlineStr">
        <is>
          <t>South Korea|FLRK.L|2023</t>
        </is>
      </c>
      <c r="K169" t="inlineStr">
        <is>
          <t>South Korea|2023</t>
        </is>
      </c>
    </row>
    <row r="170">
      <c r="A170" t="inlineStr">
        <is>
          <t>South Korea</t>
        </is>
      </c>
      <c r="B170" t="inlineStr">
        <is>
          <t>KOR</t>
        </is>
      </c>
      <c r="C170" t="inlineStr">
        <is>
          <t>FLRK.L</t>
        </is>
      </c>
      <c r="D170" t="n">
        <v>2024</v>
      </c>
      <c r="E170" t="n">
        <v>-20.59012893501248</v>
      </c>
      <c r="F170" t="n">
        <v>2.004</v>
      </c>
      <c r="G170" t="n">
        <v>1.658011</v>
      </c>
      <c r="H170" t="n">
        <v>22.59412893501248</v>
      </c>
      <c r="I170" t="n">
        <v>22.24813993501247</v>
      </c>
      <c r="J170" t="inlineStr">
        <is>
          <t>South Korea|FLRK.L|2024</t>
        </is>
      </c>
      <c r="K170" t="inlineStr">
        <is>
          <t>South Korea|2024</t>
        </is>
      </c>
    </row>
    <row r="171">
      <c r="A171" t="inlineStr">
        <is>
          <t>South Korea</t>
        </is>
      </c>
      <c r="B171" t="inlineStr">
        <is>
          <t>KOR</t>
        </is>
      </c>
      <c r="C171" t="inlineStr">
        <is>
          <t>FLRK.L</t>
        </is>
      </c>
      <c r="D171" t="n">
        <v>2025</v>
      </c>
      <c r="E171" t="n">
        <v>78.89573439751459</v>
      </c>
      <c r="F171" t="n">
        <v>0.896</v>
      </c>
      <c r="G171" t="n">
        <v>-0.896668</v>
      </c>
      <c r="H171" t="n">
        <v>-77.99973439751459</v>
      </c>
      <c r="I171" t="n">
        <v>-79.79240239751459</v>
      </c>
      <c r="J171" t="inlineStr">
        <is>
          <t>South Korea|FLRK.L|2025</t>
        </is>
      </c>
      <c r="K171" t="inlineStr">
        <is>
          <t>South Korea|2025</t>
        </is>
      </c>
    </row>
    <row r="172">
      <c r="A172" t="inlineStr">
        <is>
          <t>Spain</t>
        </is>
      </c>
      <c r="B172" t="inlineStr">
        <is>
          <t>ESP</t>
        </is>
      </c>
      <c r="C172" t="inlineStr">
        <is>
          <t>CS1.L</t>
        </is>
      </c>
      <c r="D172" t="n">
        <v>2016</v>
      </c>
      <c r="E172" t="inlineStr"/>
      <c r="F172" t="n">
        <v>2.915</v>
      </c>
      <c r="G172" t="n">
        <v>3.016363</v>
      </c>
      <c r="H172" t="inlineStr"/>
      <c r="I172" t="inlineStr"/>
      <c r="J172" t="inlineStr">
        <is>
          <t>Spain|CS1.L|2016</t>
        </is>
      </c>
      <c r="K172" t="inlineStr">
        <is>
          <t>Spain|2016</t>
        </is>
      </c>
    </row>
    <row r="173">
      <c r="A173" t="inlineStr">
        <is>
          <t>Spain</t>
        </is>
      </c>
      <c r="B173" t="inlineStr">
        <is>
          <t>ESP</t>
        </is>
      </c>
      <c r="C173" t="inlineStr">
        <is>
          <t>CS1.L</t>
        </is>
      </c>
      <c r="D173" t="n">
        <v>2017</v>
      </c>
      <c r="E173" t="inlineStr"/>
      <c r="F173" t="n">
        <v>2.896</v>
      </c>
      <c r="G173" t="n">
        <v>6.326282</v>
      </c>
      <c r="H173" t="inlineStr"/>
      <c r="I173" t="inlineStr"/>
      <c r="J173" t="inlineStr">
        <is>
          <t>Spain|CS1.L|2017</t>
        </is>
      </c>
      <c r="K173" t="inlineStr">
        <is>
          <t>Spain|2017</t>
        </is>
      </c>
    </row>
    <row r="174">
      <c r="A174" t="inlineStr">
        <is>
          <t>Spain</t>
        </is>
      </c>
      <c r="B174" t="inlineStr">
        <is>
          <t>ESP</t>
        </is>
      </c>
      <c r="C174" t="inlineStr">
        <is>
          <t>CS1.L</t>
        </is>
      </c>
      <c r="D174" t="n">
        <v>2018</v>
      </c>
      <c r="E174" t="inlineStr"/>
      <c r="F174" t="n">
        <v>2.395</v>
      </c>
      <c r="G174" t="n">
        <v>8.401196000000001</v>
      </c>
      <c r="H174" t="inlineStr"/>
      <c r="I174" t="inlineStr"/>
      <c r="J174" t="inlineStr">
        <is>
          <t>Spain|CS1.L|2018</t>
        </is>
      </c>
      <c r="K174" t="inlineStr">
        <is>
          <t>Spain|2018</t>
        </is>
      </c>
    </row>
    <row r="175">
      <c r="A175" t="inlineStr">
        <is>
          <t>Spain</t>
        </is>
      </c>
      <c r="B175" t="inlineStr">
        <is>
          <t>ESP</t>
        </is>
      </c>
      <c r="C175" t="inlineStr">
        <is>
          <t>CS1.L</t>
        </is>
      </c>
      <c r="D175" t="n">
        <v>2019</v>
      </c>
      <c r="E175" t="inlineStr"/>
      <c r="F175" t="n">
        <v>1.961</v>
      </c>
      <c r="G175" t="n">
        <v>-1.999662</v>
      </c>
      <c r="H175" t="inlineStr"/>
      <c r="I175" t="inlineStr"/>
      <c r="J175" t="inlineStr">
        <is>
          <t>Spain|CS1.L|2019</t>
        </is>
      </c>
      <c r="K175" t="inlineStr">
        <is>
          <t>Spain|2019</t>
        </is>
      </c>
    </row>
    <row r="176">
      <c r="A176" t="inlineStr">
        <is>
          <t>Spain</t>
        </is>
      </c>
      <c r="B176" t="inlineStr">
        <is>
          <t>ESP</t>
        </is>
      </c>
      <c r="C176" t="inlineStr">
        <is>
          <t>CS1.L</t>
        </is>
      </c>
      <c r="D176" t="n">
        <v>2020</v>
      </c>
      <c r="E176" t="inlineStr"/>
      <c r="F176" t="n">
        <v>-10.94</v>
      </c>
      <c r="G176" t="n">
        <v>-8.185795000000001</v>
      </c>
      <c r="H176" t="inlineStr"/>
      <c r="I176" t="inlineStr"/>
      <c r="J176" t="inlineStr">
        <is>
          <t>Spain|CS1.L|2020</t>
        </is>
      </c>
      <c r="K176" t="inlineStr">
        <is>
          <t>Spain|2020</t>
        </is>
      </c>
    </row>
    <row r="177">
      <c r="A177" t="inlineStr">
        <is>
          <t>Spain</t>
        </is>
      </c>
      <c r="B177" t="inlineStr">
        <is>
          <t>ESP</t>
        </is>
      </c>
      <c r="C177" t="inlineStr">
        <is>
          <t>CS1.L</t>
        </is>
      </c>
      <c r="D177" t="n">
        <v>2021</v>
      </c>
      <c r="E177" t="inlineStr"/>
      <c r="F177" t="n">
        <v>6.683</v>
      </c>
      <c r="G177" t="n">
        <v>13.459931</v>
      </c>
      <c r="H177" t="inlineStr"/>
      <c r="I177" t="inlineStr"/>
      <c r="J177" t="inlineStr">
        <is>
          <t>Spain|CS1.L|2021</t>
        </is>
      </c>
      <c r="K177" t="inlineStr">
        <is>
          <t>Spain|2021</t>
        </is>
      </c>
    </row>
    <row r="178">
      <c r="A178" t="inlineStr">
        <is>
          <t>Spain</t>
        </is>
      </c>
      <c r="B178" t="inlineStr">
        <is>
          <t>ESP</t>
        </is>
      </c>
      <c r="C178" t="inlineStr">
        <is>
          <t>CS1.L</t>
        </is>
      </c>
      <c r="D178" t="n">
        <v>2022</v>
      </c>
      <c r="E178" t="inlineStr"/>
      <c r="F178" t="n">
        <v>6.37</v>
      </c>
      <c r="G178" t="n">
        <v>-0.836128</v>
      </c>
      <c r="H178" t="inlineStr"/>
      <c r="I178" t="inlineStr"/>
      <c r="J178" t="inlineStr">
        <is>
          <t>Spain|CS1.L|2022</t>
        </is>
      </c>
      <c r="K178" t="inlineStr">
        <is>
          <t>Spain|2022</t>
        </is>
      </c>
    </row>
    <row r="179">
      <c r="A179" t="inlineStr">
        <is>
          <t>Spain</t>
        </is>
      </c>
      <c r="B179" t="inlineStr">
        <is>
          <t>ESP</t>
        </is>
      </c>
      <c r="C179" t="inlineStr">
        <is>
          <t>CS1.L</t>
        </is>
      </c>
      <c r="D179" t="n">
        <v>2023</v>
      </c>
      <c r="E179" t="inlineStr"/>
      <c r="F179" t="n">
        <v>2.461</v>
      </c>
      <c r="G179" t="n">
        <v>11.721391</v>
      </c>
      <c r="H179" t="inlineStr"/>
      <c r="I179" t="inlineStr"/>
      <c r="J179" t="inlineStr">
        <is>
          <t>Spain|CS1.L|2023</t>
        </is>
      </c>
      <c r="K179" t="inlineStr">
        <is>
          <t>Spain|2023</t>
        </is>
      </c>
    </row>
    <row r="180">
      <c r="A180" t="inlineStr">
        <is>
          <t>Spain</t>
        </is>
      </c>
      <c r="B180" t="inlineStr">
        <is>
          <t>ESP</t>
        </is>
      </c>
      <c r="C180" t="inlineStr">
        <is>
          <t>CS1.L</t>
        </is>
      </c>
      <c r="D180" t="n">
        <v>2024</v>
      </c>
      <c r="E180" t="n">
        <v>5.962578899909832</v>
      </c>
      <c r="F180" t="n">
        <v>3.455</v>
      </c>
      <c r="G180" t="n">
        <v>6.494217</v>
      </c>
      <c r="H180" t="n">
        <v>-2.507578899909832</v>
      </c>
      <c r="I180" t="n">
        <v>0.5316381000901682</v>
      </c>
      <c r="J180" t="inlineStr">
        <is>
          <t>Spain|CS1.L|2024</t>
        </is>
      </c>
      <c r="K180" t="inlineStr">
        <is>
          <t>Spain|2024</t>
        </is>
      </c>
    </row>
    <row r="181">
      <c r="A181" t="inlineStr">
        <is>
          <t>Spain</t>
        </is>
      </c>
      <c r="B181" t="inlineStr">
        <is>
          <t>ESP</t>
        </is>
      </c>
      <c r="C181" t="inlineStr">
        <is>
          <t>CS1.L</t>
        </is>
      </c>
      <c r="D181" t="n">
        <v>2025</v>
      </c>
      <c r="E181" t="n">
        <v>61.99406653952111</v>
      </c>
      <c r="F181" t="n">
        <v>2.908</v>
      </c>
      <c r="G181" t="n">
        <v>9.635035</v>
      </c>
      <c r="H181" t="n">
        <v>-59.08606653952111</v>
      </c>
      <c r="I181" t="n">
        <v>-52.35903153952111</v>
      </c>
      <c r="J181" t="inlineStr">
        <is>
          <t>Spain|CS1.L|2025</t>
        </is>
      </c>
      <c r="K181" t="inlineStr">
        <is>
          <t>Spain|2025</t>
        </is>
      </c>
    </row>
    <row r="182">
      <c r="A182" t="inlineStr">
        <is>
          <t>Sweden</t>
        </is>
      </c>
      <c r="B182" t="inlineStr">
        <is>
          <t>SWE</t>
        </is>
      </c>
      <c r="C182" t="inlineStr">
        <is>
          <t>OMXS.L</t>
        </is>
      </c>
      <c r="D182" t="n">
        <v>2016</v>
      </c>
      <c r="E182" t="n">
        <v>-91.13897220817154</v>
      </c>
      <c r="F182" t="n">
        <v>2.131</v>
      </c>
      <c r="G182" t="n">
        <v>2.283882</v>
      </c>
      <c r="H182" t="n">
        <v>93.26997220817154</v>
      </c>
      <c r="I182" t="n">
        <v>93.42285420817154</v>
      </c>
      <c r="J182" t="inlineStr">
        <is>
          <t>Sweden|OMXS.L|2016</t>
        </is>
      </c>
      <c r="K182" t="inlineStr">
        <is>
          <t>Sweden|2016</t>
        </is>
      </c>
    </row>
    <row r="183">
      <c r="A183" t="inlineStr">
        <is>
          <t>Sweden</t>
        </is>
      </c>
      <c r="B183" t="inlineStr">
        <is>
          <t>SWE</t>
        </is>
      </c>
      <c r="C183" t="inlineStr">
        <is>
          <t>OMXS.L</t>
        </is>
      </c>
      <c r="D183" t="n">
        <v>2017</v>
      </c>
      <c r="E183" t="n">
        <v>10.60691223585124</v>
      </c>
      <c r="F183" t="n">
        <v>1.883</v>
      </c>
      <c r="G183" t="n">
        <v>4.310234</v>
      </c>
      <c r="H183" t="n">
        <v>-8.723912235851241</v>
      </c>
      <c r="I183" t="n">
        <v>-6.29667823585124</v>
      </c>
      <c r="J183" t="inlineStr">
        <is>
          <t>Sweden|OMXS.L|2017</t>
        </is>
      </c>
      <c r="K183" t="inlineStr">
        <is>
          <t>Sweden|2017</t>
        </is>
      </c>
    </row>
    <row r="184">
      <c r="A184" t="inlineStr">
        <is>
          <t>Sweden</t>
        </is>
      </c>
      <c r="B184" t="inlineStr">
        <is>
          <t>SWE</t>
        </is>
      </c>
      <c r="C184" t="inlineStr">
        <is>
          <t>OMXS.L</t>
        </is>
      </c>
      <c r="D184" t="n">
        <v>2018</v>
      </c>
      <c r="E184" t="n">
        <v>-6.827626145167754</v>
      </c>
      <c r="F184" t="n">
        <v>1.77</v>
      </c>
      <c r="G184" t="n">
        <v>2.705112</v>
      </c>
      <c r="H184" t="n">
        <v>8.597626145167753</v>
      </c>
      <c r="I184" t="n">
        <v>9.532738145167754</v>
      </c>
      <c r="J184" t="inlineStr">
        <is>
          <t>Sweden|OMXS.L|2018</t>
        </is>
      </c>
      <c r="K184" t="inlineStr">
        <is>
          <t>Sweden|2018</t>
        </is>
      </c>
    </row>
    <row r="185">
      <c r="A185" t="inlineStr">
        <is>
          <t>Sweden</t>
        </is>
      </c>
      <c r="B185" t="inlineStr">
        <is>
          <t>SWE</t>
        </is>
      </c>
      <c r="C185" t="inlineStr">
        <is>
          <t>OMXS.L</t>
        </is>
      </c>
      <c r="D185" t="n">
        <v>2019</v>
      </c>
      <c r="E185" t="n">
        <v>20.90797579191928</v>
      </c>
      <c r="F185" t="n">
        <v>2.608</v>
      </c>
      <c r="G185" t="n">
        <v>-3.412178</v>
      </c>
      <c r="H185" t="n">
        <v>-18.29997579191928</v>
      </c>
      <c r="I185" t="n">
        <v>-24.32015379191928</v>
      </c>
      <c r="J185" t="inlineStr">
        <is>
          <t>Sweden|OMXS.L|2019</t>
        </is>
      </c>
      <c r="K185" t="inlineStr">
        <is>
          <t>Sweden|2019</t>
        </is>
      </c>
    </row>
    <row r="186">
      <c r="A186" t="inlineStr">
        <is>
          <t>Sweden</t>
        </is>
      </c>
      <c r="B186" t="inlineStr">
        <is>
          <t>SWE</t>
        </is>
      </c>
      <c r="C186" t="inlineStr">
        <is>
          <t>OMXS.L</t>
        </is>
      </c>
      <c r="D186" t="n">
        <v>2020</v>
      </c>
      <c r="E186" t="n">
        <v>21.60438743889883</v>
      </c>
      <c r="F186" t="n">
        <v>-1.934</v>
      </c>
      <c r="G186" t="n">
        <v>2.51877</v>
      </c>
      <c r="H186" t="n">
        <v>-23.53838743889883</v>
      </c>
      <c r="I186" t="n">
        <v>-19.08561743889883</v>
      </c>
      <c r="J186" t="inlineStr">
        <is>
          <t>Sweden|OMXS.L|2020</t>
        </is>
      </c>
      <c r="K186" t="inlineStr">
        <is>
          <t>Sweden|2020</t>
        </is>
      </c>
    </row>
    <row r="187">
      <c r="A187" t="inlineStr">
        <is>
          <t>Sweden</t>
        </is>
      </c>
      <c r="B187" t="inlineStr">
        <is>
          <t>SWE</t>
        </is>
      </c>
      <c r="C187" t="inlineStr">
        <is>
          <t>OMXS.L</t>
        </is>
      </c>
      <c r="D187" t="n">
        <v>2021</v>
      </c>
      <c r="E187" t="n">
        <v>23.31676457297787</v>
      </c>
      <c r="F187" t="n">
        <v>5.226</v>
      </c>
      <c r="G187" t="n">
        <v>16.063285</v>
      </c>
      <c r="H187" t="n">
        <v>-18.09076457297787</v>
      </c>
      <c r="I187" t="n">
        <v>-7.253479572977866</v>
      </c>
      <c r="J187" t="inlineStr">
        <is>
          <t>Sweden|OMXS.L|2021</t>
        </is>
      </c>
      <c r="K187" t="inlineStr">
        <is>
          <t>Sweden|2021</t>
        </is>
      </c>
    </row>
    <row r="188">
      <c r="A188" t="inlineStr">
        <is>
          <t>Sweden</t>
        </is>
      </c>
      <c r="B188" t="inlineStr">
        <is>
          <t>SWE</t>
        </is>
      </c>
      <c r="C188" t="inlineStr">
        <is>
          <t>OMXS.L</t>
        </is>
      </c>
      <c r="D188" t="n">
        <v>2022</v>
      </c>
      <c r="E188" t="n">
        <v>-21.32016822088133</v>
      </c>
      <c r="F188" t="n">
        <v>1.255</v>
      </c>
      <c r="G188" t="n">
        <v>-8.963531</v>
      </c>
      <c r="H188" t="n">
        <v>22.57516822088133</v>
      </c>
      <c r="I188" t="n">
        <v>12.35663722088133</v>
      </c>
      <c r="J188" t="inlineStr">
        <is>
          <t>Sweden|OMXS.L|2022</t>
        </is>
      </c>
      <c r="K188" t="inlineStr">
        <is>
          <t>Sweden|2022</t>
        </is>
      </c>
    </row>
    <row r="189">
      <c r="A189" t="inlineStr">
        <is>
          <t>Sweden</t>
        </is>
      </c>
      <c r="B189" t="inlineStr">
        <is>
          <t>SWE</t>
        </is>
      </c>
      <c r="C189" t="inlineStr">
        <is>
          <t>OMXS.L</t>
        </is>
      </c>
      <c r="D189" t="n">
        <v>2023</v>
      </c>
      <c r="E189" t="n">
        <v>14.62001853568118</v>
      </c>
      <c r="F189" t="n">
        <v>-0.204</v>
      </c>
      <c r="G189" t="n">
        <v>0.681655</v>
      </c>
      <c r="H189" t="n">
        <v>-14.82401853568118</v>
      </c>
      <c r="I189" t="n">
        <v>-13.93836353568118</v>
      </c>
      <c r="J189" t="inlineStr">
        <is>
          <t>Sweden|OMXS.L|2023</t>
        </is>
      </c>
      <c r="K189" t="inlineStr">
        <is>
          <t>Sweden|2023</t>
        </is>
      </c>
    </row>
    <row r="190">
      <c r="A190" t="inlineStr">
        <is>
          <t>Sweden</t>
        </is>
      </c>
      <c r="B190" t="inlineStr">
        <is>
          <t>SWE</t>
        </is>
      </c>
      <c r="C190" t="inlineStr">
        <is>
          <t>OMXS.L</t>
        </is>
      </c>
      <c r="D190" t="n">
        <v>2024</v>
      </c>
      <c r="E190" t="n">
        <v>0.9211873080859911</v>
      </c>
      <c r="F190" t="n">
        <v>0.82</v>
      </c>
      <c r="G190" t="n">
        <v>4.270187</v>
      </c>
      <c r="H190" t="n">
        <v>-0.1011873080859912</v>
      </c>
      <c r="I190" t="n">
        <v>3.348999691914009</v>
      </c>
      <c r="J190" t="inlineStr">
        <is>
          <t>Sweden|OMXS.L|2024</t>
        </is>
      </c>
      <c r="K190" t="inlineStr">
        <is>
          <t>Sweden|2024</t>
        </is>
      </c>
    </row>
    <row r="191">
      <c r="A191" t="inlineStr">
        <is>
          <t>Sweden</t>
        </is>
      </c>
      <c r="B191" t="inlineStr">
        <is>
          <t>SWE</t>
        </is>
      </c>
      <c r="C191" t="inlineStr">
        <is>
          <t>OMXS.L</t>
        </is>
      </c>
      <c r="D191" t="n">
        <v>2025</v>
      </c>
      <c r="E191" t="n">
        <v>24.91961414790998</v>
      </c>
      <c r="F191" t="n">
        <v>0.75</v>
      </c>
      <c r="G191" t="n">
        <v>9.707064000000001</v>
      </c>
      <c r="H191" t="n">
        <v>-24.16961414790998</v>
      </c>
      <c r="I191" t="n">
        <v>-15.21255014790997</v>
      </c>
      <c r="J191" t="inlineStr">
        <is>
          <t>Sweden|OMXS.L|2025</t>
        </is>
      </c>
      <c r="K191" t="inlineStr">
        <is>
          <t>Sweden|2025</t>
        </is>
      </c>
    </row>
    <row r="192">
      <c r="A192" t="inlineStr">
        <is>
          <t>Taiwan</t>
        </is>
      </c>
      <c r="B192" t="inlineStr">
        <is>
          <t>TWN</t>
        </is>
      </c>
      <c r="C192" t="inlineStr">
        <is>
          <t>FRXT.L</t>
        </is>
      </c>
      <c r="D192" t="n">
        <v>2016</v>
      </c>
      <c r="E192" t="inlineStr"/>
      <c r="F192" t="n">
        <v>2.165</v>
      </c>
      <c r="G192" t="n">
        <v>1.602574</v>
      </c>
      <c r="H192" t="inlineStr"/>
      <c r="I192" t="inlineStr"/>
      <c r="J192" t="inlineStr">
        <is>
          <t>Taiwan|FRXT.L|2016</t>
        </is>
      </c>
      <c r="K192" t="inlineStr">
        <is>
          <t>Taiwan|2016</t>
        </is>
      </c>
    </row>
    <row r="193">
      <c r="A193" t="inlineStr">
        <is>
          <t>Taiwan</t>
        </is>
      </c>
      <c r="B193" t="inlineStr">
        <is>
          <t>TWN</t>
        </is>
      </c>
      <c r="C193" t="inlineStr">
        <is>
          <t>FRXT.L</t>
        </is>
      </c>
      <c r="D193" t="n">
        <v>2017</v>
      </c>
      <c r="E193" t="inlineStr"/>
      <c r="F193" t="n">
        <v>3.662</v>
      </c>
      <c r="G193" t="n">
        <v>8.950046</v>
      </c>
      <c r="H193" t="inlineStr"/>
      <c r="I193" t="inlineStr"/>
      <c r="J193" t="inlineStr">
        <is>
          <t>Taiwan|FRXT.L|2017</t>
        </is>
      </c>
      <c r="K193" t="inlineStr">
        <is>
          <t>Taiwan|2017</t>
        </is>
      </c>
    </row>
    <row r="194">
      <c r="A194" t="inlineStr">
        <is>
          <t>Taiwan</t>
        </is>
      </c>
      <c r="B194" t="inlineStr">
        <is>
          <t>TWN</t>
        </is>
      </c>
      <c r="C194" t="inlineStr">
        <is>
          <t>FRXT.L</t>
        </is>
      </c>
      <c r="D194" t="n">
        <v>2018</v>
      </c>
      <c r="E194" t="inlineStr"/>
      <c r="F194" t="n">
        <v>2.905</v>
      </c>
      <c r="G194" t="n">
        <v>3.211664</v>
      </c>
      <c r="H194" t="inlineStr"/>
      <c r="I194" t="inlineStr"/>
      <c r="J194" t="inlineStr">
        <is>
          <t>Taiwan|FRXT.L|2018</t>
        </is>
      </c>
      <c r="K194" t="inlineStr">
        <is>
          <t>Taiwan|2018</t>
        </is>
      </c>
    </row>
    <row r="195">
      <c r="A195" t="inlineStr">
        <is>
          <t>Taiwan</t>
        </is>
      </c>
      <c r="B195" t="inlineStr">
        <is>
          <t>TWN</t>
        </is>
      </c>
      <c r="C195" t="inlineStr">
        <is>
          <t>FRXT.L</t>
        </is>
      </c>
      <c r="D195" t="n">
        <v>2019</v>
      </c>
      <c r="E195" t="inlineStr"/>
      <c r="F195" t="n">
        <v>3.055</v>
      </c>
      <c r="G195" t="n">
        <v>0.4621</v>
      </c>
      <c r="H195" t="inlineStr"/>
      <c r="I195" t="inlineStr"/>
      <c r="J195" t="inlineStr">
        <is>
          <t>Taiwan|FRXT.L|2019</t>
        </is>
      </c>
      <c r="K195" t="inlineStr">
        <is>
          <t>Taiwan|2019</t>
        </is>
      </c>
    </row>
    <row r="196">
      <c r="A196" t="inlineStr">
        <is>
          <t>Taiwan</t>
        </is>
      </c>
      <c r="B196" t="inlineStr">
        <is>
          <t>TWN</t>
        </is>
      </c>
      <c r="C196" t="inlineStr">
        <is>
          <t>FRXT.L</t>
        </is>
      </c>
      <c r="D196" t="n">
        <v>2020</v>
      </c>
      <c r="E196" t="inlineStr"/>
      <c r="F196" t="n">
        <v>3.42</v>
      </c>
      <c r="G196" t="n">
        <v>10.325633</v>
      </c>
      <c r="H196" t="inlineStr"/>
      <c r="I196" t="inlineStr"/>
      <c r="J196" t="inlineStr">
        <is>
          <t>Taiwan|FRXT.L|2020</t>
        </is>
      </c>
      <c r="K196" t="inlineStr">
        <is>
          <t>Taiwan|2020</t>
        </is>
      </c>
    </row>
    <row r="197">
      <c r="A197" t="inlineStr">
        <is>
          <t>Taiwan</t>
        </is>
      </c>
      <c r="B197" t="inlineStr">
        <is>
          <t>TWN</t>
        </is>
      </c>
      <c r="C197" t="inlineStr">
        <is>
          <t>FRXT.L</t>
        </is>
      </c>
      <c r="D197" t="n">
        <v>2021</v>
      </c>
      <c r="E197" t="inlineStr"/>
      <c r="F197" t="n">
        <v>6.72</v>
      </c>
      <c r="G197" t="n">
        <v>14.789447</v>
      </c>
      <c r="H197" t="inlineStr"/>
      <c r="I197" t="inlineStr"/>
      <c r="J197" t="inlineStr">
        <is>
          <t>Taiwan|FRXT.L|2021</t>
        </is>
      </c>
      <c r="K197" t="inlineStr">
        <is>
          <t>Taiwan|2021</t>
        </is>
      </c>
    </row>
    <row r="198">
      <c r="A198" t="inlineStr">
        <is>
          <t>Taiwan</t>
        </is>
      </c>
      <c r="B198" t="inlineStr">
        <is>
          <t>TWN</t>
        </is>
      </c>
      <c r="C198" t="inlineStr">
        <is>
          <t>FRXT.L</t>
        </is>
      </c>
      <c r="D198" t="n">
        <v>2022</v>
      </c>
      <c r="E198" t="n">
        <v>-36.10785352099239</v>
      </c>
      <c r="F198" t="n">
        <v>2.684</v>
      </c>
      <c r="G198" t="n">
        <v>-1.459654</v>
      </c>
      <c r="H198" t="n">
        <v>38.79185352099238</v>
      </c>
      <c r="I198" t="n">
        <v>34.64819952099239</v>
      </c>
      <c r="J198" t="inlineStr">
        <is>
          <t>Taiwan|FRXT.L|2022</t>
        </is>
      </c>
      <c r="K198" t="inlineStr">
        <is>
          <t>Taiwan|2022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FRXT.L</t>
        </is>
      </c>
      <c r="D199" t="n">
        <v>2023</v>
      </c>
      <c r="E199" t="n">
        <v>21.60318170648348</v>
      </c>
      <c r="F199" t="n">
        <v>1.122</v>
      </c>
      <c r="G199" t="n">
        <v>-1.082646</v>
      </c>
      <c r="H199" t="n">
        <v>-20.48118170648348</v>
      </c>
      <c r="I199" t="n">
        <v>-22.68582770648348</v>
      </c>
      <c r="J199" t="inlineStr">
        <is>
          <t>Taiwan|FRXT.L|2023</t>
        </is>
      </c>
      <c r="K199" t="inlineStr">
        <is>
          <t>Taiwan|2023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FRXT.L</t>
        </is>
      </c>
      <c r="D200" t="n">
        <v>2024</v>
      </c>
      <c r="E200" t="n">
        <v>26.89517124633358</v>
      </c>
      <c r="F200" t="n">
        <v>4.837</v>
      </c>
      <c r="G200" t="n">
        <v>5.237973</v>
      </c>
      <c r="H200" t="n">
        <v>-22.05817124633358</v>
      </c>
      <c r="I200" t="n">
        <v>-21.65719824633358</v>
      </c>
      <c r="J200" t="inlineStr">
        <is>
          <t>Taiwan|FRXT.L|2024</t>
        </is>
      </c>
      <c r="K200" t="inlineStr">
        <is>
          <t>Taiwan|2024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FRXT.L</t>
        </is>
      </c>
      <c r="D201" t="n">
        <v>2025</v>
      </c>
      <c r="E201" t="n">
        <v>24.86159844407421</v>
      </c>
      <c r="F201" t="n">
        <v>3.674</v>
      </c>
      <c r="G201" t="n">
        <v>10.963935</v>
      </c>
      <c r="H201" t="n">
        <v>-21.18759844407421</v>
      </c>
      <c r="I201" t="n">
        <v>-13.89766344407421</v>
      </c>
      <c r="J201" t="inlineStr">
        <is>
          <t>Taiwan|FRXT.L|2025</t>
        </is>
      </c>
      <c r="K201" t="inlineStr">
        <is>
          <t>Taiwan|2025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n">
        <v>2016</v>
      </c>
      <c r="E202" t="n">
        <v>46.63412649989829</v>
      </c>
      <c r="F202" t="n">
        <v>2.165</v>
      </c>
      <c r="G202" t="n">
        <v>1.602574</v>
      </c>
      <c r="H202" t="n">
        <v>-44.46912649989829</v>
      </c>
      <c r="I202" t="n">
        <v>-45.03155249989829</v>
      </c>
      <c r="J202" t="inlineStr">
        <is>
          <t>Taiwan|XMTW.L|2016</t>
        </is>
      </c>
      <c r="K202" t="inlineStr">
        <is>
          <t>Taiwan|2016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n">
        <v>2017</v>
      </c>
      <c r="E203" t="n">
        <v>14.66119096509242</v>
      </c>
      <c r="F203" t="n">
        <v>3.662</v>
      </c>
      <c r="G203" t="n">
        <v>8.950046</v>
      </c>
      <c r="H203" t="n">
        <v>-10.99919096509242</v>
      </c>
      <c r="I203" t="n">
        <v>-5.711144965092419</v>
      </c>
      <c r="J203" t="inlineStr">
        <is>
          <t>Taiwan|XMTW.L|2017</t>
        </is>
      </c>
      <c r="K203" t="inlineStr">
        <is>
          <t>Taiwan|2017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n">
        <v>2018</v>
      </c>
      <c r="E204" t="n">
        <v>-3.19961795606496</v>
      </c>
      <c r="F204" t="n">
        <v>2.905</v>
      </c>
      <c r="G204" t="n">
        <v>3.211664</v>
      </c>
      <c r="H204" t="n">
        <v>6.10461795606496</v>
      </c>
      <c r="I204" t="n">
        <v>6.411281956064959</v>
      </c>
      <c r="J204" t="inlineStr">
        <is>
          <t>Taiwan|XMTW.L|2018</t>
        </is>
      </c>
      <c r="K204" t="inlineStr">
        <is>
          <t>Taiwan|2018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n">
        <v>2019</v>
      </c>
      <c r="E205" t="n">
        <v>31.44426413681187</v>
      </c>
      <c r="F205" t="n">
        <v>3.055</v>
      </c>
      <c r="G205" t="n">
        <v>0.4621</v>
      </c>
      <c r="H205" t="n">
        <v>-28.38926413681187</v>
      </c>
      <c r="I205" t="n">
        <v>-30.98216413681187</v>
      </c>
      <c r="J205" t="inlineStr">
        <is>
          <t>Taiwan|XMTW.L|2019</t>
        </is>
      </c>
      <c r="K205" t="inlineStr">
        <is>
          <t>Taiwan|2019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n">
        <v>2020</v>
      </c>
      <c r="E206" t="n">
        <v>30.12880343475828</v>
      </c>
      <c r="F206" t="n">
        <v>3.42</v>
      </c>
      <c r="G206" t="n">
        <v>10.325633</v>
      </c>
      <c r="H206" t="n">
        <v>-26.70880343475828</v>
      </c>
      <c r="I206" t="n">
        <v>-19.80317043475828</v>
      </c>
      <c r="J206" t="inlineStr">
        <is>
          <t>Taiwan|XMTW.L|2020</t>
        </is>
      </c>
      <c r="K206" t="inlineStr">
        <is>
          <t>Taiwan|2020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n">
        <v>2021</v>
      </c>
      <c r="E207" t="n">
        <v>26.4060742407199</v>
      </c>
      <c r="F207" t="n">
        <v>6.72</v>
      </c>
      <c r="G207" t="n">
        <v>14.789447</v>
      </c>
      <c r="H207" t="n">
        <v>-19.6860742407199</v>
      </c>
      <c r="I207" t="n">
        <v>-11.6166272407199</v>
      </c>
      <c r="J207" t="inlineStr">
        <is>
          <t>Taiwan|XMTW.L|2021</t>
        </is>
      </c>
      <c r="K207" t="inlineStr">
        <is>
          <t>Taiwan|2021</t>
        </is>
      </c>
    </row>
    <row r="208">
      <c r="A208" t="inlineStr">
        <is>
          <t>Taiwan</t>
        </is>
      </c>
      <c r="B208" t="inlineStr">
        <is>
          <t>TWN</t>
        </is>
      </c>
      <c r="C208" t="inlineStr">
        <is>
          <t>XMTW.L</t>
        </is>
      </c>
      <c r="D208" t="n">
        <v>2022</v>
      </c>
      <c r="E208" t="n">
        <v>-22.55951081022057</v>
      </c>
      <c r="F208" t="n">
        <v>2.684</v>
      </c>
      <c r="G208" t="n">
        <v>-1.459654</v>
      </c>
      <c r="H208" t="n">
        <v>25.24351081022057</v>
      </c>
      <c r="I208" t="n">
        <v>21.09985681022057</v>
      </c>
      <c r="J208" t="inlineStr">
        <is>
          <t>Taiwan|XMTW.L|2022</t>
        </is>
      </c>
      <c r="K208" t="inlineStr">
        <is>
          <t>Taiwan|2022</t>
        </is>
      </c>
    </row>
    <row r="209">
      <c r="A209" t="inlineStr">
        <is>
          <t>Taiwan</t>
        </is>
      </c>
      <c r="B209" t="inlineStr">
        <is>
          <t>TWN</t>
        </is>
      </c>
      <c r="C209" t="inlineStr">
        <is>
          <t>XMTW.L</t>
        </is>
      </c>
      <c r="D209" t="n">
        <v>2023</v>
      </c>
      <c r="E209" t="n">
        <v>20.62071857961694</v>
      </c>
      <c r="F209" t="n">
        <v>1.122</v>
      </c>
      <c r="G209" t="n">
        <v>-1.082646</v>
      </c>
      <c r="H209" t="n">
        <v>-19.49871857961694</v>
      </c>
      <c r="I209" t="n">
        <v>-21.70336457961694</v>
      </c>
      <c r="J209" t="inlineStr">
        <is>
          <t>Taiwan|XMTW.L|2023</t>
        </is>
      </c>
      <c r="K209" t="inlineStr">
        <is>
          <t>Taiwan|2023</t>
        </is>
      </c>
    </row>
    <row r="210">
      <c r="A210" t="inlineStr">
        <is>
          <t>Taiwan</t>
        </is>
      </c>
      <c r="B210" t="inlineStr">
        <is>
          <t>TWN</t>
        </is>
      </c>
      <c r="C210" t="inlineStr">
        <is>
          <t>XMTW.L</t>
        </is>
      </c>
      <c r="D210" t="n">
        <v>2024</v>
      </c>
      <c r="E210" t="n">
        <v>27.73207990599296</v>
      </c>
      <c r="F210" t="n">
        <v>4.837</v>
      </c>
      <c r="G210" t="n">
        <v>5.237973</v>
      </c>
      <c r="H210" t="n">
        <v>-22.89507990599296</v>
      </c>
      <c r="I210" t="n">
        <v>-22.49410690599296</v>
      </c>
      <c r="J210" t="inlineStr">
        <is>
          <t>Taiwan|XMTW.L|2024</t>
        </is>
      </c>
      <c r="K210" t="inlineStr">
        <is>
          <t>Taiwan|2024</t>
        </is>
      </c>
    </row>
    <row r="211">
      <c r="A211" t="inlineStr">
        <is>
          <t>Taiwan</t>
        </is>
      </c>
      <c r="B211" t="inlineStr">
        <is>
          <t>TWN</t>
        </is>
      </c>
      <c r="C211" t="inlineStr">
        <is>
          <t>XMTW.L</t>
        </is>
      </c>
      <c r="D211" t="n">
        <v>2025</v>
      </c>
      <c r="E211" t="n">
        <v>23.8012125665993</v>
      </c>
      <c r="F211" t="n">
        <v>3.674</v>
      </c>
      <c r="G211" t="n">
        <v>10.963935</v>
      </c>
      <c r="H211" t="n">
        <v>-20.1272125665993</v>
      </c>
      <c r="I211" t="n">
        <v>-12.8372775665993</v>
      </c>
      <c r="J211" t="inlineStr">
        <is>
          <t>Taiwan|XMTW.L|2025</t>
        </is>
      </c>
      <c r="K211" t="inlineStr">
        <is>
          <t>Taiwan|2025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n">
        <v>2016</v>
      </c>
      <c r="E212" t="n">
        <v>56.73147920255968</v>
      </c>
      <c r="F212" t="n">
        <v>3.435</v>
      </c>
      <c r="G212" t="n">
        <v>3.007755</v>
      </c>
      <c r="H212" t="n">
        <v>-53.29647920255967</v>
      </c>
      <c r="I212" t="n">
        <v>-53.72372420255967</v>
      </c>
      <c r="J212" t="inlineStr">
        <is>
          <t>Thailand|XCX4.L|2016</t>
        </is>
      </c>
      <c r="K212" t="inlineStr">
        <is>
          <t>Thailand|2016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n">
        <v>2017</v>
      </c>
      <c r="E213" t="n">
        <v>21.08057464084947</v>
      </c>
      <c r="F213" t="n">
        <v>4.178</v>
      </c>
      <c r="G213" t="n">
        <v>10.400226</v>
      </c>
      <c r="H213" t="n">
        <v>-16.90257464084947</v>
      </c>
      <c r="I213" t="n">
        <v>-10.68034864084947</v>
      </c>
      <c r="J213" t="inlineStr">
        <is>
          <t>Thailand|XCX4.L|2017</t>
        </is>
      </c>
      <c r="K213" t="inlineStr">
        <is>
          <t>Thailand|2017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n">
        <v>2018</v>
      </c>
      <c r="E214" t="n">
        <v>1.171347325591587</v>
      </c>
      <c r="F214" t="n">
        <v>4.223</v>
      </c>
      <c r="G214" t="n">
        <v>11.043328</v>
      </c>
      <c r="H214" t="n">
        <v>3.051652674408412</v>
      </c>
      <c r="I214" t="n">
        <v>9.871980674408412</v>
      </c>
      <c r="J214" t="inlineStr">
        <is>
          <t>Thailand|XCX4.L|2018</t>
        </is>
      </c>
      <c r="K214" t="inlineStr">
        <is>
          <t>Thailand|2018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n">
        <v>2019</v>
      </c>
      <c r="E215" t="n">
        <v>1.099038341451242</v>
      </c>
      <c r="F215" t="n">
        <v>2.115</v>
      </c>
      <c r="G215" t="n">
        <v>7.345379</v>
      </c>
      <c r="H215" t="n">
        <v>1.015961658548759</v>
      </c>
      <c r="I215" t="n">
        <v>6.246340658548759</v>
      </c>
      <c r="J215" t="inlineStr">
        <is>
          <t>Thailand|XCX4.L|2019</t>
        </is>
      </c>
      <c r="K215" t="inlineStr">
        <is>
          <t>Thailand|2019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n">
        <v>2020</v>
      </c>
      <c r="E216" t="n">
        <v>-15.33794442422036</v>
      </c>
      <c r="F216" t="n">
        <v>-6.05</v>
      </c>
      <c r="G216" t="n">
        <v>-7.999419</v>
      </c>
      <c r="H216" t="n">
        <v>9.287944424220363</v>
      </c>
      <c r="I216" t="n">
        <v>7.338525424220363</v>
      </c>
      <c r="J216" t="inlineStr">
        <is>
          <t>Thailand|XCX4.L|2020</t>
        </is>
      </c>
      <c r="K216" t="inlineStr">
        <is>
          <t>Thailand|2020</t>
        </is>
      </c>
    </row>
    <row r="217">
      <c r="A217" t="inlineStr">
        <is>
          <t>Thailand</t>
        </is>
      </c>
      <c r="B217" t="inlineStr">
        <is>
          <t>THA</t>
        </is>
      </c>
      <c r="C217" t="inlineStr">
        <is>
          <t>XCX4.L</t>
        </is>
      </c>
      <c r="D217" t="n">
        <v>2021</v>
      </c>
      <c r="E217" t="n">
        <v>-1.188118811881189</v>
      </c>
      <c r="F217" t="n">
        <v>1.542</v>
      </c>
      <c r="G217" t="n">
        <v>1.145542</v>
      </c>
      <c r="H217" t="n">
        <v>2.730118811881189</v>
      </c>
      <c r="I217" t="n">
        <v>2.333660811881189</v>
      </c>
      <c r="J217" t="inlineStr">
        <is>
          <t>Thailand|XCX4.L|2021</t>
        </is>
      </c>
      <c r="K217" t="inlineStr">
        <is>
          <t>Thailand|2021</t>
        </is>
      </c>
    </row>
    <row r="218">
      <c r="A218" t="inlineStr">
        <is>
          <t>Thailand</t>
        </is>
      </c>
      <c r="B218" t="inlineStr">
        <is>
          <t>THA</t>
        </is>
      </c>
      <c r="C218" t="inlineStr">
        <is>
          <t>XCX4.L</t>
        </is>
      </c>
      <c r="D218" t="n">
        <v>2022</v>
      </c>
      <c r="E218" t="n">
        <v>16.5872672152447</v>
      </c>
      <c r="F218" t="n">
        <v>2.627</v>
      </c>
      <c r="G218" t="n">
        <v>-2.084177</v>
      </c>
      <c r="H218" t="n">
        <v>-13.96026721524471</v>
      </c>
      <c r="I218" t="n">
        <v>-18.6714442152447</v>
      </c>
      <c r="J218" t="inlineStr">
        <is>
          <t>Thailand|XCX4.L|2022</t>
        </is>
      </c>
      <c r="K218" t="inlineStr">
        <is>
          <t>Thailand|2022</t>
        </is>
      </c>
    </row>
    <row r="219">
      <c r="A219" t="inlineStr">
        <is>
          <t>Thailand</t>
        </is>
      </c>
      <c r="B219" t="inlineStr">
        <is>
          <t>THA</t>
        </is>
      </c>
      <c r="C219" t="inlineStr">
        <is>
          <t>XCX4.L</t>
        </is>
      </c>
      <c r="D219" t="n">
        <v>2023</v>
      </c>
      <c r="E219" t="n">
        <v>-17.71567436208992</v>
      </c>
      <c r="F219" t="n">
        <v>2.009</v>
      </c>
      <c r="G219" t="n">
        <v>4.087805</v>
      </c>
      <c r="H219" t="n">
        <v>19.72467436208992</v>
      </c>
      <c r="I219" t="n">
        <v>21.80347936208992</v>
      </c>
      <c r="J219" t="inlineStr">
        <is>
          <t>Thailand|XCX4.L|2023</t>
        </is>
      </c>
      <c r="K219" t="inlineStr">
        <is>
          <t>Thailand|2023</t>
        </is>
      </c>
    </row>
    <row r="220">
      <c r="A220" t="inlineStr">
        <is>
          <t>Thailand</t>
        </is>
      </c>
      <c r="B220" t="inlineStr">
        <is>
          <t>THA</t>
        </is>
      </c>
      <c r="C220" t="inlineStr">
        <is>
          <t>XCX4.L</t>
        </is>
      </c>
      <c r="D220" t="n">
        <v>2024</v>
      </c>
      <c r="E220" t="n">
        <v>0.02910360884749164</v>
      </c>
      <c r="F220" t="n">
        <v>2.54</v>
      </c>
      <c r="G220" t="n">
        <v>2.056964</v>
      </c>
      <c r="H220" t="n">
        <v>2.510896391152508</v>
      </c>
      <c r="I220" t="n">
        <v>2.027860391152508</v>
      </c>
      <c r="J220" t="inlineStr">
        <is>
          <t>Thailand|XCX4.L|2024</t>
        </is>
      </c>
      <c r="K220" t="inlineStr">
        <is>
          <t>Thailand|2024</t>
        </is>
      </c>
    </row>
    <row r="221">
      <c r="A221" t="inlineStr">
        <is>
          <t>Thailand</t>
        </is>
      </c>
      <c r="B221" t="inlineStr">
        <is>
          <t>THA</t>
        </is>
      </c>
      <c r="C221" t="inlineStr">
        <is>
          <t>XCX4.L</t>
        </is>
      </c>
      <c r="D221" t="n">
        <v>2025</v>
      </c>
      <c r="E221" t="n">
        <v>0.5687618492052016</v>
      </c>
      <c r="F221" t="n">
        <v>2</v>
      </c>
      <c r="G221" t="n">
        <v>6.088111</v>
      </c>
      <c r="H221" t="n">
        <v>1.431238150794798</v>
      </c>
      <c r="I221" t="n">
        <v>5.519349150794798</v>
      </c>
      <c r="J221" t="inlineStr">
        <is>
          <t>Thailand|XCX4.L|2025</t>
        </is>
      </c>
      <c r="K221" t="inlineStr">
        <is>
          <t>Thailand|2025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n">
        <v>2016</v>
      </c>
      <c r="E222" t="n">
        <v>-0.3158486147618378</v>
      </c>
      <c r="F222" t="n">
        <v>3.324</v>
      </c>
      <c r="G222" t="n">
        <v>0.24591</v>
      </c>
      <c r="H222" t="n">
        <v>3.639848614761838</v>
      </c>
      <c r="I222" t="n">
        <v>0.5617586147618377</v>
      </c>
      <c r="J222" t="inlineStr">
        <is>
          <t>Turkey|TURL.L|2016</t>
        </is>
      </c>
      <c r="K222" t="inlineStr">
        <is>
          <t>Turkey|2016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n">
        <v>2017</v>
      </c>
      <c r="E223" t="n">
        <v>23.70318302148371</v>
      </c>
      <c r="F223" t="n">
        <v>7.826</v>
      </c>
      <c r="G223" t="n">
        <v>-0.739137</v>
      </c>
      <c r="H223" t="n">
        <v>-15.87718302148371</v>
      </c>
      <c r="I223" t="n">
        <v>-24.44232002148371</v>
      </c>
      <c r="J223" t="inlineStr">
        <is>
          <t>Turkey|TURL.L|2017</t>
        </is>
      </c>
      <c r="K223" t="inlineStr">
        <is>
          <t>Turkey|2017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n">
        <v>2018</v>
      </c>
      <c r="E224" t="n">
        <v>-41.33845213022326</v>
      </c>
      <c r="F224" t="n">
        <v>3.468</v>
      </c>
      <c r="G224" t="n">
        <v>-6.55025</v>
      </c>
      <c r="H224" t="n">
        <v>44.80645213022326</v>
      </c>
      <c r="I224" t="n">
        <v>34.78820213022326</v>
      </c>
      <c r="J224" t="inlineStr">
        <is>
          <t>Turkey|TURL.L|2018</t>
        </is>
      </c>
      <c r="K224" t="inlineStr">
        <is>
          <t>Turkey|2018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n">
        <v>2019</v>
      </c>
      <c r="E225" t="n">
        <v>-0.8868204404142599</v>
      </c>
      <c r="F225" t="n">
        <v>1.302</v>
      </c>
      <c r="G225" t="n">
        <v>-3.975509</v>
      </c>
      <c r="H225" t="n">
        <v>2.18882044041426</v>
      </c>
      <c r="I225" t="n">
        <v>-3.08868855958574</v>
      </c>
      <c r="J225" t="inlineStr">
        <is>
          <t>Turkey|TURL.L|2019</t>
        </is>
      </c>
      <c r="K225" t="inlineStr">
        <is>
          <t>Turkey|2019</t>
        </is>
      </c>
    </row>
    <row r="226">
      <c r="A226" t="inlineStr">
        <is>
          <t>Turkey</t>
        </is>
      </c>
      <c r="B226" t="inlineStr">
        <is>
          <t>TUR</t>
        </is>
      </c>
      <c r="C226" t="inlineStr">
        <is>
          <t>TURL.L</t>
        </is>
      </c>
      <c r="D226" t="n">
        <v>2020</v>
      </c>
      <c r="E226" t="n">
        <v>-14.3073700427641</v>
      </c>
      <c r="F226" t="n">
        <v>1.803</v>
      </c>
      <c r="G226" t="n">
        <v>-5.789044</v>
      </c>
      <c r="H226" t="n">
        <v>16.1103700427641</v>
      </c>
      <c r="I226" t="n">
        <v>8.518326042764102</v>
      </c>
      <c r="J226" t="inlineStr">
        <is>
          <t>Turkey|TURL.L|2020</t>
        </is>
      </c>
      <c r="K226" t="inlineStr">
        <is>
          <t>Turkey|2020</t>
        </is>
      </c>
    </row>
    <row r="227">
      <c r="A227" t="inlineStr">
        <is>
          <t>Turkey</t>
        </is>
      </c>
      <c r="B227" t="inlineStr">
        <is>
          <t>TUR</t>
        </is>
      </c>
      <c r="C227" t="inlineStr">
        <is>
          <t>TURL.L</t>
        </is>
      </c>
      <c r="D227" t="n">
        <v>2021</v>
      </c>
      <c r="E227" t="n">
        <v>-26.40840105068237</v>
      </c>
      <c r="F227" t="n">
        <v>11.811</v>
      </c>
      <c r="G227" t="n">
        <v>13.326305</v>
      </c>
      <c r="H227" t="n">
        <v>38.21940105068237</v>
      </c>
      <c r="I227" t="n">
        <v>39.73470605068237</v>
      </c>
      <c r="J227" t="inlineStr">
        <is>
          <t>Turkey|TURL.L|2021</t>
        </is>
      </c>
      <c r="K227" t="inlineStr">
        <is>
          <t>Turkey|2021</t>
        </is>
      </c>
    </row>
    <row r="228">
      <c r="A228" t="inlineStr">
        <is>
          <t>Turkey</t>
        </is>
      </c>
      <c r="B228" t="inlineStr">
        <is>
          <t>TUR</t>
        </is>
      </c>
      <c r="C228" t="inlineStr">
        <is>
          <t>TURL.L</t>
        </is>
      </c>
      <c r="D228" t="n">
        <v>2022</v>
      </c>
      <c r="E228" t="n">
        <v>109.6554391742339</v>
      </c>
      <c r="F228" t="n">
        <v>5.441</v>
      </c>
      <c r="G228" t="n">
        <v>11.729149</v>
      </c>
      <c r="H228" t="n">
        <v>-104.2144391742339</v>
      </c>
      <c r="I228" t="n">
        <v>-97.92629017423391</v>
      </c>
      <c r="J228" t="inlineStr">
        <is>
          <t>Turkey|TURL.L|2022</t>
        </is>
      </c>
      <c r="K228" t="inlineStr">
        <is>
          <t>Turkey|2022</t>
        </is>
      </c>
    </row>
    <row r="229">
      <c r="A229" t="inlineStr">
        <is>
          <t>Turkey</t>
        </is>
      </c>
      <c r="B229" t="inlineStr">
        <is>
          <t>TUR</t>
        </is>
      </c>
      <c r="C229" t="inlineStr">
        <is>
          <t>TURL.L</t>
        </is>
      </c>
      <c r="D229" t="n">
        <v>2023</v>
      </c>
      <c r="E229" t="n">
        <v>-19.83238917593529</v>
      </c>
      <c r="F229" t="n">
        <v>5.045</v>
      </c>
      <c r="G229" t="n">
        <v>24.713977</v>
      </c>
      <c r="H229" t="n">
        <v>24.87738917593529</v>
      </c>
      <c r="I229" t="n">
        <v>44.54636617593529</v>
      </c>
      <c r="J229" t="inlineStr">
        <is>
          <t>Turkey|TURL.L|2023</t>
        </is>
      </c>
      <c r="K229" t="inlineStr">
        <is>
          <t>Turkey|2023</t>
        </is>
      </c>
    </row>
    <row r="230">
      <c r="A230" t="inlineStr">
        <is>
          <t>Turkey</t>
        </is>
      </c>
      <c r="B230" t="inlineStr">
        <is>
          <t>TUR</t>
        </is>
      </c>
      <c r="C230" t="inlineStr">
        <is>
          <t>TURL.L</t>
        </is>
      </c>
      <c r="D230" t="n">
        <v>2024</v>
      </c>
      <c r="E230" t="n">
        <v>0</v>
      </c>
      <c r="F230" t="n">
        <v>3.328</v>
      </c>
      <c r="G230" t="n">
        <v>17.771342</v>
      </c>
      <c r="H230" t="n">
        <v>3.328</v>
      </c>
      <c r="I230" t="n">
        <v>17.771342</v>
      </c>
      <c r="J230" t="inlineStr">
        <is>
          <t>Turkey|TURL.L|2024</t>
        </is>
      </c>
      <c r="K230" t="inlineStr">
        <is>
          <t>Turkey|2024</t>
        </is>
      </c>
    </row>
    <row r="231">
      <c r="A231" t="inlineStr">
        <is>
          <t>Turkey</t>
        </is>
      </c>
      <c r="B231" t="inlineStr">
        <is>
          <t>TUR</t>
        </is>
      </c>
      <c r="C231" t="inlineStr">
        <is>
          <t>TURL.L</t>
        </is>
      </c>
      <c r="D231" t="n">
        <v>2025</v>
      </c>
      <c r="E231" t="n">
        <v>0</v>
      </c>
      <c r="F231" t="n">
        <v>3.494</v>
      </c>
      <c r="G231" t="n">
        <v>15.256385</v>
      </c>
      <c r="H231" t="n">
        <v>3.494</v>
      </c>
      <c r="I231" t="n">
        <v>15.256385</v>
      </c>
      <c r="J231" t="inlineStr">
        <is>
          <t>Turkey|TURL.L|2025</t>
        </is>
      </c>
      <c r="K231" t="inlineStr">
        <is>
          <t>Turkey|2025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n">
        <v>2016</v>
      </c>
      <c r="E232" t="n">
        <v>21.43933685003767</v>
      </c>
      <c r="F232" t="n">
        <v>1.922</v>
      </c>
      <c r="G232" t="n">
        <v>-7.835665</v>
      </c>
      <c r="H232" t="n">
        <v>-19.51733685003767</v>
      </c>
      <c r="I232" t="n">
        <v>-29.27500185003767</v>
      </c>
      <c r="J232" t="inlineStr">
        <is>
          <t>United Kingdom|CSUK.L|2016</t>
        </is>
      </c>
      <c r="K232" t="inlineStr">
        <is>
          <t>United Kingdom|2016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n">
        <v>2017</v>
      </c>
      <c r="E233" t="n">
        <v>10.78797808611951</v>
      </c>
      <c r="F233" t="n">
        <v>2.657</v>
      </c>
      <c r="G233" t="n">
        <v>-0.618802</v>
      </c>
      <c r="H233" t="n">
        <v>-8.130978086119509</v>
      </c>
      <c r="I233" t="n">
        <v>-11.40678008611951</v>
      </c>
      <c r="J233" t="inlineStr">
        <is>
          <t>United Kingdom|CSUK.L|2017</t>
        </is>
      </c>
      <c r="K233" t="inlineStr">
        <is>
          <t>United Kingdom|2017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n">
        <v>2018</v>
      </c>
      <c r="E234" t="n">
        <v>-8.762214983713356</v>
      </c>
      <c r="F234" t="n">
        <v>1.405</v>
      </c>
      <c r="G234" t="n">
        <v>7.181671</v>
      </c>
      <c r="H234" t="n">
        <v>10.16721498371336</v>
      </c>
      <c r="I234" t="n">
        <v>15.94388598371336</v>
      </c>
      <c r="J234" t="inlineStr">
        <is>
          <t>United Kingdom|CSUK.L|2018</t>
        </is>
      </c>
      <c r="K234" t="inlineStr">
        <is>
          <t>United Kingdom|2018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CSUK.L</t>
        </is>
      </c>
      <c r="D235" t="n">
        <v>2019</v>
      </c>
      <c r="E235" t="n">
        <v>16.07315706352846</v>
      </c>
      <c r="F235" t="n">
        <v>1.624</v>
      </c>
      <c r="G235" t="n">
        <v>-0.763472</v>
      </c>
      <c r="H235" t="n">
        <v>-14.44915706352845</v>
      </c>
      <c r="I235" t="n">
        <v>-16.83662906352846</v>
      </c>
      <c r="J235" t="inlineStr">
        <is>
          <t>United Kingdom|CSUK.L|2019</t>
        </is>
      </c>
      <c r="K235" t="inlineStr">
        <is>
          <t>United Kingdom|2019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CSUK.L</t>
        </is>
      </c>
      <c r="D236" t="n">
        <v>2020</v>
      </c>
      <c r="E236" t="n">
        <v>-13.76937815711548</v>
      </c>
      <c r="F236" t="n">
        <v>-10.297</v>
      </c>
      <c r="G236" t="n">
        <v>-5.41062</v>
      </c>
      <c r="H236" t="n">
        <v>3.472378157115475</v>
      </c>
      <c r="I236" t="n">
        <v>8.358758157115476</v>
      </c>
      <c r="J236" t="inlineStr">
        <is>
          <t>United Kingdom|CSUK.L|2020</t>
        </is>
      </c>
      <c r="K236" t="inlineStr">
        <is>
          <t>United Kingdom|2020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CSUK.L</t>
        </is>
      </c>
      <c r="D237" t="n">
        <v>2021</v>
      </c>
      <c r="E237" t="n">
        <v>16.31212723658053</v>
      </c>
      <c r="F237" t="n">
        <v>8.576000000000001</v>
      </c>
      <c r="G237" t="n">
        <v>16.503249</v>
      </c>
      <c r="H237" t="n">
        <v>-7.736127236580529</v>
      </c>
      <c r="I237" t="n">
        <v>0.1911217634194706</v>
      </c>
      <c r="J237" t="inlineStr">
        <is>
          <t>United Kingdom|CSUK.L|2021</t>
        </is>
      </c>
      <c r="K237" t="inlineStr">
        <is>
          <t>United Kingdom|2021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CSUK.L</t>
        </is>
      </c>
      <c r="D238" t="n">
        <v>2022</v>
      </c>
      <c r="E238" t="n">
        <v>5.392692146157074</v>
      </c>
      <c r="F238" t="n">
        <v>4.839</v>
      </c>
      <c r="G238" t="n">
        <v>-0.593974</v>
      </c>
      <c r="H238" t="n">
        <v>-0.5536921461570739</v>
      </c>
      <c r="I238" t="n">
        <v>-5.986666146157074</v>
      </c>
      <c r="J238" t="inlineStr">
        <is>
          <t>United Kingdom|CSUK.L|2022</t>
        </is>
      </c>
      <c r="K238" t="inlineStr">
        <is>
          <t>United Kingdom|2022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CSUK.L</t>
        </is>
      </c>
      <c r="D239" t="n">
        <v>2023</v>
      </c>
      <c r="E239" t="n">
        <v>5.633026077365488</v>
      </c>
      <c r="F239" t="n">
        <v>0.397</v>
      </c>
      <c r="G239" t="n">
        <v>7.861832</v>
      </c>
      <c r="H239" t="n">
        <v>-5.236026077365488</v>
      </c>
      <c r="I239" t="n">
        <v>2.228805922634511</v>
      </c>
      <c r="J239" t="inlineStr">
        <is>
          <t>United Kingdom|CSUK.L|2023</t>
        </is>
      </c>
      <c r="K239" t="inlineStr">
        <is>
          <t>United Kingdom|2023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CSUK.L</t>
        </is>
      </c>
      <c r="D240" t="n">
        <v>2024</v>
      </c>
      <c r="E240" t="n">
        <v>8.961349052380241</v>
      </c>
      <c r="F240" t="n">
        <v>1.101</v>
      </c>
      <c r="G240" t="n">
        <v>8.113569</v>
      </c>
      <c r="H240" t="n">
        <v>-7.860349052380241</v>
      </c>
      <c r="I240" t="n">
        <v>-0.8477800523802408</v>
      </c>
      <c r="J240" t="inlineStr">
        <is>
          <t>United Kingdom|CSUK.L|2024</t>
        </is>
      </c>
      <c r="K240" t="inlineStr">
        <is>
          <t>United Kingdom|2024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CSUK.L</t>
        </is>
      </c>
      <c r="D241" t="n">
        <v>2025</v>
      </c>
      <c r="E241" t="n">
        <v>23.79534380075798</v>
      </c>
      <c r="F241" t="n">
        <v>1.308</v>
      </c>
      <c r="G241" t="n">
        <v>8.619351999999999</v>
      </c>
      <c r="H241" t="n">
        <v>-22.48734380075798</v>
      </c>
      <c r="I241" t="n">
        <v>-15.17599180075798</v>
      </c>
      <c r="J241" t="inlineStr">
        <is>
          <t>United Kingdom|CSUK.L|2025</t>
        </is>
      </c>
      <c r="K241" t="inlineStr">
        <is>
          <t>United Kingdom|2025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n">
        <v>2016</v>
      </c>
      <c r="E242" t="n">
        <v>22.1086413883276</v>
      </c>
      <c r="F242" t="n">
        <v>1.922</v>
      </c>
      <c r="G242" t="n">
        <v>-7.835665</v>
      </c>
      <c r="H242" t="n">
        <v>-20.1866413883276</v>
      </c>
      <c r="I242" t="n">
        <v>-29.9443063883276</v>
      </c>
      <c r="J242" t="inlineStr">
        <is>
          <t>United Kingdom|CUKX.L|2016</t>
        </is>
      </c>
      <c r="K242" t="inlineStr">
        <is>
          <t>United Kingdom|2016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n">
        <v>2017</v>
      </c>
      <c r="E243" t="n">
        <v>11.49447473821359</v>
      </c>
      <c r="F243" t="n">
        <v>2.657</v>
      </c>
      <c r="G243" t="n">
        <v>-0.618802</v>
      </c>
      <c r="H243" t="n">
        <v>-8.83747473821359</v>
      </c>
      <c r="I243" t="n">
        <v>-12.11327673821359</v>
      </c>
      <c r="J243" t="inlineStr">
        <is>
          <t>United Kingdom|CUKX.L|2017</t>
        </is>
      </c>
      <c r="K243" t="inlineStr">
        <is>
          <t>United Kingdom|2017</t>
        </is>
      </c>
    </row>
    <row r="244">
      <c r="A244" t="inlineStr">
        <is>
          <t>United Kingdom</t>
        </is>
      </c>
      <c r="B244" t="inlineStr">
        <is>
          <t>GBR</t>
        </is>
      </c>
      <c r="C244" t="inlineStr">
        <is>
          <t>CUKX.L</t>
        </is>
      </c>
      <c r="D244" t="n">
        <v>2018</v>
      </c>
      <c r="E244" t="n">
        <v>-8.379839553540302</v>
      </c>
      <c r="F244" t="n">
        <v>1.405</v>
      </c>
      <c r="G244" t="n">
        <v>7.181671</v>
      </c>
      <c r="H244" t="n">
        <v>9.784839553540301</v>
      </c>
      <c r="I244" t="n">
        <v>15.5615105535403</v>
      </c>
      <c r="J244" t="inlineStr">
        <is>
          <t>United Kingdom|CUKX.L|2018</t>
        </is>
      </c>
      <c r="K244" t="inlineStr">
        <is>
          <t>United Kingdom|2018</t>
        </is>
      </c>
    </row>
    <row r="245">
      <c r="A245" t="inlineStr">
        <is>
          <t>United Kingdom</t>
        </is>
      </c>
      <c r="B245" t="inlineStr">
        <is>
          <t>GBR</t>
        </is>
      </c>
      <c r="C245" t="inlineStr">
        <is>
          <t>CUKX.L</t>
        </is>
      </c>
      <c r="D245" t="n">
        <v>2019</v>
      </c>
      <c r="E245" t="n">
        <v>17.23776889396536</v>
      </c>
      <c r="F245" t="n">
        <v>1.624</v>
      </c>
      <c r="G245" t="n">
        <v>-0.763472</v>
      </c>
      <c r="H245" t="n">
        <v>-15.61376889396536</v>
      </c>
      <c r="I245" t="n">
        <v>-18.00124089396536</v>
      </c>
      <c r="J245" t="inlineStr">
        <is>
          <t>United Kingdom|CUKX.L|2019</t>
        </is>
      </c>
      <c r="K245" t="inlineStr">
        <is>
          <t>United Kingdom|2019</t>
        </is>
      </c>
    </row>
    <row r="246">
      <c r="A246" t="inlineStr">
        <is>
          <t>United Kingdom</t>
        </is>
      </c>
      <c r="B246" t="inlineStr">
        <is>
          <t>GBR</t>
        </is>
      </c>
      <c r="C246" t="inlineStr">
        <is>
          <t>CUKX.L</t>
        </is>
      </c>
      <c r="D246" t="n">
        <v>2020</v>
      </c>
      <c r="E246" t="n">
        <v>-12.13315108145051</v>
      </c>
      <c r="F246" t="n">
        <v>-10.297</v>
      </c>
      <c r="G246" t="n">
        <v>-5.41062</v>
      </c>
      <c r="H246" t="n">
        <v>1.83615108145051</v>
      </c>
      <c r="I246" t="n">
        <v>6.72253108145051</v>
      </c>
      <c r="J246" t="inlineStr">
        <is>
          <t>United Kingdom|CUKX.L|2020</t>
        </is>
      </c>
      <c r="K246" t="inlineStr">
        <is>
          <t>United Kingdom|2020</t>
        </is>
      </c>
    </row>
    <row r="247">
      <c r="A247" t="inlineStr">
        <is>
          <t>United Kingdom</t>
        </is>
      </c>
      <c r="B247" t="inlineStr">
        <is>
          <t>GBR</t>
        </is>
      </c>
      <c r="C247" t="inlineStr">
        <is>
          <t>CUKX.L</t>
        </is>
      </c>
      <c r="D247" t="n">
        <v>2021</v>
      </c>
      <c r="E247" t="n">
        <v>15.65765765765765</v>
      </c>
      <c r="F247" t="n">
        <v>8.576000000000001</v>
      </c>
      <c r="G247" t="n">
        <v>16.503249</v>
      </c>
      <c r="H247" t="n">
        <v>-7.081657657657653</v>
      </c>
      <c r="I247" t="n">
        <v>0.8455913423423471</v>
      </c>
      <c r="J247" t="inlineStr">
        <is>
          <t>United Kingdom|CUKX.L|2021</t>
        </is>
      </c>
      <c r="K247" t="inlineStr">
        <is>
          <t>United Kingdom|2021</t>
        </is>
      </c>
    </row>
    <row r="248">
      <c r="A248" t="inlineStr">
        <is>
          <t>United Kingdom</t>
        </is>
      </c>
      <c r="B248" t="inlineStr">
        <is>
          <t>GBR</t>
        </is>
      </c>
      <c r="C248" t="inlineStr">
        <is>
          <t>CUKX.L</t>
        </is>
      </c>
      <c r="D248" t="n">
        <v>2022</v>
      </c>
      <c r="E248" t="n">
        <v>3.343558282208581</v>
      </c>
      <c r="F248" t="n">
        <v>4.839</v>
      </c>
      <c r="G248" t="n">
        <v>-0.593974</v>
      </c>
      <c r="H248" t="n">
        <v>1.49544171779142</v>
      </c>
      <c r="I248" t="n">
        <v>-3.937532282208581</v>
      </c>
      <c r="J248" t="inlineStr">
        <is>
          <t>United Kingdom|CUKX.L|2022</t>
        </is>
      </c>
      <c r="K248" t="inlineStr">
        <is>
          <t>United Kingdom|2022</t>
        </is>
      </c>
    </row>
    <row r="249">
      <c r="A249" t="inlineStr">
        <is>
          <t>United Kingdom</t>
        </is>
      </c>
      <c r="B249" t="inlineStr">
        <is>
          <t>GBR</t>
        </is>
      </c>
      <c r="C249" t="inlineStr">
        <is>
          <t>CUKX.L</t>
        </is>
      </c>
      <c r="D249" t="n">
        <v>2023</v>
      </c>
      <c r="E249" t="n">
        <v>6.578560939794431</v>
      </c>
      <c r="F249" t="n">
        <v>0.397</v>
      </c>
      <c r="G249" t="n">
        <v>7.861832</v>
      </c>
      <c r="H249" t="n">
        <v>-6.181560939794431</v>
      </c>
      <c r="I249" t="n">
        <v>1.283271060205569</v>
      </c>
      <c r="J249" t="inlineStr">
        <is>
          <t>United Kingdom|CUKX.L|2023</t>
        </is>
      </c>
      <c r="K249" t="inlineStr">
        <is>
          <t>United Kingdom|2023</t>
        </is>
      </c>
    </row>
    <row r="250">
      <c r="A250" t="inlineStr">
        <is>
          <t>United Kingdom</t>
        </is>
      </c>
      <c r="B250" t="inlineStr">
        <is>
          <t>GBR</t>
        </is>
      </c>
      <c r="C250" t="inlineStr">
        <is>
          <t>CUKX.L</t>
        </is>
      </c>
      <c r="D250" t="n">
        <v>2024</v>
      </c>
      <c r="E250" t="n">
        <v>9.390512961941532</v>
      </c>
      <c r="F250" t="n">
        <v>1.101</v>
      </c>
      <c r="G250" t="n">
        <v>8.113569</v>
      </c>
      <c r="H250" t="n">
        <v>-8.289512961941533</v>
      </c>
      <c r="I250" t="n">
        <v>-1.276943961941532</v>
      </c>
      <c r="J250" t="inlineStr">
        <is>
          <t>United Kingdom|CUKX.L|2024</t>
        </is>
      </c>
      <c r="K250" t="inlineStr">
        <is>
          <t>United Kingdom|2024</t>
        </is>
      </c>
    </row>
    <row r="251">
      <c r="A251" t="inlineStr">
        <is>
          <t>United Kingdom</t>
        </is>
      </c>
      <c r="B251" t="inlineStr">
        <is>
          <t>GBR</t>
        </is>
      </c>
      <c r="C251" t="inlineStr">
        <is>
          <t>CUKX.L</t>
        </is>
      </c>
      <c r="D251" t="n">
        <v>2025</v>
      </c>
      <c r="E251" t="n">
        <v>24.46052139204191</v>
      </c>
      <c r="F251" t="n">
        <v>1.308</v>
      </c>
      <c r="G251" t="n">
        <v>8.619351999999999</v>
      </c>
      <c r="H251" t="n">
        <v>-23.15252139204191</v>
      </c>
      <c r="I251" t="n">
        <v>-15.84116939204191</v>
      </c>
      <c r="J251" t="inlineStr">
        <is>
          <t>United Kingdom|CUKX.L|2025</t>
        </is>
      </c>
      <c r="K251" t="inlineStr">
        <is>
          <t>United Kingdom|2025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SPXL.L</t>
        </is>
      </c>
      <c r="D252" t="n">
        <v>2016</v>
      </c>
      <c r="E252" t="inlineStr"/>
      <c r="F252" t="n">
        <v>1.82</v>
      </c>
      <c r="G252" t="n">
        <v>2.7871</v>
      </c>
      <c r="H252" t="inlineStr"/>
      <c r="I252" t="inlineStr"/>
      <c r="J252" t="inlineStr">
        <is>
          <t>United States|SPXL.L|2016</t>
        </is>
      </c>
      <c r="K252" t="inlineStr">
        <is>
          <t>United States|2016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SPXL.L</t>
        </is>
      </c>
      <c r="D253" t="n">
        <v>2017</v>
      </c>
      <c r="E253" t="inlineStr"/>
      <c r="F253" t="n">
        <v>2.458</v>
      </c>
      <c r="G253" t="n">
        <v>4.292498</v>
      </c>
      <c r="H253" t="inlineStr"/>
      <c r="I253" t="inlineStr"/>
      <c r="J253" t="inlineStr">
        <is>
          <t>United States|SPXL.L|2017</t>
        </is>
      </c>
      <c r="K253" t="inlineStr">
        <is>
          <t>United States|2017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SPXL.L</t>
        </is>
      </c>
      <c r="D254" t="n">
        <v>2018</v>
      </c>
      <c r="E254" t="inlineStr"/>
      <c r="F254" t="n">
        <v>2.967</v>
      </c>
      <c r="G254" t="n">
        <v>5.325411</v>
      </c>
      <c r="H254" t="inlineStr"/>
      <c r="I254" t="inlineStr"/>
      <c r="J254" t="inlineStr">
        <is>
          <t>United States|SPXL.L|2018</t>
        </is>
      </c>
      <c r="K254" t="inlineStr">
        <is>
          <t>United States|2018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SPXL.L</t>
        </is>
      </c>
      <c r="D255" t="n">
        <v>2019</v>
      </c>
      <c r="E255" t="inlineStr"/>
      <c r="F255" t="n">
        <v>2.584</v>
      </c>
      <c r="G255" t="n">
        <v>4.276857</v>
      </c>
      <c r="H255" t="inlineStr"/>
      <c r="I255" t="inlineStr"/>
      <c r="J255" t="inlineStr">
        <is>
          <t>United States|SPXL.L|2019</t>
        </is>
      </c>
      <c r="K255" t="inlineStr">
        <is>
          <t>United States|2019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SPXL.L</t>
        </is>
      </c>
      <c r="D256" t="n">
        <v>2020</v>
      </c>
      <c r="E256" t="inlineStr"/>
      <c r="F256" t="n">
        <v>-2.081</v>
      </c>
      <c r="G256" t="n">
        <v>-0.764625</v>
      </c>
      <c r="H256" t="inlineStr"/>
      <c r="I256" t="inlineStr"/>
      <c r="J256" t="inlineStr">
        <is>
          <t>United States|SPXL.L|2020</t>
        </is>
      </c>
      <c r="K256" t="inlineStr">
        <is>
          <t>United States|2020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SPXL.L</t>
        </is>
      </c>
      <c r="D257" t="n">
        <v>2021</v>
      </c>
      <c r="E257" t="inlineStr"/>
      <c r="F257" t="n">
        <v>6.152</v>
      </c>
      <c r="G257" t="n">
        <v>10.995765</v>
      </c>
      <c r="H257" t="inlineStr"/>
      <c r="I257" t="inlineStr"/>
      <c r="J257" t="inlineStr">
        <is>
          <t>United States|SPXL.L|2021</t>
        </is>
      </c>
      <c r="K257" t="inlineStr">
        <is>
          <t>United States|2021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SPXL.L</t>
        </is>
      </c>
      <c r="D258" t="n">
        <v>2022</v>
      </c>
      <c r="E258" t="inlineStr"/>
      <c r="F258" t="n">
        <v>2.524</v>
      </c>
      <c r="G258" t="n">
        <v>9.816169</v>
      </c>
      <c r="H258" t="inlineStr"/>
      <c r="I258" t="inlineStr"/>
      <c r="J258" t="inlineStr">
        <is>
          <t>United States|SPXL.L|2022</t>
        </is>
      </c>
      <c r="K258" t="inlineStr">
        <is>
          <t>United States|2022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SPXL.L</t>
        </is>
      </c>
      <c r="D259" t="n">
        <v>2023</v>
      </c>
      <c r="E259" t="n">
        <v>-10.19552825164982</v>
      </c>
      <c r="F259" t="n">
        <v>2.935</v>
      </c>
      <c r="G259" t="n">
        <v>6.743147</v>
      </c>
      <c r="H259" t="n">
        <v>13.13052825164982</v>
      </c>
      <c r="I259" t="n">
        <v>16.93867525164982</v>
      </c>
      <c r="J259" t="inlineStr">
        <is>
          <t>United States|SPXL.L|2023</t>
        </is>
      </c>
      <c r="K259" t="inlineStr">
        <is>
          <t>United States|2023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SPXL.L</t>
        </is>
      </c>
      <c r="D260" t="n">
        <v>2024</v>
      </c>
      <c r="E260" t="n">
        <v>27.3682990687111</v>
      </c>
      <c r="F260" t="n">
        <v>2.793</v>
      </c>
      <c r="G260" t="n">
        <v>5.345001</v>
      </c>
      <c r="H260" t="n">
        <v>-24.5752990687111</v>
      </c>
      <c r="I260" t="n">
        <v>-22.0232980687111</v>
      </c>
      <c r="J260" t="inlineStr">
        <is>
          <t>United States|SPXL.L|2024</t>
        </is>
      </c>
      <c r="K260" t="inlineStr">
        <is>
          <t>United States|2024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SPXL.L</t>
        </is>
      </c>
      <c r="D261" t="n">
        <v>2025</v>
      </c>
      <c r="E261" t="n">
        <v>8.434565882238697</v>
      </c>
      <c r="F261" t="n">
        <v>2.017</v>
      </c>
      <c r="G261" t="n">
        <v>4.497634</v>
      </c>
      <c r="H261" t="n">
        <v>-6.417565882238698</v>
      </c>
      <c r="I261" t="n">
        <v>-3.936931882238698</v>
      </c>
      <c r="J261" t="inlineStr">
        <is>
          <t>United States|SPXL.L|2025</t>
        </is>
      </c>
      <c r="K261" t="inlineStr">
        <is>
          <t>United States|2025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n">
        <v>2016</v>
      </c>
      <c r="E262" t="n">
        <v>16.79276315789475</v>
      </c>
      <c r="F262" t="n">
        <v>6.69</v>
      </c>
      <c r="G262" t="n">
        <v>6.482823</v>
      </c>
      <c r="H262" t="n">
        <v>-10.10276315789475</v>
      </c>
      <c r="I262" t="n">
        <v>-10.30994015789475</v>
      </c>
      <c r="J262" t="inlineStr">
        <is>
          <t>Vietnam|XFVT.L|2016</t>
        </is>
      </c>
      <c r="K262" t="inlineStr">
        <is>
          <t>Vietnam|2016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n">
        <v>2017</v>
      </c>
      <c r="E263" t="n">
        <v>33.44334433443345</v>
      </c>
      <c r="F263" t="n">
        <v>6.94</v>
      </c>
      <c r="G263" t="n">
        <v>9.885146000000001</v>
      </c>
      <c r="H263" t="n">
        <v>-26.50334433443345</v>
      </c>
      <c r="I263" t="n">
        <v>-23.55819833443346</v>
      </c>
      <c r="J263" t="inlineStr">
        <is>
          <t>Vietnam|XFVT.L|2017</t>
        </is>
      </c>
      <c r="K263" t="inlineStr">
        <is>
          <t>Vietnam|2017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n">
        <v>2018</v>
      </c>
      <c r="E264" t="n">
        <v>-7.244752394538412</v>
      </c>
      <c r="F264" t="n">
        <v>7.465</v>
      </c>
      <c r="G264" t="n">
        <v>9.888801000000001</v>
      </c>
      <c r="H264" t="n">
        <v>14.70975239453841</v>
      </c>
      <c r="I264" t="n">
        <v>17.13355339453841</v>
      </c>
      <c r="J264" t="inlineStr">
        <is>
          <t>Vietnam|XFVT.L|2018</t>
        </is>
      </c>
      <c r="K264" t="inlineStr">
        <is>
          <t>Vietnam|2018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n">
        <v>2019</v>
      </c>
      <c r="E265" t="n">
        <v>-1.198186528497414</v>
      </c>
      <c r="F265" t="n">
        <v>7.359</v>
      </c>
      <c r="G265" t="n">
        <v>8.982165999999999</v>
      </c>
      <c r="H265" t="n">
        <v>8.557186528497414</v>
      </c>
      <c r="I265" t="n">
        <v>10.18035252849741</v>
      </c>
      <c r="J265" t="inlineStr">
        <is>
          <t>Vietnam|XFVT.L|2019</t>
        </is>
      </c>
      <c r="K265" t="inlineStr">
        <is>
          <t>Vietnam|2019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n">
        <v>2020</v>
      </c>
      <c r="E266" t="n">
        <v>12.24511813572122</v>
      </c>
      <c r="F266" t="n">
        <v>2.865</v>
      </c>
      <c r="G266" t="n">
        <v>4.367454</v>
      </c>
      <c r="H266" t="n">
        <v>-9.380118135721222</v>
      </c>
      <c r="I266" t="n">
        <v>-7.877664135721222</v>
      </c>
      <c r="J266" t="inlineStr">
        <is>
          <t>Vietnam|XFVT.L|2020</t>
        </is>
      </c>
      <c r="K266" t="inlineStr">
        <is>
          <t>Vietnam|2020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n">
        <v>2021</v>
      </c>
      <c r="E267" t="n">
        <v>31.4366729678639</v>
      </c>
      <c r="F267" t="n">
        <v>2.554</v>
      </c>
      <c r="G267" t="n">
        <v>6.862638</v>
      </c>
      <c r="H267" t="n">
        <v>-28.8826729678639</v>
      </c>
      <c r="I267" t="n">
        <v>-24.5740349678639</v>
      </c>
      <c r="J267" t="inlineStr">
        <is>
          <t>Vietnam|XFVT.L|2021</t>
        </is>
      </c>
      <c r="K267" t="inlineStr">
        <is>
          <t>Vietnam|2021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n">
        <v>2022</v>
      </c>
      <c r="E268" t="n">
        <v>-39.70095025153717</v>
      </c>
      <c r="F268" t="n">
        <v>8.538</v>
      </c>
      <c r="G268" t="n">
        <v>11.076644</v>
      </c>
      <c r="H268" t="n">
        <v>48.23895025153718</v>
      </c>
      <c r="I268" t="n">
        <v>50.77759425153717</v>
      </c>
      <c r="J268" t="inlineStr">
        <is>
          <t>Vietnam|XFVT.L|2022</t>
        </is>
      </c>
      <c r="K268" t="inlineStr">
        <is>
          <t>Vietnam|2022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n">
        <v>2023</v>
      </c>
      <c r="E269" t="n">
        <v>-5.490410958904112</v>
      </c>
      <c r="F269" t="n">
        <v>5.065</v>
      </c>
      <c r="G269" t="n">
        <v>5.337316</v>
      </c>
      <c r="H269" t="n">
        <v>10.55541095890411</v>
      </c>
      <c r="I269" t="n">
        <v>10.82772695890411</v>
      </c>
      <c r="J269" t="inlineStr">
        <is>
          <t>Vietnam|XFVT.L|2023</t>
        </is>
      </c>
      <c r="K269" t="inlineStr">
        <is>
          <t>Vietnam|2023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n">
        <v>2024</v>
      </c>
      <c r="E270" t="n">
        <v>-8.879860708067334</v>
      </c>
      <c r="F270" t="n">
        <v>7.091</v>
      </c>
      <c r="G270" t="n">
        <v>6.111665</v>
      </c>
      <c r="H270" t="n">
        <v>15.97086070806733</v>
      </c>
      <c r="I270" t="n">
        <v>14.99152570806733</v>
      </c>
      <c r="J270" t="inlineStr">
        <is>
          <t>Vietnam|XFVT.L|2024</t>
        </is>
      </c>
      <c r="K270" t="inlineStr">
        <is>
          <t>Vietnam|2024</t>
        </is>
      </c>
    </row>
    <row r="271">
      <c r="A271" t="inlineStr">
        <is>
          <t>Vietnam</t>
        </is>
      </c>
      <c r="B271" t="inlineStr">
        <is>
          <t>VNM</t>
        </is>
      </c>
      <c r="C271" t="inlineStr">
        <is>
          <t>XFVT.L</t>
        </is>
      </c>
      <c r="D271" t="n">
        <v>2025</v>
      </c>
      <c r="E271" t="n">
        <v>55.06464164679304</v>
      </c>
      <c r="F271" t="n">
        <v>6.457</v>
      </c>
      <c r="G271" t="n">
        <v>5.496309</v>
      </c>
      <c r="H271" t="n">
        <v>-48.60764164679303</v>
      </c>
      <c r="I271" t="n">
        <v>-49.56833264679304</v>
      </c>
      <c r="J271" t="inlineStr">
        <is>
          <t>Vietnam|XFVT.L|2025</t>
        </is>
      </c>
      <c r="K271" t="inlineStr">
        <is>
          <t>Vietnam|2025</t>
        </is>
      </c>
    </row>
  </sheetData>
  <autoFilter ref="A1:K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gdp_nominal_cagr_pct</t>
        </is>
      </c>
      <c r="I1" t="inlineStr">
        <is>
          <t>gdp_real_minus_etf_cagr_pct</t>
        </is>
      </c>
      <c r="J1" t="inlineStr">
        <is>
          <t>gdp_nominal_minus_etf_cagr_pct</t>
        </is>
      </c>
      <c r="K1" t="inlineStr">
        <is>
          <t>lookup_key</t>
        </is>
      </c>
      <c r="L1" t="inlineStr">
        <is>
          <t>country_horizon_key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3Y</t>
        </is>
      </c>
      <c r="F2" t="inlineStr"/>
      <c r="G2" t="n">
        <v>1.631696691378837</v>
      </c>
      <c r="H2" t="n">
        <v>1.971483499348792</v>
      </c>
      <c r="I2" t="inlineStr"/>
      <c r="J2" t="inlineStr"/>
      <c r="K2" t="inlineStr">
        <is>
          <t>Australia||3Y</t>
        </is>
      </c>
      <c r="L2" t="inlineStr">
        <is>
          <t>Australia|3Y</t>
        </is>
      </c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5Y</t>
        </is>
      </c>
      <c r="F3" t="inlineStr"/>
      <c r="G3" t="n">
        <v>2.876765659684222</v>
      </c>
      <c r="H3" t="n">
        <v>6.069138739652113</v>
      </c>
      <c r="I3" t="inlineStr"/>
      <c r="J3" t="inlineStr"/>
      <c r="K3" t="inlineStr">
        <is>
          <t>Australia||5Y</t>
        </is>
      </c>
      <c r="L3" t="inlineStr">
        <is>
          <t>Australia|5Y</t>
        </is>
      </c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10Y</t>
        </is>
      </c>
      <c r="F4" t="inlineStr"/>
      <c r="G4" t="n">
        <v>2.213055120465901</v>
      </c>
      <c r="H4" t="n">
        <v>4.017148053168307</v>
      </c>
      <c r="I4" t="inlineStr"/>
      <c r="J4" t="inlineStr"/>
      <c r="K4" t="inlineStr">
        <is>
          <t>Australia||10Y</t>
        </is>
      </c>
      <c r="L4" t="inlineStr">
        <is>
          <t>Australia|10Y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s="1" t="n">
        <v>46022</v>
      </c>
      <c r="E5" t="inlineStr">
        <is>
          <t>3Y</t>
        </is>
      </c>
      <c r="F5" t="n">
        <v>-0.24084110932171</v>
      </c>
      <c r="G5" t="n">
        <v>1.631696691378837</v>
      </c>
      <c r="H5" t="n">
        <v>1.971483499348792</v>
      </c>
      <c r="I5" t="n">
        <v>1.872537800700547</v>
      </c>
      <c r="J5" t="n">
        <v>2.212324608670502</v>
      </c>
      <c r="K5" t="inlineStr">
        <is>
          <t>Australia|SAUS.L|3Y</t>
        </is>
      </c>
      <c r="L5" t="inlineStr">
        <is>
          <t>Australia|3Y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5Y</t>
        </is>
      </c>
      <c r="F6" t="n">
        <v>6.32875659834411</v>
      </c>
      <c r="G6" t="n">
        <v>2.876765659684222</v>
      </c>
      <c r="H6" t="n">
        <v>6.069138739652113</v>
      </c>
      <c r="I6" t="n">
        <v>-3.451990938659888</v>
      </c>
      <c r="J6" t="n">
        <v>-0.2596178586919962</v>
      </c>
      <c r="K6" t="inlineStr">
        <is>
          <t>Australia|SAUS.L|5Y</t>
        </is>
      </c>
      <c r="L6" t="inlineStr">
        <is>
          <t>Australia|5Y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10Y</t>
        </is>
      </c>
      <c r="F7" t="n">
        <v>8.934479834853292</v>
      </c>
      <c r="G7" t="n">
        <v>2.213055120465901</v>
      </c>
      <c r="H7" t="n">
        <v>4.017148053168307</v>
      </c>
      <c r="I7" t="n">
        <v>-6.721424714387391</v>
      </c>
      <c r="J7" t="n">
        <v>-4.917331781684985</v>
      </c>
      <c r="K7" t="inlineStr">
        <is>
          <t>Australia|SAUS.L|10Y</t>
        </is>
      </c>
      <c r="L7" t="inlineStr">
        <is>
          <t>Australia|10Y</t>
        </is>
      </c>
    </row>
    <row r="8">
      <c r="A8" t="inlineStr">
        <is>
          <t>Brazil</t>
        </is>
      </c>
      <c r="B8" t="inlineStr">
        <is>
          <t>BRA</t>
        </is>
      </c>
      <c r="C8" t="inlineStr"/>
      <c r="D8" s="1" t="n">
        <v>46022</v>
      </c>
      <c r="E8" t="inlineStr">
        <is>
          <t>3Y</t>
        </is>
      </c>
      <c r="F8" t="inlineStr"/>
      <c r="G8" t="n">
        <v>3.011734824017376</v>
      </c>
      <c r="H8" t="n">
        <v>4.959722734469385</v>
      </c>
      <c r="I8" t="inlineStr"/>
      <c r="J8" t="inlineStr"/>
      <c r="K8" t="inlineStr">
        <is>
          <t>Brazil||3Y</t>
        </is>
      </c>
      <c r="L8" t="inlineStr">
        <is>
          <t>Brazil|3Y</t>
        </is>
      </c>
    </row>
    <row r="9">
      <c r="A9" t="inlineStr">
        <is>
          <t>Brazil</t>
        </is>
      </c>
      <c r="B9" t="inlineStr">
        <is>
          <t>BRA</t>
        </is>
      </c>
      <c r="C9" t="inlineStr"/>
      <c r="D9" s="1" t="n">
        <v>46022</v>
      </c>
      <c r="E9" t="inlineStr">
        <is>
          <t>5Y</t>
        </is>
      </c>
      <c r="F9" t="inlineStr"/>
      <c r="G9" t="n">
        <v>3.360686629120346</v>
      </c>
      <c r="H9" t="n">
        <v>8.862966074133084</v>
      </c>
      <c r="I9" t="inlineStr"/>
      <c r="J9" t="inlineStr"/>
      <c r="K9" t="inlineStr">
        <is>
          <t>Brazil||5Y</t>
        </is>
      </c>
      <c r="L9" t="inlineStr">
        <is>
          <t>Brazil|5Y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10Y</t>
        </is>
      </c>
      <c r="F10" t="inlineStr"/>
      <c r="G10" t="n">
        <v>1.426143163517724</v>
      </c>
      <c r="H10" t="n">
        <v>2.287617784642992</v>
      </c>
      <c r="I10" t="inlineStr"/>
      <c r="J10" t="inlineStr"/>
      <c r="K10" t="inlineStr">
        <is>
          <t>Brazil||10Y</t>
        </is>
      </c>
      <c r="L10" t="inlineStr">
        <is>
          <t>Brazil|10Y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s="1" t="n">
        <v>46022</v>
      </c>
      <c r="E11" t="inlineStr">
        <is>
          <t>3Y</t>
        </is>
      </c>
      <c r="F11" t="n">
        <v>9.22415102050056</v>
      </c>
      <c r="G11" t="n">
        <v>3.011734824017376</v>
      </c>
      <c r="H11" t="n">
        <v>4.959722734469385</v>
      </c>
      <c r="I11" t="n">
        <v>-6.212416196483185</v>
      </c>
      <c r="J11" t="n">
        <v>-4.264428286031175</v>
      </c>
      <c r="K11" t="inlineStr">
        <is>
          <t>Brazil|XMBR.L|3Y</t>
        </is>
      </c>
      <c r="L11" t="inlineStr">
        <is>
          <t>Brazil|3Y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s="1" t="n">
        <v>46022</v>
      </c>
      <c r="E12" t="inlineStr">
        <is>
          <t>5Y</t>
        </is>
      </c>
      <c r="F12" t="n">
        <v>5.329166069044544</v>
      </c>
      <c r="G12" t="n">
        <v>3.360686629120346</v>
      </c>
      <c r="H12" t="n">
        <v>8.862966074133084</v>
      </c>
      <c r="I12" t="n">
        <v>-1.968479439924198</v>
      </c>
      <c r="J12" t="n">
        <v>3.53380000508854</v>
      </c>
      <c r="K12" t="inlineStr">
        <is>
          <t>Brazil|XMBR.L|5Y</t>
        </is>
      </c>
      <c r="L12" t="inlineStr">
        <is>
          <t>Brazil|5Y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s="1" t="n">
        <v>46022</v>
      </c>
      <c r="E13" t="inlineStr">
        <is>
          <t>10Y</t>
        </is>
      </c>
      <c r="F13" t="n">
        <v>11.40028196885785</v>
      </c>
      <c r="G13" t="n">
        <v>1.426143163517724</v>
      </c>
      <c r="H13" t="n">
        <v>2.287617784642992</v>
      </c>
      <c r="I13" t="n">
        <v>-9.974138805340127</v>
      </c>
      <c r="J13" t="n">
        <v>-9.112664184214857</v>
      </c>
      <c r="K13" t="inlineStr">
        <is>
          <t>Brazil|XMBR.L|10Y</t>
        </is>
      </c>
      <c r="L13" t="inlineStr">
        <is>
          <t>Brazil|10Y</t>
        </is>
      </c>
    </row>
    <row r="14">
      <c r="A14" t="inlineStr">
        <is>
          <t>Canada</t>
        </is>
      </c>
      <c r="B14" t="inlineStr">
        <is>
          <t>CAN</t>
        </is>
      </c>
      <c r="C14" t="inlineStr"/>
      <c r="D14" s="1" t="n">
        <v>46022</v>
      </c>
      <c r="E14" t="inlineStr">
        <is>
          <t>3Y</t>
        </is>
      </c>
      <c r="F14" t="inlineStr"/>
      <c r="G14" t="n">
        <v>1.41216684477361</v>
      </c>
      <c r="H14" t="n">
        <v>1.398472365875003</v>
      </c>
      <c r="I14" t="inlineStr"/>
      <c r="J14" t="inlineStr"/>
      <c r="K14" t="inlineStr">
        <is>
          <t>Canada||3Y</t>
        </is>
      </c>
      <c r="L14" t="inlineStr">
        <is>
          <t>Canada|3Y</t>
        </is>
      </c>
    </row>
    <row r="15">
      <c r="A15" t="inlineStr">
        <is>
          <t>Canada</t>
        </is>
      </c>
      <c r="B15" t="inlineStr">
        <is>
          <t>CAN</t>
        </is>
      </c>
      <c r="C15" t="inlineStr"/>
      <c r="D15" s="1" t="n">
        <v>46022</v>
      </c>
      <c r="E15" t="inlineStr">
        <is>
          <t>5Y</t>
        </is>
      </c>
      <c r="F15" t="inlineStr"/>
      <c r="G15" t="n">
        <v>2.858319210914595</v>
      </c>
      <c r="H15" t="n">
        <v>6.642035799710189</v>
      </c>
      <c r="I15" t="inlineStr"/>
      <c r="J15" t="inlineStr"/>
      <c r="K15" t="inlineStr">
        <is>
          <t>Canada||5Y</t>
        </is>
      </c>
      <c r="L15" t="inlineStr">
        <is>
          <t>Canada|5Y</t>
        </is>
      </c>
    </row>
    <row r="16">
      <c r="A16" t="inlineStr">
        <is>
          <t>Canada</t>
        </is>
      </c>
      <c r="B16" t="inlineStr">
        <is>
          <t>CAN</t>
        </is>
      </c>
      <c r="C16" t="inlineStr"/>
      <c r="D16" s="1" t="n">
        <v>46022</v>
      </c>
      <c r="E16" t="inlineStr">
        <is>
          <t>10Y</t>
        </is>
      </c>
      <c r="F16" t="inlineStr"/>
      <c r="G16" t="n">
        <v>1.76951597941728</v>
      </c>
      <c r="H16" t="n">
        <v>3.907488816771632</v>
      </c>
      <c r="I16" t="inlineStr"/>
      <c r="J16" t="inlineStr"/>
      <c r="K16" t="inlineStr">
        <is>
          <t>Canada||10Y</t>
        </is>
      </c>
      <c r="L16" t="inlineStr">
        <is>
          <t>Canada|10Y</t>
        </is>
      </c>
    </row>
    <row r="17">
      <c r="A17" t="inlineStr">
        <is>
          <t>Canada</t>
        </is>
      </c>
      <c r="B17" t="inlineStr">
        <is>
          <t>CAN</t>
        </is>
      </c>
      <c r="C17" t="inlineStr">
        <is>
          <t>CSCA.L</t>
        </is>
      </c>
      <c r="D17" s="1" t="n">
        <v>46022</v>
      </c>
      <c r="E17" t="inlineStr">
        <is>
          <t>3Y</t>
        </is>
      </c>
      <c r="F17" t="n">
        <v>16.11091429660858</v>
      </c>
      <c r="G17" t="n">
        <v>1.41216684477361</v>
      </c>
      <c r="H17" t="n">
        <v>1.398472365875003</v>
      </c>
      <c r="I17" t="n">
        <v>-14.69874745183497</v>
      </c>
      <c r="J17" t="n">
        <v>-14.71244193073358</v>
      </c>
      <c r="K17" t="inlineStr">
        <is>
          <t>Canada|CSCA.L|3Y</t>
        </is>
      </c>
      <c r="L17" t="inlineStr">
        <is>
          <t>Canada|3Y</t>
        </is>
      </c>
    </row>
    <row r="18">
      <c r="A18" t="inlineStr">
        <is>
          <t>Canada</t>
        </is>
      </c>
      <c r="B18" t="inlineStr">
        <is>
          <t>CAN</t>
        </is>
      </c>
      <c r="C18" t="inlineStr">
        <is>
          <t>CSCA.L</t>
        </is>
      </c>
      <c r="D18" s="1" t="n">
        <v>46022</v>
      </c>
      <c r="E18" t="inlineStr">
        <is>
          <t>5Y</t>
        </is>
      </c>
      <c r="F18" t="n">
        <v>14.02956877810437</v>
      </c>
      <c r="G18" t="n">
        <v>2.858319210914595</v>
      </c>
      <c r="H18" t="n">
        <v>6.642035799710189</v>
      </c>
      <c r="I18" t="n">
        <v>-11.17124956718978</v>
      </c>
      <c r="J18" t="n">
        <v>-7.387532978394185</v>
      </c>
      <c r="K18" t="inlineStr">
        <is>
          <t>Canada|CSCA.L|5Y</t>
        </is>
      </c>
      <c r="L18" t="inlineStr">
        <is>
          <t>Canada|5Y</t>
        </is>
      </c>
    </row>
    <row r="19">
      <c r="A19" t="inlineStr">
        <is>
          <t>Canada</t>
        </is>
      </c>
      <c r="B19" t="inlineStr">
        <is>
          <t>CAN</t>
        </is>
      </c>
      <c r="C19" t="inlineStr">
        <is>
          <t>CSCA.L</t>
        </is>
      </c>
      <c r="D19" s="1" t="n">
        <v>46022</v>
      </c>
      <c r="E19" t="inlineStr">
        <is>
          <t>10Y</t>
        </is>
      </c>
      <c r="F19" t="n">
        <v>12.98802350758752</v>
      </c>
      <c r="G19" t="n">
        <v>1.76951597941728</v>
      </c>
      <c r="H19" t="n">
        <v>3.907488816771632</v>
      </c>
      <c r="I19" t="n">
        <v>-11.21850752817024</v>
      </c>
      <c r="J19" t="n">
        <v>-9.080534690815888</v>
      </c>
      <c r="K19" t="inlineStr">
        <is>
          <t>Canada|CSCA.L|10Y</t>
        </is>
      </c>
      <c r="L19" t="inlineStr">
        <is>
          <t>Canada|10Y</t>
        </is>
      </c>
    </row>
    <row r="20">
      <c r="A20" t="inlineStr">
        <is>
          <t>China</t>
        </is>
      </c>
      <c r="B20" t="inlineStr">
        <is>
          <t>CHN</t>
        </is>
      </c>
      <c r="C20" t="inlineStr"/>
      <c r="D20" s="1" t="n">
        <v>46022</v>
      </c>
      <c r="E20" t="inlineStr">
        <is>
          <t>3Y</t>
        </is>
      </c>
      <c r="F20" t="inlineStr"/>
      <c r="G20" t="n">
        <v>5.058391676643859</v>
      </c>
      <c r="H20" t="n">
        <v>1.947781205188015</v>
      </c>
      <c r="I20" t="inlineStr"/>
      <c r="J20" t="inlineStr"/>
      <c r="K20" t="inlineStr">
        <is>
          <t>China||3Y</t>
        </is>
      </c>
      <c r="L20" t="inlineStr">
        <is>
          <t>China|3Y</t>
        </is>
      </c>
    </row>
    <row r="21">
      <c r="A21" t="inlineStr">
        <is>
          <t>China</t>
        </is>
      </c>
      <c r="B21" t="inlineStr">
        <is>
          <t>CHN</t>
        </is>
      </c>
      <c r="C21" t="inlineStr"/>
      <c r="D21" s="1" t="n">
        <v>46022</v>
      </c>
      <c r="E21" t="inlineStr">
        <is>
          <t>5Y</t>
        </is>
      </c>
      <c r="F21" t="inlineStr"/>
      <c r="G21" t="n">
        <v>5.354006833547209</v>
      </c>
      <c r="H21" t="n">
        <v>5.133053360423401</v>
      </c>
      <c r="I21" t="inlineStr"/>
      <c r="J21" t="inlineStr"/>
      <c r="K21" t="inlineStr">
        <is>
          <t>China||5Y</t>
        </is>
      </c>
      <c r="L21" t="inlineStr">
        <is>
          <t>China|5Y</t>
        </is>
      </c>
    </row>
    <row r="22">
      <c r="A22" t="inlineStr">
        <is>
          <t>China</t>
        </is>
      </c>
      <c r="B22" t="inlineStr">
        <is>
          <t>CHN</t>
        </is>
      </c>
      <c r="C22" t="inlineStr"/>
      <c r="D22" s="1" t="n">
        <v>46022</v>
      </c>
      <c r="E22" t="inlineStr">
        <is>
          <t>10Y</t>
        </is>
      </c>
      <c r="F22" t="inlineStr"/>
      <c r="G22" t="n">
        <v>5.552356836761518</v>
      </c>
      <c r="H22" t="n">
        <v>5.545903235337346</v>
      </c>
      <c r="I22" t="inlineStr"/>
      <c r="J22" t="inlineStr"/>
      <c r="K22" t="inlineStr">
        <is>
          <t>China||10Y</t>
        </is>
      </c>
      <c r="L22" t="inlineStr">
        <is>
          <t>China|10Y</t>
        </is>
      </c>
    </row>
    <row r="23">
      <c r="A23" t="inlineStr">
        <is>
          <t>China</t>
        </is>
      </c>
      <c r="B23" t="inlineStr">
        <is>
          <t>CHN</t>
        </is>
      </c>
      <c r="C23" t="inlineStr">
        <is>
          <t>FRCH.L</t>
        </is>
      </c>
      <c r="D23" s="1" t="n">
        <v>46022</v>
      </c>
      <c r="E23" t="inlineStr">
        <is>
          <t>3Y</t>
        </is>
      </c>
      <c r="F23" t="n">
        <v>5.976663217888611</v>
      </c>
      <c r="G23" t="n">
        <v>5.058391676643859</v>
      </c>
      <c r="H23" t="n">
        <v>1.947781205188015</v>
      </c>
      <c r="I23" t="n">
        <v>-0.9182715412447529</v>
      </c>
      <c r="J23" t="n">
        <v>-4.028882012700596</v>
      </c>
      <c r="K23" t="inlineStr">
        <is>
          <t>China|FRCH.L|3Y</t>
        </is>
      </c>
      <c r="L23" t="inlineStr">
        <is>
          <t>China|3Y</t>
        </is>
      </c>
    </row>
    <row r="24">
      <c r="A24" t="inlineStr">
        <is>
          <t>China</t>
        </is>
      </c>
      <c r="B24" t="inlineStr">
        <is>
          <t>CHN</t>
        </is>
      </c>
      <c r="C24" t="inlineStr">
        <is>
          <t>FRCH.L</t>
        </is>
      </c>
      <c r="D24" s="1" t="n">
        <v>46022</v>
      </c>
      <c r="E24" t="inlineStr">
        <is>
          <t>5Y</t>
        </is>
      </c>
      <c r="F24" t="n">
        <v>-3.123601771766449</v>
      </c>
      <c r="G24" t="n">
        <v>5.354006833547209</v>
      </c>
      <c r="H24" t="n">
        <v>5.133053360423401</v>
      </c>
      <c r="I24" t="n">
        <v>8.477608605313659</v>
      </c>
      <c r="J24" t="n">
        <v>8.256655132189849</v>
      </c>
      <c r="K24" t="inlineStr">
        <is>
          <t>China|FRCH.L|5Y</t>
        </is>
      </c>
      <c r="L24" t="inlineStr">
        <is>
          <t>China|5Y</t>
        </is>
      </c>
    </row>
    <row r="25">
      <c r="A25" t="inlineStr">
        <is>
          <t>China</t>
        </is>
      </c>
      <c r="B25" t="inlineStr">
        <is>
          <t>CHN</t>
        </is>
      </c>
      <c r="C25" t="inlineStr">
        <is>
          <t>IASH.L</t>
        </is>
      </c>
      <c r="D25" s="1" t="n">
        <v>46022</v>
      </c>
      <c r="E25" t="inlineStr">
        <is>
          <t>3Y</t>
        </is>
      </c>
      <c r="F25" t="n">
        <v>2.166118715819865</v>
      </c>
      <c r="G25" t="n">
        <v>5.058391676643859</v>
      </c>
      <c r="H25" t="n">
        <v>1.947781205188015</v>
      </c>
      <c r="I25" t="n">
        <v>2.892272960823994</v>
      </c>
      <c r="J25" t="n">
        <v>-0.2183375106318497</v>
      </c>
      <c r="K25" t="inlineStr">
        <is>
          <t>China|IASH.L|3Y</t>
        </is>
      </c>
      <c r="L25" t="inlineStr">
        <is>
          <t>China|3Y</t>
        </is>
      </c>
    </row>
    <row r="26">
      <c r="A26" t="inlineStr">
        <is>
          <t>China</t>
        </is>
      </c>
      <c r="B26" t="inlineStr">
        <is>
          <t>CHN</t>
        </is>
      </c>
      <c r="C26" t="inlineStr">
        <is>
          <t>IASH.L</t>
        </is>
      </c>
      <c r="D26" s="1" t="n">
        <v>46022</v>
      </c>
      <c r="E26" t="inlineStr">
        <is>
          <t>5Y</t>
        </is>
      </c>
      <c r="F26" t="n">
        <v>-1.947118219535227</v>
      </c>
      <c r="G26" t="n">
        <v>5.354006833547209</v>
      </c>
      <c r="H26" t="n">
        <v>5.133053360423401</v>
      </c>
      <c r="I26" t="n">
        <v>7.301125053082435</v>
      </c>
      <c r="J26" t="n">
        <v>7.080171579958627</v>
      </c>
      <c r="K26" t="inlineStr">
        <is>
          <t>China|IASH.L|5Y</t>
        </is>
      </c>
      <c r="L26" t="inlineStr">
        <is>
          <t>China|5Y</t>
        </is>
      </c>
    </row>
    <row r="27">
      <c r="A27" t="inlineStr">
        <is>
          <t>China</t>
        </is>
      </c>
      <c r="B27" t="inlineStr">
        <is>
          <t>CHN</t>
        </is>
      </c>
      <c r="C27" t="inlineStr">
        <is>
          <t>IASH.L</t>
        </is>
      </c>
      <c r="D27" s="1" t="n">
        <v>46022</v>
      </c>
      <c r="E27" t="inlineStr">
        <is>
          <t>10Y</t>
        </is>
      </c>
      <c r="F27" t="n">
        <v>5.187134281784855</v>
      </c>
      <c r="G27" t="n">
        <v>5.552356836761518</v>
      </c>
      <c r="H27" t="n">
        <v>5.545903235337346</v>
      </c>
      <c r="I27" t="n">
        <v>0.365222554976663</v>
      </c>
      <c r="J27" t="n">
        <v>0.3587689535524907</v>
      </c>
      <c r="K27" t="inlineStr">
        <is>
          <t>China|IASH.L|10Y</t>
        </is>
      </c>
      <c r="L27" t="inlineStr">
        <is>
          <t>China|10Y</t>
        </is>
      </c>
    </row>
    <row r="28">
      <c r="A28" t="inlineStr">
        <is>
          <t>France</t>
        </is>
      </c>
      <c r="B28" t="inlineStr">
        <is>
          <t>FRA</t>
        </is>
      </c>
      <c r="C28" t="inlineStr"/>
      <c r="D28" s="1" t="n">
        <v>46022</v>
      </c>
      <c r="E28" t="inlineStr">
        <is>
          <t>3Y</t>
        </is>
      </c>
      <c r="F28" t="inlineStr"/>
      <c r="G28" t="n">
        <v>1.12992429258334</v>
      </c>
      <c r="H28" t="n">
        <v>6.320418426652252</v>
      </c>
      <c r="I28" t="inlineStr"/>
      <c r="J28" t="inlineStr"/>
      <c r="K28" t="inlineStr">
        <is>
          <t>France||3Y</t>
        </is>
      </c>
      <c r="L28" t="inlineStr">
        <is>
          <t>France|3Y</t>
        </is>
      </c>
    </row>
    <row r="29">
      <c r="A29" t="inlineStr">
        <is>
          <t>France</t>
        </is>
      </c>
      <c r="B29" t="inlineStr">
        <is>
          <t>FRA</t>
        </is>
      </c>
      <c r="C29" t="inlineStr"/>
      <c r="D29" s="1" t="n">
        <v>46022</v>
      </c>
      <c r="E29" t="inlineStr">
        <is>
          <t>5Y</t>
        </is>
      </c>
      <c r="F29" t="inlineStr"/>
      <c r="G29" t="n">
        <v>2.573847925685979</v>
      </c>
      <c r="H29" t="n">
        <v>4.905074485062877</v>
      </c>
      <c r="I29" t="inlineStr"/>
      <c r="J29" t="inlineStr"/>
      <c r="K29" t="inlineStr">
        <is>
          <t>France||5Y</t>
        </is>
      </c>
      <c r="L29" t="inlineStr">
        <is>
          <t>France|5Y</t>
        </is>
      </c>
    </row>
    <row r="30">
      <c r="A30" t="inlineStr">
        <is>
          <t>France</t>
        </is>
      </c>
      <c r="B30" t="inlineStr">
        <is>
          <t>FRA</t>
        </is>
      </c>
      <c r="C30" t="inlineStr"/>
      <c r="D30" s="1" t="n">
        <v>46022</v>
      </c>
      <c r="E30" t="inlineStr">
        <is>
          <t>10Y</t>
        </is>
      </c>
      <c r="F30" t="inlineStr"/>
      <c r="G30" t="n">
        <v>1.148920134256759</v>
      </c>
      <c r="H30" t="n">
        <v>3.244395005951439</v>
      </c>
      <c r="I30" t="inlineStr"/>
      <c r="J30" t="inlineStr"/>
      <c r="K30" t="inlineStr">
        <is>
          <t>France||10Y</t>
        </is>
      </c>
      <c r="L30" t="inlineStr">
        <is>
          <t>France|10Y</t>
        </is>
      </c>
    </row>
    <row r="31">
      <c r="A31" t="inlineStr">
        <is>
          <t>France</t>
        </is>
      </c>
      <c r="B31" t="inlineStr">
        <is>
          <t>FRA</t>
        </is>
      </c>
      <c r="C31" t="inlineStr">
        <is>
          <t>ISFR.L</t>
        </is>
      </c>
      <c r="D31" s="1" t="n">
        <v>46022</v>
      </c>
      <c r="E31" t="inlineStr">
        <is>
          <t>3Y</t>
        </is>
      </c>
      <c r="F31" t="n">
        <v>9.512906736452065</v>
      </c>
      <c r="G31" t="n">
        <v>1.12992429258334</v>
      </c>
      <c r="H31" t="n">
        <v>6.320418426652252</v>
      </c>
      <c r="I31" t="n">
        <v>-8.382982443868725</v>
      </c>
      <c r="J31" t="n">
        <v>-3.192488309799812</v>
      </c>
      <c r="K31" t="inlineStr">
        <is>
          <t>France|ISFR.L|3Y</t>
        </is>
      </c>
      <c r="L31" t="inlineStr">
        <is>
          <t>France|3Y</t>
        </is>
      </c>
    </row>
    <row r="32">
      <c r="A32" t="inlineStr">
        <is>
          <t>France</t>
        </is>
      </c>
      <c r="B32" t="inlineStr">
        <is>
          <t>FRA</t>
        </is>
      </c>
      <c r="C32" t="inlineStr">
        <is>
          <t>ISFR.L</t>
        </is>
      </c>
      <c r="D32" s="1" t="n">
        <v>46022</v>
      </c>
      <c r="E32" t="inlineStr">
        <is>
          <t>5Y</t>
        </is>
      </c>
      <c r="F32" t="n">
        <v>9.319584747900711</v>
      </c>
      <c r="G32" t="n">
        <v>2.573847925685979</v>
      </c>
      <c r="H32" t="n">
        <v>4.905074485062877</v>
      </c>
      <c r="I32" t="n">
        <v>-6.745736822214732</v>
      </c>
      <c r="J32" t="n">
        <v>-4.414510262837834</v>
      </c>
      <c r="K32" t="inlineStr">
        <is>
          <t>France|ISFR.L|5Y</t>
        </is>
      </c>
      <c r="L32" t="inlineStr">
        <is>
          <t>France|5Y</t>
        </is>
      </c>
    </row>
    <row r="33">
      <c r="A33" t="inlineStr">
        <is>
          <t>France</t>
        </is>
      </c>
      <c r="B33" t="inlineStr">
        <is>
          <t>FRA</t>
        </is>
      </c>
      <c r="C33" t="inlineStr">
        <is>
          <t>ISFR.L</t>
        </is>
      </c>
      <c r="D33" s="1" t="n">
        <v>46022</v>
      </c>
      <c r="E33" t="inlineStr">
        <is>
          <t>10Y</t>
        </is>
      </c>
      <c r="F33" t="n">
        <v>10.84860141352095</v>
      </c>
      <c r="G33" t="n">
        <v>1.148920134256759</v>
      </c>
      <c r="H33" t="n">
        <v>3.244395005951439</v>
      </c>
      <c r="I33" t="n">
        <v>-9.699681279264194</v>
      </c>
      <c r="J33" t="n">
        <v>-7.604206407569514</v>
      </c>
      <c r="K33" t="inlineStr">
        <is>
          <t>France|ISFR.L|10Y</t>
        </is>
      </c>
      <c r="L33" t="inlineStr">
        <is>
          <t>France|10Y</t>
        </is>
      </c>
    </row>
    <row r="34">
      <c r="A34" t="inlineStr">
        <is>
          <t>Germany</t>
        </is>
      </c>
      <c r="B34" t="inlineStr">
        <is>
          <t>DEU</t>
        </is>
      </c>
      <c r="C34" t="inlineStr"/>
      <c r="D34" s="1" t="n">
        <v>46022</v>
      </c>
      <c r="E34" t="inlineStr">
        <is>
          <t>3Y</t>
        </is>
      </c>
      <c r="F34" t="inlineStr"/>
      <c r="G34" t="n">
        <v>-0.3933046908136117</v>
      </c>
      <c r="H34" t="n">
        <v>6.043401004617355</v>
      </c>
      <c r="I34" t="inlineStr"/>
      <c r="J34" t="inlineStr"/>
      <c r="K34" t="inlineStr">
        <is>
          <t>Germany||3Y</t>
        </is>
      </c>
      <c r="L34" t="inlineStr">
        <is>
          <t>Germany|3Y</t>
        </is>
      </c>
    </row>
    <row r="35">
      <c r="A35" t="inlineStr">
        <is>
          <t>Germany</t>
        </is>
      </c>
      <c r="B35" t="inlineStr">
        <is>
          <t>DEU</t>
        </is>
      </c>
      <c r="C35" t="inlineStr"/>
      <c r="D35" s="1" t="n">
        <v>46022</v>
      </c>
      <c r="E35" t="inlineStr">
        <is>
          <t>5Y</t>
        </is>
      </c>
      <c r="F35" t="inlineStr"/>
      <c r="G35" t="n">
        <v>0.8933688833018039</v>
      </c>
      <c r="H35" t="n">
        <v>4.946742344302257</v>
      </c>
      <c r="I35" t="inlineStr"/>
      <c r="J35" t="inlineStr"/>
      <c r="K35" t="inlineStr">
        <is>
          <t>Germany||5Y</t>
        </is>
      </c>
      <c r="L35" t="inlineStr">
        <is>
          <t>Germany|5Y</t>
        </is>
      </c>
    </row>
    <row r="36">
      <c r="A36" t="inlineStr">
        <is>
          <t>Germany</t>
        </is>
      </c>
      <c r="B36" t="inlineStr">
        <is>
          <t>DEU</t>
        </is>
      </c>
      <c r="C36" t="inlineStr"/>
      <c r="D36" s="1" t="n">
        <v>46022</v>
      </c>
      <c r="E36" t="inlineStr">
        <is>
          <t>10Y</t>
        </is>
      </c>
      <c r="F36" t="inlineStr"/>
      <c r="G36" t="n">
        <v>0.7314110874349522</v>
      </c>
      <c r="H36" t="n">
        <v>3.882652564606848</v>
      </c>
      <c r="I36" t="inlineStr"/>
      <c r="J36" t="inlineStr"/>
      <c r="K36" t="inlineStr">
        <is>
          <t>Germany||10Y</t>
        </is>
      </c>
      <c r="L36" t="inlineStr">
        <is>
          <t>Germany|10Y</t>
        </is>
      </c>
    </row>
    <row r="37">
      <c r="A37" t="inlineStr">
        <is>
          <t>Germany</t>
        </is>
      </c>
      <c r="B37" t="inlineStr">
        <is>
          <t>DEU</t>
        </is>
      </c>
      <c r="C37" t="inlineStr">
        <is>
          <t>XDAX.L</t>
        </is>
      </c>
      <c r="D37" s="1" t="n">
        <v>46022</v>
      </c>
      <c r="E37" t="inlineStr">
        <is>
          <t>3Y</t>
        </is>
      </c>
      <c r="F37" t="n">
        <v>19.05952822413444</v>
      </c>
      <c r="G37" t="n">
        <v>-0.3933046908136117</v>
      </c>
      <c r="H37" t="n">
        <v>6.043401004617355</v>
      </c>
      <c r="I37" t="n">
        <v>-19.45283291494805</v>
      </c>
      <c r="J37" t="n">
        <v>-13.01612721951708</v>
      </c>
      <c r="K37" t="inlineStr">
        <is>
          <t>Germany|XDAX.L|3Y</t>
        </is>
      </c>
      <c r="L37" t="inlineStr">
        <is>
          <t>Germany|3Y</t>
        </is>
      </c>
    </row>
    <row r="38">
      <c r="A38" t="inlineStr">
        <is>
          <t>Germany</t>
        </is>
      </c>
      <c r="B38" t="inlineStr">
        <is>
          <t>DEU</t>
        </is>
      </c>
      <c r="C38" t="inlineStr">
        <is>
          <t>XDAX.L</t>
        </is>
      </c>
      <c r="D38" s="1" t="n">
        <v>46022</v>
      </c>
      <c r="E38" t="inlineStr">
        <is>
          <t>5Y</t>
        </is>
      </c>
      <c r="F38" t="n">
        <v>11.00478737857951</v>
      </c>
      <c r="G38" t="n">
        <v>0.8933688833018039</v>
      </c>
      <c r="H38" t="n">
        <v>4.946742344302257</v>
      </c>
      <c r="I38" t="n">
        <v>-10.1114184952777</v>
      </c>
      <c r="J38" t="n">
        <v>-6.058045034277248</v>
      </c>
      <c r="K38" t="inlineStr">
        <is>
          <t>Germany|XDAX.L|5Y</t>
        </is>
      </c>
      <c r="L38" t="inlineStr">
        <is>
          <t>Germany|5Y</t>
        </is>
      </c>
    </row>
    <row r="39">
      <c r="A39" t="inlineStr">
        <is>
          <t>Germany</t>
        </is>
      </c>
      <c r="B39" t="inlineStr">
        <is>
          <t>DEU</t>
        </is>
      </c>
      <c r="C39" t="inlineStr">
        <is>
          <t>XDAX.L</t>
        </is>
      </c>
      <c r="D39" s="1" t="n">
        <v>46022</v>
      </c>
      <c r="E39" t="inlineStr">
        <is>
          <t>10Y</t>
        </is>
      </c>
      <c r="F39" t="n">
        <v>7.104246978608764</v>
      </c>
      <c r="G39" t="n">
        <v>0.7314110874349522</v>
      </c>
      <c r="H39" t="n">
        <v>3.882652564606848</v>
      </c>
      <c r="I39" t="n">
        <v>-6.372835891173811</v>
      </c>
      <c r="J39" t="n">
        <v>-3.221594414001916</v>
      </c>
      <c r="K39" t="inlineStr">
        <is>
          <t>Germany|XDAX.L|10Y</t>
        </is>
      </c>
      <c r="L39" t="inlineStr">
        <is>
          <t>Germany|10Y</t>
        </is>
      </c>
    </row>
    <row r="40">
      <c r="A40" t="inlineStr">
        <is>
          <t>India</t>
        </is>
      </c>
      <c r="B40" t="inlineStr">
        <is>
          <t>IND</t>
        </is>
      </c>
      <c r="C40" t="inlineStr"/>
      <c r="D40" s="1" t="n">
        <v>46022</v>
      </c>
      <c r="E40" t="inlineStr">
        <is>
          <t>3Y</t>
        </is>
      </c>
      <c r="F40" t="inlineStr"/>
      <c r="G40" t="n">
        <v>7.436918655360047</v>
      </c>
      <c r="H40" t="n">
        <v>7.226513221012598</v>
      </c>
      <c r="I40" t="inlineStr"/>
      <c r="J40" t="inlineStr"/>
      <c r="K40" t="inlineStr">
        <is>
          <t>India||3Y</t>
        </is>
      </c>
      <c r="L40" t="inlineStr">
        <is>
          <t>India|3Y</t>
        </is>
      </c>
    </row>
    <row r="41">
      <c r="A41" t="inlineStr">
        <is>
          <t>India</t>
        </is>
      </c>
      <c r="B41" t="inlineStr">
        <is>
          <t>IND</t>
        </is>
      </c>
      <c r="C41" t="inlineStr"/>
      <c r="D41" s="1" t="n">
        <v>46022</v>
      </c>
      <c r="E41" t="inlineStr">
        <is>
          <t>5Y</t>
        </is>
      </c>
      <c r="F41" t="inlineStr"/>
      <c r="G41" t="n">
        <v>7.918339116520134</v>
      </c>
      <c r="H41" t="n">
        <v>9.050917372360324</v>
      </c>
      <c r="I41" t="inlineStr"/>
      <c r="J41" t="inlineStr"/>
      <c r="K41" t="inlineStr">
        <is>
          <t>India||5Y</t>
        </is>
      </c>
      <c r="L41" t="inlineStr">
        <is>
          <t>India|5Y</t>
        </is>
      </c>
    </row>
    <row r="42">
      <c r="A42" t="inlineStr">
        <is>
          <t>India</t>
        </is>
      </c>
      <c r="B42" t="inlineStr">
        <is>
          <t>IND</t>
        </is>
      </c>
      <c r="C42" t="inlineStr"/>
      <c r="D42" s="1" t="n">
        <v>46022</v>
      </c>
      <c r="E42" t="inlineStr">
        <is>
          <t>10Y</t>
        </is>
      </c>
      <c r="F42" t="inlineStr"/>
      <c r="G42" t="n">
        <v>5.834869256968189</v>
      </c>
      <c r="H42" t="n">
        <v>6.966692846003397</v>
      </c>
      <c r="I42" t="inlineStr"/>
      <c r="J42" t="inlineStr"/>
      <c r="K42" t="inlineStr">
        <is>
          <t>India||10Y</t>
        </is>
      </c>
      <c r="L42" t="inlineStr">
        <is>
          <t>India|10Y</t>
        </is>
      </c>
    </row>
    <row r="43">
      <c r="A43" t="inlineStr">
        <is>
          <t>India</t>
        </is>
      </c>
      <c r="B43" t="inlineStr">
        <is>
          <t>IND</t>
        </is>
      </c>
      <c r="C43" t="inlineStr">
        <is>
          <t>FRIN.L</t>
        </is>
      </c>
      <c r="D43" s="1" t="n">
        <v>46022</v>
      </c>
      <c r="E43" t="inlineStr">
        <is>
          <t>3Y</t>
        </is>
      </c>
      <c r="F43" t="n">
        <v>7.417247518972814</v>
      </c>
      <c r="G43" t="n">
        <v>7.436918655360047</v>
      </c>
      <c r="H43" t="n">
        <v>7.226513221012598</v>
      </c>
      <c r="I43" t="n">
        <v>0.01967113638723372</v>
      </c>
      <c r="J43" t="n">
        <v>-0.1907342979602156</v>
      </c>
      <c r="K43" t="inlineStr">
        <is>
          <t>India|FRIN.L|3Y</t>
        </is>
      </c>
      <c r="L43" t="inlineStr">
        <is>
          <t>India|3Y</t>
        </is>
      </c>
    </row>
    <row r="44">
      <c r="A44" t="inlineStr">
        <is>
          <t>India</t>
        </is>
      </c>
      <c r="B44" t="inlineStr">
        <is>
          <t>IND</t>
        </is>
      </c>
      <c r="C44" t="inlineStr">
        <is>
          <t>FRIN.L</t>
        </is>
      </c>
      <c r="D44" s="1" t="n">
        <v>46022</v>
      </c>
      <c r="E44" t="inlineStr">
        <is>
          <t>5Y</t>
        </is>
      </c>
      <c r="F44" t="n">
        <v>9.66322464951579</v>
      </c>
      <c r="G44" t="n">
        <v>7.918339116520134</v>
      </c>
      <c r="H44" t="n">
        <v>9.050917372360324</v>
      </c>
      <c r="I44" t="n">
        <v>-1.744885532995656</v>
      </c>
      <c r="J44" t="n">
        <v>-0.6123072771554661</v>
      </c>
      <c r="K44" t="inlineStr">
        <is>
          <t>India|FRIN.L|5Y</t>
        </is>
      </c>
      <c r="L44" t="inlineStr">
        <is>
          <t>India|5Y</t>
        </is>
      </c>
    </row>
    <row r="45">
      <c r="A45" t="inlineStr">
        <is>
          <t>India</t>
        </is>
      </c>
      <c r="B45" t="inlineStr">
        <is>
          <t>IND</t>
        </is>
      </c>
      <c r="C45" t="inlineStr">
        <is>
          <t>IIND.L</t>
        </is>
      </c>
      <c r="D45" s="1" t="n">
        <v>46022</v>
      </c>
      <c r="E45" t="inlineStr">
        <is>
          <t>3Y</t>
        </is>
      </c>
      <c r="F45" t="n">
        <v>6.6101615915233</v>
      </c>
      <c r="G45" t="n">
        <v>7.436918655360047</v>
      </c>
      <c r="H45" t="n">
        <v>7.226513221012598</v>
      </c>
      <c r="I45" t="n">
        <v>0.8267570638367472</v>
      </c>
      <c r="J45" t="n">
        <v>0.6163516294892979</v>
      </c>
      <c r="K45" t="inlineStr">
        <is>
          <t>India|IIND.L|3Y</t>
        </is>
      </c>
      <c r="L45" t="inlineStr">
        <is>
          <t>India|3Y</t>
        </is>
      </c>
    </row>
    <row r="46">
      <c r="A46" t="inlineStr">
        <is>
          <t>India</t>
        </is>
      </c>
      <c r="B46" t="inlineStr">
        <is>
          <t>IND</t>
        </is>
      </c>
      <c r="C46" t="inlineStr">
        <is>
          <t>IIND.L</t>
        </is>
      </c>
      <c r="D46" s="1" t="n">
        <v>46022</v>
      </c>
      <c r="E46" t="inlineStr">
        <is>
          <t>5Y</t>
        </is>
      </c>
      <c r="F46" t="n">
        <v>9.287670067638798</v>
      </c>
      <c r="G46" t="n">
        <v>7.918339116520134</v>
      </c>
      <c r="H46" t="n">
        <v>9.050917372360324</v>
      </c>
      <c r="I46" t="n">
        <v>-1.369330951118664</v>
      </c>
      <c r="J46" t="n">
        <v>-0.236752695278474</v>
      </c>
      <c r="K46" t="inlineStr">
        <is>
          <t>India|IIND.L|5Y</t>
        </is>
      </c>
      <c r="L46" t="inlineStr">
        <is>
          <t>India|5Y</t>
        </is>
      </c>
    </row>
    <row r="47">
      <c r="A47" t="inlineStr">
        <is>
          <t>Japan</t>
        </is>
      </c>
      <c r="B47" t="inlineStr">
        <is>
          <t>JPN</t>
        </is>
      </c>
      <c r="C47" t="inlineStr"/>
      <c r="D47" s="1" t="n">
        <v>46022</v>
      </c>
      <c r="E47" t="inlineStr">
        <is>
          <t>3Y</t>
        </is>
      </c>
      <c r="F47" t="inlineStr"/>
      <c r="G47" t="n">
        <v>0.8070767384687372</v>
      </c>
      <c r="H47" t="n">
        <v>0.1296002875132762</v>
      </c>
      <c r="I47" t="inlineStr"/>
      <c r="J47" t="inlineStr"/>
      <c r="K47" t="inlineStr">
        <is>
          <t>Japan||3Y</t>
        </is>
      </c>
      <c r="L47" t="inlineStr">
        <is>
          <t>Japan|3Y</t>
        </is>
      </c>
    </row>
    <row r="48">
      <c r="A48" t="inlineStr">
        <is>
          <t>Japan</t>
        </is>
      </c>
      <c r="B48" t="inlineStr">
        <is>
          <t>JPN</t>
        </is>
      </c>
      <c r="C48" t="inlineStr"/>
      <c r="D48" s="1" t="n">
        <v>46022</v>
      </c>
      <c r="E48" t="inlineStr">
        <is>
          <t>5Y</t>
        </is>
      </c>
      <c r="F48" t="inlineStr"/>
      <c r="G48" t="n">
        <v>1.212938163621247</v>
      </c>
      <c r="H48" t="n">
        <v>-3.270926251822071</v>
      </c>
      <c r="I48" t="inlineStr"/>
      <c r="J48" t="inlineStr"/>
      <c r="K48" t="inlineStr">
        <is>
          <t>Japan||5Y</t>
        </is>
      </c>
      <c r="L48" t="inlineStr">
        <is>
          <t>Japan|5Y</t>
        </is>
      </c>
    </row>
    <row r="49">
      <c r="A49" t="inlineStr">
        <is>
          <t>Japan</t>
        </is>
      </c>
      <c r="B49" t="inlineStr">
        <is>
          <t>JPN</t>
        </is>
      </c>
      <c r="C49" t="inlineStr"/>
      <c r="D49" s="1" t="n">
        <v>46022</v>
      </c>
      <c r="E49" t="inlineStr">
        <is>
          <t>10Y</t>
        </is>
      </c>
      <c r="F49" t="inlineStr"/>
      <c r="G49" t="n">
        <v>0.4430022080747165</v>
      </c>
      <c r="H49" t="n">
        <v>-0.3777999050532999</v>
      </c>
      <c r="I49" t="inlineStr"/>
      <c r="J49" t="inlineStr"/>
      <c r="K49" t="inlineStr">
        <is>
          <t>Japan||10Y</t>
        </is>
      </c>
      <c r="L49" t="inlineStr">
        <is>
          <t>Japan|10Y</t>
        </is>
      </c>
    </row>
    <row r="50">
      <c r="A50" t="inlineStr">
        <is>
          <t>Japan</t>
        </is>
      </c>
      <c r="B50" t="inlineStr">
        <is>
          <t>JPN</t>
        </is>
      </c>
      <c r="C50" t="inlineStr">
        <is>
          <t>IJPN.L</t>
        </is>
      </c>
      <c r="D50" s="1" t="n">
        <v>46022</v>
      </c>
      <c r="E50" t="inlineStr">
        <is>
          <t>3Y</t>
        </is>
      </c>
      <c r="F50" t="n">
        <v>10.99433974661508</v>
      </c>
      <c r="G50" t="n">
        <v>0.8070767384687372</v>
      </c>
      <c r="H50" t="n">
        <v>0.1296002875132762</v>
      </c>
      <c r="I50" t="n">
        <v>-10.18726300814634</v>
      </c>
      <c r="J50" t="n">
        <v>-10.8647394591018</v>
      </c>
      <c r="K50" t="inlineStr">
        <is>
          <t>Japan|IJPN.L|3Y</t>
        </is>
      </c>
      <c r="L50" t="inlineStr">
        <is>
          <t>Japan|3Y</t>
        </is>
      </c>
    </row>
    <row r="51">
      <c r="A51" t="inlineStr">
        <is>
          <t>Japan</t>
        </is>
      </c>
      <c r="B51" t="inlineStr">
        <is>
          <t>JPN</t>
        </is>
      </c>
      <c r="C51" t="inlineStr">
        <is>
          <t>IJPN.L</t>
        </is>
      </c>
      <c r="D51" s="1" t="n">
        <v>46022</v>
      </c>
      <c r="E51" t="inlineStr">
        <is>
          <t>5Y</t>
        </is>
      </c>
      <c r="F51" t="n">
        <v>4.839993842296031</v>
      </c>
      <c r="G51" t="n">
        <v>1.212938163621247</v>
      </c>
      <c r="H51" t="n">
        <v>-3.270926251822071</v>
      </c>
      <c r="I51" t="n">
        <v>-3.627055678674784</v>
      </c>
      <c r="J51" t="n">
        <v>-8.110920094118102</v>
      </c>
      <c r="K51" t="inlineStr">
        <is>
          <t>Japan|IJPN.L|5Y</t>
        </is>
      </c>
      <c r="L51" t="inlineStr">
        <is>
          <t>Japan|5Y</t>
        </is>
      </c>
    </row>
    <row r="52">
      <c r="A52" t="inlineStr">
        <is>
          <t>Japan</t>
        </is>
      </c>
      <c r="B52" t="inlineStr">
        <is>
          <t>JPN</t>
        </is>
      </c>
      <c r="C52" t="inlineStr">
        <is>
          <t>IJPN.L</t>
        </is>
      </c>
      <c r="D52" s="1" t="n">
        <v>46022</v>
      </c>
      <c r="E52" t="inlineStr">
        <is>
          <t>10Y</t>
        </is>
      </c>
      <c r="F52" t="n">
        <v>6.946737118748292</v>
      </c>
      <c r="G52" t="n">
        <v>0.4430022080747165</v>
      </c>
      <c r="H52" t="n">
        <v>-0.3777999050532999</v>
      </c>
      <c r="I52" t="n">
        <v>-6.503734910673575</v>
      </c>
      <c r="J52" t="n">
        <v>-7.324537023801591</v>
      </c>
      <c r="K52" t="inlineStr">
        <is>
          <t>Japan|IJPN.L|10Y</t>
        </is>
      </c>
      <c r="L52" t="inlineStr">
        <is>
          <t>Japan|10Y</t>
        </is>
      </c>
    </row>
    <row r="53">
      <c r="A53" t="inlineStr">
        <is>
          <t>Japan</t>
        </is>
      </c>
      <c r="B53" t="inlineStr">
        <is>
          <t>JPN</t>
        </is>
      </c>
      <c r="C53" t="inlineStr">
        <is>
          <t>LCJP.L</t>
        </is>
      </c>
      <c r="D53" s="1" t="n">
        <v>46022</v>
      </c>
      <c r="E53" t="inlineStr">
        <is>
          <t>3Y</t>
        </is>
      </c>
      <c r="F53" t="n">
        <v>13.06392956971774</v>
      </c>
      <c r="G53" t="n">
        <v>0.8070767384687372</v>
      </c>
      <c r="H53" t="n">
        <v>0.1296002875132762</v>
      </c>
      <c r="I53" t="n">
        <v>-12.256852831249</v>
      </c>
      <c r="J53" t="n">
        <v>-12.93432928220446</v>
      </c>
      <c r="K53" t="inlineStr">
        <is>
          <t>Japan|LCJP.L|3Y</t>
        </is>
      </c>
      <c r="L53" t="inlineStr">
        <is>
          <t>Japan|3Y</t>
        </is>
      </c>
    </row>
    <row r="54">
      <c r="A54" t="inlineStr">
        <is>
          <t>Japan</t>
        </is>
      </c>
      <c r="B54" t="inlineStr">
        <is>
          <t>JPN</t>
        </is>
      </c>
      <c r="C54" t="inlineStr">
        <is>
          <t>LCJP.L</t>
        </is>
      </c>
      <c r="D54" s="1" t="n">
        <v>46022</v>
      </c>
      <c r="E54" t="inlineStr">
        <is>
          <t>5Y</t>
        </is>
      </c>
      <c r="F54" t="n">
        <v>6.801909295749953</v>
      </c>
      <c r="G54" t="n">
        <v>1.212938163621247</v>
      </c>
      <c r="H54" t="n">
        <v>-3.270926251822071</v>
      </c>
      <c r="I54" t="n">
        <v>-5.588971132128706</v>
      </c>
      <c r="J54" t="n">
        <v>-10.07283554757202</v>
      </c>
      <c r="K54" t="inlineStr">
        <is>
          <t>Japan|LCJP.L|5Y</t>
        </is>
      </c>
      <c r="L54" t="inlineStr">
        <is>
          <t>Japan|5Y</t>
        </is>
      </c>
    </row>
    <row r="55">
      <c r="A55" t="inlineStr">
        <is>
          <t>Malaysia</t>
        </is>
      </c>
      <c r="B55" t="inlineStr">
        <is>
          <t>MYS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4.378667423638438</v>
      </c>
      <c r="H55" t="n">
        <v>4.885544483325233</v>
      </c>
      <c r="I55" t="inlineStr"/>
      <c r="J55" t="inlineStr"/>
      <c r="K55" t="inlineStr">
        <is>
          <t>Malaysia||3Y</t>
        </is>
      </c>
      <c r="L55" t="inlineStr">
        <is>
          <t>Malaysia|3Y</t>
        </is>
      </c>
    </row>
    <row r="56">
      <c r="A56" t="inlineStr">
        <is>
          <t>Malaysia</t>
        </is>
      </c>
      <c r="B56" t="inlineStr">
        <is>
          <t>MYS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5.077690900653709</v>
      </c>
      <c r="H56" t="n">
        <v>6.876392291377909</v>
      </c>
      <c r="I56" t="inlineStr"/>
      <c r="J56" t="inlineStr"/>
      <c r="K56" t="inlineStr">
        <is>
          <t>Malaysia||5Y</t>
        </is>
      </c>
      <c r="L56" t="inlineStr">
        <is>
          <t>Malaysia|5Y</t>
        </is>
      </c>
    </row>
    <row r="57">
      <c r="A57" t="inlineStr">
        <is>
          <t>Malaysia</t>
        </is>
      </c>
      <c r="B57" t="inlineStr">
        <is>
          <t>MYS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3.89444961245704</v>
      </c>
      <c r="H57" t="n">
        <v>4.557398172221427</v>
      </c>
      <c r="I57" t="inlineStr"/>
      <c r="J57" t="inlineStr"/>
      <c r="K57" t="inlineStr">
        <is>
          <t>Malaysia||10Y</t>
        </is>
      </c>
      <c r="L57" t="inlineStr">
        <is>
          <t>Malaysia|10Y</t>
        </is>
      </c>
    </row>
    <row r="58">
      <c r="A58" t="inlineStr">
        <is>
          <t>Malaysia</t>
        </is>
      </c>
      <c r="B58" t="inlineStr">
        <is>
          <t>MYS</t>
        </is>
      </c>
      <c r="C58" t="inlineStr">
        <is>
          <t>XCX3.L</t>
        </is>
      </c>
      <c r="D58" s="1" t="n">
        <v>46022</v>
      </c>
      <c r="E58" t="inlineStr">
        <is>
          <t>3Y</t>
        </is>
      </c>
      <c r="F58" t="n">
        <v>6.349313597470552</v>
      </c>
      <c r="G58" t="n">
        <v>4.378667423638438</v>
      </c>
      <c r="H58" t="n">
        <v>4.885544483325233</v>
      </c>
      <c r="I58" t="n">
        <v>-1.970646173832113</v>
      </c>
      <c r="J58" t="n">
        <v>-1.463769114145319</v>
      </c>
      <c r="K58" t="inlineStr">
        <is>
          <t>Malaysia|XCX3.L|3Y</t>
        </is>
      </c>
      <c r="L58" t="inlineStr">
        <is>
          <t>Malaysia|3Y</t>
        </is>
      </c>
    </row>
    <row r="59">
      <c r="A59" t="inlineStr">
        <is>
          <t>Malaysia</t>
        </is>
      </c>
      <c r="B59" t="inlineStr">
        <is>
          <t>MYS</t>
        </is>
      </c>
      <c r="C59" t="inlineStr">
        <is>
          <t>XCX3.L</t>
        </is>
      </c>
      <c r="D59" s="1" t="n">
        <v>46022</v>
      </c>
      <c r="E59" t="inlineStr">
        <is>
          <t>5Y</t>
        </is>
      </c>
      <c r="F59" t="n">
        <v>3.418519092784655</v>
      </c>
      <c r="G59" t="n">
        <v>5.077690900653709</v>
      </c>
      <c r="H59" t="n">
        <v>6.876392291377909</v>
      </c>
      <c r="I59" t="n">
        <v>1.659171807869053</v>
      </c>
      <c r="J59" t="n">
        <v>3.457873198593253</v>
      </c>
      <c r="K59" t="inlineStr">
        <is>
          <t>Malaysia|XCX3.L|5Y</t>
        </is>
      </c>
      <c r="L59" t="inlineStr">
        <is>
          <t>Malaysia|5Y</t>
        </is>
      </c>
    </row>
    <row r="60">
      <c r="A60" t="inlineStr">
        <is>
          <t>Malaysia</t>
        </is>
      </c>
      <c r="B60" t="inlineStr">
        <is>
          <t>MYS</t>
        </is>
      </c>
      <c r="C60" t="inlineStr">
        <is>
          <t>XCX3.L</t>
        </is>
      </c>
      <c r="D60" s="1" t="n">
        <v>46022</v>
      </c>
      <c r="E60" t="inlineStr">
        <is>
          <t>10Y</t>
        </is>
      </c>
      <c r="F60" t="n">
        <v>3.97933024840591</v>
      </c>
      <c r="G60" t="n">
        <v>3.89444961245704</v>
      </c>
      <c r="H60" t="n">
        <v>4.557398172221427</v>
      </c>
      <c r="I60" t="n">
        <v>-0.08488063594886963</v>
      </c>
      <c r="J60" t="n">
        <v>0.5780679238155173</v>
      </c>
      <c r="K60" t="inlineStr">
        <is>
          <t>Malaysia|XCX3.L|10Y</t>
        </is>
      </c>
      <c r="L60" t="inlineStr">
        <is>
          <t>Malaysia|10Y</t>
        </is>
      </c>
    </row>
    <row r="61">
      <c r="A61" t="inlineStr">
        <is>
          <t>Mexico</t>
        </is>
      </c>
      <c r="B61" t="inlineStr">
        <is>
          <t>MEX</t>
        </is>
      </c>
      <c r="C61" t="inlineStr"/>
      <c r="D61" s="1" t="n">
        <v>46022</v>
      </c>
      <c r="E61" t="inlineStr">
        <is>
          <t>3Y</t>
        </is>
      </c>
      <c r="F61" t="inlineStr"/>
      <c r="G61" t="n">
        <v>1.918513449306825</v>
      </c>
      <c r="H61" t="n">
        <v>8.288030696523553</v>
      </c>
      <c r="I61" t="inlineStr"/>
      <c r="J61" t="inlineStr"/>
      <c r="K61" t="inlineStr">
        <is>
          <t>Mexico||3Y</t>
        </is>
      </c>
      <c r="L61" t="inlineStr">
        <is>
          <t>Mexico|3Y</t>
        </is>
      </c>
    </row>
    <row r="62">
      <c r="A62" t="inlineStr">
        <is>
          <t>Mexico</t>
        </is>
      </c>
      <c r="B62" t="inlineStr">
        <is>
          <t>MEX</t>
        </is>
      </c>
      <c r="C62" t="inlineStr"/>
      <c r="D62" s="1" t="n">
        <v>46022</v>
      </c>
      <c r="E62" t="inlineStr">
        <is>
          <t>5Y</t>
        </is>
      </c>
      <c r="F62" t="inlineStr"/>
      <c r="G62" t="n">
        <v>3.089983868865098</v>
      </c>
      <c r="H62" t="n">
        <v>10.68895551720954</v>
      </c>
      <c r="I62" t="inlineStr"/>
      <c r="J62" t="inlineStr"/>
      <c r="K62" t="inlineStr">
        <is>
          <t>Mexico||5Y</t>
        </is>
      </c>
      <c r="L62" t="inlineStr">
        <is>
          <t>Mexico|5Y</t>
        </is>
      </c>
    </row>
    <row r="63">
      <c r="A63" t="inlineStr">
        <is>
          <t>Mexico</t>
        </is>
      </c>
      <c r="B63" t="inlineStr">
        <is>
          <t>MEX</t>
        </is>
      </c>
      <c r="C63" t="inlineStr"/>
      <c r="D63" s="1" t="n">
        <v>46022</v>
      </c>
      <c r="E63" t="inlineStr">
        <is>
          <t>10Y</t>
        </is>
      </c>
      <c r="F63" t="inlineStr"/>
      <c r="G63" t="n">
        <v>1.173082287112415</v>
      </c>
      <c r="H63" t="n">
        <v>4.380318769606451</v>
      </c>
      <c r="I63" t="inlineStr"/>
      <c r="J63" t="inlineStr"/>
      <c r="K63" t="inlineStr">
        <is>
          <t>Mexico||10Y</t>
        </is>
      </c>
      <c r="L63" t="inlineStr">
        <is>
          <t>Mexico|10Y</t>
        </is>
      </c>
    </row>
    <row r="64">
      <c r="A64" t="inlineStr">
        <is>
          <t>Mexico</t>
        </is>
      </c>
      <c r="B64" t="inlineStr">
        <is>
          <t>MEX</t>
        </is>
      </c>
      <c r="C64" t="inlineStr">
        <is>
          <t>XMEX.L</t>
        </is>
      </c>
      <c r="D64" s="1" t="n">
        <v>46022</v>
      </c>
      <c r="E64" t="inlineStr">
        <is>
          <t>3Y</t>
        </is>
      </c>
      <c r="F64" t="n">
        <v>11.47494740160904</v>
      </c>
      <c r="G64" t="n">
        <v>1.918513449306825</v>
      </c>
      <c r="H64" t="n">
        <v>8.288030696523553</v>
      </c>
      <c r="I64" t="n">
        <v>-9.556433952302211</v>
      </c>
      <c r="J64" t="n">
        <v>-3.186916705085483</v>
      </c>
      <c r="K64" t="inlineStr">
        <is>
          <t>Mexico|XMEX.L|3Y</t>
        </is>
      </c>
      <c r="L64" t="inlineStr">
        <is>
          <t>Mexico|3Y</t>
        </is>
      </c>
    </row>
    <row r="65">
      <c r="A65" t="inlineStr">
        <is>
          <t>Mexico</t>
        </is>
      </c>
      <c r="B65" t="inlineStr">
        <is>
          <t>MEX</t>
        </is>
      </c>
      <c r="C65" t="inlineStr">
        <is>
          <t>XMEX.L</t>
        </is>
      </c>
      <c r="D65" s="1" t="n">
        <v>46022</v>
      </c>
      <c r="E65" t="inlineStr">
        <is>
          <t>5Y</t>
        </is>
      </c>
      <c r="F65" t="n">
        <v>13.09811134650245</v>
      </c>
      <c r="G65" t="n">
        <v>3.089983868865098</v>
      </c>
      <c r="H65" t="n">
        <v>10.68895551720954</v>
      </c>
      <c r="I65" t="n">
        <v>-10.00812747763735</v>
      </c>
      <c r="J65" t="n">
        <v>-2.409155829292907</v>
      </c>
      <c r="K65" t="inlineStr">
        <is>
          <t>Mexico|XMEX.L|5Y</t>
        </is>
      </c>
      <c r="L65" t="inlineStr">
        <is>
          <t>Mexico|5Y</t>
        </is>
      </c>
    </row>
    <row r="66">
      <c r="A66" t="inlineStr">
        <is>
          <t>Mexico</t>
        </is>
      </c>
      <c r="B66" t="inlineStr">
        <is>
          <t>MEX</t>
        </is>
      </c>
      <c r="C66" t="inlineStr">
        <is>
          <t>XMEX.L</t>
        </is>
      </c>
      <c r="D66" s="1" t="n">
        <v>46022</v>
      </c>
      <c r="E66" t="inlineStr">
        <is>
          <t>10Y</t>
        </is>
      </c>
      <c r="F66" t="n">
        <v>7.216077462530146</v>
      </c>
      <c r="G66" t="n">
        <v>1.173082287112415</v>
      </c>
      <c r="H66" t="n">
        <v>4.380318769606451</v>
      </c>
      <c r="I66" t="n">
        <v>-6.042995175417731</v>
      </c>
      <c r="J66" t="n">
        <v>-2.835758692923696</v>
      </c>
      <c r="K66" t="inlineStr">
        <is>
          <t>Mexico|XMEX.L|10Y</t>
        </is>
      </c>
      <c r="L66" t="inlineStr">
        <is>
          <t>Mexico|10Y</t>
        </is>
      </c>
    </row>
    <row r="67">
      <c r="A67" t="inlineStr">
        <is>
          <t>Philippines</t>
        </is>
      </c>
      <c r="B67" t="inlineStr">
        <is>
          <t>PHL</t>
        </is>
      </c>
      <c r="C67" t="inlineStr"/>
      <c r="D67" s="1" t="n">
        <v>46022</v>
      </c>
      <c r="E67" t="inlineStr">
        <is>
          <t>3Y</t>
        </is>
      </c>
      <c r="F67" t="inlineStr"/>
      <c r="G67" t="n">
        <v>5.5486124491402</v>
      </c>
      <c r="H67" t="n">
        <v>6.914117046183832</v>
      </c>
      <c r="I67" t="inlineStr"/>
      <c r="J67" t="inlineStr"/>
      <c r="K67" t="inlineStr">
        <is>
          <t>Philippines||3Y</t>
        </is>
      </c>
      <c r="L67" t="inlineStr">
        <is>
          <t>Philippines|3Y</t>
        </is>
      </c>
    </row>
    <row r="68">
      <c r="A68" t="inlineStr">
        <is>
          <t>Philippines</t>
        </is>
      </c>
      <c r="B68" t="inlineStr">
        <is>
          <t>PHL</t>
        </is>
      </c>
      <c r="C68" t="inlineStr"/>
      <c r="D68" s="1" t="n">
        <v>46022</v>
      </c>
      <c r="E68" t="inlineStr">
        <is>
          <t>5Y</t>
        </is>
      </c>
      <c r="F68" t="inlineStr"/>
      <c r="G68" t="n">
        <v>5.98537852939689</v>
      </c>
      <c r="H68" t="n">
        <v>6.43665521117589</v>
      </c>
      <c r="I68" t="inlineStr"/>
      <c r="J68" t="inlineStr"/>
      <c r="K68" t="inlineStr">
        <is>
          <t>Philippines||5Y</t>
        </is>
      </c>
      <c r="L68" t="inlineStr">
        <is>
          <t>Philippines|5Y</t>
        </is>
      </c>
    </row>
    <row r="69">
      <c r="A69" t="inlineStr">
        <is>
          <t>Philippines</t>
        </is>
      </c>
      <c r="B69" t="inlineStr">
        <is>
          <t>PHL</t>
        </is>
      </c>
      <c r="C69" t="inlineStr"/>
      <c r="D69" s="1" t="n">
        <v>46022</v>
      </c>
      <c r="E69" t="inlineStr">
        <is>
          <t>10Y</t>
        </is>
      </c>
      <c r="F69" t="inlineStr"/>
      <c r="G69" t="n">
        <v>4.577380856389279</v>
      </c>
      <c r="H69" t="n">
        <v>4.894130513115047</v>
      </c>
      <c r="I69" t="inlineStr"/>
      <c r="J69" t="inlineStr"/>
      <c r="K69" t="inlineStr">
        <is>
          <t>Philippines||10Y</t>
        </is>
      </c>
      <c r="L69" t="inlineStr">
        <is>
          <t>Philippines|10Y</t>
        </is>
      </c>
    </row>
    <row r="70">
      <c r="A70" t="inlineStr">
        <is>
          <t>Philippines</t>
        </is>
      </c>
      <c r="B70" t="inlineStr">
        <is>
          <t>PHL</t>
        </is>
      </c>
      <c r="C70" t="inlineStr">
        <is>
          <t>XPHG.L</t>
        </is>
      </c>
      <c r="D70" s="1" t="n">
        <v>46022</v>
      </c>
      <c r="E70" t="inlineStr">
        <is>
          <t>3Y</t>
        </is>
      </c>
      <c r="F70" t="n">
        <v>-4.002724599217933</v>
      </c>
      <c r="G70" t="n">
        <v>5.5486124491402</v>
      </c>
      <c r="H70" t="n">
        <v>6.914117046183832</v>
      </c>
      <c r="I70" t="n">
        <v>9.551337048358132</v>
      </c>
      <c r="J70" t="n">
        <v>10.91684164540176</v>
      </c>
      <c r="K70" t="inlineStr">
        <is>
          <t>Philippines|XPHG.L|3Y</t>
        </is>
      </c>
      <c r="L70" t="inlineStr">
        <is>
          <t>Philippines|3Y</t>
        </is>
      </c>
    </row>
    <row r="71">
      <c r="A71" t="inlineStr">
        <is>
          <t>Philippines</t>
        </is>
      </c>
      <c r="B71" t="inlineStr">
        <is>
          <t>PHL</t>
        </is>
      </c>
      <c r="C71" t="inlineStr">
        <is>
          <t>XPHG.L</t>
        </is>
      </c>
      <c r="D71" s="1" t="n">
        <v>46022</v>
      </c>
      <c r="E71" t="inlineStr">
        <is>
          <t>5Y</t>
        </is>
      </c>
      <c r="F71" t="n">
        <v>-3.722647997553719</v>
      </c>
      <c r="G71" t="n">
        <v>5.98537852939689</v>
      </c>
      <c r="H71" t="n">
        <v>6.43665521117589</v>
      </c>
      <c r="I71" t="n">
        <v>9.708026526950608</v>
      </c>
      <c r="J71" t="n">
        <v>10.15930320872961</v>
      </c>
      <c r="K71" t="inlineStr">
        <is>
          <t>Philippines|XPHG.L|5Y</t>
        </is>
      </c>
      <c r="L71" t="inlineStr">
        <is>
          <t>Philippines|5Y</t>
        </is>
      </c>
    </row>
    <row r="72">
      <c r="A72" t="inlineStr">
        <is>
          <t>Philippines</t>
        </is>
      </c>
      <c r="B72" t="inlineStr">
        <is>
          <t>PHL</t>
        </is>
      </c>
      <c r="C72" t="inlineStr">
        <is>
          <t>XPHG.L</t>
        </is>
      </c>
      <c r="D72" s="1" t="n">
        <v>46022</v>
      </c>
      <c r="E72" t="inlineStr">
        <is>
          <t>10Y</t>
        </is>
      </c>
      <c r="F72" t="n">
        <v>-0.8945038180884657</v>
      </c>
      <c r="G72" t="n">
        <v>4.577380856389279</v>
      </c>
      <c r="H72" t="n">
        <v>4.894130513115047</v>
      </c>
      <c r="I72" t="n">
        <v>5.471884674477745</v>
      </c>
      <c r="J72" t="n">
        <v>5.788634331203513</v>
      </c>
      <c r="K72" t="inlineStr">
        <is>
          <t>Philippines|XPHG.L|10Y</t>
        </is>
      </c>
      <c r="L72" t="inlineStr">
        <is>
          <t>Philippines|10Y</t>
        </is>
      </c>
    </row>
    <row r="73">
      <c r="A73" t="inlineStr">
        <is>
          <t>Poland</t>
        </is>
      </c>
      <c r="B73" t="inlineStr">
        <is>
          <t>POL</t>
        </is>
      </c>
      <c r="C73" t="inlineStr"/>
      <c r="D73" s="1" t="n">
        <v>46022</v>
      </c>
      <c r="E73" t="inlineStr">
        <is>
          <t>3Y</t>
        </is>
      </c>
      <c r="F73" t="inlineStr"/>
      <c r="G73" t="n">
        <v>2.129799151051381</v>
      </c>
      <c r="H73" t="n">
        <v>14.3256449842778</v>
      </c>
      <c r="I73" t="inlineStr"/>
      <c r="J73" t="inlineStr"/>
      <c r="K73" t="inlineStr">
        <is>
          <t>Poland||3Y</t>
        </is>
      </c>
      <c r="L73" t="inlineStr">
        <is>
          <t>Poland|3Y</t>
        </is>
      </c>
    </row>
    <row r="74">
      <c r="A74" t="inlineStr">
        <is>
          <t>Poland</t>
        </is>
      </c>
      <c r="B74" t="inlineStr">
        <is>
          <t>POL</t>
        </is>
      </c>
      <c r="C74" t="inlineStr"/>
      <c r="D74" s="1" t="n">
        <v>46022</v>
      </c>
      <c r="E74" t="inlineStr">
        <is>
          <t>5Y</t>
        </is>
      </c>
      <c r="F74" t="inlineStr"/>
      <c r="G74" t="n">
        <v>3.694927012118776</v>
      </c>
      <c r="H74" t="n">
        <v>11.40132337014548</v>
      </c>
      <c r="I74" t="inlineStr"/>
      <c r="J74" t="inlineStr"/>
      <c r="K74" t="inlineStr">
        <is>
          <t>Poland||5Y</t>
        </is>
      </c>
      <c r="L74" t="inlineStr">
        <is>
          <t>Poland|5Y</t>
        </is>
      </c>
    </row>
    <row r="75">
      <c r="A75" t="inlineStr">
        <is>
          <t>Poland</t>
        </is>
      </c>
      <c r="B75" t="inlineStr">
        <is>
          <t>POL</t>
        </is>
      </c>
      <c r="C75" t="inlineStr"/>
      <c r="D75" s="1" t="n">
        <v>46022</v>
      </c>
      <c r="E75" t="inlineStr">
        <is>
          <t>10Y</t>
        </is>
      </c>
      <c r="F75" t="inlineStr"/>
      <c r="G75" t="n">
        <v>3.523867731974173</v>
      </c>
      <c r="H75" t="n">
        <v>8.040807864819421</v>
      </c>
      <c r="I75" t="inlineStr"/>
      <c r="J75" t="inlineStr"/>
      <c r="K75" t="inlineStr">
        <is>
          <t>Poland||10Y</t>
        </is>
      </c>
      <c r="L75" t="inlineStr">
        <is>
          <t>Poland|10Y</t>
        </is>
      </c>
    </row>
    <row r="76">
      <c r="A76" t="inlineStr">
        <is>
          <t>Poland</t>
        </is>
      </c>
      <c r="B76" t="inlineStr">
        <is>
          <t>POL</t>
        </is>
      </c>
      <c r="C76" t="inlineStr">
        <is>
          <t>SPOL.L</t>
        </is>
      </c>
      <c r="D76" s="1" t="n">
        <v>46022</v>
      </c>
      <c r="E76" t="inlineStr">
        <is>
          <t>3Y</t>
        </is>
      </c>
      <c r="F76" t="n">
        <v>28.98523276978437</v>
      </c>
      <c r="G76" t="n">
        <v>2.129799151051381</v>
      </c>
      <c r="H76" t="n">
        <v>14.3256449842778</v>
      </c>
      <c r="I76" t="n">
        <v>-26.855433618733</v>
      </c>
      <c r="J76" t="n">
        <v>-14.65958778550658</v>
      </c>
      <c r="K76" t="inlineStr">
        <is>
          <t>Poland|SPOL.L|3Y</t>
        </is>
      </c>
      <c r="L76" t="inlineStr">
        <is>
          <t>Poland|3Y</t>
        </is>
      </c>
    </row>
    <row r="77">
      <c r="A77" t="inlineStr">
        <is>
          <t>Poland</t>
        </is>
      </c>
      <c r="B77" t="inlineStr">
        <is>
          <t>POL</t>
        </is>
      </c>
      <c r="C77" t="inlineStr">
        <is>
          <t>SPOL.L</t>
        </is>
      </c>
      <c r="D77" s="1" t="n">
        <v>46022</v>
      </c>
      <c r="E77" t="inlineStr">
        <is>
          <t>5Y</t>
        </is>
      </c>
      <c r="F77" t="n">
        <v>13.64807943638702</v>
      </c>
      <c r="G77" t="n">
        <v>3.694927012118776</v>
      </c>
      <c r="H77" t="n">
        <v>11.40132337014548</v>
      </c>
      <c r="I77" t="n">
        <v>-9.953152424268243</v>
      </c>
      <c r="J77" t="n">
        <v>-2.246756066241542</v>
      </c>
      <c r="K77" t="inlineStr">
        <is>
          <t>Poland|SPOL.L|5Y</t>
        </is>
      </c>
      <c r="L77" t="inlineStr">
        <is>
          <t>Poland|5Y</t>
        </is>
      </c>
    </row>
    <row r="78">
      <c r="A78" t="inlineStr">
        <is>
          <t>Poland</t>
        </is>
      </c>
      <c r="B78" t="inlineStr">
        <is>
          <t>POL</t>
        </is>
      </c>
      <c r="C78" t="inlineStr">
        <is>
          <t>SPOL.L</t>
        </is>
      </c>
      <c r="D78" s="1" t="n">
        <v>46022</v>
      </c>
      <c r="E78" t="inlineStr">
        <is>
          <t>10Y</t>
        </is>
      </c>
      <c r="F78" t="n">
        <v>9.139330850037751</v>
      </c>
      <c r="G78" t="n">
        <v>3.523867731974173</v>
      </c>
      <c r="H78" t="n">
        <v>8.040807864819421</v>
      </c>
      <c r="I78" t="n">
        <v>-5.615463118063579</v>
      </c>
      <c r="J78" t="n">
        <v>-1.098522985218331</v>
      </c>
      <c r="K78" t="inlineStr">
        <is>
          <t>Poland|SPOL.L|10Y</t>
        </is>
      </c>
      <c r="L78" t="inlineStr">
        <is>
          <t>Poland|10Y</t>
        </is>
      </c>
    </row>
    <row r="79">
      <c r="A79" t="inlineStr">
        <is>
          <t>South Africa</t>
        </is>
      </c>
      <c r="B79" t="inlineStr">
        <is>
          <t>ZAF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0.829687067689866</v>
      </c>
      <c r="H79" t="n">
        <v>1.527172730413695</v>
      </c>
      <c r="I79" t="inlineStr"/>
      <c r="J79" t="inlineStr"/>
      <c r="K79" t="inlineStr">
        <is>
          <t>South Africa||3Y</t>
        </is>
      </c>
      <c r="L79" t="inlineStr">
        <is>
          <t>South Africa|3Y</t>
        </is>
      </c>
    </row>
    <row r="80">
      <c r="A80" t="inlineStr">
        <is>
          <t>South Africa</t>
        </is>
      </c>
      <c r="B80" t="inlineStr">
        <is>
          <t>ZAF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1.869366313573084</v>
      </c>
      <c r="H80" t="n">
        <v>4.763139999836619</v>
      </c>
      <c r="I80" t="inlineStr"/>
      <c r="J80" t="inlineStr"/>
      <c r="K80" t="inlineStr">
        <is>
          <t>South Africa||5Y</t>
        </is>
      </c>
      <c r="L80" t="inlineStr">
        <is>
          <t>South Africa|5Y</t>
        </is>
      </c>
    </row>
    <row r="81">
      <c r="A81" t="inlineStr">
        <is>
          <t>South Africa</t>
        </is>
      </c>
      <c r="B81" t="inlineStr">
        <is>
          <t>ZAF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0.6533111721663376</v>
      </c>
      <c r="H81" t="n">
        <v>2.091418501604658</v>
      </c>
      <c r="I81" t="inlineStr"/>
      <c r="J81" t="inlineStr"/>
      <c r="K81" t="inlineStr">
        <is>
          <t>South Africa||10Y</t>
        </is>
      </c>
      <c r="L81" t="inlineStr">
        <is>
          <t>South Africa|10Y</t>
        </is>
      </c>
    </row>
    <row r="82">
      <c r="A82" t="inlineStr">
        <is>
          <t>South Africa</t>
        </is>
      </c>
      <c r="B82" t="inlineStr">
        <is>
          <t>ZAF</t>
        </is>
      </c>
      <c r="C82" t="inlineStr">
        <is>
          <t>SRSA.L</t>
        </is>
      </c>
      <c r="D82" s="1" t="n">
        <v>46022</v>
      </c>
      <c r="E82" t="inlineStr">
        <is>
          <t>3Y</t>
        </is>
      </c>
      <c r="F82" t="n">
        <v>18.79668488410962</v>
      </c>
      <c r="G82" t="n">
        <v>0.829687067689866</v>
      </c>
      <c r="H82" t="n">
        <v>1.527172730413695</v>
      </c>
      <c r="I82" t="n">
        <v>-17.96699781641975</v>
      </c>
      <c r="J82" t="n">
        <v>-17.26951215369592</v>
      </c>
      <c r="K82" t="inlineStr">
        <is>
          <t>South Africa|SRSA.L|3Y</t>
        </is>
      </c>
      <c r="L82" t="inlineStr">
        <is>
          <t>South Africa|3Y</t>
        </is>
      </c>
    </row>
    <row r="83">
      <c r="A83" t="inlineStr">
        <is>
          <t>South Africa</t>
        </is>
      </c>
      <c r="B83" t="inlineStr">
        <is>
          <t>ZAF</t>
        </is>
      </c>
      <c r="C83" t="inlineStr">
        <is>
          <t>SRSA.L</t>
        </is>
      </c>
      <c r="D83" s="1" t="n">
        <v>46022</v>
      </c>
      <c r="E83" t="inlineStr">
        <is>
          <t>5Y</t>
        </is>
      </c>
      <c r="F83" t="n">
        <v>14.01402923294555</v>
      </c>
      <c r="G83" t="n">
        <v>1.869366313573084</v>
      </c>
      <c r="H83" t="n">
        <v>4.763139999836619</v>
      </c>
      <c r="I83" t="n">
        <v>-12.14466291937246</v>
      </c>
      <c r="J83" t="n">
        <v>-9.250889233108929</v>
      </c>
      <c r="K83" t="inlineStr">
        <is>
          <t>South Africa|SRSA.L|5Y</t>
        </is>
      </c>
      <c r="L83" t="inlineStr">
        <is>
          <t>South Africa|5Y</t>
        </is>
      </c>
    </row>
    <row r="84">
      <c r="A84" t="inlineStr">
        <is>
          <t>South Africa</t>
        </is>
      </c>
      <c r="B84" t="inlineStr">
        <is>
          <t>ZAF</t>
        </is>
      </c>
      <c r="C84" t="inlineStr">
        <is>
          <t>SRSA.L</t>
        </is>
      </c>
      <c r="D84" s="1" t="n">
        <v>46022</v>
      </c>
      <c r="E84" t="inlineStr">
        <is>
          <t>10Y</t>
        </is>
      </c>
      <c r="F84" t="n">
        <v>10.63800490718259</v>
      </c>
      <c r="G84" t="n">
        <v>0.6533111721663376</v>
      </c>
      <c r="H84" t="n">
        <v>2.091418501604658</v>
      </c>
      <c r="I84" t="n">
        <v>-9.984693735016247</v>
      </c>
      <c r="J84" t="n">
        <v>-8.546586405577926</v>
      </c>
      <c r="K84" t="inlineStr">
        <is>
          <t>South Africa|SRSA.L|10Y</t>
        </is>
      </c>
      <c r="L84" t="inlineStr">
        <is>
          <t>South Africa|10Y</t>
        </is>
      </c>
    </row>
    <row r="85">
      <c r="A85" t="inlineStr">
        <is>
          <t>South Korea</t>
        </is>
      </c>
      <c r="B85" t="inlineStr">
        <is>
          <t>KOR</t>
        </is>
      </c>
      <c r="C85" t="inlineStr"/>
      <c r="D85" s="1" t="n">
        <v>46022</v>
      </c>
      <c r="E85" t="inlineStr">
        <is>
          <t>3Y</t>
        </is>
      </c>
      <c r="F85" t="inlineStr"/>
      <c r="G85" t="n">
        <v>1.493305092303054</v>
      </c>
      <c r="H85" t="n">
        <v>1.085035519760158</v>
      </c>
      <c r="I85" t="inlineStr"/>
      <c r="J85" t="inlineStr"/>
      <c r="K85" t="inlineStr">
        <is>
          <t>South Korea||3Y</t>
        </is>
      </c>
      <c r="L85" t="inlineStr">
        <is>
          <t>South Korea|3Y</t>
        </is>
      </c>
    </row>
    <row r="86">
      <c r="A86" t="inlineStr">
        <is>
          <t>South Korea</t>
        </is>
      </c>
      <c r="B86" t="inlineStr">
        <is>
          <t>KOR</t>
        </is>
      </c>
      <c r="C86" t="inlineStr"/>
      <c r="D86" s="1" t="n">
        <v>46022</v>
      </c>
      <c r="E86" t="inlineStr">
        <is>
          <t>5Y</t>
        </is>
      </c>
      <c r="F86" t="inlineStr"/>
      <c r="G86" t="n">
        <v>2.356949693623722</v>
      </c>
      <c r="H86" t="n">
        <v>1.275389793357129</v>
      </c>
      <c r="I86" t="inlineStr"/>
      <c r="J86" t="inlineStr"/>
      <c r="K86" t="inlineStr">
        <is>
          <t>South Korea||5Y</t>
        </is>
      </c>
      <c r="L86" t="inlineStr">
        <is>
          <t>South Korea|5Y</t>
        </is>
      </c>
    </row>
    <row r="87">
      <c r="A87" t="inlineStr">
        <is>
          <t>South Korea</t>
        </is>
      </c>
      <c r="B87" t="inlineStr">
        <is>
          <t>KOR</t>
        </is>
      </c>
      <c r="C87" t="inlineStr"/>
      <c r="D87" s="1" t="n">
        <v>46022</v>
      </c>
      <c r="E87" t="inlineStr">
        <is>
          <t>10Y</t>
        </is>
      </c>
      <c r="F87" t="inlineStr"/>
      <c r="G87" t="n">
        <v>2.312115483549904</v>
      </c>
      <c r="H87" t="n">
        <v>1.903263894932894</v>
      </c>
      <c r="I87" t="inlineStr"/>
      <c r="J87" t="inlineStr"/>
      <c r="K87" t="inlineStr">
        <is>
          <t>South Korea||10Y</t>
        </is>
      </c>
      <c r="L87" t="inlineStr">
        <is>
          <t>South Korea|10Y</t>
        </is>
      </c>
    </row>
    <row r="88">
      <c r="A88" t="inlineStr">
        <is>
          <t>South Korea</t>
        </is>
      </c>
      <c r="B88" t="inlineStr">
        <is>
          <t>KOR</t>
        </is>
      </c>
      <c r="C88" t="inlineStr">
        <is>
          <t>FLRK.L</t>
        </is>
      </c>
      <c r="D88" s="1" t="n">
        <v>46022</v>
      </c>
      <c r="E88" t="inlineStr">
        <is>
          <t>3Y</t>
        </is>
      </c>
      <c r="F88" t="n">
        <v>19.11936486091217</v>
      </c>
      <c r="G88" t="n">
        <v>1.493305092303054</v>
      </c>
      <c r="H88" t="n">
        <v>1.085035519760158</v>
      </c>
      <c r="I88" t="n">
        <v>-17.62605976860912</v>
      </c>
      <c r="J88" t="n">
        <v>-18.03432934115201</v>
      </c>
      <c r="K88" t="inlineStr">
        <is>
          <t>South Korea|FLRK.L|3Y</t>
        </is>
      </c>
      <c r="L88" t="inlineStr">
        <is>
          <t>South Korea|3Y</t>
        </is>
      </c>
    </row>
    <row r="89">
      <c r="A89" t="inlineStr">
        <is>
          <t>South Korea</t>
        </is>
      </c>
      <c r="B89" t="inlineStr">
        <is>
          <t>KOR</t>
        </is>
      </c>
      <c r="C89" t="inlineStr">
        <is>
          <t>FLRK.L</t>
        </is>
      </c>
      <c r="D89" s="1" t="n">
        <v>46022</v>
      </c>
      <c r="E89" t="inlineStr">
        <is>
          <t>5Y</t>
        </is>
      </c>
      <c r="F89" t="n">
        <v>3.994291952869</v>
      </c>
      <c r="G89" t="n">
        <v>2.356949693623722</v>
      </c>
      <c r="H89" t="n">
        <v>1.275389793357129</v>
      </c>
      <c r="I89" t="n">
        <v>-1.637342259245278</v>
      </c>
      <c r="J89" t="n">
        <v>-2.718902159511871</v>
      </c>
      <c r="K89" t="inlineStr">
        <is>
          <t>South Korea|FLRK.L|5Y</t>
        </is>
      </c>
      <c r="L89" t="inlineStr">
        <is>
          <t>South Korea|5Y</t>
        </is>
      </c>
    </row>
    <row r="90">
      <c r="A90" t="inlineStr">
        <is>
          <t>Spain</t>
        </is>
      </c>
      <c r="B90" t="inlineStr">
        <is>
          <t>ESP</t>
        </is>
      </c>
      <c r="C90" t="inlineStr"/>
      <c r="D90" s="1" t="n">
        <v>46022</v>
      </c>
      <c r="E90" t="inlineStr">
        <is>
          <t>3Y</t>
        </is>
      </c>
      <c r="F90" t="inlineStr"/>
      <c r="G90" t="n">
        <v>2.940531049927553</v>
      </c>
      <c r="H90" t="n">
        <v>9.26235901856456</v>
      </c>
      <c r="I90" t="inlineStr"/>
      <c r="J90" t="inlineStr"/>
      <c r="K90" t="inlineStr">
        <is>
          <t>Spain||3Y</t>
        </is>
      </c>
      <c r="L90" t="inlineStr">
        <is>
          <t>Spain|3Y</t>
        </is>
      </c>
    </row>
    <row r="91">
      <c r="A91" t="inlineStr">
        <is>
          <t>Spain</t>
        </is>
      </c>
      <c r="B91" t="inlineStr">
        <is>
          <t>ESP</t>
        </is>
      </c>
      <c r="C91" t="inlineStr"/>
      <c r="D91" s="1" t="n">
        <v>46022</v>
      </c>
      <c r="E91" t="inlineStr">
        <is>
          <t>5Y</t>
        </is>
      </c>
      <c r="F91" t="inlineStr"/>
      <c r="G91" t="n">
        <v>4.360155714568359</v>
      </c>
      <c r="H91" t="n">
        <v>7.974584615464853</v>
      </c>
      <c r="I91" t="inlineStr"/>
      <c r="J91" t="inlineStr"/>
      <c r="K91" t="inlineStr">
        <is>
          <t>Spain||5Y</t>
        </is>
      </c>
      <c r="L91" t="inlineStr">
        <is>
          <t>Spain|5Y</t>
        </is>
      </c>
    </row>
    <row r="92">
      <c r="A92" t="inlineStr">
        <is>
          <t>Spain</t>
        </is>
      </c>
      <c r="B92" t="inlineStr">
        <is>
          <t>ESP</t>
        </is>
      </c>
      <c r="C92" t="inlineStr"/>
      <c r="D92" s="1" t="n">
        <v>46022</v>
      </c>
      <c r="E92" t="inlineStr">
        <is>
          <t>10Y</t>
        </is>
      </c>
      <c r="F92" t="inlineStr"/>
      <c r="G92" t="n">
        <v>1.998698218618267</v>
      </c>
      <c r="H92" t="n">
        <v>4.600222325606351</v>
      </c>
      <c r="I92" t="inlineStr"/>
      <c r="J92" t="inlineStr"/>
      <c r="K92" t="inlineStr">
        <is>
          <t>Spain||10Y</t>
        </is>
      </c>
      <c r="L92" t="inlineStr">
        <is>
          <t>Spain|10Y</t>
        </is>
      </c>
    </row>
    <row r="93">
      <c r="A93" t="inlineStr">
        <is>
          <t>Sweden</t>
        </is>
      </c>
      <c r="B93" t="inlineStr">
        <is>
          <t>SWE</t>
        </is>
      </c>
      <c r="C93" t="inlineStr"/>
      <c r="D93" s="1" t="n">
        <v>46022</v>
      </c>
      <c r="E93" t="inlineStr">
        <is>
          <t>3Y</t>
        </is>
      </c>
      <c r="F93" t="inlineStr"/>
      <c r="G93" t="n">
        <v>0.4542450414806831</v>
      </c>
      <c r="H93" t="n">
        <v>4.821015691858244</v>
      </c>
      <c r="I93" t="inlineStr"/>
      <c r="J93" t="inlineStr"/>
      <c r="K93" t="inlineStr">
        <is>
          <t>Sweden||3Y</t>
        </is>
      </c>
      <c r="L93" t="inlineStr">
        <is>
          <t>Sweden|3Y</t>
        </is>
      </c>
    </row>
    <row r="94">
      <c r="A94" t="inlineStr">
        <is>
          <t>Sweden</t>
        </is>
      </c>
      <c r="B94" t="inlineStr">
        <is>
          <t>SWE</t>
        </is>
      </c>
      <c r="C94" t="inlineStr"/>
      <c r="D94" s="1" t="n">
        <v>46022</v>
      </c>
      <c r="E94" t="inlineStr">
        <is>
          <t>5Y</t>
        </is>
      </c>
      <c r="F94" t="inlineStr"/>
      <c r="G94" t="n">
        <v>1.5520943328027</v>
      </c>
      <c r="H94" t="n">
        <v>4.004246220294672</v>
      </c>
      <c r="I94" t="inlineStr"/>
      <c r="J94" t="inlineStr"/>
      <c r="K94" t="inlineStr">
        <is>
          <t>Sweden||5Y</t>
        </is>
      </c>
      <c r="L94" t="inlineStr">
        <is>
          <t>Sweden|5Y</t>
        </is>
      </c>
    </row>
    <row r="95">
      <c r="A95" t="inlineStr">
        <is>
          <t>Sweden</t>
        </is>
      </c>
      <c r="B95" t="inlineStr">
        <is>
          <t>SWE</t>
        </is>
      </c>
      <c r="C95" t="inlineStr"/>
      <c r="D95" s="1" t="n">
        <v>46022</v>
      </c>
      <c r="E95" t="inlineStr">
        <is>
          <t>10Y</t>
        </is>
      </c>
      <c r="F95" t="inlineStr"/>
      <c r="G95" t="n">
        <v>1.415028937020568</v>
      </c>
      <c r="H95" t="n">
        <v>2.818373558130216</v>
      </c>
      <c r="I95" t="inlineStr"/>
      <c r="J95" t="inlineStr"/>
      <c r="K95" t="inlineStr">
        <is>
          <t>Sweden||10Y</t>
        </is>
      </c>
      <c r="L95" t="inlineStr">
        <is>
          <t>Sweden|10Y</t>
        </is>
      </c>
    </row>
    <row r="96">
      <c r="A96" t="inlineStr">
        <is>
          <t>Sweden</t>
        </is>
      </c>
      <c r="B96" t="inlineStr">
        <is>
          <t>SWE</t>
        </is>
      </c>
      <c r="C96" t="inlineStr">
        <is>
          <t>OMXS.L</t>
        </is>
      </c>
      <c r="D96" s="1" t="n">
        <v>46022</v>
      </c>
      <c r="E96" t="inlineStr">
        <is>
          <t>3Y</t>
        </is>
      </c>
      <c r="F96" t="n">
        <v>12.93013741432381</v>
      </c>
      <c r="G96" t="n">
        <v>0.4542450414806831</v>
      </c>
      <c r="H96" t="n">
        <v>4.821015691858244</v>
      </c>
      <c r="I96" t="n">
        <v>-12.47589237284312</v>
      </c>
      <c r="J96" t="n">
        <v>-8.109121722465563</v>
      </c>
      <c r="K96" t="inlineStr">
        <is>
          <t>Sweden|OMXS.L|3Y</t>
        </is>
      </c>
      <c r="L96" t="inlineStr">
        <is>
          <t>Sweden|3Y</t>
        </is>
      </c>
    </row>
    <row r="97">
      <c r="A97" t="inlineStr">
        <is>
          <t>Sweden</t>
        </is>
      </c>
      <c r="B97" t="inlineStr">
        <is>
          <t>SWE</t>
        </is>
      </c>
      <c r="C97" t="inlineStr">
        <is>
          <t>OMXS.L</t>
        </is>
      </c>
      <c r="D97" s="1" t="n">
        <v>46022</v>
      </c>
      <c r="E97" t="inlineStr">
        <is>
          <t>5Y</t>
        </is>
      </c>
      <c r="F97" t="n">
        <v>7.028618388520025</v>
      </c>
      <c r="G97" t="n">
        <v>1.5520943328027</v>
      </c>
      <c r="H97" t="n">
        <v>4.004246220294672</v>
      </c>
      <c r="I97" t="n">
        <v>-5.476524055717324</v>
      </c>
      <c r="J97" t="n">
        <v>-3.024372168225353</v>
      </c>
      <c r="K97" t="inlineStr">
        <is>
          <t>Sweden|OMXS.L|5Y</t>
        </is>
      </c>
      <c r="L97" t="inlineStr">
        <is>
          <t>Sweden|5Y</t>
        </is>
      </c>
    </row>
    <row r="98">
      <c r="A98" t="inlineStr">
        <is>
          <t>Sweden</t>
        </is>
      </c>
      <c r="B98" t="inlineStr">
        <is>
          <t>SWE</t>
        </is>
      </c>
      <c r="C98" t="inlineStr">
        <is>
          <t>OMXS.L</t>
        </is>
      </c>
      <c r="D98" s="1" t="n">
        <v>46022</v>
      </c>
      <c r="E98" t="inlineStr">
        <is>
          <t>10Y</t>
        </is>
      </c>
      <c r="F98" t="n">
        <v>-15.13095200124223</v>
      </c>
      <c r="G98" t="n">
        <v>1.415028937020568</v>
      </c>
      <c r="H98" t="n">
        <v>2.818373558130216</v>
      </c>
      <c r="I98" t="n">
        <v>16.54598093826279</v>
      </c>
      <c r="J98" t="n">
        <v>17.94932555937244</v>
      </c>
      <c r="K98" t="inlineStr">
        <is>
          <t>Sweden|OMXS.L|10Y</t>
        </is>
      </c>
      <c r="L98" t="inlineStr">
        <is>
          <t>Sweden|10Y</t>
        </is>
      </c>
    </row>
    <row r="99">
      <c r="A99" t="inlineStr">
        <is>
          <t>Taiwan</t>
        </is>
      </c>
      <c r="B99" t="inlineStr">
        <is>
          <t>TWN</t>
        </is>
      </c>
      <c r="C99" t="inlineStr"/>
      <c r="D99" s="1" t="n">
        <v>46022</v>
      </c>
      <c r="E99" t="inlineStr">
        <is>
          <t>3Y</t>
        </is>
      </c>
      <c r="F99" t="inlineStr"/>
      <c r="G99" t="n">
        <v>3.199286997583917</v>
      </c>
      <c r="H99" t="n">
        <v>4.924185071867271</v>
      </c>
      <c r="I99" t="inlineStr"/>
      <c r="J99" t="inlineStr"/>
      <c r="K99" t="inlineStr">
        <is>
          <t>Taiwan||3Y</t>
        </is>
      </c>
      <c r="L99" t="inlineStr">
        <is>
          <t>Taiwan|3Y</t>
        </is>
      </c>
    </row>
    <row r="100">
      <c r="A100" t="inlineStr">
        <is>
          <t>Taiwan</t>
        </is>
      </c>
      <c r="B100" t="inlineStr">
        <is>
          <t>TWN</t>
        </is>
      </c>
      <c r="C100" t="inlineStr"/>
      <c r="D100" s="1" t="n">
        <v>46022</v>
      </c>
      <c r="E100" t="inlineStr">
        <is>
          <t>5Y</t>
        </is>
      </c>
      <c r="F100" t="inlineStr"/>
      <c r="G100" t="n">
        <v>3.790053779043401</v>
      </c>
      <c r="H100" t="n">
        <v>5.494197356395891</v>
      </c>
      <c r="I100" t="inlineStr"/>
      <c r="J100" t="inlineStr"/>
      <c r="K100" t="inlineStr">
        <is>
          <t>Taiwan||5Y</t>
        </is>
      </c>
      <c r="L100" t="inlineStr">
        <is>
          <t>Taiwan|5Y</t>
        </is>
      </c>
    </row>
    <row r="101">
      <c r="A101" t="inlineStr">
        <is>
          <t>Taiwan</t>
        </is>
      </c>
      <c r="B101" t="inlineStr">
        <is>
          <t>TWN</t>
        </is>
      </c>
      <c r="C101" t="inlineStr"/>
      <c r="D101" s="1" t="n">
        <v>46022</v>
      </c>
      <c r="E101" t="inlineStr">
        <is>
          <t>10Y</t>
        </is>
      </c>
      <c r="F101" t="inlineStr"/>
      <c r="G101" t="n">
        <v>3.414407627179994</v>
      </c>
      <c r="H101" t="n">
        <v>5.164278093211339</v>
      </c>
      <c r="I101" t="inlineStr"/>
      <c r="J101" t="inlineStr"/>
      <c r="K101" t="inlineStr">
        <is>
          <t>Taiwan||10Y</t>
        </is>
      </c>
      <c r="L101" t="inlineStr">
        <is>
          <t>Taiwan|10Y</t>
        </is>
      </c>
    </row>
    <row r="102">
      <c r="A102" t="inlineStr">
        <is>
          <t>Taiwan</t>
        </is>
      </c>
      <c r="B102" t="inlineStr">
        <is>
          <t>TWN</t>
        </is>
      </c>
      <c r="C102" t="inlineStr">
        <is>
          <t>FRXT.L</t>
        </is>
      </c>
      <c r="D102" s="1" t="n">
        <v>46022</v>
      </c>
      <c r="E102" t="inlineStr">
        <is>
          <t>3Y</t>
        </is>
      </c>
      <c r="F102" t="n">
        <v>24.19024373671219</v>
      </c>
      <c r="G102" t="n">
        <v>3.199286997583917</v>
      </c>
      <c r="H102" t="n">
        <v>4.924185071867271</v>
      </c>
      <c r="I102" t="n">
        <v>-20.99095673912827</v>
      </c>
      <c r="J102" t="n">
        <v>-19.26605866484492</v>
      </c>
      <c r="K102" t="inlineStr">
        <is>
          <t>Taiwan|FRXT.L|3Y</t>
        </is>
      </c>
      <c r="L102" t="inlineStr">
        <is>
          <t>Taiwan|3Y</t>
        </is>
      </c>
    </row>
    <row r="103">
      <c r="A103" t="inlineStr">
        <is>
          <t>Taiwan</t>
        </is>
      </c>
      <c r="B103" t="inlineStr">
        <is>
          <t>TWN</t>
        </is>
      </c>
      <c r="C103" t="inlineStr">
        <is>
          <t>XMTW.L</t>
        </is>
      </c>
      <c r="D103" s="1" t="n">
        <v>46022</v>
      </c>
      <c r="E103" t="inlineStr">
        <is>
          <t>3Y</t>
        </is>
      </c>
      <c r="F103" t="n">
        <v>23.50987090228076</v>
      </c>
      <c r="G103" t="n">
        <v>3.199286997583917</v>
      </c>
      <c r="H103" t="n">
        <v>4.924185071867271</v>
      </c>
      <c r="I103" t="n">
        <v>-20.31058390469684</v>
      </c>
      <c r="J103" t="n">
        <v>-18.58568583041349</v>
      </c>
      <c r="K103" t="inlineStr">
        <is>
          <t>Taiwan|XMTW.L|3Y</t>
        </is>
      </c>
      <c r="L103" t="inlineStr">
        <is>
          <t>Taiwan|3Y</t>
        </is>
      </c>
    </row>
    <row r="104">
      <c r="A104" t="inlineStr">
        <is>
          <t>Taiwan</t>
        </is>
      </c>
      <c r="B104" t="inlineStr">
        <is>
          <t>TWN</t>
        </is>
      </c>
      <c r="C104" t="inlineStr">
        <is>
          <t>XMTW.L</t>
        </is>
      </c>
      <c r="D104" s="1" t="n">
        <v>46022</v>
      </c>
      <c r="E104" t="inlineStr">
        <is>
          <t>5Y</t>
        </is>
      </c>
      <c r="F104" t="n">
        <v>13.63714029869942</v>
      </c>
      <c r="G104" t="n">
        <v>3.790053779043401</v>
      </c>
      <c r="H104" t="n">
        <v>5.494197356395891</v>
      </c>
      <c r="I104" t="n">
        <v>-9.847086519656024</v>
      </c>
      <c r="J104" t="n">
        <v>-8.142942942303534</v>
      </c>
      <c r="K104" t="inlineStr">
        <is>
          <t>Taiwan|XMTW.L|5Y</t>
        </is>
      </c>
      <c r="L104" t="inlineStr">
        <is>
          <t>Taiwan|5Y</t>
        </is>
      </c>
    </row>
    <row r="105">
      <c r="A105" t="inlineStr">
        <is>
          <t>Taiwan</t>
        </is>
      </c>
      <c r="B105" t="inlineStr">
        <is>
          <t>TWN</t>
        </is>
      </c>
      <c r="C105" t="inlineStr">
        <is>
          <t>XMTW.L</t>
        </is>
      </c>
      <c r="D105" s="1" t="n">
        <v>46022</v>
      </c>
      <c r="E105" t="inlineStr">
        <is>
          <t>10Y</t>
        </is>
      </c>
      <c r="F105" t="n">
        <v>18.54747320106178</v>
      </c>
      <c r="G105" t="n">
        <v>3.414407627179994</v>
      </c>
      <c r="H105" t="n">
        <v>5.164278093211339</v>
      </c>
      <c r="I105" t="n">
        <v>-15.13306557388179</v>
      </c>
      <c r="J105" t="n">
        <v>-13.38319510785044</v>
      </c>
      <c r="K105" t="inlineStr">
        <is>
          <t>Taiwan|XMTW.L|10Y</t>
        </is>
      </c>
      <c r="L105" t="inlineStr">
        <is>
          <t>Taiwan|10Y</t>
        </is>
      </c>
    </row>
    <row r="106">
      <c r="A106" t="inlineStr">
        <is>
          <t>Thailand</t>
        </is>
      </c>
      <c r="B106" t="inlineStr">
        <is>
          <t>THA</t>
        </is>
      </c>
      <c r="C106" t="inlineStr"/>
      <c r="D106" s="1" t="n">
        <v>46022</v>
      </c>
      <c r="E106" t="inlineStr">
        <is>
          <t>3Y</t>
        </is>
      </c>
      <c r="F106" t="inlineStr"/>
      <c r="G106" t="n">
        <v>2.182688480328676</v>
      </c>
      <c r="H106" t="n">
        <v>4.06461227936048</v>
      </c>
      <c r="I106" t="inlineStr"/>
      <c r="J106" t="inlineStr"/>
      <c r="K106" t="inlineStr">
        <is>
          <t>Thailand||3Y</t>
        </is>
      </c>
      <c r="L106" t="inlineStr">
        <is>
          <t>Thailand|3Y</t>
        </is>
      </c>
    </row>
    <row r="107">
      <c r="A107" t="inlineStr">
        <is>
          <t>Thailand</t>
        </is>
      </c>
      <c r="B107" t="inlineStr">
        <is>
          <t>THA</t>
        </is>
      </c>
      <c r="C107" t="inlineStr"/>
      <c r="D107" s="1" t="n">
        <v>46022</v>
      </c>
      <c r="E107" t="inlineStr">
        <is>
          <t>5Y</t>
        </is>
      </c>
      <c r="F107" t="inlineStr"/>
      <c r="G107" t="n">
        <v>2.142824827726608</v>
      </c>
      <c r="H107" t="n">
        <v>2.221386476761178</v>
      </c>
      <c r="I107" t="inlineStr"/>
      <c r="J107" t="inlineStr"/>
      <c r="K107" t="inlineStr">
        <is>
          <t>Thailand||5Y</t>
        </is>
      </c>
      <c r="L107" t="inlineStr">
        <is>
          <t>Thailand|5Y</t>
        </is>
      </c>
    </row>
    <row r="108">
      <c r="A108" t="inlineStr">
        <is>
          <t>Thailand</t>
        </is>
      </c>
      <c r="B108" t="inlineStr">
        <is>
          <t>THA</t>
        </is>
      </c>
      <c r="C108" t="inlineStr"/>
      <c r="D108" s="1" t="n">
        <v>46022</v>
      </c>
      <c r="E108" t="inlineStr">
        <is>
          <t>10Y</t>
        </is>
      </c>
      <c r="F108" t="inlineStr"/>
      <c r="G108" t="n">
        <v>1.822387316345764</v>
      </c>
      <c r="H108" t="n">
        <v>3.362144523071686</v>
      </c>
      <c r="I108" t="inlineStr"/>
      <c r="J108" t="inlineStr"/>
      <c r="K108" t="inlineStr">
        <is>
          <t>Thailand||10Y</t>
        </is>
      </c>
      <c r="L108" t="inlineStr">
        <is>
          <t>Thailand|10Y</t>
        </is>
      </c>
    </row>
    <row r="109">
      <c r="A109" t="inlineStr">
        <is>
          <t>Thailand</t>
        </is>
      </c>
      <c r="B109" t="inlineStr">
        <is>
          <t>THA</t>
        </is>
      </c>
      <c r="C109" t="inlineStr">
        <is>
          <t>XCX4.L</t>
        </is>
      </c>
      <c r="D109" s="1" t="n">
        <v>46022</v>
      </c>
      <c r="E109" t="inlineStr">
        <is>
          <t>3Y</t>
        </is>
      </c>
      <c r="F109" t="n">
        <v>-5.724436007445344</v>
      </c>
      <c r="G109" t="n">
        <v>2.182688480328676</v>
      </c>
      <c r="H109" t="n">
        <v>4.06461227936048</v>
      </c>
      <c r="I109" t="n">
        <v>7.90712448777402</v>
      </c>
      <c r="J109" t="n">
        <v>9.789048286805823</v>
      </c>
      <c r="K109" t="inlineStr">
        <is>
          <t>Thailand|XCX4.L|3Y</t>
        </is>
      </c>
      <c r="L109" t="inlineStr">
        <is>
          <t>Thailand|3Y</t>
        </is>
      </c>
    </row>
    <row r="110">
      <c r="A110" t="inlineStr">
        <is>
          <t>Thailand</t>
        </is>
      </c>
      <c r="B110" t="inlineStr">
        <is>
          <t>THA</t>
        </is>
      </c>
      <c r="C110" t="inlineStr">
        <is>
          <t>XCX4.L</t>
        </is>
      </c>
      <c r="D110" s="1" t="n">
        <v>46022</v>
      </c>
      <c r="E110" t="inlineStr">
        <is>
          <t>5Y</t>
        </is>
      </c>
      <c r="F110" t="n">
        <v>-0.4971390837153478</v>
      </c>
      <c r="G110" t="n">
        <v>2.142824827726608</v>
      </c>
      <c r="H110" t="n">
        <v>2.221386476761178</v>
      </c>
      <c r="I110" t="n">
        <v>2.639963911441956</v>
      </c>
      <c r="J110" t="n">
        <v>2.718525560476526</v>
      </c>
      <c r="K110" t="inlineStr">
        <is>
          <t>Thailand|XCX4.L|5Y</t>
        </is>
      </c>
      <c r="L110" t="inlineStr">
        <is>
          <t>Thailand|5Y</t>
        </is>
      </c>
    </row>
    <row r="111">
      <c r="A111" t="inlineStr">
        <is>
          <t>Thailand</t>
        </is>
      </c>
      <c r="B111" t="inlineStr">
        <is>
          <t>THA</t>
        </is>
      </c>
      <c r="C111" t="inlineStr">
        <is>
          <t>XCX4.L</t>
        </is>
      </c>
      <c r="D111" s="1" t="n">
        <v>46022</v>
      </c>
      <c r="E111" t="inlineStr">
        <is>
          <t>10Y</t>
        </is>
      </c>
      <c r="F111" t="n">
        <v>5.432630725851206</v>
      </c>
      <c r="G111" t="n">
        <v>1.822387316345764</v>
      </c>
      <c r="H111" t="n">
        <v>3.362144523071686</v>
      </c>
      <c r="I111" t="n">
        <v>-3.610243409505443</v>
      </c>
      <c r="J111" t="n">
        <v>-2.07048620277952</v>
      </c>
      <c r="K111" t="inlineStr">
        <is>
          <t>Thailand|XCX4.L|10Y</t>
        </is>
      </c>
      <c r="L111" t="inlineStr">
        <is>
          <t>Thailand|10Y</t>
        </is>
      </c>
    </row>
    <row r="112">
      <c r="A112" t="inlineStr">
        <is>
          <t>Turkey</t>
        </is>
      </c>
      <c r="B112" t="inlineStr">
        <is>
          <t>TUR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3.95280050096356</v>
      </c>
      <c r="H112" t="n">
        <v>19.18087843836862</v>
      </c>
      <c r="I112" t="inlineStr"/>
      <c r="J112" t="inlineStr"/>
      <c r="K112" t="inlineStr">
        <is>
          <t>Turkey||3Y</t>
        </is>
      </c>
      <c r="L112" t="inlineStr">
        <is>
          <t>Turkey|3Y</t>
        </is>
      </c>
    </row>
    <row r="113">
      <c r="A113" t="inlineStr">
        <is>
          <t>Turkey</t>
        </is>
      </c>
      <c r="B113" t="inlineStr">
        <is>
          <t>TUR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5.77926032137992</v>
      </c>
      <c r="H113" t="n">
        <v>16.47249888199764</v>
      </c>
      <c r="I113" t="inlineStr"/>
      <c r="J113" t="inlineStr"/>
      <c r="K113" t="inlineStr">
        <is>
          <t>Turkey||5Y</t>
        </is>
      </c>
      <c r="L113" t="inlineStr">
        <is>
          <t>Turkey|5Y</t>
        </is>
      </c>
    </row>
    <row r="114">
      <c r="A114" t="inlineStr">
        <is>
          <t>Turkey</t>
        </is>
      </c>
      <c r="B114" t="inlineStr">
        <is>
          <t>TUR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4.643244943240665</v>
      </c>
      <c r="H114" t="n">
        <v>6.072382672649201</v>
      </c>
      <c r="I114" t="inlineStr"/>
      <c r="J114" t="inlineStr"/>
      <c r="K114" t="inlineStr">
        <is>
          <t>Turkey||10Y</t>
        </is>
      </c>
      <c r="L114" t="inlineStr">
        <is>
          <t>Turkey|10Y</t>
        </is>
      </c>
    </row>
    <row r="115">
      <c r="A115" t="inlineStr">
        <is>
          <t>Turkey</t>
        </is>
      </c>
      <c r="B115" t="inlineStr">
        <is>
          <t>TUR</t>
        </is>
      </c>
      <c r="C115" t="inlineStr">
        <is>
          <t>TURL.L</t>
        </is>
      </c>
      <c r="D115" s="1" t="n">
        <v>46022</v>
      </c>
      <c r="E115" t="inlineStr">
        <is>
          <t>3Y</t>
        </is>
      </c>
      <c r="F115" t="n">
        <v>-7.103436841404709</v>
      </c>
      <c r="G115" t="n">
        <v>3.95280050096356</v>
      </c>
      <c r="H115" t="n">
        <v>19.18087843836862</v>
      </c>
      <c r="I115" t="n">
        <v>11.05623734236827</v>
      </c>
      <c r="J115" t="n">
        <v>26.28431527977333</v>
      </c>
      <c r="K115" t="inlineStr">
        <is>
          <t>Turkey|TURL.L|3Y</t>
        </is>
      </c>
      <c r="L115" t="inlineStr">
        <is>
          <t>Turkey|3Y</t>
        </is>
      </c>
    </row>
    <row r="116">
      <c r="A116" t="inlineStr">
        <is>
          <t>Turkey</t>
        </is>
      </c>
      <c r="B116" t="inlineStr">
        <is>
          <t>TUR</t>
        </is>
      </c>
      <c r="C116" t="inlineStr">
        <is>
          <t>TURL.L</t>
        </is>
      </c>
      <c r="D116" s="1" t="n">
        <v>46022</v>
      </c>
      <c r="E116" t="inlineStr">
        <is>
          <t>5Y</t>
        </is>
      </c>
      <c r="F116" t="n">
        <v>5.013211641654847</v>
      </c>
      <c r="G116" t="n">
        <v>5.77926032137992</v>
      </c>
      <c r="H116" t="n">
        <v>16.47249888199764</v>
      </c>
      <c r="I116" t="n">
        <v>0.7660486797250732</v>
      </c>
      <c r="J116" t="n">
        <v>11.4592872403428</v>
      </c>
      <c r="K116" t="inlineStr">
        <is>
          <t>Turkey|TURL.L|5Y</t>
        </is>
      </c>
      <c r="L116" t="inlineStr">
        <is>
          <t>Turkey|5Y</t>
        </is>
      </c>
    </row>
    <row r="117">
      <c r="A117" t="inlineStr">
        <is>
          <t>Turkey</t>
        </is>
      </c>
      <c r="B117" t="inlineStr">
        <is>
          <t>TUR</t>
        </is>
      </c>
      <c r="C117" t="inlineStr">
        <is>
          <t>TURL.L</t>
        </is>
      </c>
      <c r="D117" s="1" t="n">
        <v>46022</v>
      </c>
      <c r="E117" t="inlineStr">
        <is>
          <t>10Y</t>
        </is>
      </c>
      <c r="F117" t="n">
        <v>-2.500003770955272</v>
      </c>
      <c r="G117" t="n">
        <v>4.643244943240665</v>
      </c>
      <c r="H117" t="n">
        <v>6.072382672649201</v>
      </c>
      <c r="I117" t="n">
        <v>7.143248714195938</v>
      </c>
      <c r="J117" t="n">
        <v>8.572386443604474</v>
      </c>
      <c r="K117" t="inlineStr">
        <is>
          <t>Turkey|TURL.L|10Y</t>
        </is>
      </c>
      <c r="L117" t="inlineStr">
        <is>
          <t>Turkey|10Y</t>
        </is>
      </c>
    </row>
    <row r="118">
      <c r="A118" t="inlineStr">
        <is>
          <t>United Kingdom</t>
        </is>
      </c>
      <c r="B118" t="inlineStr">
        <is>
          <t>GBR</t>
        </is>
      </c>
      <c r="C118" t="inlineStr"/>
      <c r="D118" s="1" t="n">
        <v>46022</v>
      </c>
      <c r="E118" t="inlineStr">
        <is>
          <t>3Y</t>
        </is>
      </c>
      <c r="F118" t="inlineStr"/>
      <c r="G118" t="n">
        <v>0.934579070475805</v>
      </c>
      <c r="H118" t="n">
        <v>8.197792806603864</v>
      </c>
      <c r="I118" t="inlineStr"/>
      <c r="J118" t="inlineStr"/>
      <c r="K118" t="inlineStr">
        <is>
          <t>United Kingdom||3Y</t>
        </is>
      </c>
      <c r="L118" t="inlineStr">
        <is>
          <t>United Kingdom|3Y</t>
        </is>
      </c>
    </row>
    <row r="119">
      <c r="A119" t="inlineStr">
        <is>
          <t>United Kingdom</t>
        </is>
      </c>
      <c r="B119" t="inlineStr">
        <is>
          <t>GBR</t>
        </is>
      </c>
      <c r="C119" t="inlineStr"/>
      <c r="D119" s="1" t="n">
        <v>46022</v>
      </c>
      <c r="E119" t="inlineStr">
        <is>
          <t>5Y</t>
        </is>
      </c>
      <c r="F119" t="inlineStr"/>
      <c r="G119" t="n">
        <v>3.198961574222303</v>
      </c>
      <c r="H119" t="n">
        <v>7.964552917353718</v>
      </c>
      <c r="I119" t="inlineStr"/>
      <c r="J119" t="inlineStr"/>
      <c r="K119" t="inlineStr">
        <is>
          <t>United Kingdom||5Y</t>
        </is>
      </c>
      <c r="L119" t="inlineStr">
        <is>
          <t>United Kingdom|5Y</t>
        </is>
      </c>
    </row>
    <row r="120">
      <c r="A120" t="inlineStr">
        <is>
          <t>United Kingdom</t>
        </is>
      </c>
      <c r="B120" t="inlineStr">
        <is>
          <t>GBR</t>
        </is>
      </c>
      <c r="C120" t="inlineStr"/>
      <c r="D120" s="1" t="n">
        <v>46022</v>
      </c>
      <c r="E120" t="inlineStr">
        <is>
          <t>10Y</t>
        </is>
      </c>
      <c r="F120" t="inlineStr"/>
      <c r="G120" t="n">
        <v>1.248728139241617</v>
      </c>
      <c r="H120" t="n">
        <v>3.060146113533135</v>
      </c>
      <c r="I120" t="inlineStr"/>
      <c r="J120" t="inlineStr"/>
      <c r="K120" t="inlineStr">
        <is>
          <t>United Kingdom||10Y</t>
        </is>
      </c>
      <c r="L120" t="inlineStr">
        <is>
          <t>United Kingdom|10Y</t>
        </is>
      </c>
    </row>
    <row r="121">
      <c r="A121" t="inlineStr">
        <is>
          <t>United Kingdom</t>
        </is>
      </c>
      <c r="B121" t="inlineStr">
        <is>
          <t>GBR</t>
        </is>
      </c>
      <c r="C121" t="inlineStr">
        <is>
          <t>CSUK.L</t>
        </is>
      </c>
      <c r="D121" s="1" t="n">
        <v>46022</v>
      </c>
      <c r="E121" t="inlineStr">
        <is>
          <t>3Y</t>
        </is>
      </c>
      <c r="F121" t="n">
        <v>12.95331229270806</v>
      </c>
      <c r="G121" t="n">
        <v>0.934579070475805</v>
      </c>
      <c r="H121" t="n">
        <v>8.197792806603864</v>
      </c>
      <c r="I121" t="n">
        <v>-12.01873322223226</v>
      </c>
      <c r="J121" t="n">
        <v>-4.755519486104198</v>
      </c>
      <c r="K121" t="inlineStr">
        <is>
          <t>United Kingdom|CSUK.L|3Y</t>
        </is>
      </c>
      <c r="L121" t="inlineStr">
        <is>
          <t>United Kingdom|3Y</t>
        </is>
      </c>
    </row>
    <row r="122">
      <c r="A122" t="inlineStr">
        <is>
          <t>United Kingdom</t>
        </is>
      </c>
      <c r="B122" t="inlineStr">
        <is>
          <t>GBR</t>
        </is>
      </c>
      <c r="C122" t="inlineStr">
        <is>
          <t>CSUK.L</t>
        </is>
      </c>
      <c r="D122" s="1" t="n">
        <v>46022</v>
      </c>
      <c r="E122" t="inlineStr">
        <is>
          <t>5Y</t>
        </is>
      </c>
      <c r="F122" t="n">
        <v>12.70226452269452</v>
      </c>
      <c r="G122" t="n">
        <v>3.198961574222303</v>
      </c>
      <c r="H122" t="n">
        <v>7.964552917353718</v>
      </c>
      <c r="I122" t="n">
        <v>-9.503302948472214</v>
      </c>
      <c r="J122" t="n">
        <v>-4.737711605340799</v>
      </c>
      <c r="K122" t="inlineStr">
        <is>
          <t>United Kingdom|CSUK.L|5Y</t>
        </is>
      </c>
      <c r="L122" t="inlineStr">
        <is>
          <t>United Kingdom|5Y</t>
        </is>
      </c>
    </row>
    <row r="123">
      <c r="A123" t="inlineStr">
        <is>
          <t>United Kingdom</t>
        </is>
      </c>
      <c r="B123" t="inlineStr">
        <is>
          <t>GBR</t>
        </is>
      </c>
      <c r="C123" t="inlineStr">
        <is>
          <t>CSUK.L</t>
        </is>
      </c>
      <c r="D123" s="1" t="n">
        <v>46022</v>
      </c>
      <c r="E123" t="inlineStr">
        <is>
          <t>10Y</t>
        </is>
      </c>
      <c r="F123" t="n">
        <v>8.673561938778839</v>
      </c>
      <c r="G123" t="n">
        <v>1.248728139241617</v>
      </c>
      <c r="H123" t="n">
        <v>3.060146113533135</v>
      </c>
      <c r="I123" t="n">
        <v>-7.424833799537222</v>
      </c>
      <c r="J123" t="n">
        <v>-5.613415825245704</v>
      </c>
      <c r="K123" t="inlineStr">
        <is>
          <t>United Kingdom|CSUK.L|10Y</t>
        </is>
      </c>
      <c r="L123" t="inlineStr">
        <is>
          <t>United Kingdom|10Y</t>
        </is>
      </c>
    </row>
    <row r="124">
      <c r="A124" t="inlineStr">
        <is>
          <t>United Kingdom</t>
        </is>
      </c>
      <c r="B124" t="inlineStr">
        <is>
          <t>GBR</t>
        </is>
      </c>
      <c r="C124" t="inlineStr">
        <is>
          <t>CUKX.L</t>
        </is>
      </c>
      <c r="D124" s="1" t="n">
        <v>46022</v>
      </c>
      <c r="E124" t="inlineStr">
        <is>
          <t>3Y</t>
        </is>
      </c>
      <c r="F124" t="n">
        <v>13.57919751825567</v>
      </c>
      <c r="G124" t="n">
        <v>0.934579070475805</v>
      </c>
      <c r="H124" t="n">
        <v>8.197792806603864</v>
      </c>
      <c r="I124" t="n">
        <v>-12.64461844777987</v>
      </c>
      <c r="J124" t="n">
        <v>-5.381404711651806</v>
      </c>
      <c r="K124" t="inlineStr">
        <is>
          <t>United Kingdom|CUKX.L|3Y</t>
        </is>
      </c>
      <c r="L124" t="inlineStr">
        <is>
          <t>United Kingdom|3Y</t>
        </is>
      </c>
    </row>
    <row r="125">
      <c r="A125" t="inlineStr">
        <is>
          <t>United Kingdom</t>
        </is>
      </c>
      <c r="B125" t="inlineStr">
        <is>
          <t>GBR</t>
        </is>
      </c>
      <c r="C125" t="inlineStr">
        <is>
          <t>CUKX.L</t>
        </is>
      </c>
      <c r="D125" s="1" t="n">
        <v>46022</v>
      </c>
      <c r="E125" t="inlineStr">
        <is>
          <t>5Y</t>
        </is>
      </c>
      <c r="F125" t="n">
        <v>12.44757739417313</v>
      </c>
      <c r="G125" t="n">
        <v>3.198961574222303</v>
      </c>
      <c r="H125" t="n">
        <v>7.964552917353718</v>
      </c>
      <c r="I125" t="n">
        <v>-9.248615819950825</v>
      </c>
      <c r="J125" t="n">
        <v>-4.483024476819409</v>
      </c>
      <c r="K125" t="inlineStr">
        <is>
          <t>United Kingdom|CUKX.L|5Y</t>
        </is>
      </c>
      <c r="L125" t="inlineStr">
        <is>
          <t>United Kingdom|5Y</t>
        </is>
      </c>
    </row>
    <row r="126">
      <c r="A126" t="inlineStr">
        <is>
          <t>United Kingdom</t>
        </is>
      </c>
      <c r="B126" t="inlineStr">
        <is>
          <t>GBR</t>
        </is>
      </c>
      <c r="C126" t="inlineStr">
        <is>
          <t>CUKX.L</t>
        </is>
      </c>
      <c r="D126" s="1" t="n">
        <v>46022</v>
      </c>
      <c r="E126" t="inlineStr">
        <is>
          <t>10Y</t>
        </is>
      </c>
      <c r="F126" t="n">
        <v>9.021526998775343</v>
      </c>
      <c r="G126" t="n">
        <v>1.248728139241617</v>
      </c>
      <c r="H126" t="n">
        <v>3.060146113533135</v>
      </c>
      <c r="I126" t="n">
        <v>-7.772798859533726</v>
      </c>
      <c r="J126" t="n">
        <v>-5.961380885242208</v>
      </c>
      <c r="K126" t="inlineStr">
        <is>
          <t>United Kingdom|CUKX.L|10Y</t>
        </is>
      </c>
      <c r="L126" t="inlineStr">
        <is>
          <t>United Kingdom|10Y</t>
        </is>
      </c>
    </row>
    <row r="127">
      <c r="A127" t="inlineStr">
        <is>
          <t>United States</t>
        </is>
      </c>
      <c r="B127" t="inlineStr">
        <is>
          <t>USA</t>
        </is>
      </c>
      <c r="C127" t="inlineStr"/>
      <c r="D127" s="1" t="n">
        <v>46022</v>
      </c>
      <c r="E127" t="inlineStr">
        <is>
          <t>3Y</t>
        </is>
      </c>
      <c r="F127" t="inlineStr"/>
      <c r="G127" t="n">
        <v>2.580871884428859</v>
      </c>
      <c r="H127" t="n">
        <v>5.524539071077084</v>
      </c>
      <c r="I127" t="inlineStr"/>
      <c r="J127" t="inlineStr"/>
      <c r="K127" t="inlineStr">
        <is>
          <t>United States||3Y</t>
        </is>
      </c>
      <c r="L127" t="inlineStr">
        <is>
          <t>United States|3Y</t>
        </is>
      </c>
    </row>
    <row r="128">
      <c r="A128" t="inlineStr">
        <is>
          <t>United States</t>
        </is>
      </c>
      <c r="B128" t="inlineStr">
        <is>
          <t>USA</t>
        </is>
      </c>
      <c r="C128" t="inlineStr"/>
      <c r="D128" s="1" t="n">
        <v>46022</v>
      </c>
      <c r="E128" t="inlineStr">
        <is>
          <t>5Y</t>
        </is>
      </c>
      <c r="F128" t="inlineStr"/>
      <c r="G128" t="n">
        <v>3.273899606073449</v>
      </c>
      <c r="H128" t="n">
        <v>7.450048996640191</v>
      </c>
      <c r="I128" t="inlineStr"/>
      <c r="J128" t="inlineStr"/>
      <c r="K128" t="inlineStr">
        <is>
          <t>United States||5Y</t>
        </is>
      </c>
      <c r="L128" t="inlineStr">
        <is>
          <t>United States|5Y</t>
        </is>
      </c>
    </row>
    <row r="129">
      <c r="A129" t="inlineStr">
        <is>
          <t>United States</t>
        </is>
      </c>
      <c r="B129" t="inlineStr">
        <is>
          <t>USA</t>
        </is>
      </c>
      <c r="C129" t="inlineStr"/>
      <c r="D129" s="1" t="n">
        <v>46022</v>
      </c>
      <c r="E129" t="inlineStr">
        <is>
          <t>10Y</t>
        </is>
      </c>
      <c r="F129" t="inlineStr"/>
      <c r="G129" t="n">
        <v>2.399456279066103</v>
      </c>
      <c r="H129" t="n">
        <v>5.283724060684203</v>
      </c>
      <c r="I129" t="inlineStr"/>
      <c r="J129" t="inlineStr"/>
      <c r="K129" t="inlineStr">
        <is>
          <t>United States||10Y</t>
        </is>
      </c>
      <c r="L129" t="inlineStr">
        <is>
          <t>United States|10Y</t>
        </is>
      </c>
    </row>
    <row r="130">
      <c r="A130" t="inlineStr">
        <is>
          <t>United States</t>
        </is>
      </c>
      <c r="B130" t="inlineStr">
        <is>
          <t>USA</t>
        </is>
      </c>
      <c r="C130" t="inlineStr">
        <is>
          <t>SPXL.L</t>
        </is>
      </c>
      <c r="D130" s="1" t="n">
        <v>46022</v>
      </c>
      <c r="E130" t="inlineStr">
        <is>
          <t>3Y</t>
        </is>
      </c>
      <c r="F130" t="n">
        <v>7.734577634027251</v>
      </c>
      <c r="G130" t="n">
        <v>2.580871884428859</v>
      </c>
      <c r="H130" t="n">
        <v>5.524539071077084</v>
      </c>
      <c r="I130" t="n">
        <v>-5.153705749598392</v>
      </c>
      <c r="J130" t="n">
        <v>-2.210038562950167</v>
      </c>
      <c r="K130" t="inlineStr">
        <is>
          <t>United States|SPXL.L|3Y</t>
        </is>
      </c>
      <c r="L130" t="inlineStr">
        <is>
          <t>United States|3Y</t>
        </is>
      </c>
    </row>
    <row r="131">
      <c r="A131" t="inlineStr">
        <is>
          <t>Vietnam</t>
        </is>
      </c>
      <c r="B131" t="inlineStr">
        <is>
          <t>VNM</t>
        </is>
      </c>
      <c r="C131" t="inlineStr"/>
      <c r="D131" s="1" t="n">
        <v>46022</v>
      </c>
      <c r="E131" t="inlineStr">
        <is>
          <t>3Y</t>
        </is>
      </c>
      <c r="F131" t="inlineStr"/>
      <c r="G131" t="n">
        <v>6.200954667276259</v>
      </c>
      <c r="H131" t="n">
        <v>5.647902927923876</v>
      </c>
      <c r="I131" t="inlineStr"/>
      <c r="J131" t="inlineStr"/>
      <c r="K131" t="inlineStr">
        <is>
          <t>Vietnam||3Y</t>
        </is>
      </c>
      <c r="L131" t="inlineStr">
        <is>
          <t>Vietnam|3Y</t>
        </is>
      </c>
    </row>
    <row r="132">
      <c r="A132" t="inlineStr">
        <is>
          <t>Vietnam</t>
        </is>
      </c>
      <c r="B132" t="inlineStr">
        <is>
          <t>VNM</t>
        </is>
      </c>
      <c r="C132" t="inlineStr"/>
      <c r="D132" s="1" t="n">
        <v>46022</v>
      </c>
      <c r="E132" t="inlineStr">
        <is>
          <t>5Y</t>
        </is>
      </c>
      <c r="F132" t="inlineStr"/>
      <c r="G132" t="n">
        <v>5.92145460004414</v>
      </c>
      <c r="H132" t="n">
        <v>6.956271913500278</v>
      </c>
      <c r="I132" t="inlineStr"/>
      <c r="J132" t="inlineStr"/>
      <c r="K132" t="inlineStr">
        <is>
          <t>Vietnam||5Y</t>
        </is>
      </c>
      <c r="L132" t="inlineStr">
        <is>
          <t>Vietnam|5Y</t>
        </is>
      </c>
    </row>
    <row r="133">
      <c r="A133" t="inlineStr">
        <is>
          <t>Vietnam</t>
        </is>
      </c>
      <c r="B133" t="inlineStr">
        <is>
          <t>VNM</t>
        </is>
      </c>
      <c r="C133" t="inlineStr"/>
      <c r="D133" s="1" t="n">
        <v>46022</v>
      </c>
      <c r="E133" t="inlineStr">
        <is>
          <t>10Y</t>
        </is>
      </c>
      <c r="F133" t="inlineStr"/>
      <c r="G133" t="n">
        <v>6.085412813467572</v>
      </c>
      <c r="H133" t="n">
        <v>7.426735577916199</v>
      </c>
      <c r="I133" t="inlineStr"/>
      <c r="J133" t="inlineStr"/>
      <c r="K133" t="inlineStr">
        <is>
          <t>Vietnam||10Y</t>
        </is>
      </c>
      <c r="L133" t="inlineStr">
        <is>
          <t>Vietnam|10Y</t>
        </is>
      </c>
    </row>
    <row r="134">
      <c r="A134" t="inlineStr">
        <is>
          <t>Vietnam</t>
        </is>
      </c>
      <c r="B134" t="inlineStr">
        <is>
          <t>VNM</t>
        </is>
      </c>
      <c r="C134" t="inlineStr">
        <is>
          <t>XFVT.L</t>
        </is>
      </c>
      <c r="D134" s="1" t="n">
        <v>46022</v>
      </c>
      <c r="E134" t="inlineStr">
        <is>
          <t>3Y</t>
        </is>
      </c>
      <c r="F134" t="n">
        <v>10.62626282053494</v>
      </c>
      <c r="G134" t="n">
        <v>6.200954667276259</v>
      </c>
      <c r="H134" t="n">
        <v>5.647902927923876</v>
      </c>
      <c r="I134" t="n">
        <v>-4.425308153258677</v>
      </c>
      <c r="J134" t="n">
        <v>-4.978359892611061</v>
      </c>
      <c r="K134" t="inlineStr">
        <is>
          <t>Vietnam|XFVT.L|3Y</t>
        </is>
      </c>
      <c r="L134" t="inlineStr">
        <is>
          <t>Vietnam|3Y</t>
        </is>
      </c>
    </row>
    <row r="135">
      <c r="A135" t="inlineStr">
        <is>
          <t>Vietnam</t>
        </is>
      </c>
      <c r="B135" t="inlineStr">
        <is>
          <t>VNM</t>
        </is>
      </c>
      <c r="C135" t="inlineStr">
        <is>
          <t>XFVT.L</t>
        </is>
      </c>
      <c r="D135" s="1" t="n">
        <v>46022</v>
      </c>
      <c r="E135" t="inlineStr">
        <is>
          <t>5Y</t>
        </is>
      </c>
      <c r="F135" t="n">
        <v>3.148848918391378</v>
      </c>
      <c r="G135" t="n">
        <v>5.92145460004414</v>
      </c>
      <c r="H135" t="n">
        <v>6.956271913500278</v>
      </c>
      <c r="I135" t="n">
        <v>2.772605681652762</v>
      </c>
      <c r="J135" t="n">
        <v>3.8074229951089</v>
      </c>
      <c r="K135" t="inlineStr">
        <is>
          <t>Vietnam|XFVT.L|5Y</t>
        </is>
      </c>
      <c r="L135" t="inlineStr">
        <is>
          <t>Vietnam|5Y</t>
        </is>
      </c>
    </row>
    <row r="136">
      <c r="A136" t="inlineStr">
        <is>
          <t>Vietnam</t>
        </is>
      </c>
      <c r="B136" t="inlineStr">
        <is>
          <t>VNM</t>
        </is>
      </c>
      <c r="C136" t="inlineStr">
        <is>
          <t>XFVT.L</t>
        </is>
      </c>
      <c r="D136" s="1" t="n">
        <v>46022</v>
      </c>
      <c r="E136" t="inlineStr">
        <is>
          <t>10Y</t>
        </is>
      </c>
      <c r="F136" t="n">
        <v>7.347121104067589</v>
      </c>
      <c r="G136" t="n">
        <v>6.085412813467572</v>
      </c>
      <c r="H136" t="n">
        <v>7.426735577916199</v>
      </c>
      <c r="I136" t="n">
        <v>-1.261708290600017</v>
      </c>
      <c r="J136" t="n">
        <v>0.07961447384861042</v>
      </c>
      <c r="K136" t="inlineStr">
        <is>
          <t>Vietnam|XFVT.L|10Y</t>
        </is>
      </c>
      <c r="L136" t="inlineStr">
        <is>
          <t>Vietnam|10Y</t>
        </is>
      </c>
    </row>
  </sheetData>
  <autoFilter ref="A1:L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</row>
    <row r="2">
      <c r="A2" t="inlineStr">
        <is>
          <t>Australia</t>
        </is>
      </c>
      <c r="B2" t="inlineStr">
        <is>
          <t>CS1.L</t>
        </is>
      </c>
      <c r="C2" t="inlineStr">
        <is>
          <t>Australia</t>
        </is>
      </c>
      <c r="D2" t="inlineStr">
        <is>
          <t>SAUS.L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</row>
    <row r="4">
      <c r="A4" t="inlineStr">
        <is>
          <t>Canada</t>
        </is>
      </c>
      <c r="B4" t="inlineStr">
        <is>
          <t>CSUK.L</t>
        </is>
      </c>
      <c r="C4" t="inlineStr">
        <is>
          <t>Canada</t>
        </is>
      </c>
      <c r="D4" t="inlineStr">
        <is>
          <t>CSCA.L</t>
        </is>
      </c>
    </row>
    <row r="5">
      <c r="A5" t="inlineStr">
        <is>
          <t>China</t>
        </is>
      </c>
      <c r="B5" t="inlineStr">
        <is>
          <t>CUKX.L</t>
        </is>
      </c>
      <c r="C5" t="inlineStr">
        <is>
          <t>China</t>
        </is>
      </c>
      <c r="D5" t="inlineStr">
        <is>
          <t>FRCH.L</t>
        </is>
      </c>
    </row>
    <row r="6">
      <c r="A6" t="inlineStr">
        <is>
          <t>France</t>
        </is>
      </c>
      <c r="B6" t="inlineStr">
        <is>
          <t>FLRK.L</t>
        </is>
      </c>
      <c r="C6" t="inlineStr">
        <is>
          <t>France</t>
        </is>
      </c>
      <c r="D6" t="inlineStr">
        <is>
          <t>ISFR.L</t>
        </is>
      </c>
    </row>
    <row r="7">
      <c r="A7" t="inlineStr">
        <is>
          <t>Germany</t>
        </is>
      </c>
      <c r="B7" t="inlineStr">
        <is>
          <t>FRCH.L</t>
        </is>
      </c>
      <c r="C7" t="inlineStr">
        <is>
          <t>Germany</t>
        </is>
      </c>
      <c r="D7" t="inlineStr">
        <is>
          <t>XDAX.L</t>
        </is>
      </c>
    </row>
    <row r="8">
      <c r="A8" t="inlineStr">
        <is>
          <t>India</t>
        </is>
      </c>
      <c r="B8" t="inlineStr">
        <is>
          <t>FRIN.L</t>
        </is>
      </c>
      <c r="C8" t="inlineStr">
        <is>
          <t>India</t>
        </is>
      </c>
      <c r="D8" t="inlineStr">
        <is>
          <t>FRIN.L</t>
        </is>
      </c>
    </row>
    <row r="9">
      <c r="A9" t="inlineStr">
        <is>
          <t>Japan</t>
        </is>
      </c>
      <c r="B9" t="inlineStr">
        <is>
          <t>FRXT.L</t>
        </is>
      </c>
      <c r="C9" t="inlineStr">
        <is>
          <t>Japan</t>
        </is>
      </c>
      <c r="D9" t="inlineStr">
        <is>
          <t>IJPN.L</t>
        </is>
      </c>
    </row>
    <row r="10">
      <c r="A10" t="inlineStr">
        <is>
          <t>Malaysia</t>
        </is>
      </c>
      <c r="B10" t="inlineStr">
        <is>
          <t>IASH.L</t>
        </is>
      </c>
      <c r="C10" t="inlineStr">
        <is>
          <t>Malaysia</t>
        </is>
      </c>
      <c r="D10" t="inlineStr">
        <is>
          <t>XCX3.L</t>
        </is>
      </c>
    </row>
    <row r="11">
      <c r="A11" t="inlineStr">
        <is>
          <t>Mexico</t>
        </is>
      </c>
      <c r="B11" t="inlineStr">
        <is>
          <t>IIND.L</t>
        </is>
      </c>
      <c r="C11" t="inlineStr">
        <is>
          <t>Mexico</t>
        </is>
      </c>
      <c r="D11" t="inlineStr">
        <is>
          <t>XMEX.L</t>
        </is>
      </c>
    </row>
    <row r="12">
      <c r="A12" t="inlineStr">
        <is>
          <t>Philippines</t>
        </is>
      </c>
      <c r="B12" t="inlineStr">
        <is>
          <t>IJPN.L</t>
        </is>
      </c>
      <c r="C12" t="inlineStr">
        <is>
          <t>Philippines</t>
        </is>
      </c>
      <c r="D12" t="inlineStr">
        <is>
          <t>XPHG.L</t>
        </is>
      </c>
    </row>
    <row r="13">
      <c r="A13" t="inlineStr">
        <is>
          <t>Poland</t>
        </is>
      </c>
      <c r="B13" t="inlineStr">
        <is>
          <t>ISFR.L</t>
        </is>
      </c>
      <c r="C13" t="inlineStr">
        <is>
          <t>Poland</t>
        </is>
      </c>
      <c r="D13" t="inlineStr">
        <is>
          <t>SPOL.L</t>
        </is>
      </c>
    </row>
    <row r="14">
      <c r="A14" t="inlineStr">
        <is>
          <t>South Africa</t>
        </is>
      </c>
      <c r="B14" t="inlineStr">
        <is>
          <t>LCJP.L</t>
        </is>
      </c>
      <c r="C14" t="inlineStr">
        <is>
          <t>South Africa</t>
        </is>
      </c>
      <c r="D14" t="inlineStr">
        <is>
          <t>SRSA.L</t>
        </is>
      </c>
    </row>
    <row r="15">
      <c r="A15" t="inlineStr">
        <is>
          <t>South Korea</t>
        </is>
      </c>
      <c r="B15" t="inlineStr">
        <is>
          <t>OMXS.L</t>
        </is>
      </c>
      <c r="C15" t="inlineStr">
        <is>
          <t>South Korea</t>
        </is>
      </c>
      <c r="D15" t="inlineStr">
        <is>
          <t>FLRK.L</t>
        </is>
      </c>
    </row>
    <row r="16">
      <c r="A16" t="inlineStr">
        <is>
          <t>Spain</t>
        </is>
      </c>
      <c r="B16" t="inlineStr">
        <is>
          <t>SAUS.L</t>
        </is>
      </c>
      <c r="C16" t="inlineStr">
        <is>
          <t>Spain</t>
        </is>
      </c>
      <c r="D16" t="inlineStr">
        <is>
          <t>CS1.L</t>
        </is>
      </c>
    </row>
    <row r="17">
      <c r="A17" t="inlineStr">
        <is>
          <t>Sweden</t>
        </is>
      </c>
      <c r="B17" t="inlineStr">
        <is>
          <t>SPOL.L</t>
        </is>
      </c>
      <c r="C17" t="inlineStr">
        <is>
          <t>Sweden</t>
        </is>
      </c>
      <c r="D17" t="inlineStr">
        <is>
          <t>OMXS.L</t>
        </is>
      </c>
    </row>
    <row r="18">
      <c r="A18" t="inlineStr">
        <is>
          <t>Taiwan</t>
        </is>
      </c>
      <c r="B18" t="inlineStr">
        <is>
          <t>SPXL.L</t>
        </is>
      </c>
      <c r="C18" t="inlineStr">
        <is>
          <t>Taiwan</t>
        </is>
      </c>
      <c r="D18" t="inlineStr">
        <is>
          <t>FRXT.L</t>
        </is>
      </c>
    </row>
    <row r="19">
      <c r="A19" t="inlineStr">
        <is>
          <t>Thailand</t>
        </is>
      </c>
      <c r="B19" t="inlineStr">
        <is>
          <t>SRSA.L</t>
        </is>
      </c>
      <c r="C19" t="inlineStr">
        <is>
          <t>Thailand</t>
        </is>
      </c>
      <c r="D19" t="inlineStr">
        <is>
          <t>XCX4.L</t>
        </is>
      </c>
    </row>
    <row r="20">
      <c r="A20" t="inlineStr">
        <is>
          <t>Turkey</t>
        </is>
      </c>
      <c r="B20" t="inlineStr">
        <is>
          <t>TURL.L</t>
        </is>
      </c>
      <c r="C20" t="inlineStr">
        <is>
          <t>Turkey</t>
        </is>
      </c>
      <c r="D20" t="inlineStr">
        <is>
          <t>TURL.L</t>
        </is>
      </c>
    </row>
    <row r="21">
      <c r="A21" t="inlineStr">
        <is>
          <t>United Kingdom</t>
        </is>
      </c>
      <c r="B21" t="inlineStr">
        <is>
          <t>XCX3.L</t>
        </is>
      </c>
      <c r="C21" t="inlineStr">
        <is>
          <t>United Kingdom</t>
        </is>
      </c>
      <c r="D21" t="inlineStr">
        <is>
          <t>CSUK.L</t>
        </is>
      </c>
    </row>
    <row r="22">
      <c r="A22" t="inlineStr">
        <is>
          <t>United States</t>
        </is>
      </c>
      <c r="B22" t="inlineStr">
        <is>
          <t>XCX4.L</t>
        </is>
      </c>
      <c r="C22" t="inlineStr">
        <is>
          <t>United States</t>
        </is>
      </c>
      <c r="D22" t="inlineStr">
        <is>
          <t>SPXL.L</t>
        </is>
      </c>
    </row>
    <row r="23">
      <c r="A23" t="inlineStr">
        <is>
          <t>Vietnam</t>
        </is>
      </c>
      <c r="B23" t="inlineStr">
        <is>
          <t>XDAX.L</t>
        </is>
      </c>
      <c r="C23" t="inlineStr">
        <is>
          <t>Vietnam</t>
        </is>
      </c>
      <c r="D23" t="inlineStr">
        <is>
          <t>XFVT.L</t>
        </is>
      </c>
    </row>
    <row r="24">
      <c r="A24" t="inlineStr"/>
      <c r="B24" t="inlineStr">
        <is>
          <t>XFVT.L</t>
        </is>
      </c>
      <c r="C24" t="inlineStr"/>
      <c r="D24" t="inlineStr"/>
    </row>
    <row r="25">
      <c r="A25" t="inlineStr"/>
      <c r="B25" t="inlineStr">
        <is>
          <t>XMBR.L</t>
        </is>
      </c>
      <c r="C25" t="inlineStr"/>
      <c r="D25" t="inlineStr"/>
    </row>
    <row r="26">
      <c r="A26" t="inlineStr"/>
      <c r="B26" t="inlineStr">
        <is>
          <t>XMEX.L</t>
        </is>
      </c>
      <c r="C26" t="inlineStr"/>
      <c r="D26" t="inlineStr"/>
    </row>
    <row r="27">
      <c r="A27" t="inlineStr"/>
      <c r="B27" t="inlineStr">
        <is>
          <t>XMTW.L</t>
        </is>
      </c>
      <c r="C27" t="inlineStr"/>
      <c r="D27" t="inlineStr"/>
    </row>
    <row r="28">
      <c r="A28" t="inlineStr"/>
      <c r="B28" t="inlineStr">
        <is>
          <t>XPHG.L</t>
        </is>
      </c>
      <c r="C28" t="inlineStr"/>
      <c r="D2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20" customWidth="1" min="5" max="5"/>
    <col width="22" customWidth="1" min="6" max="6"/>
  </cols>
  <sheetData>
    <row r="1">
      <c r="A1" s="2" t="inlineStr">
        <is>
          <t>Interactive Excel KPI Dashboard</t>
        </is>
      </c>
    </row>
    <row r="2">
      <c r="A2" t="inlineStr">
        <is>
          <t>Country</t>
        </is>
      </c>
      <c r="B2" t="inlineStr">
        <is>
          <t>Australia</t>
        </is>
      </c>
      <c r="D2" t="inlineStr">
        <is>
          <t>Choose country from dropdown; ticker auto-selects first mapped ETF.</t>
        </is>
      </c>
    </row>
    <row r="3">
      <c r="A3" t="inlineStr">
        <is>
          <t>Ticker (auto)</t>
        </is>
      </c>
      <c r="B3">
        <f>IFERROR(INDEX(Lists!$D:$D, MATCH($B$2, Lists!$C:$C, 0)),"")</f>
        <v/>
      </c>
      <c r="D3" t="inlineStr">
        <is>
          <t>ETF timeframe panel is ETF-only; GDP comparison is annual (last 10 years).</t>
        </is>
      </c>
    </row>
    <row r="4">
      <c r="A4" t="inlineStr">
        <is>
          <t>As-of Date</t>
        </is>
      </c>
      <c r="B4" s="3">
        <f>IFERROR(INDEX(ETF_Timeframes!$F:$F, MATCH($B$2&amp;"|"&amp;$B$3&amp;"|MAX", ETF_Timeframes!$H:$H, 0)),"")</f>
        <v/>
      </c>
    </row>
    <row r="6">
      <c r="A6" s="4" t="inlineStr">
        <is>
          <t>ETF Timeframe Returns (%)</t>
        </is>
      </c>
    </row>
    <row r="7">
      <c r="A7" s="4" t="inlineStr">
        <is>
          <t>Timeframe</t>
        </is>
      </c>
      <c r="B7" s="4" t="inlineStr">
        <is>
          <t>ETF Return %</t>
        </is>
      </c>
      <c r="C7" s="4" t="inlineStr">
        <is>
          <t>Start Date</t>
        </is>
      </c>
    </row>
    <row r="8">
      <c r="A8" t="inlineStr">
        <is>
          <t>YTD</t>
        </is>
      </c>
      <c r="B8" s="5">
        <f>IFERROR(INDEX(ETF_Timeframes!$G:$G, MATCH($B$2&amp;"|"&amp;$B$3&amp;"|"&amp;$A8, ETF_Timeframes!$H:$H, 0)), "")</f>
        <v/>
      </c>
      <c r="C8" s="3">
        <f>IFERROR(INDEX(ETF_Timeframes!$E:$E, MATCH($B$2&amp;"|"&amp;$B$3&amp;"|"&amp;$A8, ETF_Timeframes!$H:$H, 0)),"")</f>
        <v/>
      </c>
    </row>
    <row r="9">
      <c r="A9" t="inlineStr">
        <is>
          <t>1 Month</t>
        </is>
      </c>
      <c r="B9" s="5">
        <f>IFERROR(INDEX(ETF_Timeframes!$G:$G, MATCH($B$2&amp;"|"&amp;$B$3&amp;"|"&amp;$A9, ETF_Timeframes!$H:$H, 0)), "")</f>
        <v/>
      </c>
      <c r="C9" s="3">
        <f>IFERROR(INDEX(ETF_Timeframes!$E:$E, MATCH($B$2&amp;"|"&amp;$B$3&amp;"|"&amp;$A9, ETF_Timeframes!$H:$H, 0)),"")</f>
        <v/>
      </c>
    </row>
    <row r="10">
      <c r="A10" t="inlineStr">
        <is>
          <t>3 Months</t>
        </is>
      </c>
      <c r="B10" s="5">
        <f>IFERROR(INDEX(ETF_Timeframes!$G:$G, MATCH($B$2&amp;"|"&amp;$B$3&amp;"|"&amp;$A10, ETF_Timeframes!$H:$H, 0)), "")</f>
        <v/>
      </c>
      <c r="C10" s="3">
        <f>IFERROR(INDEX(ETF_Timeframes!$E:$E, MATCH($B$2&amp;"|"&amp;$B$3&amp;"|"&amp;$A10, ETF_Timeframes!$H:$H, 0)),"")</f>
        <v/>
      </c>
    </row>
    <row r="11">
      <c r="A11" t="inlineStr">
        <is>
          <t>6 Months</t>
        </is>
      </c>
      <c r="B11" s="5">
        <f>IFERROR(INDEX(ETF_Timeframes!$G:$G, MATCH($B$2&amp;"|"&amp;$B$3&amp;"|"&amp;$A11, ETF_Timeframes!$H:$H, 0)), "")</f>
        <v/>
      </c>
      <c r="C11" s="3">
        <f>IFERROR(INDEX(ETF_Timeframes!$E:$E, MATCH($B$2&amp;"|"&amp;$B$3&amp;"|"&amp;$A11, ETF_Timeframes!$H:$H, 0)),"")</f>
        <v/>
      </c>
    </row>
    <row r="12">
      <c r="A12" t="inlineStr">
        <is>
          <t>1 Year</t>
        </is>
      </c>
      <c r="B12" s="5">
        <f>IFERROR(INDEX(ETF_Timeframes!$G:$G, MATCH($B$2&amp;"|"&amp;$B$3&amp;"|"&amp;$A12, ETF_Timeframes!$H:$H, 0)), "")</f>
        <v/>
      </c>
      <c r="C12" s="3">
        <f>IFERROR(INDEX(ETF_Timeframes!$E:$E, MATCH($B$2&amp;"|"&amp;$B$3&amp;"|"&amp;$A12, ETF_Timeframes!$H:$H, 0)),"")</f>
        <v/>
      </c>
    </row>
    <row r="13">
      <c r="A13" t="inlineStr">
        <is>
          <t>3 Years</t>
        </is>
      </c>
      <c r="B13" s="5">
        <f>IFERROR(INDEX(ETF_Timeframes!$G:$G, MATCH($B$2&amp;"|"&amp;$B$3&amp;"|"&amp;$A13, ETF_Timeframes!$H:$H, 0)), "")</f>
        <v/>
      </c>
      <c r="C13" s="3">
        <f>IFERROR(INDEX(ETF_Timeframes!$E:$E, MATCH($B$2&amp;"|"&amp;$B$3&amp;"|"&amp;$A13, ETF_Timeframes!$H:$H, 0)),"")</f>
        <v/>
      </c>
    </row>
    <row r="14">
      <c r="A14" t="inlineStr">
        <is>
          <t>5 Years</t>
        </is>
      </c>
      <c r="B14" s="5">
        <f>IFERROR(INDEX(ETF_Timeframes!$G:$G, MATCH($B$2&amp;"|"&amp;$B$3&amp;"|"&amp;$A14, ETF_Timeframes!$H:$H, 0)), "")</f>
        <v/>
      </c>
      <c r="C14" s="3">
        <f>IFERROR(INDEX(ETF_Timeframes!$E:$E, MATCH($B$2&amp;"|"&amp;$B$3&amp;"|"&amp;$A14, ETF_Timeframes!$H:$H, 0)),"")</f>
        <v/>
      </c>
    </row>
    <row r="15">
      <c r="A15" t="inlineStr">
        <is>
          <t>10 Years</t>
        </is>
      </c>
      <c r="B15" s="5">
        <f>IFERROR(INDEX(ETF_Timeframes!$G:$G, MATCH($B$2&amp;"|"&amp;$B$3&amp;"|"&amp;$A15, ETF_Timeframes!$H:$H, 0)), "")</f>
        <v/>
      </c>
      <c r="C15" s="3">
        <f>IFERROR(INDEX(ETF_Timeframes!$E:$E, MATCH($B$2&amp;"|"&amp;$B$3&amp;"|"&amp;$A15, ETF_Timeframes!$H:$H, 0)),"")</f>
        <v/>
      </c>
    </row>
    <row r="16">
      <c r="A16" t="inlineStr">
        <is>
          <t>MAX</t>
        </is>
      </c>
      <c r="B16" s="5">
        <f>IFERROR(INDEX(ETF_Timeframes!$G:$G, MATCH($B$2&amp;"|"&amp;$B$3&amp;"|"&amp;$A16, ETF_Timeframes!$H:$H, 0)), "")</f>
        <v/>
      </c>
      <c r="C16" s="3">
        <f>IFERROR(INDEX(ETF_Timeframes!$E:$E, MATCH($B$2&amp;"|"&amp;$B$3&amp;"|"&amp;$A16, ETF_Timeframes!$H:$H, 0)),"")</f>
        <v/>
      </c>
    </row>
    <row r="21">
      <c r="A21" s="4" t="inlineStr">
        <is>
          <t>Annual ETF vs GDP (Last 10 Years, %)</t>
        </is>
      </c>
    </row>
    <row r="22">
      <c r="A22" s="4" t="inlineStr">
        <is>
          <t>Year</t>
        </is>
      </c>
      <c r="B22" s="4" t="inlineStr">
        <is>
          <t>ETF Return %</t>
        </is>
      </c>
      <c r="C22" s="4" t="inlineStr">
        <is>
          <t>Real GDP Growth %</t>
        </is>
      </c>
      <c r="D22" s="4" t="inlineStr">
        <is>
          <t>Nominal GDP Growth %</t>
        </is>
      </c>
      <c r="E22" s="4" t="inlineStr">
        <is>
          <t>Real GDP - ETF %</t>
        </is>
      </c>
      <c r="F22" s="4" t="inlineStr">
        <is>
          <t>Nominal GDP - ETF %</t>
        </is>
      </c>
    </row>
    <row r="23">
      <c r="A23" t="n">
        <v>2016</v>
      </c>
      <c r="B23" s="5">
        <f>IFERROR(1*INDEX(Annual!$E:$E, MATCH($B$2&amp;"|"&amp;$B$3&amp;"|"&amp;$A23, Annual!$J:$J, 0)), NA())</f>
        <v/>
      </c>
      <c r="C23" s="5">
        <f>IFERROR(1*INDEX(Annual!$F:$F, MATCH($B$2&amp;"|"&amp;$A23, Annual!$K:$K, 0)), NA())</f>
        <v/>
      </c>
      <c r="D23" s="5">
        <f>IFERROR(1*INDEX(Annual!$G:$G, MATCH($B$2&amp;"|"&amp;$A23, Annual!$K:$K, 0)), NA())</f>
        <v/>
      </c>
      <c r="E23" s="5">
        <f>IF(AND(ISNUMBER(B23),ISNUMBER(C23)),C23-B23,NA())</f>
        <v/>
      </c>
      <c r="F23" s="5">
        <f>IF(AND(ISNUMBER(B23),ISNUMBER(D23)),D23-B23,NA())</f>
        <v/>
      </c>
    </row>
    <row r="24">
      <c r="A24" t="n">
        <v>2017</v>
      </c>
      <c r="B24" s="5">
        <f>IFERROR(1*INDEX(Annual!$E:$E, MATCH($B$2&amp;"|"&amp;$B$3&amp;"|"&amp;$A24, Annual!$J:$J, 0)), NA())</f>
        <v/>
      </c>
      <c r="C24" s="5">
        <f>IFERROR(1*INDEX(Annual!$F:$F, MATCH($B$2&amp;"|"&amp;$A24, Annual!$K:$K, 0)), NA())</f>
        <v/>
      </c>
      <c r="D24" s="5">
        <f>IFERROR(1*INDEX(Annual!$G:$G, MATCH($B$2&amp;"|"&amp;$A24, Annual!$K:$K, 0)), NA())</f>
        <v/>
      </c>
      <c r="E24" s="5">
        <f>IF(AND(ISNUMBER(B24),ISNUMBER(C24)),C24-B24,NA())</f>
        <v/>
      </c>
      <c r="F24" s="5">
        <f>IF(AND(ISNUMBER(B24),ISNUMBER(D24)),D24-B24,NA())</f>
        <v/>
      </c>
    </row>
    <row r="25">
      <c r="A25" t="n">
        <v>2018</v>
      </c>
      <c r="B25" s="5">
        <f>IFERROR(1*INDEX(Annual!$E:$E, MATCH($B$2&amp;"|"&amp;$B$3&amp;"|"&amp;$A25, Annual!$J:$J, 0)), NA())</f>
        <v/>
      </c>
      <c r="C25" s="5">
        <f>IFERROR(1*INDEX(Annual!$F:$F, MATCH($B$2&amp;"|"&amp;$A25, Annual!$K:$K, 0)), NA())</f>
        <v/>
      </c>
      <c r="D25" s="5">
        <f>IFERROR(1*INDEX(Annual!$G:$G, MATCH($B$2&amp;"|"&amp;$A25, Annual!$K:$K, 0)), NA())</f>
        <v/>
      </c>
      <c r="E25" s="5">
        <f>IF(AND(ISNUMBER(B25),ISNUMBER(C25)),C25-B25,NA())</f>
        <v/>
      </c>
      <c r="F25" s="5">
        <f>IF(AND(ISNUMBER(B25),ISNUMBER(D25)),D25-B25,NA())</f>
        <v/>
      </c>
    </row>
    <row r="26">
      <c r="A26" t="n">
        <v>2019</v>
      </c>
      <c r="B26" s="5">
        <f>IFERROR(1*INDEX(Annual!$E:$E, MATCH($B$2&amp;"|"&amp;$B$3&amp;"|"&amp;$A26, Annual!$J:$J, 0)), NA())</f>
        <v/>
      </c>
      <c r="C26" s="5">
        <f>IFERROR(1*INDEX(Annual!$F:$F, MATCH($B$2&amp;"|"&amp;$A26, Annual!$K:$K, 0)), NA())</f>
        <v/>
      </c>
      <c r="D26" s="5">
        <f>IFERROR(1*INDEX(Annual!$G:$G, MATCH($B$2&amp;"|"&amp;$A26, Annual!$K:$K, 0)), NA())</f>
        <v/>
      </c>
      <c r="E26" s="5">
        <f>IF(AND(ISNUMBER(B26),ISNUMBER(C26)),C26-B26,NA())</f>
        <v/>
      </c>
      <c r="F26" s="5">
        <f>IF(AND(ISNUMBER(B26),ISNUMBER(D26)),D26-B26,NA())</f>
        <v/>
      </c>
    </row>
    <row r="27">
      <c r="A27" t="n">
        <v>2020</v>
      </c>
      <c r="B27" s="5">
        <f>IFERROR(1*INDEX(Annual!$E:$E, MATCH($B$2&amp;"|"&amp;$B$3&amp;"|"&amp;$A27, Annual!$J:$J, 0)), NA())</f>
        <v/>
      </c>
      <c r="C27" s="5">
        <f>IFERROR(1*INDEX(Annual!$F:$F, MATCH($B$2&amp;"|"&amp;$A27, Annual!$K:$K, 0)), NA())</f>
        <v/>
      </c>
      <c r="D27" s="5">
        <f>IFERROR(1*INDEX(Annual!$G:$G, MATCH($B$2&amp;"|"&amp;$A27, Annual!$K:$K, 0)), NA())</f>
        <v/>
      </c>
      <c r="E27" s="5">
        <f>IF(AND(ISNUMBER(B27),ISNUMBER(C27)),C27-B27,NA())</f>
        <v/>
      </c>
      <c r="F27" s="5">
        <f>IF(AND(ISNUMBER(B27),ISNUMBER(D27)),D27-B27,NA())</f>
        <v/>
      </c>
    </row>
    <row r="28">
      <c r="A28" t="n">
        <v>2021</v>
      </c>
      <c r="B28" s="5">
        <f>IFERROR(1*INDEX(Annual!$E:$E, MATCH($B$2&amp;"|"&amp;$B$3&amp;"|"&amp;$A28, Annual!$J:$J, 0)), NA())</f>
        <v/>
      </c>
      <c r="C28" s="5">
        <f>IFERROR(1*INDEX(Annual!$F:$F, MATCH($B$2&amp;"|"&amp;$A28, Annual!$K:$K, 0)), NA())</f>
        <v/>
      </c>
      <c r="D28" s="5">
        <f>IFERROR(1*INDEX(Annual!$G:$G, MATCH($B$2&amp;"|"&amp;$A28, Annual!$K:$K, 0)), NA())</f>
        <v/>
      </c>
      <c r="E28" s="5">
        <f>IF(AND(ISNUMBER(B28),ISNUMBER(C28)),C28-B28,NA())</f>
        <v/>
      </c>
      <c r="F28" s="5">
        <f>IF(AND(ISNUMBER(B28),ISNUMBER(D28)),D28-B28,NA())</f>
        <v/>
      </c>
    </row>
    <row r="29">
      <c r="A29" t="n">
        <v>2022</v>
      </c>
      <c r="B29" s="5">
        <f>IFERROR(1*INDEX(Annual!$E:$E, MATCH($B$2&amp;"|"&amp;$B$3&amp;"|"&amp;$A29, Annual!$J:$J, 0)), NA())</f>
        <v/>
      </c>
      <c r="C29" s="5">
        <f>IFERROR(1*INDEX(Annual!$F:$F, MATCH($B$2&amp;"|"&amp;$A29, Annual!$K:$K, 0)), NA())</f>
        <v/>
      </c>
      <c r="D29" s="5">
        <f>IFERROR(1*INDEX(Annual!$G:$G, MATCH($B$2&amp;"|"&amp;$A29, Annual!$K:$K, 0)), NA())</f>
        <v/>
      </c>
      <c r="E29" s="5">
        <f>IF(AND(ISNUMBER(B29),ISNUMBER(C29)),C29-B29,NA())</f>
        <v/>
      </c>
      <c r="F29" s="5">
        <f>IF(AND(ISNUMBER(B29),ISNUMBER(D29)),D29-B29,NA())</f>
        <v/>
      </c>
    </row>
    <row r="30">
      <c r="A30" t="n">
        <v>2023</v>
      </c>
      <c r="B30" s="5">
        <f>IFERROR(1*INDEX(Annual!$E:$E, MATCH($B$2&amp;"|"&amp;$B$3&amp;"|"&amp;$A30, Annual!$J:$J, 0)), NA())</f>
        <v/>
      </c>
      <c r="C30" s="5">
        <f>IFERROR(1*INDEX(Annual!$F:$F, MATCH($B$2&amp;"|"&amp;$A30, Annual!$K:$K, 0)), NA())</f>
        <v/>
      </c>
      <c r="D30" s="5">
        <f>IFERROR(1*INDEX(Annual!$G:$G, MATCH($B$2&amp;"|"&amp;$A30, Annual!$K:$K, 0)), NA())</f>
        <v/>
      </c>
      <c r="E30" s="5">
        <f>IF(AND(ISNUMBER(B30),ISNUMBER(C30)),C30-B30,NA())</f>
        <v/>
      </c>
      <c r="F30" s="5">
        <f>IF(AND(ISNUMBER(B30),ISNUMBER(D30)),D30-B30,NA())</f>
        <v/>
      </c>
    </row>
    <row r="31">
      <c r="A31" t="n">
        <v>2024</v>
      </c>
      <c r="B31" s="5">
        <f>IFERROR(1*INDEX(Annual!$E:$E, MATCH($B$2&amp;"|"&amp;$B$3&amp;"|"&amp;$A31, Annual!$J:$J, 0)), NA())</f>
        <v/>
      </c>
      <c r="C31" s="5">
        <f>IFERROR(1*INDEX(Annual!$F:$F, MATCH($B$2&amp;"|"&amp;$A31, Annual!$K:$K, 0)), NA())</f>
        <v/>
      </c>
      <c r="D31" s="5">
        <f>IFERROR(1*INDEX(Annual!$G:$G, MATCH($B$2&amp;"|"&amp;$A31, Annual!$K:$K, 0)), NA())</f>
        <v/>
      </c>
      <c r="E31" s="5">
        <f>IF(AND(ISNUMBER(B31),ISNUMBER(C31)),C31-B31,NA())</f>
        <v/>
      </c>
      <c r="F31" s="5">
        <f>IF(AND(ISNUMBER(B31),ISNUMBER(D31)),D31-B31,NA())</f>
        <v/>
      </c>
    </row>
    <row r="32">
      <c r="A32" t="n">
        <v>2025</v>
      </c>
      <c r="B32" s="5">
        <f>IFERROR(1*INDEX(Annual!$E:$E, MATCH($B$2&amp;"|"&amp;$B$3&amp;"|"&amp;$A32, Annual!$J:$J, 0)), NA())</f>
        <v/>
      </c>
      <c r="C32" s="5">
        <f>IFERROR(1*INDEX(Annual!$F:$F, MATCH($B$2&amp;"|"&amp;$A32, Annual!$K:$K, 0)), NA())</f>
        <v/>
      </c>
      <c r="D32" s="5">
        <f>IFERROR(1*INDEX(Annual!$G:$G, MATCH($B$2&amp;"|"&amp;$A32, Annual!$K:$K, 0)), NA())</f>
        <v/>
      </c>
      <c r="E32" s="5">
        <f>IF(AND(ISNUMBER(B32),ISNUMBER(C32)),C32-B32,NA())</f>
        <v/>
      </c>
      <c r="F32" s="5">
        <f>IF(AND(ISNUMBER(B32),ISNUMBER(D32)),D32-B32,NA())</f>
        <v/>
      </c>
    </row>
    <row r="35">
      <c r="A35" s="4" t="inlineStr">
        <is>
          <t>CAGR Comparison (%)</t>
        </is>
      </c>
    </row>
    <row r="36">
      <c r="A36" s="4" t="inlineStr">
        <is>
          <t>Horizon</t>
        </is>
      </c>
      <c r="B36" s="4" t="inlineStr">
        <is>
          <t>ETF CAGR %</t>
        </is>
      </c>
      <c r="C36" s="4" t="inlineStr">
        <is>
          <t>Real GDP CAGR %</t>
        </is>
      </c>
      <c r="D36" s="4" t="inlineStr">
        <is>
          <t>Nominal GDP CAGR %</t>
        </is>
      </c>
      <c r="E36" s="4" t="inlineStr">
        <is>
          <t>Real GDP - ETF CAGR %</t>
        </is>
      </c>
      <c r="F36" s="4" t="inlineStr">
        <is>
          <t>Nominal GDP - ETF CAGR %</t>
        </is>
      </c>
    </row>
    <row r="37">
      <c r="A37" t="inlineStr">
        <is>
          <t>3Y</t>
        </is>
      </c>
      <c r="B37" s="5">
        <f>IFERROR(1*INDEX(CAGR!$F:$F, MATCH($B$2&amp;"|"&amp;$B$3&amp;"|"&amp;$A37, CAGR!$K:$K, 0)), NA())</f>
        <v/>
      </c>
      <c r="C37" s="5">
        <f>IFERROR(1*INDEX(CAGR!$G:$G, MATCH($B$2&amp;"|"&amp;$A37, CAGR!$L:$L, 0)), NA())</f>
        <v/>
      </c>
      <c r="D37" s="5">
        <f>IFERROR(1*INDEX(CAGR!$H:$H, MATCH($B$2&amp;"|"&amp;$A37, CAGR!$L:$L, 0)), NA())</f>
        <v/>
      </c>
      <c r="E37" s="5">
        <f>IF(AND(ISNUMBER(B37),ISNUMBER(C37)),C37-B37,NA())</f>
        <v/>
      </c>
      <c r="F37" s="5">
        <f>IF(AND(ISNUMBER(B37),ISNUMBER(D37)),D37-B37,NA())</f>
        <v/>
      </c>
    </row>
    <row r="38">
      <c r="A38" t="inlineStr">
        <is>
          <t>5Y</t>
        </is>
      </c>
      <c r="B38" s="5">
        <f>IFERROR(1*INDEX(CAGR!$F:$F, MATCH($B$2&amp;"|"&amp;$B$3&amp;"|"&amp;$A38, CAGR!$K:$K, 0)), NA())</f>
        <v/>
      </c>
      <c r="C38" s="5">
        <f>IFERROR(1*INDEX(CAGR!$G:$G, MATCH($B$2&amp;"|"&amp;$A38, CAGR!$L:$L, 0)), NA())</f>
        <v/>
      </c>
      <c r="D38" s="5">
        <f>IFERROR(1*INDEX(CAGR!$H:$H, MATCH($B$2&amp;"|"&amp;$A38, CAGR!$L:$L, 0)), NA())</f>
        <v/>
      </c>
      <c r="E38" s="5">
        <f>IF(AND(ISNUMBER(B38),ISNUMBER(C38)),C38-B38,NA())</f>
        <v/>
      </c>
      <c r="F38" s="5">
        <f>IF(AND(ISNUMBER(B38),ISNUMBER(D38)),D38-B38,NA())</f>
        <v/>
      </c>
    </row>
    <row r="39">
      <c r="A39" t="inlineStr">
        <is>
          <t>10Y</t>
        </is>
      </c>
      <c r="B39" s="5">
        <f>IFERROR(1*INDEX(CAGR!$F:$F, MATCH($B$2&amp;"|"&amp;$B$3&amp;"|"&amp;$A39, CAGR!$K:$K, 0)), NA())</f>
        <v/>
      </c>
      <c r="C39" s="5">
        <f>IFERROR(1*INDEX(CAGR!$G:$G, MATCH($B$2&amp;"|"&amp;$A39, CAGR!$L:$L, 0)), NA())</f>
        <v/>
      </c>
      <c r="D39" s="5">
        <f>IFERROR(1*INDEX(CAGR!$H:$H, MATCH($B$2&amp;"|"&amp;$A39, CAGR!$L:$L, 0)), NA())</f>
        <v/>
      </c>
      <c r="E39" s="5">
        <f>IF(AND(ISNUMBER(B39),ISNUMBER(C39)),C39-B39,NA())</f>
        <v/>
      </c>
      <c r="F39" s="5">
        <f>IF(AND(ISNUMBER(B39),ISNUMBER(D39)),D39-B39,NA())</f>
        <v/>
      </c>
    </row>
  </sheetData>
  <conditionalFormatting sqref="B8:B16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23:F32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37:F39">
    <cfRule type="cellIs" priority="5" operator="greaterThanOrEqual" dxfId="0">
      <formula>0</formula>
    </cfRule>
    <cfRule type="cellIs" priority="6" operator="lessThan" dxfId="1">
      <formula>0</formula>
    </cfRule>
  </conditionalFormatting>
  <dataValidations count="1">
    <dataValidation sqref="B2" showDropDown="0" showInputMessage="0" showErrorMessage="0" allowBlank="0" type="list">
      <formula1>=Lists!$A$2:$A$28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2026-03-02T18:56:09Z</dcterms:created>
  <dcterms:modified xsi:type="dcterms:W3CDTF">2026-03-02T18:56:09Z</dcterms:modified>
</cp:coreProperties>
</file>