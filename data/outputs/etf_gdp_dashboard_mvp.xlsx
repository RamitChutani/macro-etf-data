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  <sheet name="MSCI" sheetId="9" state="hidden" r:id="rId9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Countries'!$A$4:$AE$37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name val="Calibri"/>
      <family val="2"/>
      <color theme="10"/>
      <sz val="12"/>
      <scheme val="minor"/>
    </font>
    <font>
      <b val="1"/>
      <sz val="12"/>
    </font>
    <font>
      <b val="1"/>
      <i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www.msci.com/documents/10199/255599/msci-usa-index-gross.pdf" TargetMode="External" Id="rId1" /><Relationship Type="http://schemas.openxmlformats.org/officeDocument/2006/relationships/hyperlink" Target="https://www.msci.com/documents/10199/255599/msci-japan-index.pdf" TargetMode="External" Id="rId2" /><Relationship Type="http://schemas.openxmlformats.org/officeDocument/2006/relationships/hyperlink" Target="https://www.msci.com/documents/10199/255599/msci-unitedkingdom-index.pdf" TargetMode="External" Id="rId3" /><Relationship Type="http://schemas.openxmlformats.org/officeDocument/2006/relationships/hyperlink" Target="https://www.msci.com/documents/10199/255599/msci-canada-index-gross-usd.pdf" TargetMode="External" Id="rId4" /><Relationship Type="http://schemas.openxmlformats.org/officeDocument/2006/relationships/hyperlink" Target="https://www.msci.com/documents/10199/255599/msci-china-index.pdf" TargetMode="External" Id="rId5" /><Relationship Type="http://schemas.openxmlformats.org/officeDocument/2006/relationships/hyperlink" Target="https://www.msci.com/documents/10199/255599/msci-taiwan-index.pdf" TargetMode="External" Id="rId6" /><Relationship Type="http://schemas.openxmlformats.org/officeDocument/2006/relationships/hyperlink" Target="https://www.msci.com/documents/10199/255599/msci-france-index.pdf" TargetMode="External" Id="rId7" /><Relationship Type="http://schemas.openxmlformats.org/officeDocument/2006/relationships/hyperlink" Target="https://www.msci.com/documents/10199/255599/msci-switzerland-index.pdf" TargetMode="External" Id="rId8" /><Relationship Type="http://schemas.openxmlformats.org/officeDocument/2006/relationships/hyperlink" Target="https://www.msci.com/documents/10199/255599/msci-korea-index.pdf" TargetMode="External" Id="rId9" /><Relationship Type="http://schemas.openxmlformats.org/officeDocument/2006/relationships/hyperlink" Target="https://www.msci.com/documents/10199/255599/msci-germany-index.pdf" TargetMode="External" Id="rId10" /><Relationship Type="http://schemas.openxmlformats.org/officeDocument/2006/relationships/hyperlink" Target="https://www.msci.com/documents/10199/255599/msci-india-index-gross-usd.pdf" TargetMode="External" Id="rId11" /><Relationship Type="http://schemas.openxmlformats.org/officeDocument/2006/relationships/hyperlink" Target="https://www.msci.com/documents/10199/255599/msci-australia-index.pdf" TargetMode="External" Id="rId12" /><Relationship Type="http://schemas.openxmlformats.org/officeDocument/2006/relationships/hyperlink" Target="https://www.msci.com/documents/10199/255599/msci-netherlands-index-usd-gross.pdf" TargetMode="External" Id="rId13" /><Relationship Type="http://schemas.openxmlformats.org/officeDocument/2006/relationships/hyperlink" Target="https://www.msci.com/documents/10199/255599/msci-spain-index.pdf" TargetMode="External" Id="rId14" /><Relationship Type="http://schemas.openxmlformats.org/officeDocument/2006/relationships/hyperlink" Target="https://www.msci.com/documents/10199/255599/msci-sweden-index.pdf" TargetMode="External" Id="rId15" /><Relationship Type="http://schemas.openxmlformats.org/officeDocument/2006/relationships/hyperlink" Target="https://www.msci.com/documents/10199/255599/msci-italy-index.pdf" TargetMode="External" Id="rId16" /><Relationship Type="http://schemas.openxmlformats.org/officeDocument/2006/relationships/hyperlink" Target="https://www.msci.com/documents/10199/255599/msci-brazil-index.pdf" TargetMode="External" Id="rId17" /><Relationship Type="http://schemas.openxmlformats.org/officeDocument/2006/relationships/hyperlink" Target="https://www.msci.com/documents/10199/255599/msci-south-africa-usd-gross.pdf" TargetMode="External" Id="rId18" /><Relationship Type="http://schemas.openxmlformats.org/officeDocument/2006/relationships/hyperlink" Target="https://www.msci.com/documents/10199/255599/msci-hong-kong-index.pdf" TargetMode="External" Id="rId19" /><Relationship Type="http://schemas.openxmlformats.org/officeDocument/2006/relationships/hyperlink" Target="https://www.msci.com/documents/10199/255599/msci-saudi-arabia-index-usd-gross.pdf" TargetMode="External" Id="rId20" /><Relationship Type="http://schemas.openxmlformats.org/officeDocument/2006/relationships/hyperlink" Target="https://www.msci.com/documents/10199/255599/msci-singapore-index.pdf" TargetMode="External" Id="rId21" /><Relationship Type="http://schemas.openxmlformats.org/officeDocument/2006/relationships/hyperlink" Target="https://www.msci.com/documents/10199/255599/msci-denmark-index-usd-gross.pdf" TargetMode="External" Id="rId22" /><Relationship Type="http://schemas.openxmlformats.org/officeDocument/2006/relationships/hyperlink" Target="https://www.msci.com/documents/10199/255599/msci-finland-index-usd-net.pdf" TargetMode="External" Id="rId23" /><Relationship Type="http://schemas.openxmlformats.org/officeDocument/2006/relationships/hyperlink" Target="https://www.msci.com/documents/10199/255599/msci-belgium-index-usd-net.pdf" TargetMode="External" Id="rId24" /><Relationship Type="http://schemas.openxmlformats.org/officeDocument/2006/relationships/hyperlink" Target="https://www.msci.com/documents/10199/255599/msci-mexico-index-usd-net.pdf" TargetMode="External" Id="rId25" /><Relationship Type="http://schemas.openxmlformats.org/officeDocument/2006/relationships/hyperlink" Target="https://www.msci.com/documents/10199/255599/msci-israel-index-usd-net.pdf" TargetMode="External" Id="rId26" /><Relationship Type="http://schemas.openxmlformats.org/officeDocument/2006/relationships/hyperlink" Target="https://www.msci.com/documents/10199/255599/msci-uae-index.pdf" TargetMode="External" Id="rId27" /><Relationship Type="http://schemas.openxmlformats.org/officeDocument/2006/relationships/hyperlink" Target="https://www.msci.com/documents/10199/255599/msci-norway-index-usd-gross.pdf" TargetMode="External" Id="rId28" /><Relationship Type="http://schemas.openxmlformats.org/officeDocument/2006/relationships/hyperlink" Target="https://www.msci.com/documents/10199/255599/msci-malaysia-index.pdf" TargetMode="External" Id="rId29" /><Relationship Type="http://schemas.openxmlformats.org/officeDocument/2006/relationships/hyperlink" Target="https://www.msci.com/documents/10199/255599/msci-thailand-index.pdf" TargetMode="External" Id="rId30" /><Relationship Type="http://schemas.openxmlformats.org/officeDocument/2006/relationships/hyperlink" Target="https://www.msci.com/documents/10199/255599/msci-poland-index-usd-gross.pdf" TargetMode="External" Id="rId31" /><Relationship Type="http://schemas.openxmlformats.org/officeDocument/2006/relationships/hyperlink" Target="https://www.msci.com/documents/10199/255599/msci-indonesia-index.pdf" TargetMode="External" Id="rId32" /><Relationship Type="http://schemas.openxmlformats.org/officeDocument/2006/relationships/hyperlink" Target="https://www.msci.com/documents/10199/255599/msci-ireland-index-usd-net.pdf" TargetMode="External" Id="rId33" /><Relationship Type="http://schemas.openxmlformats.org/officeDocument/2006/relationships/hyperlink" Target="https://www.msci.com/documents/10199/255599/msci-qatar-index-usd-net.pdf" TargetMode="External" Id="rId34" /><Relationship Type="http://schemas.openxmlformats.org/officeDocument/2006/relationships/hyperlink" Target="https://www.msci.com/documents/10199/255599/msci-chile-index-net.pdf" TargetMode="External" Id="rId35" /><Relationship Type="http://schemas.openxmlformats.org/officeDocument/2006/relationships/hyperlink" Target="https://www.msci.com/documents/10199/255599/msci-greece-index-usd-net.pdf" TargetMode="External" Id="rId36" /><Relationship Type="http://schemas.openxmlformats.org/officeDocument/2006/relationships/hyperlink" Target="https://www.msci.com/documents/10199/255599/msci-vietnam-index.pdf" TargetMode="External" Id="rId37" /><Relationship Type="http://schemas.openxmlformats.org/officeDocument/2006/relationships/hyperlink" Target="https://www.msci.com/documents/10199/255599/msci-austria-index-usd-gross.pdf" TargetMode="External" Id="rId38" /><Relationship Type="http://schemas.openxmlformats.org/officeDocument/2006/relationships/hyperlink" Target="https://www.msci.com/documents/10199/255599/msci-turkey-index-gross-usd.pdf" TargetMode="External" Id="rId39" /><Relationship Type="http://schemas.openxmlformats.org/officeDocument/2006/relationships/hyperlink" Target="https://www.msci.com/documents/10199/255599/msci-peru-index-net.pdf" TargetMode="External" Id="rId40" /><Relationship Type="http://schemas.openxmlformats.org/officeDocument/2006/relationships/hyperlink" Target="https://www.msci.com/documents/10199/255599/msci-portugal-index-usd-gross.pdf" TargetMode="External" Id="rId41" /><Relationship Type="http://schemas.openxmlformats.org/officeDocument/2006/relationships/hyperlink" Target="https://www.msci.com/documents/10199/255599/msci-philippines-index.pdf" TargetMode="External" Id="rId42" /><Relationship Type="http://schemas.openxmlformats.org/officeDocument/2006/relationships/hyperlink" Target="https://www.msci.com/documents/10199/255599/msci-new-zealand-index.pdf" TargetMode="External" Id="rId43" /><Relationship Type="http://schemas.openxmlformats.org/officeDocument/2006/relationships/hyperlink" Target="https://www.msci.com/documents/10199/255599/msci-hungary-index.pdf" TargetMode="External" Id="rId44" /><Relationship Type="http://schemas.openxmlformats.org/officeDocument/2006/relationships/hyperlink" Target="https://www.msci.com/documents/10199/255599/msci-argentina-index-net.pdf" TargetMode="External" Id="rId45" /><Relationship Type="http://schemas.openxmlformats.org/officeDocument/2006/relationships/hyperlink" Target="https://www.msci.com/documents/10199/255599/msci-romania-index-usd-net.pdf" TargetMode="External" Id="rId46" /><Relationship Type="http://schemas.openxmlformats.org/officeDocument/2006/relationships/hyperlink" Target="https://www.msci.com/documents/10199/255599/msci-morocco-index.pdf" TargetMode="External" Id="rId47" /><Relationship Type="http://schemas.openxmlformats.org/officeDocument/2006/relationships/hyperlink" Target="https://www.msci.com/documents/10199/255599/msci-nigeria-index.pdf" TargetMode="External" Id="rId48" /><Relationship Type="http://schemas.openxmlformats.org/officeDocument/2006/relationships/hyperlink" Target="https://www.msci.com/documents/10199/255599/msci-colombia-index-net.pdf" TargetMode="External" Id="rId49" /><Relationship Type="http://schemas.openxmlformats.org/officeDocument/2006/relationships/hyperlink" Target="https://www.msci.com/documents/10199/255599/msci-kazakhstan-index-usd-net.pdf" TargetMode="External" Id="rId50" /><Relationship Type="http://schemas.openxmlformats.org/officeDocument/2006/relationships/hyperlink" Target="https://www.msci.com/documents/10199/255599/msci-pakistan-index-usd-net.pdf" TargetMode="External" Id="rId51" /><Relationship Type="http://schemas.openxmlformats.org/officeDocument/2006/relationships/hyperlink" Target="https://www.msci.com/documents/10199/255599/msci-czech-republic-index-usd-gross.pdf" TargetMode="External" Id="rId52" /><Relationship Type="http://schemas.openxmlformats.org/officeDocument/2006/relationships/hyperlink" Target="https://www.msci.com/documents/10199/255599/msci-egypt-index-usd-gross.pdf" TargetMode="External" Id="rId53" /><Relationship Type="http://schemas.openxmlformats.org/officeDocument/2006/relationships/hyperlink" Target="https://www.msci.com/documents/10199/255599/msci-bangladesh-index-usd-net.pdf" TargetMode="External" Id="rId54" /><Relationship Type="http://schemas.openxmlformats.org/officeDocument/2006/relationships/hyperlink" Target="https://www.msci.com/documents/10199/255599/msci-ukraine-index-usd-net.pdf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46080</v>
      </c>
      <c r="G2" t="n">
        <v>14.32992144727447</v>
      </c>
      <c r="H2" t="n">
        <v>14.53583890290626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46049</v>
      </c>
      <c r="F3" s="2" t="n">
        <v>46080</v>
      </c>
      <c r="G3" t="n">
        <v>9.858188472095165</v>
      </c>
      <c r="H3" t="n">
        <v>8.364187664870549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45988</v>
      </c>
      <c r="F4" s="2" t="n">
        <v>46080</v>
      </c>
      <c r="G4" t="n">
        <v>17.31802638006841</v>
      </c>
      <c r="H4" t="n">
        <v>19.50101608935411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45896</v>
      </c>
      <c r="F5" s="2" t="n">
        <v>46080</v>
      </c>
      <c r="G5" t="n">
        <v>14.12617322086254</v>
      </c>
      <c r="H5" t="n">
        <v>14.23395280374196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45715</v>
      </c>
      <c r="F6" s="2" t="n">
        <v>46080</v>
      </c>
      <c r="G6" t="n">
        <v>20.05999250093737</v>
      </c>
      <c r="H6" t="n">
        <v>27.71994996280334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44984</v>
      </c>
      <c r="F7" s="2" t="n">
        <v>46080</v>
      </c>
      <c r="G7" t="n">
        <v>8.714350384789494</v>
      </c>
      <c r="H7" t="n">
        <v>22.71267736898881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44253</v>
      </c>
      <c r="F8" s="2" t="n">
        <v>46080</v>
      </c>
      <c r="G8" t="n">
        <v>55.96687773989284</v>
      </c>
      <c r="H8" t="n">
        <v>50.21394093930145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42426</v>
      </c>
      <c r="F9" s="2" t="n">
        <v>46080</v>
      </c>
      <c r="G9" t="n">
        <v>171.5860899067006</v>
      </c>
      <c r="H9" t="n">
        <v>162.3489110769649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46080</v>
      </c>
      <c r="G10" t="n">
        <v>227.300241768202</v>
      </c>
      <c r="H10" t="n">
        <v>171.7367855473777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46080</v>
      </c>
      <c r="G11" t="n">
        <v>6.82266164550569</v>
      </c>
      <c r="H11" t="n">
        <v>6.82266164550569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46049</v>
      </c>
      <c r="F12" s="2" t="n">
        <v>46080</v>
      </c>
      <c r="G12" t="n">
        <v>-1.379486737522206</v>
      </c>
      <c r="H12" t="n">
        <v>-1.379486737522206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45987</v>
      </c>
      <c r="F13" s="2" t="n">
        <v>46080</v>
      </c>
      <c r="G13" t="n">
        <v>15.44789683719518</v>
      </c>
      <c r="H13" t="n">
        <v>15.44789683719518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45896</v>
      </c>
      <c r="F14" s="2" t="n">
        <v>46080</v>
      </c>
      <c r="G14" t="n">
        <v>22.93964881515402</v>
      </c>
      <c r="H14" t="n">
        <v>22.93964881515402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45715</v>
      </c>
      <c r="F15" s="2" t="n">
        <v>46080</v>
      </c>
      <c r="G15" t="n">
        <v>59.85631234682993</v>
      </c>
      <c r="H15" t="n">
        <v>59.85631234682993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44984</v>
      </c>
      <c r="F16" s="2" t="n">
        <v>46080</v>
      </c>
      <c r="G16" t="n">
        <v>109.0394293580573</v>
      </c>
      <c r="H16" t="n">
        <v>109.0394293580573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44253</v>
      </c>
      <c r="F17" s="2" t="n">
        <v>46080</v>
      </c>
      <c r="G17" t="n">
        <v>123.7223533805263</v>
      </c>
      <c r="H17" t="n">
        <v>123.7223533805263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42426</v>
      </c>
      <c r="F18" s="2" t="n">
        <v>46080</v>
      </c>
      <c r="G18" t="n">
        <v>276.9784598615001</v>
      </c>
      <c r="H18" t="n">
        <v>276.9784598615001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46080</v>
      </c>
      <c r="G19" t="n">
        <v>687.1827870664051</v>
      </c>
      <c r="H19" t="n">
        <v>687.1827870664051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46080</v>
      </c>
      <c r="G20" t="n">
        <v>9.300412756536435</v>
      </c>
      <c r="H20" t="n">
        <v>9.300412756536435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46049</v>
      </c>
      <c r="F21" s="2" t="n">
        <v>46080</v>
      </c>
      <c r="G21" t="n">
        <v>0.7205105068722739</v>
      </c>
      <c r="H21" t="n">
        <v>0.7205105068722739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45987</v>
      </c>
      <c r="F22" s="2" t="n">
        <v>46080</v>
      </c>
      <c r="G22" t="n">
        <v>10.48467910614379</v>
      </c>
      <c r="H22" t="n">
        <v>10.48467910614379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45896</v>
      </c>
      <c r="F23" s="2" t="n">
        <v>46080</v>
      </c>
      <c r="G23" t="n">
        <v>15.44599508174189</v>
      </c>
      <c r="H23" t="n">
        <v>15.44599508174189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45715</v>
      </c>
      <c r="F24" s="2" t="n">
        <v>46080</v>
      </c>
      <c r="G24" t="n">
        <v>40.10996021003182</v>
      </c>
      <c r="H24" t="n">
        <v>40.10996021003182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44984</v>
      </c>
      <c r="F25" s="2" t="n">
        <v>46080</v>
      </c>
      <c r="G25" t="n">
        <v>52.92014665305238</v>
      </c>
      <c r="H25" t="n">
        <v>52.92014665305238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44253</v>
      </c>
      <c r="F26" s="2" t="n">
        <v>46080</v>
      </c>
      <c r="G26" t="n">
        <v>56.81798576495945</v>
      </c>
      <c r="H26" t="n">
        <v>56.81798576495945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42426</v>
      </c>
      <c r="F27" s="2" t="n">
        <v>46080</v>
      </c>
      <c r="G27" t="n">
        <v>107.1145821194402</v>
      </c>
      <c r="H27" t="n">
        <v>107.1145821194402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46080</v>
      </c>
      <c r="G28" t="n">
        <v>515.2215440592456</v>
      </c>
      <c r="H28" t="n">
        <v>515.2215440592456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46080</v>
      </c>
      <c r="G29" t="n">
        <v>21.84941773319498</v>
      </c>
      <c r="H29" t="n">
        <v>22.06887841113663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46049</v>
      </c>
      <c r="F30" s="2" t="n">
        <v>46080</v>
      </c>
      <c r="G30" t="n">
        <v>5.469061876247516</v>
      </c>
      <c r="H30" t="n">
        <v>4.034750371826878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45988</v>
      </c>
      <c r="F31" s="2" t="n">
        <v>46080</v>
      </c>
      <c r="G31" t="n">
        <v>18.74157303370787</v>
      </c>
      <c r="H31" t="n">
        <v>20.95105132101922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45896</v>
      </c>
      <c r="F32" s="2" t="n">
        <v>46080</v>
      </c>
      <c r="G32" t="n">
        <v>40.92545672756369</v>
      </c>
      <c r="H32" t="n">
        <v>41.05854527784562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45715</v>
      </c>
      <c r="F33" s="2" t="n">
        <v>46080</v>
      </c>
      <c r="G33" t="n">
        <v>55.5261221486387</v>
      </c>
      <c r="H33" t="n">
        <v>65.4488570668359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44984</v>
      </c>
      <c r="F34" s="2" t="n">
        <v>46080</v>
      </c>
      <c r="G34" t="n">
        <v>52.65058500650008</v>
      </c>
      <c r="H34" t="n">
        <v>72.30624955940416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44253</v>
      </c>
      <c r="F35" s="2" t="n">
        <v>46080</v>
      </c>
      <c r="G35" t="n">
        <v>84.72295053312359</v>
      </c>
      <c r="H35" t="n">
        <v>77.9093278240244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42426</v>
      </c>
      <c r="F36" s="2" t="n">
        <v>46080</v>
      </c>
      <c r="G36" t="n">
        <v>241.7299919159257</v>
      </c>
      <c r="H36" t="n">
        <v>230.107080566173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46080</v>
      </c>
      <c r="G37" t="n">
        <v>131.11273610735</v>
      </c>
      <c r="H37" t="n">
        <v>111.8806312634765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46080</v>
      </c>
      <c r="G38" t="n">
        <v>6.872687076464667</v>
      </c>
      <c r="H38" t="n">
        <v>7.065173448542406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46049</v>
      </c>
      <c r="F39" s="2" t="n">
        <v>46080</v>
      </c>
      <c r="G39" t="n">
        <v>5.784691498977201</v>
      </c>
      <c r="H39" t="n">
        <v>4.346087634399343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45988</v>
      </c>
      <c r="F40" s="2" t="n">
        <v>46080</v>
      </c>
      <c r="G40" t="n">
        <v>9.988871027575108</v>
      </c>
      <c r="H40" t="n">
        <v>12.03548382015052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45896</v>
      </c>
      <c r="F41" s="2" t="n">
        <v>46080</v>
      </c>
      <c r="G41" t="n">
        <v>21.22219799389446</v>
      </c>
      <c r="H41" t="n">
        <v>21.33667898950469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45715</v>
      </c>
      <c r="F42" s="2" t="n">
        <v>46080</v>
      </c>
      <c r="G42" t="n">
        <v>33.61172865468966</v>
      </c>
      <c r="H42" t="n">
        <v>42.13630155013868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44984</v>
      </c>
      <c r="F43" s="2" t="n">
        <v>46080</v>
      </c>
      <c r="G43" t="n">
        <v>59.76577935840788</v>
      </c>
      <c r="H43" t="n">
        <v>80.33761382578599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44253</v>
      </c>
      <c r="F44" s="2" t="n">
        <v>46080</v>
      </c>
      <c r="G44" t="n">
        <v>102.9293666727505</v>
      </c>
      <c r="H44" t="n">
        <v>95.44418880441286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42426</v>
      </c>
      <c r="F45" s="2" t="n">
        <v>46080</v>
      </c>
      <c r="G45" t="n">
        <v>229.7545784829836</v>
      </c>
      <c r="H45" t="n">
        <v>218.5389745747796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46080</v>
      </c>
      <c r="G46" t="n">
        <v>118.0491349351082</v>
      </c>
      <c r="H46" t="n">
        <v>80.10284814333922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46080</v>
      </c>
      <c r="G47" t="n">
        <v>4.827428357350039</v>
      </c>
      <c r="H47" t="n">
        <v>5.016231052694531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46049</v>
      </c>
      <c r="F48" s="2" t="n">
        <v>46080</v>
      </c>
      <c r="G48" t="n">
        <v>3.523718876745119</v>
      </c>
      <c r="H48" t="n">
        <v>2.115862787728706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45988</v>
      </c>
      <c r="F49" s="2" t="n">
        <v>46080</v>
      </c>
      <c r="G49" t="n">
        <v>7.923169267707086</v>
      </c>
      <c r="H49" t="n">
        <v>9.93134461103975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45896</v>
      </c>
      <c r="F50" s="2" t="n">
        <v>46080</v>
      </c>
      <c r="G50" t="n">
        <v>14.02840844254605</v>
      </c>
      <c r="H50" t="n">
        <v>14.13609569737548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45715</v>
      </c>
      <c r="F51" s="2" t="n">
        <v>46080</v>
      </c>
      <c r="G51" t="n">
        <v>21.88178277607029</v>
      </c>
      <c r="H51" t="n">
        <v>29.65797242920389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44984</v>
      </c>
      <c r="F52" s="2" t="n">
        <v>46080</v>
      </c>
      <c r="G52" t="n">
        <v>8.850947260571719</v>
      </c>
      <c r="H52" t="n">
        <v>22.86686279426291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44253</v>
      </c>
      <c r="F53" s="2" t="n">
        <v>46080</v>
      </c>
      <c r="G53" t="n">
        <v>-2.589665595602986</v>
      </c>
      <c r="H53" t="n">
        <v>-6.182707308520685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42426</v>
      </c>
      <c r="F54" s="2" t="n">
        <v>46080</v>
      </c>
      <c r="G54" t="n">
        <v>85.85899882409218</v>
      </c>
      <c r="H54" t="n">
        <v>79.53756752456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46080</v>
      </c>
      <c r="G55" t="n">
        <v>-12.03522504892368</v>
      </c>
      <c r="H55" t="n">
        <v>-20.23582155451328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46080</v>
      </c>
      <c r="G56" t="n">
        <v>6.544985250737456</v>
      </c>
      <c r="H56" t="n">
        <v>6.736881405264916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46049</v>
      </c>
      <c r="F57" s="2" t="n">
        <v>46080</v>
      </c>
      <c r="G57" t="n">
        <v>6.407659731172899</v>
      </c>
      <c r="H57" t="n">
        <v>4.960583898736104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45988</v>
      </c>
      <c r="F58" s="2" t="n">
        <v>46080</v>
      </c>
      <c r="G58" t="n">
        <v>6.800961005359452</v>
      </c>
      <c r="H58" t="n">
        <v>8.788254910741177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45896</v>
      </c>
      <c r="F59" s="2" t="n">
        <v>46080</v>
      </c>
      <c r="G59" t="n">
        <v>13.51404439206443</v>
      </c>
      <c r="H59" t="n">
        <v>13.62124588678078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45715</v>
      </c>
      <c r="F60" s="2" t="n">
        <v>46080</v>
      </c>
      <c r="G60" t="n">
        <v>16.93054782740655</v>
      </c>
      <c r="H60" t="n">
        <v>24.39084333211954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44984</v>
      </c>
      <c r="F61" s="2" t="n">
        <v>46080</v>
      </c>
      <c r="G61" t="n">
        <v>27.48028456405447</v>
      </c>
      <c r="H61" t="n">
        <v>43.89495936135783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44253</v>
      </c>
      <c r="F62" s="2" t="n">
        <v>46080</v>
      </c>
      <c r="G62" t="n">
        <v>70.57260920897284</v>
      </c>
      <c r="H62" t="n">
        <v>64.28093077755801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42426</v>
      </c>
      <c r="F63" s="2" t="n">
        <v>46080</v>
      </c>
      <c r="G63" t="n">
        <v>189.7468037102031</v>
      </c>
      <c r="H63" t="n">
        <v>179.8919431680637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46080</v>
      </c>
      <c r="G64" t="n">
        <v>132.0958175895152</v>
      </c>
      <c r="H64" t="n">
        <v>93.14232012679693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46080</v>
      </c>
      <c r="G65" t="n">
        <v>3.004181607016121</v>
      </c>
      <c r="H65" t="n">
        <v>3.267996810511198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46049</v>
      </c>
      <c r="F66" s="2" t="n">
        <v>46080</v>
      </c>
      <c r="G66" t="n">
        <v>1.504484736138489</v>
      </c>
      <c r="H66" t="n">
        <v>0.8767039976123714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45988</v>
      </c>
      <c r="F67" s="2" t="n">
        <v>46080</v>
      </c>
      <c r="G67" t="n">
        <v>6.243011911017216</v>
      </c>
      <c r="H67" t="n">
        <v>8.082613780947367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45896</v>
      </c>
      <c r="F68" s="2" t="n">
        <v>46080</v>
      </c>
      <c r="G68" t="n">
        <v>4.952827768791068</v>
      </c>
      <c r="H68" t="n">
        <v>6.428188545945668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45715</v>
      </c>
      <c r="F69" s="2" t="n">
        <v>46080</v>
      </c>
      <c r="G69" t="n">
        <v>11.52287585794081</v>
      </c>
      <c r="H69" t="n">
        <v>25.49679883548357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44984</v>
      </c>
      <c r="F70" s="2" t="n">
        <v>46080</v>
      </c>
      <c r="G70" t="n">
        <v>61.43099555238562</v>
      </c>
      <c r="H70" t="n">
        <v>80.52284890226402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44253</v>
      </c>
      <c r="F71" s="2" t="n">
        <v>46080</v>
      </c>
      <c r="G71" t="n">
        <v>78.06061257166526</v>
      </c>
      <c r="H71" t="n">
        <v>72.82748886209205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42426</v>
      </c>
      <c r="F72" s="2" t="n">
        <v>46080</v>
      </c>
      <c r="G72" t="n">
        <v>148.8991990179754</v>
      </c>
      <c r="H72" t="n">
        <v>166.4640946708147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46080</v>
      </c>
      <c r="G73" t="n">
        <v>177.5713312964656</v>
      </c>
      <c r="H73" t="n">
        <v>122.1907416801758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46080</v>
      </c>
      <c r="G74" t="n">
        <v>3.612356751370194</v>
      </c>
      <c r="H74" t="n">
        <v>3.798971004263696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46049</v>
      </c>
      <c r="F75" s="2" t="n">
        <v>46080</v>
      </c>
      <c r="G75" t="n">
        <v>2.514173034261757</v>
      </c>
      <c r="H75" t="n">
        <v>1.120046120326212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45988</v>
      </c>
      <c r="F76" s="2" t="n">
        <v>46080</v>
      </c>
      <c r="G76" t="n">
        <v>6.635557150915328</v>
      </c>
      <c r="H76" t="n">
        <v>8.619773311782698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45896</v>
      </c>
      <c r="F77" s="2" t="n">
        <v>46080</v>
      </c>
      <c r="G77" t="n">
        <v>7.008696547110582</v>
      </c>
      <c r="H77" t="n">
        <v>7.10975445830504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45715</v>
      </c>
      <c r="F78" s="2" t="n">
        <v>46080</v>
      </c>
      <c r="G78" t="n">
        <v>19.0735226752176</v>
      </c>
      <c r="H78" t="n">
        <v>26.67054229455148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44984</v>
      </c>
      <c r="F79" s="2" t="n">
        <v>46080</v>
      </c>
      <c r="G79" t="n">
        <v>61.25155086848633</v>
      </c>
      <c r="H79" t="n">
        <v>82.01469692764853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44253</v>
      </c>
      <c r="F80" s="2" t="n">
        <v>46080</v>
      </c>
      <c r="G80" t="n">
        <v>81.40975311872982</v>
      </c>
      <c r="H80" t="n">
        <v>74.71833978901358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42426</v>
      </c>
      <c r="F81" s="2" t="n">
        <v>46080</v>
      </c>
      <c r="G81" t="n">
        <v>122.6230784012097</v>
      </c>
      <c r="H81" t="n">
        <v>115.0512282098958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46080</v>
      </c>
      <c r="G82" t="n">
        <v>317.9353533335342</v>
      </c>
      <c r="H82" t="n">
        <v>283.1567571010084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46080</v>
      </c>
      <c r="G83" t="n">
        <v>7.237136061348148</v>
      </c>
      <c r="H83" t="n">
        <v>7.237136061348148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46049</v>
      </c>
      <c r="F84" s="2" t="n">
        <v>46080</v>
      </c>
      <c r="G84" t="n">
        <v>-6.197741557419167</v>
      </c>
      <c r="H84" t="n">
        <v>-6.197741557419167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45987</v>
      </c>
      <c r="F85" s="2" t="n">
        <v>46080</v>
      </c>
      <c r="G85" t="n">
        <v>9.095764055038181</v>
      </c>
      <c r="H85" t="n">
        <v>9.095764055038181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45896</v>
      </c>
      <c r="F86" s="2" t="n">
        <v>46080</v>
      </c>
      <c r="G86" t="n">
        <v>11.9039387921746</v>
      </c>
      <c r="H86" t="n">
        <v>11.9039387921746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45715</v>
      </c>
      <c r="F87" s="2" t="n">
        <v>46080</v>
      </c>
      <c r="G87" t="n">
        <v>74.29811903889059</v>
      </c>
      <c r="H87" t="n">
        <v>74.29811903889059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44984</v>
      </c>
      <c r="F88" s="2" t="n">
        <v>46080</v>
      </c>
      <c r="G88" t="n">
        <v>142.3709167531</v>
      </c>
      <c r="H88" t="n">
        <v>142.3709167531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44253</v>
      </c>
      <c r="F89" s="2" t="n">
        <v>46080</v>
      </c>
      <c r="G89" t="n">
        <v>232.4524795230915</v>
      </c>
      <c r="H89" t="n">
        <v>232.4524795230915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42426</v>
      </c>
      <c r="F90" s="2" t="n">
        <v>46080</v>
      </c>
      <c r="G90" t="n">
        <v>392.3063065564515</v>
      </c>
      <c r="H90" t="n">
        <v>392.3063065564515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46080</v>
      </c>
      <c r="G91" t="n">
        <v>115.0889930726541</v>
      </c>
      <c r="H91" t="n">
        <v>115.0889930726541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46080</v>
      </c>
      <c r="G92" t="n">
        <v>13.9294074563419</v>
      </c>
      <c r="H92" t="n">
        <v>13.9294074563419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46049</v>
      </c>
      <c r="F93" s="2" t="n">
        <v>46080</v>
      </c>
      <c r="G93" t="n">
        <v>4.039529902094907</v>
      </c>
      <c r="H93" t="n">
        <v>4.039529902094907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45987</v>
      </c>
      <c r="F94" s="2" t="n">
        <v>46080</v>
      </c>
      <c r="G94" t="n">
        <v>12.75860699678355</v>
      </c>
      <c r="H94" t="n">
        <v>12.75860699678355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45896</v>
      </c>
      <c r="F95" s="2" t="n">
        <v>46080</v>
      </c>
      <c r="G95" t="n">
        <v>17.80908171374229</v>
      </c>
      <c r="H95" t="n">
        <v>17.80908171374229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45715</v>
      </c>
      <c r="F96" s="2" t="n">
        <v>46080</v>
      </c>
      <c r="G96" t="n">
        <v>44.63970412531009</v>
      </c>
      <c r="H96" t="n">
        <v>44.63970412531009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44984</v>
      </c>
      <c r="F97" s="2" t="n">
        <v>46080</v>
      </c>
      <c r="G97" t="n">
        <v>35.40446244383222</v>
      </c>
      <c r="H97" t="n">
        <v>35.40446244383222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44253</v>
      </c>
      <c r="F98" s="2" t="n">
        <v>46080</v>
      </c>
      <c r="G98" t="n">
        <v>11.17162060007393</v>
      </c>
      <c r="H98" t="n">
        <v>11.17162060007393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42426</v>
      </c>
      <c r="F99" s="2" t="n">
        <v>46080</v>
      </c>
      <c r="G99" t="n">
        <v>89.00893179156115</v>
      </c>
      <c r="H99" t="n">
        <v>89.00893179156115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46080</v>
      </c>
      <c r="G100" t="n">
        <v>362.7294357781237</v>
      </c>
      <c r="H100" t="n">
        <v>362.7294357781237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46080</v>
      </c>
      <c r="G101" t="n">
        <v>-3.249262824330423</v>
      </c>
      <c r="H101" t="n">
        <v>-3.249262824330423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46049</v>
      </c>
      <c r="F102" s="2" t="n">
        <v>46080</v>
      </c>
      <c r="G102" t="n">
        <v>0.9036591053134924</v>
      </c>
      <c r="H102" t="n">
        <v>0.9036591053134924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45988</v>
      </c>
      <c r="F103" s="2" t="n">
        <v>46080</v>
      </c>
      <c r="G103" t="n">
        <v>-4.911805431882755</v>
      </c>
      <c r="H103" t="n">
        <v>-4.911805431882755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45896</v>
      </c>
      <c r="F104" s="2" t="n">
        <v>46080</v>
      </c>
      <c r="G104" t="n">
        <v>-0.8719134999882527</v>
      </c>
      <c r="H104" t="n">
        <v>-0.8719134999882527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45715</v>
      </c>
      <c r="F105" s="2" t="n">
        <v>46080</v>
      </c>
      <c r="G105" t="n">
        <v>7.698927489282092</v>
      </c>
      <c r="H105" t="n">
        <v>7.698927489282092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44984</v>
      </c>
      <c r="F106" s="2" t="n">
        <v>46080</v>
      </c>
      <c r="G106" t="n">
        <v>36.79719980685332</v>
      </c>
      <c r="H106" t="n">
        <v>36.79719980685332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44253</v>
      </c>
      <c r="F107" s="2" t="n">
        <v>46080</v>
      </c>
      <c r="G107" t="n">
        <v>40.4852867609431</v>
      </c>
      <c r="H107" t="n">
        <v>40.4852867609431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42426</v>
      </c>
      <c r="F108" s="2" t="n">
        <v>46080</v>
      </c>
      <c r="G108" t="n">
        <v>140.499995304988</v>
      </c>
      <c r="H108" t="n">
        <v>140.499995304988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46080</v>
      </c>
      <c r="G109" t="n">
        <v>270.0000011286087</v>
      </c>
      <c r="H109" t="n">
        <v>270.0000011286087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46080</v>
      </c>
      <c r="G110" t="n">
        <v>-7.560406683824173</v>
      </c>
      <c r="H110" t="n">
        <v>-7.121798238321064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46049</v>
      </c>
      <c r="F111" s="2" t="n">
        <v>46080</v>
      </c>
      <c r="G111" t="n">
        <v>-5.367830974038046</v>
      </c>
      <c r="H111" t="n">
        <v>-5.953108098628923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45988</v>
      </c>
      <c r="F112" s="2" t="n">
        <v>46080</v>
      </c>
      <c r="G112" t="n">
        <v>-9.68267665716338</v>
      </c>
      <c r="H112" t="n">
        <v>-8.118828702177661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45896</v>
      </c>
      <c r="F113" s="2" t="n">
        <v>46080</v>
      </c>
      <c r="G113" t="n">
        <v>-8.192095239583519</v>
      </c>
      <c r="H113" t="n">
        <v>-6.901517514372957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45715</v>
      </c>
      <c r="F114" s="2" t="n">
        <v>46080</v>
      </c>
      <c r="G114" t="n">
        <v>-7.751494513326374</v>
      </c>
      <c r="H114" t="n">
        <v>3.80733142751688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44984</v>
      </c>
      <c r="F115" s="2" t="n">
        <v>46080</v>
      </c>
      <c r="G115" t="n">
        <v>-26.20294399800799</v>
      </c>
      <c r="H115" t="n">
        <v>-17.47523612492119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44253</v>
      </c>
      <c r="F116" s="2" t="n">
        <v>46080</v>
      </c>
      <c r="G116" t="n">
        <v>-7.476820535819928</v>
      </c>
      <c r="H116" t="n">
        <v>-10.19603640925866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42426</v>
      </c>
      <c r="F117" s="2" t="n">
        <v>46080</v>
      </c>
      <c r="G117" t="n">
        <v>-1.610378235139809</v>
      </c>
      <c r="H117" t="n">
        <v>5.333008671851758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46080</v>
      </c>
      <c r="G118" t="n">
        <v>2.270570903608382</v>
      </c>
      <c r="H118" t="n">
        <v>-17.05514271016647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46080</v>
      </c>
      <c r="G119" t="n">
        <v>5.521810967959917</v>
      </c>
      <c r="H119" t="n">
        <v>5.521810967959917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46049</v>
      </c>
      <c r="F120" s="2" t="n">
        <v>46080</v>
      </c>
      <c r="G120" t="n">
        <v>1.236095267060811</v>
      </c>
      <c r="H120" t="n">
        <v>1.236095267060811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45987</v>
      </c>
      <c r="F121" s="2" t="n">
        <v>46080</v>
      </c>
      <c r="G121" t="n">
        <v>10.54468689201664</v>
      </c>
      <c r="H121" t="n">
        <v>10.54468689201664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45896</v>
      </c>
      <c r="F122" s="2" t="n">
        <v>46080</v>
      </c>
      <c r="G122" t="n">
        <v>14.08403040861057</v>
      </c>
      <c r="H122" t="n">
        <v>14.08403040861057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45715</v>
      </c>
      <c r="F123" s="2" t="n">
        <v>46080</v>
      </c>
      <c r="G123" t="n">
        <v>45.54175647592675</v>
      </c>
      <c r="H123" t="n">
        <v>45.54175647592675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44984</v>
      </c>
      <c r="F124" s="2" t="n">
        <v>46080</v>
      </c>
      <c r="G124" t="n">
        <v>111.5527525040808</v>
      </c>
      <c r="H124" t="n">
        <v>111.5527525040808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44253</v>
      </c>
      <c r="F125" s="2" t="n">
        <v>46080</v>
      </c>
      <c r="G125" t="n">
        <v>128.5889593507336</v>
      </c>
      <c r="H125" t="n">
        <v>128.5889593507336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42426</v>
      </c>
      <c r="F126" s="2" t="n">
        <v>46080</v>
      </c>
      <c r="G126" t="n">
        <v>254.8566745317935</v>
      </c>
      <c r="H126" t="n">
        <v>254.8566745317935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46080</v>
      </c>
      <c r="G127" t="n">
        <v>621.0598037786906</v>
      </c>
      <c r="H127" t="n">
        <v>621.0598037786906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46080</v>
      </c>
      <c r="G128" t="n">
        <v>14.80609494160825</v>
      </c>
      <c r="H128" t="n">
        <v>14.80609494160825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46049</v>
      </c>
      <c r="F129" s="2" t="n">
        <v>46080</v>
      </c>
      <c r="G129" t="n">
        <v>8.070328837811314</v>
      </c>
      <c r="H129" t="n">
        <v>8.070328837811314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45988</v>
      </c>
      <c r="F130" s="2" t="n">
        <v>46080</v>
      </c>
      <c r="G130" t="n">
        <v>16.15964465136106</v>
      </c>
      <c r="H130" t="n">
        <v>16.15964465136106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45896</v>
      </c>
      <c r="F131" s="2" t="n">
        <v>46080</v>
      </c>
      <c r="G131" t="n">
        <v>22.89629690504757</v>
      </c>
      <c r="H131" t="n">
        <v>22.89629690504757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45715</v>
      </c>
      <c r="F132" s="2" t="n">
        <v>46080</v>
      </c>
      <c r="G132" t="n">
        <v>39.67143260840227</v>
      </c>
      <c r="H132" t="n">
        <v>39.67143260840227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44984</v>
      </c>
      <c r="F133" s="2" t="n">
        <v>46080</v>
      </c>
      <c r="G133" t="n">
        <v>81.99975036029319</v>
      </c>
      <c r="H133" t="n">
        <v>81.99975036029319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44253</v>
      </c>
      <c r="F134" s="2" t="n">
        <v>46080</v>
      </c>
      <c r="G134" t="n">
        <v>54.06596237849362</v>
      </c>
      <c r="H134" t="n">
        <v>54.06596237849362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42426</v>
      </c>
      <c r="F135" s="2" t="n">
        <v>46080</v>
      </c>
      <c r="G135" t="n">
        <v>158.0800033024814</v>
      </c>
      <c r="H135" t="n">
        <v>158.0800033024814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46080</v>
      </c>
      <c r="G136" t="n">
        <v>162.8605707962589</v>
      </c>
      <c r="H136" t="n">
        <v>162.8605707962589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46080</v>
      </c>
      <c r="G137" t="n">
        <v>6.433029284685565</v>
      </c>
      <c r="H137" t="n">
        <v>6.624723797443477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46049</v>
      </c>
      <c r="F138" s="2" t="n">
        <v>46080</v>
      </c>
      <c r="G138" t="n">
        <v>-0.6275212909009231</v>
      </c>
      <c r="H138" t="n">
        <v>-1.978923179755265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45988</v>
      </c>
      <c r="F139" s="2" t="n">
        <v>46080</v>
      </c>
      <c r="G139" t="n">
        <v>10.82229442639342</v>
      </c>
      <c r="H139" t="n">
        <v>12.88441510602794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45896</v>
      </c>
      <c r="F140" s="2" t="n">
        <v>46080</v>
      </c>
      <c r="G140" t="n">
        <v>19.12950026867277</v>
      </c>
      <c r="H140" t="n">
        <v>19.24200494209893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45715</v>
      </c>
      <c r="F141" s="2" t="n">
        <v>46080</v>
      </c>
      <c r="G141" t="n">
        <v>18.90587288817378</v>
      </c>
      <c r="H141" t="n">
        <v>26.49219626964778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44984</v>
      </c>
      <c r="F142" s="2" t="n">
        <v>46080</v>
      </c>
      <c r="G142" t="n">
        <v>32.04288266825493</v>
      </c>
      <c r="H142" t="n">
        <v>49.04504881268979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44253</v>
      </c>
      <c r="F143" s="2" t="n">
        <v>46080</v>
      </c>
      <c r="G143" t="n">
        <v>35.78318787322004</v>
      </c>
      <c r="H143" t="n">
        <v>30.77473922221736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42426</v>
      </c>
      <c r="F144" s="2" t="n">
        <v>46080</v>
      </c>
      <c r="G144" t="n">
        <v>42.66409266409268</v>
      </c>
      <c r="H144" t="n">
        <v>37.81180535816724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46080</v>
      </c>
      <c r="G145" t="n">
        <v>9.134410267886018</v>
      </c>
      <c r="H145" t="n">
        <v>-2.283911919310166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46080</v>
      </c>
      <c r="G146" t="n">
        <v>16.7827868852459</v>
      </c>
      <c r="H146" t="n">
        <v>16.99312215035049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46049</v>
      </c>
      <c r="F147" s="2" t="n">
        <v>46080</v>
      </c>
      <c r="G147" t="n">
        <v>6.324626865671634</v>
      </c>
      <c r="H147" t="n">
        <v>4.878680226878118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45988</v>
      </c>
      <c r="F148" s="2" t="n">
        <v>46080</v>
      </c>
      <c r="G148" t="n">
        <v>20.38445289395858</v>
      </c>
      <c r="H148" t="n">
        <v>22.62450099171749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45896</v>
      </c>
      <c r="F149" s="2" t="n">
        <v>46080</v>
      </c>
      <c r="G149" t="n">
        <v>37.52413127413128</v>
      </c>
      <c r="H149" t="n">
        <v>37.65400764767703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45715</v>
      </c>
      <c r="F150" s="2" t="n">
        <v>46080</v>
      </c>
      <c r="G150" t="n">
        <v>57.44833258486746</v>
      </c>
      <c r="H150" t="n">
        <v>67.49370660929441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44984</v>
      </c>
      <c r="F151" s="2" t="n">
        <v>46080</v>
      </c>
      <c r="G151" t="n">
        <v>41.34424603174605</v>
      </c>
      <c r="H151" t="n">
        <v>59.54407858636641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44253</v>
      </c>
      <c r="F152" s="2" t="n">
        <v>46080</v>
      </c>
      <c r="G152" t="n">
        <v>136.630137480656</v>
      </c>
      <c r="H152" t="n">
        <v>127.9018853942627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42426</v>
      </c>
      <c r="F153" s="2" t="n">
        <v>46080</v>
      </c>
      <c r="G153" t="n">
        <v>123.455152847315</v>
      </c>
      <c r="H153" t="n">
        <v>115.8550021621836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46080</v>
      </c>
      <c r="G154" t="n">
        <v>55.68485625209003</v>
      </c>
      <c r="H154" t="n">
        <v>40.19639223727496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46080</v>
      </c>
      <c r="G155" t="n">
        <v>10.11748304623548</v>
      </c>
      <c r="H155" t="n">
        <v>10.11748304623548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46049</v>
      </c>
      <c r="F156" s="2" t="n">
        <v>46080</v>
      </c>
      <c r="G156" t="n">
        <v>-1.41287521993646</v>
      </c>
      <c r="H156" t="n">
        <v>-1.41287521993646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45987</v>
      </c>
      <c r="F157" s="2" t="n">
        <v>46080</v>
      </c>
      <c r="G157" t="n">
        <v>12.81841070821592</v>
      </c>
      <c r="H157" t="n">
        <v>12.81841070821592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45896</v>
      </c>
      <c r="F158" s="2" t="n">
        <v>46080</v>
      </c>
      <c r="G158" t="n">
        <v>21.66030491336346</v>
      </c>
      <c r="H158" t="n">
        <v>21.66030491336346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45715</v>
      </c>
      <c r="F159" s="2" t="n">
        <v>46080</v>
      </c>
      <c r="G159" t="n">
        <v>40.34137887734182</v>
      </c>
      <c r="H159" t="n">
        <v>40.34137887734182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44984</v>
      </c>
      <c r="F160" s="2" t="n">
        <v>46080</v>
      </c>
      <c r="G160" t="n">
        <v>66.66134839780233</v>
      </c>
      <c r="H160" t="n">
        <v>66.66134839780233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44253</v>
      </c>
      <c r="F161" s="2" t="n">
        <v>46080</v>
      </c>
      <c r="G161" t="n">
        <v>60.5773438138585</v>
      </c>
      <c r="H161" t="n">
        <v>60.5773438138585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42426</v>
      </c>
      <c r="F162" s="2" t="n">
        <v>46080</v>
      </c>
      <c r="G162" t="n">
        <v>244.836215479236</v>
      </c>
      <c r="H162" t="n">
        <v>244.836215479236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46080</v>
      </c>
      <c r="G163" t="n">
        <v>775.0329230769025</v>
      </c>
      <c r="H163" t="n">
        <v>775.0329230769025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46080</v>
      </c>
      <c r="G164" t="n">
        <v>-5.040159433426073</v>
      </c>
      <c r="H164" t="n">
        <v>-5.040159433426073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46049</v>
      </c>
      <c r="F165" s="2" t="n">
        <v>46080</v>
      </c>
      <c r="G165" t="n">
        <v>-10.70312558692727</v>
      </c>
      <c r="H165" t="n">
        <v>-10.70312558692727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45988</v>
      </c>
      <c r="F166" s="2" t="n">
        <v>46080</v>
      </c>
      <c r="G166" t="n">
        <v>-1.153075788583691</v>
      </c>
      <c r="H166" t="n">
        <v>-1.153075788583691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45896</v>
      </c>
      <c r="F167" s="2" t="n">
        <v>46080</v>
      </c>
      <c r="G167" t="n">
        <v>9.238609986996726</v>
      </c>
      <c r="H167" t="n">
        <v>9.238609986996726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45715</v>
      </c>
      <c r="F168" s="2" t="n">
        <v>46080</v>
      </c>
      <c r="G168" t="n">
        <v>33.58005524029566</v>
      </c>
      <c r="H168" t="n">
        <v>33.58005524029566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44984</v>
      </c>
      <c r="F169" s="2" t="n">
        <v>46080</v>
      </c>
      <c r="G169" t="n">
        <v>185.7499803801385</v>
      </c>
      <c r="H169" t="n">
        <v>185.7499803801385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44253</v>
      </c>
      <c r="F170" s="2" t="n">
        <v>46080</v>
      </c>
      <c r="G170" t="n">
        <v>45.29661242542726</v>
      </c>
      <c r="H170" t="n">
        <v>45.29661242542726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42426</v>
      </c>
      <c r="F171" s="2" t="n">
        <v>46080</v>
      </c>
      <c r="G171" t="n">
        <v>3.283131619481927</v>
      </c>
      <c r="H171" t="n">
        <v>3.283131619481927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46080</v>
      </c>
      <c r="G172" t="n">
        <v>49.08695530035092</v>
      </c>
      <c r="H172" t="n">
        <v>49.08695530035092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46080</v>
      </c>
      <c r="G173" t="n">
        <v>11.57428208581626</v>
      </c>
      <c r="H173" t="n">
        <v>11.77523641159746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46049</v>
      </c>
      <c r="F174" s="2" t="n">
        <v>46080</v>
      </c>
      <c r="G174" t="n">
        <v>9.201394430833254</v>
      </c>
      <c r="H174" t="n">
        <v>7.716325600746354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45988</v>
      </c>
      <c r="F175" s="2" t="n">
        <v>46080</v>
      </c>
      <c r="G175" t="n">
        <v>12.17120048164166</v>
      </c>
      <c r="H175" t="n">
        <v>14.25842086784523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45896</v>
      </c>
      <c r="F176" s="2" t="n">
        <v>46080</v>
      </c>
      <c r="G176" t="n">
        <v>5.714288278788082</v>
      </c>
      <c r="H176" t="n">
        <v>5.814123764141943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45715</v>
      </c>
      <c r="F177" s="2" t="n">
        <v>46080</v>
      </c>
      <c r="G177" t="n">
        <v>8.495046453440169</v>
      </c>
      <c r="H177" t="n">
        <v>15.4171478407948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44984</v>
      </c>
      <c r="F178" s="2" t="n">
        <v>46080</v>
      </c>
      <c r="G178" t="n">
        <v>-0.8277457114652553</v>
      </c>
      <c r="H178" t="n">
        <v>11.9419175241374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44253</v>
      </c>
      <c r="F179" s="2" t="n">
        <v>46080</v>
      </c>
      <c r="G179" t="n">
        <v>2.151848553020153</v>
      </c>
      <c r="H179" t="n">
        <v>-1.616086904206704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42426</v>
      </c>
      <c r="F180" s="2" t="n">
        <v>46080</v>
      </c>
      <c r="G180" t="n">
        <v>-2.329192491396481</v>
      </c>
      <c r="H180" t="n">
        <v>-5.651169385395738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46080</v>
      </c>
      <c r="G181" t="n">
        <v>54.35583196534702</v>
      </c>
      <c r="H181" t="n">
        <v>30.08239263467172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46080</v>
      </c>
      <c r="G182" t="n">
        <v>8.504013679430699</v>
      </c>
      <c r="H182" t="n">
        <v>8.504013679430699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46049</v>
      </c>
      <c r="F183" s="2" t="n">
        <v>46080</v>
      </c>
      <c r="G183" t="n">
        <v>-0.1117422022356984</v>
      </c>
      <c r="H183" t="n">
        <v>-0.1117422022356984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45988</v>
      </c>
      <c r="F184" s="2" t="n">
        <v>46080</v>
      </c>
      <c r="G184" t="n">
        <v>17.1512843553977</v>
      </c>
      <c r="H184" t="n">
        <v>17.1512843553977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45896</v>
      </c>
      <c r="F185" s="2" t="n">
        <v>46080</v>
      </c>
      <c r="G185" t="n">
        <v>24.50383199764692</v>
      </c>
      <c r="H185" t="n">
        <v>24.50383199764692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45715</v>
      </c>
      <c r="F186" s="2" t="n">
        <v>46080</v>
      </c>
      <c r="G186" t="n">
        <v>54.27677725352493</v>
      </c>
      <c r="H186" t="n">
        <v>54.27677725352493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44984</v>
      </c>
      <c r="F187" s="2" t="n">
        <v>46080</v>
      </c>
      <c r="G187" t="n">
        <v>164.9881320768918</v>
      </c>
      <c r="H187" t="n">
        <v>164.9881320768918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44253</v>
      </c>
      <c r="F188" s="2" t="n">
        <v>46080</v>
      </c>
      <c r="G188" t="n">
        <v>117.3443983979755</v>
      </c>
      <c r="H188" t="n">
        <v>117.3443983979755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42426</v>
      </c>
      <c r="F189" s="2" t="n">
        <v>46080</v>
      </c>
      <c r="G189" t="n">
        <v>134.4369819935154</v>
      </c>
      <c r="H189" t="n">
        <v>134.4369819935154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46080</v>
      </c>
      <c r="G190" t="n">
        <v>42.63063474311277</v>
      </c>
      <c r="H190" t="n">
        <v>42.63063474311277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46080</v>
      </c>
      <c r="G191" t="n">
        <v>8.616294483532183</v>
      </c>
      <c r="H191" t="n">
        <v>8.811921233879572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46049</v>
      </c>
      <c r="F192" s="2" t="n">
        <v>46080</v>
      </c>
      <c r="G192" t="n">
        <v>2.364020757255414</v>
      </c>
      <c r="H192" t="n">
        <v>0.9719358178524429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45988</v>
      </c>
      <c r="F193" s="2" t="n">
        <v>46080</v>
      </c>
      <c r="G193" t="n">
        <v>15.65689467969598</v>
      </c>
      <c r="H193" t="n">
        <v>17.80897495826952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45896</v>
      </c>
      <c r="F194" s="2" t="n">
        <v>46080</v>
      </c>
      <c r="G194" t="n">
        <v>24.83300128911285</v>
      </c>
      <c r="H194" t="n">
        <v>24.95089229017613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45715</v>
      </c>
      <c r="F195" s="2" t="n">
        <v>46080</v>
      </c>
      <c r="G195" t="n">
        <v>45.027778608776</v>
      </c>
      <c r="H195" t="n">
        <v>54.28070784682728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44984</v>
      </c>
      <c r="F196" s="2" t="n">
        <v>46080</v>
      </c>
      <c r="G196" t="n">
        <v>137.196055564121</v>
      </c>
      <c r="H196" t="n">
        <v>167.7380027256195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44253</v>
      </c>
      <c r="F197" s="2" t="n">
        <v>46080</v>
      </c>
      <c r="G197" t="n">
        <v>125.4677889294595</v>
      </c>
      <c r="H197" t="n">
        <v>117.1512671199799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42426</v>
      </c>
      <c r="F198" s="2" t="n">
        <v>46080</v>
      </c>
      <c r="G198" t="n">
        <v>142.2010004547522</v>
      </c>
      <c r="H198" t="n">
        <v>133.9632665019197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46080</v>
      </c>
      <c r="G199" t="n">
        <v>70.05108556832693</v>
      </c>
      <c r="H199" t="n">
        <v>43.44483397579621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46080</v>
      </c>
      <c r="G200" t="n">
        <v>3.292149533981537</v>
      </c>
      <c r="H200" t="n">
        <v>3.292149533981537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46049</v>
      </c>
      <c r="F201" s="2" t="n">
        <v>46080</v>
      </c>
      <c r="G201" t="n">
        <v>-6.836197197595539</v>
      </c>
      <c r="H201" t="n">
        <v>-6.836197197595539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45988</v>
      </c>
      <c r="F202" s="2" t="n">
        <v>46080</v>
      </c>
      <c r="G202" t="n">
        <v>2.721424317184229</v>
      </c>
      <c r="H202" t="n">
        <v>2.721424317184229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45896</v>
      </c>
      <c r="F203" s="2" t="n">
        <v>46080</v>
      </c>
      <c r="G203" t="n">
        <v>3.249338479359043</v>
      </c>
      <c r="H203" t="n">
        <v>3.249338479359043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45715</v>
      </c>
      <c r="F204" s="2" t="n">
        <v>46080</v>
      </c>
      <c r="G204" t="n">
        <v>-3.231816508079044</v>
      </c>
      <c r="H204" t="n">
        <v>-3.231816508079044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44984</v>
      </c>
      <c r="F205" s="2" t="n">
        <v>46080</v>
      </c>
      <c r="G205" t="n">
        <v>14.5379340511629</v>
      </c>
      <c r="H205" t="n">
        <v>14.5379340511629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44253</v>
      </c>
      <c r="F206" s="2" t="n">
        <v>46080</v>
      </c>
      <c r="G206" t="n">
        <v>29.77704607763414</v>
      </c>
      <c r="H206" t="n">
        <v>29.77704607763414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46080</v>
      </c>
      <c r="G207" t="n">
        <v>23.57143276132427</v>
      </c>
      <c r="H207" t="n">
        <v>23.57143276132427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46080</v>
      </c>
      <c r="G208" t="n">
        <v>4.58015346564411</v>
      </c>
      <c r="H208" t="n">
        <v>4.58015346564411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46049</v>
      </c>
      <c r="F209" s="2" t="n">
        <v>46080</v>
      </c>
      <c r="G209" t="n">
        <v>-0.7931018697804437</v>
      </c>
      <c r="H209" t="n">
        <v>-0.7931018697804437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45987</v>
      </c>
      <c r="F210" s="2" t="n">
        <v>46080</v>
      </c>
      <c r="G210" t="n">
        <v>4.836984092596586</v>
      </c>
      <c r="H210" t="n">
        <v>4.836984092596586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45896</v>
      </c>
      <c r="F211" s="2" t="n">
        <v>46080</v>
      </c>
      <c r="G211" t="n">
        <v>5.701546031726235</v>
      </c>
      <c r="H211" t="n">
        <v>5.701546031726235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45715</v>
      </c>
      <c r="F212" s="2" t="n">
        <v>46080</v>
      </c>
      <c r="G212" t="n">
        <v>29.09850461146601</v>
      </c>
      <c r="H212" t="n">
        <v>29.09850461146601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44984</v>
      </c>
      <c r="F213" s="2" t="n">
        <v>46080</v>
      </c>
      <c r="G213" t="n">
        <v>75.52484301547142</v>
      </c>
      <c r="H213" t="n">
        <v>75.52484301547142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44253</v>
      </c>
      <c r="F214" s="2" t="n">
        <v>46080</v>
      </c>
      <c r="G214" t="n">
        <v>64.84159650535639</v>
      </c>
      <c r="H214" t="n">
        <v>64.84159650535639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42426</v>
      </c>
      <c r="F215" s="2" t="n">
        <v>46080</v>
      </c>
      <c r="G215" t="n">
        <v>129.2442997316931</v>
      </c>
      <c r="H215" t="n">
        <v>129.2442997316931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46080</v>
      </c>
      <c r="G216" t="n">
        <v>218.7173266884261</v>
      </c>
      <c r="H216" t="n">
        <v>218.7173266884261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46080</v>
      </c>
      <c r="G217" t="n">
        <v>18.68240548711761</v>
      </c>
      <c r="H217" t="n">
        <v>18.68240548711761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46049</v>
      </c>
      <c r="F218" s="2" t="n">
        <v>46080</v>
      </c>
      <c r="G218" t="n">
        <v>4.94195834893203</v>
      </c>
      <c r="H218" t="n">
        <v>4.94195834893203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45988</v>
      </c>
      <c r="F219" s="2" t="n">
        <v>46080</v>
      </c>
      <c r="G219" t="n">
        <v>30.75033969715295</v>
      </c>
      <c r="H219" t="n">
        <v>30.75033969715295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45896</v>
      </c>
      <c r="F220" s="2" t="n">
        <v>46080</v>
      </c>
      <c r="G220" t="n">
        <v>51.62957305002615</v>
      </c>
      <c r="H220" t="n">
        <v>51.62957305002615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45715</v>
      </c>
      <c r="F221" s="2" t="n">
        <v>46080</v>
      </c>
      <c r="G221" t="n">
        <v>93.32973820178168</v>
      </c>
      <c r="H221" t="n">
        <v>93.32973820178168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44984</v>
      </c>
      <c r="F222" s="2" t="n">
        <v>46080</v>
      </c>
      <c r="G222" t="n">
        <v>139.3207844800816</v>
      </c>
      <c r="H222" t="n">
        <v>139.3207844800816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44253</v>
      </c>
      <c r="F223" s="2" t="n">
        <v>46080</v>
      </c>
      <c r="G223" t="n">
        <v>115.3707782873947</v>
      </c>
      <c r="H223" t="n">
        <v>115.3707782873947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42426</v>
      </c>
      <c r="F224" s="2" t="n">
        <v>46080</v>
      </c>
      <c r="G224" t="n">
        <v>204.2217569725892</v>
      </c>
      <c r="H224" t="n">
        <v>204.2217569725892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46080</v>
      </c>
      <c r="G225" t="n">
        <v>195.0738729574302</v>
      </c>
      <c r="H225" t="n">
        <v>195.0738729574302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46080</v>
      </c>
      <c r="G226" t="n">
        <v>19.07142063756526</v>
      </c>
      <c r="H226" t="n">
        <v>19.28587791756486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46049</v>
      </c>
      <c r="F227" s="2" t="n">
        <v>46080</v>
      </c>
      <c r="G227" t="n">
        <v>7.652138983731671</v>
      </c>
      <c r="H227" t="n">
        <v>6.188139032722062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45988</v>
      </c>
      <c r="F228" s="2" t="n">
        <v>46080</v>
      </c>
      <c r="G228" t="n">
        <v>29.34362934362935</v>
      </c>
      <c r="H228" t="n">
        <v>31.75038489971138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45896</v>
      </c>
      <c r="F229" s="2" t="n">
        <v>46080</v>
      </c>
      <c r="G229" t="n">
        <v>52.31599886331346</v>
      </c>
      <c r="H229" t="n">
        <v>52.45984452430466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45715</v>
      </c>
      <c r="F230" s="2" t="n">
        <v>46080</v>
      </c>
      <c r="G230" t="n">
        <v>82.68575323790049</v>
      </c>
      <c r="H230" t="n">
        <v>94.34130201432021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44984</v>
      </c>
      <c r="F231" s="2" t="n">
        <v>46080</v>
      </c>
      <c r="G231" t="n">
        <v>114.5931338204384</v>
      </c>
      <c r="H231" t="n">
        <v>142.2246732184131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44253</v>
      </c>
      <c r="F232" s="2" t="n">
        <v>46080</v>
      </c>
      <c r="G232" t="n">
        <v>122.3143923683119</v>
      </c>
      <c r="H232" t="n">
        <v>114.1141855828064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42426</v>
      </c>
      <c r="F233" s="2" t="n">
        <v>46080</v>
      </c>
      <c r="G233" t="n">
        <v>214.5078480269914</v>
      </c>
      <c r="H233" t="n">
        <v>203.8108155074736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46080</v>
      </c>
      <c r="G234" t="n">
        <v>256.5038699834938</v>
      </c>
      <c r="H234" t="n">
        <v>195.9827195395813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46080</v>
      </c>
      <c r="G235" t="n">
        <v>55.06137308550554</v>
      </c>
      <c r="H235" t="n">
        <v>55.06137308550554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46049</v>
      </c>
      <c r="F236" s="2" t="n">
        <v>46080</v>
      </c>
      <c r="G236" t="n">
        <v>24.06969832572421</v>
      </c>
      <c r="H236" t="n">
        <v>24.06969832572421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45988</v>
      </c>
      <c r="F237" s="2" t="n">
        <v>46080</v>
      </c>
      <c r="G237" t="n">
        <v>70.59898725015863</v>
      </c>
      <c r="H237" t="n">
        <v>70.59898725015863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45896</v>
      </c>
      <c r="F238" s="2" t="n">
        <v>46080</v>
      </c>
      <c r="G238" t="n">
        <v>118.483466179816</v>
      </c>
      <c r="H238" t="n">
        <v>118.483466179816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45715</v>
      </c>
      <c r="F239" s="2" t="n">
        <v>46080</v>
      </c>
      <c r="G239" t="n">
        <v>179.5913563286373</v>
      </c>
      <c r="H239" t="n">
        <v>179.5913563286373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44984</v>
      </c>
      <c r="F240" s="2" t="n">
        <v>46080</v>
      </c>
      <c r="G240" t="n">
        <v>177.2479940771426</v>
      </c>
      <c r="H240" t="n">
        <v>177.2479940771426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44253</v>
      </c>
      <c r="F241" s="2" t="n">
        <v>46080</v>
      </c>
      <c r="G241" t="n">
        <v>85.83150932988899</v>
      </c>
      <c r="H241" t="n">
        <v>85.83150932988899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42426</v>
      </c>
      <c r="F242" s="2" t="n">
        <v>46080</v>
      </c>
      <c r="G242" t="n">
        <v>306.935635801596</v>
      </c>
      <c r="H242" t="n">
        <v>306.935635801596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46080</v>
      </c>
      <c r="G243" t="n">
        <v>290.0650120773956</v>
      </c>
      <c r="H243" t="n">
        <v>290.0650120773956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46080</v>
      </c>
      <c r="G244" t="n">
        <v>6.599635393053638</v>
      </c>
      <c r="H244" t="n">
        <v>6.872659303976159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46049</v>
      </c>
      <c r="F245" s="2" t="n">
        <v>46080</v>
      </c>
      <c r="G245" t="n">
        <v>2.857651765436442</v>
      </c>
      <c r="H245" t="n">
        <v>2.221502015440446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45988</v>
      </c>
      <c r="F246" s="2" t="n">
        <v>46080</v>
      </c>
      <c r="G246" t="n">
        <v>12.98198156113879</v>
      </c>
      <c r="H246" t="n">
        <v>14.93826895180839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45896</v>
      </c>
      <c r="F247" s="2" t="n">
        <v>46080</v>
      </c>
      <c r="G247" t="n">
        <v>25.03485251840785</v>
      </c>
      <c r="H247" t="n">
        <v>26.79251375636282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45715</v>
      </c>
      <c r="F248" s="2" t="n">
        <v>46080</v>
      </c>
      <c r="G248" t="n">
        <v>45.08585062389145</v>
      </c>
      <c r="H248" t="n">
        <v>63.26524643082963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44984</v>
      </c>
      <c r="F249" s="2" t="n">
        <v>46080</v>
      </c>
      <c r="G249" t="n">
        <v>117.0886077747108</v>
      </c>
      <c r="H249" t="n">
        <v>142.7628833336389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44253</v>
      </c>
      <c r="F250" s="2" t="n">
        <v>46080</v>
      </c>
      <c r="G250" t="n">
        <v>164.9852469763041</v>
      </c>
      <c r="H250" t="n">
        <v>157.1974461897562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42426</v>
      </c>
      <c r="F251" s="2" t="n">
        <v>46080</v>
      </c>
      <c r="G251" t="n">
        <v>220.7211938529765</v>
      </c>
      <c r="H251" t="n">
        <v>243.3545905288523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46080</v>
      </c>
      <c r="G252" t="n">
        <v>206.3449423058616</v>
      </c>
      <c r="H252" t="n">
        <v>144.6413411920515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46080</v>
      </c>
      <c r="G253" t="n">
        <v>11.15174025901973</v>
      </c>
      <c r="H253" t="n">
        <v>11.15174025901973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46049</v>
      </c>
      <c r="F254" s="2" t="n">
        <v>46080</v>
      </c>
      <c r="G254" t="n">
        <v>2.013426255301387</v>
      </c>
      <c r="H254" t="n">
        <v>2.013426255301387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45987</v>
      </c>
      <c r="F255" s="2" t="n">
        <v>46080</v>
      </c>
      <c r="G255" t="n">
        <v>16.79939250884126</v>
      </c>
      <c r="H255" t="n">
        <v>16.79939250884126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45896</v>
      </c>
      <c r="F256" s="2" t="n">
        <v>46080</v>
      </c>
      <c r="G256" t="n">
        <v>19.23795213747312</v>
      </c>
      <c r="H256" t="n">
        <v>19.23795213747312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45715</v>
      </c>
      <c r="F257" s="2" t="n">
        <v>46080</v>
      </c>
      <c r="G257" t="n">
        <v>31.54368029075016</v>
      </c>
      <c r="H257" t="n">
        <v>31.54368029075016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44984</v>
      </c>
      <c r="F258" s="2" t="n">
        <v>46080</v>
      </c>
      <c r="G258" t="n">
        <v>65.23285365247091</v>
      </c>
      <c r="H258" t="n">
        <v>65.23285365247091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44253</v>
      </c>
      <c r="F259" s="2" t="n">
        <v>46080</v>
      </c>
      <c r="G259" t="n">
        <v>53.13011307027664</v>
      </c>
      <c r="H259" t="n">
        <v>53.13011307027664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42426</v>
      </c>
      <c r="F260" s="2" t="n">
        <v>46080</v>
      </c>
      <c r="G260" t="n">
        <v>177.331959870685</v>
      </c>
      <c r="H260" t="n">
        <v>177.331959870685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46080</v>
      </c>
      <c r="G261" t="n">
        <v>1141.97249928056</v>
      </c>
      <c r="H261" t="n">
        <v>1141.97249928056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46080</v>
      </c>
      <c r="G262" t="n">
        <v>8.231087471587117</v>
      </c>
      <c r="H262" t="n">
        <v>8.744623580174871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46049</v>
      </c>
      <c r="F263" s="2" t="n">
        <v>46080</v>
      </c>
      <c r="G263" t="n">
        <v>6.413194228034902</v>
      </c>
      <c r="H263" t="n">
        <v>5.755054306089025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45988</v>
      </c>
      <c r="F264" s="2" t="n">
        <v>46080</v>
      </c>
      <c r="G264" t="n">
        <v>11.7364097395882</v>
      </c>
      <c r="H264" t="n">
        <v>13.67113000588096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45896</v>
      </c>
      <c r="F265" s="2" t="n">
        <v>46080</v>
      </c>
      <c r="G265" t="n">
        <v>16.89030505741722</v>
      </c>
      <c r="H265" t="n">
        <v>18.5334753747646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45715</v>
      </c>
      <c r="F266" s="2" t="n">
        <v>46080</v>
      </c>
      <c r="G266" t="n">
        <v>13.79816754067344</v>
      </c>
      <c r="H266" t="n">
        <v>28.05718674158162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44984</v>
      </c>
      <c r="F267" s="2" t="n">
        <v>46080</v>
      </c>
      <c r="G267" t="n">
        <v>41.56002564440578</v>
      </c>
      <c r="H267" t="n">
        <v>58.30181206875444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44253</v>
      </c>
      <c r="F268" s="2" t="n">
        <v>46080</v>
      </c>
      <c r="G268" t="n">
        <v>70.20911947286721</v>
      </c>
      <c r="H268" t="n">
        <v>65.20674771959392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42426</v>
      </c>
      <c r="F269" s="2" t="n">
        <v>46080</v>
      </c>
      <c r="G269" t="n">
        <v>-93.75896118600957</v>
      </c>
      <c r="H269" t="n">
        <v>-93.31852909154892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46080</v>
      </c>
      <c r="G270" t="n">
        <v>-87.50627462319434</v>
      </c>
      <c r="H270" t="n">
        <v>-89.70894120469276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46080</v>
      </c>
      <c r="G271" t="n">
        <v>8.888693143871485</v>
      </c>
      <c r="H271" t="n">
        <v>9.084810506285645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46049</v>
      </c>
      <c r="F272" s="2" t="n">
        <v>46080</v>
      </c>
      <c r="G272" t="n">
        <v>7.426272935600409</v>
      </c>
      <c r="H272" t="n">
        <v>5.965344617783774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45988</v>
      </c>
      <c r="F273" s="2" t="n">
        <v>46080</v>
      </c>
      <c r="G273" t="n">
        <v>12.07986275894104</v>
      </c>
      <c r="H273" t="n">
        <v>14.16538358272545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45896</v>
      </c>
      <c r="F274" s="2" t="n">
        <v>46080</v>
      </c>
      <c r="G274" t="n">
        <v>19.18581911101715</v>
      </c>
      <c r="H274" t="n">
        <v>19.29837697137815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45715</v>
      </c>
      <c r="F275" s="2" t="n">
        <v>46080</v>
      </c>
      <c r="G275" t="n">
        <v>21.20432148486437</v>
      </c>
      <c r="H275" t="n">
        <v>28.93728837440621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44984</v>
      </c>
      <c r="F276" s="2" t="n">
        <v>46080</v>
      </c>
      <c r="G276" t="n">
        <v>41.03140868085566</v>
      </c>
      <c r="H276" t="n">
        <v>59.19095952919591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44253</v>
      </c>
      <c r="F277" s="2" t="n">
        <v>46080</v>
      </c>
      <c r="G277" t="n">
        <v>-95.69387737921137</v>
      </c>
      <c r="H277" t="n">
        <v>-95.85271143200499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42426</v>
      </c>
      <c r="F278" s="2" t="n">
        <v>46080</v>
      </c>
      <c r="G278" t="n">
        <v>100.9009247313638</v>
      </c>
      <c r="H278" t="n">
        <v>94.06788784998155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46080</v>
      </c>
      <c r="G279" t="n">
        <v>-93.09874218221324</v>
      </c>
      <c r="H279" t="n">
        <v>-93.72163471580163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46080</v>
      </c>
      <c r="G280" t="n">
        <v>8.539030728417597</v>
      </c>
      <c r="H280" t="n">
        <v>8.539030728417597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46049</v>
      </c>
      <c r="F281" s="2" t="n">
        <v>46080</v>
      </c>
      <c r="G281" t="n">
        <v>4.011510545744978</v>
      </c>
      <c r="H281" t="n">
        <v>4.011510545744978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45987</v>
      </c>
      <c r="F282" s="2" t="n">
        <v>46080</v>
      </c>
      <c r="G282" t="n">
        <v>13.08427922470767</v>
      </c>
      <c r="H282" t="n">
        <v>13.08427922470767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45896</v>
      </c>
      <c r="F283" s="2" t="n">
        <v>46080</v>
      </c>
      <c r="G283" t="n">
        <v>17.81317859087546</v>
      </c>
      <c r="H283" t="n">
        <v>17.81317859087546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45715</v>
      </c>
      <c r="F284" s="2" t="n">
        <v>46080</v>
      </c>
      <c r="G284" t="n">
        <v>29.18064266497657</v>
      </c>
      <c r="H284" t="n">
        <v>29.18064266497657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44984</v>
      </c>
      <c r="F285" s="2" t="n">
        <v>46080</v>
      </c>
      <c r="G285" t="n">
        <v>56.91737853741319</v>
      </c>
      <c r="H285" t="n">
        <v>56.91737853741319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44253</v>
      </c>
      <c r="F286" s="2" t="n">
        <v>46080</v>
      </c>
      <c r="G286" t="n">
        <v>66.25735279786385</v>
      </c>
      <c r="H286" t="n">
        <v>66.25735279786385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42426</v>
      </c>
      <c r="F287" s="2" t="n">
        <v>46080</v>
      </c>
      <c r="G287" t="n">
        <v>181.0062727746951</v>
      </c>
      <c r="H287" t="n">
        <v>181.0062727746951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46080</v>
      </c>
      <c r="G288" t="n">
        <v>880.9203351939648</v>
      </c>
      <c r="H288" t="n">
        <v>880.9203351939648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46080</v>
      </c>
      <c r="G289" t="n">
        <v>19.80411070713066</v>
      </c>
      <c r="H289" t="n">
        <v>20.01988762133436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46049</v>
      </c>
      <c r="F290" s="2" t="n">
        <v>46080</v>
      </c>
      <c r="G290" t="n">
        <v>9.442147359859021</v>
      </c>
      <c r="H290" t="n">
        <v>7.95380444456002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45988</v>
      </c>
      <c r="F291" s="2" t="n">
        <v>46080</v>
      </c>
      <c r="G291" t="n">
        <v>24.10453497309764</v>
      </c>
      <c r="H291" t="n">
        <v>26.4138043248022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45896</v>
      </c>
      <c r="F292" s="2" t="n">
        <v>46080</v>
      </c>
      <c r="G292" t="n">
        <v>37.54152823920267</v>
      </c>
      <c r="H292" t="n">
        <v>37.67142104226311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45715</v>
      </c>
      <c r="F293" s="2" t="n">
        <v>46080</v>
      </c>
      <c r="G293" t="n">
        <v>51.44920739142671</v>
      </c>
      <c r="H293" t="n">
        <v>61.11183073569011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44984</v>
      </c>
      <c r="F294" s="2" t="n">
        <v>46080</v>
      </c>
      <c r="G294" t="n">
        <v>107.132777421424</v>
      </c>
      <c r="H294" t="n">
        <v>133.803702991303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44253</v>
      </c>
      <c r="F295" s="2" t="n">
        <v>46080</v>
      </c>
      <c r="G295" t="n">
        <v>114.5077720207254</v>
      </c>
      <c r="H295" t="n">
        <v>106.5955173577261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42426</v>
      </c>
      <c r="F296" s="2" t="n">
        <v>46080</v>
      </c>
      <c r="G296" t="n">
        <v>492.7312775330397</v>
      </c>
      <c r="H296" t="n">
        <v>472.5713171667658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46080</v>
      </c>
      <c r="G297" t="n">
        <v>1120.408163265306</v>
      </c>
      <c r="H297" t="n">
        <v>1018.851588999597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46080</v>
      </c>
      <c r="G298" t="n">
        <v>28.13225058004638</v>
      </c>
      <c r="H298" t="n">
        <v>28.36302714920538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46049</v>
      </c>
      <c r="F299" s="2" t="n">
        <v>46080</v>
      </c>
      <c r="G299" t="n">
        <v>21.14066355908966</v>
      </c>
      <c r="H299" t="n">
        <v>19.49322833680782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45988</v>
      </c>
      <c r="F300" s="2" t="n">
        <v>46080</v>
      </c>
      <c r="G300" t="n">
        <v>30.42066420664207</v>
      </c>
      <c r="H300" t="n">
        <v>32.84746063875179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45896</v>
      </c>
      <c r="F301" s="2" t="n">
        <v>46080</v>
      </c>
      <c r="G301" t="n">
        <v>36.8861347792409</v>
      </c>
      <c r="H301" t="n">
        <v>37.01540863546606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45715</v>
      </c>
      <c r="F302" s="2" t="n">
        <v>46080</v>
      </c>
      <c r="G302" t="n">
        <v>43.53476283300844</v>
      </c>
      <c r="H302" t="n">
        <v>52.69243604868252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44984</v>
      </c>
      <c r="F303" s="2" t="n">
        <v>46080</v>
      </c>
      <c r="G303" t="n">
        <v>14.79797323632583</v>
      </c>
      <c r="H303" t="n">
        <v>29.5796424529253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44253</v>
      </c>
      <c r="F304" s="2" t="n">
        <v>46080</v>
      </c>
      <c r="G304" t="n">
        <v>31.35127099747288</v>
      </c>
      <c r="H304" t="n">
        <v>26.50629639981485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42426</v>
      </c>
      <c r="F305" s="2" t="n">
        <v>46080</v>
      </c>
      <c r="G305" t="n">
        <v>81.84811689648075</v>
      </c>
      <c r="H305" t="n">
        <v>75.66310360584964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46080</v>
      </c>
      <c r="G306" t="n">
        <v>92.47860291474956</v>
      </c>
      <c r="H306" t="n">
        <v>72.34029184652428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46080</v>
      </c>
      <c r="G307" t="n">
        <v>18.04184552447989</v>
      </c>
      <c r="H307" t="n">
        <v>18.04184552447989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46049</v>
      </c>
      <c r="F308" s="2" t="n">
        <v>46080</v>
      </c>
      <c r="G308" t="n">
        <v>2.704751409707051</v>
      </c>
      <c r="H308" t="n">
        <v>2.704751409707051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45987</v>
      </c>
      <c r="F309" s="2" t="n">
        <v>46080</v>
      </c>
      <c r="G309" t="n">
        <v>22.20175884346673</v>
      </c>
      <c r="H309" t="n">
        <v>22.20175884346673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45896</v>
      </c>
      <c r="F310" s="2" t="n">
        <v>46080</v>
      </c>
      <c r="G310" t="n">
        <v>15.59440232332472</v>
      </c>
      <c r="H310" t="n">
        <v>15.59440232332472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45715</v>
      </c>
      <c r="F311" s="2" t="n">
        <v>46080</v>
      </c>
      <c r="G311" t="n">
        <v>20.6344375631436</v>
      </c>
      <c r="H311" t="n">
        <v>20.6344375631436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44984</v>
      </c>
      <c r="F312" s="2" t="n">
        <v>46080</v>
      </c>
      <c r="G312" t="n">
        <v>24.50008141492002</v>
      </c>
      <c r="H312" t="n">
        <v>24.50008141492002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44253</v>
      </c>
      <c r="F313" s="2" t="n">
        <v>46080</v>
      </c>
      <c r="G313" t="n">
        <v>77.22856044395535</v>
      </c>
      <c r="H313" t="n">
        <v>77.22856044395535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42426</v>
      </c>
      <c r="F314" s="2" t="n">
        <v>46080</v>
      </c>
      <c r="G314" t="n">
        <v>47.45575096424697</v>
      </c>
      <c r="H314" t="n">
        <v>47.45575096424697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46080</v>
      </c>
      <c r="G315" t="n">
        <v>36.77151800189409</v>
      </c>
      <c r="H315" t="n">
        <v>36.77151800189409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46080</v>
      </c>
      <c r="G316" t="n">
        <v>0</v>
      </c>
      <c r="H316" t="n">
        <v>0.1801081055817555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46049</v>
      </c>
      <c r="F317" s="2" t="n">
        <v>46080</v>
      </c>
      <c r="G317" t="n">
        <v>0</v>
      </c>
      <c r="H317" t="n">
        <v>-1.359935775387477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45988</v>
      </c>
      <c r="F318" s="2" t="n">
        <v>46080</v>
      </c>
      <c r="G318" t="n">
        <v>0</v>
      </c>
      <c r="H318" t="n">
        <v>1.860745340373859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45896</v>
      </c>
      <c r="F319" s="2" t="n">
        <v>46080</v>
      </c>
      <c r="G319" t="n">
        <v>0</v>
      </c>
      <c r="H319" t="n">
        <v>0.09443897034104864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45715</v>
      </c>
      <c r="F320" s="2" t="n">
        <v>46080</v>
      </c>
      <c r="G320" t="n">
        <v>0</v>
      </c>
      <c r="H320" t="n">
        <v>6.380108229480497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44984</v>
      </c>
      <c r="F321" s="2" t="n">
        <v>46080</v>
      </c>
      <c r="G321" t="n">
        <v>-15.55716387465049</v>
      </c>
      <c r="H321" t="n">
        <v>-4.684096727839071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44253</v>
      </c>
      <c r="F322" s="2" t="n">
        <v>46080</v>
      </c>
      <c r="G322" t="n">
        <v>39.27675817296263</v>
      </c>
      <c r="H322" t="n">
        <v>34.13944697476992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42426</v>
      </c>
      <c r="F323" s="2" t="n">
        <v>46080</v>
      </c>
      <c r="G323" t="n">
        <v>-27.82913699869165</v>
      </c>
      <c r="H323" t="n">
        <v>-30.28381046178566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46080</v>
      </c>
      <c r="G324" t="n">
        <v>-99.43612293704946</v>
      </c>
      <c r="H324" t="n">
        <v>-99.6146334128223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46080</v>
      </c>
      <c r="G325" t="n">
        <v>10.59479553903346</v>
      </c>
      <c r="H325" t="n">
        <v>10.79398573015082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46049</v>
      </c>
      <c r="F326" s="2" t="n">
        <v>46080</v>
      </c>
      <c r="G326" t="n">
        <v>7.423534409515731</v>
      </c>
      <c r="H326" t="n">
        <v>5.962643333895046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45988</v>
      </c>
      <c r="F327" s="2" t="n">
        <v>46080</v>
      </c>
      <c r="G327" t="n">
        <v>13.29525089605734</v>
      </c>
      <c r="H327" t="n">
        <v>15.40338699797059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45896</v>
      </c>
      <c r="F328" s="2" t="n">
        <v>46080</v>
      </c>
      <c r="G328" t="n">
        <v>19.15419955236188</v>
      </c>
      <c r="H328" t="n">
        <v>19.26672755153724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45715</v>
      </c>
      <c r="F329" s="2" t="n">
        <v>46080</v>
      </c>
      <c r="G329" t="n">
        <v>28.656830323073</v>
      </c>
      <c r="H329" t="n">
        <v>36.86527534230415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44984</v>
      </c>
      <c r="F330" s="2" t="n">
        <v>46080</v>
      </c>
      <c r="G330" t="n">
        <v>51.25233644859814</v>
      </c>
      <c r="H330" t="n">
        <v>70.72795908017888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44253</v>
      </c>
      <c r="F331" s="2" t="n">
        <v>46080</v>
      </c>
      <c r="G331" t="n">
        <v>103.2450896669514</v>
      </c>
      <c r="H331" t="n">
        <v>95.74826615654885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42426</v>
      </c>
      <c r="F332" s="2" t="n">
        <v>46080</v>
      </c>
      <c r="G332" t="n">
        <v>150.5418292154313</v>
      </c>
      <c r="H332" t="n">
        <v>142.0204072177617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46080</v>
      </c>
      <c r="G333" t="n">
        <v>223.8872878642331</v>
      </c>
      <c r="H333" t="n">
        <v>179.8056485811248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46080</v>
      </c>
      <c r="G334" t="n">
        <v>10.44297454399679</v>
      </c>
      <c r="H334" t="n">
        <v>10.64189129319613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46049</v>
      </c>
      <c r="F335" s="2" t="n">
        <v>46080</v>
      </c>
      <c r="G335" t="n">
        <v>7.2245195816103</v>
      </c>
      <c r="H335" t="n">
        <v>5.766334979832632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45988</v>
      </c>
      <c r="F336" s="2" t="n">
        <v>46080</v>
      </c>
      <c r="G336" t="n">
        <v>13.43283582089552</v>
      </c>
      <c r="H336" t="n">
        <v>15.54353202788676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45896</v>
      </c>
      <c r="F337" s="2" t="n">
        <v>46080</v>
      </c>
      <c r="G337" t="n">
        <v>19.57465277777779</v>
      </c>
      <c r="H337" t="n">
        <v>19.68757784865001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45715</v>
      </c>
      <c r="F338" s="2" t="n">
        <v>46080</v>
      </c>
      <c r="G338" t="n">
        <v>29.03981264637001</v>
      </c>
      <c r="H338" t="n">
        <v>37.27269235232728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44984</v>
      </c>
      <c r="F339" s="2" t="n">
        <v>46080</v>
      </c>
      <c r="G339" t="n">
        <v>53.32173913043479</v>
      </c>
      <c r="H339" t="n">
        <v>73.06382313808774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44253</v>
      </c>
      <c r="F340" s="2" t="n">
        <v>46080</v>
      </c>
      <c r="G340" t="n">
        <v>100.9115770282589</v>
      </c>
      <c r="H340" t="n">
        <v>93.50082660547801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42426</v>
      </c>
      <c r="F341" s="2" t="n">
        <v>46080</v>
      </c>
      <c r="G341" t="n">
        <v>158.852545657408</v>
      </c>
      <c r="H341" t="n">
        <v>150.0484597942799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46080</v>
      </c>
      <c r="G342" t="n">
        <v>239.9136335595311</v>
      </c>
      <c r="H342" t="n">
        <v>193.4398240501788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46080</v>
      </c>
      <c r="G343" t="n">
        <v>-0.09342916523830125</v>
      </c>
      <c r="H343" t="n">
        <v>-0.09342916523830125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46049</v>
      </c>
      <c r="F344" s="2" t="n">
        <v>46080</v>
      </c>
      <c r="G344" t="n">
        <v>-1.474198530520432</v>
      </c>
      <c r="H344" t="n">
        <v>-1.474198530520432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45988</v>
      </c>
      <c r="F345" s="2" t="n">
        <v>46080</v>
      </c>
      <c r="G345" t="n">
        <v>1.137709937509945</v>
      </c>
      <c r="H345" t="n">
        <v>1.137709937509945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45896</v>
      </c>
      <c r="F346" s="2" t="n">
        <v>46080</v>
      </c>
      <c r="G346" t="n">
        <v>6.653565207111134</v>
      </c>
      <c r="H346" t="n">
        <v>6.653565207111134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45715</v>
      </c>
      <c r="F347" s="2" t="n">
        <v>46080</v>
      </c>
      <c r="G347" t="n">
        <v>16.50534962338155</v>
      </c>
      <c r="H347" t="n">
        <v>16.50534962338155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44984</v>
      </c>
      <c r="F348" s="2" t="n">
        <v>46080</v>
      </c>
      <c r="G348" t="n">
        <v>78.64942965284992</v>
      </c>
      <c r="H348" t="n">
        <v>78.64942965284992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44253</v>
      </c>
      <c r="F349" s="2" t="n">
        <v>46080</v>
      </c>
      <c r="G349" t="n">
        <v>89.94954747658031</v>
      </c>
      <c r="H349" t="n">
        <v>89.94954747658031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42426</v>
      </c>
      <c r="F350" s="2" t="n">
        <v>46080</v>
      </c>
      <c r="G350" t="n">
        <v>304.9060239494946</v>
      </c>
      <c r="H350" t="n">
        <v>304.9060239494946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46080</v>
      </c>
      <c r="G351" t="n">
        <v>672.2838808718847</v>
      </c>
      <c r="H351" t="n">
        <v>672.2838808718847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46080</v>
      </c>
      <c r="G352" t="n">
        <v>-0.3093729781191823</v>
      </c>
      <c r="H352" t="n">
        <v>-0.3093729781191823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46049</v>
      </c>
      <c r="F353" s="2" t="n">
        <v>46080</v>
      </c>
      <c r="G353" t="n">
        <v>-1.67822130179438</v>
      </c>
      <c r="H353" t="n">
        <v>-1.67822130179438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45988</v>
      </c>
      <c r="F354" s="2" t="n">
        <v>46080</v>
      </c>
      <c r="G354" t="n">
        <v>0.8536064577607139</v>
      </c>
      <c r="H354" t="n">
        <v>0.8536064577607139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45896</v>
      </c>
      <c r="F355" s="2" t="n">
        <v>46080</v>
      </c>
      <c r="G355" t="n">
        <v>6.170437539883777</v>
      </c>
      <c r="H355" t="n">
        <v>6.170437539883777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45715</v>
      </c>
      <c r="F356" s="2" t="n">
        <v>46080</v>
      </c>
      <c r="G356" t="n">
        <v>16.04001499028538</v>
      </c>
      <c r="H356" t="n">
        <v>16.04001499028538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44984</v>
      </c>
      <c r="F357" s="2" t="n">
        <v>46080</v>
      </c>
      <c r="G357" t="n">
        <v>78.68126275732332</v>
      </c>
      <c r="H357" t="n">
        <v>78.68126275732332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44253</v>
      </c>
      <c r="F358" s="2" t="n">
        <v>46080</v>
      </c>
      <c r="G358" t="n">
        <v>84.59977206780876</v>
      </c>
      <c r="H358" t="n">
        <v>84.59977206780876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42426</v>
      </c>
      <c r="F359" s="2" t="n">
        <v>46080</v>
      </c>
      <c r="G359" t="n">
        <v>298.0795244412673</v>
      </c>
      <c r="H359" t="n">
        <v>298.0795244412673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46080</v>
      </c>
      <c r="G360" t="n">
        <v>649.6827862911007</v>
      </c>
      <c r="H360" t="n">
        <v>649.6827862911007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46080</v>
      </c>
      <c r="G361" t="n">
        <v>1.40845070422535</v>
      </c>
      <c r="H361" t="n">
        <v>1.591095543688548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46049</v>
      </c>
      <c r="F362" s="2" t="n">
        <v>46080</v>
      </c>
      <c r="G362" t="n">
        <v>5.882352941176472</v>
      </c>
      <c r="H362" t="n">
        <v>4.44242094370737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45988</v>
      </c>
      <c r="F363" s="2" t="n">
        <v>46080</v>
      </c>
      <c r="G363" t="n">
        <v>7.058622457699548</v>
      </c>
      <c r="H363" t="n">
        <v>9.050710786549644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45896</v>
      </c>
      <c r="F364" s="2" t="n">
        <v>46080</v>
      </c>
      <c r="G364" t="n">
        <v>11.57819736373353</v>
      </c>
      <c r="H364" t="n">
        <v>11.68357066444894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45715</v>
      </c>
      <c r="F365" s="2" t="n">
        <v>46080</v>
      </c>
      <c r="G365" t="n">
        <v>56.95314457529443</v>
      </c>
      <c r="H365" t="n">
        <v>66.96692506877122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44984</v>
      </c>
      <c r="F366" s="2" t="n">
        <v>46080</v>
      </c>
      <c r="G366" t="n">
        <v>52.02038587550055</v>
      </c>
      <c r="H366" t="n">
        <v>71.59490443921676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44253</v>
      </c>
      <c r="F367" s="2" t="n">
        <v>46080</v>
      </c>
      <c r="G367" t="n">
        <v>15.93559133814548</v>
      </c>
      <c r="H367" t="n">
        <v>11.65923382190506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42426</v>
      </c>
      <c r="F368" s="2" t="n">
        <v>46080</v>
      </c>
      <c r="G368" t="n">
        <v>97.1671388101983</v>
      </c>
      <c r="H368" t="n">
        <v>90.46109535575336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46080</v>
      </c>
      <c r="G369" t="n">
        <v>32.6556543837357</v>
      </c>
      <c r="H369" t="n">
        <v>21.61668052097285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14.8493543758967</v>
      </c>
      <c r="F13" t="n">
        <v>2.149</v>
      </c>
      <c r="G13" t="n">
        <v>5.21892</v>
      </c>
      <c r="H13" t="n">
        <v>6.489122</v>
      </c>
      <c r="I13" t="n">
        <v>-6.570331318967362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14.8493543758967</v>
      </c>
      <c r="N13" t="n">
        <v>-1.558477247569945</v>
      </c>
      <c r="O13" t="inlineStr"/>
      <c r="P13" t="n">
        <v>13.05945331896736</v>
      </c>
      <c r="Q13" t="n">
        <v>1.207198804096987</v>
      </c>
      <c r="R13" t="n">
        <v>11.71088090068804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3.381332881110866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3.381332881110866</v>
      </c>
      <c r="N17" t="n">
        <v>0</v>
      </c>
      <c r="O17" t="n">
        <v>0</v>
      </c>
      <c r="P17" t="n">
        <v>3.381332881110866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9.174860003207087</v>
      </c>
      <c r="F18" t="n">
        <v>2.117</v>
      </c>
      <c r="G18" t="n">
        <v>3.97037</v>
      </c>
      <c r="H18" t="n">
        <v>3.686931</v>
      </c>
      <c r="I18" t="n">
        <v>-5.487929003207087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9.174860003207087</v>
      </c>
      <c r="N18" t="n">
        <v>0</v>
      </c>
      <c r="O18" t="n">
        <v>0</v>
      </c>
      <c r="P18" t="n">
        <v>9.174860003207087</v>
      </c>
      <c r="Q18" t="n">
        <v>-0.2726150682094253</v>
      </c>
      <c r="R18" t="n">
        <v>9.47330071662682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50.19608201636083</v>
      </c>
      <c r="F19" t="n">
        <v>2.272</v>
      </c>
      <c r="G19" t="n">
        <v>3.269641</v>
      </c>
      <c r="H19" t="n">
        <v>5.38672</v>
      </c>
      <c r="I19" t="n">
        <v>-44.80936201636084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50.19608201636083</v>
      </c>
      <c r="N19" t="n">
        <v>0</v>
      </c>
      <c r="O19" t="n">
        <v>0</v>
      </c>
      <c r="P19" t="n">
        <v>50.19608201636083</v>
      </c>
      <c r="Q19" t="n">
        <v>2.050050428680006</v>
      </c>
      <c r="R19" t="n">
        <v>47.17884154435452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-24.17169658339865</v>
      </c>
      <c r="F20" t="n">
        <v>2.484</v>
      </c>
      <c r="G20" t="n">
        <v>4.339564</v>
      </c>
      <c r="H20" t="n">
        <v>9.163171</v>
      </c>
      <c r="I20" t="n">
        <v>33.33486758339865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-24.17169658339865</v>
      </c>
      <c r="N20" t="n">
        <v>0</v>
      </c>
      <c r="O20" t="n">
        <v>0</v>
      </c>
      <c r="P20" t="n">
        <v>-24.17169658339865</v>
      </c>
      <c r="Q20" t="n">
        <v>4.622989695013557</v>
      </c>
      <c r="R20" t="n">
        <v>-27.52233171920587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17.17950693148786</v>
      </c>
      <c r="F21" t="n">
        <v>1.755</v>
      </c>
      <c r="G21" t="n">
        <v>3.254669</v>
      </c>
      <c r="H21" t="n">
        <v>-2.154214</v>
      </c>
      <c r="I21" t="n">
        <v>-19.33372093148786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17.17950693148786</v>
      </c>
      <c r="N21" t="n">
        <v>0</v>
      </c>
      <c r="O21" t="n">
        <v>0</v>
      </c>
      <c r="P21" t="n">
        <v>17.17950693148786</v>
      </c>
      <c r="Q21" t="n">
        <v>-5.238390951288785</v>
      </c>
      <c r="R21" t="n">
        <v>23.65715199206142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-4.954181467975549</v>
      </c>
      <c r="F22" t="n">
        <v>-6.318</v>
      </c>
      <c r="G22" t="n">
        <v>-3.888989</v>
      </c>
      <c r="H22" t="n">
        <v>-2.027614</v>
      </c>
      <c r="I22" t="n">
        <v>2.926567467975549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-4.954181467975549</v>
      </c>
      <c r="N22" t="n">
        <v>0</v>
      </c>
      <c r="O22" t="n">
        <v>0</v>
      </c>
      <c r="P22" t="n">
        <v>-4.954181467975549</v>
      </c>
      <c r="Q22" t="n">
        <v>1.936692108786842</v>
      </c>
      <c r="R22" t="n">
        <v>-6.759954079546205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30.05676054983038</v>
      </c>
      <c r="F23" t="n">
        <v>4.795</v>
      </c>
      <c r="G23" t="n">
        <v>6.813772</v>
      </c>
      <c r="H23" t="n">
        <v>10.767423</v>
      </c>
      <c r="I23" t="n">
        <v>-19.28933754983037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30.05676054983038</v>
      </c>
      <c r="N23" t="n">
        <v>0</v>
      </c>
      <c r="O23" t="n">
        <v>0</v>
      </c>
      <c r="P23" t="n">
        <v>30.05676054983038</v>
      </c>
      <c r="Q23" t="n">
        <v>3.701443563196238</v>
      </c>
      <c r="R23" t="n">
        <v>25.41460955707242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-22.0682355621127</v>
      </c>
      <c r="F24" t="n">
        <v>5.278</v>
      </c>
      <c r="G24" t="n">
        <v>10.283533</v>
      </c>
      <c r="H24" t="n">
        <v>-1.797265</v>
      </c>
      <c r="I24" t="n">
        <v>20.2709705621127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-22.0682355621127</v>
      </c>
      <c r="N24" t="n">
        <v>0</v>
      </c>
      <c r="O24" t="n">
        <v>0</v>
      </c>
      <c r="P24" t="n">
        <v>-22.0682355621127</v>
      </c>
      <c r="Q24" t="n">
        <v>-10.95430803977379</v>
      </c>
      <c r="R24" t="n">
        <v>-12.48115128051691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5.867556357647419</v>
      </c>
      <c r="F28" t="n">
        <v>0.764</v>
      </c>
      <c r="G28" t="n">
        <v>3.229582</v>
      </c>
      <c r="H28" t="n">
        <v>6.66283</v>
      </c>
      <c r="I28" t="n">
        <v>0.7952736423525808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5.867556357647419</v>
      </c>
      <c r="N28" t="n">
        <v>0</v>
      </c>
      <c r="O28" t="n">
        <v>0</v>
      </c>
      <c r="P28" t="n">
        <v>5.867556357647419</v>
      </c>
      <c r="Q28" t="n">
        <v>3.325836999112908</v>
      </c>
      <c r="R28" t="n">
        <v>2.459906865846473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13.66700868907753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13.66700868907753</v>
      </c>
      <c r="N32" t="n">
        <v>0</v>
      </c>
      <c r="O32" t="n">
        <v>0</v>
      </c>
      <c r="P32" t="n">
        <v>13.66700868907753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-0.6331170096917083</v>
      </c>
      <c r="F33" t="n">
        <v>1.193</v>
      </c>
      <c r="G33" t="n">
        <v>3.111388</v>
      </c>
      <c r="H33" t="n">
        <v>2.830244</v>
      </c>
      <c r="I33" t="n">
        <v>3.463361009691708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-0.6331170096917083</v>
      </c>
      <c r="N33" t="n">
        <v>0</v>
      </c>
      <c r="O33" t="n">
        <v>0</v>
      </c>
      <c r="P33" t="n">
        <v>-0.6331170096917083</v>
      </c>
      <c r="Q33" t="n">
        <v>-0.2726606748133742</v>
      </c>
      <c r="R33" t="n">
        <v>-0.3614418446510226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23.55751679165559</v>
      </c>
      <c r="F34" t="n">
        <v>1.475</v>
      </c>
      <c r="G34" t="n">
        <v>3.487083</v>
      </c>
      <c r="H34" t="n">
        <v>5.608458</v>
      </c>
      <c r="I34" t="n">
        <v>-17.94905879165559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23.55751679165559</v>
      </c>
      <c r="N34" t="n">
        <v>0</v>
      </c>
      <c r="O34" t="n">
        <v>0</v>
      </c>
      <c r="P34" t="n">
        <v>23.55751679165559</v>
      </c>
      <c r="Q34" t="n">
        <v>2.049893728100072</v>
      </c>
      <c r="R34" t="n">
        <v>21.07559574815436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-20.93012689176586</v>
      </c>
      <c r="F35" t="n">
        <v>1.878</v>
      </c>
      <c r="G35" t="n">
        <v>3.627359</v>
      </c>
      <c r="H35" t="n">
        <v>8.418059</v>
      </c>
      <c r="I35" t="n">
        <v>29.34818589176585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-20.93012689176586</v>
      </c>
      <c r="N35" t="n">
        <v>0</v>
      </c>
      <c r="O35" t="n">
        <v>0</v>
      </c>
      <c r="P35" t="n">
        <v>-20.93012689176586</v>
      </c>
      <c r="Q35" t="n">
        <v>4.623007061365381</v>
      </c>
      <c r="R35" t="n">
        <v>-24.42401023528539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26.61872303944208</v>
      </c>
      <c r="F36" t="n">
        <v>2.443</v>
      </c>
      <c r="G36" t="n">
        <v>4.342622</v>
      </c>
      <c r="H36" t="n">
        <v>-1.123258</v>
      </c>
      <c r="I36" t="n">
        <v>-27.74198103944208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26.61872303944208</v>
      </c>
      <c r="N36" t="n">
        <v>0</v>
      </c>
      <c r="O36" t="n">
        <v>0</v>
      </c>
      <c r="P36" t="n">
        <v>26.61872303944208</v>
      </c>
      <c r="Q36" t="n">
        <v>-5.238396259879563</v>
      </c>
      <c r="R36" t="n">
        <v>33.61817238413187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-0.9693060238060602</v>
      </c>
      <c r="F37" t="n">
        <v>-4.793</v>
      </c>
      <c r="G37" t="n">
        <v>-3.273778</v>
      </c>
      <c r="H37" t="n">
        <v>-1.400556</v>
      </c>
      <c r="I37" t="n">
        <v>-0.4312499761939397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-0.9693060238060602</v>
      </c>
      <c r="N37" t="n">
        <v>0</v>
      </c>
      <c r="O37" t="n">
        <v>0</v>
      </c>
      <c r="P37" t="n">
        <v>-0.9693060238060602</v>
      </c>
      <c r="Q37" t="n">
        <v>1.936623729398956</v>
      </c>
      <c r="R37" t="n">
        <v>-2.850721994598426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11.60176464899183</v>
      </c>
      <c r="F38" t="n">
        <v>6.207</v>
      </c>
      <c r="G38" t="n">
        <v>9.120647</v>
      </c>
      <c r="H38" t="n">
        <v>13.159849</v>
      </c>
      <c r="I38" t="n">
        <v>1.558084351008169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11.60176464899183</v>
      </c>
      <c r="N38" t="n">
        <v>0</v>
      </c>
      <c r="O38" t="n">
        <v>0</v>
      </c>
      <c r="P38" t="n">
        <v>11.60176464899183</v>
      </c>
      <c r="Q38" t="n">
        <v>3.701592674734067</v>
      </c>
      <c r="R38" t="n">
        <v>7.618178053481883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1.317361119033689</v>
      </c>
      <c r="F41" t="n">
        <v>1.019</v>
      </c>
      <c r="G41" t="n">
        <v>2.982714</v>
      </c>
      <c r="H41" t="n">
        <v>3.027883</v>
      </c>
      <c r="I41" t="n">
        <v>1.710521880966311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1.317361119033689</v>
      </c>
      <c r="N41" t="n">
        <v>0</v>
      </c>
      <c r="O41" t="n">
        <v>0</v>
      </c>
      <c r="P41" t="n">
        <v>1.317361119033689</v>
      </c>
      <c r="Q41" t="n">
        <v>0.04386073309028404</v>
      </c>
      <c r="R41" t="n">
        <v>1.272942064222216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8.585447506426181</v>
      </c>
      <c r="F43" t="n">
        <v>0.98</v>
      </c>
      <c r="G43" t="n">
        <v>2.746913</v>
      </c>
      <c r="H43" t="n">
        <v>6.16391</v>
      </c>
      <c r="I43" t="n">
        <v>-2.421537506426182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8.585447506426181</v>
      </c>
      <c r="N43" t="n">
        <v>0</v>
      </c>
      <c r="O43" t="n">
        <v>0</v>
      </c>
      <c r="P43" t="n">
        <v>8.585447506426181</v>
      </c>
      <c r="Q43" t="n">
        <v>3.325644623515855</v>
      </c>
      <c r="R43" t="n">
        <v>5.090510591126995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21.4712643678161</v>
      </c>
      <c r="F58" t="n">
        <v>1.942</v>
      </c>
      <c r="G58" t="n">
        <v>6.700485</v>
      </c>
      <c r="H58" t="n">
        <v>1.585353</v>
      </c>
      <c r="I58" t="n">
        <v>-17.99280935030816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21.4712643678161</v>
      </c>
      <c r="N58" t="n">
        <v>-1.558477247569945</v>
      </c>
      <c r="O58" t="inlineStr"/>
      <c r="P58" t="n">
        <v>19.57816235030816</v>
      </c>
      <c r="Q58" t="n">
        <v>-4.793915921235781</v>
      </c>
      <c r="R58" t="n">
        <v>25.59928654494481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7.570626934984515</v>
      </c>
      <c r="F73" t="n">
        <v>1.541</v>
      </c>
      <c r="G73" t="n">
        <v>4.015086</v>
      </c>
      <c r="H73" t="n">
        <v>6.009724</v>
      </c>
      <c r="I73" t="n">
        <v>0.1155608108655732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7.570626934984515</v>
      </c>
      <c r="N73" t="n">
        <v>-1.558477247569945</v>
      </c>
      <c r="O73" t="inlineStr"/>
      <c r="P73" t="n">
        <v>5.894163189134427</v>
      </c>
      <c r="Q73" t="n">
        <v>1.917642917461637</v>
      </c>
      <c r="R73" t="n">
        <v>3.901699605526776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3.882594712045107</v>
      </c>
      <c r="F88" t="n">
        <v>4.163</v>
      </c>
      <c r="G88" t="n">
        <v>4.659559</v>
      </c>
      <c r="H88" t="n">
        <v>6.454994</v>
      </c>
      <c r="I88" t="n">
        <v>4.191385890727426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3.882594712045107</v>
      </c>
      <c r="N88" t="n">
        <v>-1.558477247569945</v>
      </c>
      <c r="O88" t="inlineStr"/>
      <c r="P88" t="n">
        <v>2.263608109272575</v>
      </c>
      <c r="Q88" t="n">
        <v>1.715499981285462</v>
      </c>
      <c r="R88" t="n">
        <v>0.5388639175818444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6.036697247706413</v>
      </c>
      <c r="F103" t="n">
        <v>0.911</v>
      </c>
      <c r="G103" t="n">
        <v>2.453141</v>
      </c>
      <c r="H103" t="n">
        <v>5.860528</v>
      </c>
      <c r="I103" t="n">
        <v>1.476388552973709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6.036697247706413</v>
      </c>
      <c r="N103" t="n">
        <v>-1.558477247569945</v>
      </c>
      <c r="O103" t="inlineStr"/>
      <c r="P103" t="n">
        <v>4.384139447026292</v>
      </c>
      <c r="Q103" t="n">
        <v>3.325800444983762</v>
      </c>
      <c r="R103" t="n">
        <v>1.024273702680922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2.928148148426279</v>
      </c>
      <c r="F118" t="n">
        <v>0.944</v>
      </c>
      <c r="G118" t="n">
        <v>2.854457</v>
      </c>
      <c r="H118" t="n">
        <v>6.275164</v>
      </c>
      <c r="I118" t="n">
        <v>5.833767586223682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2.928148148426279</v>
      </c>
      <c r="N118" t="n">
        <v>-2.416007457031066</v>
      </c>
      <c r="O118" t="inlineStr"/>
      <c r="P118" t="n">
        <v>0.4413964137763182</v>
      </c>
      <c r="Q118" t="n">
        <v>3.3257747234954</v>
      </c>
      <c r="R118" t="n">
        <v>-2.791538043085395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3.871128871128882</v>
      </c>
      <c r="F133" t="n">
        <v>0.944</v>
      </c>
      <c r="G133" t="n">
        <v>2.854457</v>
      </c>
      <c r="H133" t="n">
        <v>6.275164</v>
      </c>
      <c r="I133" t="n">
        <v>4.022843039121716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3.871128871128882</v>
      </c>
      <c r="N133" t="n">
        <v>-1.558477247569945</v>
      </c>
      <c r="O133" t="inlineStr"/>
      <c r="P133" t="n">
        <v>2.252320960878285</v>
      </c>
      <c r="Q133" t="n">
        <v>3.3257747234954</v>
      </c>
      <c r="R133" t="n">
        <v>-1.038902215337589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-41.20250601946319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-41.20250601946319</v>
      </c>
      <c r="N137" t="n">
        <v>0</v>
      </c>
      <c r="O137" t="n">
        <v>0</v>
      </c>
      <c r="P137" t="n">
        <v>-41.20250601946319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-1.453804266253611</v>
      </c>
      <c r="F138" t="n">
        <v>-0.032</v>
      </c>
      <c r="G138" t="n">
        <v>-0.521775</v>
      </c>
      <c r="H138" t="n">
        <v>-0.7929619999999999</v>
      </c>
      <c r="I138" t="n">
        <v>0.6608422662536111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-1.453804266253611</v>
      </c>
      <c r="N138" t="n">
        <v>0</v>
      </c>
      <c r="O138" t="n">
        <v>0</v>
      </c>
      <c r="P138" t="n">
        <v>-1.453804266253611</v>
      </c>
      <c r="Q138" t="n">
        <v>-0.2726090758551236</v>
      </c>
      <c r="R138" t="n">
        <v>-1.184424037822196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30.60835257786874</v>
      </c>
      <c r="F139" t="n">
        <v>1.473</v>
      </c>
      <c r="G139" t="n">
        <v>1.680157</v>
      </c>
      <c r="H139" t="n">
        <v>3.763909</v>
      </c>
      <c r="I139" t="n">
        <v>-26.84444357786874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30.60835257786874</v>
      </c>
      <c r="N139" t="n">
        <v>0</v>
      </c>
      <c r="O139" t="n">
        <v>0</v>
      </c>
      <c r="P139" t="n">
        <v>30.60835257786874</v>
      </c>
      <c r="Q139" t="n">
        <v>2.049320116562869</v>
      </c>
      <c r="R139" t="n">
        <v>27.98551957885183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-32.43207291198799</v>
      </c>
      <c r="F140" t="n">
        <v>2.065</v>
      </c>
      <c r="G140" t="n">
        <v>1.824906</v>
      </c>
      <c r="H140" t="n">
        <v>6.532874</v>
      </c>
      <c r="I140" t="n">
        <v>38.96494691198799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-32.43207291198799</v>
      </c>
      <c r="N140" t="n">
        <v>0</v>
      </c>
      <c r="O140" t="n">
        <v>0</v>
      </c>
      <c r="P140" t="n">
        <v>-32.43207291198799</v>
      </c>
      <c r="Q140" t="n">
        <v>4.623591848279407</v>
      </c>
      <c r="R140" t="n">
        <v>-35.41807741986521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51.73710509239915</v>
      </c>
      <c r="F141" t="n">
        <v>2.277</v>
      </c>
      <c r="G141" t="n">
        <v>2.527462</v>
      </c>
      <c r="H141" t="n">
        <v>-2.843071</v>
      </c>
      <c r="I141" t="n">
        <v>-54.58017609239915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51.73710509239915</v>
      </c>
      <c r="N141" t="n">
        <v>0</v>
      </c>
      <c r="O141" t="n">
        <v>0</v>
      </c>
      <c r="P141" t="n">
        <v>51.73710509239915</v>
      </c>
      <c r="Q141" t="n">
        <v>-5.238140680804115</v>
      </c>
      <c r="R141" t="n">
        <v>60.1246600505039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5.064047288985729</v>
      </c>
      <c r="F143" t="n">
        <v>8.654</v>
      </c>
      <c r="G143" t="n">
        <v>10.167721</v>
      </c>
      <c r="H143" t="n">
        <v>14.245594</v>
      </c>
      <c r="I143" t="n">
        <v>9.181546711014271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5.064047288985729</v>
      </c>
      <c r="N143" t="n">
        <v>0</v>
      </c>
      <c r="O143" t="n">
        <v>0</v>
      </c>
      <c r="P143" t="n">
        <v>5.064047288985729</v>
      </c>
      <c r="Q143" t="n">
        <v>3.701513171218962</v>
      </c>
      <c r="R143" t="n">
        <v>1.313899938487029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2.552416036624061</v>
      </c>
      <c r="F144" t="n">
        <v>5.744</v>
      </c>
      <c r="G144" t="n">
        <v>12.612217</v>
      </c>
      <c r="H144" t="n">
        <v>0.276495</v>
      </c>
      <c r="I144" t="n">
        <v>-2.275921036624061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2.552416036624061</v>
      </c>
      <c r="N144" t="n">
        <v>0</v>
      </c>
      <c r="O144" t="n">
        <v>0</v>
      </c>
      <c r="P144" t="n">
        <v>2.552416036624061</v>
      </c>
      <c r="Q144" t="n">
        <v>-10.95416004939412</v>
      </c>
      <c r="R144" t="n">
        <v>15.16811576319606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41.75910059308703</v>
      </c>
      <c r="F145" t="n">
        <v>2.332</v>
      </c>
      <c r="G145" t="n">
        <v>8.343838</v>
      </c>
      <c r="H145" t="n">
        <v>11.191812</v>
      </c>
      <c r="I145" t="n">
        <v>-30.56728859308703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41.75910059308703</v>
      </c>
      <c r="N145" t="n">
        <v>0</v>
      </c>
      <c r="O145" t="n">
        <v>0</v>
      </c>
      <c r="P145" t="n">
        <v>41.75910059308703</v>
      </c>
      <c r="Q145" t="n">
        <v>2.6286446849074</v>
      </c>
      <c r="R145" t="n">
        <v>38.12820097967655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4.804267121111883</v>
      </c>
      <c r="F148" t="n">
        <v>2.043</v>
      </c>
      <c r="G148" t="n">
        <v>4.612415</v>
      </c>
      <c r="H148" t="n">
        <v>8.091298999999999</v>
      </c>
      <c r="I148" t="n">
        <v>3.287031878888117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4.804267121111883</v>
      </c>
      <c r="N148" t="n">
        <v>0</v>
      </c>
      <c r="O148" t="n">
        <v>0</v>
      </c>
      <c r="P148" t="n">
        <v>4.804267121111883</v>
      </c>
      <c r="Q148" t="n">
        <v>3.325498448972142</v>
      </c>
      <c r="R148" t="n">
        <v>1.431174970687454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-1.078691247296659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-1.078691247296659</v>
      </c>
      <c r="N152" t="n">
        <v>0</v>
      </c>
      <c r="O152" t="n">
        <v>0</v>
      </c>
      <c r="P152" t="n">
        <v>-1.078691247296659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3.596176250068872</v>
      </c>
      <c r="F153" t="n">
        <v>2.175</v>
      </c>
      <c r="G153" t="n">
        <v>3.849342</v>
      </c>
      <c r="H153" t="n">
        <v>3.708636</v>
      </c>
      <c r="I153" t="n">
        <v>0.1124597499311277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3.596176250068872</v>
      </c>
      <c r="N153" t="n">
        <v>0</v>
      </c>
      <c r="O153" t="n">
        <v>0</v>
      </c>
      <c r="P153" t="n">
        <v>3.596176250068872</v>
      </c>
      <c r="Q153" t="n">
        <v>-0.1354907133202965</v>
      </c>
      <c r="R153" t="n">
        <v>3.736729885365708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34.25774139273869</v>
      </c>
      <c r="F154" t="n">
        <v>3.796</v>
      </c>
      <c r="G154" t="n">
        <v>6.786041</v>
      </c>
      <c r="H154" t="n">
        <v>6.361341</v>
      </c>
      <c r="I154" t="n">
        <v>-27.89640039273869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34.25774139273869</v>
      </c>
      <c r="N154" t="n">
        <v>0</v>
      </c>
      <c r="O154" t="n">
        <v>0</v>
      </c>
      <c r="P154" t="n">
        <v>34.25774139273869</v>
      </c>
      <c r="Q154" t="n">
        <v>-0.39771073449969</v>
      </c>
      <c r="R154" t="n">
        <v>34.79383092778185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-9.784179075339027</v>
      </c>
      <c r="F155" t="n">
        <v>2.847</v>
      </c>
      <c r="G155" t="n">
        <v>6.610666</v>
      </c>
      <c r="H155" t="n">
        <v>5.995235</v>
      </c>
      <c r="I155" t="n">
        <v>15.77941407533903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-9.784179075339027</v>
      </c>
      <c r="N155" t="n">
        <v>0</v>
      </c>
      <c r="O155" t="n">
        <v>0</v>
      </c>
      <c r="P155" t="n">
        <v>-9.784179075339027</v>
      </c>
      <c r="Q155" t="n">
        <v>-0.5772691991979939</v>
      </c>
      <c r="R155" t="n">
        <v>-9.260367123276369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11.92434514501821</v>
      </c>
      <c r="F156" t="n">
        <v>-1.672</v>
      </c>
      <c r="G156" t="n">
        <v>0.338326</v>
      </c>
      <c r="H156" t="n">
        <v>0.371547</v>
      </c>
      <c r="I156" t="n">
        <v>-11.55279814501821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11.92434514501821</v>
      </c>
      <c r="N156" t="n">
        <v>0</v>
      </c>
      <c r="O156" t="n">
        <v>0</v>
      </c>
      <c r="P156" t="n">
        <v>11.92434514501821</v>
      </c>
      <c r="Q156" t="n">
        <v>0.03310856884966018</v>
      </c>
      <c r="R156" t="n">
        <v>11.88730086097862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1.702721167567156</v>
      </c>
      <c r="F157" t="n">
        <v>-6.545</v>
      </c>
      <c r="G157" t="n">
        <v>-5.948249</v>
      </c>
      <c r="H157" t="n">
        <v>-4.99456</v>
      </c>
      <c r="I157" t="n">
        <v>-6.697281167567156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1.702721167567156</v>
      </c>
      <c r="N157" t="n">
        <v>0</v>
      </c>
      <c r="O157" t="n">
        <v>0</v>
      </c>
      <c r="P157" t="n">
        <v>1.702721167567156</v>
      </c>
      <c r="Q157" t="n">
        <v>1.01400441539532</v>
      </c>
      <c r="R157" t="n">
        <v>0.6818032372418958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-4.464141716668502</v>
      </c>
      <c r="F158" t="n">
        <v>6.454</v>
      </c>
      <c r="G158" t="n">
        <v>7.18217</v>
      </c>
      <c r="H158" t="n">
        <v>6.96148</v>
      </c>
      <c r="I158" t="n">
        <v>11.4256217166685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-4.464141716668502</v>
      </c>
      <c r="N158" t="n">
        <v>0</v>
      </c>
      <c r="O158" t="n">
        <v>0</v>
      </c>
      <c r="P158" t="n">
        <v>-4.464141716668502</v>
      </c>
      <c r="Q158" t="n">
        <v>-0.2059013661241393</v>
      </c>
      <c r="R158" t="n">
        <v>-4.267026215815606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-7.126668471968822</v>
      </c>
      <c r="F159" t="n">
        <v>-3.684</v>
      </c>
      <c r="G159" t="n">
        <v>-2.057342</v>
      </c>
      <c r="H159" t="n">
        <v>-2.784629</v>
      </c>
      <c r="I159" t="n">
        <v>4.342039471968822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-7.126668471968822</v>
      </c>
      <c r="N159" t="n">
        <v>0</v>
      </c>
      <c r="O159" t="n">
        <v>0</v>
      </c>
      <c r="P159" t="n">
        <v>-7.126668471968822</v>
      </c>
      <c r="Q159" t="n">
        <v>-0.742564522541167</v>
      </c>
      <c r="R159" t="n">
        <v>-6.431864694789013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2.604706719119076</v>
      </c>
      <c r="F161" t="n">
        <v>2.505</v>
      </c>
      <c r="G161" t="n">
        <v>6.425068</v>
      </c>
      <c r="H161" t="n">
        <v>6.776138</v>
      </c>
      <c r="I161" t="n">
        <v>4.171431280880924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2.604706719119076</v>
      </c>
      <c r="N161" t="n">
        <v>0</v>
      </c>
      <c r="O161" t="n">
        <v>0</v>
      </c>
      <c r="P161" t="n">
        <v>2.604706719119076</v>
      </c>
      <c r="Q161" t="n">
        <v>0.3298751768107566</v>
      </c>
      <c r="R161" t="n">
        <v>2.267352110524801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10.69958004318614</v>
      </c>
      <c r="F163" t="n">
        <v>2.122</v>
      </c>
      <c r="G163" t="n">
        <v>4.299869</v>
      </c>
      <c r="H163" t="n">
        <v>4.299762</v>
      </c>
      <c r="I163" t="n">
        <v>-6.399818043186142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10.69958004318614</v>
      </c>
      <c r="N163" t="n">
        <v>0</v>
      </c>
      <c r="O163" t="n">
        <v>0</v>
      </c>
      <c r="P163" t="n">
        <v>10.69958004318614</v>
      </c>
      <c r="Q163" t="n">
        <v>-0.0001025016202804707</v>
      </c>
      <c r="R163" t="n">
        <v>10.69969351216564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-4.795982812488919</v>
      </c>
      <c r="F178" t="n">
        <v>6.159</v>
      </c>
      <c r="G178" t="n">
        <v>10.122338</v>
      </c>
      <c r="H178" t="n">
        <v>9.221730000000001</v>
      </c>
      <c r="I178" t="n">
        <v>14.01771281248892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-4.795982812488919</v>
      </c>
      <c r="N178" t="n">
        <v>0</v>
      </c>
      <c r="O178" t="n">
        <v>0</v>
      </c>
      <c r="P178" t="n">
        <v>-4.795982812488919</v>
      </c>
      <c r="Q178" t="n">
        <v>-0.8178255346367069</v>
      </c>
      <c r="R178" t="n">
        <v>-4.010959932363123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-7.589924597622688</v>
      </c>
      <c r="F193" t="n">
        <v>4.942</v>
      </c>
      <c r="G193" t="n">
        <v>7.932287</v>
      </c>
      <c r="H193" t="n">
        <v>7.412406</v>
      </c>
      <c r="I193" t="n">
        <v>17.23496491039215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-7.589924597622688</v>
      </c>
      <c r="N193" t="n">
        <v>-2.416007457031066</v>
      </c>
      <c r="O193" t="inlineStr"/>
      <c r="P193" t="n">
        <v>-9.822558910392154</v>
      </c>
      <c r="Q193" t="n">
        <v>-0.4816731502218174</v>
      </c>
      <c r="R193" t="n">
        <v>-9.386096064768356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2.915708774674375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2.915708774674375</v>
      </c>
      <c r="N197" t="n">
        <v>0</v>
      </c>
      <c r="O197" t="n">
        <v>0</v>
      </c>
      <c r="P197" t="n">
        <v>2.915708774674375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-7.21754333219593</v>
      </c>
      <c r="F198" t="n">
        <v>1.236</v>
      </c>
      <c r="G198" t="n">
        <v>2.499763</v>
      </c>
      <c r="H198" t="n">
        <v>2.220127</v>
      </c>
      <c r="I198" t="n">
        <v>9.43767033219593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-7.21754333219593</v>
      </c>
      <c r="N198" t="n">
        <v>0</v>
      </c>
      <c r="O198" t="n">
        <v>0</v>
      </c>
      <c r="P198" t="n">
        <v>-7.21754333219593</v>
      </c>
      <c r="Q198" t="n">
        <v>-0.2728156085432532</v>
      </c>
      <c r="R198" t="n">
        <v>-6.963725854720515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27.22811458805916</v>
      </c>
      <c r="F199" t="n">
        <v>1.604</v>
      </c>
      <c r="G199" t="n">
        <v>2.325006</v>
      </c>
      <c r="H199" t="n">
        <v>4.422636</v>
      </c>
      <c r="I199" t="n">
        <v>-22.80547858805916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27.22811458805916</v>
      </c>
      <c r="N199" t="n">
        <v>0</v>
      </c>
      <c r="O199" t="n">
        <v>0</v>
      </c>
      <c r="P199" t="n">
        <v>27.22811458805916</v>
      </c>
      <c r="Q199" t="n">
        <v>2.049967928336471</v>
      </c>
      <c r="R199" t="n">
        <v>24.67237096772415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-17.69275007736052</v>
      </c>
      <c r="F200" t="n">
        <v>0.827</v>
      </c>
      <c r="G200" t="n">
        <v>1.905997</v>
      </c>
      <c r="H200" t="n">
        <v>6.617168</v>
      </c>
      <c r="I200" t="n">
        <v>24.30991807736052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-17.69275007736052</v>
      </c>
      <c r="N200" t="n">
        <v>0</v>
      </c>
      <c r="O200" t="n">
        <v>0</v>
      </c>
      <c r="P200" t="n">
        <v>-17.69275007736052</v>
      </c>
      <c r="Q200" t="n">
        <v>4.623056079141641</v>
      </c>
      <c r="R200" t="n">
        <v>-21.32972118461295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27.29961200056832</v>
      </c>
      <c r="F201" t="n">
        <v>0.429</v>
      </c>
      <c r="G201" t="n">
        <v>1.480753</v>
      </c>
      <c r="H201" t="n">
        <v>-3.835293</v>
      </c>
      <c r="I201" t="n">
        <v>-31.13490500056832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27.29961200056832</v>
      </c>
      <c r="N201" t="n">
        <v>0</v>
      </c>
      <c r="O201" t="n">
        <v>0</v>
      </c>
      <c r="P201" t="n">
        <v>27.29961200056832</v>
      </c>
      <c r="Q201" t="n">
        <v>-5.23847742588689</v>
      </c>
      <c r="R201" t="n">
        <v>34.33681576929825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0.3274519211047711</v>
      </c>
      <c r="F202" t="n">
        <v>-8.868</v>
      </c>
      <c r="G202" t="n">
        <v>-7.430707</v>
      </c>
      <c r="H202" t="n">
        <v>-5.637848</v>
      </c>
      <c r="I202" t="n">
        <v>-5.965299921104771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0.3274519211047711</v>
      </c>
      <c r="N202" t="n">
        <v>0</v>
      </c>
      <c r="O202" t="n">
        <v>0</v>
      </c>
      <c r="P202" t="n">
        <v>0.3274519211047711</v>
      </c>
      <c r="Q202" t="n">
        <v>1.936774732016144</v>
      </c>
      <c r="R202" t="n">
        <v>-1.578746056211955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13.49749513948233</v>
      </c>
      <c r="F203" t="n">
        <v>8.930999999999999</v>
      </c>
      <c r="G203" t="n">
        <v>10.328962</v>
      </c>
      <c r="H203" t="n">
        <v>14.412767</v>
      </c>
      <c r="I203" t="n">
        <v>0.915271860517672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13.49749513948233</v>
      </c>
      <c r="N203" t="n">
        <v>0</v>
      </c>
      <c r="O203" t="n">
        <v>0</v>
      </c>
      <c r="P203" t="n">
        <v>13.49749513948233</v>
      </c>
      <c r="Q203" t="n">
        <v>3.701481070130574</v>
      </c>
      <c r="R203" t="n">
        <v>9.446358883463745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-15.52398073130962</v>
      </c>
      <c r="F204" t="n">
        <v>4.821</v>
      </c>
      <c r="G204" t="n">
        <v>8.443111</v>
      </c>
      <c r="H204" t="n">
        <v>-3.436304</v>
      </c>
      <c r="I204" t="n">
        <v>12.08767673130962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-15.52398073130962</v>
      </c>
      <c r="N204" t="n">
        <v>0</v>
      </c>
      <c r="O204" t="n">
        <v>0</v>
      </c>
      <c r="P204" t="n">
        <v>-15.52398073130962</v>
      </c>
      <c r="Q204" t="n">
        <v>-10.95451332175897</v>
      </c>
      <c r="R204" t="n">
        <v>-5.131610348834482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28.39150560684012</v>
      </c>
      <c r="F205" t="n">
        <v>0.715</v>
      </c>
      <c r="G205" t="n">
        <v>6.672279</v>
      </c>
      <c r="H205" t="n">
        <v>9.476413000000001</v>
      </c>
      <c r="I205" t="n">
        <v>-18.91509260684012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28.39150560684012</v>
      </c>
      <c r="N205" t="n">
        <v>0</v>
      </c>
      <c r="O205" t="n">
        <v>0</v>
      </c>
      <c r="P205" t="n">
        <v>28.39150560684012</v>
      </c>
      <c r="Q205" t="n">
        <v>2.628737200625419</v>
      </c>
      <c r="R205" t="n">
        <v>25.1028796699037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3.934013759328159</v>
      </c>
      <c r="F208" t="n">
        <v>0.759</v>
      </c>
      <c r="G208" t="n">
        <v>2.787725</v>
      </c>
      <c r="H208" t="n">
        <v>6.206252</v>
      </c>
      <c r="I208" t="n">
        <v>2.272238240671841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3.934013759328159</v>
      </c>
      <c r="N208" t="n">
        <v>0</v>
      </c>
      <c r="O208" t="n">
        <v>0</v>
      </c>
      <c r="P208" t="n">
        <v>3.934013759328159</v>
      </c>
      <c r="Q208" t="n">
        <v>3.32581257664113</v>
      </c>
      <c r="R208" t="n">
        <v>0.5886246306903153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14.14679262556198</v>
      </c>
      <c r="F223" t="n">
        <v>0.633</v>
      </c>
      <c r="G223" t="n">
        <v>2.602655</v>
      </c>
      <c r="H223" t="n">
        <v>4.294705</v>
      </c>
      <c r="I223" t="n">
        <v>-9.852087625561976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14.14679262556198</v>
      </c>
      <c r="N223" t="n">
        <v>0</v>
      </c>
      <c r="O223" t="n">
        <v>0</v>
      </c>
      <c r="P223" t="n">
        <v>14.14679262556198</v>
      </c>
      <c r="Q223" t="n">
        <v>1.649129003290351</v>
      </c>
      <c r="R223" t="n">
        <v>12.29490478159148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6.920665541355198</v>
      </c>
      <c r="F238" t="n">
        <v>4</v>
      </c>
      <c r="G238" t="n">
        <v>5.973192</v>
      </c>
      <c r="H238" t="n">
        <v>7.393555</v>
      </c>
      <c r="I238" t="n">
        <v>2.139223704057184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6.920665541355198</v>
      </c>
      <c r="N238" t="n">
        <v>-1.558477247569945</v>
      </c>
      <c r="O238" t="inlineStr"/>
      <c r="P238" t="n">
        <v>5.254331295942816</v>
      </c>
      <c r="Q238" t="n">
        <v>1.340304244938451</v>
      </c>
      <c r="R238" t="n">
        <v>3.862261002832801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16.54396728016361</v>
      </c>
      <c r="F253" t="n">
        <v>1.544</v>
      </c>
      <c r="G253" t="n">
        <v>6.135736</v>
      </c>
      <c r="H253" t="n">
        <v>9.032876</v>
      </c>
      <c r="I253" t="n">
        <v>-5.69478006668689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16.54396728016361</v>
      </c>
      <c r="N253" t="n">
        <v>-1.558477247569945</v>
      </c>
      <c r="O253" t="inlineStr"/>
      <c r="P253" t="n">
        <v>14.72765606668689</v>
      </c>
      <c r="Q253" t="n">
        <v>2.729655744762916</v>
      </c>
      <c r="R253" t="n">
        <v>11.67919841154108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1.975112024402259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1.975112024402259</v>
      </c>
      <c r="N257" t="n">
        <v>0</v>
      </c>
      <c r="O257" t="n">
        <v>0</v>
      </c>
      <c r="P257" t="n">
        <v>1.975112024402259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5.826998572565989</v>
      </c>
      <c r="F258" t="n">
        <v>2.425</v>
      </c>
      <c r="G258" t="n">
        <v>3.00354</v>
      </c>
      <c r="H258" t="n">
        <v>2.722532</v>
      </c>
      <c r="I258" t="n">
        <v>-3.104466572565989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5.826998572565989</v>
      </c>
      <c r="N258" t="n">
        <v>0</v>
      </c>
      <c r="O258" t="n">
        <v>0</v>
      </c>
      <c r="P258" t="n">
        <v>5.826998572565989</v>
      </c>
      <c r="Q258" t="n">
        <v>-0.2728140914921573</v>
      </c>
      <c r="R258" t="n">
        <v>6.116499336153192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33.67558576917193</v>
      </c>
      <c r="F259" t="n">
        <v>2.783</v>
      </c>
      <c r="G259" t="n">
        <v>4.260909</v>
      </c>
      <c r="H259" t="n">
        <v>6.398191</v>
      </c>
      <c r="I259" t="n">
        <v>-27.27739476917193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33.67558576917193</v>
      </c>
      <c r="N259" t="n">
        <v>0</v>
      </c>
      <c r="O259" t="n">
        <v>0</v>
      </c>
      <c r="P259" t="n">
        <v>33.67558576917193</v>
      </c>
      <c r="Q259" t="n">
        <v>2.049936364006899</v>
      </c>
      <c r="R259" t="n">
        <v>30.99036661067378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-15.79985678525361</v>
      </c>
      <c r="F260" t="n">
        <v>2.26</v>
      </c>
      <c r="G260" t="n">
        <v>4.849366</v>
      </c>
      <c r="H260" t="n">
        <v>9.696626999999999</v>
      </c>
      <c r="I260" t="n">
        <v>25.49648378525361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-15.79985678525361</v>
      </c>
      <c r="N260" t="n">
        <v>0</v>
      </c>
      <c r="O260" t="n">
        <v>0</v>
      </c>
      <c r="P260" t="n">
        <v>-15.79985678525361</v>
      </c>
      <c r="Q260" t="n">
        <v>4.623071406000068</v>
      </c>
      <c r="R260" t="n">
        <v>-19.52048235326652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32.65528786328322</v>
      </c>
      <c r="F261" t="n">
        <v>2.3</v>
      </c>
      <c r="G261" t="n">
        <v>5.397619</v>
      </c>
      <c r="H261" t="n">
        <v>-0.123528</v>
      </c>
      <c r="I261" t="n">
        <v>-32.77881586328322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32.65528786328322</v>
      </c>
      <c r="N261" t="n">
        <v>0</v>
      </c>
      <c r="O261" t="n">
        <v>0</v>
      </c>
      <c r="P261" t="n">
        <v>32.65528786328322</v>
      </c>
      <c r="Q261" t="n">
        <v>-5.238398370873599</v>
      </c>
      <c r="R261" t="n">
        <v>39.9884400249622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21.9691935052744</v>
      </c>
      <c r="F262" t="n">
        <v>-3.877</v>
      </c>
      <c r="G262" t="n">
        <v>-1.603342</v>
      </c>
      <c r="H262" t="n">
        <v>0.302259</v>
      </c>
      <c r="I262" t="n">
        <v>-21.6669345052744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21.9691935052744</v>
      </c>
      <c r="N262" t="n">
        <v>0</v>
      </c>
      <c r="O262" t="n">
        <v>0</v>
      </c>
      <c r="P262" t="n">
        <v>21.9691935052744</v>
      </c>
      <c r="Q262" t="n">
        <v>1.936651341764462</v>
      </c>
      <c r="R262" t="n">
        <v>19.65195236436259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20.86859150825397</v>
      </c>
      <c r="F263" t="n">
        <v>6.278</v>
      </c>
      <c r="G263" t="n">
        <v>9.196619999999999</v>
      </c>
      <c r="H263" t="n">
        <v>13.238586</v>
      </c>
      <c r="I263" t="n">
        <v>-7.630005508253975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20.86859150825397</v>
      </c>
      <c r="N263" t="n">
        <v>0</v>
      </c>
      <c r="O263" t="n">
        <v>0</v>
      </c>
      <c r="P263" t="n">
        <v>20.86859150825397</v>
      </c>
      <c r="Q263" t="n">
        <v>3.701548806529442</v>
      </c>
      <c r="R263" t="n">
        <v>16.5542780212012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-24.89154206395049</v>
      </c>
      <c r="F264" t="n">
        <v>5.007</v>
      </c>
      <c r="G264" t="n">
        <v>11.471034</v>
      </c>
      <c r="H264" t="n">
        <v>-0.7400679999999999</v>
      </c>
      <c r="I264" t="n">
        <v>24.15147406395049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-24.89154206395049</v>
      </c>
      <c r="N264" t="n">
        <v>0</v>
      </c>
      <c r="O264" t="n">
        <v>0</v>
      </c>
      <c r="P264" t="n">
        <v>-24.89154206395049</v>
      </c>
      <c r="Q264" t="n">
        <v>-10.9545066694613</v>
      </c>
      <c r="R264" t="n">
        <v>-15.65158984829769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19.73342420678559</v>
      </c>
      <c r="F265" t="n">
        <v>-0.601</v>
      </c>
      <c r="G265" t="n">
        <v>5.666318</v>
      </c>
      <c r="H265" t="n">
        <v>8.443960000000001</v>
      </c>
      <c r="I265" t="n">
        <v>-11.28946420678559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19.73342420678559</v>
      </c>
      <c r="N265" t="n">
        <v>0</v>
      </c>
      <c r="O265" t="n">
        <v>0</v>
      </c>
      <c r="P265" t="n">
        <v>19.73342420678559</v>
      </c>
      <c r="Q265" t="n">
        <v>2.628692357557849</v>
      </c>
      <c r="R265" t="n">
        <v>16.66661774237066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4.267467011907722</v>
      </c>
      <c r="F266" t="n">
        <v>1.08</v>
      </c>
      <c r="G266" t="n">
        <v>6.887318</v>
      </c>
      <c r="H266" t="n">
        <v>6.934213</v>
      </c>
      <c r="I266" t="n">
        <v>2.666745988092278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4.267467011907722</v>
      </c>
      <c r="N266" t="n">
        <v>0</v>
      </c>
      <c r="O266" t="n">
        <v>0</v>
      </c>
      <c r="P266" t="n">
        <v>4.267467011907722</v>
      </c>
      <c r="Q266" t="n">
        <v>0.04387328789934308</v>
      </c>
      <c r="R266" t="n">
        <v>4.221741507202559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7.094133510762735</v>
      </c>
      <c r="F268" t="n">
        <v>1.222</v>
      </c>
      <c r="G268" t="n">
        <v>3.555679</v>
      </c>
      <c r="H268" t="n">
        <v>6.999739</v>
      </c>
      <c r="I268" t="n">
        <v>-0.09439451076273464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7.094133510762735</v>
      </c>
      <c r="N268" t="n">
        <v>0</v>
      </c>
      <c r="O268" t="n">
        <v>0</v>
      </c>
      <c r="P268" t="n">
        <v>7.094133510762735</v>
      </c>
      <c r="Q268" t="n">
        <v>3.325805098258505</v>
      </c>
      <c r="R268" t="n">
        <v>3.647035132144105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-7.524273139992665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-7.524273139992665</v>
      </c>
      <c r="N283" t="n">
        <v>0</v>
      </c>
      <c r="O283" t="n">
        <v>0</v>
      </c>
      <c r="P283" t="n">
        <v>-7.524273139992665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10.64204611106869</v>
      </c>
      <c r="F298" t="n">
        <v>5.731</v>
      </c>
      <c r="G298" t="n">
        <v>8.046950000000001</v>
      </c>
      <c r="H298" t="n">
        <v>8.046818999999999</v>
      </c>
      <c r="I298" t="n">
        <v>-0.8708959961818366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10.64204611106869</v>
      </c>
      <c r="N298" t="n">
        <v>-1.558477247569945</v>
      </c>
      <c r="O298" t="inlineStr"/>
      <c r="P298" t="n">
        <v>8.917714996181836</v>
      </c>
      <c r="Q298" t="n">
        <v>-0.0001214776089053515</v>
      </c>
      <c r="R298" t="n">
        <v>8.917847306978421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5.541613245331067</v>
      </c>
      <c r="F313" t="n">
        <v>3.136</v>
      </c>
      <c r="G313" t="n">
        <v>6.397182</v>
      </c>
      <c r="H313" t="n">
        <v>6.766229</v>
      </c>
      <c r="I313" t="n">
        <v>1.224615754668933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5.541613245331067</v>
      </c>
      <c r="N313" t="n">
        <v>0</v>
      </c>
      <c r="O313" t="n">
        <v>0</v>
      </c>
      <c r="P313" t="n">
        <v>5.541613245331067</v>
      </c>
      <c r="Q313" t="n">
        <v>0.3468579952283335</v>
      </c>
      <c r="R313" t="n">
        <v>5.176799108497998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5.632685442284791</v>
      </c>
      <c r="F328" t="n">
        <v>3.136</v>
      </c>
      <c r="G328" t="n">
        <v>6.397182</v>
      </c>
      <c r="H328" t="n">
        <v>6.766229</v>
      </c>
      <c r="I328" t="n">
        <v>2.779804926330352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5.632685442284791</v>
      </c>
      <c r="N328" t="n">
        <v>-1.558477247569945</v>
      </c>
      <c r="O328" t="inlineStr"/>
      <c r="P328" t="n">
        <v>3.986424073669648</v>
      </c>
      <c r="Q328" t="n">
        <v>0.3468579952283335</v>
      </c>
      <c r="R328" t="n">
        <v>3.626985588940301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3.027296698567294</v>
      </c>
      <c r="F343" t="n">
        <v>3.978</v>
      </c>
      <c r="G343" t="n">
        <v>3.761463</v>
      </c>
      <c r="H343" t="n">
        <v>3.761426</v>
      </c>
      <c r="I343" t="n">
        <v>0.7341293014327057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3.027296698567294</v>
      </c>
      <c r="N343" t="n">
        <v>0</v>
      </c>
      <c r="O343" t="n">
        <v>0</v>
      </c>
      <c r="P343" t="n">
        <v>3.027296698567294</v>
      </c>
      <c r="Q343" t="n">
        <v>-3.56447590665887e-05</v>
      </c>
      <c r="R343" t="n">
        <v>3.02733342241206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-17.62322758046504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-17.62322758046504</v>
      </c>
      <c r="N347" t="n">
        <v>0</v>
      </c>
      <c r="O347" t="n">
        <v>0</v>
      </c>
      <c r="P347" t="n">
        <v>-17.62322758046504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2.996311600006751</v>
      </c>
      <c r="F348" t="n">
        <v>3.748</v>
      </c>
      <c r="G348" t="n">
        <v>4.289115</v>
      </c>
      <c r="H348" t="n">
        <v>3.781506</v>
      </c>
      <c r="I348" t="n">
        <v>0.7851943999932485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2.996311600006751</v>
      </c>
      <c r="N348" t="n">
        <v>0</v>
      </c>
      <c r="O348" t="n">
        <v>0</v>
      </c>
      <c r="P348" t="n">
        <v>2.996311600006751</v>
      </c>
      <c r="Q348" t="n">
        <v>-0.4867326638529845</v>
      </c>
      <c r="R348" t="n">
        <v>3.500080297930852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33.4443848561244</v>
      </c>
      <c r="F349" t="n">
        <v>4.477</v>
      </c>
      <c r="G349" t="n">
        <v>7.468422</v>
      </c>
      <c r="H349" t="n">
        <v>7.516753</v>
      </c>
      <c r="I349" t="n">
        <v>-25.9276318561244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33.4443848561244</v>
      </c>
      <c r="N349" t="n">
        <v>0</v>
      </c>
      <c r="O349" t="n">
        <v>0</v>
      </c>
      <c r="P349" t="n">
        <v>33.4443848561244</v>
      </c>
      <c r="Q349" t="n">
        <v>0.04497212238856463</v>
      </c>
      <c r="R349" t="n">
        <v>33.38439906093147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-13.04999992835776</v>
      </c>
      <c r="F350" t="n">
        <v>3.452</v>
      </c>
      <c r="G350" t="n">
        <v>7.18372</v>
      </c>
      <c r="H350" t="n">
        <v>9.73338</v>
      </c>
      <c r="I350" t="n">
        <v>22.78337992835776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-13.04999992835776</v>
      </c>
      <c r="N350" t="n">
        <v>0</v>
      </c>
      <c r="O350" t="n">
        <v>0</v>
      </c>
      <c r="P350" t="n">
        <v>-13.04999992835776</v>
      </c>
      <c r="Q350" t="n">
        <v>2.378775940880362</v>
      </c>
      <c r="R350" t="n">
        <v>-15.07028749606033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14.53482048775803</v>
      </c>
      <c r="F351" t="n">
        <v>1.308</v>
      </c>
      <c r="G351" t="n">
        <v>0.877565</v>
      </c>
      <c r="H351" t="n">
        <v>-0.255089</v>
      </c>
      <c r="I351" t="n">
        <v>-14.78990948775803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14.53482048775803</v>
      </c>
      <c r="N351" t="n">
        <v>0</v>
      </c>
      <c r="O351" t="n">
        <v>0</v>
      </c>
      <c r="P351" t="n">
        <v>14.53482048775803</v>
      </c>
      <c r="Q351" t="n">
        <v>-1.122800664696166</v>
      </c>
      <c r="R351" t="n">
        <v>15.83542136884097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-9.635644331884397</v>
      </c>
      <c r="F352" t="n">
        <v>-3.815</v>
      </c>
      <c r="G352" t="n">
        <v>-6.116217</v>
      </c>
      <c r="H352" t="n">
        <v>-7.176695</v>
      </c>
      <c r="I352" t="n">
        <v>2.458949331884397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-9.635644331884397</v>
      </c>
      <c r="N352" t="n">
        <v>0</v>
      </c>
      <c r="O352" t="n">
        <v>0</v>
      </c>
      <c r="P352" t="n">
        <v>-9.635644331884397</v>
      </c>
      <c r="Q352" t="n">
        <v>-1.129564895866886</v>
      </c>
      <c r="R352" t="n">
        <v>-8.603258827635042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5.077686437830042</v>
      </c>
      <c r="F353" t="n">
        <v>9.757</v>
      </c>
      <c r="G353" t="n">
        <v>21.75237</v>
      </c>
      <c r="H353" t="n">
        <v>25.038234</v>
      </c>
      <c r="I353" t="n">
        <v>19.96054756216996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5.077686437830042</v>
      </c>
      <c r="N353" t="n">
        <v>0</v>
      </c>
      <c r="O353" t="n">
        <v>0</v>
      </c>
      <c r="P353" t="n">
        <v>5.077686437830042</v>
      </c>
      <c r="Q353" t="n">
        <v>2.698809069060415</v>
      </c>
      <c r="R353" t="n">
        <v>2.316363150004919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-9.973518857187791</v>
      </c>
      <c r="F354" t="n">
        <v>4.108</v>
      </c>
      <c r="G354" t="n">
        <v>19.642385</v>
      </c>
      <c r="H354" t="n">
        <v>16.58921</v>
      </c>
      <c r="I354" t="n">
        <v>26.56272885718779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-9.973518857187791</v>
      </c>
      <c r="N354" t="n">
        <v>0</v>
      </c>
      <c r="O354" t="n">
        <v>0</v>
      </c>
      <c r="P354" t="n">
        <v>-9.973518857187791</v>
      </c>
      <c r="Q354" t="n">
        <v>-2.551917327829734</v>
      </c>
      <c r="R354" t="n">
        <v>-7.615954389092927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6.092724747862333</v>
      </c>
      <c r="F355" t="n">
        <v>1.821</v>
      </c>
      <c r="G355" t="n">
        <v>-3.288561</v>
      </c>
      <c r="H355" t="n">
        <v>-0.702922</v>
      </c>
      <c r="I355" t="n">
        <v>-6.795646747862333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6.092724747862333</v>
      </c>
      <c r="N355" t="n">
        <v>0</v>
      </c>
      <c r="O355" t="n">
        <v>0</v>
      </c>
      <c r="P355" t="n">
        <v>6.092724747862333</v>
      </c>
      <c r="Q355" t="n">
        <v>2.67356012134643</v>
      </c>
      <c r="R355" t="n">
        <v>3.330131557213867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24.22674026643581</v>
      </c>
      <c r="F356" t="n">
        <v>4.388</v>
      </c>
      <c r="G356" t="n">
        <v>7.772054</v>
      </c>
      <c r="H356" t="n">
        <v>8.299106</v>
      </c>
      <c r="I356" t="n">
        <v>-15.92763426643581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24.22674026643581</v>
      </c>
      <c r="N356" t="n">
        <v>0</v>
      </c>
      <c r="O356" t="n">
        <v>0</v>
      </c>
      <c r="P356" t="n">
        <v>24.22674026643581</v>
      </c>
      <c r="Q356" t="n">
        <v>0.4890427453015267</v>
      </c>
      <c r="R356" t="n">
        <v>23.62217498807269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3.675677325274496</v>
      </c>
      <c r="F358" t="n">
        <v>1.823</v>
      </c>
      <c r="G358" t="n">
        <v>3.126086</v>
      </c>
      <c r="H358" t="n">
        <v>5.580083</v>
      </c>
      <c r="I358" t="n">
        <v>1.904405674725504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3.675677325274496</v>
      </c>
      <c r="N358" t="n">
        <v>0</v>
      </c>
      <c r="O358" t="n">
        <v>0</v>
      </c>
      <c r="P358" t="n">
        <v>3.675677325274496</v>
      </c>
      <c r="Q358" t="n">
        <v>2.379608555916435</v>
      </c>
      <c r="R358" t="n">
        <v>1.265944251633067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18.79028135394712</v>
      </c>
      <c r="F373" t="n">
        <v>1.151</v>
      </c>
      <c r="G373" t="n">
        <v>4.860935</v>
      </c>
      <c r="H373" t="n">
        <v>4.048004</v>
      </c>
      <c r="I373" t="n">
        <v>-14.74227735394712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18.79028135394712</v>
      </c>
      <c r="N373" t="n">
        <v>0</v>
      </c>
      <c r="O373" t="n">
        <v>0</v>
      </c>
      <c r="P373" t="n">
        <v>18.79028135394712</v>
      </c>
      <c r="Q373" t="n">
        <v>-0.7752469863729683</v>
      </c>
      <c r="R373" t="n">
        <v>19.7183946002194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19.3099610461881</v>
      </c>
      <c r="F388" t="n">
        <v>1.151</v>
      </c>
      <c r="G388" t="n">
        <v>4.860935</v>
      </c>
      <c r="H388" t="n">
        <v>4.048004</v>
      </c>
      <c r="I388" t="n">
        <v>-13.40253844919868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19.3099610461881</v>
      </c>
      <c r="N388" t="n">
        <v>-1.558477247569945</v>
      </c>
      <c r="O388" t="inlineStr"/>
      <c r="P388" t="n">
        <v>17.45054244919868</v>
      </c>
      <c r="Q388" t="n">
        <v>-0.7752469863729683</v>
      </c>
      <c r="R388" t="n">
        <v>18.3681882615204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49.64823117631578</v>
      </c>
      <c r="F403" t="n">
        <v>1.83</v>
      </c>
      <c r="G403" t="n">
        <v>2.120058</v>
      </c>
      <c r="H403" t="n">
        <v>4.199192</v>
      </c>
      <c r="I403" t="n">
        <v>-45.44903917631578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49.64823117631578</v>
      </c>
      <c r="N403" t="n">
        <v>0</v>
      </c>
      <c r="O403" t="n">
        <v>0</v>
      </c>
      <c r="P403" t="n">
        <v>49.64823117631578</v>
      </c>
      <c r="Q403" t="n">
        <v>2.035970204912152</v>
      </c>
      <c r="R403" t="n">
        <v>46.66223183431004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5.500273005878586</v>
      </c>
      <c r="F418" t="n">
        <v>1.958</v>
      </c>
      <c r="G418" t="n">
        <v>4.480217</v>
      </c>
      <c r="H418" t="n">
        <v>7.955023</v>
      </c>
      <c r="I418" t="n">
        <v>5.003644457131578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5.500273005878586</v>
      </c>
      <c r="N418" t="n">
        <v>-2.416007457031066</v>
      </c>
      <c r="O418" t="inlineStr"/>
      <c r="P418" t="n">
        <v>2.951378542868421</v>
      </c>
      <c r="Q418" t="n">
        <v>3.325802534156552</v>
      </c>
      <c r="R418" t="n">
        <v>-0.3623722072367719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-3.906339416039528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-3.906339416039528</v>
      </c>
      <c r="N422" t="n">
        <v>0</v>
      </c>
      <c r="O422" t="n">
        <v>0</v>
      </c>
      <c r="P422" t="n">
        <v>-3.906339416039528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4.523701496476096</v>
      </c>
      <c r="F423" t="n">
        <v>2.131</v>
      </c>
      <c r="G423" t="n">
        <v>3.825749</v>
      </c>
      <c r="H423" t="n">
        <v>2.283882</v>
      </c>
      <c r="I423" t="n">
        <v>-2.239819496476096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4.523701496476096</v>
      </c>
      <c r="N423" t="n">
        <v>0</v>
      </c>
      <c r="O423" t="n">
        <v>0</v>
      </c>
      <c r="P423" t="n">
        <v>4.523701496476096</v>
      </c>
      <c r="Q423" t="n">
        <v>-1.485052375931262</v>
      </c>
      <c r="R423" t="n">
        <v>6.099332149408077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-13.44732467326157</v>
      </c>
      <c r="F425" t="n">
        <v>1.77</v>
      </c>
      <c r="G425" t="n">
        <v>4.430993</v>
      </c>
      <c r="H425" t="n">
        <v>2.705112</v>
      </c>
      <c r="I425" t="n">
        <v>16.15243667326157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-13.44732467326157</v>
      </c>
      <c r="N425" t="n">
        <v>0</v>
      </c>
      <c r="O425" t="n">
        <v>0</v>
      </c>
      <c r="P425" t="n">
        <v>-13.44732467326157</v>
      </c>
      <c r="Q425" t="n">
        <v>-1.652652847033775</v>
      </c>
      <c r="R425" t="n">
        <v>-11.99287237294032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23.80645408396762</v>
      </c>
      <c r="F426" t="n">
        <v>2.608</v>
      </c>
      <c r="G426" t="n">
        <v>5.09739</v>
      </c>
      <c r="H426" t="n">
        <v>-3.412178</v>
      </c>
      <c r="I426" t="n">
        <v>-27.21863208396762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23.80645408396762</v>
      </c>
      <c r="N426" t="n">
        <v>0</v>
      </c>
      <c r="O426" t="n">
        <v>0</v>
      </c>
      <c r="P426" t="n">
        <v>23.80645408396762</v>
      </c>
      <c r="Q426" t="n">
        <v>-8.096840339697453</v>
      </c>
      <c r="R426" t="n">
        <v>34.71403436137317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18.94080226389725</v>
      </c>
      <c r="F427" t="n">
        <v>-1.934</v>
      </c>
      <c r="G427" t="n">
        <v>-0.169814</v>
      </c>
      <c r="H427" t="n">
        <v>2.51877</v>
      </c>
      <c r="I427" t="n">
        <v>-16.42203226389725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18.94080226389725</v>
      </c>
      <c r="N427" t="n">
        <v>0</v>
      </c>
      <c r="O427" t="n">
        <v>0</v>
      </c>
      <c r="P427" t="n">
        <v>18.94080226389725</v>
      </c>
      <c r="Q427" t="n">
        <v>2.693157386668488</v>
      </c>
      <c r="R427" t="n">
        <v>15.82154574919907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21.3106447982474</v>
      </c>
      <c r="F428" t="n">
        <v>5.226</v>
      </c>
      <c r="G428" t="n">
        <v>8.077332999999999</v>
      </c>
      <c r="H428" t="n">
        <v>16.063285</v>
      </c>
      <c r="I428" t="n">
        <v>-5.247359798247402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21.3106447982474</v>
      </c>
      <c r="N428" t="n">
        <v>0</v>
      </c>
      <c r="O428" t="n">
        <v>0</v>
      </c>
      <c r="P428" t="n">
        <v>21.3106447982474</v>
      </c>
      <c r="Q428" t="n">
        <v>7.38910909507311</v>
      </c>
      <c r="R428" t="n">
        <v>12.96363832467346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-28.50703270662908</v>
      </c>
      <c r="F429" t="n">
        <v>1.255</v>
      </c>
      <c r="G429" t="n">
        <v>7.358299</v>
      </c>
      <c r="H429" t="n">
        <v>-8.963531</v>
      </c>
      <c r="I429" t="n">
        <v>19.54350170662908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-28.50703270662908</v>
      </c>
      <c r="N429" t="n">
        <v>0</v>
      </c>
      <c r="O429" t="n">
        <v>0</v>
      </c>
      <c r="P429" t="n">
        <v>-28.50703270662908</v>
      </c>
      <c r="Q429" t="n">
        <v>-15.20313827829323</v>
      </c>
      <c r="R429" t="n">
        <v>-15.68913537389821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10.32258650018592</v>
      </c>
      <c r="F433" t="n">
        <v>1.932</v>
      </c>
      <c r="G433" t="n">
        <v>3.563101</v>
      </c>
      <c r="H433" t="n">
        <v>7.426191</v>
      </c>
      <c r="I433" t="n">
        <v>-2.896395500185915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10.32258650018592</v>
      </c>
      <c r="N433" t="n">
        <v>0</v>
      </c>
      <c r="O433" t="n">
        <v>0</v>
      </c>
      <c r="P433" t="n">
        <v>10.32258650018592</v>
      </c>
      <c r="Q433" t="n">
        <v>3.730179520528276</v>
      </c>
      <c r="R433" t="n">
        <v>6.35534133858604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7.330969196305026</v>
      </c>
      <c r="F448" t="n">
        <v>1.275</v>
      </c>
      <c r="G448" t="n">
        <v>1.903517</v>
      </c>
      <c r="H448" t="n">
        <v>7.173077</v>
      </c>
      <c r="I448" t="n">
        <v>2.435232023181428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7.330969196305026</v>
      </c>
      <c r="N448" t="n">
        <v>-2.416007457031066</v>
      </c>
      <c r="O448" t="inlineStr"/>
      <c r="P448" t="n">
        <v>4.737844976818573</v>
      </c>
      <c r="Q448" t="n">
        <v>5.171126513062774</v>
      </c>
      <c r="R448" t="n">
        <v>-0.4119776507199302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8.416016645164493</v>
      </c>
      <c r="F463" t="n">
        <v>1.275</v>
      </c>
      <c r="G463" t="n">
        <v>1.903517</v>
      </c>
      <c r="H463" t="n">
        <v>7.173077</v>
      </c>
      <c r="I463" t="n">
        <v>0.4466993069720484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8.416016645164493</v>
      </c>
      <c r="N463" t="n">
        <v>-1.558477247569945</v>
      </c>
      <c r="O463" t="inlineStr"/>
      <c r="P463" t="n">
        <v>6.726377693027952</v>
      </c>
      <c r="Q463" t="n">
        <v>5.171126513062774</v>
      </c>
      <c r="R463" t="n">
        <v>1.478781516875749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0.7782997323936502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0.7782997323936502</v>
      </c>
      <c r="N467" t="n">
        <v>0</v>
      </c>
      <c r="O467" t="n">
        <v>0</v>
      </c>
      <c r="P467" t="n">
        <v>0.7782997323936502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-1.394084259590445</v>
      </c>
      <c r="F468" t="n">
        <v>2.098</v>
      </c>
      <c r="G468" t="n">
        <v>1.498696</v>
      </c>
      <c r="H468" t="n">
        <v>-0.871703</v>
      </c>
      <c r="I468" t="n">
        <v>0.5223812595904446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-1.394084259590445</v>
      </c>
      <c r="N468" t="n">
        <v>0</v>
      </c>
      <c r="O468" t="n">
        <v>0</v>
      </c>
      <c r="P468" t="n">
        <v>-1.394084259590445</v>
      </c>
      <c r="Q468" t="n">
        <v>-2.335398404529998</v>
      </c>
      <c r="R468" t="n">
        <v>0.9638232579276762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22.88282780994459</v>
      </c>
      <c r="F469" t="n">
        <v>1.428</v>
      </c>
      <c r="G469" t="n">
        <v>1.053383</v>
      </c>
      <c r="H469" t="n">
        <v>1.125528</v>
      </c>
      <c r="I469" t="n">
        <v>-21.75729980994459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22.88282780994459</v>
      </c>
      <c r="N469" t="n">
        <v>0</v>
      </c>
      <c r="O469" t="n">
        <v>0</v>
      </c>
      <c r="P469" t="n">
        <v>22.88282780994459</v>
      </c>
      <c r="Q469" t="n">
        <v>0.07139279508214802</v>
      </c>
      <c r="R469" t="n">
        <v>22.79516091234366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-9.563169462790144</v>
      </c>
      <c r="F470" t="n">
        <v>2.862</v>
      </c>
      <c r="G470" t="n">
        <v>3.647461</v>
      </c>
      <c r="H470" t="n">
        <v>4.368324</v>
      </c>
      <c r="I470" t="n">
        <v>13.93149346279014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-9.563169462790144</v>
      </c>
      <c r="N470" t="n">
        <v>0</v>
      </c>
      <c r="O470" t="n">
        <v>0</v>
      </c>
      <c r="P470" t="n">
        <v>-9.563169462790144</v>
      </c>
      <c r="Q470" t="n">
        <v>0.6954953977677203</v>
      </c>
      <c r="R470" t="n">
        <v>-10.18780911701566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32.58999399999236</v>
      </c>
      <c r="F471" t="n">
        <v>1.163</v>
      </c>
      <c r="G471" t="n">
        <v>1.058548</v>
      </c>
      <c r="H471" t="n">
        <v>-0.550084</v>
      </c>
      <c r="I471" t="n">
        <v>-33.14007799999236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32.58999399999236</v>
      </c>
      <c r="N471" t="n">
        <v>0</v>
      </c>
      <c r="O471" t="n">
        <v>0</v>
      </c>
      <c r="P471" t="n">
        <v>32.58999399999236</v>
      </c>
      <c r="Q471" t="n">
        <v>-1.591782718460655</v>
      </c>
      <c r="R471" t="n">
        <v>34.73467730917352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10.93256998906005</v>
      </c>
      <c r="F472" t="n">
        <v>-2.293</v>
      </c>
      <c r="G472" t="n">
        <v>-2.970639</v>
      </c>
      <c r="H472" t="n">
        <v>2.68626</v>
      </c>
      <c r="I472" t="n">
        <v>-8.246309989060048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10.93256998906005</v>
      </c>
      <c r="N472" t="n">
        <v>0</v>
      </c>
      <c r="O472" t="n">
        <v>0</v>
      </c>
      <c r="P472" t="n">
        <v>10.93256998906005</v>
      </c>
      <c r="Q472" t="n">
        <v>5.830089777766312</v>
      </c>
      <c r="R472" t="n">
        <v>4.821388909343738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18.89702862144107</v>
      </c>
      <c r="F473" t="n">
        <v>5.573</v>
      </c>
      <c r="G473" t="n">
        <v>6.962635</v>
      </c>
      <c r="H473" t="n">
        <v>9.902763999999999</v>
      </c>
      <c r="I473" t="n">
        <v>-8.99426462144107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18.89702862144107</v>
      </c>
      <c r="N473" t="n">
        <v>0</v>
      </c>
      <c r="O473" t="n">
        <v>0</v>
      </c>
      <c r="P473" t="n">
        <v>18.89702862144107</v>
      </c>
      <c r="Q473" t="n">
        <v>2.748744273606651</v>
      </c>
      <c r="R473" t="n">
        <v>15.71628389426698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-19.15357375867849</v>
      </c>
      <c r="F474" t="n">
        <v>3.124</v>
      </c>
      <c r="G474" t="n">
        <v>6.257026</v>
      </c>
      <c r="H474" t="n">
        <v>1.69597</v>
      </c>
      <c r="I474" t="n">
        <v>20.84954375867849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-19.15357375867849</v>
      </c>
      <c r="N474" t="n">
        <v>0</v>
      </c>
      <c r="O474" t="n">
        <v>0</v>
      </c>
      <c r="P474" t="n">
        <v>-19.15357375867849</v>
      </c>
      <c r="Q474" t="n">
        <v>-4.29247512672184</v>
      </c>
      <c r="R474" t="n">
        <v>-15.52761776217025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15.8705803068699</v>
      </c>
      <c r="F475" t="n">
        <v>0.737</v>
      </c>
      <c r="G475" t="n">
        <v>1.629522</v>
      </c>
      <c r="H475" t="n">
        <v>8.00253</v>
      </c>
      <c r="I475" t="n">
        <v>-7.868050306869897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15.8705803068699</v>
      </c>
      <c r="N475" t="n">
        <v>0</v>
      </c>
      <c r="O475" t="n">
        <v>0</v>
      </c>
      <c r="P475" t="n">
        <v>15.8705803068699</v>
      </c>
      <c r="Q475" t="n">
        <v>6.270823636061729</v>
      </c>
      <c r="R475" t="n">
        <v>9.033294692138449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7.8554883435205</v>
      </c>
      <c r="F478" t="n">
        <v>1.275</v>
      </c>
      <c r="G478" t="n">
        <v>1.903517</v>
      </c>
      <c r="H478" t="n">
        <v>7.173077</v>
      </c>
      <c r="I478" t="n">
        <v>-0.6824113435205001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7.8554883435205</v>
      </c>
      <c r="N478" t="n">
        <v>0</v>
      </c>
      <c r="O478" t="n">
        <v>0</v>
      </c>
      <c r="P478" t="n">
        <v>7.8554883435205</v>
      </c>
      <c r="Q478" t="n">
        <v>5.171126513062774</v>
      </c>
      <c r="R478" t="n">
        <v>2.552375275855123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18.61592712312665</v>
      </c>
      <c r="F493" t="n">
        <v>2.113</v>
      </c>
      <c r="G493" t="n">
        <v>3.705991</v>
      </c>
      <c r="H493" t="n">
        <v>9.84422</v>
      </c>
      <c r="I493" t="n">
        <v>-6.923104886918566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18.61592712312665</v>
      </c>
      <c r="N493" t="n">
        <v>-1.558477247569945</v>
      </c>
      <c r="O493" t="inlineStr"/>
      <c r="P493" t="n">
        <v>16.76732488691857</v>
      </c>
      <c r="Q493" t="n">
        <v>5.918875450485639</v>
      </c>
      <c r="R493" t="n">
        <v>10.24222490117381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27.39331026528258</v>
      </c>
      <c r="F508" t="n">
        <v>1.6</v>
      </c>
      <c r="G508" t="n">
        <v>2.299587</v>
      </c>
      <c r="H508" t="n">
        <v>0.525625</v>
      </c>
      <c r="I508" t="n">
        <v>-24.88228950987196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27.39331026528258</v>
      </c>
      <c r="N508" t="n">
        <v>-1.558477247569945</v>
      </c>
      <c r="O508" t="inlineStr"/>
      <c r="P508" t="n">
        <v>25.40791450987196</v>
      </c>
      <c r="Q508" t="n">
        <v>-1.734085104727434</v>
      </c>
      <c r="R508" t="n">
        <v>27.62097075422962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-30.81458887555108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-30.81458887555108</v>
      </c>
      <c r="N512" t="n">
        <v>0</v>
      </c>
      <c r="O512" t="n">
        <v>0</v>
      </c>
      <c r="P512" t="n">
        <v>-30.81458887555108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-5.864417566733282</v>
      </c>
      <c r="F513" t="n">
        <v>3.324</v>
      </c>
      <c r="G513" t="n">
        <v>11.721414</v>
      </c>
      <c r="H513" t="n">
        <v>0.24591</v>
      </c>
      <c r="I513" t="n">
        <v>6.110327566733282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-5.864417566733282</v>
      </c>
      <c r="N513" t="n">
        <v>0</v>
      </c>
      <c r="O513" t="n">
        <v>0</v>
      </c>
      <c r="P513" t="n">
        <v>-5.864417566733282</v>
      </c>
      <c r="Q513" t="n">
        <v>-10.2715348796492</v>
      </c>
      <c r="R513" t="n">
        <v>4.911615624991184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42.22593487983448</v>
      </c>
      <c r="F514" t="n">
        <v>7.826</v>
      </c>
      <c r="G514" t="n">
        <v>19.830547</v>
      </c>
      <c r="H514" t="n">
        <v>-0.739137</v>
      </c>
      <c r="I514" t="n">
        <v>-42.96507187983448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42.22593487983448</v>
      </c>
      <c r="N514" t="n">
        <v>0</v>
      </c>
      <c r="O514" t="n">
        <v>0</v>
      </c>
      <c r="P514" t="n">
        <v>42.22593487983448</v>
      </c>
      <c r="Q514" t="n">
        <v>-17.16564314442739</v>
      </c>
      <c r="R514" t="n">
        <v>71.69920824980287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-43.17738086083624</v>
      </c>
      <c r="F515" t="n">
        <v>3.468</v>
      </c>
      <c r="G515" t="n">
        <v>20.781976</v>
      </c>
      <c r="H515" t="n">
        <v>-6.55025</v>
      </c>
      <c r="I515" t="n">
        <v>36.62713086083625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-43.17738086083624</v>
      </c>
      <c r="N515" t="n">
        <v>0</v>
      </c>
      <c r="O515" t="n">
        <v>0</v>
      </c>
      <c r="P515" t="n">
        <v>-43.17738086083624</v>
      </c>
      <c r="Q515" t="n">
        <v>-22.62939105235521</v>
      </c>
      <c r="R515" t="n">
        <v>-26.55787525517017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17.50104459978439</v>
      </c>
      <c r="F516" t="n">
        <v>1.302</v>
      </c>
      <c r="G516" t="n">
        <v>15.646244</v>
      </c>
      <c r="H516" t="n">
        <v>-3.975509</v>
      </c>
      <c r="I516" t="n">
        <v>-21.47655359978438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17.50104459978439</v>
      </c>
      <c r="N516" t="n">
        <v>0</v>
      </c>
      <c r="O516" t="n">
        <v>0</v>
      </c>
      <c r="P516" t="n">
        <v>17.50104459978439</v>
      </c>
      <c r="Q516" t="n">
        <v>-16.9670475440615</v>
      </c>
      <c r="R516" t="n">
        <v>41.51134112945869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-3.190690020014098</v>
      </c>
      <c r="F517" t="n">
        <v>1.803</v>
      </c>
      <c r="G517" t="n">
        <v>16.802649</v>
      </c>
      <c r="H517" t="n">
        <v>-5.789044</v>
      </c>
      <c r="I517" t="n">
        <v>-2.598353979985902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-3.190690020014098</v>
      </c>
      <c r="N517" t="n">
        <v>0</v>
      </c>
      <c r="O517" t="n">
        <v>0</v>
      </c>
      <c r="P517" t="n">
        <v>-3.190690020014098</v>
      </c>
      <c r="Q517" t="n">
        <v>-19.34176401933071</v>
      </c>
      <c r="R517" t="n">
        <v>20.02408533108437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-28.00970963043351</v>
      </c>
      <c r="F518" t="n">
        <v>11.811</v>
      </c>
      <c r="G518" t="n">
        <v>44.578332</v>
      </c>
      <c r="H518" t="n">
        <v>13.326305</v>
      </c>
      <c r="I518" t="n">
        <v>41.33601463043351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-28.00970963043351</v>
      </c>
      <c r="N518" t="n">
        <v>0</v>
      </c>
      <c r="O518" t="n">
        <v>0</v>
      </c>
      <c r="P518" t="n">
        <v>-28.00970963043351</v>
      </c>
      <c r="Q518" t="n">
        <v>-21.61598275145341</v>
      </c>
      <c r="R518" t="n">
        <v>-8.156926760600102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91.23310184812208</v>
      </c>
      <c r="F519" t="n">
        <v>5.441</v>
      </c>
      <c r="G519" t="n">
        <v>106.164519</v>
      </c>
      <c r="H519" t="n">
        <v>11.729149</v>
      </c>
      <c r="I519" t="n">
        <v>-79.50395284812208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91.23310184812208</v>
      </c>
      <c r="N519" t="n">
        <v>0</v>
      </c>
      <c r="O519" t="n">
        <v>0</v>
      </c>
      <c r="P519" t="n">
        <v>91.23310184812208</v>
      </c>
      <c r="Q519" t="n">
        <v>-45.80583035725595</v>
      </c>
      <c r="R519" t="n">
        <v>252.8665594634236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-10.66086847589328</v>
      </c>
      <c r="F520" t="n">
        <v>5.045</v>
      </c>
      <c r="G520" t="n">
        <v>76.769673</v>
      </c>
      <c r="H520" t="n">
        <v>24.713977</v>
      </c>
      <c r="I520" t="n">
        <v>35.37484547589328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-10.66086847589328</v>
      </c>
      <c r="N520" t="n">
        <v>0</v>
      </c>
      <c r="O520" t="n">
        <v>0</v>
      </c>
      <c r="P520" t="n">
        <v>-10.66086847589328</v>
      </c>
      <c r="Q520" t="n">
        <v>-29.44831792718424</v>
      </c>
      <c r="R520" t="n">
        <v>26.62934305648532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11.6346439480695</v>
      </c>
      <c r="F521" t="n">
        <v>3.328</v>
      </c>
      <c r="G521" t="n">
        <v>64.580319</v>
      </c>
      <c r="H521" t="n">
        <v>17.771342</v>
      </c>
      <c r="I521" t="n">
        <v>6.1366980519305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11.6346439480695</v>
      </c>
      <c r="N521" t="n">
        <v>0</v>
      </c>
      <c r="O521" t="n">
        <v>0</v>
      </c>
      <c r="P521" t="n">
        <v>11.6346439480695</v>
      </c>
      <c r="Q521" t="n">
        <v>-28.44141808932529</v>
      </c>
      <c r="R521" t="n">
        <v>56.00455035207519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16.35167009902045</v>
      </c>
      <c r="F523" t="n">
        <v>3.693</v>
      </c>
      <c r="G523" t="n">
        <v>28.538319</v>
      </c>
      <c r="H523" t="n">
        <v>0.679604</v>
      </c>
      <c r="I523" t="n">
        <v>-15.67206609902045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16.35167009902045</v>
      </c>
      <c r="N523" t="n">
        <v>0</v>
      </c>
      <c r="O523" t="n">
        <v>0</v>
      </c>
      <c r="P523" t="n">
        <v>16.35167009902045</v>
      </c>
      <c r="Q523" t="n">
        <v>-21.67347080086092</v>
      </c>
      <c r="R523" t="n">
        <v>48.54694991425627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2.238081247569945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-1.558477247569945</v>
      </c>
      <c r="O538" t="inlineStr"/>
      <c r="P538" t="n">
        <v>-1.558477247569945</v>
      </c>
      <c r="Q538" t="n">
        <v>-21.67347080086092</v>
      </c>
      <c r="R538" t="n">
        <v>25.68094585443736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9.790513404971257</v>
      </c>
      <c r="F553" t="n">
        <v>1.264</v>
      </c>
      <c r="G553" t="n">
        <v>3.62701</v>
      </c>
      <c r="H553" t="n">
        <v>6.74094</v>
      </c>
      <c r="I553" t="n">
        <v>-1.33851323356456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9.790513404971257</v>
      </c>
      <c r="N553" t="n">
        <v>-1.558477247569945</v>
      </c>
      <c r="O553" t="inlineStr"/>
      <c r="P553" t="n">
        <v>8.079453233564561</v>
      </c>
      <c r="Q553" t="n">
        <v>3.004940479200879</v>
      </c>
      <c r="R553" t="n">
        <v>4.926475109597628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9.897781101969571</v>
      </c>
      <c r="F568" t="n">
        <v>1.264</v>
      </c>
      <c r="G568" t="n">
        <v>3.62701</v>
      </c>
      <c r="H568" t="n">
        <v>6.74094</v>
      </c>
      <c r="I568" t="n">
        <v>-1.444109187911165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9.897781101969571</v>
      </c>
      <c r="N568" t="n">
        <v>-1.558477247569945</v>
      </c>
      <c r="O568" t="inlineStr"/>
      <c r="P568" t="n">
        <v>8.185049187911165</v>
      </c>
      <c r="Q568" t="n">
        <v>3.004940479200879</v>
      </c>
      <c r="R568" t="n">
        <v>5.028990536387212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0.5889419796585083</v>
      </c>
      <c r="F583" t="n">
        <v>2.102</v>
      </c>
      <c r="G583" t="n">
        <v>3.93768</v>
      </c>
      <c r="H583" t="n">
        <v>3.93768</v>
      </c>
      <c r="I583" t="n">
        <v>3.348738020341492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0.5889419796585083</v>
      </c>
      <c r="N583" t="n">
        <v>0</v>
      </c>
      <c r="O583" t="n">
        <v>0</v>
      </c>
      <c r="P583" t="n">
        <v>0.5889419796585083</v>
      </c>
      <c r="Q583" t="n">
        <v>0</v>
      </c>
      <c r="R583" t="n">
        <v>0.5889419796585083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0.2262175383441534</v>
      </c>
      <c r="F598" t="n">
        <v>2.102</v>
      </c>
      <c r="G598" t="n">
        <v>3.93768</v>
      </c>
      <c r="H598" t="n">
        <v>3.93768</v>
      </c>
      <c r="I598" t="n">
        <v>3.711462461655846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0.2262175383441534</v>
      </c>
      <c r="N598" t="n">
        <v>0</v>
      </c>
      <c r="O598" t="n">
        <v>0</v>
      </c>
      <c r="P598" t="n">
        <v>0.2262175383441534</v>
      </c>
      <c r="Q598" t="n">
        <v>0</v>
      </c>
      <c r="R598" t="n">
        <v>0.2262175383441534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0.723589001447178</v>
      </c>
      <c r="F613" t="n">
        <v>5.595</v>
      </c>
      <c r="G613" t="n">
        <v>9.35421</v>
      </c>
      <c r="H613" t="n">
        <v>5.432554</v>
      </c>
      <c r="I613" t="n">
        <v>6.278719216076244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0.723589001447178</v>
      </c>
      <c r="N613" t="n">
        <v>-1.558477247569945</v>
      </c>
      <c r="O613" t="inlineStr"/>
      <c r="P613" t="n">
        <v>-0.8461652160762445</v>
      </c>
      <c r="Q613" t="n">
        <v>-3.586195770893719</v>
      </c>
      <c r="R613" t="n">
        <v>2.841948387708459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46080</v>
      </c>
      <c r="E6" t="inlineStr">
        <is>
          <t>1Y</t>
        </is>
      </c>
      <c r="F6" t="n">
        <v>27.13806393619458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-25.24354093619458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46080</v>
      </c>
      <c r="E7" t="inlineStr">
        <is>
          <t>3Y</t>
        </is>
      </c>
      <c r="F7" t="n">
        <v>6.039112595848528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-4.067629096499736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46080</v>
      </c>
      <c r="E8" t="inlineStr">
        <is>
          <t>5Y</t>
        </is>
      </c>
      <c r="F8" t="n">
        <v>8.528854270125796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-2.459715530473683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46080</v>
      </c>
      <c r="E9" t="inlineStr">
        <is>
          <t>10Y</t>
        </is>
      </c>
      <c r="F9" t="n">
        <v>8.984561446349982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-4.967413393181675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46080</v>
      </c>
      <c r="E14" t="inlineStr">
        <is>
          <t>1Y</t>
        </is>
      </c>
      <c r="F14" t="n">
        <v>59.85631234682993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-51.74494434682993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46080</v>
      </c>
      <c r="E15" t="inlineStr">
        <is>
          <t>3Y</t>
        </is>
      </c>
      <c r="F15" t="n">
        <v>27.86236617123585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-21.60388719582558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46080</v>
      </c>
      <c r="E16" t="inlineStr">
        <is>
          <t>5Y</t>
        </is>
      </c>
      <c r="F16" t="n">
        <v>17.47403220307389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-12.0049215241304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46080</v>
      </c>
      <c r="E17" t="inlineStr">
        <is>
          <t>10Y</t>
        </is>
      </c>
      <c r="F17" t="n">
        <v>14.1909414653413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-10.10649708633127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46080</v>
      </c>
      <c r="E22" t="inlineStr">
        <is>
          <t>1Y</t>
        </is>
      </c>
      <c r="F22" t="n">
        <v>40.10996021003182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-32.19036821003181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46080</v>
      </c>
      <c r="E23" t="inlineStr">
        <is>
          <t>3Y</t>
        </is>
      </c>
      <c r="F23" t="n">
        <v>15.20948499986159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-8.741150846574275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46080</v>
      </c>
      <c r="E24" t="inlineStr">
        <is>
          <t>5Y</t>
        </is>
      </c>
      <c r="F24" t="n">
        <v>9.415581868166845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-3.156485846195589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46080</v>
      </c>
      <c r="E25" t="inlineStr">
        <is>
          <t>10Y</t>
        </is>
      </c>
      <c r="F25" t="n">
        <v>7.552638165935122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-3.03922298007453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46080</v>
      </c>
      <c r="E30" t="inlineStr">
        <is>
          <t>1Y</t>
        </is>
      </c>
      <c r="F30" t="n">
        <v>64.69507993120733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-61.13921393120734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46080</v>
      </c>
      <c r="E31" t="inlineStr">
        <is>
          <t>3Y</t>
        </is>
      </c>
      <c r="F31" t="n">
        <v>18.74170589961639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-13.78198316514701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46080</v>
      </c>
      <c r="E32" t="inlineStr">
        <is>
          <t>5Y</t>
        </is>
      </c>
      <c r="F32" t="n">
        <v>12.26462084736042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-3.401654773227335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46080</v>
      </c>
      <c r="E33" t="inlineStr">
        <is>
          <t>10Y</t>
        </is>
      </c>
      <c r="F33" t="n">
        <v>11.51737506979273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-9.229757285149741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46080</v>
      </c>
      <c r="E38" t="inlineStr">
        <is>
          <t>1Y</t>
        </is>
      </c>
      <c r="F38" t="n">
        <v>41.48873531033068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-39.70760931033068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46080</v>
      </c>
      <c r="E39" t="inlineStr">
        <is>
          <t>3Y</t>
        </is>
      </c>
      <c r="F39" t="n">
        <v>20.55865116209421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-19.16017879621921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46080</v>
      </c>
      <c r="E40" t="inlineStr">
        <is>
          <t>5Y</t>
        </is>
      </c>
      <c r="F40" t="n">
        <v>14.39517909816648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-7.753143298456288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46080</v>
      </c>
      <c r="E41" t="inlineStr">
        <is>
          <t>10Y</t>
        </is>
      </c>
      <c r="F41" t="n">
        <v>11.12027617408795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-7.21278735731632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46080</v>
      </c>
      <c r="E46" t="inlineStr">
        <is>
          <t>1Y</t>
        </is>
      </c>
      <c r="F46" t="n">
        <v>29.06725686427492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-25.60684986427491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46080</v>
      </c>
      <c r="E47" t="inlineStr">
        <is>
          <t>3Y</t>
        </is>
      </c>
      <c r="F47" t="n">
        <v>6.083505843392034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-4.135724638204019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46080</v>
      </c>
      <c r="E48" t="inlineStr">
        <is>
          <t>5Y</t>
        </is>
      </c>
      <c r="F48" t="n">
        <v>-1.222108977104774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6.355162337528175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46080</v>
      </c>
      <c r="E49" t="inlineStr">
        <is>
          <t>10Y</t>
        </is>
      </c>
      <c r="F49" t="n">
        <v>4.928288244648638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0.6176149906887085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46080</v>
      </c>
      <c r="E54" t="inlineStr">
        <is>
          <t>1Y</t>
        </is>
      </c>
      <c r="F54" t="n">
        <v>23.82412455722085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-17.47609455722085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46080</v>
      </c>
      <c r="E55" t="inlineStr">
        <is>
          <t>3Y</t>
        </is>
      </c>
      <c r="F55" t="n">
        <v>11.81965148454564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-5.499233057893393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46080</v>
      </c>
      <c r="E56" t="inlineStr">
        <is>
          <t>5Y</t>
        </is>
      </c>
      <c r="F56" t="n">
        <v>10.48939642519944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-5.584321940136561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46080</v>
      </c>
      <c r="E57" t="inlineStr">
        <is>
          <t>10Y</t>
        </is>
      </c>
      <c r="F57" t="n">
        <v>9.692287703435376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-6.447892697483937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46080</v>
      </c>
      <c r="E62" t="inlineStr">
        <is>
          <t>1Y</t>
        </is>
      </c>
      <c r="F62" t="n">
        <v>23.49856334821834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-16.46655634821834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46080</v>
      </c>
      <c r="E63" t="inlineStr">
        <is>
          <t>3Y</t>
        </is>
      </c>
      <c r="F63" t="n">
        <v>20.25243078466456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-14.20902978004721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46080</v>
      </c>
      <c r="E64" t="inlineStr">
        <is>
          <t>5Y</t>
        </is>
      </c>
      <c r="F64" t="n">
        <v>10.82252791716449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-5.875785572862235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46080</v>
      </c>
      <c r="E65" t="inlineStr">
        <is>
          <t>10Y</t>
        </is>
      </c>
      <c r="F65" t="n">
        <v>10.14558824666012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-6.262935682053272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46080</v>
      </c>
      <c r="E66" t="inlineStr">
        <is>
          <t>1Y</t>
        </is>
      </c>
      <c r="F66" t="n">
        <v>26.09343731944289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-19.06143031944289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46080</v>
      </c>
      <c r="E67" t="inlineStr">
        <is>
          <t>3Y</t>
        </is>
      </c>
      <c r="F67" t="n">
        <v>20.93121780242129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-14.88781679780393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46080</v>
      </c>
      <c r="E68" t="inlineStr">
        <is>
          <t>5Y</t>
        </is>
      </c>
      <c r="F68" t="n">
        <v>11.85898365698444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-6.912241312682178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46080</v>
      </c>
      <c r="E69" t="inlineStr">
        <is>
          <t>10Y</t>
        </is>
      </c>
      <c r="F69" t="n">
        <v>6.839352439424351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-2.956699874817503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46080</v>
      </c>
      <c r="E74" t="inlineStr">
        <is>
          <t>1Y</t>
        </is>
      </c>
      <c r="F74" t="n">
        <v>74.29811903889059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-64.59170003889059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46080</v>
      </c>
      <c r="E75" t="inlineStr">
        <is>
          <t>3Y</t>
        </is>
      </c>
      <c r="F75" t="n">
        <v>34.32602663812072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-25.53918017908417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46080</v>
      </c>
      <c r="E76" t="inlineStr">
        <is>
          <t>5Y</t>
        </is>
      </c>
      <c r="F76" t="n">
        <v>27.158651981286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-19.07660690339235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46080</v>
      </c>
      <c r="E77" t="inlineStr">
        <is>
          <t>10Y</t>
        </is>
      </c>
      <c r="F77" t="n">
        <v>17.27988728910077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-13.49922102149381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46080</v>
      </c>
      <c r="E82" t="inlineStr">
        <is>
          <t>1Y</t>
        </is>
      </c>
      <c r="F82" t="n">
        <v>44.63970412531009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-39.38732212531009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46080</v>
      </c>
      <c r="E83" t="inlineStr">
        <is>
          <t>3Y</t>
        </is>
      </c>
      <c r="F83" t="n">
        <v>10.63120916516371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-4.545311475432535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46080</v>
      </c>
      <c r="E84" t="inlineStr">
        <is>
          <t>5Y</t>
        </is>
      </c>
      <c r="F84" t="n">
        <v>2.140689992117628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2.280120959778853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46080</v>
      </c>
      <c r="E85" t="inlineStr">
        <is>
          <t>10Y</t>
        </is>
      </c>
      <c r="F85" t="n">
        <v>6.573255589129134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-3.269063190252441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46080</v>
      </c>
      <c r="E90" t="inlineStr">
        <is>
          <t>1Y</t>
        </is>
      </c>
      <c r="F90" t="n">
        <v>7.698927489282092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-2.191844489282091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46080</v>
      </c>
      <c r="E91" t="inlineStr">
        <is>
          <t>3Y</t>
        </is>
      </c>
      <c r="F91" t="n">
        <v>11.00922462277298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-3.782711401760385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46080</v>
      </c>
      <c r="E92" t="inlineStr">
        <is>
          <t>5Y</t>
        </is>
      </c>
      <c r="F92" t="n">
        <v>7.0350875072273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2.015829865133024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46080</v>
      </c>
      <c r="E93" t="inlineStr">
        <is>
          <t>10Y</t>
        </is>
      </c>
      <c r="F93" t="n">
        <v>9.172060504887192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-2.205367658883794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46080</v>
      </c>
      <c r="E98" t="inlineStr">
        <is>
          <t>1Y</t>
        </is>
      </c>
      <c r="F98" t="n">
        <v>2.154448681330701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1.208439318669297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46080</v>
      </c>
      <c r="E99" t="inlineStr">
        <is>
          <t>3Y</t>
        </is>
      </c>
      <c r="F99" t="n">
        <v>-7.364403749213421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10.40818224342418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46080</v>
      </c>
      <c r="E100" t="inlineStr">
        <is>
          <t>5Y</t>
        </is>
      </c>
      <c r="F100" t="n">
        <v>-2.77799136661161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9.16411189029931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46080</v>
      </c>
      <c r="E101" t="inlineStr">
        <is>
          <t>10Y</t>
        </is>
      </c>
      <c r="F101" t="n">
        <v>0.3828879462545176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4.920268066261624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46080</v>
      </c>
      <c r="E106" t="inlineStr">
        <is>
          <t>1Y</t>
        </is>
      </c>
      <c r="F106" t="n">
        <v>45.54175647592675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-38.30677647592675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46080</v>
      </c>
      <c r="E107" t="inlineStr">
        <is>
          <t>3Y</t>
        </is>
      </c>
      <c r="F107" t="n">
        <v>28.37276438763659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-21.87179173823033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46080</v>
      </c>
      <c r="E108" t="inlineStr">
        <is>
          <t>5Y</t>
        </is>
      </c>
      <c r="F108" t="n">
        <v>17.98072214525261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-12.03831943140625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46080</v>
      </c>
      <c r="E109" t="inlineStr">
        <is>
          <t>10Y</t>
        </is>
      </c>
      <c r="F109" t="n">
        <v>13.50246614251134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-10.24247459551571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46080</v>
      </c>
      <c r="E114" t="inlineStr">
        <is>
          <t>1Y</t>
        </is>
      </c>
      <c r="F114" t="n">
        <v>39.67143260840227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-33.19168060840228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46080</v>
      </c>
      <c r="E115" t="inlineStr">
        <is>
          <t>3Y</t>
        </is>
      </c>
      <c r="F115" t="n">
        <v>22.09285915187091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-21.96325886435764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46080</v>
      </c>
      <c r="E116" t="inlineStr">
        <is>
          <t>5Y</t>
        </is>
      </c>
      <c r="F116" t="n">
        <v>9.028827131385576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-12.29975338320765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46080</v>
      </c>
      <c r="E117" t="inlineStr">
        <is>
          <t>10Y</t>
        </is>
      </c>
      <c r="F117" t="n">
        <v>9.944987835232123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-10.32278774028542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46080</v>
      </c>
      <c r="E122" t="inlineStr">
        <is>
          <t>1Y</t>
        </is>
      </c>
      <c r="F122" t="n">
        <v>25.915903830559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-14.465901830559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46080</v>
      </c>
      <c r="E123" t="inlineStr">
        <is>
          <t>3Y</t>
        </is>
      </c>
      <c r="F123" t="n">
        <v>13.13807676941536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-8.25253228609013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46080</v>
      </c>
      <c r="E124" t="inlineStr">
        <is>
          <t>5Y</t>
        </is>
      </c>
      <c r="F124" t="n">
        <v>5.562080906088074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1.314311385289835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46080</v>
      </c>
      <c r="E125" t="inlineStr">
        <is>
          <t>10Y</t>
        </is>
      </c>
      <c r="F125" t="n">
        <v>2.189364077028366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2.368034095193061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46080</v>
      </c>
      <c r="E130" t="inlineStr">
        <is>
          <t>1Y</t>
        </is>
      </c>
      <c r="F130" t="n">
        <v>66.73061323626035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-66.38725423626036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46080</v>
      </c>
      <c r="E131" t="inlineStr">
        <is>
          <t>3Y</t>
        </is>
      </c>
      <c r="F131" t="n">
        <v>15.73458821600109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-7.446557519477537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46080</v>
      </c>
      <c r="E132" t="inlineStr">
        <is>
          <t>5Y</t>
        </is>
      </c>
      <c r="F132" t="n">
        <v>17.96488639399663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-7.275930876787083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46080</v>
      </c>
      <c r="E133" t="inlineStr">
        <is>
          <t>10Y</t>
        </is>
      </c>
      <c r="F133" t="n">
        <v>6.879217636276569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-2.498898866670118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46080</v>
      </c>
      <c r="E138" t="inlineStr">
        <is>
          <t>1Y</t>
        </is>
      </c>
      <c r="F138" t="n">
        <v>40.34137887734182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-31.60794287734181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46080</v>
      </c>
      <c r="E139" t="inlineStr">
        <is>
          <t>3Y</t>
        </is>
      </c>
      <c r="F139" t="n">
        <v>18.56184903526044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-10.52753487221823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46080</v>
      </c>
      <c r="E140" t="inlineStr">
        <is>
          <t>5Y</t>
        </is>
      </c>
      <c r="F140" t="n">
        <v>9.935221038632314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-2.711539733656965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46080</v>
      </c>
      <c r="E141" t="inlineStr">
        <is>
          <t>10Y</t>
        </is>
      </c>
      <c r="F141" t="n">
        <v>13.17781025206726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-7.714336747716266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46080</v>
      </c>
      <c r="E146" t="inlineStr">
        <is>
          <t>1Y</t>
        </is>
      </c>
      <c r="F146" t="n">
        <v>33.58005524029566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-23.05604924029565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46080</v>
      </c>
      <c r="E147" t="inlineStr">
        <is>
          <t>3Y</t>
        </is>
      </c>
      <c r="F147" t="n">
        <v>41.90425013382788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-38.83001531350658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46080</v>
      </c>
      <c r="E148" t="inlineStr">
        <is>
          <t>5Y</t>
        </is>
      </c>
      <c r="F148" t="n">
        <v>7.758390926753544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-1.315000815031553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46080</v>
      </c>
      <c r="E149" t="inlineStr">
        <is>
          <t>10Y</t>
        </is>
      </c>
      <c r="F149" t="n">
        <v>0.3235611500366442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2.864344319883427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46080</v>
      </c>
      <c r="E154" t="inlineStr">
        <is>
          <t>1Y</t>
        </is>
      </c>
      <c r="F154" t="n">
        <v>14.89131279639368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-7.841962796393686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46080</v>
      </c>
      <c r="E155" t="inlineStr">
        <is>
          <t>3Y</t>
        </is>
      </c>
      <c r="F155" t="n">
        <v>2.841212423917372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4.07290462226646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46080</v>
      </c>
      <c r="E156" t="inlineStr">
        <is>
          <t>5Y</t>
        </is>
      </c>
      <c r="F156" t="n">
        <v>-0.2786868834278922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6.715342094603782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46080</v>
      </c>
      <c r="E157" t="inlineStr">
        <is>
          <t>10Y</t>
        </is>
      </c>
      <c r="F157" t="n">
        <v>-1.610057555462074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6.504188068577122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46080</v>
      </c>
      <c r="E162" t="inlineStr">
        <is>
          <t>1Y</t>
        </is>
      </c>
      <c r="F162" t="n">
        <v>54.27677725352493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-40.60168125352492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46080</v>
      </c>
      <c r="E163" t="inlineStr">
        <is>
          <t>3Y</t>
        </is>
      </c>
      <c r="F163" t="n">
        <v>38.38068452751728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-24.05503954323948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46080</v>
      </c>
      <c r="E164" t="inlineStr">
        <is>
          <t>5Y</t>
        </is>
      </c>
      <c r="F164" t="n">
        <v>16.7964628080389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-5.395139437893427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46080</v>
      </c>
      <c r="E165" t="inlineStr">
        <is>
          <t>10Y</t>
        </is>
      </c>
      <c r="F165" t="n">
        <v>8.893664303591752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-0.8528564387723314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46080</v>
      </c>
      <c r="E166" t="inlineStr">
        <is>
          <t>1Y</t>
        </is>
      </c>
      <c r="F166" t="n">
        <v>53.57781226866955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-39.90271626866954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46080</v>
      </c>
      <c r="E167" t="inlineStr">
        <is>
          <t>3Y</t>
        </is>
      </c>
      <c r="F167" t="n">
        <v>37.5327986354179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-23.2071536511401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46080</v>
      </c>
      <c r="E168" t="inlineStr">
        <is>
          <t>5Y</t>
        </is>
      </c>
      <c r="F168" t="n">
        <v>16.83034085617388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-5.4290174860284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46080</v>
      </c>
      <c r="E169" t="inlineStr">
        <is>
          <t>10Y</t>
        </is>
      </c>
      <c r="F169" t="n">
        <v>7.743684245029758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0.2971236197896623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46080</v>
      </c>
      <c r="E174" t="inlineStr">
        <is>
          <t>1Y</t>
        </is>
      </c>
      <c r="F174" t="n">
        <v>-3.231816508079044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5.549116508079033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46080</v>
      </c>
      <c r="E175" t="inlineStr">
        <is>
          <t>3Y</t>
        </is>
      </c>
      <c r="F175" t="n">
        <v>4.628447639928512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-3.842120248571224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46080</v>
      </c>
      <c r="E176" t="inlineStr">
        <is>
          <t>5Y</t>
        </is>
      </c>
      <c r="F176" t="n">
        <v>5.351221869807543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5.226365816714451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46080</v>
      </c>
      <c r="E181" t="inlineStr">
        <is>
          <t>1Y</t>
        </is>
      </c>
      <c r="F181" t="n">
        <v>29.09850461146601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-24.20288261146601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46080</v>
      </c>
      <c r="E182" t="inlineStr">
        <is>
          <t>3Y</t>
        </is>
      </c>
      <c r="F182" t="n">
        <v>20.62746405336464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-16.53013951236322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46080</v>
      </c>
      <c r="E183" t="inlineStr">
        <is>
          <t>5Y</t>
        </is>
      </c>
      <c r="F183" t="n">
        <v>10.51299845445401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-0.0532680976798261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46080</v>
      </c>
      <c r="E184" t="inlineStr">
        <is>
          <t>10Y</t>
        </is>
      </c>
      <c r="F184" t="n">
        <v>8.650030996106395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-2.223414979936611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46080</v>
      </c>
      <c r="E189" t="inlineStr">
        <is>
          <t>1Y</t>
        </is>
      </c>
      <c r="F189" t="n">
        <v>93.32973820178168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-87.01996120178168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46080</v>
      </c>
      <c r="E190" t="inlineStr">
        <is>
          <t>3Y</t>
        </is>
      </c>
      <c r="F190" t="n">
        <v>33.76016811136844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-32.23299538095474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46080</v>
      </c>
      <c r="E191" t="inlineStr">
        <is>
          <t>5Y</t>
        </is>
      </c>
      <c r="F191" t="n">
        <v>16.58357145590548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-11.82043145606886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46080</v>
      </c>
      <c r="E192" t="inlineStr">
        <is>
          <t>10Y</t>
        </is>
      </c>
      <c r="F192" t="n">
        <v>11.76839822577316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-9.6769797241685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46080</v>
      </c>
      <c r="E193" t="inlineStr">
        <is>
          <t>1Y</t>
        </is>
      </c>
      <c r="F193" t="n">
        <v>93.45589227161344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-87.14611527161344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46080</v>
      </c>
      <c r="E194" t="inlineStr">
        <is>
          <t>3Y</t>
        </is>
      </c>
      <c r="F194" t="n">
        <v>33.01758750986083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-31.49041477944714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46080</v>
      </c>
      <c r="E195" t="inlineStr">
        <is>
          <t>5Y</t>
        </is>
      </c>
      <c r="F195" t="n">
        <v>16.50169886923592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-11.7385588693993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46080</v>
      </c>
      <c r="E196" t="inlineStr">
        <is>
          <t>10Y</t>
        </is>
      </c>
      <c r="F196" t="n">
        <v>10.5954798795125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-8.504061377907846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46080</v>
      </c>
      <c r="E201" t="inlineStr">
        <is>
          <t>1Y</t>
        </is>
      </c>
      <c r="F201" t="n">
        <v>179.5913563286373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-180.4880243286373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46080</v>
      </c>
      <c r="E202" t="inlineStr">
        <is>
          <t>3Y</t>
        </is>
      </c>
      <c r="F202" t="n">
        <v>40.48268663316261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-39.39765111340246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46080</v>
      </c>
      <c r="E203" t="inlineStr">
        <is>
          <t>5Y</t>
        </is>
      </c>
      <c r="F203" t="n">
        <v>13.19412087204308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-11.91873107868595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46080</v>
      </c>
      <c r="E204" t="inlineStr">
        <is>
          <t>10Y</t>
        </is>
      </c>
      <c r="F204" t="n">
        <v>15.06747211802062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-13.16420822308773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46080</v>
      </c>
      <c r="E209" t="inlineStr">
        <is>
          <t>1Y</t>
        </is>
      </c>
      <c r="F209" t="n">
        <v>60.66563901229407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-51.03060401229407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46080</v>
      </c>
      <c r="E210" t="inlineStr">
        <is>
          <t>3Y</t>
        </is>
      </c>
      <c r="F210" t="n">
        <v>32.732487490908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-23.47012847234344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46080</v>
      </c>
      <c r="E211" t="inlineStr">
        <is>
          <t>5Y</t>
        </is>
      </c>
      <c r="F211" t="n">
        <v>19.9938032960862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-12.01921868062135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46080</v>
      </c>
      <c r="E212" t="inlineStr">
        <is>
          <t>10Y</t>
        </is>
      </c>
      <c r="F212" t="n">
        <v>12.9737442743997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-8.37352194879335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46080</v>
      </c>
      <c r="E217" t="inlineStr">
        <is>
          <t>1Y</t>
        </is>
      </c>
      <c r="F217" t="n">
        <v>31.54368029075016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-21.83661629075015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46080</v>
      </c>
      <c r="E218" t="inlineStr">
        <is>
          <t>3Y</t>
        </is>
      </c>
      <c r="F218" t="n">
        <v>18.22213582477834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-13.4011201329201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46080</v>
      </c>
      <c r="E219" t="inlineStr">
        <is>
          <t>5Y</t>
        </is>
      </c>
      <c r="F219" t="n">
        <v>8.89604844959997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-4.891802229305299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46080</v>
      </c>
      <c r="E220" t="inlineStr">
        <is>
          <t>10Y</t>
        </is>
      </c>
      <c r="F220" t="n">
        <v>10.738845648891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-7.920472090760788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46080</v>
      </c>
      <c r="E225" t="inlineStr">
        <is>
          <t>1Y</t>
        </is>
      </c>
      <c r="F225" t="n">
        <v>26.01818321861664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-19.14158621861663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46080</v>
      </c>
      <c r="E226" t="inlineStr">
        <is>
          <t>3Y</t>
        </is>
      </c>
      <c r="F226" t="n">
        <v>15.10082411266172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-8.534744822843688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46080</v>
      </c>
      <c r="E227" t="inlineStr">
        <is>
          <t>5Y</t>
        </is>
      </c>
      <c r="F227" t="n">
        <v>9.827486574094602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-3.600743963864317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46080</v>
      </c>
      <c r="E228" t="inlineStr">
        <is>
          <t>10Y</t>
        </is>
      </c>
      <c r="F228" t="n">
        <v>-23.81132073351263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27.56208952519054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46080</v>
      </c>
      <c r="E229" t="inlineStr">
        <is>
          <t>1Y</t>
        </is>
      </c>
      <c r="F229" t="n">
        <v>28.34985621180559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-21.47325921180558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46080</v>
      </c>
      <c r="E230" t="inlineStr">
        <is>
          <t>3Y</t>
        </is>
      </c>
      <c r="F230" t="n">
        <v>15.64913998691733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-9.083060697099299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46080</v>
      </c>
      <c r="E231" t="inlineStr">
        <is>
          <t>5Y</t>
        </is>
      </c>
      <c r="F231" t="n">
        <v>-47.06340280249762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53.2901454127279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46080</v>
      </c>
      <c r="E232" t="inlineStr">
        <is>
          <t>10Y</t>
        </is>
      </c>
      <c r="F232" t="n">
        <v>5.748063284623517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-1.997294492945612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46080</v>
      </c>
      <c r="E233" t="inlineStr">
        <is>
          <t>1Y</t>
        </is>
      </c>
      <c r="F233" t="n">
        <v>29.18064266497657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-22.30404566497657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46080</v>
      </c>
      <c r="E234" t="inlineStr">
        <is>
          <t>3Y</t>
        </is>
      </c>
      <c r="F234" t="n">
        <v>16.20469667418995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-9.638617384371926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46080</v>
      </c>
      <c r="E235" t="inlineStr">
        <is>
          <t>5Y</t>
        </is>
      </c>
      <c r="F235" t="n">
        <v>10.70217973308547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-4.475437122855186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46080</v>
      </c>
      <c r="E236" t="inlineStr">
        <is>
          <t>10Y</t>
        </is>
      </c>
      <c r="F236" t="n">
        <v>10.88469377840102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-7.133924986723117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46080</v>
      </c>
      <c r="E241" t="inlineStr">
        <is>
          <t>1Y</t>
        </is>
      </c>
      <c r="F241" t="n">
        <v>60.37781288606083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-49.41387788606084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46080</v>
      </c>
      <c r="E242" t="inlineStr">
        <is>
          <t>3Y</t>
        </is>
      </c>
      <c r="F242" t="n">
        <v>31.45791377665486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-26.53372870478758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46080</v>
      </c>
      <c r="E243" t="inlineStr">
        <is>
          <t>5Y</t>
        </is>
      </c>
      <c r="F243" t="n">
        <v>15.67176143247231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-10.17756407607642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46080</v>
      </c>
      <c r="E244" t="inlineStr">
        <is>
          <t>10Y</t>
        </is>
      </c>
      <c r="F244" t="n">
        <v>17.83112202172363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-12.66684392851229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46080</v>
      </c>
      <c r="E249" t="inlineStr">
        <is>
          <t>1Y</t>
        </is>
      </c>
      <c r="F249" t="n">
        <v>51.99677656141011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-45.90866556141011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46080</v>
      </c>
      <c r="E250" t="inlineStr">
        <is>
          <t>3Y</t>
        </is>
      </c>
      <c r="F250" t="n">
        <v>7.981295385159393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-3.916683105798913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46080</v>
      </c>
      <c r="E251" t="inlineStr">
        <is>
          <t>5Y</t>
        </is>
      </c>
      <c r="F251" t="n">
        <v>4.863801710513527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-2.642415233752349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46080</v>
      </c>
      <c r="E252" t="inlineStr">
        <is>
          <t>10Y</t>
        </is>
      </c>
      <c r="F252" t="n">
        <v>4.699620978899444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-1.337476455827757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46080</v>
      </c>
      <c r="E257" t="inlineStr">
        <is>
          <t>1Y</t>
        </is>
      </c>
      <c r="F257" t="n">
        <v>20.6344375631436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-5.378052563143608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46080</v>
      </c>
      <c r="E258" t="inlineStr">
        <is>
          <t>3Y</t>
        </is>
      </c>
      <c r="F258" t="n">
        <v>7.577937039900218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11.6029413984684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46080</v>
      </c>
      <c r="E259" t="inlineStr">
        <is>
          <t>5Y</t>
        </is>
      </c>
      <c r="F259" t="n">
        <v>12.1261065348228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4.346392347174845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46080</v>
      </c>
      <c r="E260" t="inlineStr">
        <is>
          <t>10Y</t>
        </is>
      </c>
      <c r="F260" t="n">
        <v>3.959976229237139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2.112406443412063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46080</v>
      </c>
      <c r="E261" t="inlineStr">
        <is>
          <t>1Y</t>
        </is>
      </c>
      <c r="F261" t="n">
        <v>5.895445508379438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9.360939491620556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46080</v>
      </c>
      <c r="E262" t="inlineStr">
        <is>
          <t>3Y</t>
        </is>
      </c>
      <c r="F262" t="n">
        <v>-2.525414592155273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21.70629303052389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46080</v>
      </c>
      <c r="E263" t="inlineStr">
        <is>
          <t>5Y</t>
        </is>
      </c>
      <c r="F263" t="n">
        <v>6.099777337647772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10.37272154434987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46080</v>
      </c>
      <c r="E264" t="inlineStr">
        <is>
          <t>10Y</t>
        </is>
      </c>
      <c r="F264" t="n">
        <v>-4.542420347787912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10.61480302043711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46080</v>
      </c>
      <c r="E269" t="inlineStr">
        <is>
          <t>1Y</t>
        </is>
      </c>
      <c r="F269" t="n">
        <v>36.24172364757796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-27.62237164757797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46080</v>
      </c>
      <c r="E270" t="inlineStr">
        <is>
          <t>3Y</t>
        </is>
      </c>
      <c r="F270" t="n">
        <v>18.37804324782763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-10.18025044122377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46080</v>
      </c>
      <c r="E271" t="inlineStr">
        <is>
          <t>5Y</t>
        </is>
      </c>
      <c r="F271" t="n">
        <v>14.43075278883412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-6.466199871480406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46080</v>
      </c>
      <c r="E272" t="inlineStr">
        <is>
          <t>10Y</t>
        </is>
      </c>
      <c r="F272" t="n">
        <v>8.109100294301497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-5.048954180768361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46080</v>
      </c>
      <c r="E273" t="inlineStr">
        <is>
          <t>1Y</t>
        </is>
      </c>
      <c r="F273" t="n">
        <v>36.64728448505168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-28.02793248505169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46080</v>
      </c>
      <c r="E274" t="inlineStr">
        <is>
          <t>3Y</t>
        </is>
      </c>
      <c r="F274" t="n">
        <v>18.91547414735588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-10.71768134075202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46080</v>
      </c>
      <c r="E275" t="inlineStr">
        <is>
          <t>5Y</t>
        </is>
      </c>
      <c r="F275" t="n">
        <v>14.16677549684573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-6.202222579492012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46080</v>
      </c>
      <c r="E276" t="inlineStr">
        <is>
          <t>10Y</t>
        </is>
      </c>
      <c r="F276" t="n">
        <v>8.462465601028256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-5.402319487495121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46080</v>
      </c>
      <c r="E281" t="inlineStr">
        <is>
          <t>1Y</t>
        </is>
      </c>
      <c r="F281" t="n">
        <v>16.50534962338155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-12.00771562338154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46080</v>
      </c>
      <c r="E282" t="inlineStr">
        <is>
          <t>3Y</t>
        </is>
      </c>
      <c r="F282" t="n">
        <v>21.33903722587558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-15.8144981547985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46080</v>
      </c>
      <c r="E283" t="inlineStr">
        <is>
          <t>5Y</t>
        </is>
      </c>
      <c r="F283" t="n">
        <v>13.6914100046055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-6.241361007965307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46080</v>
      </c>
      <c r="E284" t="inlineStr">
        <is>
          <t>10Y</t>
        </is>
      </c>
      <c r="F284" t="n">
        <v>15.0099524249528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-9.726228364268596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46080</v>
      </c>
      <c r="E285" t="inlineStr">
        <is>
          <t>1Y</t>
        </is>
      </c>
      <c r="F285" t="n">
        <v>16.04001499028538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-11.54238099028537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46080</v>
      </c>
      <c r="E286" t="inlineStr">
        <is>
          <t>3Y</t>
        </is>
      </c>
      <c r="F286" t="n">
        <v>21.34624383317087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-15.82170476209379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46080</v>
      </c>
      <c r="E287" t="inlineStr">
        <is>
          <t>5Y</t>
        </is>
      </c>
      <c r="F287" t="n">
        <v>13.04366570706725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-5.593616710427063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46080</v>
      </c>
      <c r="E288" t="inlineStr">
        <is>
          <t>10Y</t>
        </is>
      </c>
      <c r="F288" t="n">
        <v>14.81456480218495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-9.530840741500747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46080</v>
      </c>
      <c r="E293" t="inlineStr">
        <is>
          <t>1Y</t>
        </is>
      </c>
      <c r="F293" t="n">
        <v>66.20623168741892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-60.70992268741892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46080</v>
      </c>
      <c r="E294" t="inlineStr">
        <is>
          <t>3Y</t>
        </is>
      </c>
      <c r="F294" t="n">
        <v>18.57807701812913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-12.93017409020525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46080</v>
      </c>
      <c r="E295" t="inlineStr">
        <is>
          <t>5Y</t>
        </is>
      </c>
      <c r="F295" t="n">
        <v>2.277969826950699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4.678302086549579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46080</v>
      </c>
      <c r="E296" t="inlineStr">
        <is>
          <t>10Y</t>
        </is>
      </c>
      <c r="F296" t="n">
        <v>5.549864984167052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1.876870593749147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  <col width="20" customWidth="1" min="31" max="31"/>
  </cols>
  <sheetData>
    <row r="1">
      <c r="A1" s="3" t="inlineStr">
        <is>
          <t>Country Disconnect Dashboard (As of Feb 27, 2026)</t>
        </is>
      </c>
    </row>
    <row r="2">
      <c r="A2" s="4" t="inlineStr">
        <is>
          <t>Horizon</t>
        </is>
      </c>
      <c r="B2" t="inlineStr">
        <is>
          <t>10Y</t>
        </is>
      </c>
      <c r="D2" t="inlineStr">
        <is>
          <t>Sort by (choice of GDP size)</t>
        </is>
      </c>
      <c r="E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  <c r="AE4" s="4" t="inlineStr">
        <is>
          <t>MSCI Factsheet Link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MATCH($A5&amp;"|"&amp;$B$2, CAGR!$Q:$Q, 0)), NA())</f>
        <v/>
      </c>
      <c r="D5" s="5">
        <f>IFERROR(1*INDEX(CAGR!$F:$F, MATCH($A5&amp;"|"&amp;$B5&amp;"|"&amp;$B$2, CAGR!$P:$P, 0)), NA())</f>
        <v/>
      </c>
      <c r="E5" s="6">
        <f>IFERROR(INDEX(MSCI!$B:$E, MATCH("Australia", MSCI!$A:$A, 0), MATCH($B$2, MSCI!$B$1:$E$1, 0)), NA())</f>
        <v/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MATCH($A5&amp;"|"&amp;$B$2, CAGR!$Q:$Q, 0)), NA())</f>
        <v/>
      </c>
      <c r="O5" s="5">
        <f>IFERROR(1*INDEX(CAGR!$G:$G, MATCH($A5&amp;"|"&amp;$B$2, CAGR!$Q:$Q, 0)), NA())</f>
        <v/>
      </c>
      <c r="Q5" s="5">
        <f>IFERROR(1*INDEX(CAGR!$J:$J, MATCH($A5&amp;"|"&amp;$B$2, CAGR!$Q:$Q, 0)), NA())</f>
        <v/>
      </c>
      <c r="R5" s="5">
        <f>IFERROR(1*INDEX(CAGR!$K:$K, MATCH($A5&amp;"|"&amp;$B$2, CAGR!$Q:$Q, 0)), NA())</f>
        <v/>
      </c>
      <c r="S5" s="7" t="n"/>
      <c r="T5" t="inlineStr">
        <is>
          <t>NA()</t>
        </is>
      </c>
      <c r="V5" s="5">
        <f>IFERROR(1*INDEX(CAGR!$N:$N, MATCH($A5&amp;"|"&amp;$B$2,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  <c r="AE5" t="inlineStr">
        <is>
          <t>Factsheet</t>
        </is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6">
        <f>IFERROR(INDEX(MSCI!$B:$E, MATCH("Austria", MSCI!$A:$A, 0), MATCH($B$2, MSCI!$B$1:$E$1, 0)), NA())</f>
        <v/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MATCH($A6&amp;"|"&amp;$B$2, CAGR!$Q:$Q, 0)), NA())</f>
        <v/>
      </c>
      <c r="O6" s="5">
        <f>IFERROR(1*INDEX(CAGR!$G:$G, MATCH($A6&amp;"|"&amp;$B$2, CAGR!$Q:$Q, 0)), NA())</f>
        <v/>
      </c>
      <c r="Q6" s="5">
        <f>IFERROR(1*INDEX(CAGR!$J:$J, MATCH($A6&amp;"|"&amp;$B$2, CAGR!$Q:$Q, 0)), NA())</f>
        <v/>
      </c>
      <c r="R6" s="5">
        <f>IFERROR(1*INDEX(CAGR!$K:$K, MATCH($A6&amp;"|"&amp;$B$2, CAGR!$Q:$Q, 0)), NA())</f>
        <v/>
      </c>
      <c r="S6" s="7" t="n">
        <v>1</v>
      </c>
      <c r="T6" t="inlineStr">
        <is>
          <t>NA()</t>
        </is>
      </c>
      <c r="V6" s="5">
        <f>IFERROR(1*INDEX(CAGR!$N:$N, MATCH($A6&amp;"|"&amp;$B$2,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  <c r="AE6" t="inlineStr">
        <is>
          <t>Factsheet</t>
        </is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6">
        <f>IFERROR(INDEX(MSCI!$B:$E, MATCH("Belgium", MSCI!$A:$A, 0), MATCH($B$2, MSCI!$B$1:$E$1, 0)), NA())</f>
        <v/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MATCH($A7&amp;"|"&amp;$B$2, CAGR!$Q:$Q, 0)), NA())</f>
        <v/>
      </c>
      <c r="O7" s="5">
        <f>IFERROR(1*INDEX(CAGR!$G:$G, MATCH($A7&amp;"|"&amp;$B$2, CAGR!$Q:$Q, 0)), NA())</f>
        <v/>
      </c>
      <c r="Q7" s="5">
        <f>IFERROR(1*INDEX(CAGR!$J:$J, MATCH($A7&amp;"|"&amp;$B$2, CAGR!$Q:$Q, 0)), NA())</f>
        <v/>
      </c>
      <c r="R7" s="5">
        <f>IFERROR(1*INDEX(CAGR!$K:$K, MATCH($A7&amp;"|"&amp;$B$2, CAGR!$Q:$Q, 0)), NA())</f>
        <v/>
      </c>
      <c r="S7" s="7" t="n">
        <v>1</v>
      </c>
      <c r="T7" t="inlineStr">
        <is>
          <t>NA()</t>
        </is>
      </c>
      <c r="V7" s="5">
        <f>IFERROR(1*INDEX(CAGR!$N:$N, MATCH($A7&amp;"|"&amp;$B$2,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  <c r="AE7" t="inlineStr">
        <is>
          <t>Factsheet</t>
        </is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6">
        <f>IFERROR(INDEX(MSCI!$B:$E, MATCH("Brazil", MSCI!$A:$A, 0), MATCH($B$2, MSCI!$B$1:$E$1, 0)), NA())</f>
        <v/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8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MATCH($A8&amp;"|"&amp;$B$2, CAGR!$Q:$Q, 0)), NA())</f>
        <v/>
      </c>
      <c r="O8" s="5">
        <f>IFERROR(1*INDEX(CAGR!$G:$G, MATCH($A8&amp;"|"&amp;$B$2, CAGR!$Q:$Q, 0)), NA())</f>
        <v/>
      </c>
      <c r="Q8" s="5">
        <f>IFERROR(1*INDEX(CAGR!$J:$J, MATCH($A8&amp;"|"&amp;$B$2, CAGR!$Q:$Q, 0)), NA())</f>
        <v/>
      </c>
      <c r="R8" s="5">
        <f>IFERROR(1*INDEX(CAGR!$K:$K, MATCH($A8&amp;"|"&amp;$B$2, CAGR!$Q:$Q, 0)), NA())</f>
        <v/>
      </c>
      <c r="S8" s="7" t="n"/>
      <c r="T8" t="inlineStr">
        <is>
          <t>NA()</t>
        </is>
      </c>
      <c r="V8" s="5">
        <f>IFERROR(1*INDEX(CAGR!$N:$N, MATCH($A8&amp;"|"&amp;$B$2,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  <c r="AE8" t="inlineStr">
        <is>
          <t>Factsheet</t>
        </is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6">
        <f>IFERROR(INDEX(MSCI!$B:$E, MATCH("Canada", MSCI!$A:$A, 0), MATCH($B$2, MSCI!$B$1:$E$1, 0)), NA())</f>
        <v/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MATCH($A9&amp;"|"&amp;$B$2, CAGR!$Q:$Q, 0)), NA())</f>
        <v/>
      </c>
      <c r="O9" s="5">
        <f>IFERROR(1*INDEX(CAGR!$G:$G, MATCH($A9&amp;"|"&amp;$B$2, CAGR!$Q:$Q, 0)), NA())</f>
        <v/>
      </c>
      <c r="Q9" s="5">
        <f>IFERROR(1*INDEX(CAGR!$J:$J, MATCH($A9&amp;"|"&amp;$B$2, CAGR!$Q:$Q, 0)), NA())</f>
        <v/>
      </c>
      <c r="R9" s="5">
        <f>IFERROR(1*INDEX(CAGR!$K:$K, MATCH($A9&amp;"|"&amp;$B$2, CAGR!$Q:$Q, 0)), NA())</f>
        <v/>
      </c>
      <c r="S9" s="7" t="n"/>
      <c r="T9" t="inlineStr">
        <is>
          <t>NA()</t>
        </is>
      </c>
      <c r="V9" s="5">
        <f>IFERROR(1*INDEX(CAGR!$N:$N, MATCH($A9&amp;"|"&amp;$B$2,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  <c r="AE9" t="inlineStr">
        <is>
          <t>Factsheet</t>
        </is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6">
        <f>IFERROR(INDEX(MSCI!$B:$E, MATCH("China", MSCI!$A:$A, 0), MATCH($B$2, MSCI!$B$1:$E$1, 0)), NA())</f>
        <v/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MATCH($A10&amp;"|"&amp;$B$2, CAGR!$Q:$Q, 0)), NA())</f>
        <v/>
      </c>
      <c r="O10" s="5">
        <f>IFERROR(1*INDEX(CAGR!$G:$G, MATCH($A10&amp;"|"&amp;$B$2, CAGR!$Q:$Q, 0)), NA())</f>
        <v/>
      </c>
      <c r="Q10" s="5">
        <f>IFERROR(1*INDEX(CAGR!$J:$J, MATCH($A10&amp;"|"&amp;$B$2, CAGR!$Q:$Q, 0)), NA())</f>
        <v/>
      </c>
      <c r="R10" s="5">
        <f>IFERROR(1*INDEX(CAGR!$K:$K, MATCH($A10&amp;"|"&amp;$B$2, CAGR!$Q:$Q, 0)), NA())</f>
        <v/>
      </c>
      <c r="S10" s="7" t="n"/>
      <c r="T10" t="inlineStr">
        <is>
          <t>NA()</t>
        </is>
      </c>
      <c r="V10" s="5">
        <f>IFERROR(1*INDEX(CAGR!$N:$N, MATCH($A10&amp;"|"&amp;$B$2,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  <c r="AE10" t="inlineStr">
        <is>
          <t>Factsheet</t>
        </is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6">
        <f>IFERROR(INDEX(MSCI!$B:$E, MATCH("France", MSCI!$A:$A, 0), MATCH($B$2, MSCI!$B$1:$E$1, 0)), NA())</f>
        <v/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MATCH($A11&amp;"|"&amp;$B$2, CAGR!$Q:$Q, 0)), NA())</f>
        <v/>
      </c>
      <c r="O11" s="5">
        <f>IFERROR(1*INDEX(CAGR!$G:$G, MATCH($A11&amp;"|"&amp;$B$2, CAGR!$Q:$Q, 0)), NA())</f>
        <v/>
      </c>
      <c r="Q11" s="5">
        <f>IFERROR(1*INDEX(CAGR!$J:$J, MATCH($A11&amp;"|"&amp;$B$2, CAGR!$Q:$Q, 0)), NA())</f>
        <v/>
      </c>
      <c r="R11" s="5">
        <f>IFERROR(1*INDEX(CAGR!$K:$K, MATCH($A11&amp;"|"&amp;$B$2, CAGR!$Q:$Q, 0)), NA())</f>
        <v/>
      </c>
      <c r="S11" s="7" t="n"/>
      <c r="T11" t="inlineStr">
        <is>
          <t>NA()</t>
        </is>
      </c>
      <c r="V11" s="5">
        <f>IFERROR(1*INDEX(CAGR!$N:$N, MATCH($A11&amp;"|"&amp;$B$2,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  <c r="AE11" t="inlineStr">
        <is>
          <t>Factsheet</t>
        </is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6">
        <f>IFERROR(INDEX(MSCI!$B:$E, MATCH("Germany", MSCI!$A:$A, 0), MATCH($B$2, MSCI!$B$1:$E$1, 0)), NA())</f>
        <v/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MATCH($A12&amp;"|"&amp;$B$2, CAGR!$Q:$Q, 0)), NA())</f>
        <v/>
      </c>
      <c r="O12" s="5">
        <f>IFERROR(1*INDEX(CAGR!$G:$G, MATCH($A12&amp;"|"&amp;$B$2, CAGR!$Q:$Q, 0)), NA())</f>
        <v/>
      </c>
      <c r="Q12" s="5">
        <f>IFERROR(1*INDEX(CAGR!$J:$J, MATCH($A12&amp;"|"&amp;$B$2, CAGR!$Q:$Q, 0)), NA())</f>
        <v/>
      </c>
      <c r="R12" s="5">
        <f>IFERROR(1*INDEX(CAGR!$K:$K, MATCH($A12&amp;"|"&amp;$B$2, CAGR!$Q:$Q, 0)), NA())</f>
        <v/>
      </c>
      <c r="S12" s="7" t="n">
        <v>0.8721000201687102</v>
      </c>
      <c r="T12" t="inlineStr">
        <is>
          <t>NA()</t>
        </is>
      </c>
      <c r="V12" s="5">
        <f>IFERROR(1*INDEX(CAGR!$N:$N, MATCH($A12&amp;"|"&amp;$B$2,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  <c r="AE12" t="inlineStr">
        <is>
          <t>Factsheet</t>
        </is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6">
        <f>IFERROR(INDEX(MSCI!$B:$E, MATCH("Greece", MSCI!$A:$A, 0), MATCH($B$2, MSCI!$B$1:$E$1, 0)), NA())</f>
        <v/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MATCH($A13&amp;"|"&amp;$B$2, CAGR!$Q:$Q, 0)), NA())</f>
        <v/>
      </c>
      <c r="O13" s="5">
        <f>IFERROR(1*INDEX(CAGR!$G:$G, MATCH($A13&amp;"|"&amp;$B$2, CAGR!$Q:$Q, 0)), NA())</f>
        <v/>
      </c>
      <c r="Q13" s="5">
        <f>IFERROR(1*INDEX(CAGR!$J:$J, MATCH($A13&amp;"|"&amp;$B$2, CAGR!$Q:$Q, 0)), NA())</f>
        <v/>
      </c>
      <c r="R13" s="5">
        <f>IFERROR(1*INDEX(CAGR!$K:$K, MATCH($A13&amp;"|"&amp;$B$2, CAGR!$Q:$Q, 0)), NA())</f>
        <v/>
      </c>
      <c r="S13" s="7" t="n">
        <v>1</v>
      </c>
      <c r="T13" t="inlineStr">
        <is>
          <t>NA()</t>
        </is>
      </c>
      <c r="V13" s="5">
        <f>IFERROR(1*INDEX(CAGR!$N:$N, MATCH($A13&amp;"|"&amp;$B$2,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  <c r="AE13" t="inlineStr">
        <is>
          <t>Factsheet</t>
        </is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6">
        <f>IFERROR(INDEX(MSCI!$B:$E, MATCH("Hong Kong", MSCI!$A:$A, 0), MATCH($B$2, MSCI!$B$1:$E$1, 0)), NA())</f>
        <v/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MATCH($A14&amp;"|"&amp;$B$2, CAGR!$Q:$Q, 0)), NA())</f>
        <v/>
      </c>
      <c r="O14" s="5">
        <f>IFERROR(1*INDEX(CAGR!$G:$G, MATCH($A14&amp;"|"&amp;$B$2, CAGR!$Q:$Q, 0)), NA())</f>
        <v/>
      </c>
      <c r="Q14" s="5">
        <f>IFERROR(1*INDEX(CAGR!$J:$J, MATCH($A14&amp;"|"&amp;$B$2, CAGR!$Q:$Q, 0)), NA())</f>
        <v/>
      </c>
      <c r="R14" s="5">
        <f>IFERROR(1*INDEX(CAGR!$K:$K, MATCH($A14&amp;"|"&amp;$B$2, CAGR!$Q:$Q, 0)), NA())</f>
        <v/>
      </c>
      <c r="S14" s="7" t="n">
        <v>1</v>
      </c>
      <c r="T14" t="inlineStr">
        <is>
          <t>NA()</t>
        </is>
      </c>
      <c r="V14" s="5">
        <f>IFERROR(1*INDEX(CAGR!$N:$N, MATCH($A14&amp;"|"&amp;$B$2,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  <c r="AE14" t="inlineStr">
        <is>
          <t>Factsheet</t>
        </is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6">
        <f>IFERROR(INDEX(MSCI!$B:$E, MATCH("India", MSCI!$A:$A, 0), MATCH($B$2, MSCI!$B$1:$E$1, 0)), NA())</f>
        <v/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MATCH($A15&amp;"|"&amp;$B$2, CAGR!$Q:$Q, 0)), NA())</f>
        <v/>
      </c>
      <c r="O15" s="5">
        <f>IFERROR(1*INDEX(CAGR!$G:$G, MATCH($A15&amp;"|"&amp;$B$2, CAGR!$Q:$Q, 0)), NA())</f>
        <v/>
      </c>
      <c r="Q15" s="5">
        <f>IFERROR(1*INDEX(CAGR!$J:$J, MATCH($A15&amp;"|"&amp;$B$2, CAGR!$Q:$Q, 0)), NA())</f>
        <v/>
      </c>
      <c r="R15" s="5">
        <f>IFERROR(1*INDEX(CAGR!$K:$K, MATCH($A15&amp;"|"&amp;$B$2, CAGR!$Q:$Q, 0)), NA())</f>
        <v/>
      </c>
      <c r="S15" s="7" t="n">
        <v>1</v>
      </c>
      <c r="T15" t="inlineStr">
        <is>
          <t>NA()</t>
        </is>
      </c>
      <c r="V15" s="5">
        <f>IFERROR(1*INDEX(CAGR!$N:$N, MATCH($A15&amp;"|"&amp;$B$2,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  <c r="AE15" t="inlineStr">
        <is>
          <t>Factsheet</t>
        </is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6">
        <f>IFERROR(INDEX(MSCI!$B:$E, MATCH("Indonesia", MSCI!$A:$A, 0), MATCH($B$2, MSCI!$B$1:$E$1, 0)), NA())</f>
        <v/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8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MATCH($A16&amp;"|"&amp;$B$2, CAGR!$Q:$Q, 0)), NA())</f>
        <v/>
      </c>
      <c r="O16" s="5">
        <f>IFERROR(1*INDEX(CAGR!$G:$G, MATCH($A16&amp;"|"&amp;$B$2, CAGR!$Q:$Q, 0)), NA())</f>
        <v/>
      </c>
      <c r="Q16" s="5">
        <f>IFERROR(1*INDEX(CAGR!$J:$J, MATCH($A16&amp;"|"&amp;$B$2, CAGR!$Q:$Q, 0)), NA())</f>
        <v/>
      </c>
      <c r="R16" s="5">
        <f>IFERROR(1*INDEX(CAGR!$K:$K, MATCH($A16&amp;"|"&amp;$B$2, CAGR!$Q:$Q, 0)), NA())</f>
        <v/>
      </c>
      <c r="S16" s="7" t="n">
        <v>0.8721000201687102</v>
      </c>
      <c r="T16" t="inlineStr">
        <is>
          <t>NA()</t>
        </is>
      </c>
      <c r="V16" s="5">
        <f>IFERROR(1*INDEX(CAGR!$N:$N, MATCH($A16&amp;"|"&amp;$B$2,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  <c r="AE16" t="inlineStr">
        <is>
          <t>Factsheet</t>
        </is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6">
        <f>IFERROR(INDEX(MSCI!$B:$E, MATCH("Italy", MSCI!$A:$A, 0), MATCH($B$2, MSCI!$B$1:$E$1, 0)), NA())</f>
        <v/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MATCH($A17&amp;"|"&amp;$B$2, CAGR!$Q:$Q, 0)), NA())</f>
        <v/>
      </c>
      <c r="O17" s="5">
        <f>IFERROR(1*INDEX(CAGR!$G:$G, MATCH($A17&amp;"|"&amp;$B$2, CAGR!$Q:$Q, 0)), NA())</f>
        <v/>
      </c>
      <c r="Q17" s="5">
        <f>IFERROR(1*INDEX(CAGR!$J:$J, MATCH($A17&amp;"|"&amp;$B$2, CAGR!$Q:$Q, 0)), NA())</f>
        <v/>
      </c>
      <c r="R17" s="5">
        <f>IFERROR(1*INDEX(CAGR!$K:$K, MATCH($A17&amp;"|"&amp;$B$2, CAGR!$Q:$Q, 0)), NA())</f>
        <v/>
      </c>
      <c r="S17" s="7" t="n">
        <v>1</v>
      </c>
      <c r="T17" t="inlineStr">
        <is>
          <t>NA()</t>
        </is>
      </c>
      <c r="V17" s="5">
        <f>IFERROR(1*INDEX(CAGR!$N:$N, MATCH($A17&amp;"|"&amp;$B$2,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  <c r="AE17" t="inlineStr">
        <is>
          <t>Factsheet</t>
        </is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6">
        <f>IFERROR(INDEX(MSCI!$B:$E, MATCH("Japan", MSCI!$A:$A, 0), MATCH($B$2, MSCI!$B$1:$E$1, 0)), NA())</f>
        <v/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MATCH($A18&amp;"|"&amp;$B$2, CAGR!$Q:$Q, 0)), NA())</f>
        <v/>
      </c>
      <c r="O18" s="5">
        <f>IFERROR(1*INDEX(CAGR!$G:$G, MATCH($A18&amp;"|"&amp;$B$2, CAGR!$Q:$Q, 0)), NA())</f>
        <v/>
      </c>
      <c r="Q18" s="5">
        <f>IFERROR(1*INDEX(CAGR!$J:$J, MATCH($A18&amp;"|"&amp;$B$2, CAGR!$Q:$Q, 0)), NA())</f>
        <v/>
      </c>
      <c r="R18" s="5">
        <f>IFERROR(1*INDEX(CAGR!$K:$K, MATCH($A18&amp;"|"&amp;$B$2, CAGR!$Q:$Q, 0)), NA())</f>
        <v/>
      </c>
      <c r="S18" s="7" t="n">
        <v>1</v>
      </c>
      <c r="T18" t="inlineStr">
        <is>
          <t>NA()</t>
        </is>
      </c>
      <c r="V18" s="5">
        <f>IFERROR(1*INDEX(CAGR!$N:$N, MATCH($A18&amp;"|"&amp;$B$2,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  <c r="AE18" t="inlineStr">
        <is>
          <t>Factsheet</t>
        </is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6">
        <f>IFERROR(INDEX(MSCI!$B:$E, MATCH("Malaysia", MSCI!$A:$A, 0), MATCH($B$2, MSCI!$B$1:$E$1, 0)), NA())</f>
        <v/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MATCH($A19&amp;"|"&amp;$B$2, CAGR!$Q:$Q, 0)), NA())</f>
        <v/>
      </c>
      <c r="O19" s="5">
        <f>IFERROR(1*INDEX(CAGR!$G:$G, MATCH($A19&amp;"|"&amp;$B$2, CAGR!$Q:$Q, 0)), NA())</f>
        <v/>
      </c>
      <c r="Q19" s="5">
        <f>IFERROR(1*INDEX(CAGR!$J:$J, MATCH($A19&amp;"|"&amp;$B$2, CAGR!$Q:$Q, 0)), NA())</f>
        <v/>
      </c>
      <c r="R19" s="5">
        <f>IFERROR(1*INDEX(CAGR!$K:$K, MATCH($A19&amp;"|"&amp;$B$2, CAGR!$Q:$Q, 0)), NA())</f>
        <v/>
      </c>
      <c r="S19" s="7" t="n"/>
      <c r="T19" t="inlineStr">
        <is>
          <t>NA()</t>
        </is>
      </c>
      <c r="V19" s="5">
        <f>IFERROR(1*INDEX(CAGR!$N:$N, MATCH($A19&amp;"|"&amp;$B$2,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  <c r="AE19" t="inlineStr">
        <is>
          <t>Factsheet</t>
        </is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6">
        <f>IFERROR(INDEX(MSCI!$B:$E, MATCH("Mexico", MSCI!$A:$A, 0), MATCH($B$2, MSCI!$B$1:$E$1, 0)), NA())</f>
        <v/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8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MATCH($A20&amp;"|"&amp;$B$2, CAGR!$Q:$Q, 0)), NA())</f>
        <v/>
      </c>
      <c r="O20" s="5">
        <f>IFERROR(1*INDEX(CAGR!$G:$G, MATCH($A20&amp;"|"&amp;$B$2, CAGR!$Q:$Q, 0)), NA())</f>
        <v/>
      </c>
      <c r="Q20" s="5">
        <f>IFERROR(1*INDEX(CAGR!$J:$J, MATCH($A20&amp;"|"&amp;$B$2, CAGR!$Q:$Q, 0)), NA())</f>
        <v/>
      </c>
      <c r="R20" s="5">
        <f>IFERROR(1*INDEX(CAGR!$K:$K, MATCH($A20&amp;"|"&amp;$B$2, CAGR!$Q:$Q, 0)), NA())</f>
        <v/>
      </c>
      <c r="S20" s="7" t="n"/>
      <c r="T20" t="inlineStr">
        <is>
          <t>NA()</t>
        </is>
      </c>
      <c r="V20" s="5">
        <f>IFERROR(1*INDEX(CAGR!$N:$N, MATCH($A20&amp;"|"&amp;$B$2,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  <c r="AE20" t="inlineStr">
        <is>
          <t>Factsheet</t>
        </is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6">
        <f>IFERROR(INDEX(MSCI!$B:$E, MATCH("Netherlands", MSCI!$A:$A, 0), MATCH($B$2, MSCI!$B$1:$E$1, 0)), NA())</f>
        <v/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MATCH($A21&amp;"|"&amp;$B$2, CAGR!$Q:$Q, 0)), NA())</f>
        <v/>
      </c>
      <c r="O21" s="5">
        <f>IFERROR(1*INDEX(CAGR!$G:$G, MATCH($A21&amp;"|"&amp;$B$2, CAGR!$Q:$Q, 0)), NA())</f>
        <v/>
      </c>
      <c r="Q21" s="5">
        <f>IFERROR(1*INDEX(CAGR!$J:$J, MATCH($A21&amp;"|"&amp;$B$2, CAGR!$Q:$Q, 0)), NA())</f>
        <v/>
      </c>
      <c r="R21" s="5">
        <f>IFERROR(1*INDEX(CAGR!$K:$K, MATCH($A21&amp;"|"&amp;$B$2, CAGR!$Q:$Q, 0)), NA())</f>
        <v/>
      </c>
      <c r="S21" s="7" t="n">
        <v>1</v>
      </c>
      <c r="T21" t="inlineStr">
        <is>
          <t>NA()</t>
        </is>
      </c>
      <c r="V21" s="5">
        <f>IFERROR(1*INDEX(CAGR!$N:$N, MATCH($A21&amp;"|"&amp;$B$2,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  <c r="AE21" t="inlineStr">
        <is>
          <t>Factsheet</t>
        </is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6">
        <f>IFERROR(INDEX(MSCI!$B:$E, MATCH("Pakistan", MSCI!$A:$A, 0), MATCH($B$2, MSCI!$B$1:$E$1, 0)), NA())</f>
        <v/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MATCH($A22&amp;"|"&amp;$B$2, CAGR!$Q:$Q, 0)), NA())</f>
        <v/>
      </c>
      <c r="O22" s="5">
        <f>IFERROR(1*INDEX(CAGR!$G:$G, MATCH($A22&amp;"|"&amp;$B$2, CAGR!$Q:$Q, 0)), NA())</f>
        <v/>
      </c>
      <c r="Q22" s="5">
        <f>IFERROR(1*INDEX(CAGR!$J:$J, MATCH($A22&amp;"|"&amp;$B$2, CAGR!$Q:$Q, 0)), NA())</f>
        <v/>
      </c>
      <c r="R22" s="5">
        <f>IFERROR(1*INDEX(CAGR!$K:$K, MATCH($A22&amp;"|"&amp;$B$2, CAGR!$Q:$Q, 0)), NA())</f>
        <v/>
      </c>
      <c r="S22" s="7" t="n">
        <v>1</v>
      </c>
      <c r="T22" t="inlineStr">
        <is>
          <t>NA()</t>
        </is>
      </c>
      <c r="V22" s="5">
        <f>IFERROR(1*INDEX(CAGR!$N:$N, MATCH($A22&amp;"|"&amp;$B$2,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  <c r="AE22" t="inlineStr">
        <is>
          <t>Factsheet</t>
        </is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6">
        <f>IFERROR(INDEX(MSCI!$B:$E, MATCH("Philippines", MSCI!$A:$A, 0), MATCH($B$2, MSCI!$B$1:$E$1, 0)), NA())</f>
        <v/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8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MATCH($A23&amp;"|"&amp;$B$2, CAGR!$Q:$Q, 0)), NA())</f>
        <v/>
      </c>
      <c r="O23" s="5">
        <f>IFERROR(1*INDEX(CAGR!$G:$G, MATCH($A23&amp;"|"&amp;$B$2, CAGR!$Q:$Q, 0)), NA())</f>
        <v/>
      </c>
      <c r="Q23" s="5">
        <f>IFERROR(1*INDEX(CAGR!$J:$J, MATCH($A23&amp;"|"&amp;$B$2, CAGR!$Q:$Q, 0)), NA())</f>
        <v/>
      </c>
      <c r="R23" s="5">
        <f>IFERROR(1*INDEX(CAGR!$K:$K, MATCH($A23&amp;"|"&amp;$B$2, CAGR!$Q:$Q, 0)), NA())</f>
        <v/>
      </c>
      <c r="S23" s="7" t="n"/>
      <c r="T23" t="inlineStr">
        <is>
          <t>NA()</t>
        </is>
      </c>
      <c r="V23" s="5">
        <f>IFERROR(1*INDEX(CAGR!$N:$N, MATCH($A23&amp;"|"&amp;$B$2,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  <c r="AE23" t="inlineStr">
        <is>
          <t>Factsheet</t>
        </is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6">
        <f>IFERROR(INDEX(MSCI!$B:$E, MATCH("Poland", MSCI!$A:$A, 0), MATCH($B$2, MSCI!$B$1:$E$1, 0)), NA())</f>
        <v/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MATCH($A24&amp;"|"&amp;$B$2, CAGR!$Q:$Q, 0)), NA())</f>
        <v/>
      </c>
      <c r="O24" s="5">
        <f>IFERROR(1*INDEX(CAGR!$G:$G, MATCH($A24&amp;"|"&amp;$B$2, CAGR!$Q:$Q, 0)), NA())</f>
        <v/>
      </c>
      <c r="Q24" s="5">
        <f>IFERROR(1*INDEX(CAGR!$J:$J, MATCH($A24&amp;"|"&amp;$B$2, CAGR!$Q:$Q, 0)), NA())</f>
        <v/>
      </c>
      <c r="R24" s="5">
        <f>IFERROR(1*INDEX(CAGR!$K:$K, MATCH($A24&amp;"|"&amp;$B$2, CAGR!$Q:$Q, 0)), NA())</f>
        <v/>
      </c>
      <c r="S24" s="7" t="n">
        <v>1</v>
      </c>
      <c r="T24" t="inlineStr">
        <is>
          <t>NA()</t>
        </is>
      </c>
      <c r="V24" s="5">
        <f>IFERROR(1*INDEX(CAGR!$N:$N, MATCH($A24&amp;"|"&amp;$B$2,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  <c r="AE24" t="inlineStr">
        <is>
          <t>Factsheet</t>
        </is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6">
        <f>IFERROR(INDEX(MSCI!$B:$E, MATCH("Saudi Arabia", MSCI!$A:$A, 0), MATCH($B$2, MSCI!$B$1:$E$1, 0)), NA())</f>
        <v/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MATCH($A25&amp;"|"&amp;$B$2, CAGR!$Q:$Q, 0)), NA())</f>
        <v/>
      </c>
      <c r="O25" s="5">
        <f>IFERROR(1*INDEX(CAGR!$G:$G, MATCH($A25&amp;"|"&amp;$B$2, CAGR!$Q:$Q, 0)), NA())</f>
        <v/>
      </c>
      <c r="Q25" s="5">
        <f>IFERROR(1*INDEX(CAGR!$J:$J, MATCH($A25&amp;"|"&amp;$B$2, CAGR!$Q:$Q, 0)), NA())</f>
        <v/>
      </c>
      <c r="R25" s="5">
        <f>IFERROR(1*INDEX(CAGR!$K:$K, MATCH($A25&amp;"|"&amp;$B$2, CAGR!$Q:$Q, 0)), NA())</f>
        <v/>
      </c>
      <c r="S25" s="7" t="n">
        <v>1</v>
      </c>
      <c r="T25" t="inlineStr">
        <is>
          <t>NA()</t>
        </is>
      </c>
      <c r="V25" s="5">
        <f>IFERROR(1*INDEX(CAGR!$N:$N, MATCH($A25&amp;"|"&amp;$B$2,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  <c r="AE25" t="inlineStr">
        <is>
          <t>Factsheet</t>
        </is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6">
        <f>IFERROR(INDEX(MSCI!$B:$E, MATCH("Singapore", MSCI!$A:$A, 0), MATCH($B$2, MSCI!$B$1:$E$1, 0)), NA())</f>
        <v/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MATCH($A26&amp;"|"&amp;$B$2, CAGR!$Q:$Q, 0)), NA())</f>
        <v/>
      </c>
      <c r="O26" s="5">
        <f>IFERROR(1*INDEX(CAGR!$G:$G, MATCH($A26&amp;"|"&amp;$B$2, CAGR!$Q:$Q, 0)), NA())</f>
        <v/>
      </c>
      <c r="Q26" s="5">
        <f>IFERROR(1*INDEX(CAGR!$J:$J, MATCH($A26&amp;"|"&amp;$B$2, CAGR!$Q:$Q, 0)), NA())</f>
        <v/>
      </c>
      <c r="R26" s="5">
        <f>IFERROR(1*INDEX(CAGR!$K:$K, MATCH($A26&amp;"|"&amp;$B$2, CAGR!$Q:$Q, 0)), NA())</f>
        <v/>
      </c>
      <c r="S26" s="7" t="n">
        <v>1</v>
      </c>
      <c r="T26" t="inlineStr">
        <is>
          <t>NA()</t>
        </is>
      </c>
      <c r="V26" s="5">
        <f>IFERROR(1*INDEX(CAGR!$N:$N, MATCH($A26&amp;"|"&amp;$B$2,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  <c r="AE26" t="inlineStr">
        <is>
          <t>Factsheet</t>
        </is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6">
        <f>IFERROR(INDEX(MSCI!$B:$E, MATCH("South Africa", MSCI!$A:$A, 0), MATCH($B$2, MSCI!$B$1:$E$1, 0)), NA())</f>
        <v/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MATCH($A27&amp;"|"&amp;$B$2, CAGR!$Q:$Q, 0)), NA())</f>
        <v/>
      </c>
      <c r="O27" s="5">
        <f>IFERROR(1*INDEX(CAGR!$G:$G, MATCH($A27&amp;"|"&amp;$B$2, CAGR!$Q:$Q, 0)), NA())</f>
        <v/>
      </c>
      <c r="Q27" s="5">
        <f>IFERROR(1*INDEX(CAGR!$J:$J, MATCH($A27&amp;"|"&amp;$B$2, CAGR!$Q:$Q, 0)), NA())</f>
        <v/>
      </c>
      <c r="R27" s="5">
        <f>IFERROR(1*INDEX(CAGR!$K:$K, MATCH($A27&amp;"|"&amp;$B$2, CAGR!$Q:$Q, 0)), NA())</f>
        <v/>
      </c>
      <c r="S27" s="7" t="n">
        <v>1</v>
      </c>
      <c r="T27" t="inlineStr">
        <is>
          <t>NA()</t>
        </is>
      </c>
      <c r="V27" s="5">
        <f>IFERROR(1*INDEX(CAGR!$N:$N, MATCH($A27&amp;"|"&amp;$B$2,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  <c r="AE27" t="inlineStr">
        <is>
          <t>Factsheet</t>
        </is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6">
        <f>IFERROR(INDEX(MSCI!$B:$E, MATCH("South Korea", MSCI!$A:$A, 0), MATCH($B$2, MSCI!$B$1:$E$1, 0)), NA())</f>
        <v/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MATCH($A28&amp;"|"&amp;$B$2, CAGR!$Q:$Q, 0)), NA())</f>
        <v/>
      </c>
      <c r="O28" s="5">
        <f>IFERROR(1*INDEX(CAGR!$G:$G, MATCH($A28&amp;"|"&amp;$B$2, CAGR!$Q:$Q, 0)), NA())</f>
        <v/>
      </c>
      <c r="Q28" s="5">
        <f>IFERROR(1*INDEX(CAGR!$J:$J, MATCH($A28&amp;"|"&amp;$B$2, CAGR!$Q:$Q, 0)), NA())</f>
        <v/>
      </c>
      <c r="R28" s="5">
        <f>IFERROR(1*INDEX(CAGR!$K:$K, MATCH($A28&amp;"|"&amp;$B$2, CAGR!$Q:$Q, 0)), NA())</f>
        <v/>
      </c>
      <c r="S28" s="7" t="n">
        <v>1</v>
      </c>
      <c r="T28" t="inlineStr">
        <is>
          <t>NA()</t>
        </is>
      </c>
      <c r="V28" s="5">
        <f>IFERROR(1*INDEX(CAGR!$N:$N, MATCH($A28&amp;"|"&amp;$B$2,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  <c r="AE28" t="inlineStr">
        <is>
          <t>Factsheet</t>
        </is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6">
        <f>IFERROR(INDEX(MSCI!$B:$E, MATCH("Spain", MSCI!$A:$A, 0), MATCH($B$2, MSCI!$B$1:$E$1, 0)), NA())</f>
        <v/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8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MATCH($A29&amp;"|"&amp;$B$2, CAGR!$Q:$Q, 0)), NA())</f>
        <v/>
      </c>
      <c r="O29" s="5">
        <f>IFERROR(1*INDEX(CAGR!$G:$G, MATCH($A29&amp;"|"&amp;$B$2, CAGR!$Q:$Q, 0)), NA())</f>
        <v/>
      </c>
      <c r="Q29" s="5">
        <f>IFERROR(1*INDEX(CAGR!$J:$J, MATCH($A29&amp;"|"&amp;$B$2, CAGR!$Q:$Q, 0)), NA())</f>
        <v/>
      </c>
      <c r="R29" s="5">
        <f>IFERROR(1*INDEX(CAGR!$K:$K, MATCH($A29&amp;"|"&amp;$B$2, CAGR!$Q:$Q, 0)), NA())</f>
        <v/>
      </c>
      <c r="S29" s="7" t="n">
        <v>0.8721000201687102</v>
      </c>
      <c r="T29" t="inlineStr">
        <is>
          <t>NA()</t>
        </is>
      </c>
      <c r="V29" s="5">
        <f>IFERROR(1*INDEX(CAGR!$N:$N, MATCH($A29&amp;"|"&amp;$B$2,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  <c r="AE29" t="inlineStr">
        <is>
          <t>Factsheet</t>
        </is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6">
        <f>IFERROR(INDEX(MSCI!$B:$E, MATCH("Sweden", MSCI!$A:$A, 0), MATCH($B$2, MSCI!$B$1:$E$1, 0)), NA())</f>
        <v/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MATCH($A30&amp;"|"&amp;$B$2, CAGR!$Q:$Q, 0)), NA())</f>
        <v/>
      </c>
      <c r="O30" s="5">
        <f>IFERROR(1*INDEX(CAGR!$G:$G, MATCH($A30&amp;"|"&amp;$B$2, CAGR!$Q:$Q, 0)), NA())</f>
        <v/>
      </c>
      <c r="Q30" s="5">
        <f>IFERROR(1*INDEX(CAGR!$J:$J, MATCH($A30&amp;"|"&amp;$B$2, CAGR!$Q:$Q, 0)), NA())</f>
        <v/>
      </c>
      <c r="R30" s="5">
        <f>IFERROR(1*INDEX(CAGR!$K:$K, MATCH($A30&amp;"|"&amp;$B$2, CAGR!$Q:$Q, 0)), NA())</f>
        <v/>
      </c>
      <c r="S30" s="7" t="n">
        <v>1</v>
      </c>
      <c r="T30" t="inlineStr">
        <is>
          <t>NA()</t>
        </is>
      </c>
      <c r="V30" s="5">
        <f>IFERROR(1*INDEX(CAGR!$N:$N, MATCH($A30&amp;"|"&amp;$B$2,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  <c r="AE30" t="inlineStr">
        <is>
          <t>Factsheet</t>
        </is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6">
        <f>IFERROR(INDEX(MSCI!$B:$E, MATCH("Switzerland", MSCI!$A:$A, 0), MATCH($B$2, MSCI!$B$1:$E$1, 0)), NA())</f>
        <v/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MATCH($A31&amp;"|"&amp;$B$2, CAGR!$Q:$Q, 0)), NA())</f>
        <v/>
      </c>
      <c r="O31" s="5">
        <f>IFERROR(1*INDEX(CAGR!$G:$G, MATCH($A31&amp;"|"&amp;$B$2, CAGR!$Q:$Q, 0)), NA())</f>
        <v/>
      </c>
      <c r="Q31" s="5">
        <f>IFERROR(1*INDEX(CAGR!$J:$J, MATCH($A31&amp;"|"&amp;$B$2, CAGR!$Q:$Q, 0)), NA())</f>
        <v/>
      </c>
      <c r="R31" s="5">
        <f>IFERROR(1*INDEX(CAGR!$K:$K, MATCH($A31&amp;"|"&amp;$B$2, CAGR!$Q:$Q, 0)), NA())</f>
        <v/>
      </c>
      <c r="S31" s="7" t="n">
        <v>0.8721000201687102</v>
      </c>
      <c r="T31" t="inlineStr">
        <is>
          <t>NA()</t>
        </is>
      </c>
      <c r="V31" s="5">
        <f>IFERROR(1*INDEX(CAGR!$N:$N, MATCH($A31&amp;"|"&amp;$B$2,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  <c r="AE31" t="inlineStr">
        <is>
          <t>Factsheet</t>
        </is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6">
        <f>IFERROR(INDEX(MSCI!$B:$E, MATCH("Taiwan", MSCI!$A:$A, 0), MATCH($B$2, MSCI!$B$1:$E$1, 0)), NA())</f>
        <v/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MATCH($A32&amp;"|"&amp;$B$2, CAGR!$Q:$Q, 0)), NA())</f>
        <v/>
      </c>
      <c r="O32" s="5">
        <f>IFERROR(1*INDEX(CAGR!$G:$G, MATCH($A32&amp;"|"&amp;$B$2, CAGR!$Q:$Q, 0)), NA())</f>
        <v/>
      </c>
      <c r="Q32" s="5">
        <f>IFERROR(1*INDEX(CAGR!$J:$J, MATCH($A32&amp;"|"&amp;$B$2, CAGR!$Q:$Q, 0)), NA())</f>
        <v/>
      </c>
      <c r="R32" s="5">
        <f>IFERROR(1*INDEX(CAGR!$K:$K, MATCH($A32&amp;"|"&amp;$B$2, CAGR!$Q:$Q, 0)), NA())</f>
        <v/>
      </c>
      <c r="S32" s="7" t="n"/>
      <c r="T32" t="inlineStr">
        <is>
          <t>NA()</t>
        </is>
      </c>
      <c r="V32" s="5">
        <f>IFERROR(1*INDEX(CAGR!$N:$N, MATCH($A32&amp;"|"&amp;$B$2,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  <c r="AE32" t="inlineStr">
        <is>
          <t>Factsheet</t>
        </is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6">
        <f>IFERROR(INDEX(MSCI!$B:$E, MATCH("Thailand", MSCI!$A:$A, 0), MATCH($B$2, MSCI!$B$1:$E$1, 0)), NA())</f>
        <v/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MATCH($A33&amp;"|"&amp;$B$2, CAGR!$Q:$Q, 0)), NA())</f>
        <v/>
      </c>
      <c r="O33" s="5">
        <f>IFERROR(1*INDEX(CAGR!$G:$G, MATCH($A33&amp;"|"&amp;$B$2, CAGR!$Q:$Q, 0)), NA())</f>
        <v/>
      </c>
      <c r="Q33" s="5">
        <f>IFERROR(1*INDEX(CAGR!$J:$J, MATCH($A33&amp;"|"&amp;$B$2, CAGR!$Q:$Q, 0)), NA())</f>
        <v/>
      </c>
      <c r="R33" s="5">
        <f>IFERROR(1*INDEX(CAGR!$K:$K, MATCH($A33&amp;"|"&amp;$B$2, CAGR!$Q:$Q, 0)), NA())</f>
        <v/>
      </c>
      <c r="S33" s="7" t="n"/>
      <c r="T33" t="inlineStr">
        <is>
          <t>NA()</t>
        </is>
      </c>
      <c r="V33" s="5">
        <f>IFERROR(1*INDEX(CAGR!$N:$N, MATCH($A33&amp;"|"&amp;$B$2,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  <c r="AE33" t="inlineStr">
        <is>
          <t>Factsheet</t>
        </is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6">
        <f>IFERROR(INDEX(MSCI!$B:$E, MATCH("Turkey", MSCI!$A:$A, 0), MATCH($B$2, MSCI!$B$1:$E$1, 0)), NA())</f>
        <v/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8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MATCH($A34&amp;"|"&amp;$B$2, CAGR!$Q:$Q, 0)), NA())</f>
        <v/>
      </c>
      <c r="O34" s="5">
        <f>IFERROR(1*INDEX(CAGR!$G:$G, MATCH($A34&amp;"|"&amp;$B$2, CAGR!$Q:$Q, 0)), NA())</f>
        <v/>
      </c>
      <c r="Q34" s="5">
        <f>IFERROR(1*INDEX(CAGR!$J:$J, MATCH($A34&amp;"|"&amp;$B$2, CAGR!$Q:$Q, 0)), NA())</f>
        <v/>
      </c>
      <c r="R34" s="5">
        <f>IFERROR(1*INDEX(CAGR!$K:$K, MATCH($A34&amp;"|"&amp;$B$2, CAGR!$Q:$Q, 0)), NA())</f>
        <v/>
      </c>
      <c r="S34" s="7" t="n">
        <v>1</v>
      </c>
      <c r="T34" t="inlineStr">
        <is>
          <t>NA()</t>
        </is>
      </c>
      <c r="V34" s="5">
        <f>IFERROR(1*INDEX(CAGR!$N:$N, MATCH($A34&amp;"|"&amp;$B$2,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  <c r="AE34" t="inlineStr">
        <is>
          <t>Factsheet</t>
        </is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6">
        <f>IFERROR(INDEX(MSCI!$B:$E, MATCH("United Kingdom", MSCI!$A:$A, 0), MATCH($B$2, MSCI!$B$1:$E$1, 0)), NA())</f>
        <v/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8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MATCH($A35&amp;"|"&amp;$B$2, CAGR!$Q:$Q, 0)), NA())</f>
        <v/>
      </c>
      <c r="O35" s="5">
        <f>IFERROR(1*INDEX(CAGR!$G:$G, MATCH($A35&amp;"|"&amp;$B$2, CAGR!$Q:$Q, 0)), NA())</f>
        <v/>
      </c>
      <c r="Q35" s="5">
        <f>IFERROR(1*INDEX(CAGR!$J:$J, MATCH($A35&amp;"|"&amp;$B$2, CAGR!$Q:$Q, 0)), NA())</f>
        <v/>
      </c>
      <c r="R35" s="5">
        <f>IFERROR(1*INDEX(CAGR!$K:$K, MATCH($A35&amp;"|"&amp;$B$2, CAGR!$Q:$Q, 0)), NA())</f>
        <v/>
      </c>
      <c r="S35" s="7" t="n"/>
      <c r="T35" t="inlineStr">
        <is>
          <t>NA()</t>
        </is>
      </c>
      <c r="V35" s="5">
        <f>IFERROR(1*INDEX(CAGR!$N:$N, MATCH($A35&amp;"|"&amp;$B$2,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  <c r="AE35" t="inlineStr">
        <is>
          <t>Factsheet</t>
        </is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6">
        <f>IFERROR(INDEX(MSCI!$B:$E, MATCH("United States", MSCI!$A:$A, 0), MATCH($B$2, MSCI!$B$1:$E$1, 0)), NA())</f>
        <v/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MATCH($A36&amp;"|"&amp;$B$2, CAGR!$Q:$Q, 0)), NA())</f>
        <v/>
      </c>
      <c r="O36" s="5">
        <f>IFERROR(1*INDEX(CAGR!$G:$G, MATCH($A36&amp;"|"&amp;$B$2, CAGR!$Q:$Q, 0)), NA())</f>
        <v/>
      </c>
      <c r="Q36" s="5">
        <f>IFERROR(1*INDEX(CAGR!$J:$J, MATCH($A36&amp;"|"&amp;$B$2, CAGR!$Q:$Q, 0)), NA())</f>
        <v/>
      </c>
      <c r="R36" s="5">
        <f>IFERROR(1*INDEX(CAGR!$K:$K, MATCH($A36&amp;"|"&amp;$B$2, CAGR!$Q:$Q, 0)), NA())</f>
        <v/>
      </c>
      <c r="S36" s="7" t="n">
        <v>1</v>
      </c>
      <c r="T36" t="inlineStr">
        <is>
          <t>NA()</t>
        </is>
      </c>
      <c r="V36" s="5">
        <f>IFERROR(1*INDEX(CAGR!$N:$N, MATCH($A36&amp;"|"&amp;$B$2,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  <c r="AE36" t="inlineStr">
        <is>
          <t>Factsheet</t>
        </is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6">
        <f>IFERROR(INDEX(MSCI!$B:$E, MATCH("Vietnam", MSCI!$A:$A, 0), MATCH($B$2, MSCI!$B$1:$E$1, 0)), NA())</f>
        <v/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8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MATCH($A37&amp;"|"&amp;$B$2, CAGR!$Q:$Q, 0)), NA())</f>
        <v/>
      </c>
      <c r="O37" s="5">
        <f>IFERROR(1*INDEX(CAGR!$G:$G, MATCH($A37&amp;"|"&amp;$B$2, CAGR!$Q:$Q, 0)), NA())</f>
        <v/>
      </c>
      <c r="Q37" s="5">
        <f>IFERROR(1*INDEX(CAGR!$J:$J, MATCH($A37&amp;"|"&amp;$B$2, CAGR!$Q:$Q, 0)), NA())</f>
        <v/>
      </c>
      <c r="R37" s="5">
        <f>IFERROR(1*INDEX(CAGR!$K:$K, MATCH($A37&amp;"|"&amp;$B$2, CAGR!$Q:$Q, 0)), NA())</f>
        <v/>
      </c>
      <c r="S37" s="7" t="n"/>
      <c r="T37" t="inlineStr">
        <is>
          <t>NA()</t>
        </is>
      </c>
      <c r="V37" s="5">
        <f>IFERROR(1*INDEX(CAGR!$N:$N, MATCH($A37&amp;"|"&amp;$B$2,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  <c r="AE37" t="inlineStr">
        <is>
          <t>Factsheet</t>
        </is>
      </c>
    </row>
    <row r="39">
      <c r="A39" s="9" t="inlineStr">
        <is>
          <t>Metric Definitions &amp; Interpretation</t>
        </is>
      </c>
    </row>
    <row r="40">
      <c r="A40" s="10" t="inlineStr">
        <is>
          <t>Main Columns:</t>
        </is>
      </c>
    </row>
    <row r="41">
      <c r="A41" s="11" t="inlineStr">
        <is>
          <t>ETF Ticker</t>
        </is>
      </c>
      <c r="B41" s="12" t="inlineStr">
        <is>
          <t>An asterisk (*) next to the ticker indicates a Distributing ETF. Adjusted Close price is used for comparability with Accumulating ETFs.</t>
        </is>
      </c>
    </row>
    <row r="42">
      <c r="A42" s="11" t="inlineStr">
        <is>
          <t>nGDP (USD) CAGR (%)</t>
        </is>
      </c>
      <c r="B42" s="12" t="inlineStr">
        <is>
          <t>Annualized growth of the country's economy in US Dollar terms. Represents total economic expansion available to a USD investor.</t>
        </is>
      </c>
    </row>
    <row r="43">
      <c r="A43" s="11" t="inlineStr">
        <is>
          <t>ETF CAGR (USD)</t>
        </is>
      </c>
      <c r="B43" s="12" t="inlineStr">
        <is>
          <t>Annualized price return of the selected ETF in US Dollar terms. Includes both local price movement and currency effects.</t>
        </is>
      </c>
    </row>
    <row r="44">
      <c r="A44" s="11" t="inlineStr">
        <is>
          <t>Macro Gap %</t>
        </is>
      </c>
      <c r="B44" s="12" t="inlineStr">
        <is>
          <t>The difference between GDP growth and ETF performance (GDP CAGR minus ETF CAGR). Positive values suggest the economy grew faster than the market.</t>
        </is>
      </c>
    </row>
    <row r="45">
      <c r="A45" s="11" t="inlineStr">
        <is>
          <t>Oil Impact %</t>
        </is>
      </c>
      <c r="B45" s="12" t="inlineStr">
        <is>
          <t>Value of a $10/barrel price change in crude oil imports as a percentage of nominal GDP. Lower values indicate less sensitivity to oil prices (closer to 0 is better).</t>
        </is>
      </c>
    </row>
    <row r="46">
      <c r="A46" s="11" t="inlineStr">
        <is>
          <t>Proj. 3Y (26-28)</t>
        </is>
      </c>
      <c r="B46" s="12" t="inlineStr">
        <is>
          <t>IMF's forecasted nominal GDP growth (USD) for the 2026-2028 period.</t>
        </is>
      </c>
    </row>
    <row r="47">
      <c r="A47" s="11" t="inlineStr">
        <is>
          <t>REER vs 10Y</t>
        </is>
      </c>
      <c r="B47" s="12" t="inlineStr">
        <is>
          <t>Real Effective Exchange Rate deviation from its 10-year mean. Positive = Currency is stronger than its 10Y historical average.</t>
        </is>
      </c>
    </row>
    <row r="48">
      <c r="A48" s="11" t="inlineStr">
        <is>
          <t>REER Index</t>
        </is>
      </c>
      <c r="B48" s="12" t="inlineStr">
        <is>
          <t>Current Real Effective Exchange Rate level. 100 = at 10-year average. Above 100 = currency stronger than average; Below 100 = weaker than average.</t>
        </is>
      </c>
    </row>
    <row r="49">
      <c r="A49" s="10" t="inlineStr">
        <is>
          <t>Reference Columns:</t>
        </is>
      </c>
    </row>
    <row r="50">
      <c r="A50" s="11" t="inlineStr">
        <is>
          <t>FX CAGR %</t>
        </is>
      </c>
      <c r="B50" s="12" t="inlineStr">
        <is>
          <t>Annualized rate of currency appreciation/depreciation against the USD. Positive = Local Currency strengthened against USD.</t>
        </is>
      </c>
    </row>
    <row r="51">
      <c r="A51" s="11" t="inlineStr">
        <is>
          <t>FX Jan 1st CAGR %</t>
        </is>
      </c>
      <c r="B51" s="12" t="inlineStr">
        <is>
          <t>Annualized rate of currency movement calculated using point-to-point 1st January FX rates. More consistent with standard asset return windows.</t>
        </is>
      </c>
    </row>
    <row r="52">
      <c r="A52" s="11" t="inlineStr">
        <is>
          <t>Inf. Diff CAGR %</t>
        </is>
      </c>
      <c r="B52" s="12" t="inlineStr">
        <is>
          <t>Annualized simple difference between country inflation CAGR and USA inflation CAGR. Positive = Local inflation was higher than USA.</t>
        </is>
      </c>
    </row>
    <row r="53">
      <c r="A53" s="11" t="inlineStr">
        <is>
          <t>Currency Gap %</t>
        </is>
      </c>
      <c r="B53" s="12" t="inlineStr">
        <is>
          <t>The sum of FX CAGR and Inflation Differential. Near zero suggests currency movement offsets inflation. Positive = Currency is 'stronger' than PPP suggests.</t>
        </is>
      </c>
    </row>
  </sheetData>
  <autoFilter ref="A4:AE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E5:E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F5:G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J5:J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N5:O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Q5:R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V5:V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X5:X37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H5:H37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5:I37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13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13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13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13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13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13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13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13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13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13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Country</t>
        </is>
      </c>
      <c r="B1" s="4" t="inlineStr">
        <is>
          <t>1Y</t>
        </is>
      </c>
      <c r="C1" s="4" t="inlineStr">
        <is>
          <t>3Y</t>
        </is>
      </c>
      <c r="D1" s="4" t="inlineStr">
        <is>
          <t>5Y</t>
        </is>
      </c>
      <c r="E1" s="4" t="inlineStr">
        <is>
          <t>10Y</t>
        </is>
      </c>
      <c r="F1" s="4" t="inlineStr">
        <is>
          <t>Factsheet Link</t>
        </is>
      </c>
    </row>
    <row r="2">
      <c r="A2" t="inlineStr">
        <is>
          <t>United States</t>
        </is>
      </c>
      <c r="B2" t="n">
        <v>0.1657</v>
      </c>
      <c r="C2" t="n">
        <v>0.2179</v>
      </c>
      <c r="D2" t="n">
        <v>0.1358</v>
      </c>
      <c r="E2" t="n">
        <v>0.1549</v>
      </c>
      <c r="F2" s="14" t="inlineStr">
        <is>
          <t>Factsheet</t>
        </is>
      </c>
    </row>
    <row r="3">
      <c r="A3" t="inlineStr">
        <is>
          <t>Japan</t>
        </is>
      </c>
      <c r="B3" t="n">
        <v>0.4447</v>
      </c>
      <c r="C3" t="n">
        <v>0.2298</v>
      </c>
      <c r="D3" t="n">
        <v>0.1005</v>
      </c>
      <c r="E3" t="n">
        <v>0.1085</v>
      </c>
      <c r="F3" s="14" t="inlineStr">
        <is>
          <t>Factsheet</t>
        </is>
      </c>
    </row>
    <row r="4">
      <c r="A4" t="inlineStr">
        <is>
          <t>United Kingdom</t>
        </is>
      </c>
      <c r="B4" t="n">
        <v>0.3711</v>
      </c>
      <c r="C4" t="n">
        <v>0.1974</v>
      </c>
      <c r="D4" t="n">
        <v>0.1488</v>
      </c>
      <c r="E4" t="n">
        <v>0.0973</v>
      </c>
      <c r="F4" s="14" t="inlineStr">
        <is>
          <t>Factsheet</t>
        </is>
      </c>
    </row>
    <row r="5">
      <c r="A5" t="inlineStr">
        <is>
          <t>Canada</t>
        </is>
      </c>
      <c r="B5" t="n">
        <v>0.4297</v>
      </c>
      <c r="C5" t="n">
        <v>0.2289</v>
      </c>
      <c r="D5" t="n">
        <v>0.1561</v>
      </c>
      <c r="E5" t="n">
        <v>0.1354</v>
      </c>
      <c r="F5" s="14" t="inlineStr">
        <is>
          <t>Factsheet</t>
        </is>
      </c>
    </row>
    <row r="6">
      <c r="A6" t="inlineStr">
        <is>
          <t>China</t>
        </is>
      </c>
      <c r="B6" t="n">
        <v>0.1493</v>
      </c>
      <c r="C6" t="n">
        <v>0.1128</v>
      </c>
      <c r="D6" t="n">
        <v>-0.0446</v>
      </c>
      <c r="E6" t="n">
        <v>0.07290000000000001</v>
      </c>
      <c r="F6" s="14" t="inlineStr">
        <is>
          <t>Factsheet</t>
        </is>
      </c>
    </row>
    <row r="7">
      <c r="A7" t="inlineStr">
        <is>
          <t>Taiwan</t>
        </is>
      </c>
      <c r="B7" t="n">
        <v>0.7742</v>
      </c>
      <c r="C7" t="n">
        <v>0.4079</v>
      </c>
      <c r="D7" t="n">
        <v>0.2019</v>
      </c>
      <c r="E7" t="n">
        <v>0.2275</v>
      </c>
      <c r="F7" s="14" t="inlineStr">
        <is>
          <t>Factsheet</t>
        </is>
      </c>
    </row>
    <row r="8">
      <c r="A8" t="inlineStr">
        <is>
          <t>France</t>
        </is>
      </c>
      <c r="B8" t="n">
        <v>0.2481</v>
      </c>
      <c r="C8" t="n">
        <v>0.1307</v>
      </c>
      <c r="D8" t="n">
        <v>0.1071</v>
      </c>
      <c r="E8" t="n">
        <v>0.112</v>
      </c>
      <c r="F8" s="14" t="inlineStr">
        <is>
          <t>Factsheet</t>
        </is>
      </c>
    </row>
    <row r="9">
      <c r="A9" t="inlineStr">
        <is>
          <t>Switzerland</t>
        </is>
      </c>
      <c r="B9" t="n">
        <v>0.3089</v>
      </c>
      <c r="C9" t="n">
        <v>0.1823</v>
      </c>
      <c r="D9" t="n">
        <v>0.1192</v>
      </c>
      <c r="E9" t="n">
        <v>0.1174</v>
      </c>
      <c r="F9" s="14" t="inlineStr">
        <is>
          <t>Factsheet</t>
        </is>
      </c>
    </row>
    <row r="10">
      <c r="A10" t="inlineStr">
        <is>
          <t>South Korea</t>
        </is>
      </c>
      <c r="B10" t="n">
        <v>1.9602</v>
      </c>
      <c r="C10" t="n">
        <v>0.4187</v>
      </c>
      <c r="D10" t="n">
        <v>0.1397</v>
      </c>
      <c r="E10" t="n">
        <v>0.1615</v>
      </c>
      <c r="F10" s="14" t="inlineStr">
        <is>
          <t>Factsheet</t>
        </is>
      </c>
    </row>
    <row r="11">
      <c r="A11" t="inlineStr">
        <is>
          <t>Germany</t>
        </is>
      </c>
      <c r="B11" t="n">
        <v>0.2607</v>
      </c>
      <c r="C11" t="n">
        <v>0.2138</v>
      </c>
      <c r="D11" t="n">
        <v>0.1033</v>
      </c>
      <c r="E11" t="n">
        <v>0.1014</v>
      </c>
      <c r="F11" s="14" t="inlineStr">
        <is>
          <t>Factsheet</t>
        </is>
      </c>
    </row>
    <row r="12">
      <c r="A12" t="inlineStr">
        <is>
          <t>India</t>
        </is>
      </c>
      <c r="B12" t="n">
        <v>0.1314</v>
      </c>
      <c r="C12" t="n">
        <v>0.1391</v>
      </c>
      <c r="D12" t="n">
        <v>0.093</v>
      </c>
      <c r="E12" t="n">
        <v>0.1139</v>
      </c>
      <c r="F12" s="14" t="inlineStr">
        <is>
          <t>Factsheet</t>
        </is>
      </c>
    </row>
    <row r="13">
      <c r="A13" t="inlineStr">
        <is>
          <t>Australia</t>
        </is>
      </c>
      <c r="B13" t="n">
        <v>0.3095</v>
      </c>
      <c r="C13" t="n">
        <v>0.1407</v>
      </c>
      <c r="D13" t="n">
        <v>0.0921</v>
      </c>
      <c r="E13" t="n">
        <v>0.1082</v>
      </c>
      <c r="F13" s="14" t="inlineStr">
        <is>
          <t>Factsheet</t>
        </is>
      </c>
    </row>
    <row r="14">
      <c r="A14" t="inlineStr">
        <is>
          <t>Netherlands</t>
        </is>
      </c>
      <c r="B14" t="n">
        <v>0.5097</v>
      </c>
      <c r="C14" t="n">
        <v>0.2232</v>
      </c>
      <c r="D14" t="n">
        <v>0.1212</v>
      </c>
      <c r="E14" t="n">
        <v>0.1477</v>
      </c>
      <c r="F14" s="14" t="inlineStr">
        <is>
          <t>Factsheet</t>
        </is>
      </c>
    </row>
    <row r="15">
      <c r="A15" t="inlineStr">
        <is>
          <t>Spain</t>
        </is>
      </c>
      <c r="B15" t="n">
        <v>0.6453</v>
      </c>
      <c r="C15" t="n">
        <v>0.3581</v>
      </c>
      <c r="D15" t="n">
        <v>0.2197</v>
      </c>
      <c r="E15" t="n">
        <v>0.134</v>
      </c>
      <c r="F15" s="14" t="inlineStr">
        <is>
          <t>Factsheet</t>
        </is>
      </c>
    </row>
    <row r="16">
      <c r="A16" t="inlineStr">
        <is>
          <t>Sweden</t>
        </is>
      </c>
      <c r="B16" t="n">
        <v>0.3181</v>
      </c>
      <c r="C16" t="n">
        <v>0.1917</v>
      </c>
      <c r="D16" t="n">
        <v>0.09569999999999999</v>
      </c>
      <c r="E16" t="n">
        <v>0.1143</v>
      </c>
      <c r="F16" s="14" t="inlineStr">
        <is>
          <t>Factsheet</t>
        </is>
      </c>
    </row>
    <row r="17">
      <c r="A17" t="inlineStr">
        <is>
          <t>Italy</t>
        </is>
      </c>
      <c r="B17" t="n">
        <v>0.4556</v>
      </c>
      <c r="C17" t="n">
        <v>0.3179</v>
      </c>
      <c r="D17" t="n">
        <v>0.2087</v>
      </c>
      <c r="E17" t="n">
        <v>0.1517</v>
      </c>
      <c r="F17" s="14" t="inlineStr">
        <is>
          <t>Factsheet</t>
        </is>
      </c>
    </row>
    <row r="18">
      <c r="A18" t="inlineStr">
        <is>
          <t>Brazil</t>
        </is>
      </c>
      <c r="B18" t="n">
        <v>0.7050999999999999</v>
      </c>
      <c r="C18" t="n">
        <v>0.2093</v>
      </c>
      <c r="D18" t="n">
        <v>0.1356</v>
      </c>
      <c r="E18" t="n">
        <v>0.1343</v>
      </c>
      <c r="F18" s="14" t="inlineStr">
        <is>
          <t>Factsheet</t>
        </is>
      </c>
    </row>
    <row r="19">
      <c r="A19" t="inlineStr">
        <is>
          <t>South Africa</t>
        </is>
      </c>
      <c r="B19" t="n">
        <v>1.0029</v>
      </c>
      <c r="C19" t="n">
        <v>0.3427</v>
      </c>
      <c r="D19" t="n">
        <v>0.1738</v>
      </c>
      <c r="E19" t="n">
        <v>0.1232</v>
      </c>
      <c r="F19" s="14" t="inlineStr">
        <is>
          <t>Factsheet</t>
        </is>
      </c>
    </row>
    <row r="20">
      <c r="A20" t="inlineStr">
        <is>
          <t>Hong Kong</t>
        </is>
      </c>
      <c r="B20" t="n">
        <v>0.4621</v>
      </c>
      <c r="C20" t="n">
        <v>0.1054</v>
      </c>
      <c r="D20" t="n">
        <v>0.0223</v>
      </c>
      <c r="E20" t="n">
        <v>0.0703</v>
      </c>
      <c r="F20" s="14" t="inlineStr">
        <is>
          <t>Factsheet</t>
        </is>
      </c>
    </row>
    <row r="21">
      <c r="A21" t="inlineStr">
        <is>
          <t>Saudi Arabia</t>
        </is>
      </c>
      <c r="B21" t="n">
        <v>-0.0043</v>
      </c>
      <c r="C21" t="n">
        <v>0.0674</v>
      </c>
      <c r="D21" t="n">
        <v>0.0771</v>
      </c>
      <c r="E21" t="n">
        <v>0.1072</v>
      </c>
      <c r="F21" s="14" t="inlineStr">
        <is>
          <t>Factsheet</t>
        </is>
      </c>
    </row>
    <row r="22">
      <c r="A22" t="inlineStr">
        <is>
          <t>Singapore</t>
        </is>
      </c>
      <c r="B22" t="n">
        <v>0.2907</v>
      </c>
      <c r="C22" t="n">
        <v>0.2377</v>
      </c>
      <c r="D22" t="n">
        <v>0.1192</v>
      </c>
      <c r="E22" t="n">
        <v>0.099</v>
      </c>
      <c r="F22" s="14" t="inlineStr">
        <is>
          <t>Factsheet</t>
        </is>
      </c>
    </row>
    <row r="23">
      <c r="A23" t="inlineStr">
        <is>
          <t>Denmark</t>
        </is>
      </c>
      <c r="B23" t="n">
        <v>-0.2568</v>
      </c>
      <c r="C23" t="n">
        <v>-0.0513</v>
      </c>
      <c r="D23" t="n">
        <v>0.0119</v>
      </c>
      <c r="E23" t="n">
        <v>0.0713</v>
      </c>
      <c r="F23" s="14" t="inlineStr">
        <is>
          <t>Factsheet</t>
        </is>
      </c>
    </row>
    <row r="24">
      <c r="A24" t="inlineStr">
        <is>
          <t>Finland</t>
        </is>
      </c>
      <c r="B24" t="n">
        <v>0.5238</v>
      </c>
      <c r="C24" t="n">
        <v>0.1423</v>
      </c>
      <c r="D24" t="n">
        <v>0.0635</v>
      </c>
      <c r="E24" t="n">
        <v>0.08500000000000001</v>
      </c>
      <c r="F24" s="14" t="inlineStr">
        <is>
          <t>Factsheet</t>
        </is>
      </c>
    </row>
    <row r="25">
      <c r="A25" t="inlineStr">
        <is>
          <t>Belgium</t>
        </is>
      </c>
      <c r="B25" t="n">
        <v>0.3901</v>
      </c>
      <c r="C25" t="n">
        <v>0.1798</v>
      </c>
      <c r="D25" t="n">
        <v>0.0956</v>
      </c>
      <c r="E25" t="n">
        <v>0.0407</v>
      </c>
      <c r="F25" s="14" t="inlineStr">
        <is>
          <t>Factsheet</t>
        </is>
      </c>
    </row>
    <row r="26">
      <c r="A26" t="inlineStr">
        <is>
          <t>Mexico</t>
        </is>
      </c>
      <c r="B26" t="n">
        <v>0.7127</v>
      </c>
      <c r="C26" t="n">
        <v>0.1727</v>
      </c>
      <c r="D26" t="n">
        <v>0.1865</v>
      </c>
      <c r="E26" t="n">
        <v>0.0847</v>
      </c>
      <c r="F26" s="14" t="inlineStr">
        <is>
          <t>Factsheet</t>
        </is>
      </c>
    </row>
    <row r="27">
      <c r="A27" t="inlineStr">
        <is>
          <t>Israel</t>
        </is>
      </c>
      <c r="B27" t="n">
        <v>0.3565</v>
      </c>
      <c r="C27" t="n">
        <v>0.2901</v>
      </c>
      <c r="D27" t="n">
        <v>0.1225</v>
      </c>
      <c r="E27" t="n">
        <v>0.0626</v>
      </c>
      <c r="F27" s="14" t="inlineStr">
        <is>
          <t>Factsheet</t>
        </is>
      </c>
    </row>
    <row r="28">
      <c r="A28" t="inlineStr">
        <is>
          <t>United Arab Emirates</t>
        </is>
      </c>
      <c r="B28" t="n">
        <v>0.3232</v>
      </c>
      <c r="C28" t="n">
        <v>0.2014</v>
      </c>
      <c r="D28" t="n">
        <v>0.168</v>
      </c>
      <c r="E28" t="n">
        <v>0.0992</v>
      </c>
      <c r="F28" s="14" t="inlineStr">
        <is>
          <t>Factsheet</t>
        </is>
      </c>
    </row>
    <row r="29">
      <c r="A29" t="inlineStr">
        <is>
          <t>Norway</t>
        </is>
      </c>
      <c r="B29" t="n">
        <v>0.499</v>
      </c>
      <c r="C29" t="n">
        <v>0.2075</v>
      </c>
      <c r="D29" t="n">
        <v>0.1387</v>
      </c>
      <c r="E29" t="n">
        <v>0.1217</v>
      </c>
      <c r="F29" s="14" t="inlineStr">
        <is>
          <t>Factsheet</t>
        </is>
      </c>
    </row>
    <row r="30">
      <c r="A30" t="inlineStr">
        <is>
          <t>Malaysia</t>
        </is>
      </c>
      <c r="B30" t="n">
        <v>0.2869</v>
      </c>
      <c r="C30" t="n">
        <v>0.1456</v>
      </c>
      <c r="D30" t="n">
        <v>0.0569</v>
      </c>
      <c r="E30" t="n">
        <v>0.0376</v>
      </c>
      <c r="F30" s="14" t="inlineStr">
        <is>
          <t>Factsheet</t>
        </is>
      </c>
    </row>
    <row r="31">
      <c r="A31" t="inlineStr">
        <is>
          <t>Thailand</t>
        </is>
      </c>
      <c r="B31" t="n">
        <v>0.5594</v>
      </c>
      <c r="C31" t="n">
        <v>0.1008</v>
      </c>
      <c r="D31" t="n">
        <v>0.0511</v>
      </c>
      <c r="E31" t="n">
        <v>0.06619999999999999</v>
      </c>
      <c r="F31" s="14" t="inlineStr">
        <is>
          <t>Factsheet</t>
        </is>
      </c>
    </row>
    <row r="32">
      <c r="A32" t="inlineStr">
        <is>
          <t>Poland</t>
        </is>
      </c>
      <c r="B32" t="n">
        <v>0.5545</v>
      </c>
      <c r="C32" t="n">
        <v>0.3826</v>
      </c>
      <c r="D32" t="n">
        <v>0.175</v>
      </c>
      <c r="E32" t="n">
        <v>0.0979</v>
      </c>
      <c r="F32" s="14" t="inlineStr">
        <is>
          <t>Factsheet</t>
        </is>
      </c>
    </row>
    <row r="33">
      <c r="A33" t="inlineStr">
        <is>
          <t>Indonesia</t>
        </is>
      </c>
      <c r="B33" t="n">
        <v>0.1114</v>
      </c>
      <c r="C33" t="n">
        <v>-0.0583</v>
      </c>
      <c r="D33" t="n">
        <v>-0.0478</v>
      </c>
      <c r="E33" t="n">
        <v>-0.008500000000000001</v>
      </c>
      <c r="F33" s="14" t="inlineStr">
        <is>
          <t>Factsheet</t>
        </is>
      </c>
    </row>
    <row r="34">
      <c r="A34" t="inlineStr">
        <is>
          <t>Ireland</t>
        </is>
      </c>
      <c r="B34" t="n">
        <v>0.3189</v>
      </c>
      <c r="C34" t="n">
        <v>0.2425</v>
      </c>
      <c r="D34" t="n">
        <v>0.1278</v>
      </c>
      <c r="E34" t="n">
        <v>0.0961</v>
      </c>
      <c r="F34" s="14" t="inlineStr">
        <is>
          <t>Factsheet</t>
        </is>
      </c>
    </row>
    <row r="35">
      <c r="A35" t="inlineStr">
        <is>
          <t>Qatar</t>
        </is>
      </c>
      <c r="B35" t="n">
        <v>0.1133</v>
      </c>
      <c r="C35" t="n">
        <v>0.0621</v>
      </c>
      <c r="D35" t="n">
        <v>0.0558</v>
      </c>
      <c r="E35" t="n">
        <v>0.0457</v>
      </c>
      <c r="F35" s="14" t="inlineStr">
        <is>
          <t>Factsheet</t>
        </is>
      </c>
    </row>
    <row r="36">
      <c r="A36" t="inlineStr">
        <is>
          <t>Chile</t>
        </is>
      </c>
      <c r="B36" t="n">
        <v>0.6052999999999999</v>
      </c>
      <c r="C36" t="n">
        <v>0.1802</v>
      </c>
      <c r="D36" t="n">
        <v>0.09760000000000001</v>
      </c>
      <c r="E36" t="n">
        <v>0.0567</v>
      </c>
      <c r="F36" s="14" t="inlineStr">
        <is>
          <t>Factsheet</t>
        </is>
      </c>
    </row>
    <row r="37">
      <c r="A37" t="inlineStr">
        <is>
          <t>Greece</t>
        </is>
      </c>
      <c r="B37" t="n">
        <v>0.7397</v>
      </c>
      <c r="C37" t="n">
        <v>0.3742</v>
      </c>
      <c r="D37" t="n">
        <v>0.2873</v>
      </c>
      <c r="E37" t="n">
        <v>0.1375</v>
      </c>
      <c r="F37" s="14" t="inlineStr">
        <is>
          <t>Factsheet</t>
        </is>
      </c>
    </row>
    <row r="38">
      <c r="A38" t="inlineStr">
        <is>
          <t>Vietnam</t>
        </is>
      </c>
      <c r="B38" t="n">
        <v>0.6677</v>
      </c>
      <c r="C38" t="n">
        <v>0.202</v>
      </c>
      <c r="D38" t="n">
        <v>0.027</v>
      </c>
      <c r="E38" t="n">
        <v>0.08069999999999999</v>
      </c>
      <c r="F38" s="14" t="inlineStr">
        <is>
          <t>Factsheet</t>
        </is>
      </c>
    </row>
    <row r="39">
      <c r="A39" t="inlineStr">
        <is>
          <t>Austria</t>
        </is>
      </c>
      <c r="B39" t="n">
        <v>0.6887</v>
      </c>
      <c r="C39" t="n">
        <v>0.3271</v>
      </c>
      <c r="D39" t="n">
        <v>0.214</v>
      </c>
      <c r="E39" t="n">
        <v>0.1639</v>
      </c>
      <c r="F39" s="14" t="inlineStr">
        <is>
          <t>Factsheet</t>
        </is>
      </c>
    </row>
    <row r="40">
      <c r="A40" t="inlineStr">
        <is>
          <t>Turkey</t>
        </is>
      </c>
      <c r="B40" t="n">
        <v>0.2414</v>
      </c>
      <c r="C40" t="n">
        <v>0.115</v>
      </c>
      <c r="D40" t="n">
        <v>0.1445</v>
      </c>
      <c r="E40" t="n">
        <v>0.0312</v>
      </c>
      <c r="F40" s="14" t="inlineStr">
        <is>
          <t>Factsheet</t>
        </is>
      </c>
    </row>
    <row r="41">
      <c r="A41" t="inlineStr">
        <is>
          <t>Peru</t>
        </is>
      </c>
      <c r="B41" t="n">
        <v>1.3652</v>
      </c>
      <c r="C41" t="n">
        <v>0.5351</v>
      </c>
      <c r="D41" t="n">
        <v>0.2687</v>
      </c>
      <c r="E41" t="n">
        <v>0.2064</v>
      </c>
      <c r="F41" s="14" t="inlineStr">
        <is>
          <t>Factsheet</t>
        </is>
      </c>
    </row>
    <row r="42">
      <c r="A42" t="inlineStr">
        <is>
          <t>Portugal</t>
        </is>
      </c>
      <c r="B42" t="n">
        <v>0.5442</v>
      </c>
      <c r="C42" t="n">
        <v>0.09710000000000001</v>
      </c>
      <c r="D42" t="n">
        <v>0.0679</v>
      </c>
      <c r="E42" t="n">
        <v>0.09470000000000001</v>
      </c>
      <c r="F42" s="14" t="inlineStr">
        <is>
          <t>Factsheet</t>
        </is>
      </c>
    </row>
    <row r="43">
      <c r="A43" t="inlineStr">
        <is>
          <t>Philippines</t>
        </is>
      </c>
      <c r="B43" t="n">
        <v>0.2098</v>
      </c>
      <c r="C43" t="n">
        <v>0.0568</v>
      </c>
      <c r="D43" t="n">
        <v>0.01</v>
      </c>
      <c r="E43" t="n">
        <v>0.0102</v>
      </c>
      <c r="F43" s="14" t="inlineStr">
        <is>
          <t>Factsheet</t>
        </is>
      </c>
    </row>
    <row r="44">
      <c r="A44" t="inlineStr">
        <is>
          <t>New Zealand</t>
        </is>
      </c>
      <c r="B44" t="n">
        <v>0.2014</v>
      </c>
      <c r="C44" t="n">
        <v>0.0363</v>
      </c>
      <c r="D44" t="n">
        <v>-0.0146</v>
      </c>
      <c r="E44" t="n">
        <v>0.065</v>
      </c>
      <c r="F44" s="14" t="inlineStr">
        <is>
          <t>Factsheet</t>
        </is>
      </c>
    </row>
    <row r="45">
      <c r="A45" t="inlineStr">
        <is>
          <t>Hungary</t>
        </is>
      </c>
      <c r="B45" t="n">
        <v>0.8771</v>
      </c>
      <c r="C45" t="n">
        <v>0.4956</v>
      </c>
      <c r="D45" t="n">
        <v>0.2184</v>
      </c>
      <c r="E45" t="n">
        <v>0.1811</v>
      </c>
      <c r="F45" s="14" t="inlineStr">
        <is>
          <t>Factsheet</t>
        </is>
      </c>
    </row>
    <row r="46">
      <c r="A46" t="inlineStr">
        <is>
          <t>Argentina</t>
        </is>
      </c>
      <c r="B46" t="n">
        <v>0.0184</v>
      </c>
      <c r="C46" t="n">
        <v>0.4239</v>
      </c>
      <c r="D46" t="n">
        <v>0.4054</v>
      </c>
      <c r="E46" t="n">
        <v>0.143</v>
      </c>
      <c r="F46" s="14" t="inlineStr">
        <is>
          <t>Factsheet</t>
        </is>
      </c>
    </row>
    <row r="47">
      <c r="A47" t="inlineStr">
        <is>
          <t>Romania</t>
        </is>
      </c>
      <c r="B47" t="n">
        <v>0.8438</v>
      </c>
      <c r="C47" t="n">
        <v>0.4299</v>
      </c>
      <c r="D47" t="n">
        <v>0.2774</v>
      </c>
      <c r="E47" t="n">
        <v>0.2297</v>
      </c>
      <c r="F47" s="14" t="inlineStr">
        <is>
          <t>Factsheet</t>
        </is>
      </c>
    </row>
    <row r="48">
      <c r="A48" t="inlineStr">
        <is>
          <t>Morocco</t>
        </is>
      </c>
      <c r="B48" t="n">
        <v>0.1483</v>
      </c>
      <c r="C48" t="n">
        <v>0.242</v>
      </c>
      <c r="D48" t="n">
        <v>0.0873</v>
      </c>
      <c r="E48" t="n">
        <v>0.0912</v>
      </c>
      <c r="F48" s="14" t="inlineStr">
        <is>
          <t>Factsheet</t>
        </is>
      </c>
    </row>
    <row r="49">
      <c r="A49" t="inlineStr">
        <is>
          <t>Nigeria</t>
        </is>
      </c>
      <c r="B49" t="n">
        <v>1.0761</v>
      </c>
      <c r="C49" t="n">
        <v>-0.1738</v>
      </c>
      <c r="D49" t="n">
        <v>-0.074</v>
      </c>
      <c r="E49" t="n">
        <v>-0.0498</v>
      </c>
      <c r="F49" s="14" t="inlineStr">
        <is>
          <t>Factsheet</t>
        </is>
      </c>
    </row>
    <row r="50">
      <c r="A50" t="inlineStr">
        <is>
          <t>Colombia</t>
        </is>
      </c>
      <c r="B50" t="n">
        <v>0.8183</v>
      </c>
      <c r="C50" t="n">
        <v>0.489</v>
      </c>
      <c r="D50" t="n">
        <v>0.2162</v>
      </c>
      <c r="E50" t="n">
        <v>0.121</v>
      </c>
      <c r="F50" s="14" t="inlineStr">
        <is>
          <t>Factsheet</t>
        </is>
      </c>
    </row>
    <row r="51">
      <c r="A51" t="inlineStr">
        <is>
          <t>Kazakhstan</t>
        </is>
      </c>
      <c r="B51" t="n">
        <v>0.2535</v>
      </c>
      <c r="C51" t="n">
        <v>0.2659</v>
      </c>
      <c r="D51" t="n">
        <v>0.1938</v>
      </c>
      <c r="E51" t="n">
        <v>0.2263</v>
      </c>
      <c r="F51" s="14" t="inlineStr">
        <is>
          <t>Factsheet</t>
        </is>
      </c>
    </row>
    <row r="52">
      <c r="A52" t="inlineStr">
        <is>
          <t>Pakistan</t>
        </is>
      </c>
      <c r="B52" t="n">
        <v>0.4928</v>
      </c>
      <c r="C52" t="n">
        <v>0.5132</v>
      </c>
      <c r="D52" t="n">
        <v>0.0721</v>
      </c>
      <c r="E52" t="n">
        <v>-0.0073</v>
      </c>
      <c r="F52" s="14" t="inlineStr">
        <is>
          <t>Factsheet</t>
        </is>
      </c>
    </row>
    <row r="53">
      <c r="A53" t="inlineStr">
        <is>
          <t>Czech Republic</t>
        </is>
      </c>
      <c r="B53" t="n">
        <v>0.06850000000000001</v>
      </c>
      <c r="C53" t="n">
        <v>0.093</v>
      </c>
      <c r="D53" t="n">
        <v>0.1496</v>
      </c>
      <c r="E53" t="n">
        <v>0.08989999999999999</v>
      </c>
      <c r="F53" s="14" t="inlineStr">
        <is>
          <t>Factsheet</t>
        </is>
      </c>
    </row>
    <row r="54">
      <c r="A54" t="inlineStr">
        <is>
          <t>Egypt</t>
        </is>
      </c>
      <c r="B54" t="n">
        <v>0.9429</v>
      </c>
      <c r="C54" t="n">
        <v>0.2197</v>
      </c>
      <c r="D54" t="n">
        <v>0.0791</v>
      </c>
      <c r="E54" t="n">
        <v>0.0467</v>
      </c>
      <c r="F54" s="14" t="inlineStr">
        <is>
          <t>Factsheet</t>
        </is>
      </c>
    </row>
    <row r="55">
      <c r="A55" t="inlineStr">
        <is>
          <t>Bangladesh</t>
        </is>
      </c>
      <c r="B55" t="n">
        <v>0.0015</v>
      </c>
      <c r="C55" t="n">
        <v>-0.0584</v>
      </c>
      <c r="D55" t="n">
        <v>-0.08119999999999999</v>
      </c>
      <c r="E55" t="n">
        <v>-0.0383</v>
      </c>
      <c r="F55" s="14" t="inlineStr">
        <is>
          <t>Factsheet</t>
        </is>
      </c>
    </row>
    <row r="56">
      <c r="A56" t="inlineStr">
        <is>
          <t>Ukraine</t>
        </is>
      </c>
      <c r="B56" t="n">
        <v>0.0591</v>
      </c>
      <c r="C56" t="n">
        <v>0.156</v>
      </c>
      <c r="D56" t="n">
        <v>-0.0939</v>
      </c>
      <c r="E56" t="n">
        <v>-0.0293</v>
      </c>
      <c r="F56" s="14" t="inlineStr">
        <is>
          <t>Factsheet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2026-03-18T23:39:41Z</dcterms:created>
  <dcterms:modified xsi:type="dcterms:W3CDTF">2026-03-18T23:39:42Z</dcterms:modified>
</cp:coreProperties>
</file>