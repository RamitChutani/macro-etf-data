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name="Crude_Oil_Impact" sheetId="1" state="visible" r:id="rId1"/>
    <sheet name="ETF_Timeframes" sheetId="2" state="visible" r:id="rId2"/>
    <sheet name="Annual" sheetId="3" state="visible" r:id="rId3"/>
    <sheet name="CAGR" sheetId="4" state="visible" r:id="rId4"/>
    <sheet name="REER_Data" sheetId="5" state="visible" r:id="rId5"/>
    <sheet name="Lists" sheetId="6" state="hidden" r:id="rId6"/>
    <sheet name="Country_CAGR_Summary" sheetId="7" state="visible" r:id="rId7"/>
  </sheets>
  <definedNames>
    <definedName name="_xlnm._FilterDatabase" localSheetId="1" hidden="1">'ETF_Timeframes'!$A$1:$J$270</definedName>
    <definedName name="_xlnm._FilterDatabase" localSheetId="2" hidden="1">'Annual'!$A$1:$U$781</definedName>
    <definedName name="_xlnm._FilterDatabase" localSheetId="3" hidden="1">'CAGR'!$A$1:$Q$216</definedName>
    <definedName name="_xlnm._FilterDatabase" localSheetId="6" hidden="1">'Country_CAGR_Summary'!$A$5:$S$29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/>
    </xf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3" customWidth="1" min="3" max="3"/>
    <col width="21" customWidth="1" min="4" max="4"/>
    <col width="24" customWidth="1" min="5" max="5"/>
    <col width="23" customWidth="1" min="6" max="6"/>
    <col width="32" customWidth="1" min="7" max="7"/>
    <col width="25" customWidth="1" min="8" max="8"/>
    <col width="27" customWidth="1" min="9" max="9"/>
  </cols>
  <sheetData>
    <row r="1">
      <c r="A1" t="inlineStr">
        <is>
          <t>Country</t>
        </is>
      </c>
      <c r="B1" t="inlineStr">
        <is>
          <t>ISO3</t>
        </is>
      </c>
      <c r="C1" t="inlineStr">
        <is>
          <t>Year</t>
        </is>
      </c>
      <c r="D1" t="inlineStr">
        <is>
          <t>Qty (1000 MT)</t>
        </is>
      </c>
      <c r="E1" t="inlineStr">
        <is>
          <t>Qty (MT)</t>
        </is>
      </c>
      <c r="F1" t="inlineStr">
        <is>
          <t>Qty (Barrels)</t>
        </is>
      </c>
      <c r="G1" t="inlineStr">
        <is>
          <t>Value @ $10 Change (USD)</t>
        </is>
      </c>
      <c r="H1" t="inlineStr">
        <is>
          <t>Nominal GDP (USD)</t>
        </is>
      </c>
      <c r="I1" t="inlineStr">
        <is>
          <t>Impact (% of GDP)</t>
        </is>
      </c>
    </row>
    <row r="2">
      <c r="A2" t="inlineStr">
        <is>
          <t>Australia</t>
        </is>
      </c>
      <c r="B2" t="inlineStr">
        <is>
          <t>AUS</t>
        </is>
      </c>
      <c r="C2" t="n">
        <v>2024</v>
      </c>
      <c r="D2" t="n">
        <v>7872.206</v>
      </c>
      <c r="E2" t="n">
        <v>7872206</v>
      </c>
      <c r="F2" t="n">
        <v>59277711.18</v>
      </c>
      <c r="G2" t="n">
        <v>592777111.8</v>
      </c>
      <c r="H2" t="n">
        <v>1795492000000</v>
      </c>
      <c r="I2" s="1" t="n">
        <v>0.0330147453622739</v>
      </c>
    </row>
    <row r="3">
      <c r="A3" t="inlineStr">
        <is>
          <t>Brazil</t>
        </is>
      </c>
      <c r="B3" t="inlineStr">
        <is>
          <t>BRA</t>
        </is>
      </c>
      <c r="C3" t="n">
        <v>2024</v>
      </c>
      <c r="D3" t="n">
        <v>12896.168</v>
      </c>
      <c r="E3" t="n">
        <v>12896168</v>
      </c>
      <c r="F3" t="n">
        <v>97108145.04000001</v>
      </c>
      <c r="G3" t="n">
        <v>971081450.4</v>
      </c>
      <c r="H3" t="n">
        <v>2179413000000</v>
      </c>
      <c r="I3" s="1" t="n">
        <v>0.044557018353107</v>
      </c>
    </row>
    <row r="4">
      <c r="A4" t="inlineStr">
        <is>
          <t>Canada</t>
        </is>
      </c>
      <c r="B4" t="inlineStr">
        <is>
          <t>CAN</t>
        </is>
      </c>
      <c r="C4" t="n">
        <v>2024</v>
      </c>
      <c r="D4" t="n">
        <v>32557.561</v>
      </c>
      <c r="E4" t="n">
        <v>32557561</v>
      </c>
      <c r="F4" t="n">
        <v>245158434.33</v>
      </c>
      <c r="G4" t="n">
        <v>2451584343.3</v>
      </c>
      <c r="H4" t="n">
        <v>2243637000000</v>
      </c>
      <c r="I4" s="1" t="n">
        <v>0.1092683149413207</v>
      </c>
    </row>
    <row r="5">
      <c r="A5" t="inlineStr">
        <is>
          <t>Switzerland</t>
        </is>
      </c>
      <c r="B5" t="inlineStr">
        <is>
          <t>CHE</t>
        </is>
      </c>
      <c r="C5" t="n">
        <v>2024</v>
      </c>
      <c r="D5" t="n">
        <v>2529.677</v>
      </c>
      <c r="E5" t="n">
        <v>2529677</v>
      </c>
      <c r="F5" t="n">
        <v>19048467.81</v>
      </c>
      <c r="G5" t="n">
        <v>190484678.1</v>
      </c>
      <c r="H5" t="n">
        <v>938153000000</v>
      </c>
      <c r="I5" s="1" t="n">
        <v>0.0203042230958063</v>
      </c>
    </row>
    <row r="6">
      <c r="A6" t="inlineStr">
        <is>
          <t>China</t>
        </is>
      </c>
      <c r="B6" t="inlineStr">
        <is>
          <t>CHN</t>
        </is>
      </c>
      <c r="C6" t="n">
        <v>2024</v>
      </c>
      <c r="D6" t="n">
        <v>553420</v>
      </c>
      <c r="E6" t="n">
        <v>553420000</v>
      </c>
      <c r="F6" t="n">
        <v>4167252600</v>
      </c>
      <c r="G6" t="n">
        <v>41672526000</v>
      </c>
      <c r="H6" t="n">
        <v>18749759000000</v>
      </c>
      <c r="I6" s="1" t="n">
        <v>0.2222563287346786</v>
      </c>
    </row>
    <row r="7">
      <c r="A7" t="inlineStr">
        <is>
          <t>Germany</t>
        </is>
      </c>
      <c r="B7" t="inlineStr">
        <is>
          <t>DEU</t>
        </is>
      </c>
      <c r="C7" t="n">
        <v>2024</v>
      </c>
      <c r="D7" t="n">
        <v>83898</v>
      </c>
      <c r="E7" t="n">
        <v>83898000</v>
      </c>
      <c r="F7" t="n">
        <v>631751940</v>
      </c>
      <c r="G7" t="n">
        <v>6317519400</v>
      </c>
      <c r="H7" t="n">
        <v>4684182000000</v>
      </c>
      <c r="I7" s="1" t="n">
        <v>0.1348692130237467</v>
      </c>
    </row>
    <row r="8">
      <c r="A8" t="inlineStr">
        <is>
          <t>Spain</t>
        </is>
      </c>
      <c r="B8" t="inlineStr">
        <is>
          <t>ESP</t>
        </is>
      </c>
      <c r="C8" t="n">
        <v>2024</v>
      </c>
      <c r="D8" t="n">
        <v>64588.153</v>
      </c>
      <c r="E8" t="n">
        <v>64588153</v>
      </c>
      <c r="F8" t="n">
        <v>486348792.09</v>
      </c>
      <c r="G8" t="n">
        <v>4863487920.900001</v>
      </c>
      <c r="H8" t="n">
        <v>1725152000000</v>
      </c>
      <c r="I8" s="1" t="n">
        <v>0.2819164874109643</v>
      </c>
    </row>
    <row r="9">
      <c r="A9" t="inlineStr">
        <is>
          <t>France</t>
        </is>
      </c>
      <c r="B9" t="inlineStr">
        <is>
          <t>FRA</t>
        </is>
      </c>
      <c r="C9" t="n">
        <v>2024</v>
      </c>
      <c r="D9" t="n">
        <v>44577</v>
      </c>
      <c r="E9" t="n">
        <v>44577000</v>
      </c>
      <c r="F9" t="n">
        <v>335664810</v>
      </c>
      <c r="G9" t="n">
        <v>3356648100</v>
      </c>
      <c r="H9" t="n">
        <v>3160902000000</v>
      </c>
      <c r="I9" s="1" t="n">
        <v>0.1061927291640171</v>
      </c>
    </row>
    <row r="10">
      <c r="A10" t="inlineStr">
        <is>
          <t>United Kingdom</t>
        </is>
      </c>
      <c r="B10" t="inlineStr">
        <is>
          <t>GBR</t>
        </is>
      </c>
      <c r="C10" t="n">
        <v>2024</v>
      </c>
      <c r="D10" t="n">
        <v>41380</v>
      </c>
      <c r="E10" t="n">
        <v>41380000</v>
      </c>
      <c r="F10" t="n">
        <v>311591400</v>
      </c>
      <c r="G10" t="n">
        <v>3115914000</v>
      </c>
      <c r="H10" t="n">
        <v>3644636000000</v>
      </c>
      <c r="I10" s="1" t="n">
        <v>0.08549314664070699</v>
      </c>
    </row>
    <row r="11">
      <c r="A11" t="inlineStr">
        <is>
          <t>Indonesia</t>
        </is>
      </c>
      <c r="B11" t="inlineStr">
        <is>
          <t>IDN</t>
        </is>
      </c>
      <c r="C11" t="n">
        <v>2023</v>
      </c>
      <c r="D11" t="n">
        <v>17029</v>
      </c>
      <c r="E11" t="n">
        <v>17029000</v>
      </c>
      <c r="F11" t="n">
        <v>128228370</v>
      </c>
      <c r="G11" t="n">
        <v>1282283700</v>
      </c>
      <c r="H11" t="n">
        <v>1371169000000</v>
      </c>
      <c r="I11" s="1" t="n">
        <v>0.0935175532702387</v>
      </c>
    </row>
    <row r="12">
      <c r="A12" t="inlineStr">
        <is>
          <t>India</t>
        </is>
      </c>
      <c r="B12" t="inlineStr">
        <is>
          <t>IND</t>
        </is>
      </c>
      <c r="C12" t="n">
        <v>2023</v>
      </c>
      <c r="D12" t="n">
        <v>254032.094</v>
      </c>
      <c r="E12" t="n">
        <v>254032094</v>
      </c>
      <c r="F12" t="n">
        <v>1912861667.82</v>
      </c>
      <c r="G12" t="n">
        <v>19128616678.2</v>
      </c>
      <c r="H12" t="n">
        <v>3638490000000</v>
      </c>
      <c r="I12" s="1" t="n">
        <v>0.5257295383029773</v>
      </c>
    </row>
    <row r="13">
      <c r="A13" t="inlineStr">
        <is>
          <t>Japan</t>
        </is>
      </c>
      <c r="B13" t="inlineStr">
        <is>
          <t>JPN</t>
        </is>
      </c>
      <c r="C13" t="n">
        <v>2024</v>
      </c>
      <c r="D13" t="n">
        <v>116321.593</v>
      </c>
      <c r="E13" t="n">
        <v>116321593</v>
      </c>
      <c r="F13" t="n">
        <v>875901595.2900001</v>
      </c>
      <c r="G13" t="n">
        <v>8759015952.900002</v>
      </c>
      <c r="H13" t="n">
        <v>4019382000000</v>
      </c>
      <c r="I13" s="1" t="n">
        <v>0.2179194700304674</v>
      </c>
    </row>
    <row r="14">
      <c r="A14" t="inlineStr">
        <is>
          <t>South Korea</t>
        </is>
      </c>
      <c r="B14" t="inlineStr">
        <is>
          <t>KOR</t>
        </is>
      </c>
      <c r="C14" t="n">
        <v>2024</v>
      </c>
      <c r="D14" t="n">
        <v>137014.06</v>
      </c>
      <c r="E14" t="n">
        <v>137014060</v>
      </c>
      <c r="F14" t="n">
        <v>1031715871.8</v>
      </c>
      <c r="G14" t="n">
        <v>10317158718</v>
      </c>
      <c r="H14" t="n">
        <v>1875388000000</v>
      </c>
      <c r="I14" s="1" t="n">
        <v>0.5501346237685215</v>
      </c>
    </row>
    <row r="15">
      <c r="A15" t="inlineStr">
        <is>
          <t>Mexico</t>
        </is>
      </c>
      <c r="B15" t="inlineStr">
        <is>
          <t>MEX</t>
        </is>
      </c>
      <c r="C15" t="n">
        <v>2018</v>
      </c>
      <c r="D15" t="n">
        <v>192</v>
      </c>
      <c r="E15" t="n">
        <v>192000</v>
      </c>
      <c r="F15" t="n">
        <v>1445760</v>
      </c>
      <c r="G15" t="n">
        <v>14457600</v>
      </c>
      <c r="H15" t="n">
        <v>1256300000000</v>
      </c>
      <c r="I15" s="1" t="n">
        <v>0.0011508079280426</v>
      </c>
    </row>
    <row r="16">
      <c r="A16" t="inlineStr">
        <is>
          <t>Malaysia</t>
        </is>
      </c>
      <c r="B16" t="inlineStr">
        <is>
          <t>MYS</t>
        </is>
      </c>
      <c r="C16" t="n">
        <v>2023</v>
      </c>
      <c r="D16" t="n">
        <v>14609.904</v>
      </c>
      <c r="E16" t="n">
        <v>14609904</v>
      </c>
      <c r="F16" t="n">
        <v>110012577.12</v>
      </c>
      <c r="G16" t="n">
        <v>1100125771.2</v>
      </c>
      <c r="H16" t="n">
        <v>399949000000</v>
      </c>
      <c r="I16" s="1" t="n">
        <v>0.275066513780507</v>
      </c>
    </row>
    <row r="17">
      <c r="A17" t="inlineStr">
        <is>
          <t>Pakistan</t>
        </is>
      </c>
      <c r="B17" t="inlineStr">
        <is>
          <t>PAK</t>
        </is>
      </c>
      <c r="C17" t="n">
        <v>2023</v>
      </c>
      <c r="D17" t="n">
        <v>9054.535</v>
      </c>
      <c r="E17" t="n">
        <v>9054535</v>
      </c>
      <c r="F17" t="n">
        <v>68180648.55</v>
      </c>
      <c r="G17" t="n">
        <v>681806485.5</v>
      </c>
      <c r="H17" t="n">
        <v>336555000000</v>
      </c>
      <c r="I17" s="1" t="n">
        <v>0.2025839715648259</v>
      </c>
    </row>
    <row r="18">
      <c r="A18" t="inlineStr">
        <is>
          <t>Philippines</t>
        </is>
      </c>
      <c r="B18" t="inlineStr">
        <is>
          <t>PHL</t>
        </is>
      </c>
      <c r="C18" t="n">
        <v>2023</v>
      </c>
      <c r="D18" t="n">
        <v>6486.5</v>
      </c>
      <c r="E18" t="n">
        <v>6486500</v>
      </c>
      <c r="F18" t="n">
        <v>48843345</v>
      </c>
      <c r="G18" t="n">
        <v>488433450</v>
      </c>
      <c r="H18" t="n">
        <v>437055000000</v>
      </c>
      <c r="I18" s="1" t="n">
        <v>0.1117556028417476</v>
      </c>
    </row>
    <row r="19">
      <c r="A19" t="inlineStr">
        <is>
          <t>Poland</t>
        </is>
      </c>
      <c r="B19" t="inlineStr">
        <is>
          <t>POL</t>
        </is>
      </c>
      <c r="C19" t="n">
        <v>2024</v>
      </c>
      <c r="D19" t="n">
        <v>25522.757</v>
      </c>
      <c r="E19" t="n">
        <v>25522757</v>
      </c>
      <c r="F19" t="n">
        <v>192186360.21</v>
      </c>
      <c r="G19" t="n">
        <v>1921863602.1</v>
      </c>
      <c r="H19" t="n">
        <v>914553000000</v>
      </c>
      <c r="I19" s="1" t="n">
        <v>0.2101423976631206</v>
      </c>
    </row>
    <row r="20">
      <c r="A20" t="inlineStr">
        <is>
          <t>Thailand</t>
        </is>
      </c>
      <c r="B20" t="inlineStr">
        <is>
          <t>THA</t>
        </is>
      </c>
      <c r="C20" t="n">
        <v>2024</v>
      </c>
      <c r="D20" t="n">
        <v>48542.955326</v>
      </c>
      <c r="E20" t="n">
        <v>48542955.32600001</v>
      </c>
      <c r="F20" t="n">
        <v>365528453.6047801</v>
      </c>
      <c r="G20" t="n">
        <v>3655284536.047801</v>
      </c>
      <c r="H20" t="n">
        <v>526518000000</v>
      </c>
      <c r="I20" s="1" t="n">
        <v>0.694237335864643</v>
      </c>
    </row>
    <row r="21">
      <c r="A21" t="inlineStr">
        <is>
          <t>Turkey</t>
        </is>
      </c>
      <c r="B21" t="inlineStr">
        <is>
          <t>TUR</t>
        </is>
      </c>
      <c r="C21" t="n">
        <v>2024</v>
      </c>
      <c r="D21" t="n">
        <v>30024.609</v>
      </c>
      <c r="E21" t="n">
        <v>30024609</v>
      </c>
      <c r="F21" t="n">
        <v>226085305.77</v>
      </c>
      <c r="G21" t="n">
        <v>2260853057.7</v>
      </c>
      <c r="H21" t="n">
        <v>1358251000000</v>
      </c>
      <c r="I21" s="1" t="n">
        <v>0.1664532592061408</v>
      </c>
    </row>
    <row r="22">
      <c r="A22" t="inlineStr">
        <is>
          <t>United States</t>
        </is>
      </c>
      <c r="B22" t="inlineStr">
        <is>
          <t>USA</t>
        </is>
      </c>
      <c r="C22" t="n">
        <v>2024</v>
      </c>
      <c r="D22" t="n">
        <v>325827.7</v>
      </c>
      <c r="E22" t="n">
        <v>325827700</v>
      </c>
      <c r="F22" t="n">
        <v>2453482581</v>
      </c>
      <c r="G22" t="n">
        <v>24534825810</v>
      </c>
      <c r="H22" t="n">
        <v>29298025000000</v>
      </c>
      <c r="I22" s="1" t="n">
        <v>0.0837422516022837</v>
      </c>
    </row>
    <row r="23">
      <c r="A23" t="inlineStr">
        <is>
          <t>Vietnam</t>
        </is>
      </c>
      <c r="B23" t="inlineStr">
        <is>
          <t>VNM</t>
        </is>
      </c>
      <c r="C23" t="n">
        <v>2024</v>
      </c>
      <c r="D23" t="n">
        <v>13441</v>
      </c>
      <c r="E23" t="n">
        <v>13441000</v>
      </c>
      <c r="F23" t="n">
        <v>101210730</v>
      </c>
      <c r="G23" t="n">
        <v>1012107300</v>
      </c>
      <c r="H23" t="n">
        <v>459472000000</v>
      </c>
      <c r="I23" s="1" t="n">
        <v>0.2202761648152662</v>
      </c>
    </row>
    <row r="24">
      <c r="A24" t="inlineStr">
        <is>
          <t>South Africa</t>
        </is>
      </c>
      <c r="B24" t="inlineStr">
        <is>
          <t>ZAF</t>
        </is>
      </c>
      <c r="C24" t="n">
        <v>2023</v>
      </c>
      <c r="D24" t="n">
        <v>7261.813</v>
      </c>
      <c r="E24" t="n">
        <v>7261813</v>
      </c>
      <c r="F24" t="n">
        <v>54681451.89</v>
      </c>
      <c r="G24" t="n">
        <v>546814518.9</v>
      </c>
      <c r="H24" t="n">
        <v>381334000000</v>
      </c>
      <c r="I24" s="1" t="n">
        <v>0.1433951651046064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5" customWidth="1" min="3" max="3"/>
    <col width="17" customWidth="1" min="4" max="4"/>
    <col width="19" customWidth="1" min="5" max="5"/>
    <col width="19" customWidth="1" min="6" max="6"/>
    <col width="27" customWidth="1" min="7" max="7"/>
    <col width="27" customWidth="1" min="8" max="8"/>
    <col width="36" customWidth="1" min="9" max="9"/>
    <col width="20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2" t="n">
        <v>46022</v>
      </c>
      <c r="F2" s="2" t="n">
        <v>46086</v>
      </c>
      <c r="G2" t="n">
        <v>9.616757914782204</v>
      </c>
      <c r="H2" t="n">
        <v>8.821716256914524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2" t="n">
        <v>46058</v>
      </c>
      <c r="F3" s="2" t="n">
        <v>46086</v>
      </c>
      <c r="G3" t="n">
        <v>3.879990976765169</v>
      </c>
      <c r="H3" t="n">
        <v>1.78565190971065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2" t="n">
        <v>45996</v>
      </c>
      <c r="F4" s="2" t="n">
        <v>46086</v>
      </c>
      <c r="G4" t="n">
        <v>10.63063063063063</v>
      </c>
      <c r="H4" t="n">
        <v>11.02702536309996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2" t="n">
        <v>45905</v>
      </c>
      <c r="F5" s="2" t="n">
        <v>46086</v>
      </c>
      <c r="G5" t="n">
        <v>9.852099236641209</v>
      </c>
      <c r="H5" t="n">
        <v>9.23966491699877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2" t="n">
        <v>45721</v>
      </c>
      <c r="F6" s="2" t="n">
        <v>46086</v>
      </c>
      <c r="G6" t="n">
        <v>18.44135802469133</v>
      </c>
      <c r="H6" t="n">
        <v>23.76668955209438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2" t="n">
        <v>44988</v>
      </c>
      <c r="F7" s="2" t="n">
        <v>46086</v>
      </c>
      <c r="G7" t="n">
        <v>2.721391925050187</v>
      </c>
      <c r="H7" t="n">
        <v>14.90837302748447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2" t="n">
        <v>44260</v>
      </c>
      <c r="F8" s="2" t="n">
        <v>46086</v>
      </c>
      <c r="G8" t="n">
        <v>47.64347547290797</v>
      </c>
      <c r="H8" t="n">
        <v>42.06912818760244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2" t="n">
        <v>42433</v>
      </c>
      <c r="F9" s="2" t="n">
        <v>46086</v>
      </c>
      <c r="G9" t="n">
        <v>143.3610780816488</v>
      </c>
      <c r="H9" t="n">
        <v>129.5332126730954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2" t="n">
        <v>40203</v>
      </c>
      <c r="F10" s="2" t="n">
        <v>46086</v>
      </c>
      <c r="G10" t="n">
        <v>213.807539734035</v>
      </c>
      <c r="H10" t="n">
        <v>158.1800042384152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2" t="n">
        <v>46022</v>
      </c>
      <c r="F11" s="2" t="n">
        <v>46086</v>
      </c>
      <c r="G11" t="n">
        <v>15.17352703793382</v>
      </c>
      <c r="H11" t="n">
        <v>14.33818257399799</v>
      </c>
      <c r="I11" t="inlineStr">
        <is>
          <t>Brazil|XMBR.L|YTD</t>
        </is>
      </c>
      <c r="J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2" t="n">
        <v>46058</v>
      </c>
      <c r="F12" s="2" t="n">
        <v>46086</v>
      </c>
      <c r="G12" t="n">
        <v>-0.2197582659074993</v>
      </c>
      <c r="H12" t="n">
        <v>-2.231441713498428</v>
      </c>
      <c r="I12" t="inlineStr">
        <is>
          <t>Brazil|XMBR.L|1 Month</t>
        </is>
      </c>
      <c r="J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2" t="n">
        <v>45996</v>
      </c>
      <c r="F13" s="2" t="n">
        <v>46086</v>
      </c>
      <c r="G13" t="n">
        <v>12.48873873873875</v>
      </c>
      <c r="H13" t="n">
        <v>12.8917911596097</v>
      </c>
      <c r="I13" t="inlineStr">
        <is>
          <t>Brazil|XMBR.L|3 Months</t>
        </is>
      </c>
      <c r="J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2" t="n">
        <v>45905</v>
      </c>
      <c r="F14" s="2" t="n">
        <v>46086</v>
      </c>
      <c r="G14" t="n">
        <v>29.76097687711092</v>
      </c>
      <c r="H14" t="n">
        <v>29.03754895773474</v>
      </c>
      <c r="I14" t="inlineStr">
        <is>
          <t>Brazil|XMBR.L|6 Months</t>
        </is>
      </c>
      <c r="J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2" t="n">
        <v>45721</v>
      </c>
      <c r="F15" s="2" t="n">
        <v>46086</v>
      </c>
      <c r="G15" t="n">
        <v>52.38749046529367</v>
      </c>
      <c r="H15" t="n">
        <v>59.23909974173816</v>
      </c>
      <c r="I15" t="inlineStr">
        <is>
          <t>Brazil|XMBR.L|1 Year</t>
        </is>
      </c>
      <c r="J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2" t="n">
        <v>44988</v>
      </c>
      <c r="F16" s="2" t="n">
        <v>46086</v>
      </c>
      <c r="G16" t="n">
        <v>45.56980472165548</v>
      </c>
      <c r="H16" t="n">
        <v>62.840369557092</v>
      </c>
      <c r="I16" t="inlineStr">
        <is>
          <t>Brazil|XMBR.L|3 Years</t>
        </is>
      </c>
      <c r="J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2" t="n">
        <v>44260</v>
      </c>
      <c r="F17" s="2" t="n">
        <v>46086</v>
      </c>
      <c r="G17" t="n">
        <v>73.45025177982288</v>
      </c>
      <c r="H17" t="n">
        <v>66.90155779217805</v>
      </c>
      <c r="I17" t="inlineStr">
        <is>
          <t>Brazil|XMBR.L|5 Years</t>
        </is>
      </c>
      <c r="J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2" t="n">
        <v>42433</v>
      </c>
      <c r="F18" s="2" t="n">
        <v>46086</v>
      </c>
      <c r="G18" t="n">
        <v>162.2128888305552</v>
      </c>
      <c r="H18" t="n">
        <v>147.3138566446424</v>
      </c>
      <c r="I18" t="inlineStr">
        <is>
          <t>Brazil|XMBR.L|10 Years</t>
        </is>
      </c>
      <c r="J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2" t="n">
        <v>39818</v>
      </c>
      <c r="F19" s="2" t="n">
        <v>46086</v>
      </c>
      <c r="G19" t="n">
        <v>118.4505224239515</v>
      </c>
      <c r="H19" t="n">
        <v>98.46210284411963</v>
      </c>
      <c r="I19" t="inlineStr">
        <is>
          <t>Brazil|XMBR.L|MAX</t>
        </is>
      </c>
      <c r="J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2" t="n">
        <v>46022</v>
      </c>
      <c r="F20" s="2" t="n">
        <v>46086</v>
      </c>
      <c r="G20" t="n">
        <v>5.565434709472772</v>
      </c>
      <c r="H20" t="n">
        <v>4.799776977739922</v>
      </c>
      <c r="I20" t="inlineStr">
        <is>
          <t>Canada|CSCA.L|YTD</t>
        </is>
      </c>
      <c r="J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2" t="n">
        <v>46058</v>
      </c>
      <c r="F21" s="2" t="n">
        <v>46086</v>
      </c>
      <c r="G21" t="n">
        <v>5.91667470344297</v>
      </c>
      <c r="H21" t="n">
        <v>3.781273770133864</v>
      </c>
      <c r="I21" t="inlineStr">
        <is>
          <t>Canada|CSCA.L|1 Month</t>
        </is>
      </c>
      <c r="J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2" t="n">
        <v>45996</v>
      </c>
      <c r="F22" s="2" t="n">
        <v>46086</v>
      </c>
      <c r="G22" t="n">
        <v>7.439835648601067</v>
      </c>
      <c r="H22" t="n">
        <v>7.824797613164658</v>
      </c>
      <c r="I22" t="inlineStr">
        <is>
          <t>Canada|CSCA.L|3 Months</t>
        </is>
      </c>
      <c r="J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2" t="n">
        <v>45905</v>
      </c>
      <c r="F23" s="2" t="n">
        <v>46086</v>
      </c>
      <c r="G23" t="n">
        <v>18.10727248286062</v>
      </c>
      <c r="H23" t="n">
        <v>17.44881490607779</v>
      </c>
      <c r="I23" t="inlineStr">
        <is>
          <t>Canada|CSCA.L|6 Months</t>
        </is>
      </c>
      <c r="J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2" t="n">
        <v>45721</v>
      </c>
      <c r="F24" s="2" t="n">
        <v>46086</v>
      </c>
      <c r="G24" t="n">
        <v>38.32735058882801</v>
      </c>
      <c r="H24" t="n">
        <v>44.54679127642341</v>
      </c>
      <c r="I24" t="inlineStr">
        <is>
          <t>Canada|CSCA.L|1 Year</t>
        </is>
      </c>
      <c r="J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2" t="n">
        <v>44988</v>
      </c>
      <c r="F25" s="2" t="n">
        <v>46086</v>
      </c>
      <c r="G25" t="n">
        <v>55.80776733463382</v>
      </c>
      <c r="H25" t="n">
        <v>74.29297553260218</v>
      </c>
      <c r="I25" t="inlineStr">
        <is>
          <t>Canada|CSCA.L|3 Years</t>
        </is>
      </c>
      <c r="J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2" t="n">
        <v>44260</v>
      </c>
      <c r="F26" s="2" t="n">
        <v>46086</v>
      </c>
      <c r="G26" t="n">
        <v>98.79627115576071</v>
      </c>
      <c r="H26" t="n">
        <v>91.29062655550663</v>
      </c>
      <c r="I26" t="inlineStr">
        <is>
          <t>Canada|CSCA.L|5 Years</t>
        </is>
      </c>
      <c r="J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2" t="n">
        <v>42433</v>
      </c>
      <c r="F27" s="2" t="n">
        <v>46086</v>
      </c>
      <c r="G27" t="n">
        <v>220.7740051113545</v>
      </c>
      <c r="H27" t="n">
        <v>202.5475088934413</v>
      </c>
      <c r="I27" t="inlineStr">
        <is>
          <t>Canada|CSCA.L|10 Years</t>
        </is>
      </c>
      <c r="J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2" t="n">
        <v>40192</v>
      </c>
      <c r="F28" s="2" t="n">
        <v>46086</v>
      </c>
      <c r="G28" t="n">
        <v>115.3819871767618</v>
      </c>
      <c r="H28" t="n">
        <v>76.29204446718876</v>
      </c>
      <c r="I28" t="inlineStr">
        <is>
          <t>Canada|CSCA.L|MAX</t>
        </is>
      </c>
      <c r="J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2" t="n">
        <v>46022</v>
      </c>
      <c r="F29" s="2" t="n">
        <v>46086</v>
      </c>
      <c r="G29" t="n">
        <v>3.055038823797851</v>
      </c>
      <c r="H29" t="n">
        <v>2.30758879447126</v>
      </c>
      <c r="I29" t="inlineStr">
        <is>
          <t>China|IASH.L|YTD</t>
        </is>
      </c>
      <c r="J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2" t="n">
        <v>46058</v>
      </c>
      <c r="F30" s="2" t="n">
        <v>46086</v>
      </c>
      <c r="G30" t="n">
        <v>1.726519361274947</v>
      </c>
      <c r="H30" t="n">
        <v>-0.3244032625193571</v>
      </c>
      <c r="I30" t="inlineStr">
        <is>
          <t>China|IASH.L|1 Month</t>
        </is>
      </c>
      <c r="J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2" t="n">
        <v>45996</v>
      </c>
      <c r="F31" s="2" t="n">
        <v>46086</v>
      </c>
      <c r="G31" t="n">
        <v>4.814987547221361</v>
      </c>
      <c r="H31" t="n">
        <v>5.190544558066557</v>
      </c>
      <c r="I31" t="inlineStr">
        <is>
          <t>China|IASH.L|3 Months</t>
        </is>
      </c>
      <c r="J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2" t="n">
        <v>45905</v>
      </c>
      <c r="F32" s="2" t="n">
        <v>46086</v>
      </c>
      <c r="G32" t="n">
        <v>10.18576420568385</v>
      </c>
      <c r="H32" t="n">
        <v>9.571469676908183</v>
      </c>
      <c r="I32" t="inlineStr">
        <is>
          <t>China|IASH.L|6 Months</t>
        </is>
      </c>
      <c r="J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2" t="n">
        <v>45721</v>
      </c>
      <c r="F33" s="2" t="n">
        <v>46086</v>
      </c>
      <c r="G33" t="n">
        <v>23.34961448610871</v>
      </c>
      <c r="H33" t="n">
        <v>28.8956298465451</v>
      </c>
      <c r="I33" t="inlineStr">
        <is>
          <t>China|IASH.L|1 Year</t>
        </is>
      </c>
      <c r="J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2" t="n">
        <v>44988</v>
      </c>
      <c r="F34" s="2" t="n">
        <v>46086</v>
      </c>
      <c r="G34" t="n">
        <v>4.111198300765206</v>
      </c>
      <c r="H34" t="n">
        <v>16.46306758977352</v>
      </c>
      <c r="I34" t="inlineStr">
        <is>
          <t>China|IASH.L|3 Years</t>
        </is>
      </c>
      <c r="J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2" t="n">
        <v>44260</v>
      </c>
      <c r="F35" s="2" t="n">
        <v>46086</v>
      </c>
      <c r="G35" t="n">
        <v>-1.974266667587343</v>
      </c>
      <c r="H35" t="n">
        <v>-5.675273290070204</v>
      </c>
      <c r="I35" t="inlineStr">
        <is>
          <t>China|IASH.L|5 Years</t>
        </is>
      </c>
      <c r="J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2" t="n">
        <v>42433</v>
      </c>
      <c r="F36" s="2" t="n">
        <v>46086</v>
      </c>
      <c r="G36" t="n">
        <v>75.67083622955116</v>
      </c>
      <c r="H36" t="n">
        <v>65.68915510478529</v>
      </c>
      <c r="I36" t="inlineStr">
        <is>
          <t>China|IASH.L|10 Years</t>
        </is>
      </c>
      <c r="J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2" t="n">
        <v>42103</v>
      </c>
      <c r="F37" s="2" t="n">
        <v>46086</v>
      </c>
      <c r="G37" t="n">
        <v>-13.52250608679366</v>
      </c>
      <c r="H37" t="n">
        <v>-22.2931475722552</v>
      </c>
      <c r="I37" t="inlineStr">
        <is>
          <t>China|IASH.L|MAX</t>
        </is>
      </c>
      <c r="J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2" t="n">
        <v>46022</v>
      </c>
      <c r="F38" s="2" t="n">
        <v>46086</v>
      </c>
      <c r="G38" t="n">
        <v>-0.8296460176991149</v>
      </c>
      <c r="H38" t="n">
        <v>-1.54892073573728</v>
      </c>
      <c r="I38" t="inlineStr">
        <is>
          <t>France|ISFR.L|YTD</t>
        </is>
      </c>
      <c r="J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2" t="n">
        <v>46058</v>
      </c>
      <c r="F39" s="2" t="n">
        <v>46086</v>
      </c>
      <c r="G39" t="n">
        <v>-1.986151603498554</v>
      </c>
      <c r="H39" t="n">
        <v>-3.962222547276983</v>
      </c>
      <c r="I39" t="inlineStr">
        <is>
          <t>France|ISFR.L|1 Month</t>
        </is>
      </c>
      <c r="J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2" t="n">
        <v>45996</v>
      </c>
      <c r="F40" s="2" t="n">
        <v>46086</v>
      </c>
      <c r="G40" t="n">
        <v>-0.4534098269640019</v>
      </c>
      <c r="H40" t="n">
        <v>-0.09672973072897273</v>
      </c>
      <c r="I40" t="inlineStr">
        <is>
          <t>France|ISFR.L|3 Months</t>
        </is>
      </c>
      <c r="J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2" t="n">
        <v>45905</v>
      </c>
      <c r="F41" s="2" t="n">
        <v>46086</v>
      </c>
      <c r="G41" t="n">
        <v>5.750516071955181</v>
      </c>
      <c r="H41" t="n">
        <v>5.16094840950343</v>
      </c>
      <c r="I41" t="inlineStr">
        <is>
          <t>France|ISFR.L|6 Months</t>
        </is>
      </c>
      <c r="J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2" t="n">
        <v>45721</v>
      </c>
      <c r="F42" s="2" t="n">
        <v>46086</v>
      </c>
      <c r="G42" t="n">
        <v>5.750516071955181</v>
      </c>
      <c r="H42" t="n">
        <v>10.50524505065977</v>
      </c>
      <c r="I42" t="inlineStr">
        <is>
          <t>France|ISFR.L|1 Year</t>
        </is>
      </c>
      <c r="J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2" t="n">
        <v>44988</v>
      </c>
      <c r="F43" s="2" t="n">
        <v>46086</v>
      </c>
      <c r="G43" t="n">
        <v>17.31094269669047</v>
      </c>
      <c r="H43" t="n">
        <v>31.22884445951375</v>
      </c>
      <c r="I43" t="inlineStr">
        <is>
          <t>France|ISFR.L|3 Years</t>
        </is>
      </c>
      <c r="J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2" t="n">
        <v>44260</v>
      </c>
      <c r="F44" s="2" t="n">
        <v>46086</v>
      </c>
      <c r="G44" t="n">
        <v>57.5225126290358</v>
      </c>
      <c r="H44" t="n">
        <v>51.57517775469997</v>
      </c>
      <c r="I44" t="inlineStr">
        <is>
          <t>France|ISFR.L|5 Years</t>
        </is>
      </c>
      <c r="J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2" t="n">
        <v>42433</v>
      </c>
      <c r="F45" s="2" t="n">
        <v>46086</v>
      </c>
      <c r="G45" t="n">
        <v>166.2212323682257</v>
      </c>
      <c r="H45" t="n">
        <v>151.0944446373957</v>
      </c>
      <c r="I45" t="inlineStr">
        <is>
          <t>France|ISFR.L|10 Years</t>
        </is>
      </c>
      <c r="J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2" t="n">
        <v>41890</v>
      </c>
      <c r="F46" s="2" t="n">
        <v>46086</v>
      </c>
      <c r="G46" t="n">
        <v>116.0310439200558</v>
      </c>
      <c r="H46" t="n">
        <v>78.14901107977239</v>
      </c>
      <c r="I46" t="inlineStr">
        <is>
          <t>France|ISFR.L|MAX</t>
        </is>
      </c>
      <c r="J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t="inlineStr">
        <is>
          <t>YTD</t>
        </is>
      </c>
      <c r="E47" s="2" t="n">
        <v>46021</v>
      </c>
      <c r="F47" s="2" t="n">
        <v>46092</v>
      </c>
      <c r="G47" t="n">
        <v>-3.639497305382822</v>
      </c>
      <c r="H47" t="n">
        <v>-4.962011665854648</v>
      </c>
      <c r="I47" t="inlineStr">
        <is>
          <t>Germany|EXS1.DE|YTD</t>
        </is>
      </c>
      <c r="J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t="inlineStr">
        <is>
          <t>1 Month</t>
        </is>
      </c>
      <c r="E48" s="2" t="n">
        <v>46064</v>
      </c>
      <c r="F48" s="2" t="n">
        <v>46092</v>
      </c>
      <c r="G48" t="n">
        <v>-4.880891315063596</v>
      </c>
      <c r="H48" t="n">
        <v>-7.107485517863877</v>
      </c>
      <c r="I48" t="inlineStr">
        <is>
          <t>Germany|EXS1.DE|1 Month</t>
        </is>
      </c>
      <c r="J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t="inlineStr">
        <is>
          <t>3 Months</t>
        </is>
      </c>
      <c r="E49" s="2" t="n">
        <v>46002</v>
      </c>
      <c r="F49" s="2" t="n">
        <v>46092</v>
      </c>
      <c r="G49" t="n">
        <v>-2.777637931871135</v>
      </c>
      <c r="H49" t="n">
        <v>-3.524952617083066</v>
      </c>
      <c r="I49" t="inlineStr">
        <is>
          <t>Germany|EXS1.DE|3 Months</t>
        </is>
      </c>
      <c r="J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EXS1.DE</t>
        </is>
      </c>
      <c r="D50" t="inlineStr">
        <is>
          <t>6 Months</t>
        </is>
      </c>
      <c r="E50" s="2" t="n">
        <v>45911</v>
      </c>
      <c r="F50" s="2" t="n">
        <v>46092</v>
      </c>
      <c r="G50" t="n">
        <v>-0.3767771167880407</v>
      </c>
      <c r="H50" t="n">
        <v>-1.161064125314559</v>
      </c>
      <c r="I50" t="inlineStr">
        <is>
          <t>Germany|EXS1.DE|6 Months</t>
        </is>
      </c>
      <c r="J50" t="inlineStr">
        <is>
          <t>EUR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EXS1.DE</t>
        </is>
      </c>
      <c r="D51" t="inlineStr">
        <is>
          <t>1 Year</t>
        </is>
      </c>
      <c r="E51" s="2" t="n">
        <v>45727</v>
      </c>
      <c r="F51" s="2" t="n">
        <v>46092</v>
      </c>
      <c r="G51" t="n">
        <v>5.374844560530745</v>
      </c>
      <c r="H51" t="n">
        <v>12.87879817434059</v>
      </c>
      <c r="I51" t="inlineStr">
        <is>
          <t>Germany|EXS1.DE|1 Year</t>
        </is>
      </c>
      <c r="J51" t="inlineStr">
        <is>
          <t>EUR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EXS1.DE</t>
        </is>
      </c>
      <c r="D52" t="inlineStr">
        <is>
          <t>3 Years</t>
        </is>
      </c>
      <c r="E52" s="2" t="n">
        <v>44995</v>
      </c>
      <c r="F52" s="2" t="n">
        <v>46092</v>
      </c>
      <c r="G52" t="n">
        <v>50.64674800301133</v>
      </c>
      <c r="H52" t="n">
        <v>65.25784303894275</v>
      </c>
      <c r="I52" t="inlineStr">
        <is>
          <t>Germany|EXS1.DE|3 Years</t>
        </is>
      </c>
      <c r="J52" t="inlineStr">
        <is>
          <t>EUR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EXS1.DE</t>
        </is>
      </c>
      <c r="D53" t="inlineStr">
        <is>
          <t>5 Years</t>
        </is>
      </c>
      <c r="E53" s="2" t="n">
        <v>44266</v>
      </c>
      <c r="F53" s="2" t="n">
        <v>46092</v>
      </c>
      <c r="G53" t="n">
        <v>57.68858863212854</v>
      </c>
      <c r="H53" t="n">
        <v>53.52678573053322</v>
      </c>
      <c r="I53" t="inlineStr">
        <is>
          <t>Germany|EXS1.DE|5 Years</t>
        </is>
      </c>
      <c r="J53" t="inlineStr">
        <is>
          <t>EUR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EXS1.DE</t>
        </is>
      </c>
      <c r="D54" t="inlineStr">
        <is>
          <t>10 Years</t>
        </is>
      </c>
      <c r="E54" s="2" t="n">
        <v>42440</v>
      </c>
      <c r="F54" s="2" t="n">
        <v>46092</v>
      </c>
      <c r="G54" t="n">
        <v>125.5446728093479</v>
      </c>
      <c r="H54" t="n">
        <v>134.2785771574948</v>
      </c>
      <c r="I54" t="inlineStr">
        <is>
          <t>Germany|EXS1.DE|10 Years</t>
        </is>
      </c>
      <c r="J54" t="inlineStr">
        <is>
          <t>EUR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EXS1.DE</t>
        </is>
      </c>
      <c r="D55" t="inlineStr">
        <is>
          <t>MAX</t>
        </is>
      </c>
      <c r="E55" s="2" t="n">
        <v>39450</v>
      </c>
      <c r="F55" s="2" t="n">
        <v>46092</v>
      </c>
      <c r="G55" t="n">
        <v>159.6682251152382</v>
      </c>
      <c r="H55" t="n">
        <v>104.4831096559654</v>
      </c>
      <c r="I55" t="inlineStr">
        <is>
          <t>Germany|EXS1.DE|MAX</t>
        </is>
      </c>
      <c r="J55" t="inlineStr">
        <is>
          <t>EUR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YTD</t>
        </is>
      </c>
      <c r="E56" s="2" t="n">
        <v>46022</v>
      </c>
      <c r="F56" s="2" t="n">
        <v>46086</v>
      </c>
      <c r="G56" t="n">
        <v>-3.457897359242645</v>
      </c>
      <c r="H56" t="n">
        <v>-4.15810957859335</v>
      </c>
      <c r="I56" t="inlineStr">
        <is>
          <t>Germany|XDAX.L|YTD</t>
        </is>
      </c>
      <c r="J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1 Month</t>
        </is>
      </c>
      <c r="E57" s="2" t="n">
        <v>46058</v>
      </c>
      <c r="F57" s="2" t="n">
        <v>46086</v>
      </c>
      <c r="G57" t="n">
        <v>-2.843102843102852</v>
      </c>
      <c r="H57" t="n">
        <v>-4.801896672753836</v>
      </c>
      <c r="I57" t="inlineStr">
        <is>
          <t>Germany|XDAX.L|1 Month</t>
        </is>
      </c>
      <c r="J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3 Months</t>
        </is>
      </c>
      <c r="E58" s="2" t="n">
        <v>45996</v>
      </c>
      <c r="F58" s="2" t="n">
        <v>46086</v>
      </c>
      <c r="G58" t="n">
        <v>-1.504676697844654</v>
      </c>
      <c r="H58" t="n">
        <v>-1.151763340058654</v>
      </c>
      <c r="I58" t="inlineStr">
        <is>
          <t>Germany|XDAX.L|3 Months</t>
        </is>
      </c>
      <c r="J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6 Months</t>
        </is>
      </c>
      <c r="E59" s="2" t="n">
        <v>45905</v>
      </c>
      <c r="F59" s="2" t="n">
        <v>46086</v>
      </c>
      <c r="G59" t="n">
        <v>0.9271799145744275</v>
      </c>
      <c r="H59" t="n">
        <v>0.3645027405018597</v>
      </c>
      <c r="I59" t="inlineStr">
        <is>
          <t>Germany|XDAX.L|6 Months</t>
        </is>
      </c>
      <c r="J59" t="inlineStr">
        <is>
          <t>GBp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1 Year</t>
        </is>
      </c>
      <c r="E60" s="2" t="n">
        <v>45721</v>
      </c>
      <c r="F60" s="2" t="n">
        <v>46086</v>
      </c>
      <c r="G60" t="n">
        <v>6.479089959883488</v>
      </c>
      <c r="H60" t="n">
        <v>11.26657690050386</v>
      </c>
      <c r="I60" t="inlineStr">
        <is>
          <t>Germany|XDAX.L|1 Year</t>
        </is>
      </c>
      <c r="J60" t="inlineStr">
        <is>
          <t>GBp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3 Years</t>
        </is>
      </c>
      <c r="E61" s="2" t="n">
        <v>44988</v>
      </c>
      <c r="F61" s="2" t="n">
        <v>46086</v>
      </c>
      <c r="G61" t="n">
        <v>47.75049565350009</v>
      </c>
      <c r="H61" t="n">
        <v>65.27978010593742</v>
      </c>
      <c r="I61" t="inlineStr">
        <is>
          <t>Germany|XDAX.L|3 Years</t>
        </is>
      </c>
      <c r="J61" t="inlineStr">
        <is>
          <t>GBp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5 Years</t>
        </is>
      </c>
      <c r="E62" s="2" t="n">
        <v>44260</v>
      </c>
      <c r="F62" s="2" t="n">
        <v>46086</v>
      </c>
      <c r="G62" t="n">
        <v>68.12147505422992</v>
      </c>
      <c r="H62" t="n">
        <v>61.77397148139461</v>
      </c>
      <c r="I62" t="inlineStr">
        <is>
          <t>Germany|XDAX.L|5 Years</t>
        </is>
      </c>
      <c r="J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10 Years</t>
        </is>
      </c>
      <c r="E63" s="2" t="n">
        <v>42433</v>
      </c>
      <c r="F63" s="2" t="n">
        <v>46086</v>
      </c>
      <c r="G63" t="n">
        <v>100.8712340106043</v>
      </c>
      <c r="H63" t="n">
        <v>89.45765707281326</v>
      </c>
      <c r="I63" t="inlineStr">
        <is>
          <t>Germany|XDAX.L|10 Years</t>
        </is>
      </c>
      <c r="J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MAX</t>
        </is>
      </c>
      <c r="E64" s="2" t="n">
        <v>39818</v>
      </c>
      <c r="F64" s="2" t="n">
        <v>46086</v>
      </c>
      <c r="G64" t="n">
        <v>289.4164657942081</v>
      </c>
      <c r="H64" t="n">
        <v>253.7845083915902</v>
      </c>
      <c r="I64" t="inlineStr">
        <is>
          <t>Germany|XDAX.L|MAX</t>
        </is>
      </c>
      <c r="J64" t="inlineStr">
        <is>
          <t>GBp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LYINR.SW</t>
        </is>
      </c>
      <c r="D65" t="inlineStr">
        <is>
          <t>YTD</t>
        </is>
      </c>
      <c r="E65" s="2" t="n">
        <v>46021</v>
      </c>
      <c r="F65" s="2" t="n">
        <v>46092</v>
      </c>
      <c r="G65" t="n">
        <v>-9.500225647350558</v>
      </c>
      <c r="H65" t="n">
        <v>-9.500225647350558</v>
      </c>
      <c r="I65" t="inlineStr">
        <is>
          <t>India|LYINR.SW|YTD</t>
        </is>
      </c>
      <c r="J65" t="inlineStr">
        <is>
          <t>USD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LYINR.SW</t>
        </is>
      </c>
      <c r="D66" t="inlineStr">
        <is>
          <t>1 Month</t>
        </is>
      </c>
      <c r="E66" s="2" t="n">
        <v>46064</v>
      </c>
      <c r="F66" s="2" t="n">
        <v>46092</v>
      </c>
      <c r="G66" t="n">
        <v>-9.007462991263937</v>
      </c>
      <c r="H66" t="n">
        <v>-9.007462991263937</v>
      </c>
      <c r="I66" t="inlineStr">
        <is>
          <t>India|LYINR.SW|1 Month</t>
        </is>
      </c>
      <c r="J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LYINR.SW</t>
        </is>
      </c>
      <c r="D67" t="inlineStr">
        <is>
          <t>3 Months</t>
        </is>
      </c>
      <c r="E67" s="2" t="n">
        <v>46002</v>
      </c>
      <c r="F67" s="2" t="n">
        <v>46092</v>
      </c>
      <c r="G67" t="n">
        <v>-8.193372282245214</v>
      </c>
      <c r="H67" t="n">
        <v>-8.193372282245214</v>
      </c>
      <c r="I67" t="inlineStr">
        <is>
          <t>India|LYINR.SW|3 Months</t>
        </is>
      </c>
      <c r="J67" t="inlineStr">
        <is>
          <t>USD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LYINR.SW</t>
        </is>
      </c>
      <c r="D68" t="inlineStr">
        <is>
          <t>6 Months</t>
        </is>
      </c>
      <c r="E68" s="2" t="n">
        <v>45911</v>
      </c>
      <c r="F68" s="2" t="n">
        <v>46092</v>
      </c>
      <c r="G68" t="n">
        <v>-8.265365090649023</v>
      </c>
      <c r="H68" t="n">
        <v>-8.265365090649023</v>
      </c>
      <c r="I68" t="inlineStr">
        <is>
          <t>India|LYINR.SW|6 Months</t>
        </is>
      </c>
      <c r="J68" t="inlineStr">
        <is>
          <t>USD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LYINR.SW</t>
        </is>
      </c>
      <c r="D69" t="inlineStr">
        <is>
          <t>1 Year</t>
        </is>
      </c>
      <c r="E69" s="2" t="n">
        <v>45727</v>
      </c>
      <c r="F69" s="2" t="n">
        <v>46092</v>
      </c>
      <c r="G69" t="n">
        <v>1.071371622646478</v>
      </c>
      <c r="H69" t="n">
        <v>1.071371622646478</v>
      </c>
      <c r="I69" t="inlineStr">
        <is>
          <t>India|LYINR.SW|1 Year</t>
        </is>
      </c>
      <c r="J69" t="inlineStr">
        <is>
          <t>USD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LYINR.SW</t>
        </is>
      </c>
      <c r="D70" t="inlineStr">
        <is>
          <t>3 Years</t>
        </is>
      </c>
      <c r="E70" s="2" t="n">
        <v>44995</v>
      </c>
      <c r="F70" s="2" t="n">
        <v>46092</v>
      </c>
      <c r="G70" t="n">
        <v>26.00173198110172</v>
      </c>
      <c r="H70" t="n">
        <v>26.00173198110172</v>
      </c>
      <c r="I70" t="inlineStr">
        <is>
          <t>India|LYINR.SW|3 Years</t>
        </is>
      </c>
      <c r="J70" t="inlineStr">
        <is>
          <t>USD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LYINR.SW</t>
        </is>
      </c>
      <c r="D71" t="inlineStr">
        <is>
          <t>5 Years</t>
        </is>
      </c>
      <c r="E71" s="2" t="n">
        <v>44266</v>
      </c>
      <c r="F71" s="2" t="n">
        <v>46092</v>
      </c>
      <c r="G71" t="n">
        <v>21.70203913263342</v>
      </c>
      <c r="H71" t="n">
        <v>21.70203913263342</v>
      </c>
      <c r="I71" t="inlineStr">
        <is>
          <t>India|LYINR.SW|5 Years</t>
        </is>
      </c>
      <c r="J71" t="inlineStr">
        <is>
          <t>USD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LYINR.SW</t>
        </is>
      </c>
      <c r="D72" t="inlineStr">
        <is>
          <t>10 Years</t>
        </is>
      </c>
      <c r="E72" s="2" t="n">
        <v>42440</v>
      </c>
      <c r="F72" s="2" t="n">
        <v>46092</v>
      </c>
      <c r="G72" t="n">
        <v>104.9404337847971</v>
      </c>
      <c r="H72" t="n">
        <v>104.9404337847971</v>
      </c>
      <c r="I72" t="inlineStr">
        <is>
          <t>India|LYINR.SW|10 Years</t>
        </is>
      </c>
      <c r="J72" t="inlineStr">
        <is>
          <t>USD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LYINR.SW</t>
        </is>
      </c>
      <c r="D73" t="inlineStr">
        <is>
          <t>MAX</t>
        </is>
      </c>
      <c r="E73" s="2" t="n">
        <v>39819</v>
      </c>
      <c r="F73" s="2" t="n">
        <v>46092</v>
      </c>
      <c r="G73" t="n">
        <v>246.0946923000785</v>
      </c>
      <c r="H73" t="n">
        <v>246.0946923000785</v>
      </c>
      <c r="I73" t="inlineStr">
        <is>
          <t>India|LYINR.SW|MAX</t>
        </is>
      </c>
      <c r="J73" t="inlineStr">
        <is>
          <t>USD</t>
        </is>
      </c>
    </row>
    <row r="74">
      <c r="A74" t="inlineStr">
        <is>
          <t>Indonesia</t>
        </is>
      </c>
      <c r="B74" t="inlineStr">
        <is>
          <t>IDN</t>
        </is>
      </c>
      <c r="C74" t="inlineStr">
        <is>
          <t>INDO.PA</t>
        </is>
      </c>
      <c r="D74" t="inlineStr">
        <is>
          <t>YTD</t>
        </is>
      </c>
      <c r="E74" s="2" t="n">
        <v>46022</v>
      </c>
      <c r="F74" s="2" t="n">
        <v>46092</v>
      </c>
      <c r="G74" t="n">
        <v>-15.17465857999858</v>
      </c>
      <c r="H74" t="n">
        <v>-16.15664085155665</v>
      </c>
      <c r="I74" t="inlineStr">
        <is>
          <t>Indonesia|INDO.PA|YTD</t>
        </is>
      </c>
      <c r="J74" t="inlineStr">
        <is>
          <t>EUR</t>
        </is>
      </c>
    </row>
    <row r="75">
      <c r="A75" t="inlineStr">
        <is>
          <t>Indonesia</t>
        </is>
      </c>
      <c r="B75" t="inlineStr">
        <is>
          <t>IDN</t>
        </is>
      </c>
      <c r="C75" t="inlineStr">
        <is>
          <t>INDO.PA</t>
        </is>
      </c>
      <c r="D75" t="inlineStr">
        <is>
          <t>1 Month</t>
        </is>
      </c>
      <c r="E75" s="2" t="n">
        <v>46064</v>
      </c>
      <c r="F75" s="2" t="n">
        <v>46092</v>
      </c>
      <c r="G75" t="n">
        <v>-10.76091497653556</v>
      </c>
      <c r="H75" t="n">
        <v>-12.84986673526787</v>
      </c>
      <c r="I75" t="inlineStr">
        <is>
          <t>Indonesia|INDO.PA|1 Month</t>
        </is>
      </c>
      <c r="J75" t="inlineStr">
        <is>
          <t>EUR</t>
        </is>
      </c>
    </row>
    <row r="76">
      <c r="A76" t="inlineStr">
        <is>
          <t>Indonesia</t>
        </is>
      </c>
      <c r="B76" t="inlineStr">
        <is>
          <t>IDN</t>
        </is>
      </c>
      <c r="C76" t="inlineStr">
        <is>
          <t>INDO.PA</t>
        </is>
      </c>
      <c r="D76" t="inlineStr">
        <is>
          <t>3 Months</t>
        </is>
      </c>
      <c r="E76" s="2" t="n">
        <v>46002</v>
      </c>
      <c r="F76" s="2" t="n">
        <v>46092</v>
      </c>
      <c r="G76" t="n">
        <v>-14.14677930931265</v>
      </c>
      <c r="H76" t="n">
        <v>-14.80670333532975</v>
      </c>
      <c r="I76" t="inlineStr">
        <is>
          <t>Indonesia|INDO.PA|3 Months</t>
        </is>
      </c>
      <c r="J76" t="inlineStr">
        <is>
          <t>EUR</t>
        </is>
      </c>
    </row>
    <row r="77">
      <c r="A77" t="inlineStr">
        <is>
          <t>Indonesia</t>
        </is>
      </c>
      <c r="B77" t="inlineStr">
        <is>
          <t>IDN</t>
        </is>
      </c>
      <c r="C77" t="inlineStr">
        <is>
          <t>INDO.PA</t>
        </is>
      </c>
      <c r="D77" t="inlineStr">
        <is>
          <t>6 Months</t>
        </is>
      </c>
      <c r="E77" s="2" t="n">
        <v>45911</v>
      </c>
      <c r="F77" s="2" t="n">
        <v>46092</v>
      </c>
      <c r="G77" t="n">
        <v>-12.47009968113991</v>
      </c>
      <c r="H77" t="n">
        <v>-13.15918162098219</v>
      </c>
      <c r="I77" t="inlineStr">
        <is>
          <t>Indonesia|INDO.PA|6 Months</t>
        </is>
      </c>
      <c r="J77" t="inlineStr">
        <is>
          <t>EUR</t>
        </is>
      </c>
    </row>
    <row r="78">
      <c r="A78" t="inlineStr">
        <is>
          <t>Indonesia</t>
        </is>
      </c>
      <c r="B78" t="inlineStr">
        <is>
          <t>IDN</t>
        </is>
      </c>
      <c r="C78" t="inlineStr">
        <is>
          <t>INDO.PA</t>
        </is>
      </c>
      <c r="D78" t="inlineStr">
        <is>
          <t>1 Year</t>
        </is>
      </c>
      <c r="E78" s="2" t="n">
        <v>45727</v>
      </c>
      <c r="F78" s="2" t="n">
        <v>46092</v>
      </c>
      <c r="G78" t="n">
        <v>-12.3223155352263</v>
      </c>
      <c r="H78" t="n">
        <v>-6.078612116883598</v>
      </c>
      <c r="I78" t="inlineStr">
        <is>
          <t>Indonesia|INDO.PA|1 Year</t>
        </is>
      </c>
      <c r="J78" t="inlineStr">
        <is>
          <t>EUR</t>
        </is>
      </c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INDO.PA</t>
        </is>
      </c>
      <c r="D79" t="inlineStr">
        <is>
          <t>3 Years</t>
        </is>
      </c>
      <c r="E79" s="2" t="n">
        <v>44995</v>
      </c>
      <c r="F79" s="2" t="n">
        <v>46092</v>
      </c>
      <c r="G79" t="n">
        <v>-30.45101755889758</v>
      </c>
      <c r="H79" t="n">
        <v>-23.70552317836863</v>
      </c>
      <c r="I79" t="inlineStr">
        <is>
          <t>Indonesia|INDO.PA|3 Years</t>
        </is>
      </c>
      <c r="J79" t="inlineStr">
        <is>
          <t>EUR</t>
        </is>
      </c>
    </row>
    <row r="80">
      <c r="A80" t="inlineStr">
        <is>
          <t>Indonesia</t>
        </is>
      </c>
      <c r="B80" t="inlineStr">
        <is>
          <t>IDN</t>
        </is>
      </c>
      <c r="C80" t="inlineStr">
        <is>
          <t>INDO.PA</t>
        </is>
      </c>
      <c r="D80" t="inlineStr">
        <is>
          <t>5 Years</t>
        </is>
      </c>
      <c r="E80" s="2" t="n">
        <v>44266</v>
      </c>
      <c r="F80" s="2" t="n">
        <v>46092</v>
      </c>
      <c r="G80" t="n">
        <v>-17.24091694834815</v>
      </c>
      <c r="H80" t="n">
        <v>-19.42513963031561</v>
      </c>
      <c r="I80" t="inlineStr">
        <is>
          <t>Indonesia|INDO.PA|5 Years</t>
        </is>
      </c>
      <c r="J80" t="inlineStr">
        <is>
          <t>EUR</t>
        </is>
      </c>
    </row>
    <row r="81">
      <c r="A81" t="inlineStr">
        <is>
          <t>Indonesia</t>
        </is>
      </c>
      <c r="B81" t="inlineStr">
        <is>
          <t>IDN</t>
        </is>
      </c>
      <c r="C81" t="inlineStr">
        <is>
          <t>INDO.PA</t>
        </is>
      </c>
      <c r="D81" t="inlineStr">
        <is>
          <t>10 Years</t>
        </is>
      </c>
      <c r="E81" s="2" t="n">
        <v>42440</v>
      </c>
      <c r="F81" s="2" t="n">
        <v>46092</v>
      </c>
      <c r="G81" t="n">
        <v>-12.00534505613364</v>
      </c>
      <c r="H81" t="n">
        <v>-8.597874199672518</v>
      </c>
      <c r="I81" t="inlineStr">
        <is>
          <t>Indonesia|INDO.PA|10 Years</t>
        </is>
      </c>
      <c r="J81" t="inlineStr">
        <is>
          <t>EUR</t>
        </is>
      </c>
    </row>
    <row r="82">
      <c r="A82" t="inlineStr">
        <is>
          <t>Indonesia</t>
        </is>
      </c>
      <c r="B82" t="inlineStr">
        <is>
          <t>IDN</t>
        </is>
      </c>
      <c r="C82" t="inlineStr">
        <is>
          <t>INDO.PA</t>
        </is>
      </c>
      <c r="D82" t="inlineStr">
        <is>
          <t>MAX</t>
        </is>
      </c>
      <c r="E82" s="2" t="n">
        <v>40729</v>
      </c>
      <c r="F82" s="2" t="n">
        <v>46092</v>
      </c>
      <c r="G82" t="n">
        <v>-6.153458892392194</v>
      </c>
      <c r="H82" t="n">
        <v>-25.12370688320937</v>
      </c>
      <c r="I82" t="inlineStr">
        <is>
          <t>Indonesia|INDO.PA|MAX</t>
        </is>
      </c>
      <c r="J82" t="inlineStr">
        <is>
          <t>EUR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2" t="n">
        <v>46022</v>
      </c>
      <c r="F83" s="2" t="n">
        <v>46092</v>
      </c>
      <c r="G83" t="n">
        <v>5.846361757444929</v>
      </c>
      <c r="H83" t="n">
        <v>5.846361757444929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2" t="n">
        <v>46064</v>
      </c>
      <c r="F84" s="2" t="n">
        <v>46092</v>
      </c>
      <c r="G84" t="n">
        <v>-8.694145236583539</v>
      </c>
      <c r="H84" t="n">
        <v>-8.694145236583539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2" t="n">
        <v>46002</v>
      </c>
      <c r="F85" s="2" t="n">
        <v>46092</v>
      </c>
      <c r="G85" t="n">
        <v>5.453745987814007</v>
      </c>
      <c r="H85" t="n">
        <v>5.453745987814007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2" t="n">
        <v>45911</v>
      </c>
      <c r="F86" s="2" t="n">
        <v>46092</v>
      </c>
      <c r="G86" t="n">
        <v>9.234026426974662</v>
      </c>
      <c r="H86" t="n">
        <v>9.234026426974662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2" t="n">
        <v>45727</v>
      </c>
      <c r="F87" s="2" t="n">
        <v>46092</v>
      </c>
      <c r="G87" t="n">
        <v>31.58039921063986</v>
      </c>
      <c r="H87" t="n">
        <v>31.58039921063986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2" t="n">
        <v>44995</v>
      </c>
      <c r="F88" s="2" t="n">
        <v>46092</v>
      </c>
      <c r="G88" t="n">
        <v>64.04355025458443</v>
      </c>
      <c r="H88" t="n">
        <v>64.04355025458443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2" t="n">
        <v>44266</v>
      </c>
      <c r="F89" s="2" t="n">
        <v>46092</v>
      </c>
      <c r="G89" t="n">
        <v>42.07298926843712</v>
      </c>
      <c r="H89" t="n">
        <v>42.07298926843712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2" t="n">
        <v>42440</v>
      </c>
      <c r="F90" s="2" t="n">
        <v>46092</v>
      </c>
      <c r="G90" t="n">
        <v>131.4876802402507</v>
      </c>
      <c r="H90" t="n">
        <v>131.4876802402507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2" t="n">
        <v>40190</v>
      </c>
      <c r="F91" s="2" t="n">
        <v>46092</v>
      </c>
      <c r="G91" t="n">
        <v>142.3463238813262</v>
      </c>
      <c r="H91" t="n">
        <v>142.3463238813262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2" t="n">
        <v>46022</v>
      </c>
      <c r="F92" s="2" t="n">
        <v>46086</v>
      </c>
      <c r="G92" t="n">
        <v>5.616898703792605</v>
      </c>
      <c r="H92" t="n">
        <v>4.850867707787554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2" t="n">
        <v>46058</v>
      </c>
      <c r="F93" s="2" t="n">
        <v>46086</v>
      </c>
      <c r="G93" t="n">
        <v>0.1821493624772241</v>
      </c>
      <c r="H93" t="n">
        <v>-1.837637001176351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2" t="n">
        <v>45996</v>
      </c>
      <c r="F94" s="2" t="n">
        <v>46086</v>
      </c>
      <c r="G94" t="n">
        <v>9.126984126984116</v>
      </c>
      <c r="H94" t="n">
        <v>9.517991223586741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2" t="n">
        <v>45905</v>
      </c>
      <c r="F95" s="2" t="n">
        <v>46086</v>
      </c>
      <c r="G95" t="n">
        <v>18.24778285407149</v>
      </c>
      <c r="H95" t="n">
        <v>17.58854192062829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2" t="n">
        <v>45721</v>
      </c>
      <c r="F96" s="2" t="n">
        <v>46086</v>
      </c>
      <c r="G96" t="n">
        <v>22.1035104759262</v>
      </c>
      <c r="H96" t="n">
        <v>27.59349881098465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2" t="n">
        <v>44988</v>
      </c>
      <c r="F97" s="2" t="n">
        <v>46086</v>
      </c>
      <c r="G97" t="n">
        <v>30.75780089153046</v>
      </c>
      <c r="H97" t="n">
        <v>46.27105298631966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2" t="n">
        <v>44260</v>
      </c>
      <c r="F98" s="2" t="n">
        <v>46086</v>
      </c>
      <c r="G98" t="n">
        <v>32.37063778580023</v>
      </c>
      <c r="H98" t="n">
        <v>27.37292350799705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2" t="n">
        <v>42433</v>
      </c>
      <c r="F99" s="2" t="n">
        <v>46086</v>
      </c>
      <c r="G99" t="n">
        <v>35.17665130568357</v>
      </c>
      <c r="H99" t="n">
        <v>27.49586456949551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2" t="n">
        <v>40354</v>
      </c>
      <c r="F100" s="2" t="n">
        <v>46086</v>
      </c>
      <c r="G100" t="n">
        <v>8.297565444000554</v>
      </c>
      <c r="H100" t="n">
        <v>-3.909560002850065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2" t="n">
        <v>46022</v>
      </c>
      <c r="F101" s="2" t="n">
        <v>46086</v>
      </c>
      <c r="G101" t="n">
        <v>9.672131147540973</v>
      </c>
      <c r="H101" t="n">
        <v>8.876687872004506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2" t="n">
        <v>46058</v>
      </c>
      <c r="F102" s="2" t="n">
        <v>46086</v>
      </c>
      <c r="G102" t="n">
        <v>-0.2609019754006736</v>
      </c>
      <c r="H102" t="n">
        <v>-2.27175591889418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2" t="n">
        <v>45996</v>
      </c>
      <c r="F103" s="2" t="n">
        <v>46086</v>
      </c>
      <c r="G103" t="n">
        <v>11.59299416180151</v>
      </c>
      <c r="H103" t="n">
        <v>11.99283708788867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2" t="n">
        <v>45905</v>
      </c>
      <c r="F104" s="2" t="n">
        <v>46086</v>
      </c>
      <c r="G104" t="n">
        <v>24.75524475524477</v>
      </c>
      <c r="H104" t="n">
        <v>24.05972419647135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2" t="n">
        <v>45721</v>
      </c>
      <c r="F105" s="2" t="n">
        <v>46086</v>
      </c>
      <c r="G105" t="n">
        <v>50.82854659264748</v>
      </c>
      <c r="H105" t="n">
        <v>57.61006301391951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2" t="n">
        <v>44988</v>
      </c>
      <c r="F106" s="2" t="n">
        <v>46086</v>
      </c>
      <c r="G106" t="n">
        <v>26.01836590534496</v>
      </c>
      <c r="H106" t="n">
        <v>40.96932611983135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2" t="n">
        <v>44260</v>
      </c>
      <c r="F107" s="2" t="n">
        <v>46086</v>
      </c>
      <c r="G107" t="n">
        <v>115.910920387879</v>
      </c>
      <c r="H107" t="n">
        <v>107.7591043385959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2" t="n">
        <v>42433</v>
      </c>
      <c r="F108" s="2" t="n">
        <v>46086</v>
      </c>
      <c r="G108" t="n">
        <v>100.7803047691133</v>
      </c>
      <c r="H108" t="n">
        <v>89.37189446405966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2" t="n">
        <v>40266</v>
      </c>
      <c r="F109" s="2" t="n">
        <v>46086</v>
      </c>
      <c r="G109" t="n">
        <v>46.20553617497561</v>
      </c>
      <c r="H109" t="n">
        <v>30.47022387164471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2" t="n">
        <v>46022</v>
      </c>
      <c r="F110" s="2" t="n">
        <v>46086</v>
      </c>
      <c r="G110" t="n">
        <v>-8.834117982002986</v>
      </c>
      <c r="H110" t="n">
        <v>-8.834117982002986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2" t="n">
        <v>46058</v>
      </c>
      <c r="F111" s="2" t="n">
        <v>46086</v>
      </c>
      <c r="G111" t="n">
        <v>-12.63269231341136</v>
      </c>
      <c r="H111" t="n">
        <v>-12.63269231341136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2" t="n">
        <v>45996</v>
      </c>
      <c r="F112" s="2" t="n">
        <v>46086</v>
      </c>
      <c r="G112" t="n">
        <v>-5.347897477815177</v>
      </c>
      <c r="H112" t="n">
        <v>-5.347897477815177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2" t="n">
        <v>45905</v>
      </c>
      <c r="F113" s="2" t="n">
        <v>46086</v>
      </c>
      <c r="G113" t="n">
        <v>2.109183582011398</v>
      </c>
      <c r="H113" t="n">
        <v>2.109183582011398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2" t="n">
        <v>45721</v>
      </c>
      <c r="F114" s="2" t="n">
        <v>46086</v>
      </c>
      <c r="G114" t="n">
        <v>29.19936929492575</v>
      </c>
      <c r="H114" t="n">
        <v>29.19936929492575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2" t="n">
        <v>44988</v>
      </c>
      <c r="F115" s="2" t="n">
        <v>46086</v>
      </c>
      <c r="G115" t="n">
        <v>183.7931163826968</v>
      </c>
      <c r="H115" t="n">
        <v>183.7931163826968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2" t="n">
        <v>44260</v>
      </c>
      <c r="F116" s="2" t="n">
        <v>46086</v>
      </c>
      <c r="G116" t="n">
        <v>40.68376820781869</v>
      </c>
      <c r="H116" t="n">
        <v>40.68376820781869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2" t="n">
        <v>42433</v>
      </c>
      <c r="F117" s="2" t="n">
        <v>46086</v>
      </c>
      <c r="G117" t="n">
        <v>-7.005647152891504</v>
      </c>
      <c r="H117" t="n">
        <v>-7.005647152891504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2" t="n">
        <v>41095</v>
      </c>
      <c r="F118" s="2" t="n">
        <v>46086</v>
      </c>
      <c r="G118" t="n">
        <v>43.13044015491403</v>
      </c>
      <c r="H118" t="n">
        <v>43.13044015491403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2" t="n">
        <v>46022</v>
      </c>
      <c r="F119" s="2" t="n">
        <v>46086</v>
      </c>
      <c r="G119" t="n">
        <v>4.96673922316726</v>
      </c>
      <c r="H119" t="n">
        <v>4.205423782349094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2" t="n">
        <v>46058</v>
      </c>
      <c r="F120" s="2" t="n">
        <v>46086</v>
      </c>
      <c r="G120" t="n">
        <v>-0.4206983646776297</v>
      </c>
      <c r="H120" t="n">
        <v>-2.428330630755782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2" t="n">
        <v>45996</v>
      </c>
      <c r="F121" s="2" t="n">
        <v>46086</v>
      </c>
      <c r="G121" t="n">
        <v>6.143496389346259</v>
      </c>
      <c r="H121" t="n">
        <v>6.523813509611909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2" t="n">
        <v>45905</v>
      </c>
      <c r="F122" s="2" t="n">
        <v>46086</v>
      </c>
      <c r="G122" t="n">
        <v>1.413883092568291</v>
      </c>
      <c r="H122" t="n">
        <v>0.8484925089955686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2" t="n">
        <v>45721</v>
      </c>
      <c r="F123" s="2" t="n">
        <v>46086</v>
      </c>
      <c r="G123" t="n">
        <v>3.998238401007681</v>
      </c>
      <c r="H123" t="n">
        <v>8.674181897331046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2" t="n">
        <v>44988</v>
      </c>
      <c r="F124" s="2" t="n">
        <v>46086</v>
      </c>
      <c r="G124" t="n">
        <v>-8.926509231655688</v>
      </c>
      <c r="H124" t="n">
        <v>1.878551818688856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2" t="n">
        <v>44260</v>
      </c>
      <c r="F125" s="2" t="n">
        <v>46086</v>
      </c>
      <c r="G125" t="n">
        <v>-5.65962427009895</v>
      </c>
      <c r="H125" t="n">
        <v>-9.221488522211974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2" t="n">
        <v>42433</v>
      </c>
      <c r="F126" s="2" t="n">
        <v>46086</v>
      </c>
      <c r="G126" t="n">
        <v>-10.88102729335401</v>
      </c>
      <c r="H126" t="n">
        <v>-15.94479989680458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2" t="n">
        <v>40731</v>
      </c>
      <c r="F127" s="2" t="n">
        <v>46086</v>
      </c>
      <c r="G127" t="n">
        <v>45.2147220541363</v>
      </c>
      <c r="H127" t="n">
        <v>21.27275491686134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2" t="n">
        <v>46022</v>
      </c>
      <c r="F128" s="2" t="n">
        <v>46092</v>
      </c>
      <c r="G128" t="n">
        <v>2.048245181477948</v>
      </c>
      <c r="H128" t="n">
        <v>2.048245181477948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2" t="n">
        <v>46064</v>
      </c>
      <c r="F129" s="2" t="n">
        <v>46092</v>
      </c>
      <c r="G129" t="n">
        <v>-6.479416228248747</v>
      </c>
      <c r="H129" t="n">
        <v>-6.479416228248747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2" t="n">
        <v>46002</v>
      </c>
      <c r="F130" s="2" t="n">
        <v>46092</v>
      </c>
      <c r="G130" t="n">
        <v>6.323117168556247</v>
      </c>
      <c r="H130" t="n">
        <v>6.323117168556247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2" t="n">
        <v>45911</v>
      </c>
      <c r="F131" s="2" t="n">
        <v>46092</v>
      </c>
      <c r="G131" t="n">
        <v>15.87562108360146</v>
      </c>
      <c r="H131" t="n">
        <v>15.87562108360146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2" t="n">
        <v>45727</v>
      </c>
      <c r="F132" s="2" t="n">
        <v>46092</v>
      </c>
      <c r="G132" t="n">
        <v>40.90290410857315</v>
      </c>
      <c r="H132" t="n">
        <v>40.90290410857315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2" t="n">
        <v>44995</v>
      </c>
      <c r="F133" s="2" t="n">
        <v>46092</v>
      </c>
      <c r="G133" t="n">
        <v>146.7713562370985</v>
      </c>
      <c r="H133" t="n">
        <v>146.7713562370985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2" t="n">
        <v>44266</v>
      </c>
      <c r="F134" s="2" t="n">
        <v>46092</v>
      </c>
      <c r="G134" t="n">
        <v>99.13548138189256</v>
      </c>
      <c r="H134" t="n">
        <v>99.13548138189256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2" t="n">
        <v>42440</v>
      </c>
      <c r="F135" s="2" t="n">
        <v>46092</v>
      </c>
      <c r="G135" t="n">
        <v>104.6865516948354</v>
      </c>
      <c r="H135" t="n">
        <v>104.6865516948354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2" t="n">
        <v>40567</v>
      </c>
      <c r="F136" s="2" t="n">
        <v>46092</v>
      </c>
      <c r="G136" t="n">
        <v>34.14440158552636</v>
      </c>
      <c r="H136" t="n">
        <v>34.14440158552636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2" t="n">
        <v>46022</v>
      </c>
      <c r="F137" s="2" t="n">
        <v>46086</v>
      </c>
      <c r="G137" t="n">
        <v>1.80483328234935</v>
      </c>
      <c r="H137" t="n">
        <v>1.066450894734272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2" t="n">
        <v>46058</v>
      </c>
      <c r="F138" s="2" t="n">
        <v>46086</v>
      </c>
      <c r="G138" t="n">
        <v>-3.833558081294541</v>
      </c>
      <c r="H138" t="n">
        <v>-5.772383203978871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2" t="n">
        <v>45996</v>
      </c>
      <c r="F139" s="2" t="n">
        <v>46086</v>
      </c>
      <c r="G139" t="n">
        <v>10.61378240638156</v>
      </c>
      <c r="H139" t="n">
        <v>11.01011677087409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2" t="n">
        <v>45905</v>
      </c>
      <c r="F140" s="2" t="n">
        <v>46086</v>
      </c>
      <c r="G140" t="n">
        <v>18.18181818181819</v>
      </c>
      <c r="H140" t="n">
        <v>17.52294500674694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2" t="n">
        <v>45721</v>
      </c>
      <c r="F141" s="2" t="n">
        <v>46086</v>
      </c>
      <c r="G141" t="n">
        <v>33.59738450821077</v>
      </c>
      <c r="H141" t="n">
        <v>39.60415761150333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2" t="n">
        <v>44988</v>
      </c>
      <c r="F142" s="2" t="n">
        <v>46086</v>
      </c>
      <c r="G142" t="n">
        <v>117.0623486395567</v>
      </c>
      <c r="H142" t="n">
        <v>142.8148690381357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2" t="n">
        <v>44260</v>
      </c>
      <c r="F143" s="2" t="n">
        <v>46086</v>
      </c>
      <c r="G143" t="n">
        <v>112.7877237851663</v>
      </c>
      <c r="H143" t="n">
        <v>104.7538254592911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2" t="n">
        <v>42433</v>
      </c>
      <c r="F144" s="2" t="n">
        <v>46086</v>
      </c>
      <c r="G144" t="n">
        <v>125.2707581227437</v>
      </c>
      <c r="H144" t="n">
        <v>112.4707913065259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2" t="n">
        <v>40567</v>
      </c>
      <c r="F145" s="2" t="n">
        <v>46086</v>
      </c>
      <c r="G145" t="n">
        <v>59.38697318007664</v>
      </c>
      <c r="H145" t="n">
        <v>33.23411722468703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Saudi Arabia</t>
        </is>
      </c>
      <c r="B146" t="inlineStr">
        <is>
          <t>SAU</t>
        </is>
      </c>
      <c r="C146" t="inlineStr">
        <is>
          <t>IKSA.L</t>
        </is>
      </c>
      <c r="D146" t="inlineStr">
        <is>
          <t>YTD</t>
        </is>
      </c>
      <c r="E146" s="2" t="n">
        <v>46022</v>
      </c>
      <c r="F146" s="2" t="n">
        <v>46092</v>
      </c>
      <c r="G146" t="n">
        <v>5.431625608610924</v>
      </c>
      <c r="H146" t="n">
        <v>5.431625608610924</v>
      </c>
      <c r="I146" t="inlineStr">
        <is>
          <t>Saudi Arabia|IKSA.L|YTD</t>
        </is>
      </c>
      <c r="J146" t="inlineStr">
        <is>
          <t>USD</t>
        </is>
      </c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t="inlineStr">
        <is>
          <t>1 Month</t>
        </is>
      </c>
      <c r="E147" s="2" t="n">
        <v>46064</v>
      </c>
      <c r="F147" s="2" t="n">
        <v>46092</v>
      </c>
      <c r="G147" t="n">
        <v>-2.514952256322389</v>
      </c>
      <c r="H147" t="n">
        <v>-2.514952256322389</v>
      </c>
      <c r="I147" t="inlineStr">
        <is>
          <t>Saudi Arabia|IKSA.L|1 Month</t>
        </is>
      </c>
      <c r="J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t="inlineStr">
        <is>
          <t>3 Months</t>
        </is>
      </c>
      <c r="E148" s="2" t="n">
        <v>46002</v>
      </c>
      <c r="F148" s="2" t="n">
        <v>46092</v>
      </c>
      <c r="G148" t="n">
        <v>3.999994695308673</v>
      </c>
      <c r="H148" t="n">
        <v>3.999994695308673</v>
      </c>
      <c r="I148" t="inlineStr">
        <is>
          <t>Saudi Arabia|IKSA.L|3 Months</t>
        </is>
      </c>
      <c r="J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t="inlineStr">
        <is>
          <t>6 Months</t>
        </is>
      </c>
      <c r="E149" s="2" t="n">
        <v>45911</v>
      </c>
      <c r="F149" s="2" t="n">
        <v>46092</v>
      </c>
      <c r="G149" t="n">
        <v>7.182593571148388</v>
      </c>
      <c r="H149" t="n">
        <v>7.182593571148388</v>
      </c>
      <c r="I149" t="inlineStr">
        <is>
          <t>Saudi Arabia|IKSA.L|6 Months</t>
        </is>
      </c>
      <c r="J149" t="inlineStr">
        <is>
          <t>USD</t>
        </is>
      </c>
    </row>
    <row r="150">
      <c r="A150" t="inlineStr">
        <is>
          <t>Saudi Arabia</t>
        </is>
      </c>
      <c r="B150" t="inlineStr">
        <is>
          <t>SAU</t>
        </is>
      </c>
      <c r="C150" t="inlineStr">
        <is>
          <t>IKSA.L</t>
        </is>
      </c>
      <c r="D150" t="inlineStr">
        <is>
          <t>1 Year</t>
        </is>
      </c>
      <c r="E150" s="2" t="n">
        <v>45727</v>
      </c>
      <c r="F150" s="2" t="n">
        <v>46092</v>
      </c>
      <c r="G150" t="n">
        <v>1.744553883284494</v>
      </c>
      <c r="H150" t="n">
        <v>1.744553883284494</v>
      </c>
      <c r="I150" t="inlineStr">
        <is>
          <t>Saudi Arabia|IKSA.L|1 Year</t>
        </is>
      </c>
      <c r="J150" t="inlineStr">
        <is>
          <t>USD</t>
        </is>
      </c>
    </row>
    <row r="151">
      <c r="A151" t="inlineStr">
        <is>
          <t>Saudi Arabia</t>
        </is>
      </c>
      <c r="B151" t="inlineStr">
        <is>
          <t>SAU</t>
        </is>
      </c>
      <c r="C151" t="inlineStr">
        <is>
          <t>IKSA.L</t>
        </is>
      </c>
      <c r="D151" t="inlineStr">
        <is>
          <t>3 Years</t>
        </is>
      </c>
      <c r="E151" s="2" t="n">
        <v>44995</v>
      </c>
      <c r="F151" s="2" t="n">
        <v>46092</v>
      </c>
      <c r="G151" t="n">
        <v>12.40385371777428</v>
      </c>
      <c r="H151" t="n">
        <v>12.40385371777428</v>
      </c>
      <c r="I151" t="inlineStr">
        <is>
          <t>Saudi Arabia|IKSA.L|3 Years</t>
        </is>
      </c>
      <c r="J151" t="inlineStr">
        <is>
          <t>USD</t>
        </is>
      </c>
    </row>
    <row r="152">
      <c r="A152" t="inlineStr">
        <is>
          <t>Saudi Arabia</t>
        </is>
      </c>
      <c r="B152" t="inlineStr">
        <is>
          <t>SAU</t>
        </is>
      </c>
      <c r="C152" t="inlineStr">
        <is>
          <t>IKSA.L</t>
        </is>
      </c>
      <c r="D152" t="inlineStr">
        <is>
          <t>5 Years</t>
        </is>
      </c>
      <c r="E152" s="2" t="n">
        <v>44266</v>
      </c>
      <c r="F152" s="2" t="n">
        <v>46092</v>
      </c>
      <c r="G152" t="n">
        <v>26.20606805318953</v>
      </c>
      <c r="H152" t="n">
        <v>26.20606805318953</v>
      </c>
      <c r="I152" t="inlineStr">
        <is>
          <t>Saudi Arabia|IKSA.L|5 Years</t>
        </is>
      </c>
      <c r="J152" t="inlineStr">
        <is>
          <t>USD</t>
        </is>
      </c>
    </row>
    <row r="153">
      <c r="A153" t="inlineStr">
        <is>
          <t>Saudi Arabia</t>
        </is>
      </c>
      <c r="B153" t="inlineStr">
        <is>
          <t>SAU</t>
        </is>
      </c>
      <c r="C153" t="inlineStr">
        <is>
          <t>IKSA.L</t>
        </is>
      </c>
      <c r="D153" t="inlineStr">
        <is>
          <t>MAX</t>
        </is>
      </c>
      <c r="E153" s="2" t="n">
        <v>43566</v>
      </c>
      <c r="F153" s="2" t="n">
        <v>46092</v>
      </c>
      <c r="G153" t="n">
        <v>26.1309508378994</v>
      </c>
      <c r="H153" t="n">
        <v>26.1309508378994</v>
      </c>
      <c r="I153" t="inlineStr">
        <is>
          <t>Saudi Arabia|IKSA.L|MAX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YTD</t>
        </is>
      </c>
      <c r="E154" s="2" t="n">
        <v>46022</v>
      </c>
      <c r="F154" s="2" t="n">
        <v>46092</v>
      </c>
      <c r="G154" t="n">
        <v>2.897715029983172</v>
      </c>
      <c r="H154" t="n">
        <v>2.897715029983172</v>
      </c>
      <c r="I154" t="inlineStr">
        <is>
          <t>South Africa|IRSA.L|YTD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IRSA.L</t>
        </is>
      </c>
      <c r="D155" t="inlineStr">
        <is>
          <t>1 Month</t>
        </is>
      </c>
      <c r="E155" s="2" t="n">
        <v>46064</v>
      </c>
      <c r="F155" s="2" t="n">
        <v>46092</v>
      </c>
      <c r="G155" t="n">
        <v>-6.720547863860804</v>
      </c>
      <c r="H155" t="n">
        <v>-6.720547863860804</v>
      </c>
      <c r="I155" t="inlineStr">
        <is>
          <t>South Africa|IRSA.L|1 Month</t>
        </is>
      </c>
      <c r="J155" t="inlineStr">
        <is>
          <t>USD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IRSA.L</t>
        </is>
      </c>
      <c r="D156" t="inlineStr">
        <is>
          <t>3 Months</t>
        </is>
      </c>
      <c r="E156" s="2" t="n">
        <v>46002</v>
      </c>
      <c r="F156" s="2" t="n">
        <v>46092</v>
      </c>
      <c r="G156" t="n">
        <v>8.41088811539823</v>
      </c>
      <c r="H156" t="n">
        <v>8.41088811539823</v>
      </c>
      <c r="I156" t="inlineStr">
        <is>
          <t>South Africa|IRSA.L|3 Months</t>
        </is>
      </c>
      <c r="J156" t="inlineStr">
        <is>
          <t>USD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IRSA.L</t>
        </is>
      </c>
      <c r="D157" t="inlineStr">
        <is>
          <t>6 Months</t>
        </is>
      </c>
      <c r="E157" s="2" t="n">
        <v>45911</v>
      </c>
      <c r="F157" s="2" t="n">
        <v>46092</v>
      </c>
      <c r="G157" t="n">
        <v>24.91481350419671</v>
      </c>
      <c r="H157" t="n">
        <v>24.91481350419671</v>
      </c>
      <c r="I157" t="inlineStr">
        <is>
          <t>South Africa|IRSA.L|6 Months</t>
        </is>
      </c>
      <c r="J157" t="inlineStr">
        <is>
          <t>USD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IRSA.L</t>
        </is>
      </c>
      <c r="D158" t="inlineStr">
        <is>
          <t>1 Year</t>
        </is>
      </c>
      <c r="E158" s="2" t="n">
        <v>45727</v>
      </c>
      <c r="F158" s="2" t="n">
        <v>46092</v>
      </c>
      <c r="G158" t="n">
        <v>65.21738514849002</v>
      </c>
      <c r="H158" t="n">
        <v>65.21738514849002</v>
      </c>
      <c r="I158" t="inlineStr">
        <is>
          <t>South Africa|IRSA.L|1 Year</t>
        </is>
      </c>
      <c r="J158" t="inlineStr">
        <is>
          <t>USD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IRSA.L</t>
        </is>
      </c>
      <c r="D159" t="inlineStr">
        <is>
          <t>3 Years</t>
        </is>
      </c>
      <c r="E159" s="2" t="n">
        <v>44995</v>
      </c>
      <c r="F159" s="2" t="n">
        <v>46092</v>
      </c>
      <c r="G159" t="n">
        <v>106.3576096703331</v>
      </c>
      <c r="H159" t="n">
        <v>106.3576096703331</v>
      </c>
      <c r="I159" t="inlineStr">
        <is>
          <t>South Africa|IRSA.L|3 Years</t>
        </is>
      </c>
      <c r="J159" t="inlineStr">
        <is>
          <t>USD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IRSA.L</t>
        </is>
      </c>
      <c r="D160" t="inlineStr">
        <is>
          <t>5 Years</t>
        </is>
      </c>
      <c r="E160" s="2" t="n">
        <v>44266</v>
      </c>
      <c r="F160" s="2" t="n">
        <v>46092</v>
      </c>
      <c r="G160" t="n">
        <v>71.51507159788524</v>
      </c>
      <c r="H160" t="n">
        <v>71.51507159788524</v>
      </c>
      <c r="I160" t="inlineStr">
        <is>
          <t>South Africa|IRSA.L|5 Years</t>
        </is>
      </c>
      <c r="J160" t="inlineStr">
        <is>
          <t>USD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IRSA.L</t>
        </is>
      </c>
      <c r="D161" t="inlineStr">
        <is>
          <t>10 Years</t>
        </is>
      </c>
      <c r="E161" s="2" t="n">
        <v>42440</v>
      </c>
      <c r="F161" s="2" t="n">
        <v>46092</v>
      </c>
      <c r="G161" t="n">
        <v>134.3738222534718</v>
      </c>
      <c r="H161" t="n">
        <v>134.3738222534718</v>
      </c>
      <c r="I161" t="inlineStr">
        <is>
          <t>South Africa|IRSA.L|10 Years</t>
        </is>
      </c>
      <c r="J161" t="inlineStr">
        <is>
          <t>USD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IRSA.L</t>
        </is>
      </c>
      <c r="D162" t="inlineStr">
        <is>
          <t>MAX</t>
        </is>
      </c>
      <c r="E162" s="2" t="n">
        <v>40203</v>
      </c>
      <c r="F162" s="2" t="n">
        <v>46092</v>
      </c>
      <c r="G162" t="n">
        <v>155.8292205803226</v>
      </c>
      <c r="H162" t="n">
        <v>155.8292205803226</v>
      </c>
      <c r="I162" t="inlineStr">
        <is>
          <t>South Africa|IRSA.L|MAX</t>
        </is>
      </c>
      <c r="J162" t="inlineStr">
        <is>
          <t>USD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YTD</t>
        </is>
      </c>
      <c r="E163" s="2" t="n">
        <v>46022</v>
      </c>
      <c r="F163" s="2" t="n">
        <v>46086</v>
      </c>
      <c r="G163" t="n">
        <v>2.743529934466293</v>
      </c>
      <c r="H163" t="n">
        <v>1.998339254426496</v>
      </c>
      <c r="I163" t="inlineStr">
        <is>
          <t>South Africa|SRSA.L|YTD</t>
        </is>
      </c>
      <c r="J163" t="inlineStr">
        <is>
          <t>GBp</t>
        </is>
      </c>
    </row>
    <row r="164">
      <c r="A164" t="inlineStr">
        <is>
          <t>South Africa</t>
        </is>
      </c>
      <c r="B164" t="inlineStr">
        <is>
          <t>ZAF</t>
        </is>
      </c>
      <c r="C164" t="inlineStr">
        <is>
          <t>SRSA.L</t>
        </is>
      </c>
      <c r="D164" t="inlineStr">
        <is>
          <t>1 Month</t>
        </is>
      </c>
      <c r="E164" s="2" t="n">
        <v>46058</v>
      </c>
      <c r="F164" s="2" t="n">
        <v>46086</v>
      </c>
      <c r="G164" t="n">
        <v>-1.196325571459089</v>
      </c>
      <c r="H164" t="n">
        <v>-3.188320308641079</v>
      </c>
      <c r="I164" t="inlineStr">
        <is>
          <t>South Africa|SRSA.L|1 Month</t>
        </is>
      </c>
      <c r="J164" t="inlineStr">
        <is>
          <t>GBp</t>
        </is>
      </c>
    </row>
    <row r="165">
      <c r="A165" t="inlineStr">
        <is>
          <t>South Africa</t>
        </is>
      </c>
      <c r="B165" t="inlineStr">
        <is>
          <t>ZAF</t>
        </is>
      </c>
      <c r="C165" t="inlineStr">
        <is>
          <t>SRSA.L</t>
        </is>
      </c>
      <c r="D165" t="inlineStr">
        <is>
          <t>3 Months</t>
        </is>
      </c>
      <c r="E165" s="2" t="n">
        <v>45996</v>
      </c>
      <c r="F165" s="2" t="n">
        <v>46086</v>
      </c>
      <c r="G165" t="n">
        <v>8.849140974346902</v>
      </c>
      <c r="H165" t="n">
        <v>9.239152545917007</v>
      </c>
      <c r="I165" t="inlineStr">
        <is>
          <t>South Africa|SRSA.L|3 Months</t>
        </is>
      </c>
      <c r="J165" t="inlineStr">
        <is>
          <t>GBp</t>
        </is>
      </c>
    </row>
    <row r="166">
      <c r="A166" t="inlineStr">
        <is>
          <t>South Africa</t>
        </is>
      </c>
      <c r="B166" t="inlineStr">
        <is>
          <t>ZAF</t>
        </is>
      </c>
      <c r="C166" t="inlineStr">
        <is>
          <t>SRSA.L</t>
        </is>
      </c>
      <c r="D166" t="inlineStr">
        <is>
          <t>6 Months</t>
        </is>
      </c>
      <c r="E166" s="2" t="n">
        <v>45905</v>
      </c>
      <c r="F166" s="2" t="n">
        <v>46086</v>
      </c>
      <c r="G166" t="n">
        <v>30.52067165232115</v>
      </c>
      <c r="H166" t="n">
        <v>29.79300837325656</v>
      </c>
      <c r="I166" t="inlineStr">
        <is>
          <t>South Africa|SRSA.L|6 Months</t>
        </is>
      </c>
      <c r="J166" t="inlineStr">
        <is>
          <t>GBp</t>
        </is>
      </c>
    </row>
    <row r="167">
      <c r="A167" t="inlineStr">
        <is>
          <t>South Africa</t>
        </is>
      </c>
      <c r="B167" t="inlineStr">
        <is>
          <t>ZAF</t>
        </is>
      </c>
      <c r="C167" t="inlineStr">
        <is>
          <t>SRSA.L</t>
        </is>
      </c>
      <c r="D167" t="inlineStr">
        <is>
          <t>1 Year</t>
        </is>
      </c>
      <c r="E167" s="2" t="n">
        <v>45721</v>
      </c>
      <c r="F167" s="2" t="n">
        <v>46086</v>
      </c>
      <c r="G167" t="n">
        <v>59.62036238136324</v>
      </c>
      <c r="H167" t="n">
        <v>66.79717428542607</v>
      </c>
      <c r="I167" t="inlineStr">
        <is>
          <t>South Africa|SRSA.L|1 Year</t>
        </is>
      </c>
      <c r="J167" t="inlineStr">
        <is>
          <t>GBp</t>
        </is>
      </c>
    </row>
    <row r="168">
      <c r="A168" t="inlineStr">
        <is>
          <t>South Africa</t>
        </is>
      </c>
      <c r="B168" t="inlineStr">
        <is>
          <t>ZAF</t>
        </is>
      </c>
      <c r="C168" t="inlineStr">
        <is>
          <t>SRSA.L</t>
        </is>
      </c>
      <c r="D168" t="inlineStr">
        <is>
          <t>3 Years</t>
        </is>
      </c>
      <c r="E168" s="2" t="n">
        <v>44988</v>
      </c>
      <c r="F168" s="2" t="n">
        <v>46086</v>
      </c>
      <c r="G168" t="n">
        <v>79.89109295993777</v>
      </c>
      <c r="H168" t="n">
        <v>101.2335739107277</v>
      </c>
      <c r="I168" t="inlineStr">
        <is>
          <t>South Africa|SRSA.L|3 Years</t>
        </is>
      </c>
      <c r="J168" t="inlineStr">
        <is>
          <t>GBp</t>
        </is>
      </c>
    </row>
    <row r="169">
      <c r="A169" t="inlineStr">
        <is>
          <t>South Africa</t>
        </is>
      </c>
      <c r="B169" t="inlineStr">
        <is>
          <t>ZAF</t>
        </is>
      </c>
      <c r="C169" t="inlineStr">
        <is>
          <t>SRSA.L</t>
        </is>
      </c>
      <c r="D169" t="inlineStr">
        <is>
          <t>5 Years</t>
        </is>
      </c>
      <c r="E169" s="2" t="n">
        <v>44260</v>
      </c>
      <c r="F169" s="2" t="n">
        <v>46086</v>
      </c>
      <c r="G169" t="n">
        <v>87.91264601320468</v>
      </c>
      <c r="H169" t="n">
        <v>80.81791768319799</v>
      </c>
      <c r="I169" t="inlineStr">
        <is>
          <t>South Africa|SRSA.L|5 Years</t>
        </is>
      </c>
      <c r="J169" t="inlineStr">
        <is>
          <t>GBp</t>
        </is>
      </c>
    </row>
    <row r="170">
      <c r="A170" t="inlineStr">
        <is>
          <t>South Africa</t>
        </is>
      </c>
      <c r="B170" t="inlineStr">
        <is>
          <t>ZAF</t>
        </is>
      </c>
      <c r="C170" t="inlineStr">
        <is>
          <t>SRSA.L</t>
        </is>
      </c>
      <c r="D170" t="inlineStr">
        <is>
          <t>10 Years</t>
        </is>
      </c>
      <c r="E170" s="2" t="n">
        <v>42433</v>
      </c>
      <c r="F170" s="2" t="n">
        <v>46086</v>
      </c>
      <c r="G170" t="n">
        <v>148.7562189054726</v>
      </c>
      <c r="H170" t="n">
        <v>134.6217996233084</v>
      </c>
      <c r="I170" t="inlineStr">
        <is>
          <t>South Africa|SRSA.L|10 Years</t>
        </is>
      </c>
      <c r="J170" t="inlineStr">
        <is>
          <t>GBp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MAX</t>
        </is>
      </c>
      <c r="E171" s="2" t="n">
        <v>40203</v>
      </c>
      <c r="F171" s="2" t="n">
        <v>46086</v>
      </c>
      <c r="G171" t="n">
        <v>207.6176116928468</v>
      </c>
      <c r="H171" t="n">
        <v>153.0873425093059</v>
      </c>
      <c r="I171" t="inlineStr">
        <is>
          <t>South Africa|SRSA.L|MAX</t>
        </is>
      </c>
      <c r="J171" t="inlineStr">
        <is>
          <t>GBp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YTD</t>
        </is>
      </c>
      <c r="E172" s="2" t="n">
        <v>46022</v>
      </c>
      <c r="F172" s="2" t="n">
        <v>46086</v>
      </c>
      <c r="G172" t="n">
        <v>29.88834908258586</v>
      </c>
      <c r="H172" t="n">
        <v>29.88834908258586</v>
      </c>
      <c r="I172" t="inlineStr">
        <is>
          <t>South Korea|CSKR.L|YTD</t>
        </is>
      </c>
      <c r="J172" t="inlineStr">
        <is>
          <t>USD</t>
        </is>
      </c>
    </row>
    <row r="173">
      <c r="A173" t="inlineStr">
        <is>
          <t>South Korea</t>
        </is>
      </c>
      <c r="B173" t="inlineStr">
        <is>
          <t>KOR</t>
        </is>
      </c>
      <c r="C173" t="inlineStr">
        <is>
          <t>CSKR.L</t>
        </is>
      </c>
      <c r="D173" t="inlineStr">
        <is>
          <t>1 Month</t>
        </is>
      </c>
      <c r="E173" s="2" t="n">
        <v>46058</v>
      </c>
      <c r="F173" s="2" t="n">
        <v>46086</v>
      </c>
      <c r="G173" t="n">
        <v>4.90385484896052</v>
      </c>
      <c r="H173" t="n">
        <v>4.90385484896052</v>
      </c>
      <c r="I173" t="inlineStr">
        <is>
          <t>South Korea|CSKR.L|1 Month</t>
        </is>
      </c>
      <c r="J173" t="inlineStr">
        <is>
          <t>USD</t>
        </is>
      </c>
    </row>
    <row r="174">
      <c r="A174" t="inlineStr">
        <is>
          <t>South Korea</t>
        </is>
      </c>
      <c r="B174" t="inlineStr">
        <is>
          <t>KOR</t>
        </is>
      </c>
      <c r="C174" t="inlineStr">
        <is>
          <t>CSKR.L</t>
        </is>
      </c>
      <c r="D174" t="inlineStr">
        <is>
          <t>3 Months</t>
        </is>
      </c>
      <c r="E174" s="2" t="n">
        <v>45996</v>
      </c>
      <c r="F174" s="2" t="n">
        <v>46086</v>
      </c>
      <c r="G174" t="n">
        <v>39.69829393528843</v>
      </c>
      <c r="H174" t="n">
        <v>39.69829393528843</v>
      </c>
      <c r="I174" t="inlineStr">
        <is>
          <t>South Korea|CSKR.L|3 Months</t>
        </is>
      </c>
      <c r="J174" t="inlineStr">
        <is>
          <t>USD</t>
        </is>
      </c>
    </row>
    <row r="175">
      <c r="A175" t="inlineStr">
        <is>
          <t>South Korea</t>
        </is>
      </c>
      <c r="B175" t="inlineStr">
        <is>
          <t>KOR</t>
        </is>
      </c>
      <c r="C175" t="inlineStr">
        <is>
          <t>CSKR.L</t>
        </is>
      </c>
      <c r="D175" t="inlineStr">
        <is>
          <t>6 Months</t>
        </is>
      </c>
      <c r="E175" s="2" t="n">
        <v>45905</v>
      </c>
      <c r="F175" s="2" t="n">
        <v>46086</v>
      </c>
      <c r="G175" t="n">
        <v>80.40602804312952</v>
      </c>
      <c r="H175" t="n">
        <v>80.40602804312952</v>
      </c>
      <c r="I175" t="inlineStr">
        <is>
          <t>South Korea|CSKR.L|6 Months</t>
        </is>
      </c>
      <c r="J175" t="inlineStr">
        <is>
          <t>USD</t>
        </is>
      </c>
    </row>
    <row r="176">
      <c r="A176" t="inlineStr">
        <is>
          <t>South Korea</t>
        </is>
      </c>
      <c r="B176" t="inlineStr">
        <is>
          <t>KOR</t>
        </is>
      </c>
      <c r="C176" t="inlineStr">
        <is>
          <t>CSKR.L</t>
        </is>
      </c>
      <c r="D176" t="inlineStr">
        <is>
          <t>1 Year</t>
        </is>
      </c>
      <c r="E176" s="2" t="n">
        <v>45721</v>
      </c>
      <c r="F176" s="2" t="n">
        <v>46086</v>
      </c>
      <c r="G176" t="n">
        <v>139.9754469184249</v>
      </c>
      <c r="H176" t="n">
        <v>139.9754469184249</v>
      </c>
      <c r="I176" t="inlineStr">
        <is>
          <t>South Korea|CSKR.L|1 Year</t>
        </is>
      </c>
      <c r="J176" t="inlineStr">
        <is>
          <t>USD</t>
        </is>
      </c>
    </row>
    <row r="177">
      <c r="A177" t="inlineStr">
        <is>
          <t>South Korea</t>
        </is>
      </c>
      <c r="B177" t="inlineStr">
        <is>
          <t>KOR</t>
        </is>
      </c>
      <c r="C177" t="inlineStr">
        <is>
          <t>CSKR.L</t>
        </is>
      </c>
      <c r="D177" t="inlineStr">
        <is>
          <t>3 Years</t>
        </is>
      </c>
      <c r="E177" s="2" t="n">
        <v>44988</v>
      </c>
      <c r="F177" s="2" t="n">
        <v>46086</v>
      </c>
      <c r="G177" t="n">
        <v>127.0615586511813</v>
      </c>
      <c r="H177" t="n">
        <v>127.0615586511813</v>
      </c>
      <c r="I177" t="inlineStr">
        <is>
          <t>South Korea|CSKR.L|3 Years</t>
        </is>
      </c>
      <c r="J177" t="inlineStr">
        <is>
          <t>USD</t>
        </is>
      </c>
    </row>
    <row r="178">
      <c r="A178" t="inlineStr">
        <is>
          <t>South Korea</t>
        </is>
      </c>
      <c r="B178" t="inlineStr">
        <is>
          <t>KOR</t>
        </is>
      </c>
      <c r="C178" t="inlineStr">
        <is>
          <t>CSKR.L</t>
        </is>
      </c>
      <c r="D178" t="inlineStr">
        <is>
          <t>5 Years</t>
        </is>
      </c>
      <c r="E178" s="2" t="n">
        <v>44260</v>
      </c>
      <c r="F178" s="2" t="n">
        <v>46086</v>
      </c>
      <c r="G178" t="n">
        <v>56.4278020066365</v>
      </c>
      <c r="H178" t="n">
        <v>56.4278020066365</v>
      </c>
      <c r="I178" t="inlineStr">
        <is>
          <t>South Korea|CSKR.L|5 Years</t>
        </is>
      </c>
      <c r="J178" t="inlineStr">
        <is>
          <t>USD</t>
        </is>
      </c>
    </row>
    <row r="179">
      <c r="A179" t="inlineStr">
        <is>
          <t>South Korea</t>
        </is>
      </c>
      <c r="B179" t="inlineStr">
        <is>
          <t>KOR</t>
        </is>
      </c>
      <c r="C179" t="inlineStr">
        <is>
          <t>CSKR.L</t>
        </is>
      </c>
      <c r="D179" t="inlineStr">
        <is>
          <t>10 Years</t>
        </is>
      </c>
      <c r="E179" s="2" t="n">
        <v>42433</v>
      </c>
      <c r="F179" s="2" t="n">
        <v>46086</v>
      </c>
      <c r="G179" t="n">
        <v>220.0254609188841</v>
      </c>
      <c r="H179" t="n">
        <v>220.0254609188841</v>
      </c>
      <c r="I179" t="inlineStr">
        <is>
          <t>South Korea|CSKR.L|10 Years</t>
        </is>
      </c>
      <c r="J179" t="inlineStr">
        <is>
          <t>USD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MAX</t>
        </is>
      </c>
      <c r="E180" s="2" t="n">
        <v>40441</v>
      </c>
      <c r="F180" s="2" t="n">
        <v>46086</v>
      </c>
      <c r="G180" t="n">
        <v>226.7409506665059</v>
      </c>
      <c r="H180" t="n">
        <v>226.7409506665059</v>
      </c>
      <c r="I180" t="inlineStr">
        <is>
          <t>South Korea|CSKR.L|MAX</t>
        </is>
      </c>
      <c r="J180" t="inlineStr">
        <is>
          <t>USD</t>
        </is>
      </c>
    </row>
    <row r="181">
      <c r="A181" t="inlineStr">
        <is>
          <t>Switzerland</t>
        </is>
      </c>
      <c r="B181" t="inlineStr">
        <is>
          <t>CHE</t>
        </is>
      </c>
      <c r="C181" t="inlineStr">
        <is>
          <t>CSW.PA</t>
        </is>
      </c>
      <c r="D181" t="inlineStr">
        <is>
          <t>YTD</t>
        </is>
      </c>
      <c r="E181" s="2" t="n">
        <v>46022</v>
      </c>
      <c r="F181" s="2" t="n">
        <v>46092</v>
      </c>
      <c r="G181" t="n">
        <v>1.397727503306179</v>
      </c>
      <c r="H181" t="n">
        <v>0.2238946708332579</v>
      </c>
      <c r="I181" t="inlineStr">
        <is>
          <t>Switzerland|CSW.PA|YTD</t>
        </is>
      </c>
      <c r="J181" t="inlineStr">
        <is>
          <t>EUR</t>
        </is>
      </c>
    </row>
    <row r="182">
      <c r="A182" t="inlineStr">
        <is>
          <t>Switzerland</t>
        </is>
      </c>
      <c r="B182" t="inlineStr">
        <is>
          <t>CHE</t>
        </is>
      </c>
      <c r="C182" t="inlineStr">
        <is>
          <t>CSW.PA</t>
        </is>
      </c>
      <c r="D182" t="inlineStr">
        <is>
          <t>1 Month</t>
        </is>
      </c>
      <c r="E182" s="2" t="n">
        <v>46064</v>
      </c>
      <c r="F182" s="2" t="n">
        <v>46092</v>
      </c>
      <c r="G182" t="n">
        <v>-2.668461132512379</v>
      </c>
      <c r="H182" t="n">
        <v>-4.946844973448206</v>
      </c>
      <c r="I182" t="inlineStr">
        <is>
          <t>Switzerland|CSW.PA|1 Month</t>
        </is>
      </c>
      <c r="J182" t="inlineStr">
        <is>
          <t>EUR</t>
        </is>
      </c>
    </row>
    <row r="183">
      <c r="A183" t="inlineStr">
        <is>
          <t>Switzerland</t>
        </is>
      </c>
      <c r="B183" t="inlineStr">
        <is>
          <t>CHE</t>
        </is>
      </c>
      <c r="C183" t="inlineStr">
        <is>
          <t>CSW.PA</t>
        </is>
      </c>
      <c r="D183" t="inlineStr">
        <is>
          <t>3 Months</t>
        </is>
      </c>
      <c r="E183" s="2" t="n">
        <v>46002</v>
      </c>
      <c r="F183" s="2" t="n">
        <v>46092</v>
      </c>
      <c r="G183" t="n">
        <v>4.114174785039304</v>
      </c>
      <c r="H183" t="n">
        <v>3.313885118130577</v>
      </c>
      <c r="I183" t="inlineStr">
        <is>
          <t>Switzerland|CSW.PA|3 Months</t>
        </is>
      </c>
      <c r="J183" t="inlineStr">
        <is>
          <t>EUR</t>
        </is>
      </c>
    </row>
    <row r="184">
      <c r="A184" t="inlineStr">
        <is>
          <t>Switzerland</t>
        </is>
      </c>
      <c r="B184" t="inlineStr">
        <is>
          <t>CHE</t>
        </is>
      </c>
      <c r="C184" t="inlineStr">
        <is>
          <t>CSW.PA</t>
        </is>
      </c>
      <c r="D184" t="inlineStr">
        <is>
          <t>6 Months</t>
        </is>
      </c>
      <c r="E184" s="2" t="n">
        <v>45911</v>
      </c>
      <c r="F184" s="2" t="n">
        <v>46092</v>
      </c>
      <c r="G184" t="n">
        <v>8.871095026239573</v>
      </c>
      <c r="H184" t="n">
        <v>8.01400384848041</v>
      </c>
      <c r="I184" t="inlineStr">
        <is>
          <t>Switzerland|CSW.PA|6 Months</t>
        </is>
      </c>
      <c r="J184" t="inlineStr">
        <is>
          <t>EUR</t>
        </is>
      </c>
    </row>
    <row r="185">
      <c r="A185" t="inlineStr">
        <is>
          <t>Switzerland</t>
        </is>
      </c>
      <c r="B185" t="inlineStr">
        <is>
          <t>CHE</t>
        </is>
      </c>
      <c r="C185" t="inlineStr">
        <is>
          <t>CSW.PA</t>
        </is>
      </c>
      <c r="D185" t="inlineStr">
        <is>
          <t>1 Year</t>
        </is>
      </c>
      <c r="E185" s="2" t="n">
        <v>45727</v>
      </c>
      <c r="F185" s="2" t="n">
        <v>46092</v>
      </c>
      <c r="G185" t="n">
        <v>11.68319514490721</v>
      </c>
      <c r="H185" t="n">
        <v>19.63637903148503</v>
      </c>
      <c r="I185" t="inlineStr">
        <is>
          <t>Switzerland|CSW.PA|1 Year</t>
        </is>
      </c>
      <c r="J185" t="inlineStr">
        <is>
          <t>EUR</t>
        </is>
      </c>
    </row>
    <row r="186">
      <c r="A186" t="inlineStr">
        <is>
          <t>Switzerland</t>
        </is>
      </c>
      <c r="B186" t="inlineStr">
        <is>
          <t>CHE</t>
        </is>
      </c>
      <c r="C186" t="inlineStr">
        <is>
          <t>CSW.PA</t>
        </is>
      </c>
      <c r="D186" t="inlineStr">
        <is>
          <t>3 Years</t>
        </is>
      </c>
      <c r="E186" s="2" t="n">
        <v>44995</v>
      </c>
      <c r="F186" s="2" t="n">
        <v>46092</v>
      </c>
      <c r="G186" t="n">
        <v>35.44238035373495</v>
      </c>
      <c r="H186" t="n">
        <v>48.57881720002941</v>
      </c>
      <c r="I186" t="inlineStr">
        <is>
          <t>Switzerland|CSW.PA|3 Years</t>
        </is>
      </c>
      <c r="J186" t="inlineStr">
        <is>
          <t>EUR</t>
        </is>
      </c>
    </row>
    <row r="187">
      <c r="A187" t="inlineStr">
        <is>
          <t>Switzerland</t>
        </is>
      </c>
      <c r="B187" t="inlineStr">
        <is>
          <t>CHE</t>
        </is>
      </c>
      <c r="C187" t="inlineStr">
        <is>
          <t>CSW.PA</t>
        </is>
      </c>
      <c r="D187" t="inlineStr">
        <is>
          <t>5 Years</t>
        </is>
      </c>
      <c r="E187" s="2" t="n">
        <v>44266</v>
      </c>
      <c r="F187" s="2" t="n">
        <v>46092</v>
      </c>
      <c r="G187" t="n">
        <v>54.46399693876598</v>
      </c>
      <c r="H187" t="n">
        <v>50.38729921302587</v>
      </c>
      <c r="I187" t="inlineStr">
        <is>
          <t>Switzerland|CSW.PA|5 Years</t>
        </is>
      </c>
      <c r="J187" t="inlineStr">
        <is>
          <t>EUR</t>
        </is>
      </c>
    </row>
    <row r="188">
      <c r="A188" t="inlineStr">
        <is>
          <t>Switzerland</t>
        </is>
      </c>
      <c r="B188" t="inlineStr">
        <is>
          <t>CHE</t>
        </is>
      </c>
      <c r="C188" t="inlineStr">
        <is>
          <t>CSW.PA</t>
        </is>
      </c>
      <c r="D188" t="inlineStr">
        <is>
          <t>10 Years</t>
        </is>
      </c>
      <c r="E188" s="2" t="n">
        <v>42440</v>
      </c>
      <c r="F188" s="2" t="n">
        <v>46092</v>
      </c>
      <c r="G188" t="n">
        <v>-94.23345304056527</v>
      </c>
      <c r="H188" t="n">
        <v>-94.01015151481664</v>
      </c>
      <c r="I188" t="inlineStr">
        <is>
          <t>Switzerland|CSW.PA|10 Years</t>
        </is>
      </c>
      <c r="J188" t="inlineStr">
        <is>
          <t>EUR</t>
        </is>
      </c>
    </row>
    <row r="189">
      <c r="A189" t="inlineStr">
        <is>
          <t>Switzerland</t>
        </is>
      </c>
      <c r="B189" t="inlineStr">
        <is>
          <t>CHE</t>
        </is>
      </c>
      <c r="C189" t="inlineStr">
        <is>
          <t>CSW.PA</t>
        </is>
      </c>
      <c r="D189" t="inlineStr">
        <is>
          <t>MAX</t>
        </is>
      </c>
      <c r="E189" s="2" t="n">
        <v>39708</v>
      </c>
      <c r="F189" s="2" t="n">
        <v>46092</v>
      </c>
      <c r="G189" t="n">
        <v>-88.29508793773276</v>
      </c>
      <c r="H189" t="n">
        <v>-90.51530127379777</v>
      </c>
      <c r="I189" t="inlineStr">
        <is>
          <t>Switzerland|CSW.PA|MAX</t>
        </is>
      </c>
      <c r="J189" t="inlineStr">
        <is>
          <t>EUR</t>
        </is>
      </c>
    </row>
    <row r="190">
      <c r="A190" t="inlineStr">
        <is>
          <t>Switzerland</t>
        </is>
      </c>
      <c r="B190" t="inlineStr">
        <is>
          <t>CHE</t>
        </is>
      </c>
      <c r="C190" t="inlineStr">
        <is>
          <t>CSWG.L</t>
        </is>
      </c>
      <c r="D190" t="inlineStr">
        <is>
          <t>YTD</t>
        </is>
      </c>
      <c r="E190" s="2" t="n">
        <v>46022</v>
      </c>
      <c r="F190" s="2" t="n">
        <v>46086</v>
      </c>
      <c r="G190" t="n">
        <v>2.936204224855699</v>
      </c>
      <c r="H190" t="n">
        <v>2.189616093457425</v>
      </c>
      <c r="I190" t="inlineStr">
        <is>
          <t>Switzerland|CSWG.L|YTD</t>
        </is>
      </c>
      <c r="J190" t="inlineStr">
        <is>
          <t>GBp</t>
        </is>
      </c>
    </row>
    <row r="191">
      <c r="A191" t="inlineStr">
        <is>
          <t>Switzerland</t>
        </is>
      </c>
      <c r="B191" t="inlineStr">
        <is>
          <t>CHE</t>
        </is>
      </c>
      <c r="C191" t="inlineStr">
        <is>
          <t>CSWG.L</t>
        </is>
      </c>
      <c r="D191" t="inlineStr">
        <is>
          <t>1 Month</t>
        </is>
      </c>
      <c r="E191" s="2" t="n">
        <v>46058</v>
      </c>
      <c r="F191" s="2" t="n">
        <v>46086</v>
      </c>
      <c r="G191" t="n">
        <v>-0.4645981405151933</v>
      </c>
      <c r="H191" t="n">
        <v>-2.471345337055819</v>
      </c>
      <c r="I191" t="inlineStr">
        <is>
          <t>Switzerland|CSWG.L|1 Month</t>
        </is>
      </c>
      <c r="J191" t="inlineStr">
        <is>
          <t>GBp</t>
        </is>
      </c>
    </row>
    <row r="192">
      <c r="A192" t="inlineStr">
        <is>
          <t>Switzerland</t>
        </is>
      </c>
      <c r="B192" t="inlineStr">
        <is>
          <t>CHE</t>
        </is>
      </c>
      <c r="C192" t="inlineStr">
        <is>
          <t>CSWG.L</t>
        </is>
      </c>
      <c r="D192" t="inlineStr">
        <is>
          <t>3 Months</t>
        </is>
      </c>
      <c r="E192" s="2" t="n">
        <v>45996</v>
      </c>
      <c r="F192" s="2" t="n">
        <v>46086</v>
      </c>
      <c r="G192" t="n">
        <v>5.826937073488048</v>
      </c>
      <c r="H192" t="n">
        <v>6.206119946894528</v>
      </c>
      <c r="I192" t="inlineStr">
        <is>
          <t>Switzerland|CSWG.L|3 Months</t>
        </is>
      </c>
      <c r="J192" t="inlineStr">
        <is>
          <t>GBp</t>
        </is>
      </c>
    </row>
    <row r="193">
      <c r="A193" t="inlineStr">
        <is>
          <t>Switzerland</t>
        </is>
      </c>
      <c r="B193" t="inlineStr">
        <is>
          <t>CHE</t>
        </is>
      </c>
      <c r="C193" t="inlineStr">
        <is>
          <t>CSWG.L</t>
        </is>
      </c>
      <c r="D193" t="inlineStr">
        <is>
          <t>6 Months</t>
        </is>
      </c>
      <c r="E193" s="2" t="n">
        <v>45905</v>
      </c>
      <c r="F193" s="2" t="n">
        <v>46086</v>
      </c>
      <c r="G193" t="n">
        <v>10.97362344499397</v>
      </c>
      <c r="H193" t="n">
        <v>10.35493653736936</v>
      </c>
      <c r="I193" t="inlineStr">
        <is>
          <t>Switzerland|CSWG.L|6 Months</t>
        </is>
      </c>
      <c r="J193" t="inlineStr">
        <is>
          <t>GBp</t>
        </is>
      </c>
    </row>
    <row r="194">
      <c r="A194" t="inlineStr">
        <is>
          <t>Switzerland</t>
        </is>
      </c>
      <c r="B194" t="inlineStr">
        <is>
          <t>CHE</t>
        </is>
      </c>
      <c r="C194" t="inlineStr">
        <is>
          <t>CSWG.L</t>
        </is>
      </c>
      <c r="D194" t="inlineStr">
        <is>
          <t>1 Year</t>
        </is>
      </c>
      <c r="E194" s="2" t="n">
        <v>45721</v>
      </c>
      <c r="F194" s="2" t="n">
        <v>46086</v>
      </c>
      <c r="G194" t="n">
        <v>14.11521388283112</v>
      </c>
      <c r="H194" t="n">
        <v>19.2460343697078</v>
      </c>
      <c r="I194" t="inlineStr">
        <is>
          <t>Switzerland|CSWG.L|1 Year</t>
        </is>
      </c>
      <c r="J194" t="inlineStr">
        <is>
          <t>GBp</t>
        </is>
      </c>
    </row>
    <row r="195">
      <c r="A195" t="inlineStr">
        <is>
          <t>Switzerland</t>
        </is>
      </c>
      <c r="B195" t="inlineStr">
        <is>
          <t>CHE</t>
        </is>
      </c>
      <c r="C195" t="inlineStr">
        <is>
          <t>CSWG.L</t>
        </is>
      </c>
      <c r="D195" t="inlineStr">
        <is>
          <t>3 Years</t>
        </is>
      </c>
      <c r="E195" s="2" t="n">
        <v>44988</v>
      </c>
      <c r="F195" s="2" t="n">
        <v>46086</v>
      </c>
      <c r="G195" t="n">
        <v>32.92354304200597</v>
      </c>
      <c r="H195" t="n">
        <v>48.69374121361479</v>
      </c>
      <c r="I195" t="inlineStr">
        <is>
          <t>Switzerland|CSWG.L|3 Years</t>
        </is>
      </c>
      <c r="J195" t="inlineStr">
        <is>
          <t>GBp</t>
        </is>
      </c>
    </row>
    <row r="196">
      <c r="A196" t="inlineStr">
        <is>
          <t>Switzerland</t>
        </is>
      </c>
      <c r="B196" t="inlineStr">
        <is>
          <t>CHE</t>
        </is>
      </c>
      <c r="C196" t="inlineStr">
        <is>
          <t>CSWG.L</t>
        </is>
      </c>
      <c r="D196" t="inlineStr">
        <is>
          <t>5 Years</t>
        </is>
      </c>
      <c r="E196" s="2" t="n">
        <v>44260</v>
      </c>
      <c r="F196" s="2" t="n">
        <v>46086</v>
      </c>
      <c r="G196" t="n">
        <v>-95.91598261613605</v>
      </c>
      <c r="H196" t="n">
        <v>-96.07017656980696</v>
      </c>
      <c r="I196" t="inlineStr">
        <is>
          <t>Switzerland|CSWG.L|5 Years</t>
        </is>
      </c>
      <c r="J196" t="inlineStr">
        <is>
          <t>GBp</t>
        </is>
      </c>
    </row>
    <row r="197">
      <c r="A197" t="inlineStr">
        <is>
          <t>Switzerland</t>
        </is>
      </c>
      <c r="B197" t="inlineStr">
        <is>
          <t>CHE</t>
        </is>
      </c>
      <c r="C197" t="inlineStr">
        <is>
          <t>CSWG.L</t>
        </is>
      </c>
      <c r="D197" t="inlineStr">
        <is>
          <t>10 Years</t>
        </is>
      </c>
      <c r="E197" s="2" t="n">
        <v>42433</v>
      </c>
      <c r="F197" s="2" t="n">
        <v>46086</v>
      </c>
      <c r="G197" t="n">
        <v>86.54021784914316</v>
      </c>
      <c r="H197" t="n">
        <v>75.94093448783765</v>
      </c>
      <c r="I197" t="inlineStr">
        <is>
          <t>Switzerland|CSWG.L|10 Years</t>
        </is>
      </c>
      <c r="J197" t="inlineStr">
        <is>
          <t>GBp</t>
        </is>
      </c>
    </row>
    <row r="198">
      <c r="A198" t="inlineStr">
        <is>
          <t>Switzerland</t>
        </is>
      </c>
      <c r="B198" t="inlineStr">
        <is>
          <t>CHE</t>
        </is>
      </c>
      <c r="C198" t="inlineStr">
        <is>
          <t>CSWG.L</t>
        </is>
      </c>
      <c r="D198" t="inlineStr">
        <is>
          <t>MAX</t>
        </is>
      </c>
      <c r="E198" s="2" t="n">
        <v>40347</v>
      </c>
      <c r="F198" s="2" t="n">
        <v>46086</v>
      </c>
      <c r="G198" t="n">
        <v>-93.47600505039158</v>
      </c>
      <c r="H198" t="n">
        <v>-94.11848693590797</v>
      </c>
      <c r="I198" t="inlineStr">
        <is>
          <t>Switzerland|CSWG.L|MAX</t>
        </is>
      </c>
      <c r="J198" t="inlineStr">
        <is>
          <t>GBp</t>
        </is>
      </c>
    </row>
    <row r="199">
      <c r="A199" t="inlineStr">
        <is>
          <t>Taiwan</t>
        </is>
      </c>
      <c r="B199" t="inlineStr">
        <is>
          <t>TWN</t>
        </is>
      </c>
      <c r="C199" t="inlineStr">
        <is>
          <t>XMTW.L</t>
        </is>
      </c>
      <c r="D199" t="inlineStr">
        <is>
          <t>YTD</t>
        </is>
      </c>
      <c r="E199" s="2" t="n">
        <v>46022</v>
      </c>
      <c r="F199" s="2" t="n">
        <v>46086</v>
      </c>
      <c r="G199" t="n">
        <v>12.22824070638866</v>
      </c>
      <c r="H199" t="n">
        <v>11.41425817079729</v>
      </c>
      <c r="I199" t="inlineStr">
        <is>
          <t>Taiwan|XMTW.L|YTD</t>
        </is>
      </c>
      <c r="J199" t="inlineStr">
        <is>
          <t>GBp</t>
        </is>
      </c>
    </row>
    <row r="200">
      <c r="A200" t="inlineStr">
        <is>
          <t>Taiwan</t>
        </is>
      </c>
      <c r="B200" t="inlineStr">
        <is>
          <t>TWN</t>
        </is>
      </c>
      <c r="C200" t="inlineStr">
        <is>
          <t>XMTW.L</t>
        </is>
      </c>
      <c r="D200" t="inlineStr">
        <is>
          <t>1 Month</t>
        </is>
      </c>
      <c r="E200" s="2" t="n">
        <v>46058</v>
      </c>
      <c r="F200" s="2" t="n">
        <v>46086</v>
      </c>
      <c r="G200" t="n">
        <v>5.180806675938787</v>
      </c>
      <c r="H200" t="n">
        <v>3.0602416811363</v>
      </c>
      <c r="I200" t="inlineStr">
        <is>
          <t>Taiwan|XMTW.L|1 Month</t>
        </is>
      </c>
      <c r="J200" t="inlineStr">
        <is>
          <t>GBp</t>
        </is>
      </c>
    </row>
    <row r="201">
      <c r="A201" t="inlineStr">
        <is>
          <t>Taiwan</t>
        </is>
      </c>
      <c r="B201" t="inlineStr">
        <is>
          <t>TWN</t>
        </is>
      </c>
      <c r="C201" t="inlineStr">
        <is>
          <t>XMTW.L</t>
        </is>
      </c>
      <c r="D201" t="inlineStr">
        <is>
          <t>3 Months</t>
        </is>
      </c>
      <c r="E201" s="2" t="n">
        <v>45996</v>
      </c>
      <c r="F201" s="2" t="n">
        <v>46086</v>
      </c>
      <c r="G201" t="n">
        <v>14.02186204297022</v>
      </c>
      <c r="H201" t="n">
        <v>14.43040771646533</v>
      </c>
      <c r="I201" t="inlineStr">
        <is>
          <t>Taiwan|XMTW.L|3 Months</t>
        </is>
      </c>
      <c r="J201" t="inlineStr">
        <is>
          <t>GBp</t>
        </is>
      </c>
    </row>
    <row r="202">
      <c r="A202" t="inlineStr">
        <is>
          <t>Taiwan</t>
        </is>
      </c>
      <c r="B202" t="inlineStr">
        <is>
          <t>TWN</t>
        </is>
      </c>
      <c r="C202" t="inlineStr">
        <is>
          <t>XMTW.L</t>
        </is>
      </c>
      <c r="D202" t="inlineStr">
        <is>
          <t>6 Months</t>
        </is>
      </c>
      <c r="E202" s="2" t="n">
        <v>45905</v>
      </c>
      <c r="F202" s="2" t="n">
        <v>46086</v>
      </c>
      <c r="G202" t="n">
        <v>28.72340425531914</v>
      </c>
      <c r="H202" t="n">
        <v>28.00576088705416</v>
      </c>
      <c r="I202" t="inlineStr">
        <is>
          <t>Taiwan|XMTW.L|6 Months</t>
        </is>
      </c>
      <c r="J202" t="inlineStr">
        <is>
          <t>GBp</t>
        </is>
      </c>
    </row>
    <row r="203">
      <c r="A203" t="inlineStr">
        <is>
          <t>Taiwan</t>
        </is>
      </c>
      <c r="B203" t="inlineStr">
        <is>
          <t>TWN</t>
        </is>
      </c>
      <c r="C203" t="inlineStr">
        <is>
          <t>XMTW.L</t>
        </is>
      </c>
      <c r="D203" t="inlineStr">
        <is>
          <t>1 Year</t>
        </is>
      </c>
      <c r="E203" s="2" t="n">
        <v>45721</v>
      </c>
      <c r="F203" s="2" t="n">
        <v>46086</v>
      </c>
      <c r="G203" t="n">
        <v>45.33487076006535</v>
      </c>
      <c r="H203" t="n">
        <v>51.86938186494712</v>
      </c>
      <c r="I203" t="inlineStr">
        <is>
          <t>Taiwan|XMTW.L|1 Year</t>
        </is>
      </c>
      <c r="J203" t="inlineStr">
        <is>
          <t>GBp</t>
        </is>
      </c>
    </row>
    <row r="204">
      <c r="A204" t="inlineStr">
        <is>
          <t>Taiwan</t>
        </is>
      </c>
      <c r="B204" t="inlineStr">
        <is>
          <t>TWN</t>
        </is>
      </c>
      <c r="C204" t="inlineStr">
        <is>
          <t>XMTW.L</t>
        </is>
      </c>
      <c r="D204" t="inlineStr">
        <is>
          <t>3 Years</t>
        </is>
      </c>
      <c r="E204" s="2" t="n">
        <v>44988</v>
      </c>
      <c r="F204" s="2" t="n">
        <v>46086</v>
      </c>
      <c r="G204" t="n">
        <v>90.58719758064517</v>
      </c>
      <c r="H204" t="n">
        <v>113.1986763754025</v>
      </c>
      <c r="I204" t="inlineStr">
        <is>
          <t>Taiwan|XMTW.L|3 Years</t>
        </is>
      </c>
      <c r="J204" t="inlineStr">
        <is>
          <t>GBp</t>
        </is>
      </c>
    </row>
    <row r="205">
      <c r="A205" t="inlineStr">
        <is>
          <t>Taiwan</t>
        </is>
      </c>
      <c r="B205" t="inlineStr">
        <is>
          <t>TWN</t>
        </is>
      </c>
      <c r="C205" t="inlineStr">
        <is>
          <t>XMTW.L</t>
        </is>
      </c>
      <c r="D205" t="inlineStr">
        <is>
          <t>5 Years</t>
        </is>
      </c>
      <c r="E205" s="2" t="n">
        <v>44260</v>
      </c>
      <c r="F205" s="2" t="n">
        <v>46086</v>
      </c>
      <c r="G205" t="n">
        <v>102.4494712889841</v>
      </c>
      <c r="H205" t="n">
        <v>94.8058984383953</v>
      </c>
      <c r="I205" t="inlineStr">
        <is>
          <t>Taiwan|XMTW.L|5 Years</t>
        </is>
      </c>
      <c r="J205" t="inlineStr">
        <is>
          <t>GBp</t>
        </is>
      </c>
    </row>
    <row r="206">
      <c r="A206" t="inlineStr">
        <is>
          <t>Taiwan</t>
        </is>
      </c>
      <c r="B206" t="inlineStr">
        <is>
          <t>TWN</t>
        </is>
      </c>
      <c r="C206" t="inlineStr">
        <is>
          <t>XMTW.L</t>
        </is>
      </c>
      <c r="D206" t="inlineStr">
        <is>
          <t>10 Years</t>
        </is>
      </c>
      <c r="E206" s="2" t="n">
        <v>42433</v>
      </c>
      <c r="F206" s="2" t="n">
        <v>46086</v>
      </c>
      <c r="G206" t="n">
        <v>441.241724816604</v>
      </c>
      <c r="H206" t="n">
        <v>410.4881721809343</v>
      </c>
      <c r="I206" t="inlineStr">
        <is>
          <t>Taiwan|XMTW.L|10 Years</t>
        </is>
      </c>
      <c r="J206" t="inlineStr">
        <is>
          <t>GBp</t>
        </is>
      </c>
    </row>
    <row r="207">
      <c r="A207" t="inlineStr">
        <is>
          <t>Taiwan</t>
        </is>
      </c>
      <c r="B207" t="inlineStr">
        <is>
          <t>TWN</t>
        </is>
      </c>
      <c r="C207" t="inlineStr">
        <is>
          <t>XMTW.L</t>
        </is>
      </c>
      <c r="D207" t="inlineStr">
        <is>
          <t>MAX</t>
        </is>
      </c>
      <c r="E207" s="2" t="n">
        <v>39818</v>
      </c>
      <c r="F207" s="2" t="n">
        <v>46086</v>
      </c>
      <c r="G207" t="n">
        <v>1043.2350718065</v>
      </c>
      <c r="H207" t="n">
        <v>938.6280329215156</v>
      </c>
      <c r="I207" t="inlineStr">
        <is>
          <t>Taiwan|XMTW.L|MAX</t>
        </is>
      </c>
      <c r="J207" t="inlineStr">
        <is>
          <t>GBp</t>
        </is>
      </c>
    </row>
    <row r="208">
      <c r="A208" t="inlineStr">
        <is>
          <t>Thailand</t>
        </is>
      </c>
      <c r="B208" t="inlineStr">
        <is>
          <t>THA</t>
        </is>
      </c>
      <c r="C208" t="inlineStr">
        <is>
          <t>XCX4.L</t>
        </is>
      </c>
      <c r="D208" t="inlineStr">
        <is>
          <t>YTD</t>
        </is>
      </c>
      <c r="E208" s="2" t="n">
        <v>46022</v>
      </c>
      <c r="F208" s="2" t="n">
        <v>46086</v>
      </c>
      <c r="G208" t="n">
        <v>16.11078886310901</v>
      </c>
      <c r="H208" t="n">
        <v>15.26864651343456</v>
      </c>
      <c r="I208" t="inlineStr">
        <is>
          <t>Thailand|XCX4.L|YTD</t>
        </is>
      </c>
      <c r="J208" t="inlineStr">
        <is>
          <t>GBp</t>
        </is>
      </c>
    </row>
    <row r="209">
      <c r="A209" t="inlineStr">
        <is>
          <t>Thailand</t>
        </is>
      </c>
      <c r="B209" t="inlineStr">
        <is>
          <t>THA</t>
        </is>
      </c>
      <c r="C209" t="inlineStr">
        <is>
          <t>XCX4.L</t>
        </is>
      </c>
      <c r="D209" t="inlineStr">
        <is>
          <t>1 Month</t>
        </is>
      </c>
      <c r="E209" s="2" t="n">
        <v>46058</v>
      </c>
      <c r="F209" s="2" t="n">
        <v>46086</v>
      </c>
      <c r="G209" t="n">
        <v>7.751312071053684</v>
      </c>
      <c r="H209" t="n">
        <v>5.57892275647176</v>
      </c>
      <c r="I209" t="inlineStr">
        <is>
          <t>Thailand|XCX4.L|1 Month</t>
        </is>
      </c>
      <c r="J209" t="inlineStr">
        <is>
          <t>GBp</t>
        </is>
      </c>
    </row>
    <row r="210">
      <c r="A210" t="inlineStr">
        <is>
          <t>Thailand</t>
        </is>
      </c>
      <c r="B210" t="inlineStr">
        <is>
          <t>THA</t>
        </is>
      </c>
      <c r="C210" t="inlineStr">
        <is>
          <t>XCX4.L</t>
        </is>
      </c>
      <c r="D210" t="inlineStr">
        <is>
          <t>3 Months</t>
        </is>
      </c>
      <c r="E210" s="2" t="n">
        <v>45996</v>
      </c>
      <c r="F210" s="2" t="n">
        <v>46086</v>
      </c>
      <c r="G210" t="n">
        <v>15.44117647058822</v>
      </c>
      <c r="H210" t="n">
        <v>15.85480761417075</v>
      </c>
      <c r="I210" t="inlineStr">
        <is>
          <t>Thailand|XCX4.L|3 Months</t>
        </is>
      </c>
      <c r="J210" t="inlineStr">
        <is>
          <t>GBp</t>
        </is>
      </c>
    </row>
    <row r="211">
      <c r="A211" t="inlineStr">
        <is>
          <t>Thailand</t>
        </is>
      </c>
      <c r="B211" t="inlineStr">
        <is>
          <t>THA</t>
        </is>
      </c>
      <c r="C211" t="inlineStr">
        <is>
          <t>XCX4.L</t>
        </is>
      </c>
      <c r="D211" t="inlineStr">
        <is>
          <t>6 Months</t>
        </is>
      </c>
      <c r="E211" s="2" t="n">
        <v>45905</v>
      </c>
      <c r="F211" s="2" t="n">
        <v>46086</v>
      </c>
      <c r="G211" t="n">
        <v>22.59990813045474</v>
      </c>
      <c r="H211" t="n">
        <v>21.91640374732635</v>
      </c>
      <c r="I211" t="inlineStr">
        <is>
          <t>Thailand|XCX4.L|6 Months</t>
        </is>
      </c>
      <c r="J211" t="inlineStr">
        <is>
          <t>GBp</t>
        </is>
      </c>
    </row>
    <row r="212">
      <c r="A212" t="inlineStr">
        <is>
          <t>Thailand</t>
        </is>
      </c>
      <c r="B212" t="inlineStr">
        <is>
          <t>THA</t>
        </is>
      </c>
      <c r="C212" t="inlineStr">
        <is>
          <t>XCX4.L</t>
        </is>
      </c>
      <c r="D212" t="inlineStr">
        <is>
          <t>1 Year</t>
        </is>
      </c>
      <c r="E212" s="2" t="n">
        <v>45721</v>
      </c>
      <c r="F212" s="2" t="n">
        <v>46086</v>
      </c>
      <c r="G212" t="n">
        <v>33.29448976194438</v>
      </c>
      <c r="H212" t="n">
        <v>39.28764418533763</v>
      </c>
      <c r="I212" t="inlineStr">
        <is>
          <t>Thailand|XCX4.L|1 Year</t>
        </is>
      </c>
      <c r="J212" t="inlineStr">
        <is>
          <t>GBp</t>
        </is>
      </c>
    </row>
    <row r="213">
      <c r="A213" t="inlineStr">
        <is>
          <t>Thailand</t>
        </is>
      </c>
      <c r="B213" t="inlineStr">
        <is>
          <t>THA</t>
        </is>
      </c>
      <c r="C213" t="inlineStr">
        <is>
          <t>XCX4.L</t>
        </is>
      </c>
      <c r="D213" t="inlineStr">
        <is>
          <t>3 Years</t>
        </is>
      </c>
      <c r="E213" s="2" t="n">
        <v>44988</v>
      </c>
      <c r="F213" s="2" t="n">
        <v>46086</v>
      </c>
      <c r="G213" t="n">
        <v>3.396177685950397</v>
      </c>
      <c r="H213" t="n">
        <v>15.66321612758315</v>
      </c>
      <c r="I213" t="inlineStr">
        <is>
          <t>Thailand|XCX4.L|3 Years</t>
        </is>
      </c>
      <c r="J213" t="inlineStr">
        <is>
          <t>GBp</t>
        </is>
      </c>
    </row>
    <row r="214">
      <c r="A214" t="inlineStr">
        <is>
          <t>Thailand</t>
        </is>
      </c>
      <c r="B214" t="inlineStr">
        <is>
          <t>THA</t>
        </is>
      </c>
      <c r="C214" t="inlineStr">
        <is>
          <t>XCX4.L</t>
        </is>
      </c>
      <c r="D214" t="inlineStr">
        <is>
          <t>5 Years</t>
        </is>
      </c>
      <c r="E214" s="2" t="n">
        <v>44260</v>
      </c>
      <c r="F214" s="2" t="n">
        <v>46086</v>
      </c>
      <c r="G214" t="n">
        <v>12.88594388834059</v>
      </c>
      <c r="H214" t="n">
        <v>8.62388318536973</v>
      </c>
      <c r="I214" t="inlineStr">
        <is>
          <t>Thailand|XCX4.L|5 Years</t>
        </is>
      </c>
      <c r="J214" t="inlineStr">
        <is>
          <t>GBp</t>
        </is>
      </c>
    </row>
    <row r="215">
      <c r="A215" t="inlineStr">
        <is>
          <t>Thailand</t>
        </is>
      </c>
      <c r="B215" t="inlineStr">
        <is>
          <t>THA</t>
        </is>
      </c>
      <c r="C215" t="inlineStr">
        <is>
          <t>XCX4.L</t>
        </is>
      </c>
      <c r="D215" t="inlineStr">
        <is>
          <t>10 Years</t>
        </is>
      </c>
      <c r="E215" s="2" t="n">
        <v>42433</v>
      </c>
      <c r="F215" s="2" t="n">
        <v>46086</v>
      </c>
      <c r="G215" t="n">
        <v>57.68018905080739</v>
      </c>
      <c r="H215" t="n">
        <v>48.72074307457655</v>
      </c>
      <c r="I215" t="inlineStr">
        <is>
          <t>Thailand|XCX4.L|10 Years</t>
        </is>
      </c>
      <c r="J215" t="inlineStr">
        <is>
          <t>GBp</t>
        </is>
      </c>
    </row>
    <row r="216">
      <c r="A216" t="inlineStr">
        <is>
          <t>Thailand</t>
        </is>
      </c>
      <c r="B216" t="inlineStr">
        <is>
          <t>THA</t>
        </is>
      </c>
      <c r="C216" t="inlineStr">
        <is>
          <t>XCX4.L</t>
        </is>
      </c>
      <c r="D216" t="inlineStr">
        <is>
          <t>MAX</t>
        </is>
      </c>
      <c r="E216" s="2" t="n">
        <v>40354</v>
      </c>
      <c r="F216" s="2" t="n">
        <v>46086</v>
      </c>
      <c r="G216" t="n">
        <v>74.42011923250334</v>
      </c>
      <c r="H216" t="n">
        <v>54.75976706118162</v>
      </c>
      <c r="I216" t="inlineStr">
        <is>
          <t>Thailand|XCX4.L|MAX</t>
        </is>
      </c>
      <c r="J216" t="inlineStr">
        <is>
          <t>GBp</t>
        </is>
      </c>
    </row>
    <row r="217">
      <c r="A217" t="inlineStr">
        <is>
          <t>Turkey</t>
        </is>
      </c>
      <c r="B217" t="inlineStr">
        <is>
          <t>TUR</t>
        </is>
      </c>
      <c r="C217" t="inlineStr">
        <is>
          <t>TURL.L</t>
        </is>
      </c>
      <c r="D217" t="inlineStr">
        <is>
          <t>YTD</t>
        </is>
      </c>
      <c r="E217" s="2" t="n">
        <v>46022</v>
      </c>
      <c r="F217" s="2" t="n">
        <v>46086</v>
      </c>
      <c r="G217" t="n">
        <v>0</v>
      </c>
      <c r="H217" t="n">
        <v>-0.7252920748538783</v>
      </c>
      <c r="I217" t="inlineStr">
        <is>
          <t>Turkey|TURL.L|YTD</t>
        </is>
      </c>
      <c r="J217" t="inlineStr">
        <is>
          <t>GBp</t>
        </is>
      </c>
    </row>
    <row r="218">
      <c r="A218" t="inlineStr">
        <is>
          <t>Turkey</t>
        </is>
      </c>
      <c r="B218" t="inlineStr">
        <is>
          <t>TUR</t>
        </is>
      </c>
      <c r="C218" t="inlineStr">
        <is>
          <t>TURL.L</t>
        </is>
      </c>
      <c r="D218" t="inlineStr">
        <is>
          <t>1 Month</t>
        </is>
      </c>
      <c r="E218" s="2" t="n">
        <v>46058</v>
      </c>
      <c r="F218" s="2" t="n">
        <v>46086</v>
      </c>
      <c r="G218" t="n">
        <v>0</v>
      </c>
      <c r="H218" t="n">
        <v>-2.016114024810567</v>
      </c>
      <c r="I218" t="inlineStr">
        <is>
          <t>Turkey|TURL.L|1 Month</t>
        </is>
      </c>
      <c r="J218" t="inlineStr">
        <is>
          <t>GBp</t>
        </is>
      </c>
    </row>
    <row r="219">
      <c r="A219" t="inlineStr">
        <is>
          <t>Turkey</t>
        </is>
      </c>
      <c r="B219" t="inlineStr">
        <is>
          <t>TUR</t>
        </is>
      </c>
      <c r="C219" t="inlineStr">
        <is>
          <t>TURL.L</t>
        </is>
      </c>
      <c r="D219" t="inlineStr">
        <is>
          <t>3 Months</t>
        </is>
      </c>
      <c r="E219" s="2" t="n">
        <v>45996</v>
      </c>
      <c r="F219" s="2" t="n">
        <v>46086</v>
      </c>
      <c r="G219" t="n">
        <v>0</v>
      </c>
      <c r="H219" t="n">
        <v>0.3583046848867788</v>
      </c>
      <c r="I219" t="inlineStr">
        <is>
          <t>Turkey|TURL.L|3 Months</t>
        </is>
      </c>
      <c r="J219" t="inlineStr">
        <is>
          <t>GBp</t>
        </is>
      </c>
    </row>
    <row r="220">
      <c r="A220" t="inlineStr">
        <is>
          <t>Turkey</t>
        </is>
      </c>
      <c r="B220" t="inlineStr">
        <is>
          <t>TUR</t>
        </is>
      </c>
      <c r="C220" t="inlineStr">
        <is>
          <t>TURL.L</t>
        </is>
      </c>
      <c r="D220" t="inlineStr">
        <is>
          <t>6 Months</t>
        </is>
      </c>
      <c r="E220" s="2" t="n">
        <v>45905</v>
      </c>
      <c r="F220" s="2" t="n">
        <v>46086</v>
      </c>
      <c r="G220" t="n">
        <v>0</v>
      </c>
      <c r="H220" t="n">
        <v>-0.55750807121413</v>
      </c>
      <c r="I220" t="inlineStr">
        <is>
          <t>Turkey|TURL.L|6 Months</t>
        </is>
      </c>
      <c r="J220" t="inlineStr">
        <is>
          <t>GBp</t>
        </is>
      </c>
    </row>
    <row r="221">
      <c r="A221" t="inlineStr">
        <is>
          <t>Turkey</t>
        </is>
      </c>
      <c r="B221" t="inlineStr">
        <is>
          <t>TUR</t>
        </is>
      </c>
      <c r="C221" t="inlineStr">
        <is>
          <t>TURL.L</t>
        </is>
      </c>
      <c r="D221" t="inlineStr">
        <is>
          <t>1 Year</t>
        </is>
      </c>
      <c r="E221" s="2" t="n">
        <v>45721</v>
      </c>
      <c r="F221" s="2" t="n">
        <v>46086</v>
      </c>
      <c r="G221" t="n">
        <v>0</v>
      </c>
      <c r="H221" t="n">
        <v>4.496175673950709</v>
      </c>
      <c r="I221" t="inlineStr">
        <is>
          <t>Turkey|TURL.L|1 Year</t>
        </is>
      </c>
      <c r="J221" t="inlineStr">
        <is>
          <t>GBp</t>
        </is>
      </c>
    </row>
    <row r="222">
      <c r="A222" t="inlineStr">
        <is>
          <t>Turkey</t>
        </is>
      </c>
      <c r="B222" t="inlineStr">
        <is>
          <t>TUR</t>
        </is>
      </c>
      <c r="C222" t="inlineStr">
        <is>
          <t>TURL.L</t>
        </is>
      </c>
      <c r="D222" t="inlineStr">
        <is>
          <t>3 Years</t>
        </is>
      </c>
      <c r="E222" s="2" t="n">
        <v>44988</v>
      </c>
      <c r="F222" s="2" t="n">
        <v>46086</v>
      </c>
      <c r="G222" t="n">
        <v>-15.31205053427353</v>
      </c>
      <c r="H222" t="n">
        <v>-5.26457726311913</v>
      </c>
      <c r="I222" t="inlineStr">
        <is>
          <t>Turkey|TURL.L|3 Years</t>
        </is>
      </c>
      <c r="J222" t="inlineStr">
        <is>
          <t>GBp</t>
        </is>
      </c>
    </row>
    <row r="223">
      <c r="A223" t="inlineStr">
        <is>
          <t>Turkey</t>
        </is>
      </c>
      <c r="B223" t="inlineStr">
        <is>
          <t>TUR</t>
        </is>
      </c>
      <c r="C223" t="inlineStr">
        <is>
          <t>TURL.L</t>
        </is>
      </c>
      <c r="D223" t="inlineStr">
        <is>
          <t>5 Years</t>
        </is>
      </c>
      <c r="E223" s="2" t="n">
        <v>44260</v>
      </c>
      <c r="F223" s="2" t="n">
        <v>46086</v>
      </c>
      <c r="G223" t="n">
        <v>36.26809642685265</v>
      </c>
      <c r="H223" t="n">
        <v>31.12323180647081</v>
      </c>
      <c r="I223" t="inlineStr">
        <is>
          <t>Turkey|TURL.L|5 Years</t>
        </is>
      </c>
      <c r="J223" t="inlineStr">
        <is>
          <t>GBp</t>
        </is>
      </c>
    </row>
    <row r="224">
      <c r="A224" t="inlineStr">
        <is>
          <t>Turkey</t>
        </is>
      </c>
      <c r="B224" t="inlineStr">
        <is>
          <t>TUR</t>
        </is>
      </c>
      <c r="C224" t="inlineStr">
        <is>
          <t>TURL.L</t>
        </is>
      </c>
      <c r="D224" t="inlineStr">
        <is>
          <t>10 Years</t>
        </is>
      </c>
      <c r="E224" s="2" t="n">
        <v>42433</v>
      </c>
      <c r="F224" s="2" t="n">
        <v>46086</v>
      </c>
      <c r="G224" t="n">
        <v>-30.6263991640392</v>
      </c>
      <c r="H224" t="n">
        <v>-34.56823252058165</v>
      </c>
      <c r="I224" t="inlineStr">
        <is>
          <t>Turkey|TURL.L|10 Years</t>
        </is>
      </c>
      <c r="J224" t="inlineStr">
        <is>
          <t>GBp</t>
        </is>
      </c>
    </row>
    <row r="225">
      <c r="A225" t="inlineStr">
        <is>
          <t>Turkey</t>
        </is>
      </c>
      <c r="B225" t="inlineStr">
        <is>
          <t>TUR</t>
        </is>
      </c>
      <c r="C225" t="inlineStr">
        <is>
          <t>TURL.L</t>
        </is>
      </c>
      <c r="D225" t="inlineStr">
        <is>
          <t>MAX</t>
        </is>
      </c>
      <c r="E225" s="2" t="n">
        <v>39450</v>
      </c>
      <c r="F225" s="2" t="n">
        <v>46086</v>
      </c>
      <c r="G225" t="n">
        <v>-99.43612293704946</v>
      </c>
      <c r="H225" t="n">
        <v>-99.61811624972638</v>
      </c>
      <c r="I225" t="inlineStr">
        <is>
          <t>Turkey|TURL.L|MAX</t>
        </is>
      </c>
      <c r="J225" t="inlineStr">
        <is>
          <t>GBp</t>
        </is>
      </c>
    </row>
    <row r="226">
      <c r="A226" t="inlineStr">
        <is>
          <t>United Kingdom</t>
        </is>
      </c>
      <c r="B226" t="inlineStr">
        <is>
          <t>GBR</t>
        </is>
      </c>
      <c r="C226" t="inlineStr">
        <is>
          <t>CSUK.L</t>
        </is>
      </c>
      <c r="D226" t="inlineStr">
        <is>
          <t>YTD</t>
        </is>
      </c>
      <c r="E226" s="2" t="n">
        <v>46022</v>
      </c>
      <c r="F226" s="2" t="n">
        <v>46086</v>
      </c>
      <c r="G226" t="n">
        <v>5.827684233544739</v>
      </c>
      <c r="H226" t="n">
        <v>5.060124426797441</v>
      </c>
      <c r="I226" t="inlineStr">
        <is>
          <t>United Kingdom|CSUK.L|YTD</t>
        </is>
      </c>
      <c r="J226" t="inlineStr">
        <is>
          <t>GBp</t>
        </is>
      </c>
    </row>
    <row r="227">
      <c r="A227" t="inlineStr">
        <is>
          <t>United Kingdom</t>
        </is>
      </c>
      <c r="B227" t="inlineStr">
        <is>
          <t>GBR</t>
        </is>
      </c>
      <c r="C227" t="inlineStr">
        <is>
          <t>CSUK.L</t>
        </is>
      </c>
      <c r="D227" t="inlineStr">
        <is>
          <t>1 Month</t>
        </is>
      </c>
      <c r="E227" s="2" t="n">
        <v>46058</v>
      </c>
      <c r="F227" s="2" t="n">
        <v>46086</v>
      </c>
      <c r="G227" t="n">
        <v>1.723594324750399</v>
      </c>
      <c r="H227" t="n">
        <v>-0.3272693269723015</v>
      </c>
      <c r="I227" t="inlineStr">
        <is>
          <t>United Kingdom|CSUK.L|1 Month</t>
        </is>
      </c>
      <c r="J227" t="inlineStr">
        <is>
          <t>GBp</t>
        </is>
      </c>
    </row>
    <row r="228">
      <c r="A228" t="inlineStr">
        <is>
          <t>United Kingdom</t>
        </is>
      </c>
      <c r="B228" t="inlineStr">
        <is>
          <t>GBR</t>
        </is>
      </c>
      <c r="C228" t="inlineStr">
        <is>
          <t>CSUK.L</t>
        </is>
      </c>
      <c r="D228" t="inlineStr">
        <is>
          <t>3 Months</t>
        </is>
      </c>
      <c r="E228" s="2" t="n">
        <v>45996</v>
      </c>
      <c r="F228" s="2" t="n">
        <v>46086</v>
      </c>
      <c r="G228" t="n">
        <v>8.521134656351625</v>
      </c>
      <c r="H228" t="n">
        <v>8.909970965917612</v>
      </c>
      <c r="I228" t="inlineStr">
        <is>
          <t>United Kingdom|CSUK.L|3 Months</t>
        </is>
      </c>
      <c r="J228" t="inlineStr">
        <is>
          <t>GBp</t>
        </is>
      </c>
    </row>
    <row r="229">
      <c r="A229" t="inlineStr">
        <is>
          <t>United Kingdom</t>
        </is>
      </c>
      <c r="B229" t="inlineStr">
        <is>
          <t>GBR</t>
        </is>
      </c>
      <c r="C229" t="inlineStr">
        <is>
          <t>CSUK.L</t>
        </is>
      </c>
      <c r="D229" t="inlineStr">
        <is>
          <t>6 Months</t>
        </is>
      </c>
      <c r="E229" s="2" t="n">
        <v>45905</v>
      </c>
      <c r="F229" s="2" t="n">
        <v>46086</v>
      </c>
      <c r="G229" t="n">
        <v>14.53082475446692</v>
      </c>
      <c r="H229" t="n">
        <v>13.89230616243267</v>
      </c>
      <c r="I229" t="inlineStr">
        <is>
          <t>United Kingdom|CSUK.L|6 Months</t>
        </is>
      </c>
      <c r="J229" t="inlineStr">
        <is>
          <t>GBp</t>
        </is>
      </c>
    </row>
    <row r="230">
      <c r="A230" t="inlineStr">
        <is>
          <t>United Kingdom</t>
        </is>
      </c>
      <c r="B230" t="inlineStr">
        <is>
          <t>GBR</t>
        </is>
      </c>
      <c r="C230" t="inlineStr">
        <is>
          <t>CSUK.L</t>
        </is>
      </c>
      <c r="D230" t="inlineStr">
        <is>
          <t>1 Year</t>
        </is>
      </c>
      <c r="E230" s="2" t="n">
        <v>45721</v>
      </c>
      <c r="F230" s="2" t="n">
        <v>46086</v>
      </c>
      <c r="G230" t="n">
        <v>22.68982127012296</v>
      </c>
      <c r="H230" t="n">
        <v>28.20617116848383</v>
      </c>
      <c r="I230" t="inlineStr">
        <is>
          <t>United Kingdom|CSUK.L|1 Year</t>
        </is>
      </c>
      <c r="J230" t="inlineStr">
        <is>
          <t>GBp</t>
        </is>
      </c>
    </row>
    <row r="231">
      <c r="A231" t="inlineStr">
        <is>
          <t>United Kingdom</t>
        </is>
      </c>
      <c r="B231" t="inlineStr">
        <is>
          <t>GBR</t>
        </is>
      </c>
      <c r="C231" t="inlineStr">
        <is>
          <t>CSUK.L</t>
        </is>
      </c>
      <c r="D231" t="inlineStr">
        <is>
          <t>3 Years</t>
        </is>
      </c>
      <c r="E231" s="2" t="n">
        <v>44988</v>
      </c>
      <c r="F231" s="2" t="n">
        <v>46086</v>
      </c>
      <c r="G231" t="n">
        <v>44.35495898583148</v>
      </c>
      <c r="H231" t="n">
        <v>61.48139316116497</v>
      </c>
      <c r="I231" t="inlineStr">
        <is>
          <t>United Kingdom|CSUK.L|3 Years</t>
        </is>
      </c>
      <c r="J231" t="inlineStr">
        <is>
          <t>GBp</t>
        </is>
      </c>
    </row>
    <row r="232">
      <c r="A232" t="inlineStr">
        <is>
          <t>United Kingdom</t>
        </is>
      </c>
      <c r="B232" t="inlineStr">
        <is>
          <t>GBR</t>
        </is>
      </c>
      <c r="C232" t="inlineStr">
        <is>
          <t>CSUK.L</t>
        </is>
      </c>
      <c r="D232" t="inlineStr">
        <is>
          <t>5 Years</t>
        </is>
      </c>
      <c r="E232" s="2" t="n">
        <v>44260</v>
      </c>
      <c r="F232" s="2" t="n">
        <v>46086</v>
      </c>
      <c r="G232" t="n">
        <v>89.13531998045923</v>
      </c>
      <c r="H232" t="n">
        <v>81.99442903277946</v>
      </c>
      <c r="I232" t="inlineStr">
        <is>
          <t>United Kingdom|CSUK.L|5 Years</t>
        </is>
      </c>
      <c r="J232" t="inlineStr">
        <is>
          <t>GBp</t>
        </is>
      </c>
    </row>
    <row r="233">
      <c r="A233" t="inlineStr">
        <is>
          <t>United Kingdom</t>
        </is>
      </c>
      <c r="B233" t="inlineStr">
        <is>
          <t>GBR</t>
        </is>
      </c>
      <c r="C233" t="inlineStr">
        <is>
          <t>CSUK.L</t>
        </is>
      </c>
      <c r="D233" t="inlineStr">
        <is>
          <t>10 Years</t>
        </is>
      </c>
      <c r="E233" s="2" t="n">
        <v>42433</v>
      </c>
      <c r="F233" s="2" t="n">
        <v>46086</v>
      </c>
      <c r="G233" t="n">
        <v>135.3985529275856</v>
      </c>
      <c r="H233" t="n">
        <v>122.0231211087028</v>
      </c>
      <c r="I233" t="inlineStr">
        <is>
          <t>United Kingdom|CSUK.L|10 Years</t>
        </is>
      </c>
      <c r="J233" t="inlineStr">
        <is>
          <t>GBp</t>
        </is>
      </c>
    </row>
    <row r="234">
      <c r="A234" t="inlineStr">
        <is>
          <t>United Kingdom</t>
        </is>
      </c>
      <c r="B234" t="inlineStr">
        <is>
          <t>GBR</t>
        </is>
      </c>
      <c r="C234" t="inlineStr">
        <is>
          <t>CSUK.L</t>
        </is>
      </c>
      <c r="D234" t="inlineStr">
        <is>
          <t>MAX</t>
        </is>
      </c>
      <c r="E234" s="2" t="n">
        <v>40443</v>
      </c>
      <c r="F234" s="2" t="n">
        <v>46086</v>
      </c>
      <c r="G234" t="n">
        <v>209.9263528658342</v>
      </c>
      <c r="H234" t="n">
        <v>165.325017973913</v>
      </c>
      <c r="I234" t="inlineStr">
        <is>
          <t>United Kingdom|CSUK.L|MAX</t>
        </is>
      </c>
      <c r="J234" t="inlineStr">
        <is>
          <t>GBp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CUKX.L</t>
        </is>
      </c>
      <c r="D235" t="inlineStr">
        <is>
          <t>YTD</t>
        </is>
      </c>
      <c r="E235" s="2" t="n">
        <v>46022</v>
      </c>
      <c r="F235" s="2" t="n">
        <v>46086</v>
      </c>
      <c r="G235" t="n">
        <v>5.331729805572261</v>
      </c>
      <c r="H235" t="n">
        <v>4.567767116985944</v>
      </c>
      <c r="I235" t="inlineStr">
        <is>
          <t>United Kingdom|CUKX.L|YTD</t>
        </is>
      </c>
      <c r="J235" t="inlineStr">
        <is>
          <t>GBp</t>
        </is>
      </c>
    </row>
    <row r="236">
      <c r="A236" t="inlineStr">
        <is>
          <t>United Kingdom</t>
        </is>
      </c>
      <c r="B236" t="inlineStr">
        <is>
          <t>GBR</t>
        </is>
      </c>
      <c r="C236" t="inlineStr">
        <is>
          <t>CUKX.L</t>
        </is>
      </c>
      <c r="D236" t="inlineStr">
        <is>
          <t>1 Month</t>
        </is>
      </c>
      <c r="E236" s="2" t="n">
        <v>46058</v>
      </c>
      <c r="F236" s="2" t="n">
        <v>46086</v>
      </c>
      <c r="G236" t="n">
        <v>1.179302045728026</v>
      </c>
      <c r="H236" t="n">
        <v>-0.8605880530213383</v>
      </c>
      <c r="I236" t="inlineStr">
        <is>
          <t>United Kingdom|CUKX.L|1 Month</t>
        </is>
      </c>
      <c r="J236" t="inlineStr">
        <is>
          <t>GBp</t>
        </is>
      </c>
    </row>
    <row r="237">
      <c r="A237" t="inlineStr">
        <is>
          <t>United Kingdom</t>
        </is>
      </c>
      <c r="B237" t="inlineStr">
        <is>
          <t>GBR</t>
        </is>
      </c>
      <c r="C237" t="inlineStr">
        <is>
          <t>CUKX.L</t>
        </is>
      </c>
      <c r="D237" t="inlineStr">
        <is>
          <t>3 Months</t>
        </is>
      </c>
      <c r="E237" s="2" t="n">
        <v>45996</v>
      </c>
      <c r="F237" s="2" t="n">
        <v>46086</v>
      </c>
      <c r="G237" t="n">
        <v>8.060867777092318</v>
      </c>
      <c r="H237" t="n">
        <v>8.448054928866956</v>
      </c>
      <c r="I237" t="inlineStr">
        <is>
          <t>United Kingdom|CUKX.L|3 Months</t>
        </is>
      </c>
      <c r="J237" t="inlineStr">
        <is>
          <t>GBp</t>
        </is>
      </c>
    </row>
    <row r="238">
      <c r="A238" t="inlineStr">
        <is>
          <t>United Kingdom</t>
        </is>
      </c>
      <c r="B238" t="inlineStr">
        <is>
          <t>GBR</t>
        </is>
      </c>
      <c r="C238" t="inlineStr">
        <is>
          <t>CUKX.L</t>
        </is>
      </c>
      <c r="D238" t="inlineStr">
        <is>
          <t>6 Months</t>
        </is>
      </c>
      <c r="E238" s="2" t="n">
        <v>45905</v>
      </c>
      <c r="F238" s="2" t="n">
        <v>46086</v>
      </c>
      <c r="G238" t="n">
        <v>14.47554732599934</v>
      </c>
      <c r="H238" t="n">
        <v>13.83733691009035</v>
      </c>
      <c r="I238" t="inlineStr">
        <is>
          <t>United Kingdom|CUKX.L|6 Months</t>
        </is>
      </c>
      <c r="J238" t="inlineStr">
        <is>
          <t>GBp</t>
        </is>
      </c>
    </row>
    <row r="239">
      <c r="A239" t="inlineStr">
        <is>
          <t>United Kingdom</t>
        </is>
      </c>
      <c r="B239" t="inlineStr">
        <is>
          <t>GBR</t>
        </is>
      </c>
      <c r="C239" t="inlineStr">
        <is>
          <t>CUKX.L</t>
        </is>
      </c>
      <c r="D239" t="inlineStr">
        <is>
          <t>1 Year</t>
        </is>
      </c>
      <c r="E239" s="2" t="n">
        <v>45721</v>
      </c>
      <c r="F239" s="2" t="n">
        <v>46086</v>
      </c>
      <c r="G239" t="n">
        <v>23.01749868320946</v>
      </c>
      <c r="H239" t="n">
        <v>28.54858153370656</v>
      </c>
      <c r="I239" t="inlineStr">
        <is>
          <t>United Kingdom|CUKX.L|1 Year</t>
        </is>
      </c>
      <c r="J239" t="inlineStr">
        <is>
          <t>GBp</t>
        </is>
      </c>
    </row>
    <row r="240">
      <c r="A240" t="inlineStr">
        <is>
          <t>United Kingdom</t>
        </is>
      </c>
      <c r="B240" t="inlineStr">
        <is>
          <t>GBR</t>
        </is>
      </c>
      <c r="C240" t="inlineStr">
        <is>
          <t>CUKX.L</t>
        </is>
      </c>
      <c r="D240" t="inlineStr">
        <is>
          <t>3 Years</t>
        </is>
      </c>
      <c r="E240" s="2" t="n">
        <v>44988</v>
      </c>
      <c r="F240" s="2" t="n">
        <v>46086</v>
      </c>
      <c r="G240" t="n">
        <v>45.72933998890736</v>
      </c>
      <c r="H240" t="n">
        <v>63.01883226731106</v>
      </c>
      <c r="I240" t="inlineStr">
        <is>
          <t>United Kingdom|CUKX.L|3 Years</t>
        </is>
      </c>
      <c r="J240" t="inlineStr">
        <is>
          <t>GBp</t>
        </is>
      </c>
    </row>
    <row r="241">
      <c r="A241" t="inlineStr">
        <is>
          <t>United Kingdom</t>
        </is>
      </c>
      <c r="B241" t="inlineStr">
        <is>
          <t>GBR</t>
        </is>
      </c>
      <c r="C241" t="inlineStr">
        <is>
          <t>CUKX.L</t>
        </is>
      </c>
      <c r="D241" t="inlineStr">
        <is>
          <t>5 Years</t>
        </is>
      </c>
      <c r="E241" s="2" t="n">
        <v>44260</v>
      </c>
      <c r="F241" s="2" t="n">
        <v>46086</v>
      </c>
      <c r="G241" t="n">
        <v>86.67850799289521</v>
      </c>
      <c r="H241" t="n">
        <v>79.63037511115449</v>
      </c>
      <c r="I241" t="inlineStr">
        <is>
          <t>United Kingdom|CUKX.L|5 Years</t>
        </is>
      </c>
      <c r="J241" t="inlineStr">
        <is>
          <t>GBp</t>
        </is>
      </c>
    </row>
    <row r="242">
      <c r="A242" t="inlineStr">
        <is>
          <t>United Kingdom</t>
        </is>
      </c>
      <c r="B242" t="inlineStr">
        <is>
          <t>GBR</t>
        </is>
      </c>
      <c r="C242" t="inlineStr">
        <is>
          <t>CUKX.L</t>
        </is>
      </c>
      <c r="D242" t="inlineStr">
        <is>
          <t>10 Years</t>
        </is>
      </c>
      <c r="E242" s="2" t="n">
        <v>42433</v>
      </c>
      <c r="F242" s="2" t="n">
        <v>46086</v>
      </c>
      <c r="G242" t="n">
        <v>142.3613513201891</v>
      </c>
      <c r="H242" t="n">
        <v>128.5902907516362</v>
      </c>
      <c r="I242" t="inlineStr">
        <is>
          <t>United Kingdom|CUKX.L|10 Years</t>
        </is>
      </c>
      <c r="J242" t="inlineStr">
        <is>
          <t>GBp</t>
        </is>
      </c>
    </row>
    <row r="243">
      <c r="A243" t="inlineStr">
        <is>
          <t>United Kingdom</t>
        </is>
      </c>
      <c r="B243" t="inlineStr">
        <is>
          <t>GBR</t>
        </is>
      </c>
      <c r="C243" t="inlineStr">
        <is>
          <t>CUKX.L</t>
        </is>
      </c>
      <c r="D243" t="inlineStr">
        <is>
          <t>MAX</t>
        </is>
      </c>
      <c r="E243" s="2" t="n">
        <v>40438</v>
      </c>
      <c r="F243" s="2" t="n">
        <v>46086</v>
      </c>
      <c r="G243" t="n">
        <v>224.182603331277</v>
      </c>
      <c r="H243" t="n">
        <v>177.3302844472919</v>
      </c>
      <c r="I243" t="inlineStr">
        <is>
          <t>United Kingdom|CUKX.L|MAX</t>
        </is>
      </c>
      <c r="J243" t="inlineStr">
        <is>
          <t>GBp</t>
        </is>
      </c>
    </row>
    <row r="244">
      <c r="A244" t="inlineStr">
        <is>
          <t>United States</t>
        </is>
      </c>
      <c r="B244" t="inlineStr">
        <is>
          <t>USA</t>
        </is>
      </c>
      <c r="C244" t="inlineStr">
        <is>
          <t>CSPX.L</t>
        </is>
      </c>
      <c r="D244" t="inlineStr">
        <is>
          <t>YTD</t>
        </is>
      </c>
      <c r="E244" s="2" t="n">
        <v>46022</v>
      </c>
      <c r="F244" s="2" t="n">
        <v>46086</v>
      </c>
      <c r="G244" t="n">
        <v>-0.932936288995212</v>
      </c>
      <c r="H244" t="n">
        <v>-0.932936288995212</v>
      </c>
      <c r="I244" t="inlineStr">
        <is>
          <t>United States|CSPX.L|YTD</t>
        </is>
      </c>
      <c r="J244" t="inlineStr">
        <is>
          <t>USD</t>
        </is>
      </c>
    </row>
    <row r="245">
      <c r="A245" t="inlineStr">
        <is>
          <t>United States</t>
        </is>
      </c>
      <c r="B245" t="inlineStr">
        <is>
          <t>USA</t>
        </is>
      </c>
      <c r="C245" t="inlineStr">
        <is>
          <t>CSPX.L</t>
        </is>
      </c>
      <c r="D245" t="inlineStr">
        <is>
          <t>1 Month</t>
        </is>
      </c>
      <c r="E245" s="2" t="n">
        <v>46058</v>
      </c>
      <c r="F245" s="2" t="n">
        <v>46086</v>
      </c>
      <c r="G245" t="n">
        <v>-0.03279092648711401</v>
      </c>
      <c r="H245" t="n">
        <v>-0.03279092648711401</v>
      </c>
      <c r="I245" t="inlineStr">
        <is>
          <t>United States|CSPX.L|1 Month</t>
        </is>
      </c>
      <c r="J245" t="inlineStr">
        <is>
          <t>USD</t>
        </is>
      </c>
    </row>
    <row r="246">
      <c r="A246" t="inlineStr">
        <is>
          <t>United States</t>
        </is>
      </c>
      <c r="B246" t="inlineStr">
        <is>
          <t>USA</t>
        </is>
      </c>
      <c r="C246" t="inlineStr">
        <is>
          <t>CSPX.L</t>
        </is>
      </c>
      <c r="D246" t="inlineStr">
        <is>
          <t>3 Months</t>
        </is>
      </c>
      <c r="E246" s="2" t="n">
        <v>45996</v>
      </c>
      <c r="F246" s="2" t="n">
        <v>46086</v>
      </c>
      <c r="G246" t="n">
        <v>-0.4909874670605219</v>
      </c>
      <c r="H246" t="n">
        <v>-0.4909874670605219</v>
      </c>
      <c r="I246" t="inlineStr">
        <is>
          <t>United States|CSPX.L|3 Months</t>
        </is>
      </c>
      <c r="J246" t="inlineStr">
        <is>
          <t>USD</t>
        </is>
      </c>
    </row>
    <row r="247">
      <c r="A247" t="inlineStr">
        <is>
          <t>United States</t>
        </is>
      </c>
      <c r="B247" t="inlineStr">
        <is>
          <t>USA</t>
        </is>
      </c>
      <c r="C247" t="inlineStr">
        <is>
          <t>CSPX.L</t>
        </is>
      </c>
      <c r="D247" t="inlineStr">
        <is>
          <t>6 Months</t>
        </is>
      </c>
      <c r="E247" s="2" t="n">
        <v>45905</v>
      </c>
      <c r="F247" s="2" t="n">
        <v>46086</v>
      </c>
      <c r="G247" t="n">
        <v>5.84916181631705</v>
      </c>
      <c r="H247" t="n">
        <v>5.84916181631705</v>
      </c>
      <c r="I247" t="inlineStr">
        <is>
          <t>United States|CSPX.L|6 Months</t>
        </is>
      </c>
      <c r="J247" t="inlineStr">
        <is>
          <t>USD</t>
        </is>
      </c>
    </row>
    <row r="248">
      <c r="A248" t="inlineStr">
        <is>
          <t>United States</t>
        </is>
      </c>
      <c r="B248" t="inlineStr">
        <is>
          <t>USA</t>
        </is>
      </c>
      <c r="C248" t="inlineStr">
        <is>
          <t>CSPX.L</t>
        </is>
      </c>
      <c r="D248" t="inlineStr">
        <is>
          <t>1 Year</t>
        </is>
      </c>
      <c r="E248" s="2" t="n">
        <v>45721</v>
      </c>
      <c r="F248" s="2" t="n">
        <v>46086</v>
      </c>
      <c r="G248" t="n">
        <v>19.80939543839979</v>
      </c>
      <c r="H248" t="n">
        <v>19.80939543839979</v>
      </c>
      <c r="I248" t="inlineStr">
        <is>
          <t>United States|CSPX.L|1 Year</t>
        </is>
      </c>
      <c r="J248" t="inlineStr">
        <is>
          <t>USD</t>
        </is>
      </c>
    </row>
    <row r="249">
      <c r="A249" t="inlineStr">
        <is>
          <t>United States</t>
        </is>
      </c>
      <c r="B249" t="inlineStr">
        <is>
          <t>USA</t>
        </is>
      </c>
      <c r="C249" t="inlineStr">
        <is>
          <t>CSPX.L</t>
        </is>
      </c>
      <c r="D249" t="inlineStr">
        <is>
          <t>3 Years</t>
        </is>
      </c>
      <c r="E249" s="2" t="n">
        <v>44988</v>
      </c>
      <c r="F249" s="2" t="n">
        <v>46086</v>
      </c>
      <c r="G249" t="n">
        <v>75.64278864222962</v>
      </c>
      <c r="H249" t="n">
        <v>75.64278864222962</v>
      </c>
      <c r="I249" t="inlineStr">
        <is>
          <t>United States|CSPX.L|3 Years</t>
        </is>
      </c>
      <c r="J249" t="inlineStr">
        <is>
          <t>USD</t>
        </is>
      </c>
    </row>
    <row r="250">
      <c r="A250" t="inlineStr">
        <is>
          <t>United States</t>
        </is>
      </c>
      <c r="B250" t="inlineStr">
        <is>
          <t>USA</t>
        </is>
      </c>
      <c r="C250" t="inlineStr">
        <is>
          <t>CSPX.L</t>
        </is>
      </c>
      <c r="D250" t="inlineStr">
        <is>
          <t>5 Years</t>
        </is>
      </c>
      <c r="E250" s="2" t="n">
        <v>44260</v>
      </c>
      <c r="F250" s="2" t="n">
        <v>46086</v>
      </c>
      <c r="G250" t="n">
        <v>93.4378535274093</v>
      </c>
      <c r="H250" t="n">
        <v>93.4378535274093</v>
      </c>
      <c r="I250" t="inlineStr">
        <is>
          <t>United States|CSPX.L|5 Years</t>
        </is>
      </c>
      <c r="J250" t="inlineStr">
        <is>
          <t>USD</t>
        </is>
      </c>
    </row>
    <row r="251">
      <c r="A251" t="inlineStr">
        <is>
          <t>United States</t>
        </is>
      </c>
      <c r="B251" t="inlineStr">
        <is>
          <t>USA</t>
        </is>
      </c>
      <c r="C251" t="inlineStr">
        <is>
          <t>CSPX.L</t>
        </is>
      </c>
      <c r="D251" t="inlineStr">
        <is>
          <t>10 Years</t>
        </is>
      </c>
      <c r="E251" s="2" t="n">
        <v>42433</v>
      </c>
      <c r="F251" s="2" t="n">
        <v>46086</v>
      </c>
      <c r="G251" t="n">
        <v>291.6702369890848</v>
      </c>
      <c r="H251" t="n">
        <v>291.6702369890848</v>
      </c>
      <c r="I251" t="inlineStr">
        <is>
          <t>United States|CSPX.L|10 Years</t>
        </is>
      </c>
      <c r="J251" t="inlineStr">
        <is>
          <t>USD</t>
        </is>
      </c>
    </row>
    <row r="252">
      <c r="A252" t="inlineStr">
        <is>
          <t>United States</t>
        </is>
      </c>
      <c r="B252" t="inlineStr">
        <is>
          <t>USA</t>
        </is>
      </c>
      <c r="C252" t="inlineStr">
        <is>
          <t>CSPX.L</t>
        </is>
      </c>
      <c r="D252" t="inlineStr">
        <is>
          <t>MAX</t>
        </is>
      </c>
      <c r="E252" s="2" t="n">
        <v>40437</v>
      </c>
      <c r="F252" s="2" t="n">
        <v>46086</v>
      </c>
      <c r="G252" t="n">
        <v>665.7944396455725</v>
      </c>
      <c r="H252" t="n">
        <v>665.7944396455725</v>
      </c>
      <c r="I252" t="inlineStr">
        <is>
          <t>United States|CSPX.L|MAX</t>
        </is>
      </c>
      <c r="J252" t="inlineStr">
        <is>
          <t>USD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CSUS.L</t>
        </is>
      </c>
      <c r="D253" t="inlineStr">
        <is>
          <t>YTD</t>
        </is>
      </c>
      <c r="E253" s="2" t="n">
        <v>46022</v>
      </c>
      <c r="F253" s="2" t="n">
        <v>46086</v>
      </c>
      <c r="G253" t="n">
        <v>-1.153136190887694</v>
      </c>
      <c r="H253" t="n">
        <v>-1.153136190887694</v>
      </c>
      <c r="I253" t="inlineStr">
        <is>
          <t>United States|CSUS.L|YTD</t>
        </is>
      </c>
      <c r="J253" t="inlineStr">
        <is>
          <t>USD</t>
        </is>
      </c>
    </row>
    <row r="254">
      <c r="A254" t="inlineStr">
        <is>
          <t>United States</t>
        </is>
      </c>
      <c r="B254" t="inlineStr">
        <is>
          <t>USA</t>
        </is>
      </c>
      <c r="C254" t="inlineStr">
        <is>
          <t>CSUS.L</t>
        </is>
      </c>
      <c r="D254" t="inlineStr">
        <is>
          <t>1 Month</t>
        </is>
      </c>
      <c r="E254" s="2" t="n">
        <v>46058</v>
      </c>
      <c r="F254" s="2" t="n">
        <v>46086</v>
      </c>
      <c r="G254" t="n">
        <v>-0.04266037937445954</v>
      </c>
      <c r="H254" t="n">
        <v>-0.04266037937445954</v>
      </c>
      <c r="I254" t="inlineStr">
        <is>
          <t>United States|CSUS.L|1 Month</t>
        </is>
      </c>
      <c r="J254" t="inlineStr">
        <is>
          <t>USD</t>
        </is>
      </c>
    </row>
    <row r="255">
      <c r="A255" t="inlineStr">
        <is>
          <t>United States</t>
        </is>
      </c>
      <c r="B255" t="inlineStr">
        <is>
          <t>USA</t>
        </is>
      </c>
      <c r="C255" t="inlineStr">
        <is>
          <t>CSUS.L</t>
        </is>
      </c>
      <c r="D255" t="inlineStr">
        <is>
          <t>3 Months</t>
        </is>
      </c>
      <c r="E255" s="2" t="n">
        <v>45996</v>
      </c>
      <c r="F255" s="2" t="n">
        <v>46086</v>
      </c>
      <c r="G255" t="n">
        <v>-0.8743409089461474</v>
      </c>
      <c r="H255" t="n">
        <v>-0.8743409089461474</v>
      </c>
      <c r="I255" t="inlineStr">
        <is>
          <t>United States|CSUS.L|3 Months</t>
        </is>
      </c>
      <c r="J255" t="inlineStr">
        <is>
          <t>USD</t>
        </is>
      </c>
    </row>
    <row r="256">
      <c r="A256" t="inlineStr">
        <is>
          <t>United States</t>
        </is>
      </c>
      <c r="B256" t="inlineStr">
        <is>
          <t>USA</t>
        </is>
      </c>
      <c r="C256" t="inlineStr">
        <is>
          <t>CSUS.L</t>
        </is>
      </c>
      <c r="D256" t="inlineStr">
        <is>
          <t>6 Months</t>
        </is>
      </c>
      <c r="E256" s="2" t="n">
        <v>45905</v>
      </c>
      <c r="F256" s="2" t="n">
        <v>46086</v>
      </c>
      <c r="G256" t="n">
        <v>5.398110463653016</v>
      </c>
      <c r="H256" t="n">
        <v>5.398110463653016</v>
      </c>
      <c r="I256" t="inlineStr">
        <is>
          <t>United States|CSUS.L|6 Months</t>
        </is>
      </c>
      <c r="J256" t="inlineStr">
        <is>
          <t>USD</t>
        </is>
      </c>
    </row>
    <row r="257">
      <c r="A257" t="inlineStr">
        <is>
          <t>United States</t>
        </is>
      </c>
      <c r="B257" t="inlineStr">
        <is>
          <t>USA</t>
        </is>
      </c>
      <c r="C257" t="inlineStr">
        <is>
          <t>CSUS.L</t>
        </is>
      </c>
      <c r="D257" t="inlineStr">
        <is>
          <t>1 Year</t>
        </is>
      </c>
      <c r="E257" s="2" t="n">
        <v>45721</v>
      </c>
      <c r="F257" s="2" t="n">
        <v>46086</v>
      </c>
      <c r="G257" t="n">
        <v>19.41693853430593</v>
      </c>
      <c r="H257" t="n">
        <v>19.41693853430593</v>
      </c>
      <c r="I257" t="inlineStr">
        <is>
          <t>United States|CSUS.L|1 Year</t>
        </is>
      </c>
      <c r="J257" t="inlineStr">
        <is>
          <t>USD</t>
        </is>
      </c>
    </row>
    <row r="258">
      <c r="A258" t="inlineStr">
        <is>
          <t>United States</t>
        </is>
      </c>
      <c r="B258" t="inlineStr">
        <is>
          <t>USA</t>
        </is>
      </c>
      <c r="C258" t="inlineStr">
        <is>
          <t>CSUS.L</t>
        </is>
      </c>
      <c r="D258" t="inlineStr">
        <is>
          <t>3 Years</t>
        </is>
      </c>
      <c r="E258" s="2" t="n">
        <v>44988</v>
      </c>
      <c r="F258" s="2" t="n">
        <v>46086</v>
      </c>
      <c r="G258" t="n">
        <v>75.56918363089156</v>
      </c>
      <c r="H258" t="n">
        <v>75.56918363089156</v>
      </c>
      <c r="I258" t="inlineStr">
        <is>
          <t>United States|CSUS.L|3 Years</t>
        </is>
      </c>
      <c r="J258" t="inlineStr">
        <is>
          <t>USD</t>
        </is>
      </c>
    </row>
    <row r="259">
      <c r="A259" t="inlineStr">
        <is>
          <t>United States</t>
        </is>
      </c>
      <c r="B259" t="inlineStr">
        <is>
          <t>USA</t>
        </is>
      </c>
      <c r="C259" t="inlineStr">
        <is>
          <t>CSUS.L</t>
        </is>
      </c>
      <c r="D259" t="inlineStr">
        <is>
          <t>5 Years</t>
        </is>
      </c>
      <c r="E259" s="2" t="n">
        <v>44260</v>
      </c>
      <c r="F259" s="2" t="n">
        <v>46086</v>
      </c>
      <c r="G259" t="n">
        <v>88.97194337067627</v>
      </c>
      <c r="H259" t="n">
        <v>88.97194337067627</v>
      </c>
      <c r="I259" t="inlineStr">
        <is>
          <t>United States|CSUS.L|5 Years</t>
        </is>
      </c>
      <c r="J259" t="inlineStr">
        <is>
          <t>USD</t>
        </is>
      </c>
    </row>
    <row r="260">
      <c r="A260" t="inlineStr">
        <is>
          <t>United States</t>
        </is>
      </c>
      <c r="B260" t="inlineStr">
        <is>
          <t>USA</t>
        </is>
      </c>
      <c r="C260" t="inlineStr">
        <is>
          <t>CSUS.L</t>
        </is>
      </c>
      <c r="D260" t="inlineStr">
        <is>
          <t>10 Years</t>
        </is>
      </c>
      <c r="E260" s="2" t="n">
        <v>42433</v>
      </c>
      <c r="F260" s="2" t="n">
        <v>46086</v>
      </c>
      <c r="G260" t="n">
        <v>284.8870770234428</v>
      </c>
      <c r="H260" t="n">
        <v>284.8870770234428</v>
      </c>
      <c r="I260" t="inlineStr">
        <is>
          <t>United States|CSUS.L|10 Years</t>
        </is>
      </c>
      <c r="J260" t="inlineStr">
        <is>
          <t>USD</t>
        </is>
      </c>
    </row>
    <row r="261">
      <c r="A261" t="inlineStr">
        <is>
          <t>United States</t>
        </is>
      </c>
      <c r="B261" t="inlineStr">
        <is>
          <t>USA</t>
        </is>
      </c>
      <c r="C261" t="inlineStr">
        <is>
          <t>CSUS.L</t>
        </is>
      </c>
      <c r="D261" t="inlineStr">
        <is>
          <t>MAX</t>
        </is>
      </c>
      <c r="E261" s="2" t="n">
        <v>40437</v>
      </c>
      <c r="F261" s="2" t="n">
        <v>46086</v>
      </c>
      <c r="G261" t="n">
        <v>643.3376084623025</v>
      </c>
      <c r="H261" t="n">
        <v>643.3376084623025</v>
      </c>
      <c r="I261" t="inlineStr">
        <is>
          <t>United States|CSUS.L|MAX</t>
        </is>
      </c>
      <c r="J261" t="inlineStr">
        <is>
          <t>USD</t>
        </is>
      </c>
    </row>
    <row r="262">
      <c r="A262" t="inlineStr">
        <is>
          <t>Vietnam</t>
        </is>
      </c>
      <c r="B262" t="inlineStr">
        <is>
          <t>VNM</t>
        </is>
      </c>
      <c r="C262" t="inlineStr">
        <is>
          <t>XFVT.L</t>
        </is>
      </c>
      <c r="D262" t="inlineStr">
        <is>
          <t>YTD</t>
        </is>
      </c>
      <c r="E262" s="2" t="n">
        <v>46022</v>
      </c>
      <c r="F262" s="2" t="n">
        <v>46086</v>
      </c>
      <c r="G262" t="n">
        <v>-2.023636069289303</v>
      </c>
      <c r="H262" t="n">
        <v>-2.734250872108746</v>
      </c>
      <c r="I262" t="inlineStr">
        <is>
          <t>Vietnam|XFVT.L|YTD</t>
        </is>
      </c>
      <c r="J262" t="inlineStr">
        <is>
          <t>GBp</t>
        </is>
      </c>
    </row>
    <row r="263">
      <c r="A263" t="inlineStr">
        <is>
          <t>Vietnam</t>
        </is>
      </c>
      <c r="B263" t="inlineStr">
        <is>
          <t>VNM</t>
        </is>
      </c>
      <c r="C263" t="inlineStr">
        <is>
          <t>XFVT.L</t>
        </is>
      </c>
      <c r="D263" t="inlineStr">
        <is>
          <t>1 Month</t>
        </is>
      </c>
      <c r="E263" s="2" t="n">
        <v>46058</v>
      </c>
      <c r="F263" s="2" t="n">
        <v>46086</v>
      </c>
      <c r="G263" t="n">
        <v>5.343777197563093</v>
      </c>
      <c r="H263" t="n">
        <v>3.219926531217832</v>
      </c>
      <c r="I263" t="inlineStr">
        <is>
          <t>Vietnam|XFVT.L|1 Month</t>
        </is>
      </c>
      <c r="J263" t="inlineStr">
        <is>
          <t>GBp</t>
        </is>
      </c>
    </row>
    <row r="264">
      <c r="A264" t="inlineStr">
        <is>
          <t>Vietnam</t>
        </is>
      </c>
      <c r="B264" t="inlineStr">
        <is>
          <t>VNM</t>
        </is>
      </c>
      <c r="C264" t="inlineStr">
        <is>
          <t>XFVT.L</t>
        </is>
      </c>
      <c r="D264" t="inlineStr">
        <is>
          <t>3 Months</t>
        </is>
      </c>
      <c r="E264" s="2" t="n">
        <v>45996</v>
      </c>
      <c r="F264" s="2" t="n">
        <v>46086</v>
      </c>
      <c r="G264" t="n">
        <v>0.7659007659007733</v>
      </c>
      <c r="H264" t="n">
        <v>1.126949709113356</v>
      </c>
      <c r="I264" t="inlineStr">
        <is>
          <t>Vietnam|XFVT.L|3 Months</t>
        </is>
      </c>
      <c r="J264" t="inlineStr">
        <is>
          <t>GBp</t>
        </is>
      </c>
    </row>
    <row r="265">
      <c r="A265" t="inlineStr">
        <is>
          <t>Vietnam</t>
        </is>
      </c>
      <c r="B265" t="inlineStr">
        <is>
          <t>VNM</t>
        </is>
      </c>
      <c r="C265" t="inlineStr">
        <is>
          <t>XFVT.L</t>
        </is>
      </c>
      <c r="D265" t="inlineStr">
        <is>
          <t>6 Months</t>
        </is>
      </c>
      <c r="E265" s="2" t="n">
        <v>45905</v>
      </c>
      <c r="F265" s="2" t="n">
        <v>46086</v>
      </c>
      <c r="G265" t="n">
        <v>9.340560072267401</v>
      </c>
      <c r="H265" t="n">
        <v>8.730977624753766</v>
      </c>
      <c r="I265" t="inlineStr">
        <is>
          <t>Vietnam|XFVT.L|6 Months</t>
        </is>
      </c>
      <c r="J265" t="inlineStr">
        <is>
          <t>GBp</t>
        </is>
      </c>
    </row>
    <row r="266">
      <c r="A266" t="inlineStr">
        <is>
          <t>Vietnam</t>
        </is>
      </c>
      <c r="B266" t="inlineStr">
        <is>
          <t>VNM</t>
        </is>
      </c>
      <c r="C266" t="inlineStr">
        <is>
          <t>XFVT.L</t>
        </is>
      </c>
      <c r="D266" t="inlineStr">
        <is>
          <t>1 Year</t>
        </is>
      </c>
      <c r="E266" s="2" t="n">
        <v>45721</v>
      </c>
      <c r="F266" s="2" t="n">
        <v>46086</v>
      </c>
      <c r="G266" t="n">
        <v>54.44685466377442</v>
      </c>
      <c r="H266" t="n">
        <v>61.39105657234904</v>
      </c>
      <c r="I266" t="inlineStr">
        <is>
          <t>Vietnam|XFVT.L|1 Year</t>
        </is>
      </c>
      <c r="J266" t="inlineStr">
        <is>
          <t>GBp</t>
        </is>
      </c>
    </row>
    <row r="267">
      <c r="A267" t="inlineStr">
        <is>
          <t>Vietnam</t>
        </is>
      </c>
      <c r="B267" t="inlineStr">
        <is>
          <t>VNM</t>
        </is>
      </c>
      <c r="C267" t="inlineStr">
        <is>
          <t>XFVT.L</t>
        </is>
      </c>
      <c r="D267" t="inlineStr">
        <is>
          <t>3 Years</t>
        </is>
      </c>
      <c r="E267" s="2" t="n">
        <v>44988</v>
      </c>
      <c r="F267" s="2" t="n">
        <v>46086</v>
      </c>
      <c r="G267" t="n">
        <v>44.45637904284521</v>
      </c>
      <c r="H267" t="n">
        <v>61.59484580744827</v>
      </c>
      <c r="I267" t="inlineStr">
        <is>
          <t>Vietnam|XFVT.L|3 Years</t>
        </is>
      </c>
      <c r="J267" t="inlineStr">
        <is>
          <t>GBp</t>
        </is>
      </c>
    </row>
    <row r="268">
      <c r="A268" t="inlineStr">
        <is>
          <t>Vietnam</t>
        </is>
      </c>
      <c r="B268" t="inlineStr">
        <is>
          <t>VNM</t>
        </is>
      </c>
      <c r="C268" t="inlineStr">
        <is>
          <t>XFVT.L</t>
        </is>
      </c>
      <c r="D268" t="inlineStr">
        <is>
          <t>5 Years</t>
        </is>
      </c>
      <c r="E268" s="2" t="n">
        <v>44260</v>
      </c>
      <c r="F268" s="2" t="n">
        <v>46086</v>
      </c>
      <c r="G268" t="n">
        <v>13.12149532710281</v>
      </c>
      <c r="H268" t="n">
        <v>8.850541271283063</v>
      </c>
      <c r="I268" t="inlineStr">
        <is>
          <t>Vietnam|XFVT.L|5 Years</t>
        </is>
      </c>
      <c r="J268" t="inlineStr">
        <is>
          <t>GBp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inlineStr">
        <is>
          <t>10 Years</t>
        </is>
      </c>
      <c r="E269" s="2" t="n">
        <v>42433</v>
      </c>
      <c r="F269" s="2" t="n">
        <v>46086</v>
      </c>
      <c r="G269" t="n">
        <v>91.85290854335078</v>
      </c>
      <c r="H269" t="n">
        <v>80.95175615493598</v>
      </c>
      <c r="I269" t="inlineStr">
        <is>
          <t>Vietnam|XFVT.L|10 Years</t>
        </is>
      </c>
      <c r="J269" t="inlineStr">
        <is>
          <t>GBp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inlineStr">
        <is>
          <t>MAX</t>
        </is>
      </c>
      <c r="E270" s="2" t="n">
        <v>39818</v>
      </c>
      <c r="F270" s="2" t="n">
        <v>46086</v>
      </c>
      <c r="G270" t="n">
        <v>28.16603134265143</v>
      </c>
      <c r="H270" t="n">
        <v>16.43872402412285</v>
      </c>
      <c r="I270" t="inlineStr">
        <is>
          <t>Vietnam|XFVT.L|MAX</t>
        </is>
      </c>
      <c r="J270" t="inlineStr">
        <is>
          <t>GBp</t>
        </is>
      </c>
    </row>
  </sheetData>
  <autoFilter ref="A1:J2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5" customWidth="1" min="3" max="3"/>
    <col width="13" customWidth="1" min="4" max="4"/>
    <col width="26" customWidth="1" min="5" max="5"/>
    <col width="27" customWidth="1" min="6" max="6"/>
    <col width="34" customWidth="1" min="7" max="7"/>
    <col width="34" customWidth="1" min="8" max="8"/>
    <col width="44" customWidth="1" min="9" max="9"/>
    <col width="32" customWidth="1" min="10" max="10"/>
    <col width="25" customWidth="1" min="11" max="11"/>
    <col width="20" customWidth="1" min="12" max="12"/>
    <col width="28" customWidth="1" min="13" max="13"/>
    <col width="28" customWidth="1" min="14" max="14"/>
    <col width="26" customWidth="1" min="15" max="15"/>
    <col width="34" customWidth="1" min="16" max="16"/>
    <col width="36" customWidth="1" min="17" max="17"/>
    <col width="25" customWidth="1" min="18" max="18"/>
    <col width="29" customWidth="1" min="19" max="19"/>
    <col width="28" customWidth="1" min="20" max="20"/>
    <col width="23" customWidth="1" min="21" max="21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inflation_cpi_pct</t>
        </is>
      </c>
      <c r="S1" t="inlineStr">
        <is>
          <t>usa_inflation_cpi_pct</t>
        </is>
      </c>
      <c r="T1" t="inlineStr">
        <is>
          <t>inflation_cpi_diff</t>
        </is>
      </c>
      <c r="U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2004</v>
      </c>
      <c r="E2" t="inlineStr"/>
      <c r="F2" t="n">
        <v>4.113</v>
      </c>
      <c r="G2" t="inlineStr"/>
      <c r="H2" t="inlineStr"/>
      <c r="I2" t="inlineStr"/>
      <c r="J2" t="inlineStr">
        <is>
          <t>Australia|SAUS.L|2004</t>
        </is>
      </c>
      <c r="K2" t="inlineStr">
        <is>
          <t>Australia|2004</t>
        </is>
      </c>
      <c r="L2" t="inlineStr">
        <is>
          <t>GBp</t>
        </is>
      </c>
      <c r="M2" t="inlineStr"/>
      <c r="N2" t="inlineStr"/>
      <c r="O2" t="inlineStr"/>
      <c r="P2" t="inlineStr"/>
      <c r="Q2" t="inlineStr"/>
      <c r="R2" t="n">
        <v>2.342</v>
      </c>
      <c r="S2" t="n">
        <v>2.668</v>
      </c>
      <c r="T2" t="n">
        <v>-0.3260000000000001</v>
      </c>
      <c r="U2" t="n">
        <v>658743000000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2005</v>
      </c>
      <c r="E3" t="inlineStr"/>
      <c r="F3" t="n">
        <v>3.03</v>
      </c>
      <c r="G3" t="n">
        <v>7.813912</v>
      </c>
      <c r="H3" t="n">
        <v>11.804604</v>
      </c>
      <c r="I3" t="inlineStr"/>
      <c r="J3" t="inlineStr">
        <is>
          <t>Australia|SAUS.L|2005</t>
        </is>
      </c>
      <c r="K3" t="inlineStr">
        <is>
          <t>Australia|2005</t>
        </is>
      </c>
      <c r="L3" t="inlineStr">
        <is>
          <t>GBp</t>
        </is>
      </c>
      <c r="M3" t="inlineStr"/>
      <c r="N3" t="inlineStr"/>
      <c r="O3" t="inlineStr"/>
      <c r="P3" t="n">
        <v>3.701462900137553</v>
      </c>
      <c r="Q3" t="inlineStr"/>
      <c r="R3" t="n">
        <v>2.659</v>
      </c>
      <c r="S3" t="n">
        <v>3.366</v>
      </c>
      <c r="T3" t="n">
        <v>-0.7070000000000003</v>
      </c>
      <c r="U3" t="n">
        <v>736505000000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2006</v>
      </c>
      <c r="E4" t="inlineStr"/>
      <c r="F4" t="n">
        <v>2.619</v>
      </c>
      <c r="G4" t="n">
        <v>7.855032</v>
      </c>
      <c r="H4" t="n">
        <v>6.37348</v>
      </c>
      <c r="I4" t="inlineStr"/>
      <c r="J4" t="inlineStr">
        <is>
          <t>Australia|SAUS.L|2006</t>
        </is>
      </c>
      <c r="K4" t="inlineStr">
        <is>
          <t>Australia|2006</t>
        </is>
      </c>
      <c r="L4" t="inlineStr">
        <is>
          <t>GBp</t>
        </is>
      </c>
      <c r="M4" t="inlineStr"/>
      <c r="N4" t="inlineStr"/>
      <c r="O4" t="inlineStr"/>
      <c r="P4" t="n">
        <v>-1.373650728821785</v>
      </c>
      <c r="Q4" t="inlineStr"/>
      <c r="R4" t="n">
        <v>3.554</v>
      </c>
      <c r="S4" t="n">
        <v>3.222</v>
      </c>
      <c r="T4" t="n">
        <v>0.3319999999999999</v>
      </c>
      <c r="U4" t="n">
        <v>783446000000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2007</v>
      </c>
      <c r="E5" t="inlineStr"/>
      <c r="F5" t="n">
        <v>4.339</v>
      </c>
      <c r="G5" t="n">
        <v>8.948131</v>
      </c>
      <c r="H5" t="n">
        <v>21.271026</v>
      </c>
      <c r="I5" t="inlineStr"/>
      <c r="J5" t="inlineStr">
        <is>
          <t>Australia|SAUS.L|2007</t>
        </is>
      </c>
      <c r="K5" t="inlineStr">
        <is>
          <t>Australia|2007</t>
        </is>
      </c>
      <c r="L5" t="inlineStr">
        <is>
          <t>GBp</t>
        </is>
      </c>
      <c r="M5" t="inlineStr"/>
      <c r="N5" t="inlineStr"/>
      <c r="O5" t="inlineStr"/>
      <c r="P5" t="n">
        <v>11.31079024800687</v>
      </c>
      <c r="Q5" t="inlineStr"/>
      <c r="R5" t="n">
        <v>2.356</v>
      </c>
      <c r="S5" t="n">
        <v>2.871</v>
      </c>
      <c r="T5" t="n">
        <v>-0.5150000000000001</v>
      </c>
      <c r="U5" t="n">
        <v>950093000000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2008</v>
      </c>
      <c r="E6" t="inlineStr"/>
      <c r="F6" t="n">
        <v>2.595</v>
      </c>
      <c r="G6" t="n">
        <v>9.034470000000001</v>
      </c>
      <c r="H6" t="n">
        <v>11.206482</v>
      </c>
      <c r="I6" t="inlineStr"/>
      <c r="J6" t="inlineStr">
        <is>
          <t>Australia|SAUS.L|2008</t>
        </is>
      </c>
      <c r="K6" t="inlineStr">
        <is>
          <t>Australia|2008</t>
        </is>
      </c>
      <c r="L6" t="inlineStr">
        <is>
          <t>GBp</t>
        </is>
      </c>
      <c r="M6" t="inlineStr"/>
      <c r="N6" t="n">
        <v>-26.2666463318202</v>
      </c>
      <c r="O6" t="inlineStr"/>
      <c r="P6" t="n">
        <v>1.992041237809627</v>
      </c>
      <c r="Q6" t="inlineStr"/>
      <c r="R6" t="n">
        <v>4.348</v>
      </c>
      <c r="S6" t="n">
        <v>3.815</v>
      </c>
      <c r="T6" t="n">
        <v>0.5329999999999999</v>
      </c>
      <c r="U6" t="n">
        <v>1056565000000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2009</v>
      </c>
      <c r="E7" t="inlineStr"/>
      <c r="F7" t="n">
        <v>1.964</v>
      </c>
      <c r="G7" t="n">
        <v>2.381561</v>
      </c>
      <c r="H7" t="n">
        <v>-5.275019</v>
      </c>
      <c r="I7" t="inlineStr"/>
      <c r="J7" t="inlineStr">
        <is>
          <t>Australia|SAUS.L|2009</t>
        </is>
      </c>
      <c r="K7" t="inlineStr">
        <is>
          <t>Australia|2009</t>
        </is>
      </c>
      <c r="L7" t="inlineStr">
        <is>
          <t>GBp</t>
        </is>
      </c>
      <c r="M7" t="inlineStr"/>
      <c r="N7" t="n">
        <v>9.775566130910907</v>
      </c>
      <c r="O7" t="inlineStr"/>
      <c r="P7" t="n">
        <v>-7.478475503077576</v>
      </c>
      <c r="Q7" t="inlineStr"/>
      <c r="R7" t="n">
        <v>1.77</v>
      </c>
      <c r="S7" t="n">
        <v>-0.32</v>
      </c>
      <c r="T7" t="n">
        <v>2.09</v>
      </c>
      <c r="U7" t="n">
        <v>1000831000000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2010</v>
      </c>
      <c r="E8" t="n">
        <v>-25.12425412813855</v>
      </c>
      <c r="F8" t="n">
        <v>2.419</v>
      </c>
      <c r="G8" t="n">
        <v>7.880774</v>
      </c>
      <c r="H8" t="n">
        <v>25.358027</v>
      </c>
      <c r="I8" t="n">
        <v>53.71177323287454</v>
      </c>
      <c r="J8" t="inlineStr">
        <is>
          <t>Australia|SAUS.L|2010</t>
        </is>
      </c>
      <c r="K8" t="inlineStr">
        <is>
          <t>Australia|2010</t>
        </is>
      </c>
      <c r="L8" t="inlineStr">
        <is>
          <t>GBp</t>
        </is>
      </c>
      <c r="M8" t="n">
        <v>-25.12425412813855</v>
      </c>
      <c r="N8" t="n">
        <v>-4.313135137595536</v>
      </c>
      <c r="O8" t="n">
        <v>-28.35374623287454</v>
      </c>
      <c r="P8" t="n">
        <v>16.20052702185215</v>
      </c>
      <c r="Q8" t="n">
        <v>-38.34257416607759</v>
      </c>
      <c r="R8" t="n">
        <v>2.863</v>
      </c>
      <c r="S8" t="n">
        <v>1.637</v>
      </c>
      <c r="T8" t="n">
        <v>1.226</v>
      </c>
      <c r="U8" t="n">
        <v>1254622000000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2011</v>
      </c>
      <c r="E9" t="n">
        <v>-9.222474460839969</v>
      </c>
      <c r="F9" t="n">
        <v>2.785</v>
      </c>
      <c r="G9" t="n">
        <v>7.60351</v>
      </c>
      <c r="H9" t="n">
        <v>20.793673</v>
      </c>
      <c r="I9" t="n">
        <v>30.92856391457367</v>
      </c>
      <c r="J9" t="inlineStr">
        <is>
          <t>Australia|SAUS.L|2011</t>
        </is>
      </c>
      <c r="K9" t="inlineStr">
        <is>
          <t>Australia|2011</t>
        </is>
      </c>
      <c r="L9" t="inlineStr">
        <is>
          <t>GBp</t>
        </is>
      </c>
      <c r="M9" t="n">
        <v>-9.222474460839969</v>
      </c>
      <c r="N9" t="n">
        <v>-1.005112717398426</v>
      </c>
      <c r="O9" t="n">
        <v>-10.13489091457367</v>
      </c>
      <c r="P9" t="n">
        <v>12.25811657383993</v>
      </c>
      <c r="Q9" t="n">
        <v>-19.94778477659935</v>
      </c>
      <c r="R9" t="n">
        <v>3.356</v>
      </c>
      <c r="S9" t="n">
        <v>3.14</v>
      </c>
      <c r="T9" t="n">
        <v>0.2159999999999997</v>
      </c>
      <c r="U9" t="n">
        <v>1515504000000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2012</v>
      </c>
      <c r="E10" t="n">
        <v>13.4697617593158</v>
      </c>
      <c r="F10" t="n">
        <v>3.789</v>
      </c>
      <c r="G10" t="n">
        <v>3.246268</v>
      </c>
      <c r="H10" t="n">
        <v>3.605071</v>
      </c>
      <c r="I10" t="n">
        <v>-14.62575527831505</v>
      </c>
      <c r="J10" t="inlineStr">
        <is>
          <t>Australia|SAUS.L|2012</t>
        </is>
      </c>
      <c r="K10" t="inlineStr">
        <is>
          <t>Australia|2012</t>
        </is>
      </c>
      <c r="L10" t="inlineStr">
        <is>
          <t>GBp</t>
        </is>
      </c>
      <c r="M10" t="n">
        <v>13.4697617593158</v>
      </c>
      <c r="N10" t="n">
        <v>4.195888354025179</v>
      </c>
      <c r="O10" t="n">
        <v>18.23082627831505</v>
      </c>
      <c r="P10" t="n">
        <v>0.3475217562047828</v>
      </c>
      <c r="Q10" t="n">
        <v>17.8213713793131</v>
      </c>
      <c r="R10" t="n">
        <v>1.686</v>
      </c>
      <c r="S10" t="n">
        <v>2.073</v>
      </c>
      <c r="T10" t="n">
        <v>-0.387</v>
      </c>
      <c r="U10" t="n">
        <v>1570139000000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2013</v>
      </c>
      <c r="E11" t="n">
        <v>-0.8142894667717449</v>
      </c>
      <c r="F11" t="n">
        <v>2.219</v>
      </c>
      <c r="G11" t="n">
        <v>3.534404</v>
      </c>
      <c r="H11" t="n">
        <v>-3.199971</v>
      </c>
      <c r="I11" t="n">
        <v>-3.966132958864631</v>
      </c>
      <c r="J11" t="inlineStr">
        <is>
          <t>Australia|SAUS.L|2013</t>
        </is>
      </c>
      <c r="K11" t="inlineStr">
        <is>
          <t>Australia|2013</t>
        </is>
      </c>
      <c r="L11" t="inlineStr">
        <is>
          <t>GBp</t>
        </is>
      </c>
      <c r="M11" t="n">
        <v>-0.8142894667717449</v>
      </c>
      <c r="N11" t="n">
        <v>1.593426530031161</v>
      </c>
      <c r="O11" t="n">
        <v>0.7661619588646307</v>
      </c>
      <c r="P11" t="n">
        <v>-6.504480523344524</v>
      </c>
      <c r="Q11" t="n">
        <v>7.776460864549262</v>
      </c>
      <c r="R11" t="n">
        <v>2.45</v>
      </c>
      <c r="S11" t="n">
        <v>1.466</v>
      </c>
      <c r="T11" t="n">
        <v>0.9840000000000002</v>
      </c>
      <c r="U11" t="n">
        <v>1519895000000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2014</v>
      </c>
      <c r="E12" t="n">
        <v>2.353874636339603</v>
      </c>
      <c r="F12" t="n">
        <v>2.574</v>
      </c>
      <c r="G12" t="n">
        <v>2.837877</v>
      </c>
      <c r="H12" t="n">
        <v>-4.142128</v>
      </c>
      <c r="I12" t="n">
        <v>-0.3480734462853232</v>
      </c>
      <c r="J12" t="inlineStr">
        <is>
          <t>Australia|SAUS.L|2014</t>
        </is>
      </c>
      <c r="K12" t="inlineStr">
        <is>
          <t>Australia|2014</t>
        </is>
      </c>
      <c r="L12" t="inlineStr">
        <is>
          <t>GBp</t>
        </is>
      </c>
      <c r="M12" t="n">
        <v>2.353874636339603</v>
      </c>
      <c r="N12" t="n">
        <v>-6.006542704804973</v>
      </c>
      <c r="O12" t="n">
        <v>-3.794054553714676</v>
      </c>
      <c r="P12" t="n">
        <v>-6.787387308964199</v>
      </c>
      <c r="Q12" t="n">
        <v>3.211295841659623</v>
      </c>
      <c r="R12" t="n">
        <v>2.513</v>
      </c>
      <c r="S12" t="n">
        <v>1.615</v>
      </c>
      <c r="T12" t="n">
        <v>0.8979999999999999</v>
      </c>
      <c r="U12" t="n">
        <v>1456939000000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2015</v>
      </c>
      <c r="E13" t="n">
        <v>-5.440682346859649</v>
      </c>
      <c r="F13" t="n">
        <v>2.34</v>
      </c>
      <c r="G13" t="n">
        <v>1.58124</v>
      </c>
      <c r="H13" t="n">
        <v>-15.307779</v>
      </c>
      <c r="I13" t="n">
        <v>-5.244227900763432</v>
      </c>
      <c r="J13" t="inlineStr">
        <is>
          <t>Australia|SAUS.L|2015</t>
        </is>
      </c>
      <c r="K13" t="inlineStr">
        <is>
          <t>Australia|2015</t>
        </is>
      </c>
      <c r="L13" t="inlineStr">
        <is>
          <t>GBp</t>
        </is>
      </c>
      <c r="M13" t="n">
        <v>-5.440682346859649</v>
      </c>
      <c r="N13" t="n">
        <v>-4.888855870697362</v>
      </c>
      <c r="O13" t="n">
        <v>-10.06355109923657</v>
      </c>
      <c r="P13" t="n">
        <v>-16.6261195747525</v>
      </c>
      <c r="Q13" t="n">
        <v>7.871252293936215</v>
      </c>
      <c r="R13" t="n">
        <v>1.485</v>
      </c>
      <c r="S13" t="n">
        <v>0.121</v>
      </c>
      <c r="T13" t="n">
        <v>1.364</v>
      </c>
      <c r="U13" t="n">
        <v>1233914000000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2016</v>
      </c>
      <c r="E14" t="n">
        <v>36.15740092424031</v>
      </c>
      <c r="F14" t="n">
        <v>2.694</v>
      </c>
      <c r="G14" t="n">
        <v>3.528437</v>
      </c>
      <c r="H14" t="n">
        <v>2.328444</v>
      </c>
      <c r="I14" t="n">
        <v>-11.19182419530721</v>
      </c>
      <c r="J14" t="inlineStr">
        <is>
          <t>Australia|SAUS.L|2016</t>
        </is>
      </c>
      <c r="K14" t="inlineStr">
        <is>
          <t>Australia|2016</t>
        </is>
      </c>
      <c r="L14" t="inlineStr">
        <is>
          <t>GBp</t>
        </is>
      </c>
      <c r="M14" t="n">
        <v>36.15740092424031</v>
      </c>
      <c r="N14" t="n">
        <v>-16.62570861023462</v>
      </c>
      <c r="O14" t="n">
        <v>13.52026819530721</v>
      </c>
      <c r="P14" t="n">
        <v>-1.159094385657633</v>
      </c>
      <c r="Q14" t="n">
        <v>14.85150554795684</v>
      </c>
      <c r="R14" t="n">
        <v>1.277</v>
      </c>
      <c r="S14" t="n">
        <v>1.267</v>
      </c>
      <c r="T14" t="n">
        <v>0.01000000000000001</v>
      </c>
      <c r="U14" t="n">
        <v>1262645000000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2017</v>
      </c>
      <c r="E15" t="n">
        <v>7.597244732576991</v>
      </c>
      <c r="F15" t="n">
        <v>2.38</v>
      </c>
      <c r="G15" t="n">
        <v>6.117511</v>
      </c>
      <c r="H15" t="n">
        <v>9.381971999999999</v>
      </c>
      <c r="I15" t="n">
        <v>-7.728362693704954</v>
      </c>
      <c r="J15" t="inlineStr">
        <is>
          <t>Australia|SAUS.L|2017</t>
        </is>
      </c>
      <c r="K15" t="inlineStr">
        <is>
          <t>Australia|2017</t>
        </is>
      </c>
      <c r="L15" t="inlineStr">
        <is>
          <t>GBp</t>
        </is>
      </c>
      <c r="M15" t="n">
        <v>7.597244732576991</v>
      </c>
      <c r="N15" t="n">
        <v>8.841388071573641</v>
      </c>
      <c r="O15" t="n">
        <v>17.11033469370495</v>
      </c>
      <c r="P15" t="n">
        <v>3.07626989428138</v>
      </c>
      <c r="Q15" t="n">
        <v>13.6152237695615</v>
      </c>
      <c r="R15" t="n">
        <v>1.995</v>
      </c>
      <c r="S15" t="n">
        <v>2.131</v>
      </c>
      <c r="T15" t="n">
        <v>-0.1359999999999997</v>
      </c>
      <c r="U15" t="n">
        <v>1381106000000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2018</v>
      </c>
      <c r="E16" t="n">
        <v>-6.916453779922415</v>
      </c>
      <c r="F16" t="n">
        <v>2.791</v>
      </c>
      <c r="G16" t="n">
        <v>5.165909</v>
      </c>
      <c r="H16" t="n">
        <v>2.610372</v>
      </c>
      <c r="I16" t="n">
        <v>15.19124275049758</v>
      </c>
      <c r="J16" t="inlineStr">
        <is>
          <t>Australia|SAUS.L|2018</t>
        </is>
      </c>
      <c r="K16" t="inlineStr">
        <is>
          <t>Australia|2018</t>
        </is>
      </c>
      <c r="L16" t="inlineStr">
        <is>
          <t>GBp</t>
        </is>
      </c>
      <c r="M16" t="n">
        <v>-6.916453779922415</v>
      </c>
      <c r="N16" t="n">
        <v>-6.085304224640065</v>
      </c>
      <c r="O16" t="n">
        <v>-12.58087075049758</v>
      </c>
      <c r="P16" t="n">
        <v>-2.430005890941767</v>
      </c>
      <c r="Q16" t="n">
        <v>-10.40367476932483</v>
      </c>
      <c r="R16" t="n">
        <v>1.933</v>
      </c>
      <c r="S16" t="n">
        <v>2.439</v>
      </c>
      <c r="T16" t="n">
        <v>-0.506</v>
      </c>
      <c r="U16" t="n">
        <v>1417158000000</v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n">
        <v>2019</v>
      </c>
      <c r="E17" t="n">
        <v>17.4577471915798</v>
      </c>
      <c r="F17" t="n">
        <v>1.936</v>
      </c>
      <c r="G17" t="n">
        <v>5.237084</v>
      </c>
      <c r="H17" t="n">
        <v>-2.178233</v>
      </c>
      <c r="I17" t="n">
        <v>-23.0937768715795</v>
      </c>
      <c r="J17" t="inlineStr">
        <is>
          <t>Australia|SAUS.L|2019</t>
        </is>
      </c>
      <c r="K17" t="inlineStr">
        <is>
          <t>Australia|2019</t>
        </is>
      </c>
      <c r="L17" t="inlineStr">
        <is>
          <t>GBp</t>
        </is>
      </c>
      <c r="M17" t="n">
        <v>17.4577471915798</v>
      </c>
      <c r="N17" t="n">
        <v>2.94386429390634</v>
      </c>
      <c r="O17" t="n">
        <v>20.9155438715795</v>
      </c>
      <c r="P17" t="n">
        <v>-7.046296673496255</v>
      </c>
      <c r="Q17" t="n">
        <v>30.08147017753411</v>
      </c>
      <c r="R17" t="n">
        <v>1.566</v>
      </c>
      <c r="S17" t="n">
        <v>1.813</v>
      </c>
      <c r="T17" t="n">
        <v>-0.2469999999999999</v>
      </c>
      <c r="U17" t="n">
        <v>1386289000000</v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n">
        <v>2020</v>
      </c>
      <c r="E18" t="n">
        <v>4.692832764505117</v>
      </c>
      <c r="F18" t="n">
        <v>-1.953</v>
      </c>
      <c r="G18" t="n">
        <v>-0.992052</v>
      </c>
      <c r="H18" t="n">
        <v>-1.704118</v>
      </c>
      <c r="I18" t="n">
        <v>-9.302384544849074</v>
      </c>
      <c r="J18" t="inlineStr">
        <is>
          <t>Australia|SAUS.L|2020</t>
        </is>
      </c>
      <c r="K18" t="inlineStr">
        <is>
          <t>Australia|2020</t>
        </is>
      </c>
      <c r="L18" t="inlineStr">
        <is>
          <t>GBp</t>
        </is>
      </c>
      <c r="M18" t="n">
        <v>4.692832764505117</v>
      </c>
      <c r="N18" t="n">
        <v>2.775198362317122</v>
      </c>
      <c r="O18" t="n">
        <v>7.598266544849075</v>
      </c>
      <c r="P18" t="n">
        <v>-0.7192008724883903</v>
      </c>
      <c r="Q18" t="n">
        <v>8.377720053053661</v>
      </c>
      <c r="R18" t="n">
        <v>0.89</v>
      </c>
      <c r="S18" t="n">
        <v>1.253</v>
      </c>
      <c r="T18" t="n">
        <v>-0.3629999999999999</v>
      </c>
      <c r="U18" t="n">
        <v>1362665000000</v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n">
        <v>2021</v>
      </c>
      <c r="E19" t="n">
        <v>46.78097703008734</v>
      </c>
      <c r="F19" t="n">
        <v>5.418</v>
      </c>
      <c r="G19" t="n">
        <v>11.597189</v>
      </c>
      <c r="H19" t="n">
        <v>21.514679</v>
      </c>
      <c r="I19" t="n">
        <v>-23.39158127958751</v>
      </c>
      <c r="J19" t="inlineStr">
        <is>
          <t>Australia|SAUS.L|2021</t>
        </is>
      </c>
      <c r="K19" t="inlineStr">
        <is>
          <t>Australia|2021</t>
        </is>
      </c>
      <c r="L19" t="inlineStr">
        <is>
          <t>GBp</t>
        </is>
      </c>
      <c r="M19" t="n">
        <v>46.78097703008734</v>
      </c>
      <c r="N19" t="n">
        <v>-1.277220514832489</v>
      </c>
      <c r="O19" t="n">
        <v>44.90626027958751</v>
      </c>
      <c r="P19" t="n">
        <v>8.886863994656302</v>
      </c>
      <c r="Q19" t="n">
        <v>33.07965255267051</v>
      </c>
      <c r="R19" t="n">
        <v>2.82</v>
      </c>
      <c r="S19" t="n">
        <v>4.679</v>
      </c>
      <c r="T19" t="n">
        <v>-1.859</v>
      </c>
      <c r="U19" t="n">
        <v>1655838000000</v>
      </c>
    </row>
    <row r="20">
      <c r="A20" t="inlineStr">
        <is>
          <t>Australia</t>
        </is>
      </c>
      <c r="B20" t="inlineStr">
        <is>
          <t>AUS</t>
        </is>
      </c>
      <c r="C20" t="inlineStr">
        <is>
          <t>SAUS.L</t>
        </is>
      </c>
      <c r="D20" t="n">
        <v>2022</v>
      </c>
      <c r="E20" t="n">
        <v>-7.30731812776998</v>
      </c>
      <c r="F20" t="n">
        <v>4.132</v>
      </c>
      <c r="G20" t="n">
        <v>12.723343</v>
      </c>
      <c r="H20" t="n">
        <v>4.203008</v>
      </c>
      <c r="I20" t="n">
        <v>21.5591833179584</v>
      </c>
      <c r="J20" t="inlineStr">
        <is>
          <t>Australia|SAUS.L|2022</t>
        </is>
      </c>
      <c r="K20" t="inlineStr">
        <is>
          <t>Australia|2022</t>
        </is>
      </c>
      <c r="L20" t="inlineStr">
        <is>
          <t>GBp</t>
        </is>
      </c>
      <c r="M20" t="n">
        <v>-7.30731812776998</v>
      </c>
      <c r="N20" t="n">
        <v>-10.84104698150823</v>
      </c>
      <c r="O20" t="n">
        <v>-17.3561753179584</v>
      </c>
      <c r="P20" t="n">
        <v>-7.558625044792722</v>
      </c>
      <c r="Q20" t="n">
        <v>-10.59866350745335</v>
      </c>
      <c r="R20" t="n">
        <v>6.657</v>
      </c>
      <c r="S20" t="n">
        <v>7.993</v>
      </c>
      <c r="T20" t="n">
        <v>-1.336</v>
      </c>
      <c r="U20" t="n">
        <v>1725433000000</v>
      </c>
    </row>
    <row r="21">
      <c r="A21" t="inlineStr">
        <is>
          <t>Australia</t>
        </is>
      </c>
      <c r="B21" t="inlineStr">
        <is>
          <t>AUS</t>
        </is>
      </c>
      <c r="C21" t="inlineStr">
        <is>
          <t>SAUS.L</t>
        </is>
      </c>
      <c r="D21" t="n">
        <v>2023</v>
      </c>
      <c r="E21" t="n">
        <v>15.33735082122178</v>
      </c>
      <c r="F21" t="n">
        <v>2.066</v>
      </c>
      <c r="G21" t="n">
        <v>5.55426</v>
      </c>
      <c r="H21" t="n">
        <v>0.978189</v>
      </c>
      <c r="I21" t="n">
        <v>-20.19872728539673</v>
      </c>
      <c r="J21" t="inlineStr">
        <is>
          <t>Australia|SAUS.L|2023</t>
        </is>
      </c>
      <c r="K21" t="inlineStr">
        <is>
          <t>Australia|2023</t>
        </is>
      </c>
      <c r="L21" t="inlineStr">
        <is>
          <t>GBp</t>
        </is>
      </c>
      <c r="M21" t="n">
        <v>15.33735082122178</v>
      </c>
      <c r="N21" t="n">
        <v>5.06303068571996</v>
      </c>
      <c r="O21" t="n">
        <v>21.17691628539673</v>
      </c>
      <c r="P21" t="n">
        <v>-4.335278113775798</v>
      </c>
      <c r="Q21" t="n">
        <v>26.66834115664356</v>
      </c>
      <c r="R21" t="n">
        <v>5.594</v>
      </c>
      <c r="S21" t="n">
        <v>4.128</v>
      </c>
      <c r="T21" t="n">
        <v>1.466</v>
      </c>
      <c r="U21" t="n">
        <v>1742311000000</v>
      </c>
    </row>
    <row r="22">
      <c r="A22" t="inlineStr">
        <is>
          <t>Australia</t>
        </is>
      </c>
      <c r="B22" t="inlineStr">
        <is>
          <t>AUS</t>
        </is>
      </c>
      <c r="C22" t="inlineStr">
        <is>
          <t>SAUS.L</t>
        </is>
      </c>
      <c r="D22" t="n">
        <v>2024</v>
      </c>
      <c r="E22" t="n">
        <v>-18.61494134595596</v>
      </c>
      <c r="F22" t="n">
        <v>1.023</v>
      </c>
      <c r="G22" t="n">
        <v>3.792081</v>
      </c>
      <c r="H22" t="n">
        <v>3.052325</v>
      </c>
      <c r="I22" t="n">
        <v>22.82379158969601</v>
      </c>
      <c r="J22" t="inlineStr">
        <is>
          <t>Australia|SAUS.L|2024</t>
        </is>
      </c>
      <c r="K22" t="inlineStr">
        <is>
          <t>Australia|2024</t>
        </is>
      </c>
      <c r="L22" t="inlineStr">
        <is>
          <t>GBp</t>
        </is>
      </c>
      <c r="M22" t="n">
        <v>-18.61494134595596</v>
      </c>
      <c r="N22" t="n">
        <v>-1.421053523664917</v>
      </c>
      <c r="O22" t="n">
        <v>-19.77146658969601</v>
      </c>
      <c r="P22" t="n">
        <v>-0.7127287607549215</v>
      </c>
      <c r="Q22" t="n">
        <v>-19.19555003482438</v>
      </c>
      <c r="R22" t="n">
        <v>3.197</v>
      </c>
      <c r="S22" t="n">
        <v>2.952</v>
      </c>
      <c r="T22" t="n">
        <v>0.2450000000000001</v>
      </c>
      <c r="U22" t="n">
        <v>1795492000000</v>
      </c>
    </row>
    <row r="23">
      <c r="A23" t="inlineStr">
        <is>
          <t>Australia</t>
        </is>
      </c>
      <c r="B23" t="inlineStr">
        <is>
          <t>AUS</t>
        </is>
      </c>
      <c r="C23" t="inlineStr">
        <is>
          <t>SAUS.L</t>
        </is>
      </c>
      <c r="D23" t="n">
        <v>2025</v>
      </c>
      <c r="E23" t="n">
        <v>4.217315802530375</v>
      </c>
      <c r="F23" t="n">
        <v>1.809</v>
      </c>
      <c r="G23" t="n">
        <v>4.803761</v>
      </c>
      <c r="H23" t="n">
        <v>1.894523</v>
      </c>
      <c r="I23" t="n">
        <v>-10.21405453949155</v>
      </c>
      <c r="J23" t="inlineStr">
        <is>
          <t>Australia|SAUS.L|2025</t>
        </is>
      </c>
      <c r="K23" t="inlineStr">
        <is>
          <t>Australia|2025</t>
        </is>
      </c>
      <c r="L23" t="inlineStr">
        <is>
          <t>GBp</t>
        </is>
      </c>
      <c r="M23" t="n">
        <v>4.217315802530375</v>
      </c>
      <c r="N23" t="n">
        <v>7.571929555270285</v>
      </c>
      <c r="O23" t="n">
        <v>12.10857753949155</v>
      </c>
      <c r="P23" t="n">
        <v>-2.775891376567952</v>
      </c>
      <c r="Q23" t="n">
        <v>15.30944240765422</v>
      </c>
      <c r="R23" t="n">
        <v>2.576</v>
      </c>
      <c r="S23" t="n">
        <v>2.715</v>
      </c>
      <c r="T23" t="n">
        <v>-0.1389999999999998</v>
      </c>
      <c r="U23" t="n">
        <v>1829508000000</v>
      </c>
    </row>
    <row r="24">
      <c r="A24" t="inlineStr">
        <is>
          <t>Australia</t>
        </is>
      </c>
      <c r="B24" t="inlineStr">
        <is>
          <t>AUS</t>
        </is>
      </c>
      <c r="C24" t="inlineStr">
        <is>
          <t>SAUS.L</t>
        </is>
      </c>
      <c r="D24" t="n">
        <v>2026</v>
      </c>
      <c r="E24" t="n">
        <v>10.11477761836441</v>
      </c>
      <c r="F24" t="n">
        <v>2.149</v>
      </c>
      <c r="G24" t="n">
        <v>5.21892</v>
      </c>
      <c r="H24" t="n">
        <v>6.489122</v>
      </c>
      <c r="I24" t="n">
        <v>-1.971406795933664</v>
      </c>
      <c r="J24" t="inlineStr">
        <is>
          <t>Australia|SAUS.L|2026</t>
        </is>
      </c>
      <c r="K24" t="inlineStr">
        <is>
          <t>Australia|2026</t>
        </is>
      </c>
      <c r="L24" t="inlineStr">
        <is>
          <t>GBp</t>
        </is>
      </c>
      <c r="M24" t="n">
        <v>10.11477761836441</v>
      </c>
      <c r="N24" t="n">
        <v>-1.502295021803568</v>
      </c>
      <c r="O24" t="n">
        <v>8.460528795933664</v>
      </c>
      <c r="P24" t="n">
        <v>1.207198804096987</v>
      </c>
      <c r="Q24" t="n">
        <v>7.166812319227089</v>
      </c>
      <c r="R24" t="n">
        <v>3.024</v>
      </c>
      <c r="S24" t="n">
        <v>2.435</v>
      </c>
      <c r="T24" t="n">
        <v>0.589</v>
      </c>
      <c r="U24" t="n">
        <v>1948227000000</v>
      </c>
    </row>
    <row r="25">
      <c r="A25" t="inlineStr">
        <is>
          <t>Australia</t>
        </is>
      </c>
      <c r="B25" t="inlineStr">
        <is>
          <t>AUS</t>
        </is>
      </c>
      <c r="C25" t="inlineStr">
        <is>
          <t>SAUS.L</t>
        </is>
      </c>
      <c r="D25" t="n">
        <v>2027</v>
      </c>
      <c r="E25" t="inlineStr"/>
      <c r="F25" t="n">
        <v>2.153</v>
      </c>
      <c r="G25" t="n">
        <v>4.462846</v>
      </c>
      <c r="H25" t="n">
        <v>4.507996</v>
      </c>
      <c r="I25" t="inlineStr"/>
      <c r="J25" t="inlineStr">
        <is>
          <t>Australia|SAUS.L|2027</t>
        </is>
      </c>
      <c r="K25" t="inlineStr">
        <is>
          <t>Australia|2027</t>
        </is>
      </c>
      <c r="L25" t="inlineStr">
        <is>
          <t>GBp</t>
        </is>
      </c>
      <c r="M25" t="inlineStr"/>
      <c r="N25" t="inlineStr"/>
      <c r="O25" t="inlineStr"/>
      <c r="P25" t="n">
        <v>0.04322143757344854</v>
      </c>
      <c r="Q25" t="inlineStr"/>
      <c r="R25" t="n">
        <v>2.612</v>
      </c>
      <c r="S25" t="n">
        <v>2.185</v>
      </c>
      <c r="T25" t="n">
        <v>0.427</v>
      </c>
      <c r="U25" t="n">
        <v>2036053000000</v>
      </c>
    </row>
    <row r="26">
      <c r="A26" t="inlineStr">
        <is>
          <t>Australia</t>
        </is>
      </c>
      <c r="B26" t="inlineStr">
        <is>
          <t>AUS</t>
        </is>
      </c>
      <c r="C26" t="inlineStr">
        <is>
          <t>SAUS.L</t>
        </is>
      </c>
      <c r="D26" t="n">
        <v>2028</v>
      </c>
      <c r="E26" t="inlineStr"/>
      <c r="F26" t="n">
        <v>2.225</v>
      </c>
      <c r="G26" t="n">
        <v>4.426395</v>
      </c>
      <c r="H26" t="n">
        <v>4.71304</v>
      </c>
      <c r="I26" t="inlineStr"/>
      <c r="J26" t="inlineStr">
        <is>
          <t>Australia|SAUS.L|2028</t>
        </is>
      </c>
      <c r="K26" t="inlineStr">
        <is>
          <t>Australia|2028</t>
        </is>
      </c>
      <c r="L26" t="inlineStr">
        <is>
          <t>GBp</t>
        </is>
      </c>
      <c r="M26" t="inlineStr"/>
      <c r="N26" t="inlineStr"/>
      <c r="O26" t="inlineStr"/>
      <c r="P26" t="n">
        <v>0.2744950457119977</v>
      </c>
      <c r="Q26" t="inlineStr"/>
      <c r="R26" t="n">
        <v>2.544</v>
      </c>
      <c r="S26" t="n">
        <v>2.206</v>
      </c>
      <c r="T26" t="n">
        <v>0.3380000000000001</v>
      </c>
      <c r="U26" t="n">
        <v>2132013000000</v>
      </c>
    </row>
    <row r="27">
      <c r="A27" t="inlineStr">
        <is>
          <t>Australia</t>
        </is>
      </c>
      <c r="B27" t="inlineStr">
        <is>
          <t>AUS</t>
        </is>
      </c>
      <c r="C27" t="inlineStr">
        <is>
          <t>SAUS.L</t>
        </is>
      </c>
      <c r="D27" t="n">
        <v>2029</v>
      </c>
      <c r="E27" t="inlineStr"/>
      <c r="F27" t="n">
        <v>2.248</v>
      </c>
      <c r="G27" t="n">
        <v>4.430086</v>
      </c>
      <c r="H27" t="n">
        <v>4.520282</v>
      </c>
      <c r="I27" t="inlineStr"/>
      <c r="J27" t="inlineStr">
        <is>
          <t>Australia|SAUS.L|2029</t>
        </is>
      </c>
      <c r="K27" t="inlineStr">
        <is>
          <t>Australia|2029</t>
        </is>
      </c>
      <c r="L27" t="inlineStr">
        <is>
          <t>GBp</t>
        </is>
      </c>
      <c r="M27" t="inlineStr"/>
      <c r="N27" t="inlineStr"/>
      <c r="O27" t="inlineStr"/>
      <c r="P27" t="n">
        <v>0.08636981858010095</v>
      </c>
      <c r="Q27" t="inlineStr"/>
      <c r="R27" t="n">
        <v>2.526</v>
      </c>
      <c r="S27" t="n">
        <v>2.203</v>
      </c>
      <c r="T27" t="n">
        <v>0.323</v>
      </c>
      <c r="U27" t="n">
        <v>2228386000000</v>
      </c>
    </row>
    <row r="28">
      <c r="A28" t="inlineStr">
        <is>
          <t>Brazil</t>
        </is>
      </c>
      <c r="B28" t="inlineStr">
        <is>
          <t>BRA</t>
        </is>
      </c>
      <c r="C28" t="inlineStr">
        <is>
          <t>XMBR.L</t>
        </is>
      </c>
      <c r="D28" t="n">
        <v>2004</v>
      </c>
      <c r="E28" t="inlineStr"/>
      <c r="F28" t="n">
        <v>5.76</v>
      </c>
      <c r="G28" t="inlineStr"/>
      <c r="H28" t="inlineStr"/>
      <c r="I28" t="inlineStr"/>
      <c r="J28" t="inlineStr">
        <is>
          <t>Brazil|XMBR.L|2004</t>
        </is>
      </c>
      <c r="K28" t="inlineStr">
        <is>
          <t>Brazil|2004</t>
        </is>
      </c>
      <c r="L28" t="inlineStr">
        <is>
          <t>GBp</t>
        </is>
      </c>
      <c r="M28" t="inlineStr"/>
      <c r="N28" t="inlineStr"/>
      <c r="O28" t="inlineStr"/>
      <c r="P28" t="inlineStr"/>
      <c r="Q28" t="inlineStr"/>
      <c r="R28" t="n">
        <v>6.598</v>
      </c>
      <c r="S28" t="n">
        <v>2.668</v>
      </c>
      <c r="T28" t="n">
        <v>3.93</v>
      </c>
      <c r="U28" t="n">
        <v>669290000000</v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n">
        <v>2005</v>
      </c>
      <c r="E29" t="inlineStr"/>
      <c r="F29" t="n">
        <v>3.202</v>
      </c>
      <c r="G29" t="n">
        <v>10.871357</v>
      </c>
      <c r="H29" t="n">
        <v>33.220726</v>
      </c>
      <c r="I29" t="inlineStr"/>
      <c r="J29" t="inlineStr">
        <is>
          <t>Brazil|XMBR.L|2005</t>
        </is>
      </c>
      <c r="K29" t="inlineStr">
        <is>
          <t>Brazil|2005</t>
        </is>
      </c>
      <c r="L29" t="inlineStr">
        <is>
          <t>GBp</t>
        </is>
      </c>
      <c r="M29" t="inlineStr"/>
      <c r="N29" t="inlineStr"/>
      <c r="O29" t="inlineStr"/>
      <c r="P29" t="n">
        <v>20.15792855321628</v>
      </c>
      <c r="Q29" t="inlineStr"/>
      <c r="R29" t="n">
        <v>6.87</v>
      </c>
      <c r="S29" t="n">
        <v>3.366</v>
      </c>
      <c r="T29" t="n">
        <v>3.504</v>
      </c>
      <c r="U29" t="n">
        <v>891633000000</v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n">
        <v>2006</v>
      </c>
      <c r="E30" t="inlineStr"/>
      <c r="F30" t="n">
        <v>3.962</v>
      </c>
      <c r="G30" t="n">
        <v>11.004688</v>
      </c>
      <c r="H30" t="n">
        <v>24.224653</v>
      </c>
      <c r="I30" t="inlineStr"/>
      <c r="J30" t="inlineStr">
        <is>
          <t>Brazil|XMBR.L|2006</t>
        </is>
      </c>
      <c r="K30" t="inlineStr">
        <is>
          <t>Brazil|2006</t>
        </is>
      </c>
      <c r="L30" t="inlineStr">
        <is>
          <t>GBp</t>
        </is>
      </c>
      <c r="M30" t="inlineStr"/>
      <c r="N30" t="inlineStr"/>
      <c r="O30" t="inlineStr"/>
      <c r="P30" t="n">
        <v>11.90937522602231</v>
      </c>
      <c r="Q30" t="inlineStr"/>
      <c r="R30" t="n">
        <v>4.184</v>
      </c>
      <c r="S30" t="n">
        <v>3.222</v>
      </c>
      <c r="T30" t="n">
        <v>0.9620000000000002</v>
      </c>
      <c r="U30" t="n">
        <v>1107628000000</v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n">
        <v>2007</v>
      </c>
      <c r="E31" t="inlineStr"/>
      <c r="F31" t="n">
        <v>6.07</v>
      </c>
      <c r="G31" t="n">
        <v>12.899749</v>
      </c>
      <c r="H31" t="n">
        <v>26.13567</v>
      </c>
      <c r="I31" t="inlineStr"/>
      <c r="J31" t="inlineStr">
        <is>
          <t>Brazil|XMBR.L|2007</t>
        </is>
      </c>
      <c r="K31" t="inlineStr">
        <is>
          <t>Brazil|2007</t>
        </is>
      </c>
      <c r="L31" t="inlineStr">
        <is>
          <t>GBp</t>
        </is>
      </c>
      <c r="M31" t="inlineStr"/>
      <c r="N31" t="inlineStr"/>
      <c r="O31" t="inlineStr"/>
      <c r="P31" t="n">
        <v>11.72360551870624</v>
      </c>
      <c r="Q31" t="inlineStr"/>
      <c r="R31" t="n">
        <v>3.641</v>
      </c>
      <c r="S31" t="n">
        <v>2.871</v>
      </c>
      <c r="T31" t="n">
        <v>0.77</v>
      </c>
      <c r="U31" t="n">
        <v>1397114000000</v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t="n">
        <v>2008</v>
      </c>
      <c r="E32" t="inlineStr"/>
      <c r="F32" t="n">
        <v>5.094</v>
      </c>
      <c r="G32" t="n">
        <v>14.319939</v>
      </c>
      <c r="H32" t="n">
        <v>21.382722</v>
      </c>
      <c r="I32" t="inlineStr"/>
      <c r="J32" t="inlineStr">
        <is>
          <t>Brazil|XMBR.L|2008</t>
        </is>
      </c>
      <c r="K32" t="inlineStr">
        <is>
          <t>Brazil|2008</t>
        </is>
      </c>
      <c r="L32" t="inlineStr">
        <is>
          <t>GBp</t>
        </is>
      </c>
      <c r="M32" t="inlineStr"/>
      <c r="N32" t="n">
        <v>-26.2666463318202</v>
      </c>
      <c r="O32" t="inlineStr"/>
      <c r="P32" t="n">
        <v>6.178084908035264</v>
      </c>
      <c r="Q32" t="inlineStr"/>
      <c r="R32" t="n">
        <v>5.678</v>
      </c>
      <c r="S32" t="n">
        <v>3.815</v>
      </c>
      <c r="T32" t="n">
        <v>1.863</v>
      </c>
      <c r="U32" t="n">
        <v>1695855000000</v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t="n">
        <v>2009</v>
      </c>
      <c r="E33" t="n">
        <v>90.25107441755257</v>
      </c>
      <c r="F33" t="n">
        <v>-0.126</v>
      </c>
      <c r="G33" t="n">
        <v>7.178461</v>
      </c>
      <c r="H33" t="n">
        <v>-1.571538</v>
      </c>
      <c r="I33" t="n">
        <v>-110.4207320120089</v>
      </c>
      <c r="J33" t="inlineStr">
        <is>
          <t>Brazil|XMBR.L|2009</t>
        </is>
      </c>
      <c r="K33" t="inlineStr">
        <is>
          <t>Brazil|2009</t>
        </is>
      </c>
      <c r="L33" t="inlineStr">
        <is>
          <t>GBp</t>
        </is>
      </c>
      <c r="M33" t="n">
        <v>90.25107441755257</v>
      </c>
      <c r="N33" t="n">
        <v>9.775566130910907</v>
      </c>
      <c r="O33" t="n">
        <v>108.8491940120089</v>
      </c>
      <c r="P33" t="n">
        <v>-8.163952636802719</v>
      </c>
      <c r="Q33" t="n">
        <v>127.4152688497609</v>
      </c>
      <c r="R33" t="n">
        <v>4.888</v>
      </c>
      <c r="S33" t="n">
        <v>-0.32</v>
      </c>
      <c r="T33" t="n">
        <v>5.208</v>
      </c>
      <c r="U33" t="n">
        <v>1669204000000</v>
      </c>
    </row>
    <row r="34">
      <c r="A34" t="inlineStr">
        <is>
          <t>Brazil</t>
        </is>
      </c>
      <c r="B34" t="inlineStr">
        <is>
          <t>BRA</t>
        </is>
      </c>
      <c r="C34" t="inlineStr">
        <is>
          <t>XMBR.L</t>
        </is>
      </c>
      <c r="D34" t="n">
        <v>2010</v>
      </c>
      <c r="E34" t="n">
        <v>6.65364284072627</v>
      </c>
      <c r="F34" t="n">
        <v>7.528</v>
      </c>
      <c r="G34" t="n">
        <v>16.585705</v>
      </c>
      <c r="H34" t="n">
        <v>32.320795</v>
      </c>
      <c r="I34" t="n">
        <v>30.26726790416274</v>
      </c>
      <c r="J34" t="inlineStr">
        <is>
          <t>Brazil|XMBR.L|2010</t>
        </is>
      </c>
      <c r="K34" t="inlineStr">
        <is>
          <t>Brazil|2010</t>
        </is>
      </c>
      <c r="L34" t="inlineStr">
        <is>
          <t>GBp</t>
        </is>
      </c>
      <c r="M34" t="n">
        <v>6.65364284072627</v>
      </c>
      <c r="N34" t="n">
        <v>-4.313135137595536</v>
      </c>
      <c r="O34" t="n">
        <v>2.05352709583726</v>
      </c>
      <c r="P34" t="n">
        <v>13.49658636909814</v>
      </c>
      <c r="Q34" t="n">
        <v>-10.08229378463184</v>
      </c>
      <c r="R34" t="n">
        <v>5.039</v>
      </c>
      <c r="S34" t="n">
        <v>1.637</v>
      </c>
      <c r="T34" t="n">
        <v>3.402</v>
      </c>
      <c r="U34" t="n">
        <v>2208704000000</v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XMBR.L</t>
        </is>
      </c>
      <c r="D35" t="n">
        <v>2011</v>
      </c>
      <c r="E35" t="n">
        <v>-22.9679701354928</v>
      </c>
      <c r="F35" t="n">
        <v>3.974</v>
      </c>
      <c r="G35" t="n">
        <v>12.623631</v>
      </c>
      <c r="H35" t="n">
        <v>18.351169</v>
      </c>
      <c r="I35" t="n">
        <v>42.09339786413111</v>
      </c>
      <c r="J35" t="inlineStr">
        <is>
          <t>Brazil|XMBR.L|2011</t>
        </is>
      </c>
      <c r="K35" t="inlineStr">
        <is>
          <t>Brazil|2011</t>
        </is>
      </c>
      <c r="L35" t="inlineStr">
        <is>
          <t>GBp</t>
        </is>
      </c>
      <c r="M35" t="n">
        <v>-22.9679701354928</v>
      </c>
      <c r="N35" t="n">
        <v>-1.005112717398426</v>
      </c>
      <c r="O35" t="n">
        <v>-23.74222886413111</v>
      </c>
      <c r="P35" t="n">
        <v>5.085555681710408</v>
      </c>
      <c r="Q35" t="n">
        <v>-27.43268031351225</v>
      </c>
      <c r="R35" t="n">
        <v>6.636</v>
      </c>
      <c r="S35" t="n">
        <v>3.14</v>
      </c>
      <c r="T35" t="n">
        <v>3.496</v>
      </c>
      <c r="U35" t="n">
        <v>2614027000000</v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XMBR.L</t>
        </is>
      </c>
      <c r="D36" t="n">
        <v>2012</v>
      </c>
      <c r="E36" t="n">
        <v>-8.907266811279834</v>
      </c>
      <c r="F36" t="n">
        <v>1.921</v>
      </c>
      <c r="G36" t="n">
        <v>10.016904</v>
      </c>
      <c r="H36" t="n">
        <v>-5.737278</v>
      </c>
      <c r="I36" t="n">
        <v>-0.6521605719488992</v>
      </c>
      <c r="J36" t="inlineStr">
        <is>
          <t>Brazil|XMBR.L|2012</t>
        </is>
      </c>
      <c r="K36" t="inlineStr">
        <is>
          <t>Brazil|2012</t>
        </is>
      </c>
      <c r="L36" t="inlineStr">
        <is>
          <t>GBp</t>
        </is>
      </c>
      <c r="M36" t="n">
        <v>-8.907266811279834</v>
      </c>
      <c r="N36" t="n">
        <v>4.195888354025179</v>
      </c>
      <c r="O36" t="n">
        <v>-5.085117428051101</v>
      </c>
      <c r="P36" t="n">
        <v>-14.31978350745913</v>
      </c>
      <c r="Q36" t="n">
        <v>10.77806109443242</v>
      </c>
      <c r="R36" t="n">
        <v>5.404</v>
      </c>
      <c r="S36" t="n">
        <v>2.073</v>
      </c>
      <c r="T36" t="n">
        <v>3.331</v>
      </c>
      <c r="U36" t="n">
        <v>2464053000000</v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XMBR.L</t>
        </is>
      </c>
      <c r="D37" t="n">
        <v>2013</v>
      </c>
      <c r="E37" t="n">
        <v>-20.53429602888086</v>
      </c>
      <c r="F37" t="n">
        <v>3.005</v>
      </c>
      <c r="G37" t="n">
        <v>10.734886</v>
      </c>
      <c r="H37" t="n">
        <v>0.311073</v>
      </c>
      <c r="I37" t="n">
        <v>19.57914141952903</v>
      </c>
      <c r="J37" t="inlineStr">
        <is>
          <t>Brazil|XMBR.L|2013</t>
        </is>
      </c>
      <c r="K37" t="inlineStr">
        <is>
          <t>Brazil|2013</t>
        </is>
      </c>
      <c r="L37" t="inlineStr">
        <is>
          <t>GBp</t>
        </is>
      </c>
      <c r="M37" t="n">
        <v>-20.53429602888086</v>
      </c>
      <c r="N37" t="n">
        <v>1.593426530031161</v>
      </c>
      <c r="O37" t="n">
        <v>-19.26806841952903</v>
      </c>
      <c r="P37" t="n">
        <v>-9.413305576364339</v>
      </c>
      <c r="Q37" t="n">
        <v>-10.87881935185551</v>
      </c>
      <c r="R37" t="n">
        <v>6.204</v>
      </c>
      <c r="S37" t="n">
        <v>1.466</v>
      </c>
      <c r="T37" t="n">
        <v>4.738</v>
      </c>
      <c r="U37" t="n">
        <v>2471718000000</v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XMBR.L</t>
        </is>
      </c>
      <c r="D38" t="n">
        <v>2014</v>
      </c>
      <c r="E38" t="n">
        <v>-8.22094956585997</v>
      </c>
      <c r="F38" t="n">
        <v>0.504</v>
      </c>
      <c r="G38" t="n">
        <v>8.390209</v>
      </c>
      <c r="H38" t="n">
        <v>-0.6336889999999999</v>
      </c>
      <c r="I38" t="n">
        <v>13.10000842425109</v>
      </c>
      <c r="J38" t="inlineStr">
        <is>
          <t>Brazil|XMBR.L|2014</t>
        </is>
      </c>
      <c r="K38" t="inlineStr">
        <is>
          <t>Brazil|2014</t>
        </is>
      </c>
      <c r="L38" t="inlineStr">
        <is>
          <t>GBp</t>
        </is>
      </c>
      <c r="M38" t="n">
        <v>-8.22094956585997</v>
      </c>
      <c r="N38" t="n">
        <v>-6.006542704804973</v>
      </c>
      <c r="O38" t="n">
        <v>-13.73369742425109</v>
      </c>
      <c r="P38" t="n">
        <v>-8.325381296119282</v>
      </c>
      <c r="Q38" t="n">
        <v>-5.899469454682194</v>
      </c>
      <c r="R38" t="n">
        <v>6.329</v>
      </c>
      <c r="S38" t="n">
        <v>1.615</v>
      </c>
      <c r="T38" t="n">
        <v>4.714</v>
      </c>
      <c r="U38" t="n">
        <v>2456055000000</v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XMBR.L</t>
        </is>
      </c>
      <c r="D39" t="n">
        <v>2015</v>
      </c>
      <c r="E39" t="n">
        <v>-37.88392398561889</v>
      </c>
      <c r="F39" t="n">
        <v>-3.546</v>
      </c>
      <c r="G39" t="n">
        <v>3.752133</v>
      </c>
      <c r="H39" t="n">
        <v>-26.709866</v>
      </c>
      <c r="I39" t="n">
        <v>14.2108234144948</v>
      </c>
      <c r="J39" t="inlineStr">
        <is>
          <t>Brazil|XMBR.L|2015</t>
        </is>
      </c>
      <c r="K39" t="inlineStr">
        <is>
          <t>Brazil|2015</t>
        </is>
      </c>
      <c r="L39" t="inlineStr">
        <is>
          <t>GBp</t>
        </is>
      </c>
      <c r="M39" t="n">
        <v>-37.88392398561889</v>
      </c>
      <c r="N39" t="n">
        <v>-4.888855870697362</v>
      </c>
      <c r="O39" t="n">
        <v>-40.9206894144948</v>
      </c>
      <c r="P39" t="n">
        <v>-29.36035926471338</v>
      </c>
      <c r="Q39" t="n">
        <v>-16.36521651221634</v>
      </c>
      <c r="R39" t="n">
        <v>9.029999999999999</v>
      </c>
      <c r="S39" t="n">
        <v>0.121</v>
      </c>
      <c r="T39" t="n">
        <v>8.908999999999999</v>
      </c>
      <c r="U39" t="n">
        <v>1800046000000</v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XMBR.L</t>
        </is>
      </c>
      <c r="D40" t="n">
        <v>2016</v>
      </c>
      <c r="E40" t="n">
        <v>105.2944171050399</v>
      </c>
      <c r="F40" t="n">
        <v>-3.276</v>
      </c>
      <c r="G40" t="n">
        <v>4.562203</v>
      </c>
      <c r="H40" t="n">
        <v>-0.190217</v>
      </c>
      <c r="I40" t="n">
        <v>-71.35298252407628</v>
      </c>
      <c r="J40" t="inlineStr">
        <is>
          <t>Brazil|XMBR.L|2016</t>
        </is>
      </c>
      <c r="K40" t="inlineStr">
        <is>
          <t>Brazil|2016</t>
        </is>
      </c>
      <c r="L40" t="inlineStr">
        <is>
          <t>GBp</t>
        </is>
      </c>
      <c r="M40" t="n">
        <v>105.2944171050399</v>
      </c>
      <c r="N40" t="n">
        <v>-16.62570861023462</v>
      </c>
      <c r="O40" t="n">
        <v>71.16276552407628</v>
      </c>
      <c r="P40" t="n">
        <v>-4.54506564754541</v>
      </c>
      <c r="Q40" t="n">
        <v>79.31264285624108</v>
      </c>
      <c r="R40" t="n">
        <v>8.74</v>
      </c>
      <c r="S40" t="n">
        <v>1.267</v>
      </c>
      <c r="T40" t="n">
        <v>7.473000000000001</v>
      </c>
      <c r="U40" t="n">
        <v>1796622000000</v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XMBR.L</t>
        </is>
      </c>
      <c r="D41" t="n">
        <v>2017</v>
      </c>
      <c r="E41" t="n">
        <v>10.3247697527872</v>
      </c>
      <c r="F41" t="n">
        <v>1.323</v>
      </c>
      <c r="G41" t="n">
        <v>5.042838</v>
      </c>
      <c r="H41" t="n">
        <v>14.85549</v>
      </c>
      <c r="I41" t="n">
        <v>-5.223520785701201</v>
      </c>
      <c r="J41" t="inlineStr">
        <is>
          <t>Brazil|XMBR.L|2017</t>
        </is>
      </c>
      <c r="K41" t="inlineStr">
        <is>
          <t>Brazil|2017</t>
        </is>
      </c>
      <c r="L41" t="inlineStr">
        <is>
          <t>GBp</t>
        </is>
      </c>
      <c r="M41" t="n">
        <v>10.3247697527872</v>
      </c>
      <c r="N41" t="n">
        <v>8.841388071573641</v>
      </c>
      <c r="O41" t="n">
        <v>20.0790107857012</v>
      </c>
      <c r="P41" t="n">
        <v>9.341571663219028</v>
      </c>
      <c r="Q41" t="n">
        <v>9.820088516337</v>
      </c>
      <c r="R41" t="n">
        <v>3.446</v>
      </c>
      <c r="S41" t="n">
        <v>2.131</v>
      </c>
      <c r="T41" t="n">
        <v>1.315</v>
      </c>
      <c r="U41" t="n">
        <v>2063519000000</v>
      </c>
    </row>
    <row r="42">
      <c r="A42" t="inlineStr">
        <is>
          <t>Brazil</t>
        </is>
      </c>
      <c r="B42" t="inlineStr">
        <is>
          <t>BRA</t>
        </is>
      </c>
      <c r="C42" t="inlineStr">
        <is>
          <t>XMBR.L</t>
        </is>
      </c>
      <c r="D42" t="n">
        <v>2018</v>
      </c>
      <c r="E42" t="n">
        <v>2.443218456688401</v>
      </c>
      <c r="F42" t="n">
        <v>1.784</v>
      </c>
      <c r="G42" t="n">
        <v>6.357351</v>
      </c>
      <c r="H42" t="n">
        <v>-7.103642</v>
      </c>
      <c r="I42" t="n">
        <v>-3.312878956086286</v>
      </c>
      <c r="J42" t="inlineStr">
        <is>
          <t>Brazil|XMBR.L|2018</t>
        </is>
      </c>
      <c r="K42" t="inlineStr">
        <is>
          <t>Brazil|2018</t>
        </is>
      </c>
      <c r="L42" t="inlineStr">
        <is>
          <t>GBp</t>
        </is>
      </c>
      <c r="M42" t="n">
        <v>2.443218456688401</v>
      </c>
      <c r="N42" t="n">
        <v>-6.085304224640065</v>
      </c>
      <c r="O42" t="n">
        <v>-3.790763043913714</v>
      </c>
      <c r="P42" t="n">
        <v>-12.65638205466163</v>
      </c>
      <c r="Q42" t="n">
        <v>10.15027682537288</v>
      </c>
      <c r="R42" t="n">
        <v>3.665</v>
      </c>
      <c r="S42" t="n">
        <v>2.439</v>
      </c>
      <c r="T42" t="n">
        <v>1.226</v>
      </c>
      <c r="U42" t="n">
        <v>1916934000000</v>
      </c>
    </row>
    <row r="43">
      <c r="A43" t="inlineStr">
        <is>
          <t>Brazil</t>
        </is>
      </c>
      <c r="B43" t="inlineStr">
        <is>
          <t>BRA</t>
        </is>
      </c>
      <c r="C43" t="inlineStr">
        <is>
          <t>XMBR.L</t>
        </is>
      </c>
      <c r="D43" t="n">
        <v>2019</v>
      </c>
      <c r="E43" t="n">
        <v>13.68379342226918</v>
      </c>
      <c r="F43" t="n">
        <v>1.221</v>
      </c>
      <c r="G43" t="n">
        <v>5.496606</v>
      </c>
      <c r="H43" t="n">
        <v>-2.276969</v>
      </c>
      <c r="I43" t="n">
        <v>-19.30745902478561</v>
      </c>
      <c r="J43" t="inlineStr">
        <is>
          <t>Brazil|XMBR.L|2019</t>
        </is>
      </c>
      <c r="K43" t="inlineStr">
        <is>
          <t>Brazil|2019</t>
        </is>
      </c>
      <c r="L43" t="inlineStr">
        <is>
          <t>GBp</t>
        </is>
      </c>
      <c r="M43" t="n">
        <v>13.68379342226918</v>
      </c>
      <c r="N43" t="n">
        <v>2.94386429390634</v>
      </c>
      <c r="O43" t="n">
        <v>17.03049002478561</v>
      </c>
      <c r="P43" t="n">
        <v>-7.368554504137903</v>
      </c>
      <c r="Q43" t="n">
        <v>26.33991556356898</v>
      </c>
      <c r="R43" t="n">
        <v>3.733</v>
      </c>
      <c r="S43" t="n">
        <v>1.813</v>
      </c>
      <c r="T43" t="n">
        <v>1.92</v>
      </c>
      <c r="U43" t="n">
        <v>1873286000000</v>
      </c>
    </row>
    <row r="44">
      <c r="A44" t="inlineStr">
        <is>
          <t>Brazil</t>
        </is>
      </c>
      <c r="B44" t="inlineStr">
        <is>
          <t>BRA</t>
        </is>
      </c>
      <c r="C44" t="inlineStr">
        <is>
          <t>XMBR.L</t>
        </is>
      </c>
      <c r="D44" t="n">
        <v>2020</v>
      </c>
      <c r="E44" t="n">
        <v>-23.38314132542488</v>
      </c>
      <c r="F44" t="n">
        <v>-3.277</v>
      </c>
      <c r="G44" t="n">
        <v>2.983653</v>
      </c>
      <c r="H44" t="n">
        <v>-21.203062</v>
      </c>
      <c r="I44" t="n">
        <v>0.05380951822924729</v>
      </c>
      <c r="J44" t="inlineStr">
        <is>
          <t>Brazil|XMBR.L|2020</t>
        </is>
      </c>
      <c r="K44" t="inlineStr">
        <is>
          <t>Brazil|2020</t>
        </is>
      </c>
      <c r="L44" t="inlineStr">
        <is>
          <t>GBp</t>
        </is>
      </c>
      <c r="M44" t="n">
        <v>-23.38314132542488</v>
      </c>
      <c r="N44" t="n">
        <v>2.775198362317122</v>
      </c>
      <c r="O44" t="n">
        <v>-21.25687151822925</v>
      </c>
      <c r="P44" t="n">
        <v>-23.48597512691811</v>
      </c>
      <c r="Q44" t="n">
        <v>2.913326821306828</v>
      </c>
      <c r="R44" t="n">
        <v>3.212</v>
      </c>
      <c r="S44" t="n">
        <v>1.253</v>
      </c>
      <c r="T44" t="n">
        <v>1.959</v>
      </c>
      <c r="U44" t="n">
        <v>1476092000000</v>
      </c>
    </row>
    <row r="45">
      <c r="A45" t="inlineStr">
        <is>
          <t>Brazil</t>
        </is>
      </c>
      <c r="B45" t="inlineStr">
        <is>
          <t>BRA</t>
        </is>
      </c>
      <c r="C45" t="inlineStr">
        <is>
          <t>XMBR.L</t>
        </is>
      </c>
      <c r="D45" t="n">
        <v>2021</v>
      </c>
      <c r="E45" t="n">
        <v>-16.78624813153962</v>
      </c>
      <c r="F45" t="n">
        <v>4.763</v>
      </c>
      <c r="G45" t="n">
        <v>18.431265</v>
      </c>
      <c r="H45" t="n">
        <v>13.180615</v>
      </c>
      <c r="I45" t="n">
        <v>31.02968624156539</v>
      </c>
      <c r="J45" t="inlineStr">
        <is>
          <t>Brazil|XMBR.L|2021</t>
        </is>
      </c>
      <c r="K45" t="inlineStr">
        <is>
          <t>Brazil|2021</t>
        </is>
      </c>
      <c r="L45" t="inlineStr">
        <is>
          <t>GBp</t>
        </is>
      </c>
      <c r="M45" t="n">
        <v>-16.78624813153962</v>
      </c>
      <c r="N45" t="n">
        <v>-1.277220514832489</v>
      </c>
      <c r="O45" t="n">
        <v>-17.84907124156539</v>
      </c>
      <c r="P45" t="n">
        <v>-4.433500212945773</v>
      </c>
      <c r="Q45" t="n">
        <v>-14.03794327354547</v>
      </c>
      <c r="R45" t="n">
        <v>8.302</v>
      </c>
      <c r="S45" t="n">
        <v>4.679</v>
      </c>
      <c r="T45" t="n">
        <v>3.622999999999999</v>
      </c>
      <c r="U45" t="n">
        <v>1670650000000</v>
      </c>
    </row>
    <row r="46">
      <c r="A46" t="inlineStr">
        <is>
          <t>Brazil</t>
        </is>
      </c>
      <c r="B46" t="inlineStr">
        <is>
          <t>BRA</t>
        </is>
      </c>
      <c r="C46" t="inlineStr">
        <is>
          <t>XMBR.L</t>
        </is>
      </c>
      <c r="D46" t="n">
        <v>2022</v>
      </c>
      <c r="E46" t="n">
        <v>29.69270640503516</v>
      </c>
      <c r="F46" t="n">
        <v>3.017</v>
      </c>
      <c r="G46" t="n">
        <v>11.845508</v>
      </c>
      <c r="H46" t="n">
        <v>16.831712</v>
      </c>
      <c r="I46" t="n">
        <v>1.199052827924231</v>
      </c>
      <c r="J46" t="inlineStr">
        <is>
          <t>Brazil|XMBR.L|2022</t>
        </is>
      </c>
      <c r="K46" t="inlineStr">
        <is>
          <t>Brazil|2022</t>
        </is>
      </c>
      <c r="L46" t="inlineStr">
        <is>
          <t>GBp</t>
        </is>
      </c>
      <c r="M46" t="n">
        <v>29.69270640503516</v>
      </c>
      <c r="N46" t="n">
        <v>-10.84104698150823</v>
      </c>
      <c r="O46" t="n">
        <v>15.63265917207577</v>
      </c>
      <c r="P46" t="n">
        <v>4.458117554575858</v>
      </c>
      <c r="Q46" t="n">
        <v>10.69762875217581</v>
      </c>
      <c r="R46" t="n">
        <v>9.279999999999999</v>
      </c>
      <c r="S46" t="n">
        <v>7.993</v>
      </c>
      <c r="T46" t="n">
        <v>1.286999999999999</v>
      </c>
      <c r="U46" t="n">
        <v>1951849000000</v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n">
        <v>2023</v>
      </c>
      <c r="E47" t="n">
        <v>32.01622596153846</v>
      </c>
      <c r="F47" t="n">
        <v>3.242</v>
      </c>
      <c r="G47" t="n">
        <v>8.56841</v>
      </c>
      <c r="H47" t="n">
        <v>12.259555</v>
      </c>
      <c r="I47" t="n">
        <v>-26.44069299210054</v>
      </c>
      <c r="J47" t="inlineStr">
        <is>
          <t>Brazil|XMBR.L|2023</t>
        </is>
      </c>
      <c r="K47" t="inlineStr">
        <is>
          <t>Brazil|2023</t>
        </is>
      </c>
      <c r="L47" t="inlineStr">
        <is>
          <t>GBp</t>
        </is>
      </c>
      <c r="M47" t="n">
        <v>32.01622596153846</v>
      </c>
      <c r="N47" t="n">
        <v>5.06303068571996</v>
      </c>
      <c r="O47" t="n">
        <v>38.70024799210054</v>
      </c>
      <c r="P47" t="n">
        <v>3.399832943271908</v>
      </c>
      <c r="Q47" t="n">
        <v>34.13972154886888</v>
      </c>
      <c r="R47" t="n">
        <v>4.594</v>
      </c>
      <c r="S47" t="n">
        <v>4.128</v>
      </c>
      <c r="T47" t="n">
        <v>0.4660000000000002</v>
      </c>
      <c r="U47" t="n">
        <v>2191137000000</v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n">
        <v>2024</v>
      </c>
      <c r="E48" t="n">
        <v>-28.08666743092974</v>
      </c>
      <c r="F48" t="n">
        <v>3.396</v>
      </c>
      <c r="G48" t="n">
        <v>7.322853</v>
      </c>
      <c r="H48" t="n">
        <v>-0.535065</v>
      </c>
      <c r="I48" t="n">
        <v>28.57352937738738</v>
      </c>
      <c r="J48" t="inlineStr">
        <is>
          <t>Brazil|XMBR.L|2024</t>
        </is>
      </c>
      <c r="K48" t="inlineStr">
        <is>
          <t>Brazil|2024</t>
        </is>
      </c>
      <c r="L48" t="inlineStr">
        <is>
          <t>GBp</t>
        </is>
      </c>
      <c r="M48" t="n">
        <v>-28.08666743092974</v>
      </c>
      <c r="N48" t="n">
        <v>-1.421053523664917</v>
      </c>
      <c r="O48" t="n">
        <v>-29.10859437738738</v>
      </c>
      <c r="P48" t="n">
        <v>-7.321756270579716</v>
      </c>
      <c r="Q48" t="n">
        <v>-23.50803946006534</v>
      </c>
      <c r="R48" t="n">
        <v>4.367</v>
      </c>
      <c r="S48" t="n">
        <v>2.952</v>
      </c>
      <c r="T48" t="n">
        <v>1.415</v>
      </c>
      <c r="U48" t="n">
        <v>2179413000000</v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n">
        <v>2025</v>
      </c>
      <c r="E49" t="n">
        <v>35.96174949051576</v>
      </c>
      <c r="F49" t="n">
        <v>2.4</v>
      </c>
      <c r="G49" t="n">
        <v>7.880595</v>
      </c>
      <c r="H49" t="n">
        <v>3.555866</v>
      </c>
      <c r="I49" t="n">
        <v>-42.70081138405066</v>
      </c>
      <c r="J49" t="inlineStr">
        <is>
          <t>Brazil|XMBR.L|2025</t>
        </is>
      </c>
      <c r="K49" t="inlineStr">
        <is>
          <t>Brazil|2025</t>
        </is>
      </c>
      <c r="L49" t="inlineStr">
        <is>
          <t>GBp</t>
        </is>
      </c>
      <c r="M49" t="n">
        <v>35.96174949051576</v>
      </c>
      <c r="N49" t="n">
        <v>7.571929555270285</v>
      </c>
      <c r="O49" t="n">
        <v>46.25667738405066</v>
      </c>
      <c r="P49" t="n">
        <v>-4.008811479073304</v>
      </c>
      <c r="Q49" t="n">
        <v>52.36469059049702</v>
      </c>
      <c r="R49" t="n">
        <v>5.187</v>
      </c>
      <c r="S49" t="n">
        <v>2.715</v>
      </c>
      <c r="T49" t="n">
        <v>2.472</v>
      </c>
      <c r="U49" t="n">
        <v>2256910000000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n">
        <v>2026</v>
      </c>
      <c r="E50" t="n">
        <v>14.81609195402298</v>
      </c>
      <c r="F50" t="n">
        <v>1.942</v>
      </c>
      <c r="G50" t="n">
        <v>6.700485</v>
      </c>
      <c r="H50" t="n">
        <v>1.585353</v>
      </c>
      <c r="I50" t="n">
        <v>-11.50586252036829</v>
      </c>
      <c r="J50" t="inlineStr">
        <is>
          <t>Brazil|XMBR.L|2026</t>
        </is>
      </c>
      <c r="K50" t="inlineStr">
        <is>
          <t>Brazil|2026</t>
        </is>
      </c>
      <c r="L50" t="inlineStr">
        <is>
          <t>GBp</t>
        </is>
      </c>
      <c r="M50" t="n">
        <v>14.81609195402298</v>
      </c>
      <c r="N50" t="n">
        <v>-1.502295021803568</v>
      </c>
      <c r="O50" t="n">
        <v>13.09121552036829</v>
      </c>
      <c r="P50" t="n">
        <v>-4.793915921235781</v>
      </c>
      <c r="Q50" t="n">
        <v>18.78570221080373</v>
      </c>
      <c r="R50" t="n">
        <v>3.972</v>
      </c>
      <c r="S50" t="n">
        <v>2.435</v>
      </c>
      <c r="T50" t="n">
        <v>1.537</v>
      </c>
      <c r="U50" t="n">
        <v>2292690000000</v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n">
        <v>2027</v>
      </c>
      <c r="E51" t="inlineStr"/>
      <c r="F51" t="n">
        <v>2.238</v>
      </c>
      <c r="G51" t="n">
        <v>5.874713</v>
      </c>
      <c r="H51" t="n">
        <v>5.251124</v>
      </c>
      <c r="I51" t="inlineStr"/>
      <c r="J51" t="inlineStr">
        <is>
          <t>Brazil|XMBR.L|2027</t>
        </is>
      </c>
      <c r="K51" t="inlineStr">
        <is>
          <t>Brazil|2027</t>
        </is>
      </c>
      <c r="L51" t="inlineStr">
        <is>
          <t>GBp</t>
        </is>
      </c>
      <c r="M51" t="inlineStr"/>
      <c r="N51" t="inlineStr"/>
      <c r="O51" t="inlineStr"/>
      <c r="P51" t="n">
        <v>-0.5889873060682671</v>
      </c>
      <c r="Q51" t="inlineStr"/>
      <c r="R51" t="n">
        <v>3.273</v>
      </c>
      <c r="S51" t="n">
        <v>2.185</v>
      </c>
      <c r="T51" t="n">
        <v>1.088</v>
      </c>
      <c r="U51" t="n">
        <v>2413082000000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n">
        <v>2028</v>
      </c>
      <c r="E52" t="inlineStr"/>
      <c r="F52" t="n">
        <v>2.305</v>
      </c>
      <c r="G52" t="n">
        <v>5.843442</v>
      </c>
      <c r="H52" t="n">
        <v>5.082463</v>
      </c>
      <c r="I52" t="inlineStr"/>
      <c r="J52" t="inlineStr">
        <is>
          <t>Brazil|XMBR.L|2028</t>
        </is>
      </c>
      <c r="K52" t="inlineStr">
        <is>
          <t>Brazil|2028</t>
        </is>
      </c>
      <c r="L52" t="inlineStr">
        <is>
          <t>GBp</t>
        </is>
      </c>
      <c r="M52" t="inlineStr"/>
      <c r="N52" t="inlineStr"/>
      <c r="O52" t="inlineStr"/>
      <c r="P52" t="n">
        <v>-0.7189667687779622</v>
      </c>
      <c r="Q52" t="inlineStr"/>
      <c r="R52" t="n">
        <v>2.929</v>
      </c>
      <c r="S52" t="n">
        <v>2.206</v>
      </c>
      <c r="T52" t="n">
        <v>0.7229999999999999</v>
      </c>
      <c r="U52" t="n">
        <v>2535726000000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n">
        <v>2029</v>
      </c>
      <c r="E53" t="inlineStr"/>
      <c r="F53" t="n">
        <v>2.432</v>
      </c>
      <c r="G53" t="n">
        <v>5.973718</v>
      </c>
      <c r="H53" t="n">
        <v>5.326482</v>
      </c>
      <c r="I53" t="inlineStr"/>
      <c r="J53" t="inlineStr">
        <is>
          <t>Brazil|XMBR.L|2029</t>
        </is>
      </c>
      <c r="K53" t="inlineStr">
        <is>
          <t>Brazil|2029</t>
        </is>
      </c>
      <c r="L53" t="inlineStr">
        <is>
          <t>GBp</t>
        </is>
      </c>
      <c r="M53" t="inlineStr"/>
      <c r="N53" t="inlineStr"/>
      <c r="O53" t="inlineStr"/>
      <c r="P53" t="n">
        <v>-0.6107509111194842</v>
      </c>
      <c r="Q53" t="inlineStr"/>
      <c r="R53" t="n">
        <v>2.932</v>
      </c>
      <c r="S53" t="n">
        <v>2.203</v>
      </c>
      <c r="T53" t="n">
        <v>0.7290000000000001</v>
      </c>
      <c r="U53" t="n">
        <v>2670791000000</v>
      </c>
    </row>
    <row r="54">
      <c r="A54" t="inlineStr">
        <is>
          <t>Canada</t>
        </is>
      </c>
      <c r="B54" t="inlineStr">
        <is>
          <t>CAN</t>
        </is>
      </c>
      <c r="C54" t="inlineStr">
        <is>
          <t>CSCA.L</t>
        </is>
      </c>
      <c r="D54" t="n">
        <v>2004</v>
      </c>
      <c r="E54" t="inlineStr"/>
      <c r="F54" t="n">
        <v>3.092</v>
      </c>
      <c r="G54" t="inlineStr"/>
      <c r="H54" t="inlineStr"/>
      <c r="I54" t="inlineStr"/>
      <c r="J54" t="inlineStr">
        <is>
          <t>Canada|CSCA.L|2004</t>
        </is>
      </c>
      <c r="K54" t="inlineStr">
        <is>
          <t>Canada|2004</t>
        </is>
      </c>
      <c r="L54" t="inlineStr">
        <is>
          <t>GBp</t>
        </is>
      </c>
      <c r="M54" t="inlineStr"/>
      <c r="N54" t="inlineStr"/>
      <c r="O54" t="inlineStr"/>
      <c r="P54" t="inlineStr"/>
      <c r="Q54" t="inlineStr"/>
      <c r="R54" t="n">
        <v>1.857</v>
      </c>
      <c r="S54" t="n">
        <v>2.668</v>
      </c>
      <c r="T54" t="n">
        <v>-0.8110000000000002</v>
      </c>
      <c r="U54" t="n">
        <v>1026473000000</v>
      </c>
    </row>
    <row r="55">
      <c r="A55" t="inlineStr">
        <is>
          <t>Canada</t>
        </is>
      </c>
      <c r="B55" t="inlineStr">
        <is>
          <t>CAN</t>
        </is>
      </c>
      <c r="C55" t="inlineStr">
        <is>
          <t>CSCA.L</t>
        </is>
      </c>
      <c r="D55" t="n">
        <v>2005</v>
      </c>
      <c r="E55" t="inlineStr"/>
      <c r="F55" t="n">
        <v>3.21</v>
      </c>
      <c r="G55" t="n">
        <v>6.427866</v>
      </c>
      <c r="H55" t="n">
        <v>14.324001</v>
      </c>
      <c r="I55" t="inlineStr"/>
      <c r="J55" t="inlineStr">
        <is>
          <t>Canada|CSCA.L|2005</t>
        </is>
      </c>
      <c r="K55" t="inlineStr">
        <is>
          <t>Canada|2005</t>
        </is>
      </c>
      <c r="L55" t="inlineStr">
        <is>
          <t>GBp</t>
        </is>
      </c>
      <c r="M55" t="inlineStr"/>
      <c r="N55" t="inlineStr"/>
      <c r="O55" t="inlineStr"/>
      <c r="P55" t="n">
        <v>7.419236078868785</v>
      </c>
      <c r="Q55" t="inlineStr"/>
      <c r="R55" t="n">
        <v>2.214</v>
      </c>
      <c r="S55" t="n">
        <v>3.366</v>
      </c>
      <c r="T55" t="n">
        <v>-1.152</v>
      </c>
      <c r="U55" t="n">
        <v>1173505000000</v>
      </c>
    </row>
    <row r="56">
      <c r="A56" t="inlineStr">
        <is>
          <t>Canada</t>
        </is>
      </c>
      <c r="B56" t="inlineStr">
        <is>
          <t>CAN</t>
        </is>
      </c>
      <c r="C56" t="inlineStr">
        <is>
          <t>CSCA.L</t>
        </is>
      </c>
      <c r="D56" t="n">
        <v>2006</v>
      </c>
      <c r="E56" t="inlineStr"/>
      <c r="F56" t="n">
        <v>2.638</v>
      </c>
      <c r="G56" t="n">
        <v>5.276768</v>
      </c>
      <c r="H56" t="n">
        <v>12.428665</v>
      </c>
      <c r="I56" t="inlineStr"/>
      <c r="J56" t="inlineStr">
        <is>
          <t>Canada|CSCA.L|2006</t>
        </is>
      </c>
      <c r="K56" t="inlineStr">
        <is>
          <t>Canada|2006</t>
        </is>
      </c>
      <c r="L56" t="inlineStr">
        <is>
          <t>GBp</t>
        </is>
      </c>
      <c r="M56" t="inlineStr"/>
      <c r="N56" t="inlineStr"/>
      <c r="O56" t="inlineStr"/>
      <c r="P56" t="n">
        <v>6.793423809117116</v>
      </c>
      <c r="Q56" t="inlineStr"/>
      <c r="R56" t="n">
        <v>2.002</v>
      </c>
      <c r="S56" t="n">
        <v>3.222</v>
      </c>
      <c r="T56" t="n">
        <v>-1.22</v>
      </c>
      <c r="U56" t="n">
        <v>1319356000000</v>
      </c>
    </row>
    <row r="57">
      <c r="A57" t="inlineStr">
        <is>
          <t>Canada</t>
        </is>
      </c>
      <c r="B57" t="inlineStr">
        <is>
          <t>CAN</t>
        </is>
      </c>
      <c r="C57" t="inlineStr">
        <is>
          <t>CSCA.L</t>
        </is>
      </c>
      <c r="D57" t="n">
        <v>2007</v>
      </c>
      <c r="E57" t="inlineStr"/>
      <c r="F57" t="n">
        <v>2.05</v>
      </c>
      <c r="G57" t="n">
        <v>5.416062</v>
      </c>
      <c r="H57" t="n">
        <v>11.334318</v>
      </c>
      <c r="I57" t="inlineStr"/>
      <c r="J57" t="inlineStr">
        <is>
          <t>Canada|CSCA.L|2007</t>
        </is>
      </c>
      <c r="K57" t="inlineStr">
        <is>
          <t>Canada|2007</t>
        </is>
      </c>
      <c r="L57" t="inlineStr">
        <is>
          <t>GBp</t>
        </is>
      </c>
      <c r="M57" t="inlineStr"/>
      <c r="N57" t="inlineStr"/>
      <c r="O57" t="inlineStr"/>
      <c r="P57" t="n">
        <v>5.614187797741077</v>
      </c>
      <c r="Q57" t="inlineStr"/>
      <c r="R57" t="n">
        <v>2.138</v>
      </c>
      <c r="S57" t="n">
        <v>2.871</v>
      </c>
      <c r="T57" t="n">
        <v>-0.7330000000000001</v>
      </c>
      <c r="U57" t="n">
        <v>1468896000000</v>
      </c>
    </row>
    <row r="58">
      <c r="A58" t="inlineStr">
        <is>
          <t>Canada</t>
        </is>
      </c>
      <c r="B58" t="inlineStr">
        <is>
          <t>CAN</t>
        </is>
      </c>
      <c r="C58" t="inlineStr">
        <is>
          <t>CSCA.L</t>
        </is>
      </c>
      <c r="D58" t="n">
        <v>2008</v>
      </c>
      <c r="E58" t="inlineStr"/>
      <c r="F58" t="n">
        <v>0.995</v>
      </c>
      <c r="G58" t="n">
        <v>5.031499</v>
      </c>
      <c r="H58" t="n">
        <v>5.716402</v>
      </c>
      <c r="I58" t="inlineStr"/>
      <c r="J58" t="inlineStr">
        <is>
          <t>Canada|CSCA.L|2008</t>
        </is>
      </c>
      <c r="K58" t="inlineStr">
        <is>
          <t>Canada|2008</t>
        </is>
      </c>
      <c r="L58" t="inlineStr">
        <is>
          <t>GBp</t>
        </is>
      </c>
      <c r="M58" t="inlineStr"/>
      <c r="N58" t="n">
        <v>-26.2666463318202</v>
      </c>
      <c r="O58" t="inlineStr"/>
      <c r="P58" t="n">
        <v>0.6520927732906801</v>
      </c>
      <c r="Q58" t="inlineStr"/>
      <c r="R58" t="n">
        <v>2.37</v>
      </c>
      <c r="S58" t="n">
        <v>3.815</v>
      </c>
      <c r="T58" t="n">
        <v>-1.445</v>
      </c>
      <c r="U58" t="n">
        <v>1552864000000</v>
      </c>
    </row>
    <row r="59">
      <c r="A59" t="inlineStr">
        <is>
          <t>Canada</t>
        </is>
      </c>
      <c r="B59" t="inlineStr">
        <is>
          <t>CAN</t>
        </is>
      </c>
      <c r="C59" t="inlineStr">
        <is>
          <t>CSCA.L</t>
        </is>
      </c>
      <c r="D59" t="n">
        <v>2009</v>
      </c>
      <c r="E59" t="inlineStr"/>
      <c r="F59" t="n">
        <v>-2.915</v>
      </c>
      <c r="G59" t="n">
        <v>-5.172292</v>
      </c>
      <c r="H59" t="n">
        <v>-11.356758</v>
      </c>
      <c r="I59" t="inlineStr"/>
      <c r="J59" t="inlineStr">
        <is>
          <t>Canada|CSCA.L|2009</t>
        </is>
      </c>
      <c r="K59" t="inlineStr">
        <is>
          <t>Canada|2009</t>
        </is>
      </c>
      <c r="L59" t="inlineStr">
        <is>
          <t>GBp</t>
        </is>
      </c>
      <c r="M59" t="inlineStr"/>
      <c r="N59" t="n">
        <v>9.775566130910907</v>
      </c>
      <c r="O59" t="inlineStr"/>
      <c r="P59" t="n">
        <v>-6.521791633242779</v>
      </c>
      <c r="Q59" t="inlineStr"/>
      <c r="R59" t="n">
        <v>0.299</v>
      </c>
      <c r="S59" t="n">
        <v>-0.32</v>
      </c>
      <c r="T59" t="n">
        <v>0.619</v>
      </c>
      <c r="U59" t="n">
        <v>1376509000000</v>
      </c>
    </row>
    <row r="60">
      <c r="A60" t="inlineStr">
        <is>
          <t>Canada</t>
        </is>
      </c>
      <c r="B60" t="inlineStr">
        <is>
          <t>CAN</t>
        </is>
      </c>
      <c r="C60" t="inlineStr">
        <is>
          <t>CSCA.L</t>
        </is>
      </c>
      <c r="D60" t="n">
        <v>2010</v>
      </c>
      <c r="E60" t="n">
        <v>-27.4279765796977</v>
      </c>
      <c r="F60" t="n">
        <v>3.091</v>
      </c>
      <c r="G60" t="n">
        <v>6.027617</v>
      </c>
      <c r="H60" t="n">
        <v>17.496144</v>
      </c>
      <c r="I60" t="n">
        <v>48.05425002190282</v>
      </c>
      <c r="J60" t="inlineStr">
        <is>
          <t>Canada|CSCA.L|2010</t>
        </is>
      </c>
      <c r="K60" t="inlineStr">
        <is>
          <t>Canada|2010</t>
        </is>
      </c>
      <c r="L60" t="inlineStr">
        <is>
          <t>GBp</t>
        </is>
      </c>
      <c r="M60" t="n">
        <v>-27.4279765796977</v>
      </c>
      <c r="N60" t="n">
        <v>-4.313135137595536</v>
      </c>
      <c r="O60" t="n">
        <v>-30.55810602190282</v>
      </c>
      <c r="P60" t="n">
        <v>10.81654688214742</v>
      </c>
      <c r="Q60" t="n">
        <v>-37.33616871138557</v>
      </c>
      <c r="R60" t="n">
        <v>1.777</v>
      </c>
      <c r="S60" t="n">
        <v>1.637</v>
      </c>
      <c r="T60" t="n">
        <v>0.1399999999999999</v>
      </c>
      <c r="U60" t="n">
        <v>1617345000000</v>
      </c>
    </row>
    <row r="61">
      <c r="A61" t="inlineStr">
        <is>
          <t>Canada</t>
        </is>
      </c>
      <c r="B61" t="inlineStr">
        <is>
          <t>CAN</t>
        </is>
      </c>
      <c r="C61" t="inlineStr">
        <is>
          <t>CSCA.L</t>
        </is>
      </c>
      <c r="D61" t="n">
        <v>2011</v>
      </c>
      <c r="E61" t="n">
        <v>-12.38195173137461</v>
      </c>
      <c r="F61" t="n">
        <v>3.137</v>
      </c>
      <c r="G61" t="n">
        <v>6.483307</v>
      </c>
      <c r="H61" t="n">
        <v>10.880919</v>
      </c>
      <c r="I61" t="n">
        <v>24.14353087725885</v>
      </c>
      <c r="J61" t="inlineStr">
        <is>
          <t>Canada|CSCA.L|2011</t>
        </is>
      </c>
      <c r="K61" t="inlineStr">
        <is>
          <t>Canada|2011</t>
        </is>
      </c>
      <c r="L61" t="inlineStr">
        <is>
          <t>GBp</t>
        </is>
      </c>
      <c r="M61" t="n">
        <v>-12.38195173137461</v>
      </c>
      <c r="N61" t="n">
        <v>-1.005112717398426</v>
      </c>
      <c r="O61" t="n">
        <v>-13.26261187725886</v>
      </c>
      <c r="P61" t="n">
        <v>4.129860889868131</v>
      </c>
      <c r="Q61" t="n">
        <v>-16.70267550392865</v>
      </c>
      <c r="R61" t="n">
        <v>2.912</v>
      </c>
      <c r="S61" t="n">
        <v>3.14</v>
      </c>
      <c r="T61" t="n">
        <v>-0.2280000000000002</v>
      </c>
      <c r="U61" t="n">
        <v>1793327000000</v>
      </c>
    </row>
    <row r="62">
      <c r="A62" t="inlineStr">
        <is>
          <t>Canada</t>
        </is>
      </c>
      <c r="B62" t="inlineStr">
        <is>
          <t>CAN</t>
        </is>
      </c>
      <c r="C62" t="inlineStr">
        <is>
          <t>CSCA.L</t>
        </is>
      </c>
      <c r="D62" t="n">
        <v>2012</v>
      </c>
      <c r="E62" t="n">
        <v>1.163726853546065</v>
      </c>
      <c r="F62" t="n">
        <v>1.756</v>
      </c>
      <c r="G62" t="n">
        <v>2.995271</v>
      </c>
      <c r="H62" t="n">
        <v>1.953631</v>
      </c>
      <c r="I62" t="n">
        <v>-3.454812887091852</v>
      </c>
      <c r="J62" t="inlineStr">
        <is>
          <t>Canada|CSCA.L|2012</t>
        </is>
      </c>
      <c r="K62" t="inlineStr">
        <is>
          <t>Canada|2012</t>
        </is>
      </c>
      <c r="L62" t="inlineStr">
        <is>
          <t>GBp</t>
        </is>
      </c>
      <c r="M62" t="n">
        <v>1.163726853546065</v>
      </c>
      <c r="N62" t="n">
        <v>4.195888354025179</v>
      </c>
      <c r="O62" t="n">
        <v>5.408443887091852</v>
      </c>
      <c r="P62" t="n">
        <v>-1.011347277042418</v>
      </c>
      <c r="Q62" t="n">
        <v>6.485380887142211</v>
      </c>
      <c r="R62" t="n">
        <v>1.516</v>
      </c>
      <c r="S62" t="n">
        <v>2.073</v>
      </c>
      <c r="T62" t="n">
        <v>-0.5569999999999999</v>
      </c>
      <c r="U62" t="n">
        <v>1828362000000</v>
      </c>
    </row>
    <row r="63">
      <c r="A63" t="inlineStr">
        <is>
          <t>Canada</t>
        </is>
      </c>
      <c r="B63" t="inlineStr">
        <is>
          <t>CAN</t>
        </is>
      </c>
      <c r="C63" t="inlineStr">
        <is>
          <t>CSCA.L</t>
        </is>
      </c>
      <c r="D63" t="n">
        <v>2013</v>
      </c>
      <c r="E63" t="n">
        <v>1.394631719111361</v>
      </c>
      <c r="F63" t="n">
        <v>2.326</v>
      </c>
      <c r="G63" t="n">
        <v>4.107156</v>
      </c>
      <c r="H63" t="n">
        <v>0.997231</v>
      </c>
      <c r="I63" t="n">
        <v>-2.013049680951083</v>
      </c>
      <c r="J63" t="inlineStr">
        <is>
          <t>Canada|CSCA.L|2013</t>
        </is>
      </c>
      <c r="K63" t="inlineStr">
        <is>
          <t>Canada|2013</t>
        </is>
      </c>
      <c r="L63" t="inlineStr">
        <is>
          <t>GBp</t>
        </is>
      </c>
      <c r="M63" t="n">
        <v>1.394631719111361</v>
      </c>
      <c r="N63" t="n">
        <v>1.593426530031161</v>
      </c>
      <c r="O63" t="n">
        <v>3.010280680951083</v>
      </c>
      <c r="P63" t="n">
        <v>-2.987234457805588</v>
      </c>
      <c r="Q63" t="n">
        <v>6.182191699450246</v>
      </c>
      <c r="R63" t="n">
        <v>0.9379999999999999</v>
      </c>
      <c r="S63" t="n">
        <v>1.466</v>
      </c>
      <c r="T63" t="n">
        <v>-0.528</v>
      </c>
      <c r="U63" t="n">
        <v>1846595000000</v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n">
        <v>2014</v>
      </c>
      <c r="E64" t="n">
        <v>7.564005765666826</v>
      </c>
      <c r="F64" t="n">
        <v>2.873</v>
      </c>
      <c r="G64" t="n">
        <v>4.870608</v>
      </c>
      <c r="H64" t="n">
        <v>-2.211855</v>
      </c>
      <c r="I64" t="n">
        <v>-3.314982824353156</v>
      </c>
      <c r="J64" t="inlineStr">
        <is>
          <t>Canada|CSCA.L|2014</t>
        </is>
      </c>
      <c r="K64" t="inlineStr">
        <is>
          <t>Canada|2014</t>
        </is>
      </c>
      <c r="L64" t="inlineStr">
        <is>
          <t>GBp</t>
        </is>
      </c>
      <c r="M64" t="n">
        <v>7.564005765666826</v>
      </c>
      <c r="N64" t="n">
        <v>-6.006542704804973</v>
      </c>
      <c r="O64" t="n">
        <v>1.103127824353156</v>
      </c>
      <c r="P64" t="n">
        <v>-6.753525314525078</v>
      </c>
      <c r="Q64" t="n">
        <v>8.425683829205477</v>
      </c>
      <c r="R64" t="n">
        <v>1.907</v>
      </c>
      <c r="S64" t="n">
        <v>1.615</v>
      </c>
      <c r="T64" t="n">
        <v>0.292</v>
      </c>
      <c r="U64" t="n">
        <v>1805751000000</v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n">
        <v>2015</v>
      </c>
      <c r="E65" t="n">
        <v>-20.18576245308225</v>
      </c>
      <c r="F65" t="n">
        <v>0.65</v>
      </c>
      <c r="G65" t="n">
        <v>-0.22342</v>
      </c>
      <c r="H65" t="n">
        <v>-13.802734</v>
      </c>
      <c r="I65" t="n">
        <v>10.28503149104709</v>
      </c>
      <c r="J65" t="inlineStr">
        <is>
          <t>Canada|CSCA.L|2015</t>
        </is>
      </c>
      <c r="K65" t="inlineStr">
        <is>
          <t>Canada|2015</t>
        </is>
      </c>
      <c r="L65" t="inlineStr">
        <is>
          <t>GBp</t>
        </is>
      </c>
      <c r="M65" t="n">
        <v>-20.18576245308225</v>
      </c>
      <c r="N65" t="n">
        <v>-4.888855870697362</v>
      </c>
      <c r="O65" t="n">
        <v>-24.08776549104709</v>
      </c>
      <c r="P65" t="n">
        <v>-13.60972048512938</v>
      </c>
      <c r="Q65" t="n">
        <v>-12.12873145538797</v>
      </c>
      <c r="R65" t="n">
        <v>1.125</v>
      </c>
      <c r="S65" t="n">
        <v>0.121</v>
      </c>
      <c r="T65" t="n">
        <v>1.004</v>
      </c>
      <c r="U65" t="n">
        <v>1556508000000</v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n">
        <v>2016</v>
      </c>
      <c r="E66" t="n">
        <v>52.57496740547589</v>
      </c>
      <c r="F66" t="n">
        <v>1.039</v>
      </c>
      <c r="G66" t="n">
        <v>1.763127</v>
      </c>
      <c r="H66" t="n">
        <v>-1.831793</v>
      </c>
      <c r="I66" t="n">
        <v>-29.04009091248101</v>
      </c>
      <c r="J66" t="inlineStr">
        <is>
          <t>Canada|CSCA.L|2016</t>
        </is>
      </c>
      <c r="K66" t="inlineStr">
        <is>
          <t>Canada|2016</t>
        </is>
      </c>
      <c r="L66" t="inlineStr">
        <is>
          <t>GBp</t>
        </is>
      </c>
      <c r="M66" t="n">
        <v>52.57496740547589</v>
      </c>
      <c r="N66" t="n">
        <v>-16.62570861023462</v>
      </c>
      <c r="O66" t="n">
        <v>27.208297912481</v>
      </c>
      <c r="P66" t="n">
        <v>-3.53263473795794</v>
      </c>
      <c r="Q66" t="n">
        <v>31.8666655473951</v>
      </c>
      <c r="R66" t="n">
        <v>1.429</v>
      </c>
      <c r="S66" t="n">
        <v>1.267</v>
      </c>
      <c r="T66" t="n">
        <v>0.1620000000000001</v>
      </c>
      <c r="U66" t="n">
        <v>1527996000000</v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n">
        <v>2017</v>
      </c>
      <c r="E67" t="n">
        <v>4.695559691571383</v>
      </c>
      <c r="F67" t="n">
        <v>3.034</v>
      </c>
      <c r="G67" t="n">
        <v>5.682746</v>
      </c>
      <c r="H67" t="n">
        <v>7.936539</v>
      </c>
      <c r="I67" t="n">
        <v>-6.015561417609238</v>
      </c>
      <c r="J67" t="inlineStr">
        <is>
          <t>Canada|CSCA.L|2017</t>
        </is>
      </c>
      <c r="K67" t="inlineStr">
        <is>
          <t>Canada|2017</t>
        </is>
      </c>
      <c r="L67" t="inlineStr">
        <is>
          <t>GBp</t>
        </is>
      </c>
      <c r="M67" t="n">
        <v>4.695559691571383</v>
      </c>
      <c r="N67" t="n">
        <v>8.841388071573641</v>
      </c>
      <c r="O67" t="n">
        <v>13.95210041760924</v>
      </c>
      <c r="P67" t="n">
        <v>2.132603144439704</v>
      </c>
      <c r="Q67" t="n">
        <v>11.57269756108532</v>
      </c>
      <c r="R67" t="n">
        <v>1.597</v>
      </c>
      <c r="S67" t="n">
        <v>2.131</v>
      </c>
      <c r="T67" t="n">
        <v>-0.5339999999999998</v>
      </c>
      <c r="U67" t="n">
        <v>1649266000000</v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n">
        <v>2018</v>
      </c>
      <c r="E68" t="n">
        <v>-11.89139532509951</v>
      </c>
      <c r="F68" t="n">
        <v>2.743</v>
      </c>
      <c r="G68" t="n">
        <v>4.439511</v>
      </c>
      <c r="H68" t="n">
        <v>4.610172</v>
      </c>
      <c r="I68" t="n">
        <v>21.86324396765264</v>
      </c>
      <c r="J68" t="inlineStr">
        <is>
          <t>Canada|CSCA.L|2018</t>
        </is>
      </c>
      <c r="K68" t="inlineStr">
        <is>
          <t>Canada|2018</t>
        </is>
      </c>
      <c r="L68" t="inlineStr">
        <is>
          <t>GBp</t>
        </is>
      </c>
      <c r="M68" t="n">
        <v>-11.89139532509951</v>
      </c>
      <c r="N68" t="n">
        <v>-6.085304224640065</v>
      </c>
      <c r="O68" t="n">
        <v>-17.25307196765264</v>
      </c>
      <c r="P68" t="n">
        <v>0.1634062581715279</v>
      </c>
      <c r="Q68" t="n">
        <v>-17.3880650393749</v>
      </c>
      <c r="R68" t="n">
        <v>2.268</v>
      </c>
      <c r="S68" t="n">
        <v>2.439</v>
      </c>
      <c r="T68" t="n">
        <v>-0.1710000000000003</v>
      </c>
      <c r="U68" t="n">
        <v>1725300000000</v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n">
        <v>2019</v>
      </c>
      <c r="E69" t="n">
        <v>20.07651458916233</v>
      </c>
      <c r="F69" t="n">
        <v>1.908</v>
      </c>
      <c r="G69" t="n">
        <v>3.48387</v>
      </c>
      <c r="H69" t="n">
        <v>1.06793</v>
      </c>
      <c r="I69" t="n">
        <v>-22.54347422751993</v>
      </c>
      <c r="J69" t="inlineStr">
        <is>
          <t>Canada|CSCA.L|2019</t>
        </is>
      </c>
      <c r="K69" t="inlineStr">
        <is>
          <t>Canada|2019</t>
        </is>
      </c>
      <c r="L69" t="inlineStr">
        <is>
          <t>GBp</t>
        </is>
      </c>
      <c r="M69" t="n">
        <v>20.07651458916233</v>
      </c>
      <c r="N69" t="n">
        <v>2.94386429390634</v>
      </c>
      <c r="O69" t="n">
        <v>23.61140422751993</v>
      </c>
      <c r="P69" t="n">
        <v>-2.334604727211431</v>
      </c>
      <c r="Q69" t="n">
        <v>26.56622530658041</v>
      </c>
      <c r="R69" t="n">
        <v>1.949</v>
      </c>
      <c r="S69" t="n">
        <v>1.813</v>
      </c>
      <c r="T69" t="n">
        <v>0.1360000000000001</v>
      </c>
      <c r="U69" t="n">
        <v>1743725000000</v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n">
        <v>2020</v>
      </c>
      <c r="E70" t="n">
        <v>1.681545510367966</v>
      </c>
      <c r="F70" t="n">
        <v>-5.038</v>
      </c>
      <c r="G70" t="n">
        <v>-4.02133</v>
      </c>
      <c r="H70" t="n">
        <v>-5.048961</v>
      </c>
      <c r="I70" t="n">
        <v>-9.552371096150429</v>
      </c>
      <c r="J70" t="inlineStr">
        <is>
          <t>Canada|CSCA.L|2020</t>
        </is>
      </c>
      <c r="K70" t="inlineStr">
        <is>
          <t>Canada|2020</t>
        </is>
      </c>
      <c r="L70" t="inlineStr">
        <is>
          <t>GBp</t>
        </is>
      </c>
      <c r="M70" t="n">
        <v>1.681545510367966</v>
      </c>
      <c r="N70" t="n">
        <v>2.775198362317122</v>
      </c>
      <c r="O70" t="n">
        <v>4.503410096150429</v>
      </c>
      <c r="P70" t="n">
        <v>-1.070687271656123</v>
      </c>
      <c r="Q70" t="n">
        <v>5.634424433042207</v>
      </c>
      <c r="R70" t="n">
        <v>0.717</v>
      </c>
      <c r="S70" t="n">
        <v>1.253</v>
      </c>
      <c r="T70" t="n">
        <v>-0.5359999999999999</v>
      </c>
      <c r="U70" t="n">
        <v>1655685000000</v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n">
        <v>2021</v>
      </c>
      <c r="E71" t="n">
        <v>25.51308779244847</v>
      </c>
      <c r="F71" t="n">
        <v>5.951</v>
      </c>
      <c r="G71" t="n">
        <v>14.198927</v>
      </c>
      <c r="H71" t="n">
        <v>22.147752</v>
      </c>
      <c r="I71" t="n">
        <v>-1.762256886363609</v>
      </c>
      <c r="J71" t="inlineStr">
        <is>
          <t>Canada|CSCA.L|2021</t>
        </is>
      </c>
      <c r="K71" t="inlineStr">
        <is>
          <t>Canada|2021</t>
        </is>
      </c>
      <c r="L71" t="inlineStr">
        <is>
          <t>GBp</t>
        </is>
      </c>
      <c r="M71" t="n">
        <v>25.51308779244847</v>
      </c>
      <c r="N71" t="n">
        <v>-1.277220514832489</v>
      </c>
      <c r="O71" t="n">
        <v>23.91000888636361</v>
      </c>
      <c r="P71" t="n">
        <v>6.960507525561854</v>
      </c>
      <c r="Q71" t="n">
        <v>15.84650424059655</v>
      </c>
      <c r="R71" t="n">
        <v>3.395</v>
      </c>
      <c r="S71" t="n">
        <v>4.679</v>
      </c>
      <c r="T71" t="n">
        <v>-1.284</v>
      </c>
      <c r="U71" t="n">
        <v>2022382000000</v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n">
        <v>2022</v>
      </c>
      <c r="E72" t="n">
        <v>-1.89243027888446</v>
      </c>
      <c r="F72" t="n">
        <v>4.189</v>
      </c>
      <c r="G72" t="n">
        <v>12.426838</v>
      </c>
      <c r="H72" t="n">
        <v>8.30847</v>
      </c>
      <c r="I72" t="n">
        <v>20.83678800476654</v>
      </c>
      <c r="J72" t="inlineStr">
        <is>
          <t>Canada|CSCA.L|2022</t>
        </is>
      </c>
      <c r="K72" t="inlineStr">
        <is>
          <t>Canada|2022</t>
        </is>
      </c>
      <c r="L72" t="inlineStr">
        <is>
          <t>GBp</t>
        </is>
      </c>
      <c r="M72" t="n">
        <v>-1.89243027888446</v>
      </c>
      <c r="N72" t="n">
        <v>-10.84104698150823</v>
      </c>
      <c r="O72" t="n">
        <v>-12.52831800476654</v>
      </c>
      <c r="P72" t="n">
        <v>-3.663154062044627</v>
      </c>
      <c r="Q72" t="n">
        <v>-9.202256785977214</v>
      </c>
      <c r="R72" t="n">
        <v>6.779</v>
      </c>
      <c r="S72" t="n">
        <v>7.993</v>
      </c>
      <c r="T72" t="n">
        <v>-1.214</v>
      </c>
      <c r="U72" t="n">
        <v>2190411000000</v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CSCA.L</t>
        </is>
      </c>
      <c r="D73" t="n">
        <v>2023</v>
      </c>
      <c r="E73" t="n">
        <v>7.801685224194976</v>
      </c>
      <c r="F73" t="n">
        <v>1.529</v>
      </c>
      <c r="G73" t="n">
        <v>2.906761</v>
      </c>
      <c r="H73" t="n">
        <v>-0.779351</v>
      </c>
      <c r="I73" t="n">
        <v>-14.03906862681921</v>
      </c>
      <c r="J73" t="inlineStr">
        <is>
          <t>Canada|CSCA.L|2023</t>
        </is>
      </c>
      <c r="K73" t="inlineStr">
        <is>
          <t>Canada|2023</t>
        </is>
      </c>
      <c r="L73" t="inlineStr">
        <is>
          <t>GBp</t>
        </is>
      </c>
      <c r="M73" t="n">
        <v>7.801685224194976</v>
      </c>
      <c r="N73" t="n">
        <v>5.06303068571996</v>
      </c>
      <c r="O73" t="n">
        <v>13.25971762681921</v>
      </c>
      <c r="P73" t="n">
        <v>-3.581992098073994</v>
      </c>
      <c r="Q73" t="n">
        <v>17.46739026388533</v>
      </c>
      <c r="R73" t="n">
        <v>3.885</v>
      </c>
      <c r="S73" t="n">
        <v>4.128</v>
      </c>
      <c r="T73" t="n">
        <v>-0.2430000000000003</v>
      </c>
      <c r="U73" t="n">
        <v>2173340000000</v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CSCA.L</t>
        </is>
      </c>
      <c r="D74" t="n">
        <v>2024</v>
      </c>
      <c r="E74" t="n">
        <v>13.72084928646016</v>
      </c>
      <c r="F74" t="n">
        <v>1.555</v>
      </c>
      <c r="G74" t="n">
        <v>4.722051</v>
      </c>
      <c r="H74" t="n">
        <v>3.234515</v>
      </c>
      <c r="I74" t="n">
        <v>-8.870300150533255</v>
      </c>
      <c r="J74" t="inlineStr">
        <is>
          <t>Canada|CSCA.L|2024</t>
        </is>
      </c>
      <c r="K74" t="inlineStr">
        <is>
          <t>Canada|2024</t>
        </is>
      </c>
      <c r="L74" t="inlineStr">
        <is>
          <t>GBp</t>
        </is>
      </c>
      <c r="M74" t="n">
        <v>13.72084928646016</v>
      </c>
      <c r="N74" t="n">
        <v>-1.421053523664917</v>
      </c>
      <c r="O74" t="n">
        <v>12.10481515053326</v>
      </c>
      <c r="P74" t="n">
        <v>-1.420461324476141</v>
      </c>
      <c r="Q74" t="n">
        <v>13.72016612851887</v>
      </c>
      <c r="R74" t="n">
        <v>2.398</v>
      </c>
      <c r="S74" t="n">
        <v>2.952</v>
      </c>
      <c r="T74" t="n">
        <v>-0.5539999999999998</v>
      </c>
      <c r="U74" t="n">
        <v>2243637000000</v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CSCA.L</t>
        </is>
      </c>
      <c r="D75" t="n">
        <v>2025</v>
      </c>
      <c r="E75" t="n">
        <v>24.92570021914682</v>
      </c>
      <c r="F75" t="n">
        <v>1.153</v>
      </c>
      <c r="G75" t="n">
        <v>3.577136</v>
      </c>
      <c r="H75" t="n">
        <v>1.781126</v>
      </c>
      <c r="I75" t="n">
        <v>-32.60386023616874</v>
      </c>
      <c r="J75" t="inlineStr">
        <is>
          <t>Canada|CSCA.L|2025</t>
        </is>
      </c>
      <c r="K75" t="inlineStr">
        <is>
          <t>Canada|2025</t>
        </is>
      </c>
      <c r="L75" t="inlineStr">
        <is>
          <t>GBp</t>
        </is>
      </c>
      <c r="M75" t="n">
        <v>24.92570021914682</v>
      </c>
      <c r="N75" t="n">
        <v>7.571929555270285</v>
      </c>
      <c r="O75" t="n">
        <v>34.38498623616874</v>
      </c>
      <c r="P75" t="n">
        <v>-1.733983311730536</v>
      </c>
      <c r="Q75" t="n">
        <v>36.75631796746168</v>
      </c>
      <c r="R75" t="n">
        <v>1.963</v>
      </c>
      <c r="S75" t="n">
        <v>2.715</v>
      </c>
      <c r="T75" t="n">
        <v>-0.7519999999999998</v>
      </c>
      <c r="U75" t="n">
        <v>2283599000000</v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CSCA.L</t>
        </is>
      </c>
      <c r="D76" t="n">
        <v>2026</v>
      </c>
      <c r="E76" t="n">
        <v>6.254837461300311</v>
      </c>
      <c r="F76" t="n">
        <v>1.541</v>
      </c>
      <c r="G76" t="n">
        <v>4.015086</v>
      </c>
      <c r="H76" t="n">
        <v>6.009724</v>
      </c>
      <c r="I76" t="n">
        <v>1.351147672306269</v>
      </c>
      <c r="J76" t="inlineStr">
        <is>
          <t>Canada|CSCA.L|2026</t>
        </is>
      </c>
      <c r="K76" t="inlineStr">
        <is>
          <t>Canada|2026</t>
        </is>
      </c>
      <c r="L76" t="inlineStr">
        <is>
          <t>GBp</t>
        </is>
      </c>
      <c r="M76" t="n">
        <v>6.254837461300311</v>
      </c>
      <c r="N76" t="n">
        <v>-1.502295021803568</v>
      </c>
      <c r="O76" t="n">
        <v>4.658576327693731</v>
      </c>
      <c r="P76" t="n">
        <v>1.917642917461637</v>
      </c>
      <c r="Q76" t="n">
        <v>2.689361068183116</v>
      </c>
      <c r="R76" t="n">
        <v>2.03</v>
      </c>
      <c r="S76" t="n">
        <v>2.435</v>
      </c>
      <c r="T76" t="n">
        <v>-0.4050000000000002</v>
      </c>
      <c r="U76" t="n">
        <v>2420837000000</v>
      </c>
    </row>
    <row r="77">
      <c r="A77" t="inlineStr">
        <is>
          <t>Canada</t>
        </is>
      </c>
      <c r="B77" t="inlineStr">
        <is>
          <t>CAN</t>
        </is>
      </c>
      <c r="C77" t="inlineStr">
        <is>
          <t>CSCA.L</t>
        </is>
      </c>
      <c r="D77" t="n">
        <v>2027</v>
      </c>
      <c r="E77" t="inlineStr"/>
      <c r="F77" t="n">
        <v>1.88</v>
      </c>
      <c r="G77" t="n">
        <v>4.214841</v>
      </c>
      <c r="H77" t="n">
        <v>4.909211</v>
      </c>
      <c r="I77" t="inlineStr"/>
      <c r="J77" t="inlineStr">
        <is>
          <t>Canada|CSCA.L|2027</t>
        </is>
      </c>
      <c r="K77" t="inlineStr">
        <is>
          <t>Canada|2027</t>
        </is>
      </c>
      <c r="L77" t="inlineStr">
        <is>
          <t>GBp</t>
        </is>
      </c>
      <c r="M77" t="inlineStr"/>
      <c r="N77" t="inlineStr"/>
      <c r="O77" t="inlineStr"/>
      <c r="P77" t="n">
        <v>0.6662870832367052</v>
      </c>
      <c r="Q77" t="inlineStr"/>
      <c r="R77" t="n">
        <v>2.09</v>
      </c>
      <c r="S77" t="n">
        <v>2.185</v>
      </c>
      <c r="T77" t="n">
        <v>-0.0950000000000002</v>
      </c>
      <c r="U77" t="n">
        <v>2539681000000</v>
      </c>
    </row>
    <row r="78">
      <c r="A78" t="inlineStr">
        <is>
          <t>Canada</t>
        </is>
      </c>
      <c r="B78" t="inlineStr">
        <is>
          <t>CAN</t>
        </is>
      </c>
      <c r="C78" t="inlineStr">
        <is>
          <t>CSCA.L</t>
        </is>
      </c>
      <c r="D78" t="n">
        <v>2028</v>
      </c>
      <c r="E78" t="inlineStr"/>
      <c r="F78" t="n">
        <v>1.685</v>
      </c>
      <c r="G78" t="n">
        <v>3.77034</v>
      </c>
      <c r="H78" t="n">
        <v>4.453473</v>
      </c>
      <c r="I78" t="inlineStr"/>
      <c r="J78" t="inlineStr">
        <is>
          <t>Canada|CSCA.L|2028</t>
        </is>
      </c>
      <c r="K78" t="inlineStr">
        <is>
          <t>Canada|2028</t>
        </is>
      </c>
      <c r="L78" t="inlineStr">
        <is>
          <t>GBp</t>
        </is>
      </c>
      <c r="M78" t="inlineStr"/>
      <c r="N78" t="inlineStr"/>
      <c r="O78" t="inlineStr"/>
      <c r="P78" t="n">
        <v>0.6583123600356178</v>
      </c>
      <c r="Q78" t="inlineStr"/>
      <c r="R78" t="n">
        <v>1.966</v>
      </c>
      <c r="S78" t="n">
        <v>2.206</v>
      </c>
      <c r="T78" t="n">
        <v>-0.24</v>
      </c>
      <c r="U78" t="n">
        <v>2652785000000</v>
      </c>
    </row>
    <row r="79">
      <c r="A79" t="inlineStr">
        <is>
          <t>Canada</t>
        </is>
      </c>
      <c r="B79" t="inlineStr">
        <is>
          <t>CAN</t>
        </is>
      </c>
      <c r="C79" t="inlineStr">
        <is>
          <t>CSCA.L</t>
        </is>
      </c>
      <c r="D79" t="n">
        <v>2029</v>
      </c>
      <c r="E79" t="inlineStr"/>
      <c r="F79" t="n">
        <v>1.731</v>
      </c>
      <c r="G79" t="n">
        <v>3.803984</v>
      </c>
      <c r="H79" t="n">
        <v>4.493278</v>
      </c>
      <c r="I79" t="inlineStr"/>
      <c r="J79" t="inlineStr">
        <is>
          <t>Canada|CSCA.L|2029</t>
        </is>
      </c>
      <c r="K79" t="inlineStr">
        <is>
          <t>Canada|2029</t>
        </is>
      </c>
      <c r="L79" t="inlineStr">
        <is>
          <t>GBp</t>
        </is>
      </c>
      <c r="M79" t="inlineStr"/>
      <c r="N79" t="inlineStr"/>
      <c r="O79" t="inlineStr"/>
      <c r="P79" t="n">
        <v>0.6640338752284425</v>
      </c>
      <c r="Q79" t="inlineStr"/>
      <c r="R79" t="n">
        <v>1.945</v>
      </c>
      <c r="S79" t="n">
        <v>2.203</v>
      </c>
      <c r="T79" t="n">
        <v>-0.2579999999999998</v>
      </c>
      <c r="U79" t="n">
        <v>2771982000000</v>
      </c>
    </row>
    <row r="80">
      <c r="A80" t="inlineStr">
        <is>
          <t>China</t>
        </is>
      </c>
      <c r="B80" t="inlineStr">
        <is>
          <t>CHN</t>
        </is>
      </c>
      <c r="C80" t="inlineStr">
        <is>
          <t>IASH.L</t>
        </is>
      </c>
      <c r="D80" t="n">
        <v>2004</v>
      </c>
      <c r="E80" t="inlineStr"/>
      <c r="F80" t="n">
        <v>10.115</v>
      </c>
      <c r="G80" t="inlineStr"/>
      <c r="H80" t="inlineStr"/>
      <c r="I80" t="inlineStr"/>
      <c r="J80" t="inlineStr">
        <is>
          <t>China|IASH.L|2004</t>
        </is>
      </c>
      <c r="K80" t="inlineStr">
        <is>
          <t>China|2004</t>
        </is>
      </c>
      <c r="L80" t="inlineStr">
        <is>
          <t>GBp</t>
        </is>
      </c>
      <c r="M80" t="inlineStr"/>
      <c r="N80" t="inlineStr"/>
      <c r="O80" t="inlineStr"/>
      <c r="P80" t="inlineStr"/>
      <c r="Q80" t="inlineStr"/>
      <c r="R80" t="n">
        <v>3.904</v>
      </c>
      <c r="S80" t="n">
        <v>2.668</v>
      </c>
      <c r="T80" t="n">
        <v>1.236</v>
      </c>
      <c r="U80" t="n">
        <v>1978937000000</v>
      </c>
    </row>
    <row r="81">
      <c r="A81" t="inlineStr">
        <is>
          <t>China</t>
        </is>
      </c>
      <c r="B81" t="inlineStr">
        <is>
          <t>CHN</t>
        </is>
      </c>
      <c r="C81" t="inlineStr">
        <is>
          <t>IASH.L</t>
        </is>
      </c>
      <c r="D81" t="n">
        <v>2005</v>
      </c>
      <c r="E81" t="inlineStr"/>
      <c r="F81" t="n">
        <v>11.437</v>
      </c>
      <c r="G81" t="n">
        <v>16.343257</v>
      </c>
      <c r="H81" t="n">
        <v>17.513342</v>
      </c>
      <c r="I81" t="inlineStr"/>
      <c r="J81" t="inlineStr">
        <is>
          <t>China|IASH.L|2005</t>
        </is>
      </c>
      <c r="K81" t="inlineStr">
        <is>
          <t>China|2005</t>
        </is>
      </c>
      <c r="L81" t="inlineStr">
        <is>
          <t>GBp</t>
        </is>
      </c>
      <c r="M81" t="inlineStr"/>
      <c r="N81" t="inlineStr"/>
      <c r="O81" t="inlineStr"/>
      <c r="P81" t="n">
        <v>1.005717352534719</v>
      </c>
      <c r="Q81" t="inlineStr"/>
      <c r="R81" t="n">
        <v>1.815</v>
      </c>
      <c r="S81" t="n">
        <v>3.366</v>
      </c>
      <c r="T81" t="n">
        <v>-1.551</v>
      </c>
      <c r="U81" t="n">
        <v>2325515000000</v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IASH.L</t>
        </is>
      </c>
      <c r="D82" t="n">
        <v>2006</v>
      </c>
      <c r="E82" t="inlineStr"/>
      <c r="F82" t="n">
        <v>12.665</v>
      </c>
      <c r="G82" t="n">
        <v>17.039004</v>
      </c>
      <c r="H82" t="n">
        <v>20.286732</v>
      </c>
      <c r="I82" t="inlineStr"/>
      <c r="J82" t="inlineStr">
        <is>
          <t>China|IASH.L|2006</t>
        </is>
      </c>
      <c r="K82" t="inlineStr">
        <is>
          <t>China|2006</t>
        </is>
      </c>
      <c r="L82" t="inlineStr">
        <is>
          <t>GBp</t>
        </is>
      </c>
      <c r="M82" t="inlineStr"/>
      <c r="N82" t="inlineStr"/>
      <c r="O82" t="inlineStr"/>
      <c r="P82" t="n">
        <v>2.774910751610138</v>
      </c>
      <c r="Q82" t="inlineStr"/>
      <c r="R82" t="n">
        <v>1.493</v>
      </c>
      <c r="S82" t="n">
        <v>3.222</v>
      </c>
      <c r="T82" t="n">
        <v>-1.729</v>
      </c>
      <c r="U82" t="n">
        <v>2797286000000</v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IASH.L</t>
        </is>
      </c>
      <c r="D83" t="n">
        <v>2007</v>
      </c>
      <c r="E83" t="inlineStr"/>
      <c r="F83" t="n">
        <v>14.154</v>
      </c>
      <c r="G83" t="n">
        <v>23.209164</v>
      </c>
      <c r="H83" t="n">
        <v>29.132666</v>
      </c>
      <c r="I83" t="inlineStr"/>
      <c r="J83" t="inlineStr">
        <is>
          <t>China|IASH.L|2007</t>
        </is>
      </c>
      <c r="K83" t="inlineStr">
        <is>
          <t>China|2007</t>
        </is>
      </c>
      <c r="L83" t="inlineStr">
        <is>
          <t>GBp</t>
        </is>
      </c>
      <c r="M83" t="inlineStr"/>
      <c r="N83" t="inlineStr"/>
      <c r="O83" t="inlineStr"/>
      <c r="P83" t="n">
        <v>4.807680054186303</v>
      </c>
      <c r="Q83" t="inlineStr"/>
      <c r="R83" t="n">
        <v>4.746</v>
      </c>
      <c r="S83" t="n">
        <v>2.871</v>
      </c>
      <c r="T83" t="n">
        <v>1.875</v>
      </c>
      <c r="U83" t="n">
        <v>3612210000000</v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IASH.L</t>
        </is>
      </c>
      <c r="D84" t="n">
        <v>2008</v>
      </c>
      <c r="E84" t="inlineStr"/>
      <c r="F84" t="n">
        <v>9.638</v>
      </c>
      <c r="G84" t="n">
        <v>17.666945</v>
      </c>
      <c r="H84" t="n">
        <v>28.821802</v>
      </c>
      <c r="I84" t="inlineStr"/>
      <c r="J84" t="inlineStr">
        <is>
          <t>China|IASH.L|2008</t>
        </is>
      </c>
      <c r="K84" t="inlineStr">
        <is>
          <t>China|2008</t>
        </is>
      </c>
      <c r="L84" t="inlineStr">
        <is>
          <t>GBp</t>
        </is>
      </c>
      <c r="M84" t="inlineStr"/>
      <c r="N84" t="n">
        <v>-26.2666463318202</v>
      </c>
      <c r="O84" t="inlineStr"/>
      <c r="P84" t="n">
        <v>9.48002586765937</v>
      </c>
      <c r="Q84" t="inlineStr"/>
      <c r="R84" t="n">
        <v>5.866</v>
      </c>
      <c r="S84" t="n">
        <v>3.815</v>
      </c>
      <c r="T84" t="n">
        <v>2.051</v>
      </c>
      <c r="U84" t="n">
        <v>4653314000000</v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IASH.L</t>
        </is>
      </c>
      <c r="D85" t="n">
        <v>2009</v>
      </c>
      <c r="E85" t="inlineStr"/>
      <c r="F85" t="n">
        <v>9.445</v>
      </c>
      <c r="G85" t="n">
        <v>9.356828999999999</v>
      </c>
      <c r="H85" t="n">
        <v>11.236422</v>
      </c>
      <c r="I85" t="inlineStr"/>
      <c r="J85" t="inlineStr">
        <is>
          <t>China|IASH.L|2009</t>
        </is>
      </c>
      <c r="K85" t="inlineStr">
        <is>
          <t>China|2009</t>
        </is>
      </c>
      <c r="L85" t="inlineStr">
        <is>
          <t>GBp</t>
        </is>
      </c>
      <c r="M85" t="inlineStr"/>
      <c r="N85" t="n">
        <v>9.775566130910907</v>
      </c>
      <c r="O85" t="inlineStr"/>
      <c r="P85" t="n">
        <v>1.718770655297486</v>
      </c>
      <c r="Q85" t="inlineStr"/>
      <c r="R85" t="n">
        <v>-0.701</v>
      </c>
      <c r="S85" t="n">
        <v>-0.32</v>
      </c>
      <c r="T85" t="n">
        <v>-0.3809999999999999</v>
      </c>
      <c r="U85" t="n">
        <v>5176180000000</v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IASH.L</t>
        </is>
      </c>
      <c r="D86" t="n">
        <v>2010</v>
      </c>
      <c r="E86" t="inlineStr"/>
      <c r="F86" t="n">
        <v>10.587</v>
      </c>
      <c r="G86" t="n">
        <v>17.538908</v>
      </c>
      <c r="H86" t="n">
        <v>18.600821</v>
      </c>
      <c r="I86" t="inlineStr"/>
      <c r="J86" t="inlineStr">
        <is>
          <t>China|IASH.L|2010</t>
        </is>
      </c>
      <c r="K86" t="inlineStr">
        <is>
          <t>China|2010</t>
        </is>
      </c>
      <c r="L86" t="inlineStr">
        <is>
          <t>GBp</t>
        </is>
      </c>
      <c r="M86" t="inlineStr"/>
      <c r="N86" t="n">
        <v>-4.313135137595536</v>
      </c>
      <c r="O86" t="inlineStr"/>
      <c r="P86" t="n">
        <v>0.9034572546691599</v>
      </c>
      <c r="Q86" t="inlineStr"/>
      <c r="R86" t="n">
        <v>3.336</v>
      </c>
      <c r="S86" t="n">
        <v>1.637</v>
      </c>
      <c r="T86" t="n">
        <v>1.699</v>
      </c>
      <c r="U86" t="n">
        <v>6138992000000</v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IASH.L</t>
        </is>
      </c>
      <c r="D87" t="n">
        <v>2011</v>
      </c>
      <c r="E87" t="inlineStr"/>
      <c r="F87" t="n">
        <v>9.451000000000001</v>
      </c>
      <c r="G87" t="n">
        <v>18.539617</v>
      </c>
      <c r="H87" t="n">
        <v>24.203794</v>
      </c>
      <c r="I87" t="inlineStr"/>
      <c r="J87" t="inlineStr">
        <is>
          <t>China|IASH.L|2011</t>
        </is>
      </c>
      <c r="K87" t="inlineStr">
        <is>
          <t>China|2011</t>
        </is>
      </c>
      <c r="L87" t="inlineStr">
        <is>
          <t>GBp</t>
        </is>
      </c>
      <c r="M87" t="inlineStr"/>
      <c r="N87" t="n">
        <v>-1.005112717398426</v>
      </c>
      <c r="O87" t="inlineStr"/>
      <c r="P87" t="n">
        <v>4.778299390297835</v>
      </c>
      <c r="Q87" t="inlineStr"/>
      <c r="R87" t="n">
        <v>5.397</v>
      </c>
      <c r="S87" t="n">
        <v>3.14</v>
      </c>
      <c r="T87" t="n">
        <v>2.257</v>
      </c>
      <c r="U87" t="n">
        <v>7624861000000</v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IASH.L</t>
        </is>
      </c>
      <c r="D88" t="n">
        <v>2012</v>
      </c>
      <c r="E88" t="inlineStr"/>
      <c r="F88" t="n">
        <v>7.848</v>
      </c>
      <c r="G88" t="n">
        <v>11.246317</v>
      </c>
      <c r="H88" t="n">
        <v>13.876686</v>
      </c>
      <c r="I88" t="inlineStr"/>
      <c r="J88" t="inlineStr">
        <is>
          <t>China|IASH.L|2012</t>
        </is>
      </c>
      <c r="K88" t="inlineStr">
        <is>
          <t>China|2012</t>
        </is>
      </c>
      <c r="L88" t="inlineStr">
        <is>
          <t>GBp</t>
        </is>
      </c>
      <c r="M88" t="inlineStr"/>
      <c r="N88" t="n">
        <v>4.195888354025179</v>
      </c>
      <c r="O88" t="inlineStr"/>
      <c r="P88" t="n">
        <v>2.364454604783583</v>
      </c>
      <c r="Q88" t="inlineStr"/>
      <c r="R88" t="n">
        <v>2.62</v>
      </c>
      <c r="S88" t="n">
        <v>2.073</v>
      </c>
      <c r="T88" t="n">
        <v>0.5470000000000002</v>
      </c>
      <c r="U88" t="n">
        <v>8682939000000</v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IASH.L</t>
        </is>
      </c>
      <c r="D89" t="n">
        <v>2013</v>
      </c>
      <c r="E89" t="inlineStr"/>
      <c r="F89" t="n">
        <v>7.771</v>
      </c>
      <c r="G89" t="n">
        <v>10.588832</v>
      </c>
      <c r="H89" t="n">
        <v>12.666736</v>
      </c>
      <c r="I89" t="inlineStr"/>
      <c r="J89" t="inlineStr">
        <is>
          <t>China|IASH.L|2013</t>
        </is>
      </c>
      <c r="K89" t="inlineStr">
        <is>
          <t>China|2013</t>
        </is>
      </c>
      <c r="L89" t="inlineStr">
        <is>
          <t>GBp</t>
        </is>
      </c>
      <c r="M89" t="inlineStr"/>
      <c r="N89" t="n">
        <v>1.593426530031161</v>
      </c>
      <c r="O89" t="inlineStr"/>
      <c r="P89" t="n">
        <v>1.878946398130976</v>
      </c>
      <c r="Q89" t="inlineStr"/>
      <c r="R89" t="n">
        <v>2.655</v>
      </c>
      <c r="S89" t="n">
        <v>1.466</v>
      </c>
      <c r="T89" t="n">
        <v>1.189</v>
      </c>
      <c r="U89" t="n">
        <v>9782784000000</v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n">
        <v>2014</v>
      </c>
      <c r="E90" t="inlineStr"/>
      <c r="F90" t="n">
        <v>7.491</v>
      </c>
      <c r="G90" t="n">
        <v>8.464838</v>
      </c>
      <c r="H90" t="n">
        <v>9.390281999999999</v>
      </c>
      <c r="I90" t="inlineStr"/>
      <c r="J90" t="inlineStr">
        <is>
          <t>China|IASH.L|2014</t>
        </is>
      </c>
      <c r="K90" t="inlineStr">
        <is>
          <t>China|2014</t>
        </is>
      </c>
      <c r="L90" t="inlineStr">
        <is>
          <t>GBp</t>
        </is>
      </c>
      <c r="M90" t="inlineStr"/>
      <c r="N90" t="n">
        <v>-6.006542704804973</v>
      </c>
      <c r="O90" t="inlineStr"/>
      <c r="P90" t="n">
        <v>0.8532201343188772</v>
      </c>
      <c r="Q90" t="inlineStr"/>
      <c r="R90" t="n">
        <v>1.961</v>
      </c>
      <c r="S90" t="n">
        <v>1.615</v>
      </c>
      <c r="T90" t="n">
        <v>0.3460000000000001</v>
      </c>
      <c r="U90" t="n">
        <v>10701415000000</v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n">
        <v>2015</v>
      </c>
      <c r="E91" t="n">
        <v>-45.52325463110162</v>
      </c>
      <c r="F91" t="n">
        <v>7.018</v>
      </c>
      <c r="G91" t="n">
        <v>7.107194</v>
      </c>
      <c r="H91" t="n">
        <v>5.661036</v>
      </c>
      <c r="I91" t="n">
        <v>53.84758019523386</v>
      </c>
      <c r="J91" t="inlineStr">
        <is>
          <t>China|IASH.L|2015</t>
        </is>
      </c>
      <c r="K91" t="inlineStr">
        <is>
          <t>China|2015</t>
        </is>
      </c>
      <c r="L91" t="inlineStr">
        <is>
          <t>GBp</t>
        </is>
      </c>
      <c r="M91" t="n">
        <v>-45.52325463110162</v>
      </c>
      <c r="N91" t="n">
        <v>-4.888855870697362</v>
      </c>
      <c r="O91" t="n">
        <v>-48.18654419523386</v>
      </c>
      <c r="P91" t="n">
        <v>-1.350196053478414</v>
      </c>
      <c r="Q91" t="n">
        <v>-47.47738593291638</v>
      </c>
      <c r="R91" t="n">
        <v>1.462</v>
      </c>
      <c r="S91" t="n">
        <v>0.121</v>
      </c>
      <c r="T91" t="n">
        <v>1.341</v>
      </c>
      <c r="U91" t="n">
        <v>11307226000000</v>
      </c>
    </row>
    <row r="92">
      <c r="A92" t="inlineStr">
        <is>
          <t>China</t>
        </is>
      </c>
      <c r="B92" t="inlineStr">
        <is>
          <t>CHN</t>
        </is>
      </c>
      <c r="C92" t="inlineStr">
        <is>
          <t>IASH.L</t>
        </is>
      </c>
      <c r="D92" t="n">
        <v>2016</v>
      </c>
      <c r="E92" t="n">
        <v>7.19257759648706</v>
      </c>
      <c r="F92" t="n">
        <v>6.776</v>
      </c>
      <c r="G92" t="n">
        <v>8.025846</v>
      </c>
      <c r="H92" t="n">
        <v>1.245018</v>
      </c>
      <c r="I92" t="n">
        <v>11.87396600650452</v>
      </c>
      <c r="J92" t="inlineStr">
        <is>
          <t>China|IASH.L|2016</t>
        </is>
      </c>
      <c r="K92" t="inlineStr">
        <is>
          <t>China|2016</t>
        </is>
      </c>
      <c r="L92" t="inlineStr">
        <is>
          <t>GBp</t>
        </is>
      </c>
      <c r="M92" t="n">
        <v>7.19257759648706</v>
      </c>
      <c r="N92" t="n">
        <v>-16.62570861023462</v>
      </c>
      <c r="O92" t="n">
        <v>-10.62894800650452</v>
      </c>
      <c r="P92" t="n">
        <v>-6.277042672449451</v>
      </c>
      <c r="Q92" t="n">
        <v>-4.64337176092906</v>
      </c>
      <c r="R92" t="n">
        <v>2.004</v>
      </c>
      <c r="S92" t="n">
        <v>1.267</v>
      </c>
      <c r="T92" t="n">
        <v>0.7370000000000001</v>
      </c>
      <c r="U92" t="n">
        <v>11448003000000</v>
      </c>
    </row>
    <row r="93">
      <c r="A93" t="inlineStr">
        <is>
          <t>China</t>
        </is>
      </c>
      <c r="B93" t="inlineStr">
        <is>
          <t>CHN</t>
        </is>
      </c>
      <c r="C93" t="inlineStr">
        <is>
          <t>IASH.L</t>
        </is>
      </c>
      <c r="D93" t="n">
        <v>2017</v>
      </c>
      <c r="E93" t="n">
        <v>16.93833654333832</v>
      </c>
      <c r="F93" t="n">
        <v>6.891</v>
      </c>
      <c r="G93" t="n">
        <v>11.094741</v>
      </c>
      <c r="H93" t="n">
        <v>9.218166999999999</v>
      </c>
      <c r="I93" t="n">
        <v>-18.05914168157767</v>
      </c>
      <c r="J93" t="inlineStr">
        <is>
          <t>China|IASH.L|2017</t>
        </is>
      </c>
      <c r="K93" t="inlineStr">
        <is>
          <t>China|2017</t>
        </is>
      </c>
      <c r="L93" t="inlineStr">
        <is>
          <t>GBp</t>
        </is>
      </c>
      <c r="M93" t="n">
        <v>16.93833654333832</v>
      </c>
      <c r="N93" t="n">
        <v>8.841388071573641</v>
      </c>
      <c r="O93" t="n">
        <v>27.27730868157767</v>
      </c>
      <c r="P93" t="n">
        <v>-1.689165814437643</v>
      </c>
      <c r="Q93" t="n">
        <v>29.46417323785586</v>
      </c>
      <c r="R93" t="n">
        <v>1.569</v>
      </c>
      <c r="S93" t="n">
        <v>2.131</v>
      </c>
      <c r="T93" t="n">
        <v>-0.5619999999999998</v>
      </c>
      <c r="U93" t="n">
        <v>12503299000000</v>
      </c>
    </row>
    <row r="94">
      <c r="A94" t="inlineStr">
        <is>
          <t>China</t>
        </is>
      </c>
      <c r="B94" t="inlineStr">
        <is>
          <t>CHN</t>
        </is>
      </c>
      <c r="C94" t="inlineStr">
        <is>
          <t>IASH.L</t>
        </is>
      </c>
      <c r="D94" t="n">
        <v>2018</v>
      </c>
      <c r="E94" t="n">
        <v>-23.35946430862727</v>
      </c>
      <c r="F94" t="n">
        <v>6.759</v>
      </c>
      <c r="G94" t="n">
        <v>10.474274</v>
      </c>
      <c r="H94" t="n">
        <v>12.857919</v>
      </c>
      <c r="I94" t="n">
        <v>40.88119306484116</v>
      </c>
      <c r="J94" t="inlineStr">
        <is>
          <t>China|IASH.L|2018</t>
        </is>
      </c>
      <c r="K94" t="inlineStr">
        <is>
          <t>China|2018</t>
        </is>
      </c>
      <c r="L94" t="inlineStr">
        <is>
          <t>GBp</t>
        </is>
      </c>
      <c r="M94" t="n">
        <v>-23.35946430862727</v>
      </c>
      <c r="N94" t="n">
        <v>-6.085304224640065</v>
      </c>
      <c r="O94" t="n">
        <v>-28.02327406484115</v>
      </c>
      <c r="P94" t="n">
        <v>2.157646889343545</v>
      </c>
      <c r="Q94" t="n">
        <v>-29.54347704080974</v>
      </c>
      <c r="R94" t="n">
        <v>2.091</v>
      </c>
      <c r="S94" t="n">
        <v>2.439</v>
      </c>
      <c r="T94" t="n">
        <v>-0.3479999999999999</v>
      </c>
      <c r="U94" t="n">
        <v>14110963000000</v>
      </c>
    </row>
    <row r="95">
      <c r="A95" t="inlineStr">
        <is>
          <t>China</t>
        </is>
      </c>
      <c r="B95" t="inlineStr">
        <is>
          <t>CHN</t>
        </is>
      </c>
      <c r="C95" t="inlineStr">
        <is>
          <t>IASH.L</t>
        </is>
      </c>
      <c r="D95" t="n">
        <v>2019</v>
      </c>
      <c r="E95" t="n">
        <v>30.09538094455615</v>
      </c>
      <c r="F95" t="n">
        <v>6.065</v>
      </c>
      <c r="G95" t="n">
        <v>7.834508</v>
      </c>
      <c r="H95" t="n">
        <v>3.270131</v>
      </c>
      <c r="I95" t="n">
        <v>-30.65508141220437</v>
      </c>
      <c r="J95" t="inlineStr">
        <is>
          <t>China|IASH.L|2019</t>
        </is>
      </c>
      <c r="K95" t="inlineStr">
        <is>
          <t>China|2019</t>
        </is>
      </c>
      <c r="L95" t="inlineStr">
        <is>
          <t>GBp</t>
        </is>
      </c>
      <c r="M95" t="n">
        <v>30.09538094455615</v>
      </c>
      <c r="N95" t="n">
        <v>2.94386429390634</v>
      </c>
      <c r="O95" t="n">
        <v>33.92521241220437</v>
      </c>
      <c r="P95" t="n">
        <v>-4.232760683976955</v>
      </c>
      <c r="Q95" t="n">
        <v>39.84449522478511</v>
      </c>
      <c r="R95" t="n">
        <v>2.889</v>
      </c>
      <c r="S95" t="n">
        <v>1.813</v>
      </c>
      <c r="T95" t="n">
        <v>1.076</v>
      </c>
      <c r="U95" t="n">
        <v>14572410000000</v>
      </c>
    </row>
    <row r="96">
      <c r="A96" t="inlineStr">
        <is>
          <t>China</t>
        </is>
      </c>
      <c r="B96" t="inlineStr">
        <is>
          <t>CHN</t>
        </is>
      </c>
      <c r="C96" t="inlineStr">
        <is>
          <t>IASH.L</t>
        </is>
      </c>
      <c r="D96" t="n">
        <v>2020</v>
      </c>
      <c r="E96" t="n">
        <v>34.60637862908649</v>
      </c>
      <c r="F96" t="n">
        <v>2.337</v>
      </c>
      <c r="G96" t="n">
        <v>3.528489</v>
      </c>
      <c r="H96" t="n">
        <v>3.643509</v>
      </c>
      <c r="I96" t="n">
        <v>-34.69846364437529</v>
      </c>
      <c r="J96" t="inlineStr">
        <is>
          <t>China|IASH.L|2020</t>
        </is>
      </c>
      <c r="K96" t="inlineStr">
        <is>
          <t>China|2020</t>
        </is>
      </c>
      <c r="L96" t="inlineStr">
        <is>
          <t>GBp</t>
        </is>
      </c>
      <c r="M96" t="n">
        <v>34.60637862908649</v>
      </c>
      <c r="N96" t="n">
        <v>2.775198362317122</v>
      </c>
      <c r="O96" t="n">
        <v>38.34197264437529</v>
      </c>
      <c r="P96" t="n">
        <v>0.1110997037601757</v>
      </c>
      <c r="Q96" t="n">
        <v>38.18844569058226</v>
      </c>
      <c r="R96" t="n">
        <v>2.506</v>
      </c>
      <c r="S96" t="n">
        <v>1.253</v>
      </c>
      <c r="T96" t="n">
        <v>1.253</v>
      </c>
      <c r="U96" t="n">
        <v>15103357000000</v>
      </c>
    </row>
    <row r="97">
      <c r="A97" t="inlineStr">
        <is>
          <t>China</t>
        </is>
      </c>
      <c r="B97" t="inlineStr">
        <is>
          <t>CHN</t>
        </is>
      </c>
      <c r="C97" t="inlineStr">
        <is>
          <t>IASH.L</t>
        </is>
      </c>
      <c r="D97" t="n">
        <v>2021</v>
      </c>
      <c r="E97" t="n">
        <v>1.574716041712132</v>
      </c>
      <c r="F97" t="n">
        <v>8.555999999999999</v>
      </c>
      <c r="G97" t="n">
        <v>12.556051</v>
      </c>
      <c r="H97" t="n">
        <v>20.442118</v>
      </c>
      <c r="I97" t="n">
        <v>20.16473506945547</v>
      </c>
      <c r="J97" t="inlineStr">
        <is>
          <t>China|IASH.L|2021</t>
        </is>
      </c>
      <c r="K97" t="inlineStr">
        <is>
          <t>China|2021</t>
        </is>
      </c>
      <c r="L97" t="inlineStr">
        <is>
          <t>GBp</t>
        </is>
      </c>
      <c r="M97" t="n">
        <v>1.574716041712132</v>
      </c>
      <c r="N97" t="n">
        <v>-1.277220514832489</v>
      </c>
      <c r="O97" t="n">
        <v>0.2773829305445341</v>
      </c>
      <c r="P97" t="n">
        <v>7.006346309586031</v>
      </c>
      <c r="Q97" t="n">
        <v>-6.288377849640392</v>
      </c>
      <c r="R97" t="n">
        <v>0.918</v>
      </c>
      <c r="S97" t="n">
        <v>4.679</v>
      </c>
      <c r="T97" t="n">
        <v>-3.761</v>
      </c>
      <c r="U97" t="n">
        <v>18190803000000</v>
      </c>
    </row>
    <row r="98">
      <c r="A98" t="inlineStr">
        <is>
          <t>China</t>
        </is>
      </c>
      <c r="B98" t="inlineStr">
        <is>
          <t>CHN</t>
        </is>
      </c>
      <c r="C98" t="inlineStr">
        <is>
          <t>IASH.L</t>
        </is>
      </c>
      <c r="D98" t="n">
        <v>2022</v>
      </c>
      <c r="E98" t="n">
        <v>-16.15522663493669</v>
      </c>
      <c r="F98" t="n">
        <v>3.112</v>
      </c>
      <c r="G98" t="n">
        <v>5.140449</v>
      </c>
      <c r="H98" t="n">
        <v>0.643254</v>
      </c>
      <c r="I98" t="n">
        <v>25.8881319069823</v>
      </c>
      <c r="J98" t="inlineStr">
        <is>
          <t>China|IASH.L|2022</t>
        </is>
      </c>
      <c r="K98" t="inlineStr">
        <is>
          <t>China|2022</t>
        </is>
      </c>
      <c r="L98" t="inlineStr">
        <is>
          <t>GBp</t>
        </is>
      </c>
      <c r="M98" t="n">
        <v>-16.15522663493669</v>
      </c>
      <c r="N98" t="n">
        <v>-10.84104698150823</v>
      </c>
      <c r="O98" t="n">
        <v>-25.2448779069823</v>
      </c>
      <c r="P98" t="n">
        <v>-4.277321372948828</v>
      </c>
      <c r="Q98" t="n">
        <v>-21.90448160746313</v>
      </c>
      <c r="R98" t="n">
        <v>1.975</v>
      </c>
      <c r="S98" t="n">
        <v>7.993</v>
      </c>
      <c r="T98" t="n">
        <v>-6.018000000000001</v>
      </c>
      <c r="U98" t="n">
        <v>18307816000000</v>
      </c>
    </row>
    <row r="99">
      <c r="A99" t="inlineStr">
        <is>
          <t>China</t>
        </is>
      </c>
      <c r="B99" t="inlineStr">
        <is>
          <t>CHN</t>
        </is>
      </c>
      <c r="C99" t="inlineStr">
        <is>
          <t>IASH.L</t>
        </is>
      </c>
      <c r="D99" t="n">
        <v>2023</v>
      </c>
      <c r="E99" t="n">
        <v>-19.74632994062772</v>
      </c>
      <c r="F99" t="n">
        <v>5.377</v>
      </c>
      <c r="G99" t="n">
        <v>4.934187</v>
      </c>
      <c r="H99" t="n">
        <v>-0.204639</v>
      </c>
      <c r="I99" t="n">
        <v>15.47842299910524</v>
      </c>
      <c r="J99" t="inlineStr">
        <is>
          <t>China|IASH.L|2023</t>
        </is>
      </c>
      <c r="K99" t="inlineStr">
        <is>
          <t>China|2023</t>
        </is>
      </c>
      <c r="L99" t="inlineStr">
        <is>
          <t>GBp</t>
        </is>
      </c>
      <c r="M99" t="n">
        <v>-19.74632994062772</v>
      </c>
      <c r="N99" t="n">
        <v>5.06303068571996</v>
      </c>
      <c r="O99" t="n">
        <v>-15.68306199910524</v>
      </c>
      <c r="P99" t="n">
        <v>-4.897190306256305</v>
      </c>
      <c r="Q99" t="n">
        <v>-11.34127553915842</v>
      </c>
      <c r="R99" t="n">
        <v>0.228</v>
      </c>
      <c r="S99" t="n">
        <v>4.128</v>
      </c>
      <c r="T99" t="n">
        <v>-3.9</v>
      </c>
      <c r="U99" t="n">
        <v>18270351000000</v>
      </c>
    </row>
    <row r="100">
      <c r="A100" t="inlineStr">
        <is>
          <t>China</t>
        </is>
      </c>
      <c r="B100" t="inlineStr">
        <is>
          <t>CHN</t>
        </is>
      </c>
      <c r="C100" t="inlineStr">
        <is>
          <t>IASH.L</t>
        </is>
      </c>
      <c r="D100" t="n">
        <v>2024</v>
      </c>
      <c r="E100" t="n">
        <v>13.75058122481656</v>
      </c>
      <c r="F100" t="n">
        <v>5.003</v>
      </c>
      <c r="G100" t="n">
        <v>4.244735</v>
      </c>
      <c r="H100" t="n">
        <v>2.623967</v>
      </c>
      <c r="I100" t="n">
        <v>-9.510157582131988</v>
      </c>
      <c r="J100" t="inlineStr">
        <is>
          <t>China|IASH.L|2024</t>
        </is>
      </c>
      <c r="K100" t="inlineStr">
        <is>
          <t>China|2024</t>
        </is>
      </c>
      <c r="L100" t="inlineStr">
        <is>
          <t>GBp</t>
        </is>
      </c>
      <c r="M100" t="n">
        <v>13.75058122481656</v>
      </c>
      <c r="N100" t="n">
        <v>-1.421053523664917</v>
      </c>
      <c r="O100" t="n">
        <v>12.13412458213199</v>
      </c>
      <c r="P100" t="n">
        <v>-1.554771666578336</v>
      </c>
      <c r="Q100" t="n">
        <v>13.90508862689388</v>
      </c>
      <c r="R100" t="n">
        <v>0.212</v>
      </c>
      <c r="S100" t="n">
        <v>2.952</v>
      </c>
      <c r="T100" t="n">
        <v>-2.74</v>
      </c>
      <c r="U100" t="n">
        <v>18749759000000</v>
      </c>
    </row>
    <row r="101">
      <c r="A101" t="inlineStr">
        <is>
          <t>China</t>
        </is>
      </c>
      <c r="B101" t="inlineStr">
        <is>
          <t>CHN</t>
        </is>
      </c>
      <c r="C101" t="inlineStr">
        <is>
          <t>IASH.L</t>
        </is>
      </c>
      <c r="D101" t="n">
        <v>2025</v>
      </c>
      <c r="E101" t="n">
        <v>19.49281886573942</v>
      </c>
      <c r="F101" t="n">
        <v>4.796</v>
      </c>
      <c r="G101" t="n">
        <v>3.644671</v>
      </c>
      <c r="H101" t="n">
        <v>3.460407</v>
      </c>
      <c r="I101" t="n">
        <v>-25.08032393385992</v>
      </c>
      <c r="J101" t="inlineStr">
        <is>
          <t>China|IASH.L|2025</t>
        </is>
      </c>
      <c r="K101" t="inlineStr">
        <is>
          <t>China|2025</t>
        </is>
      </c>
      <c r="L101" t="inlineStr">
        <is>
          <t>GBp</t>
        </is>
      </c>
      <c r="M101" t="n">
        <v>19.49281886573942</v>
      </c>
      <c r="N101" t="n">
        <v>7.571929555270285</v>
      </c>
      <c r="O101" t="n">
        <v>28.54073093385992</v>
      </c>
      <c r="P101" t="n">
        <v>-0.1777842601448754</v>
      </c>
      <c r="Q101" t="n">
        <v>28.76966312674083</v>
      </c>
      <c r="R101" t="n">
        <v>0.013</v>
      </c>
      <c r="S101" t="n">
        <v>2.715</v>
      </c>
      <c r="T101" t="n">
        <v>-2.702</v>
      </c>
      <c r="U101" t="n">
        <v>19398577000000</v>
      </c>
    </row>
    <row r="102">
      <c r="A102" t="inlineStr">
        <is>
          <t>China</t>
        </is>
      </c>
      <c r="B102" t="inlineStr">
        <is>
          <t>CHN</t>
        </is>
      </c>
      <c r="C102" t="inlineStr">
        <is>
          <t>IASH.L</t>
        </is>
      </c>
      <c r="D102" t="n">
        <v>2026</v>
      </c>
      <c r="E102" t="n">
        <v>2.126180131710109</v>
      </c>
      <c r="F102" t="n">
        <v>4.163</v>
      </c>
      <c r="G102" t="n">
        <v>4.659559</v>
      </c>
      <c r="H102" t="n">
        <v>6.454994</v>
      </c>
      <c r="I102" t="n">
        <v>5.863050388366717</v>
      </c>
      <c r="J102" t="inlineStr">
        <is>
          <t>China|IASH.L|2026</t>
        </is>
      </c>
      <c r="K102" t="inlineStr">
        <is>
          <t>China|2026</t>
        </is>
      </c>
      <c r="L102" t="inlineStr">
        <is>
          <t>GBp</t>
        </is>
      </c>
      <c r="M102" t="n">
        <v>2.126180131710109</v>
      </c>
      <c r="N102" t="n">
        <v>-1.502295021803568</v>
      </c>
      <c r="O102" t="n">
        <v>0.5919436116332832</v>
      </c>
      <c r="P102" t="n">
        <v>1.715499981285462</v>
      </c>
      <c r="Q102" t="n">
        <v>-1.104606839526823</v>
      </c>
      <c r="R102" t="n">
        <v>0.677</v>
      </c>
      <c r="S102" t="n">
        <v>2.435</v>
      </c>
      <c r="T102" t="n">
        <v>-1.758</v>
      </c>
      <c r="U102" t="n">
        <v>20650754000000</v>
      </c>
    </row>
    <row r="103">
      <c r="A103" t="inlineStr">
        <is>
          <t>China</t>
        </is>
      </c>
      <c r="B103" t="inlineStr">
        <is>
          <t>CHN</t>
        </is>
      </c>
      <c r="C103" t="inlineStr">
        <is>
          <t>IASH.L</t>
        </is>
      </c>
      <c r="D103" t="n">
        <v>2027</v>
      </c>
      <c r="E103" t="inlineStr"/>
      <c r="F103" t="n">
        <v>4.186</v>
      </c>
      <c r="G103" t="n">
        <v>5.704821</v>
      </c>
      <c r="H103" t="n">
        <v>6.613938</v>
      </c>
      <c r="I103" t="inlineStr"/>
      <c r="J103" t="inlineStr">
        <is>
          <t>China|IASH.L|2027</t>
        </is>
      </c>
      <c r="K103" t="inlineStr">
        <is>
          <t>China|2027</t>
        </is>
      </c>
      <c r="L103" t="inlineStr">
        <is>
          <t>GBp</t>
        </is>
      </c>
      <c r="M103" t="inlineStr"/>
      <c r="N103" t="inlineStr"/>
      <c r="O103" t="inlineStr"/>
      <c r="P103" t="n">
        <v>0.8600524898218387</v>
      </c>
      <c r="Q103" t="inlineStr"/>
      <c r="R103" t="n">
        <v>1.418</v>
      </c>
      <c r="S103" t="n">
        <v>2.185</v>
      </c>
      <c r="T103" t="n">
        <v>-0.7670000000000001</v>
      </c>
      <c r="U103" t="n">
        <v>22016582000000</v>
      </c>
    </row>
    <row r="104">
      <c r="A104" t="inlineStr">
        <is>
          <t>China</t>
        </is>
      </c>
      <c r="B104" t="inlineStr">
        <is>
          <t>CHN</t>
        </is>
      </c>
      <c r="C104" t="inlineStr">
        <is>
          <t>IASH.L</t>
        </is>
      </c>
      <c r="D104" t="n">
        <v>2028</v>
      </c>
      <c r="E104" t="inlineStr"/>
      <c r="F104" t="n">
        <v>3.965</v>
      </c>
      <c r="G104" t="n">
        <v>5.940188</v>
      </c>
      <c r="H104" t="n">
        <v>6.516879</v>
      </c>
      <c r="I104" t="inlineStr"/>
      <c r="J104" t="inlineStr">
        <is>
          <t>China|IASH.L|2028</t>
        </is>
      </c>
      <c r="K104" t="inlineStr">
        <is>
          <t>China|2028</t>
        </is>
      </c>
      <c r="L104" t="inlineStr">
        <is>
          <t>GBp</t>
        </is>
      </c>
      <c r="M104" t="inlineStr"/>
      <c r="N104" t="inlineStr"/>
      <c r="O104" t="inlineStr"/>
      <c r="P104" t="n">
        <v>0.544355380995154</v>
      </c>
      <c r="Q104" t="inlineStr"/>
      <c r="R104" t="n">
        <v>1.809</v>
      </c>
      <c r="S104" t="n">
        <v>2.206</v>
      </c>
      <c r="T104" t="n">
        <v>-0.397</v>
      </c>
      <c r="U104" t="n">
        <v>23451376000000</v>
      </c>
    </row>
    <row r="105">
      <c r="A105" t="inlineStr">
        <is>
          <t>China</t>
        </is>
      </c>
      <c r="B105" t="inlineStr">
        <is>
          <t>CHN</t>
        </is>
      </c>
      <c r="C105" t="inlineStr">
        <is>
          <t>IASH.L</t>
        </is>
      </c>
      <c r="D105" t="n">
        <v>2029</v>
      </c>
      <c r="E105" t="inlineStr"/>
      <c r="F105" t="n">
        <v>3.7</v>
      </c>
      <c r="G105" t="n">
        <v>5.691099</v>
      </c>
      <c r="H105" t="n">
        <v>5.974131</v>
      </c>
      <c r="I105" t="inlineStr"/>
      <c r="J105" t="inlineStr">
        <is>
          <t>China|IASH.L|2029</t>
        </is>
      </c>
      <c r="K105" t="inlineStr">
        <is>
          <t>China|2029</t>
        </is>
      </c>
      <c r="L105" t="inlineStr">
        <is>
          <t>GBp</t>
        </is>
      </c>
      <c r="M105" t="inlineStr"/>
      <c r="N105" t="inlineStr"/>
      <c r="O105" t="inlineStr"/>
      <c r="P105" t="n">
        <v>0.2677917713305833</v>
      </c>
      <c r="Q105" t="inlineStr"/>
      <c r="R105" t="n">
        <v>1.878</v>
      </c>
      <c r="S105" t="n">
        <v>2.203</v>
      </c>
      <c r="T105" t="n">
        <v>-0.325</v>
      </c>
      <c r="U105" t="n">
        <v>24852392000000</v>
      </c>
    </row>
    <row r="106">
      <c r="A106" t="inlineStr">
        <is>
          <t>France</t>
        </is>
      </c>
      <c r="B106" t="inlineStr">
        <is>
          <t>FRA</t>
        </is>
      </c>
      <c r="C106" t="inlineStr">
        <is>
          <t>ISFR.L</t>
        </is>
      </c>
      <c r="D106" t="n">
        <v>2004</v>
      </c>
      <c r="E106" t="inlineStr"/>
      <c r="F106" t="n">
        <v>2.524</v>
      </c>
      <c r="G106" t="inlineStr"/>
      <c r="H106" t="inlineStr"/>
      <c r="I106" t="inlineStr"/>
      <c r="J106" t="inlineStr">
        <is>
          <t>France|ISFR.L|2004</t>
        </is>
      </c>
      <c r="K106" t="inlineStr">
        <is>
          <t>France|2004</t>
        </is>
      </c>
      <c r="L106" t="inlineStr">
        <is>
          <t>GBp</t>
        </is>
      </c>
      <c r="M106" t="inlineStr"/>
      <c r="N106" t="inlineStr"/>
      <c r="O106" t="inlineStr"/>
      <c r="P106" t="inlineStr"/>
      <c r="Q106" t="inlineStr"/>
      <c r="R106" t="n">
        <v>2.335</v>
      </c>
      <c r="S106" t="n">
        <v>2.668</v>
      </c>
      <c r="T106" t="n">
        <v>-0.3330000000000002</v>
      </c>
      <c r="U106" t="n">
        <v>2108835000000</v>
      </c>
    </row>
    <row r="107">
      <c r="A107" t="inlineStr">
        <is>
          <t>France</t>
        </is>
      </c>
      <c r="B107" t="inlineStr">
        <is>
          <t>FRA</t>
        </is>
      </c>
      <c r="C107" t="inlineStr">
        <is>
          <t>ISFR.L</t>
        </is>
      </c>
      <c r="D107" t="n">
        <v>2005</v>
      </c>
      <c r="E107" t="inlineStr"/>
      <c r="F107" t="n">
        <v>1.985</v>
      </c>
      <c r="G107" t="n">
        <v>3.887724</v>
      </c>
      <c r="H107" t="n">
        <v>4.008042</v>
      </c>
      <c r="I107" t="inlineStr"/>
      <c r="J107" t="inlineStr">
        <is>
          <t>France|ISFR.L|2005</t>
        </is>
      </c>
      <c r="K107" t="inlineStr">
        <is>
          <t>France|2005</t>
        </is>
      </c>
      <c r="L107" t="inlineStr">
        <is>
          <t>GBp</t>
        </is>
      </c>
      <c r="M107" t="inlineStr"/>
      <c r="N107" t="inlineStr"/>
      <c r="O107" t="inlineStr"/>
      <c r="P107" t="n">
        <v>0.1158156320886006</v>
      </c>
      <c r="Q107" t="inlineStr"/>
      <c r="R107" t="n">
        <v>1.888</v>
      </c>
      <c r="S107" t="n">
        <v>3.366</v>
      </c>
      <c r="T107" t="n">
        <v>-1.478</v>
      </c>
      <c r="U107" t="n">
        <v>2193358000000</v>
      </c>
    </row>
    <row r="108">
      <c r="A108" t="inlineStr">
        <is>
          <t>France</t>
        </is>
      </c>
      <c r="B108" t="inlineStr">
        <is>
          <t>FRA</t>
        </is>
      </c>
      <c r="C108" t="inlineStr">
        <is>
          <t>ISFR.L</t>
        </is>
      </c>
      <c r="D108" t="n">
        <v>2006</v>
      </c>
      <c r="E108" t="inlineStr"/>
      <c r="F108" t="n">
        <v>2.93</v>
      </c>
      <c r="G108" t="n">
        <v>4.765648</v>
      </c>
      <c r="H108" t="n">
        <v>5.682018</v>
      </c>
      <c r="I108" t="inlineStr"/>
      <c r="J108" t="inlineStr">
        <is>
          <t>France|ISFR.L|2006</t>
        </is>
      </c>
      <c r="K108" t="inlineStr">
        <is>
          <t>France|2006</t>
        </is>
      </c>
      <c r="L108" t="inlineStr">
        <is>
          <t>GBp</t>
        </is>
      </c>
      <c r="M108" t="inlineStr"/>
      <c r="N108" t="inlineStr"/>
      <c r="O108" t="inlineStr"/>
      <c r="P108" t="n">
        <v>0.8746860111174204</v>
      </c>
      <c r="Q108" t="inlineStr"/>
      <c r="R108" t="n">
        <v>1.892</v>
      </c>
      <c r="S108" t="n">
        <v>3.222</v>
      </c>
      <c r="T108" t="n">
        <v>-1.33</v>
      </c>
      <c r="U108" t="n">
        <v>2317985000000</v>
      </c>
    </row>
    <row r="109">
      <c r="A109" t="inlineStr">
        <is>
          <t>France</t>
        </is>
      </c>
      <c r="B109" t="inlineStr">
        <is>
          <t>FRA</t>
        </is>
      </c>
      <c r="C109" t="inlineStr">
        <is>
          <t>ISFR.L</t>
        </is>
      </c>
      <c r="D109" t="n">
        <v>2007</v>
      </c>
      <c r="E109" t="inlineStr"/>
      <c r="F109" t="n">
        <v>2.485</v>
      </c>
      <c r="G109" t="n">
        <v>4.975837</v>
      </c>
      <c r="H109" t="n">
        <v>14.587886</v>
      </c>
      <c r="I109" t="inlineStr"/>
      <c r="J109" t="inlineStr">
        <is>
          <t>France|ISFR.L|2007</t>
        </is>
      </c>
      <c r="K109" t="inlineStr">
        <is>
          <t>France|2007</t>
        </is>
      </c>
      <c r="L109" t="inlineStr">
        <is>
          <t>GBp</t>
        </is>
      </c>
      <c r="M109" t="inlineStr"/>
      <c r="N109" t="inlineStr"/>
      <c r="O109" t="inlineStr"/>
      <c r="P109" t="n">
        <v>9.156438885250594</v>
      </c>
      <c r="Q109" t="inlineStr"/>
      <c r="R109" t="n">
        <v>1.605</v>
      </c>
      <c r="S109" t="n">
        <v>2.871</v>
      </c>
      <c r="T109" t="n">
        <v>-1.266</v>
      </c>
      <c r="U109" t="n">
        <v>2656130000000</v>
      </c>
    </row>
    <row r="110">
      <c r="A110" t="inlineStr">
        <is>
          <t>France</t>
        </is>
      </c>
      <c r="B110" t="inlineStr">
        <is>
          <t>FRA</t>
        </is>
      </c>
      <c r="C110" t="inlineStr">
        <is>
          <t>ISFR.L</t>
        </is>
      </c>
      <c r="D110" t="n">
        <v>2008</v>
      </c>
      <c r="E110" t="inlineStr"/>
      <c r="F110" t="n">
        <v>0.262</v>
      </c>
      <c r="G110" t="n">
        <v>2.689749</v>
      </c>
      <c r="H110" t="n">
        <v>10.178455</v>
      </c>
      <c r="I110" t="inlineStr"/>
      <c r="J110" t="inlineStr">
        <is>
          <t>France|ISFR.L|2008</t>
        </is>
      </c>
      <c r="K110" t="inlineStr">
        <is>
          <t>France|2008</t>
        </is>
      </c>
      <c r="L110" t="inlineStr">
        <is>
          <t>GBp</t>
        </is>
      </c>
      <c r="M110" t="inlineStr"/>
      <c r="N110" t="n">
        <v>-26.2666463318202</v>
      </c>
      <c r="O110" t="inlineStr"/>
      <c r="P110" t="n">
        <v>7.29255472144108</v>
      </c>
      <c r="Q110" t="inlineStr"/>
      <c r="R110" t="n">
        <v>3.161</v>
      </c>
      <c r="S110" t="n">
        <v>3.815</v>
      </c>
      <c r="T110" t="n">
        <v>-0.6539999999999999</v>
      </c>
      <c r="U110" t="n">
        <v>2926483000000</v>
      </c>
    </row>
    <row r="111">
      <c r="A111" t="inlineStr">
        <is>
          <t>France</t>
        </is>
      </c>
      <c r="B111" t="inlineStr">
        <is>
          <t>FRA</t>
        </is>
      </c>
      <c r="C111" t="inlineStr">
        <is>
          <t>ISFR.L</t>
        </is>
      </c>
      <c r="D111" t="n">
        <v>2009</v>
      </c>
      <c r="E111" t="inlineStr"/>
      <c r="F111" t="n">
        <v>-2.731</v>
      </c>
      <c r="G111" t="n">
        <v>-2.721608</v>
      </c>
      <c r="H111" t="n">
        <v>-7.836676</v>
      </c>
      <c r="I111" t="inlineStr"/>
      <c r="J111" t="inlineStr">
        <is>
          <t>France|ISFR.L|2009</t>
        </is>
      </c>
      <c r="K111" t="inlineStr">
        <is>
          <t>France|2009</t>
        </is>
      </c>
      <c r="L111" t="inlineStr">
        <is>
          <t>GBp</t>
        </is>
      </c>
      <c r="M111" t="inlineStr"/>
      <c r="N111" t="n">
        <v>9.775566130910907</v>
      </c>
      <c r="O111" t="inlineStr"/>
      <c r="P111" t="n">
        <v>-5.258175189298663</v>
      </c>
      <c r="Q111" t="inlineStr"/>
      <c r="R111" t="n">
        <v>0.102</v>
      </c>
      <c r="S111" t="n">
        <v>-0.32</v>
      </c>
      <c r="T111" t="n">
        <v>0.422</v>
      </c>
      <c r="U111" t="n">
        <v>2697144000000</v>
      </c>
    </row>
    <row r="112">
      <c r="A112" t="inlineStr">
        <is>
          <t>France</t>
        </is>
      </c>
      <c r="B112" t="inlineStr">
        <is>
          <t>FRA</t>
        </is>
      </c>
      <c r="C112" t="inlineStr">
        <is>
          <t>ISFR.L</t>
        </is>
      </c>
      <c r="D112" t="n">
        <v>2010</v>
      </c>
      <c r="E112" t="inlineStr"/>
      <c r="F112" t="n">
        <v>1.838</v>
      </c>
      <c r="G112" t="n">
        <v>3.111569</v>
      </c>
      <c r="H112" t="n">
        <v>-1.807579</v>
      </c>
      <c r="I112" t="inlineStr"/>
      <c r="J112" t="inlineStr">
        <is>
          <t>France|ISFR.L|2010</t>
        </is>
      </c>
      <c r="K112" t="inlineStr">
        <is>
          <t>France|2010</t>
        </is>
      </c>
      <c r="L112" t="inlineStr">
        <is>
          <t>GBp</t>
        </is>
      </c>
      <c r="M112" t="inlineStr"/>
      <c r="N112" t="n">
        <v>-4.313135137595536</v>
      </c>
      <c r="O112" t="inlineStr"/>
      <c r="P112" t="n">
        <v>-4.770704065800524</v>
      </c>
      <c r="Q112" t="inlineStr"/>
      <c r="R112" t="n">
        <v>1.738</v>
      </c>
      <c r="S112" t="n">
        <v>1.637</v>
      </c>
      <c r="T112" t="n">
        <v>0.101</v>
      </c>
      <c r="U112" t="n">
        <v>2648391000000</v>
      </c>
    </row>
    <row r="113">
      <c r="A113" t="inlineStr">
        <is>
          <t>France</t>
        </is>
      </c>
      <c r="B113" t="inlineStr">
        <is>
          <t>FRA</t>
        </is>
      </c>
      <c r="C113" t="inlineStr">
        <is>
          <t>ISFR.L</t>
        </is>
      </c>
      <c r="D113" t="n">
        <v>2011</v>
      </c>
      <c r="E113" t="inlineStr"/>
      <c r="F113" t="n">
        <v>2.484</v>
      </c>
      <c r="G113" t="n">
        <v>3.309795</v>
      </c>
      <c r="H113" t="n">
        <v>8.364022</v>
      </c>
      <c r="I113" t="inlineStr"/>
      <c r="J113" t="inlineStr">
        <is>
          <t>France|ISFR.L|2011</t>
        </is>
      </c>
      <c r="K113" t="inlineStr">
        <is>
          <t>France|2011</t>
        </is>
      </c>
      <c r="L113" t="inlineStr">
        <is>
          <t>GBp</t>
        </is>
      </c>
      <c r="M113" t="inlineStr"/>
      <c r="N113" t="n">
        <v>-1.005112717398426</v>
      </c>
      <c r="O113" t="inlineStr"/>
      <c r="P113" t="n">
        <v>4.892301142368316</v>
      </c>
      <c r="Q113" t="inlineStr"/>
      <c r="R113" t="n">
        <v>2.287</v>
      </c>
      <c r="S113" t="n">
        <v>3.14</v>
      </c>
      <c r="T113" t="n">
        <v>-0.8530000000000002</v>
      </c>
      <c r="U113" t="n">
        <v>2869903000000</v>
      </c>
    </row>
    <row r="114">
      <c r="A114" t="inlineStr">
        <is>
          <t>France</t>
        </is>
      </c>
      <c r="B114" t="inlineStr">
        <is>
          <t>FRA</t>
        </is>
      </c>
      <c r="C114" t="inlineStr">
        <is>
          <t>ISFR.L</t>
        </is>
      </c>
      <c r="D114" t="n">
        <v>2012</v>
      </c>
      <c r="E114" t="inlineStr"/>
      <c r="F114" t="n">
        <v>0.23</v>
      </c>
      <c r="G114" t="n">
        <v>1.267906</v>
      </c>
      <c r="H114" t="n">
        <v>-6.453075</v>
      </c>
      <c r="I114" t="inlineStr"/>
      <c r="J114" t="inlineStr">
        <is>
          <t>France|ISFR.L|2012</t>
        </is>
      </c>
      <c r="K114" t="inlineStr">
        <is>
          <t>France|2012</t>
        </is>
      </c>
      <c r="L114" t="inlineStr">
        <is>
          <t>GBp</t>
        </is>
      </c>
      <c r="M114" t="inlineStr"/>
      <c r="N114" t="n">
        <v>4.195888354025179</v>
      </c>
      <c r="O114" t="inlineStr"/>
      <c r="P114" t="n">
        <v>-7.62431171353064</v>
      </c>
      <c r="Q114" t="inlineStr"/>
      <c r="R114" t="n">
        <v>2.217</v>
      </c>
      <c r="S114" t="n">
        <v>2.073</v>
      </c>
      <c r="T114" t="n">
        <v>0.1440000000000001</v>
      </c>
      <c r="U114" t="n">
        <v>2684706000000</v>
      </c>
    </row>
    <row r="115">
      <c r="A115" t="inlineStr">
        <is>
          <t>France</t>
        </is>
      </c>
      <c r="B115" t="inlineStr">
        <is>
          <t>FRA</t>
        </is>
      </c>
      <c r="C115" t="inlineStr">
        <is>
          <t>ISFR.L</t>
        </is>
      </c>
      <c r="D115" t="n">
        <v>2013</v>
      </c>
      <c r="E115" t="inlineStr"/>
      <c r="F115" t="n">
        <v>0.925</v>
      </c>
      <c r="G115" t="n">
        <v>1.535469</v>
      </c>
      <c r="H115" t="n">
        <v>4.894875</v>
      </c>
      <c r="I115" t="inlineStr"/>
      <c r="J115" t="inlineStr">
        <is>
          <t>France|ISFR.L|2013</t>
        </is>
      </c>
      <c r="K115" t="inlineStr">
        <is>
          <t>France|2013</t>
        </is>
      </c>
      <c r="L115" t="inlineStr">
        <is>
          <t>GBp</t>
        </is>
      </c>
      <c r="M115" t="inlineStr"/>
      <c r="N115" t="n">
        <v>1.593426530031161</v>
      </c>
      <c r="O115" t="inlineStr"/>
      <c r="P115" t="n">
        <v>3.30860329321121</v>
      </c>
      <c r="Q115" t="inlineStr"/>
      <c r="R115" t="n">
        <v>0.989</v>
      </c>
      <c r="S115" t="n">
        <v>1.466</v>
      </c>
      <c r="T115" t="n">
        <v>-0.477</v>
      </c>
      <c r="U115" t="n">
        <v>2816119000000</v>
      </c>
    </row>
    <row r="116">
      <c r="A116" t="inlineStr">
        <is>
          <t>France</t>
        </is>
      </c>
      <c r="B116" t="inlineStr">
        <is>
          <t>FRA</t>
        </is>
      </c>
      <c r="C116" t="inlineStr">
        <is>
          <t>ISFR.L</t>
        </is>
      </c>
      <c r="D116" t="n">
        <v>2014</v>
      </c>
      <c r="E116" t="n">
        <v>-24.78966346153846</v>
      </c>
      <c r="F116" t="n">
        <v>1.001</v>
      </c>
      <c r="G116" t="n">
        <v>1.574314</v>
      </c>
      <c r="H116" t="n">
        <v>1.628269</v>
      </c>
      <c r="I116" t="n">
        <v>30.93547344414869</v>
      </c>
      <c r="J116" t="inlineStr">
        <is>
          <t>France|ISFR.L|2014</t>
        </is>
      </c>
      <c r="K116" t="inlineStr">
        <is>
          <t>France|2014</t>
        </is>
      </c>
      <c r="L116" t="inlineStr">
        <is>
          <t>GBp</t>
        </is>
      </c>
      <c r="M116" t="n">
        <v>-24.78966346153846</v>
      </c>
      <c r="N116" t="n">
        <v>-6.006542704804973</v>
      </c>
      <c r="O116" t="n">
        <v>-29.3072044441487</v>
      </c>
      <c r="P116" t="n">
        <v>0.05311892506056903</v>
      </c>
      <c r="Q116" t="n">
        <v>-29.34473576101115</v>
      </c>
      <c r="R116" t="n">
        <v>0.611</v>
      </c>
      <c r="S116" t="n">
        <v>1.615</v>
      </c>
      <c r="T116" t="n">
        <v>-1.004</v>
      </c>
      <c r="U116" t="n">
        <v>2861973000000</v>
      </c>
    </row>
    <row r="117">
      <c r="A117" t="inlineStr">
        <is>
          <t>France</t>
        </is>
      </c>
      <c r="B117" t="inlineStr">
        <is>
          <t>FRA</t>
        </is>
      </c>
      <c r="C117" t="inlineStr">
        <is>
          <t>ISFR.L</t>
        </is>
      </c>
      <c r="D117" t="n">
        <v>2015</v>
      </c>
      <c r="E117" t="n">
        <v>5.851063829787218</v>
      </c>
      <c r="F117" t="n">
        <v>0.998</v>
      </c>
      <c r="G117" t="n">
        <v>2.21332</v>
      </c>
      <c r="H117" t="n">
        <v>-14.648706</v>
      </c>
      <c r="I117" t="n">
        <v>-15.32486388154905</v>
      </c>
      <c r="J117" t="inlineStr">
        <is>
          <t>France|ISFR.L|2015</t>
        </is>
      </c>
      <c r="K117" t="inlineStr">
        <is>
          <t>France|2015</t>
        </is>
      </c>
      <c r="L117" t="inlineStr">
        <is>
          <t>GBp</t>
        </is>
      </c>
      <c r="M117" t="n">
        <v>5.851063829787218</v>
      </c>
      <c r="N117" t="n">
        <v>-4.888855870697362</v>
      </c>
      <c r="O117" t="n">
        <v>0.6761578815490443</v>
      </c>
      <c r="P117" t="n">
        <v>-16.49689639789364</v>
      </c>
      <c r="Q117" t="n">
        <v>20.56576766448415</v>
      </c>
      <c r="R117" t="n">
        <v>0.089</v>
      </c>
      <c r="S117" t="n">
        <v>0.121</v>
      </c>
      <c r="T117" t="n">
        <v>-0.032</v>
      </c>
      <c r="U117" t="n">
        <v>2442731000000</v>
      </c>
    </row>
    <row r="118">
      <c r="A118" t="inlineStr">
        <is>
          <t>France</t>
        </is>
      </c>
      <c r="B118" t="inlineStr">
        <is>
          <t>FRA</t>
        </is>
      </c>
      <c r="C118" t="inlineStr">
        <is>
          <t>ISFR.L</t>
        </is>
      </c>
      <c r="D118" t="n">
        <v>2016</v>
      </c>
      <c r="E118" t="n">
        <v>29.38290730699718</v>
      </c>
      <c r="F118" t="n">
        <v>0.735</v>
      </c>
      <c r="G118" t="n">
        <v>1.38171</v>
      </c>
      <c r="H118" t="n">
        <v>1.105116</v>
      </c>
      <c r="I118" t="n">
        <v>-6.766966146685866</v>
      </c>
      <c r="J118" t="inlineStr">
        <is>
          <t>France|ISFR.L|2016</t>
        </is>
      </c>
      <c r="K118" t="inlineStr">
        <is>
          <t>France|2016</t>
        </is>
      </c>
      <c r="L118" t="inlineStr">
        <is>
          <t>GBp</t>
        </is>
      </c>
      <c r="M118" t="n">
        <v>29.38290730699718</v>
      </c>
      <c r="N118" t="n">
        <v>-16.62570861023462</v>
      </c>
      <c r="O118" t="n">
        <v>7.872082146685866</v>
      </c>
      <c r="P118" t="n">
        <v>-0.2728251839976159</v>
      </c>
      <c r="Q118" t="n">
        <v>8.16718948041084</v>
      </c>
      <c r="R118" t="n">
        <v>0.307</v>
      </c>
      <c r="S118" t="n">
        <v>1.267</v>
      </c>
      <c r="T118" t="n">
        <v>-0.96</v>
      </c>
      <c r="U118" t="n">
        <v>2469726000000</v>
      </c>
    </row>
    <row r="119">
      <c r="A119" t="inlineStr">
        <is>
          <t>France</t>
        </is>
      </c>
      <c r="B119" t="inlineStr">
        <is>
          <t>FRA</t>
        </is>
      </c>
      <c r="C119" t="inlineStr">
        <is>
          <t>ISFR.L</t>
        </is>
      </c>
      <c r="D119" t="n">
        <v>2017</v>
      </c>
      <c r="E119" t="n">
        <v>18.65315852205005</v>
      </c>
      <c r="F119" t="n">
        <v>2.268</v>
      </c>
      <c r="G119" t="n">
        <v>2.682207</v>
      </c>
      <c r="H119" t="n">
        <v>4.78713</v>
      </c>
      <c r="I119" t="n">
        <v>-24.35661472616394</v>
      </c>
      <c r="J119" t="inlineStr">
        <is>
          <t>France|ISFR.L|2017</t>
        </is>
      </c>
      <c r="K119" t="inlineStr">
        <is>
          <t>France|2017</t>
        </is>
      </c>
      <c r="L119" t="inlineStr">
        <is>
          <t>GBp</t>
        </is>
      </c>
      <c r="M119" t="n">
        <v>18.65315852205005</v>
      </c>
      <c r="N119" t="n">
        <v>8.841388071573641</v>
      </c>
      <c r="O119" t="n">
        <v>29.14374472616394</v>
      </c>
      <c r="P119" t="n">
        <v>2.049939851067206</v>
      </c>
      <c r="Q119" t="n">
        <v>26.54955496753622</v>
      </c>
      <c r="R119" t="n">
        <v>1.166</v>
      </c>
      <c r="S119" t="n">
        <v>2.131</v>
      </c>
      <c r="T119" t="n">
        <v>-0.9649999999999999</v>
      </c>
      <c r="U119" t="n">
        <v>2587955000000</v>
      </c>
    </row>
    <row r="120">
      <c r="A120" t="inlineStr">
        <is>
          <t>France</t>
        </is>
      </c>
      <c r="B120" t="inlineStr">
        <is>
          <t>FRA</t>
        </is>
      </c>
      <c r="C120" t="inlineStr">
        <is>
          <t>ISFR.L</t>
        </is>
      </c>
      <c r="D120" t="n">
        <v>2018</v>
      </c>
      <c r="E120" t="n">
        <v>-7.625983592834418</v>
      </c>
      <c r="F120" t="n">
        <v>1.593</v>
      </c>
      <c r="G120" t="n">
        <v>2.778834</v>
      </c>
      <c r="H120" t="n">
        <v>7.530386</v>
      </c>
      <c r="I120" t="n">
        <v>20.77760951572937</v>
      </c>
      <c r="J120" t="inlineStr">
        <is>
          <t>France|ISFR.L|2018</t>
        </is>
      </c>
      <c r="K120" t="inlineStr">
        <is>
          <t>France|2018</t>
        </is>
      </c>
      <c r="L120" t="inlineStr">
        <is>
          <t>GBp</t>
        </is>
      </c>
      <c r="M120" t="n">
        <v>-7.625983592834418</v>
      </c>
      <c r="N120" t="n">
        <v>-6.085304224640065</v>
      </c>
      <c r="O120" t="n">
        <v>-13.24722351572937</v>
      </c>
      <c r="P120" t="n">
        <v>4.623084607237327</v>
      </c>
      <c r="Q120" t="n">
        <v>-17.08065499125087</v>
      </c>
      <c r="R120" t="n">
        <v>2.099</v>
      </c>
      <c r="S120" t="n">
        <v>2.439</v>
      </c>
      <c r="T120" t="n">
        <v>-0.3399999999999999</v>
      </c>
      <c r="U120" t="n">
        <v>2782838000000</v>
      </c>
    </row>
    <row r="121">
      <c r="A121" t="inlineStr">
        <is>
          <t>France</t>
        </is>
      </c>
      <c r="B121" t="inlineStr">
        <is>
          <t>FRA</t>
        </is>
      </c>
      <c r="C121" t="inlineStr">
        <is>
          <t>ISFR.L</t>
        </is>
      </c>
      <c r="D121" t="n">
        <v>2019</v>
      </c>
      <c r="E121" t="n">
        <v>23.20391872278664</v>
      </c>
      <c r="F121" t="n">
        <v>2.091</v>
      </c>
      <c r="G121" t="n">
        <v>3.262512</v>
      </c>
      <c r="H121" t="n">
        <v>-2.146873</v>
      </c>
      <c r="I121" t="n">
        <v>-28.97774789476015</v>
      </c>
      <c r="J121" t="inlineStr">
        <is>
          <t>France|ISFR.L|2019</t>
        </is>
      </c>
      <c r="K121" t="inlineStr">
        <is>
          <t>France|2019</t>
        </is>
      </c>
      <c r="L121" t="inlineStr">
        <is>
          <t>GBp</t>
        </is>
      </c>
      <c r="M121" t="n">
        <v>23.20391872278664</v>
      </c>
      <c r="N121" t="n">
        <v>2.94386429390634</v>
      </c>
      <c r="O121" t="n">
        <v>26.83087489476015</v>
      </c>
      <c r="P121" t="n">
        <v>-5.238479055571565</v>
      </c>
      <c r="Q121" t="n">
        <v>33.84216887900979</v>
      </c>
      <c r="R121" t="n">
        <v>1.298</v>
      </c>
      <c r="S121" t="n">
        <v>1.813</v>
      </c>
      <c r="T121" t="n">
        <v>-0.5149999999999999</v>
      </c>
      <c r="U121" t="n">
        <v>2723094000000</v>
      </c>
    </row>
    <row r="122">
      <c r="A122" t="inlineStr">
        <is>
          <t>France</t>
        </is>
      </c>
      <c r="B122" t="inlineStr">
        <is>
          <t>FRA</t>
        </is>
      </c>
      <c r="C122" t="inlineStr">
        <is>
          <t>ISFR.L</t>
        </is>
      </c>
      <c r="D122" t="n">
        <v>2020</v>
      </c>
      <c r="E122" t="n">
        <v>0.5099067599067419</v>
      </c>
      <c r="F122" t="n">
        <v>-7.603</v>
      </c>
      <c r="G122" t="n">
        <v>-4.684264</v>
      </c>
      <c r="H122" t="n">
        <v>-2.838242</v>
      </c>
      <c r="I122" t="n">
        <v>-6.137498046274146</v>
      </c>
      <c r="J122" t="inlineStr">
        <is>
          <t>France|ISFR.L|2020</t>
        </is>
      </c>
      <c r="K122" t="inlineStr">
        <is>
          <t>France|2020</t>
        </is>
      </c>
      <c r="L122" t="inlineStr">
        <is>
          <t>GBp</t>
        </is>
      </c>
      <c r="M122" t="n">
        <v>0.5099067599067419</v>
      </c>
      <c r="N122" t="n">
        <v>2.775198362317122</v>
      </c>
      <c r="O122" t="n">
        <v>3.299256046274146</v>
      </c>
      <c r="P122" t="n">
        <v>1.936744255736333</v>
      </c>
      <c r="Q122" t="n">
        <v>1.33662478675951</v>
      </c>
      <c r="R122" t="n">
        <v>0.527</v>
      </c>
      <c r="S122" t="n">
        <v>1.253</v>
      </c>
      <c r="T122" t="n">
        <v>-0.7259999999999999</v>
      </c>
      <c r="U122" t="n">
        <v>2645806000000</v>
      </c>
    </row>
    <row r="123">
      <c r="A123" t="inlineStr">
        <is>
          <t>France</t>
        </is>
      </c>
      <c r="B123" t="inlineStr">
        <is>
          <t>FRA</t>
        </is>
      </c>
      <c r="C123" t="inlineStr">
        <is>
          <t>ISFR.L</t>
        </is>
      </c>
      <c r="D123" t="n">
        <v>2021</v>
      </c>
      <c r="E123" t="n">
        <v>19.09182498560737</v>
      </c>
      <c r="F123" t="n">
        <v>6.794</v>
      </c>
      <c r="G123" t="n">
        <v>8.18824</v>
      </c>
      <c r="H123" t="n">
        <v>12.192844</v>
      </c>
      <c r="I123" t="n">
        <v>-5.377915765402788</v>
      </c>
      <c r="J123" t="inlineStr">
        <is>
          <t>France|ISFR.L|2021</t>
        </is>
      </c>
      <c r="K123" t="inlineStr">
        <is>
          <t>France|2021</t>
        </is>
      </c>
      <c r="L123" t="inlineStr">
        <is>
          <t>GBp</t>
        </is>
      </c>
      <c r="M123" t="n">
        <v>19.09182498560737</v>
      </c>
      <c r="N123" t="n">
        <v>-1.277220514832489</v>
      </c>
      <c r="O123" t="n">
        <v>17.57075976540279</v>
      </c>
      <c r="P123" t="n">
        <v>3.701515241979703</v>
      </c>
      <c r="Q123" t="n">
        <v>13.37419659786092</v>
      </c>
      <c r="R123" t="n">
        <v>2.066</v>
      </c>
      <c r="S123" t="n">
        <v>4.679</v>
      </c>
      <c r="T123" t="n">
        <v>-2.613</v>
      </c>
      <c r="U123" t="n">
        <v>2968405000000</v>
      </c>
    </row>
    <row r="124">
      <c r="A124" t="inlineStr">
        <is>
          <t>France</t>
        </is>
      </c>
      <c r="B124" t="inlineStr">
        <is>
          <t>FRA</t>
        </is>
      </c>
      <c r="C124" t="inlineStr">
        <is>
          <t>ISFR.L</t>
        </is>
      </c>
      <c r="D124" t="n">
        <v>2022</v>
      </c>
      <c r="E124" t="n">
        <v>-2.64912489582092</v>
      </c>
      <c r="F124" t="n">
        <v>2.801</v>
      </c>
      <c r="G124" t="n">
        <v>5.816948</v>
      </c>
      <c r="H124" t="n">
        <v>-5.774751</v>
      </c>
      <c r="I124" t="n">
        <v>7.428228002774373</v>
      </c>
      <c r="J124" t="inlineStr">
        <is>
          <t>France|ISFR.L|2022</t>
        </is>
      </c>
      <c r="K124" t="inlineStr">
        <is>
          <t>France|2022</t>
        </is>
      </c>
      <c r="L124" t="inlineStr">
        <is>
          <t>GBp</t>
        </is>
      </c>
      <c r="M124" t="n">
        <v>-2.64912489582092</v>
      </c>
      <c r="N124" t="n">
        <v>-10.84104698150823</v>
      </c>
      <c r="O124" t="n">
        <v>-13.20297900277437</v>
      </c>
      <c r="P124" t="n">
        <v>-10.95448289898732</v>
      </c>
      <c r="Q124" t="n">
        <v>-2.52510870506415</v>
      </c>
      <c r="R124" t="n">
        <v>5.904</v>
      </c>
      <c r="S124" t="n">
        <v>7.993</v>
      </c>
      <c r="T124" t="n">
        <v>-2.089</v>
      </c>
      <c r="U124" t="n">
        <v>2796987000000</v>
      </c>
    </row>
    <row r="125">
      <c r="A125" t="inlineStr">
        <is>
          <t>France</t>
        </is>
      </c>
      <c r="B125" t="inlineStr">
        <is>
          <t>FRA</t>
        </is>
      </c>
      <c r="C125" t="inlineStr">
        <is>
          <t>ISFR.L</t>
        </is>
      </c>
      <c r="D125" t="n">
        <v>2023</v>
      </c>
      <c r="E125" t="n">
        <v>13.95968278951512</v>
      </c>
      <c r="F125" t="n">
        <v>1.619</v>
      </c>
      <c r="G125" t="n">
        <v>6.639307</v>
      </c>
      <c r="H125" t="n">
        <v>9.442518</v>
      </c>
      <c r="I125" t="n">
        <v>-10.2869784984974</v>
      </c>
      <c r="J125" t="inlineStr">
        <is>
          <t>France|ISFR.L|2023</t>
        </is>
      </c>
      <c r="K125" t="inlineStr">
        <is>
          <t>France|2023</t>
        </is>
      </c>
      <c r="L125" t="inlineStr">
        <is>
          <t>GBp</t>
        </is>
      </c>
      <c r="M125" t="n">
        <v>13.95968278951512</v>
      </c>
      <c r="N125" t="n">
        <v>5.06303068571996</v>
      </c>
      <c r="O125" t="n">
        <v>19.7294964984974</v>
      </c>
      <c r="P125" t="n">
        <v>2.628684842487683</v>
      </c>
      <c r="Q125" t="n">
        <v>16.66279917964035</v>
      </c>
      <c r="R125" t="n">
        <v>5.663</v>
      </c>
      <c r="S125" t="n">
        <v>4.128</v>
      </c>
      <c r="T125" t="n">
        <v>1.535</v>
      </c>
      <c r="U125" t="n">
        <v>3061093000000</v>
      </c>
    </row>
    <row r="126">
      <c r="A126" t="inlineStr">
        <is>
          <t>France</t>
        </is>
      </c>
      <c r="B126" t="inlineStr">
        <is>
          <t>FRA</t>
        </is>
      </c>
      <c r="C126" t="inlineStr">
        <is>
          <t>ISFR.L</t>
        </is>
      </c>
      <c r="D126" t="n">
        <v>2024</v>
      </c>
      <c r="E126" t="n">
        <v>-3.266438941076011</v>
      </c>
      <c r="F126" t="n">
        <v>1.102</v>
      </c>
      <c r="G126" t="n">
        <v>3.215316</v>
      </c>
      <c r="H126" t="n">
        <v>3.260567</v>
      </c>
      <c r="I126" t="n">
        <v>7.901641619070407</v>
      </c>
      <c r="J126" t="inlineStr">
        <is>
          <t>France|ISFR.L|2024</t>
        </is>
      </c>
      <c r="K126" t="inlineStr">
        <is>
          <t>France|2024</t>
        </is>
      </c>
      <c r="L126" t="inlineStr">
        <is>
          <t>GBp</t>
        </is>
      </c>
      <c r="M126" t="n">
        <v>-3.266438941076011</v>
      </c>
      <c r="N126" t="n">
        <v>-1.421053523664917</v>
      </c>
      <c r="O126" t="n">
        <v>-4.641074619070407</v>
      </c>
      <c r="P126" t="n">
        <v>0.04384180526688652</v>
      </c>
      <c r="Q126" t="n">
        <v>-4.682863372496604</v>
      </c>
      <c r="R126" t="n">
        <v>2.317</v>
      </c>
      <c r="S126" t="n">
        <v>2.952</v>
      </c>
      <c r="T126" t="n">
        <v>-0.6349999999999998</v>
      </c>
      <c r="U126" t="n">
        <v>3160902000000</v>
      </c>
    </row>
    <row r="127">
      <c r="A127" t="inlineStr">
        <is>
          <t>France</t>
        </is>
      </c>
      <c r="B127" t="inlineStr">
        <is>
          <t>FRA</t>
        </is>
      </c>
      <c r="C127" t="inlineStr">
        <is>
          <t>ISFR.L</t>
        </is>
      </c>
      <c r="D127" t="n">
        <v>2025</v>
      </c>
      <c r="E127" t="n">
        <v>19.35963030203003</v>
      </c>
      <c r="F127" t="n">
        <v>0.671</v>
      </c>
      <c r="G127" t="n">
        <v>1.876521</v>
      </c>
      <c r="H127" t="n">
        <v>6.34803</v>
      </c>
      <c r="I127" t="n">
        <v>-22.04942742593078</v>
      </c>
      <c r="J127" t="inlineStr">
        <is>
          <t>France|ISFR.L|2025</t>
        </is>
      </c>
      <c r="K127" t="inlineStr">
        <is>
          <t>France|2025</t>
        </is>
      </c>
      <c r="L127" t="inlineStr">
        <is>
          <t>GBp</t>
        </is>
      </c>
      <c r="M127" t="n">
        <v>19.35963030203003</v>
      </c>
      <c r="N127" t="n">
        <v>7.571929555270285</v>
      </c>
      <c r="O127" t="n">
        <v>28.39745742593078</v>
      </c>
      <c r="P127" t="n">
        <v>4.389145762039726</v>
      </c>
      <c r="Q127" t="n">
        <v>22.99885825162244</v>
      </c>
      <c r="R127" t="n">
        <v>1.143</v>
      </c>
      <c r="S127" t="n">
        <v>2.715</v>
      </c>
      <c r="T127" t="n">
        <v>-1.572</v>
      </c>
      <c r="U127" t="n">
        <v>3361557000000</v>
      </c>
    </row>
    <row r="128">
      <c r="A128" t="inlineStr">
        <is>
          <t>France</t>
        </is>
      </c>
      <c r="B128" t="inlineStr">
        <is>
          <t>FRA</t>
        </is>
      </c>
      <c r="C128" t="inlineStr">
        <is>
          <t>ISFR.L</t>
        </is>
      </c>
      <c r="D128" t="n">
        <v>2026</v>
      </c>
      <c r="E128" t="n">
        <v>-1.30275229357798</v>
      </c>
      <c r="F128" t="n">
        <v>0.911</v>
      </c>
      <c r="G128" t="n">
        <v>2.453141</v>
      </c>
      <c r="H128" t="n">
        <v>5.860528</v>
      </c>
      <c r="I128" t="n">
        <v>8.646004132528697</v>
      </c>
      <c r="J128" t="inlineStr">
        <is>
          <t>France|ISFR.L|2026</t>
        </is>
      </c>
      <c r="K128" t="inlineStr">
        <is>
          <t>France|2026</t>
        </is>
      </c>
      <c r="L128" t="inlineStr">
        <is>
          <t>GBp</t>
        </is>
      </c>
      <c r="M128" t="n">
        <v>-1.30275229357798</v>
      </c>
      <c r="N128" t="n">
        <v>-1.502295021803568</v>
      </c>
      <c r="O128" t="n">
        <v>-2.785476132528697</v>
      </c>
      <c r="P128" t="n">
        <v>3.325800444983762</v>
      </c>
      <c r="Q128" t="n">
        <v>-5.914569789146162</v>
      </c>
      <c r="R128" t="n">
        <v>1.526</v>
      </c>
      <c r="S128" t="n">
        <v>2.435</v>
      </c>
      <c r="T128" t="n">
        <v>-0.909</v>
      </c>
      <c r="U128" t="n">
        <v>3558562000000</v>
      </c>
    </row>
    <row r="129">
      <c r="A129" t="inlineStr">
        <is>
          <t>France</t>
        </is>
      </c>
      <c r="B129" t="inlineStr">
        <is>
          <t>FRA</t>
        </is>
      </c>
      <c r="C129" t="inlineStr">
        <is>
          <t>ISFR.L</t>
        </is>
      </c>
      <c r="D129" t="n">
        <v>2027</v>
      </c>
      <c r="E129" t="inlineStr"/>
      <c r="F129" t="n">
        <v>1.185</v>
      </c>
      <c r="G129" t="n">
        <v>3.147889</v>
      </c>
      <c r="H129" t="n">
        <v>2.880995</v>
      </c>
      <c r="I129" t="inlineStr"/>
      <c r="J129" t="inlineStr">
        <is>
          <t>France|ISFR.L|2027</t>
        </is>
      </c>
      <c r="K129" t="inlineStr">
        <is>
          <t>France|2027</t>
        </is>
      </c>
      <c r="L129" t="inlineStr">
        <is>
          <t>GBp</t>
        </is>
      </c>
      <c r="M129" t="inlineStr"/>
      <c r="N129" t="inlineStr"/>
      <c r="O129" t="inlineStr"/>
      <c r="P129" t="n">
        <v>-0.2587491485314231</v>
      </c>
      <c r="Q129" t="inlineStr"/>
      <c r="R129" t="n">
        <v>1.928</v>
      </c>
      <c r="S129" t="n">
        <v>2.185</v>
      </c>
      <c r="T129" t="n">
        <v>-0.2570000000000001</v>
      </c>
      <c r="U129" t="n">
        <v>3661084000000</v>
      </c>
    </row>
    <row r="130">
      <c r="A130" t="inlineStr">
        <is>
          <t>France</t>
        </is>
      </c>
      <c r="B130" t="inlineStr">
        <is>
          <t>FRA</t>
        </is>
      </c>
      <c r="C130" t="inlineStr">
        <is>
          <t>ISFR.L</t>
        </is>
      </c>
      <c r="D130" t="n">
        <v>2028</v>
      </c>
      <c r="E130" t="inlineStr"/>
      <c r="F130" t="n">
        <v>1.271</v>
      </c>
      <c r="G130" t="n">
        <v>3.234301</v>
      </c>
      <c r="H130" t="n">
        <v>3.052429</v>
      </c>
      <c r="I130" t="inlineStr"/>
      <c r="J130" t="inlineStr">
        <is>
          <t>France|ISFR.L|2028</t>
        </is>
      </c>
      <c r="K130" t="inlineStr">
        <is>
          <t>France|2028</t>
        </is>
      </c>
      <c r="L130" t="inlineStr">
        <is>
          <t>GBp</t>
        </is>
      </c>
      <c r="M130" t="inlineStr"/>
      <c r="N130" t="inlineStr"/>
      <c r="O130" t="inlineStr"/>
      <c r="P130" t="n">
        <v>-0.1761739505572124</v>
      </c>
      <c r="Q130" t="inlineStr"/>
      <c r="R130" t="n">
        <v>1.866</v>
      </c>
      <c r="S130" t="n">
        <v>2.206</v>
      </c>
      <c r="T130" t="n">
        <v>-0.3399999999999999</v>
      </c>
      <c r="U130" t="n">
        <v>3772836000000</v>
      </c>
    </row>
    <row r="131">
      <c r="A131" t="inlineStr">
        <is>
          <t>France</t>
        </is>
      </c>
      <c r="B131" t="inlineStr">
        <is>
          <t>FRA</t>
        </is>
      </c>
      <c r="C131" t="inlineStr">
        <is>
          <t>ISFR.L</t>
        </is>
      </c>
      <c r="D131" t="n">
        <v>2029</v>
      </c>
      <c r="E131" t="inlineStr"/>
      <c r="F131" t="n">
        <v>1.243</v>
      </c>
      <c r="G131" t="n">
        <v>3.208525</v>
      </c>
      <c r="H131" t="n">
        <v>3.105489</v>
      </c>
      <c r="I131" t="inlineStr"/>
      <c r="J131" t="inlineStr">
        <is>
          <t>France|ISFR.L|2029</t>
        </is>
      </c>
      <c r="K131" t="inlineStr">
        <is>
          <t>France|2029</t>
        </is>
      </c>
      <c r="L131" t="inlineStr">
        <is>
          <t>GBp</t>
        </is>
      </c>
      <c r="M131" t="inlineStr"/>
      <c r="N131" t="inlineStr"/>
      <c r="O131" t="inlineStr"/>
      <c r="P131" t="n">
        <v>-0.09983255850308792</v>
      </c>
      <c r="Q131" t="inlineStr"/>
      <c r="R131" t="n">
        <v>1.927</v>
      </c>
      <c r="S131" t="n">
        <v>2.203</v>
      </c>
      <c r="T131" t="n">
        <v>-0.2759999999999998</v>
      </c>
      <c r="U131" t="n">
        <v>3890001000000</v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EXS1.DE</t>
        </is>
      </c>
      <c r="D132" t="n">
        <v>2004</v>
      </c>
      <c r="E132" t="inlineStr"/>
      <c r="F132" t="n">
        <v>1.165</v>
      </c>
      <c r="G132" t="inlineStr"/>
      <c r="H132" t="inlineStr"/>
      <c r="I132" t="inlineStr"/>
      <c r="J132" t="inlineStr">
        <is>
          <t>Germany|EXS1.DE|2004</t>
        </is>
      </c>
      <c r="K132" t="inlineStr">
        <is>
          <t>Germany|2004</t>
        </is>
      </c>
      <c r="L132" t="inlineStr">
        <is>
          <t>EUR</t>
        </is>
      </c>
      <c r="M132" t="inlineStr"/>
      <c r="N132" t="inlineStr"/>
      <c r="O132" t="inlineStr"/>
      <c r="P132" t="inlineStr"/>
      <c r="Q132" t="inlineStr"/>
      <c r="R132" t="n">
        <v>1.78</v>
      </c>
      <c r="S132" t="n">
        <v>2.668</v>
      </c>
      <c r="T132" t="n">
        <v>-0.8880000000000001</v>
      </c>
      <c r="U132" t="n">
        <v>2851023000000</v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EXS1.DE</t>
        </is>
      </c>
      <c r="D133" t="n">
        <v>2005</v>
      </c>
      <c r="E133" t="inlineStr"/>
      <c r="F133" t="n">
        <v>0.889</v>
      </c>
      <c r="G133" t="n">
        <v>1.424746</v>
      </c>
      <c r="H133" t="n">
        <v>1.542218</v>
      </c>
      <c r="I133" t="inlineStr"/>
      <c r="J133" t="inlineStr">
        <is>
          <t>Germany|EXS1.DE|2005</t>
        </is>
      </c>
      <c r="K133" t="inlineStr">
        <is>
          <t>Germany|2005</t>
        </is>
      </c>
      <c r="L133" t="inlineStr">
        <is>
          <t>EUR</t>
        </is>
      </c>
      <c r="M133" t="inlineStr"/>
      <c r="N133" t="inlineStr"/>
      <c r="O133" t="inlineStr"/>
      <c r="P133" t="n">
        <v>0.1158219966559182</v>
      </c>
      <c r="Q133" t="inlineStr"/>
      <c r="R133" t="n">
        <v>1.928</v>
      </c>
      <c r="S133" t="n">
        <v>3.366</v>
      </c>
      <c r="T133" t="n">
        <v>-1.438</v>
      </c>
      <c r="U133" t="n">
        <v>2894992000000</v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EXS1.DE</t>
        </is>
      </c>
      <c r="D134" t="n">
        <v>2006</v>
      </c>
      <c r="E134" t="inlineStr"/>
      <c r="F134" t="n">
        <v>3.857</v>
      </c>
      <c r="G134" t="n">
        <v>4.319971</v>
      </c>
      <c r="H134" t="n">
        <v>5.232415</v>
      </c>
      <c r="I134" t="inlineStr"/>
      <c r="J134" t="inlineStr">
        <is>
          <t>Germany|EXS1.DE|2006</t>
        </is>
      </c>
      <c r="K134" t="inlineStr">
        <is>
          <t>Germany|2006</t>
        </is>
      </c>
      <c r="L134" t="inlineStr">
        <is>
          <t>EUR</t>
        </is>
      </c>
      <c r="M134" t="inlineStr"/>
      <c r="N134" t="inlineStr"/>
      <c r="O134" t="inlineStr"/>
      <c r="P134" t="n">
        <v>0.874659027180047</v>
      </c>
      <c r="Q134" t="inlineStr"/>
      <c r="R134" t="n">
        <v>1.775</v>
      </c>
      <c r="S134" t="n">
        <v>3.222</v>
      </c>
      <c r="T134" t="n">
        <v>-1.447</v>
      </c>
      <c r="U134" t="n">
        <v>3046470000000</v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EXS1.DE</t>
        </is>
      </c>
      <c r="D135" t="n">
        <v>2007</v>
      </c>
      <c r="E135" t="inlineStr"/>
      <c r="F135" t="n">
        <v>2.892</v>
      </c>
      <c r="G135" t="n">
        <v>4.782827</v>
      </c>
      <c r="H135" t="n">
        <v>14.377197</v>
      </c>
      <c r="I135" t="inlineStr"/>
      <c r="J135" t="inlineStr">
        <is>
          <t>Germany|EXS1.DE|2007</t>
        </is>
      </c>
      <c r="K135" t="inlineStr">
        <is>
          <t>Germany|2007</t>
        </is>
      </c>
      <c r="L135" t="inlineStr">
        <is>
          <t>EUR</t>
        </is>
      </c>
      <c r="M135" t="inlineStr"/>
      <c r="N135" t="inlineStr"/>
      <c r="O135" t="inlineStr"/>
      <c r="P135" t="n">
        <v>9.156433487039806</v>
      </c>
      <c r="Q135" t="inlineStr"/>
      <c r="R135" t="n">
        <v>2.271</v>
      </c>
      <c r="S135" t="n">
        <v>2.871</v>
      </c>
      <c r="T135" t="n">
        <v>-0.6000000000000001</v>
      </c>
      <c r="U135" t="n">
        <v>3484467000000</v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EXS1.DE</t>
        </is>
      </c>
      <c r="D136" t="n">
        <v>2008</v>
      </c>
      <c r="E136" t="n">
        <v>-40.00528134627088</v>
      </c>
      <c r="F136" t="n">
        <v>0.888</v>
      </c>
      <c r="G136" t="n">
        <v>1.851138</v>
      </c>
      <c r="H136" t="n">
        <v>9.278722</v>
      </c>
      <c r="I136" t="n">
        <v>51.91088122381364</v>
      </c>
      <c r="J136" t="inlineStr">
        <is>
          <t>Germany|EXS1.DE|2008</t>
        </is>
      </c>
      <c r="K136" t="inlineStr">
        <is>
          <t>Germany|2008</t>
        </is>
      </c>
      <c r="L136" t="inlineStr">
        <is>
          <t>EUR</t>
        </is>
      </c>
      <c r="M136" t="n">
        <v>-40.00528134627088</v>
      </c>
      <c r="N136" t="n">
        <v>-4.378515203486955</v>
      </c>
      <c r="O136" t="n">
        <v>-42.63215922381364</v>
      </c>
      <c r="P136" t="n">
        <v>7.292587976941745</v>
      </c>
      <c r="Q136" t="n">
        <v>-46.53140365249156</v>
      </c>
      <c r="R136" t="n">
        <v>2.754</v>
      </c>
      <c r="S136" t="n">
        <v>3.815</v>
      </c>
      <c r="T136" t="n">
        <v>-1.061</v>
      </c>
      <c r="U136" t="n">
        <v>3807781000000</v>
      </c>
    </row>
    <row r="137">
      <c r="A137" t="inlineStr">
        <is>
          <t>Germany</t>
        </is>
      </c>
      <c r="B137" t="inlineStr">
        <is>
          <t>DEU</t>
        </is>
      </c>
      <c r="C137" t="inlineStr">
        <is>
          <t>EXS1.DE</t>
        </is>
      </c>
      <c r="D137" t="n">
        <v>2009</v>
      </c>
      <c r="E137" t="n">
        <v>18.77394589349621</v>
      </c>
      <c r="F137" t="n">
        <v>-5.55</v>
      </c>
      <c r="G137" t="n">
        <v>-3.680946</v>
      </c>
      <c r="H137" t="n">
        <v>-8.745592</v>
      </c>
      <c r="I137" t="n">
        <v>-30.30349149858995</v>
      </c>
      <c r="J137" t="inlineStr">
        <is>
          <t>Germany|EXS1.DE|2009</t>
        </is>
      </c>
      <c r="K137" t="inlineStr">
        <is>
          <t>Germany|2009</t>
        </is>
      </c>
      <c r="L137" t="inlineStr">
        <is>
          <t>EUR</t>
        </is>
      </c>
      <c r="M137" t="n">
        <v>18.77394589349621</v>
      </c>
      <c r="N137" t="n">
        <v>2.34390933478803</v>
      </c>
      <c r="O137" t="n">
        <v>21.55789949858995</v>
      </c>
      <c r="P137" t="n">
        <v>-5.258197612175719</v>
      </c>
      <c r="Q137" t="n">
        <v>28.30439830666758</v>
      </c>
      <c r="R137" t="n">
        <v>0.246</v>
      </c>
      <c r="S137" t="n">
        <v>-0.32</v>
      </c>
      <c r="T137" t="n">
        <v>0.5660000000000001</v>
      </c>
      <c r="U137" t="n">
        <v>3474768000000</v>
      </c>
    </row>
    <row r="138">
      <c r="A138" t="inlineStr">
        <is>
          <t>Germany</t>
        </is>
      </c>
      <c r="B138" t="inlineStr">
        <is>
          <t>DEU</t>
        </is>
      </c>
      <c r="C138" t="inlineStr">
        <is>
          <t>EXS1.DE</t>
        </is>
      </c>
      <c r="D138" t="n">
        <v>2010</v>
      </c>
      <c r="E138" t="n">
        <v>13.54609784211238</v>
      </c>
      <c r="F138" t="n">
        <v>4.144</v>
      </c>
      <c r="G138" t="n">
        <v>4.86333</v>
      </c>
      <c r="H138" t="n">
        <v>-0.139376</v>
      </c>
      <c r="I138" t="n">
        <v>-5.094873202118809</v>
      </c>
      <c r="J138" t="inlineStr">
        <is>
          <t>Germany|EXS1.DE|2010</t>
        </is>
      </c>
      <c r="K138" t="inlineStr">
        <is>
          <t>Germany|2010</t>
        </is>
      </c>
      <c r="L138" t="inlineStr">
        <is>
          <t>EUR</t>
        </is>
      </c>
      <c r="M138" t="n">
        <v>13.54609784211238</v>
      </c>
      <c r="N138" t="n">
        <v>-7.565738324128879</v>
      </c>
      <c r="O138" t="n">
        <v>4.955497202118808</v>
      </c>
      <c r="P138" t="n">
        <v>-4.770692049900704</v>
      </c>
      <c r="Q138" t="n">
        <v>10.21344107332596</v>
      </c>
      <c r="R138" t="n">
        <v>1.119</v>
      </c>
      <c r="S138" t="n">
        <v>1.637</v>
      </c>
      <c r="T138" t="n">
        <v>-0.518</v>
      </c>
      <c r="U138" t="n">
        <v>3469925000000</v>
      </c>
    </row>
    <row r="139">
      <c r="A139" t="inlineStr">
        <is>
          <t>Germany</t>
        </is>
      </c>
      <c r="B139" t="inlineStr">
        <is>
          <t>DEU</t>
        </is>
      </c>
      <c r="C139" t="inlineStr">
        <is>
          <t>EXS1.DE</t>
        </is>
      </c>
      <c r="D139" t="n">
        <v>2011</v>
      </c>
      <c r="E139" t="n">
        <v>-16.51460768960881</v>
      </c>
      <c r="F139" t="n">
        <v>3.758</v>
      </c>
      <c r="G139" t="n">
        <v>5.033916</v>
      </c>
      <c r="H139" t="n">
        <v>10.172497</v>
      </c>
      <c r="I139" t="n">
        <v>29.19867829285078</v>
      </c>
      <c r="J139" t="inlineStr">
        <is>
          <t>Germany|EXS1.DE|2011</t>
        </is>
      </c>
      <c r="K139" t="inlineStr">
        <is>
          <t>Germany|2011</t>
        </is>
      </c>
      <c r="L139" t="inlineStr">
        <is>
          <t>EUR</t>
        </is>
      </c>
      <c r="M139" t="n">
        <v>-16.51460768960881</v>
      </c>
      <c r="N139" t="n">
        <v>-3.008398875223783</v>
      </c>
      <c r="O139" t="n">
        <v>-19.02618129285078</v>
      </c>
      <c r="P139" t="n">
        <v>4.892305630170601</v>
      </c>
      <c r="Q139" t="n">
        <v>-22.80289939221396</v>
      </c>
      <c r="R139" t="n">
        <v>2.482</v>
      </c>
      <c r="S139" t="n">
        <v>3.14</v>
      </c>
      <c r="T139" t="n">
        <v>-0.6579999999999999</v>
      </c>
      <c r="U139" t="n">
        <v>3822903000000</v>
      </c>
    </row>
    <row r="140">
      <c r="A140" t="inlineStr">
        <is>
          <t>Germany</t>
        </is>
      </c>
      <c r="B140" t="inlineStr">
        <is>
          <t>DEU</t>
        </is>
      </c>
      <c r="C140" t="inlineStr">
        <is>
          <t>EXS1.DE</t>
        </is>
      </c>
      <c r="D140" t="n">
        <v>2012</v>
      </c>
      <c r="E140" t="n">
        <v>23.85403595717253</v>
      </c>
      <c r="F140" t="n">
        <v>0.466</v>
      </c>
      <c r="G140" t="n">
        <v>1.906506</v>
      </c>
      <c r="H140" t="n">
        <v>-5.863136</v>
      </c>
      <c r="I140" t="n">
        <v>-32.27456745381357</v>
      </c>
      <c r="J140" t="inlineStr">
        <is>
          <t>Germany|EXS1.DE|2012</t>
        </is>
      </c>
      <c r="K140" t="inlineStr">
        <is>
          <t>Germany|2012</t>
        </is>
      </c>
      <c r="L140" t="inlineStr">
        <is>
          <t>EUR</t>
        </is>
      </c>
      <c r="M140" t="n">
        <v>23.85403595717253</v>
      </c>
      <c r="N140" t="n">
        <v>2.064846314354551</v>
      </c>
      <c r="O140" t="n">
        <v>26.41143145381357</v>
      </c>
      <c r="P140" t="n">
        <v>-7.62428437430901</v>
      </c>
      <c r="Q140" t="n">
        <v>36.84487378266845</v>
      </c>
      <c r="R140" t="n">
        <v>2.159</v>
      </c>
      <c r="S140" t="n">
        <v>2.073</v>
      </c>
      <c r="T140" t="n">
        <v>0.08599999999999985</v>
      </c>
      <c r="U140" t="n">
        <v>3598761000000</v>
      </c>
    </row>
    <row r="141">
      <c r="A141" t="inlineStr">
        <is>
          <t>Germany</t>
        </is>
      </c>
      <c r="B141" t="inlineStr">
        <is>
          <t>DEU</t>
        </is>
      </c>
      <c r="C141" t="inlineStr">
        <is>
          <t>EXS1.DE</t>
        </is>
      </c>
      <c r="D141" t="n">
        <v>2013</v>
      </c>
      <c r="E141" t="n">
        <v>21.80397463269723</v>
      </c>
      <c r="F141" t="n">
        <v>0.395</v>
      </c>
      <c r="G141" t="n">
        <v>2.400617</v>
      </c>
      <c r="H141" t="n">
        <v>5.788603</v>
      </c>
      <c r="I141" t="n">
        <v>-21.63196883917268</v>
      </c>
      <c r="J141" t="inlineStr">
        <is>
          <t>Germany|EXS1.DE|2013</t>
        </is>
      </c>
      <c r="K141" t="inlineStr">
        <is>
          <t>Germany|2013</t>
        </is>
      </c>
      <c r="L141" t="inlineStr">
        <is>
          <t>EUR</t>
        </is>
      </c>
      <c r="M141" t="n">
        <v>21.80397463269723</v>
      </c>
      <c r="N141" t="n">
        <v>4.611177281704015</v>
      </c>
      <c r="O141" t="n">
        <v>27.42057183917268</v>
      </c>
      <c r="P141" t="n">
        <v>3.308560185591869</v>
      </c>
      <c r="Q141" t="n">
        <v>23.33980031302734</v>
      </c>
      <c r="R141" t="n">
        <v>1.607</v>
      </c>
      <c r="S141" t="n">
        <v>1.466</v>
      </c>
      <c r="T141" t="n">
        <v>0.141</v>
      </c>
      <c r="U141" t="n">
        <v>3807079000000</v>
      </c>
    </row>
    <row r="142">
      <c r="A142" t="inlineStr">
        <is>
          <t>Germany</t>
        </is>
      </c>
      <c r="B142" t="inlineStr">
        <is>
          <t>DEU</t>
        </is>
      </c>
      <c r="C142" t="inlineStr">
        <is>
          <t>EXS1.DE</t>
        </is>
      </c>
      <c r="D142" t="n">
        <v>2014</v>
      </c>
      <c r="E142" t="n">
        <v>3.63032094596889</v>
      </c>
      <c r="F142" t="n">
        <v>2.177</v>
      </c>
      <c r="G142" t="n">
        <v>4.116198</v>
      </c>
      <c r="H142" t="n">
        <v>4.171545</v>
      </c>
      <c r="I142" t="n">
        <v>12.47553371494195</v>
      </c>
      <c r="J142" t="inlineStr">
        <is>
          <t>Germany|EXS1.DE|2014</t>
        </is>
      </c>
      <c r="K142" t="inlineStr">
        <is>
          <t>Germany|2014</t>
        </is>
      </c>
      <c r="L142" t="inlineStr">
        <is>
          <t>EUR</t>
        </is>
      </c>
      <c r="M142" t="n">
        <v>3.63032094596889</v>
      </c>
      <c r="N142" t="n">
        <v>-11.51623342663697</v>
      </c>
      <c r="O142" t="n">
        <v>-8.303988714941946</v>
      </c>
      <c r="P142" t="n">
        <v>0.05315827677865315</v>
      </c>
      <c r="Q142" t="n">
        <v>-8.35270683670184</v>
      </c>
      <c r="R142" t="n">
        <v>0.769</v>
      </c>
      <c r="S142" t="n">
        <v>1.615</v>
      </c>
      <c r="T142" t="n">
        <v>-0.846</v>
      </c>
      <c r="U142" t="n">
        <v>3965893000000</v>
      </c>
    </row>
    <row r="143">
      <c r="A143" t="inlineStr">
        <is>
          <t>Germany</t>
        </is>
      </c>
      <c r="B143" t="inlineStr">
        <is>
          <t>DEU</t>
        </is>
      </c>
      <c r="C143" t="inlineStr">
        <is>
          <t>EXS1.DE</t>
        </is>
      </c>
      <c r="D143" t="n">
        <v>2015</v>
      </c>
      <c r="E143" t="n">
        <v>9.362051158062012</v>
      </c>
      <c r="F143" t="n">
        <v>1.663</v>
      </c>
      <c r="G143" t="n">
        <v>3.436456</v>
      </c>
      <c r="H143" t="n">
        <v>-13.627372</v>
      </c>
      <c r="I143" t="n">
        <v>-12.46193036397212</v>
      </c>
      <c r="J143" t="inlineStr">
        <is>
          <t>Germany|EXS1.DE|2015</t>
        </is>
      </c>
      <c r="K143" t="inlineStr">
        <is>
          <t>Germany|2015</t>
        </is>
      </c>
      <c r="L143" t="inlineStr">
        <is>
          <t>EUR</t>
        </is>
      </c>
      <c r="M143" t="n">
        <v>9.362051158062012</v>
      </c>
      <c r="N143" t="n">
        <v>-9.626275918027915</v>
      </c>
      <c r="O143" t="n">
        <v>-1.165441636027875</v>
      </c>
      <c r="P143" t="n">
        <v>-16.49691888235992</v>
      </c>
      <c r="Q143" t="n">
        <v>18.36037310375755</v>
      </c>
      <c r="R143" t="n">
        <v>0.68</v>
      </c>
      <c r="S143" t="n">
        <v>0.121</v>
      </c>
      <c r="T143" t="n">
        <v>0.5590000000000001</v>
      </c>
      <c r="U143" t="n">
        <v>3425446000000</v>
      </c>
    </row>
    <row r="144">
      <c r="A144" t="inlineStr">
        <is>
          <t>Germany</t>
        </is>
      </c>
      <c r="B144" t="inlineStr">
        <is>
          <t>DEU</t>
        </is>
      </c>
      <c r="C144" t="inlineStr">
        <is>
          <t>EXS1.DE</t>
        </is>
      </c>
      <c r="D144" t="n">
        <v>2016</v>
      </c>
      <c r="E144" t="n">
        <v>10.52631313666317</v>
      </c>
      <c r="F144" t="n">
        <v>2.217</v>
      </c>
      <c r="G144" t="n">
        <v>3.504339</v>
      </c>
      <c r="H144" t="n">
        <v>3.221945</v>
      </c>
      <c r="I144" t="n">
        <v>-4.416151059670474</v>
      </c>
      <c r="J144" t="inlineStr">
        <is>
          <t>Germany|EXS1.DE|2016</t>
        </is>
      </c>
      <c r="K144" t="inlineStr">
        <is>
          <t>Germany|2016</t>
        </is>
      </c>
      <c r="L144" t="inlineStr">
        <is>
          <t>EUR</t>
        </is>
      </c>
      <c r="M144" t="n">
        <v>10.52631313666317</v>
      </c>
      <c r="N144" t="n">
        <v>-2.613148846665581</v>
      </c>
      <c r="O144" t="n">
        <v>7.638096059670474</v>
      </c>
      <c r="P144" t="n">
        <v>-0.2728327328096358</v>
      </c>
      <c r="Q144" t="n">
        <v>7.932571443932668</v>
      </c>
      <c r="R144" t="n">
        <v>0.367</v>
      </c>
      <c r="S144" t="n">
        <v>1.267</v>
      </c>
      <c r="T144" t="n">
        <v>-0.8999999999999999</v>
      </c>
      <c r="U144" t="n">
        <v>3535812000000</v>
      </c>
    </row>
    <row r="145">
      <c r="A145" t="inlineStr">
        <is>
          <t>Germany</t>
        </is>
      </c>
      <c r="B145" t="inlineStr">
        <is>
          <t>DEU</t>
        </is>
      </c>
      <c r="C145" t="inlineStr">
        <is>
          <t>EXS1.DE</t>
        </is>
      </c>
      <c r="D145" t="n">
        <v>2017</v>
      </c>
      <c r="E145" t="n">
        <v>10.50142430142864</v>
      </c>
      <c r="F145" t="n">
        <v>2.806</v>
      </c>
      <c r="G145" t="n">
        <v>4.315835</v>
      </c>
      <c r="H145" t="n">
        <v>6.454274</v>
      </c>
      <c r="I145" t="n">
        <v>-18.89767602280126</v>
      </c>
      <c r="J145" t="inlineStr">
        <is>
          <t>Germany|EXS1.DE|2017</t>
        </is>
      </c>
      <c r="K145" t="inlineStr">
        <is>
          <t>Germany|2017</t>
        </is>
      </c>
      <c r="L145" t="inlineStr">
        <is>
          <t>EUR</t>
        </is>
      </c>
      <c r="M145" t="n">
        <v>10.50142430142864</v>
      </c>
      <c r="N145" t="n">
        <v>13.43921656689508</v>
      </c>
      <c r="O145" t="n">
        <v>25.35195002280126</v>
      </c>
      <c r="P145" t="n">
        <v>2.04996574222911</v>
      </c>
      <c r="Q145" t="n">
        <v>22.8338972101483</v>
      </c>
      <c r="R145" t="n">
        <v>1.702</v>
      </c>
      <c r="S145" t="n">
        <v>2.131</v>
      </c>
      <c r="T145" t="n">
        <v>-0.4289999999999998</v>
      </c>
      <c r="U145" t="n">
        <v>3764023000000</v>
      </c>
    </row>
    <row r="146">
      <c r="A146" t="inlineStr">
        <is>
          <t>Germany</t>
        </is>
      </c>
      <c r="B146" t="inlineStr">
        <is>
          <t>DEU</t>
        </is>
      </c>
      <c r="C146" t="inlineStr">
        <is>
          <t>EXS1.DE</t>
        </is>
      </c>
      <c r="D146" t="n">
        <v>2018</v>
      </c>
      <c r="E146" t="n">
        <v>-18.30253157495386</v>
      </c>
      <c r="F146" t="n">
        <v>1.133</v>
      </c>
      <c r="G146" t="n">
        <v>3.027803</v>
      </c>
      <c r="H146" t="n">
        <v>7.79084</v>
      </c>
      <c r="I146" t="n">
        <v>29.93838103699927</v>
      </c>
      <c r="J146" t="inlineStr">
        <is>
          <t>Germany|EXS1.DE|2018</t>
        </is>
      </c>
      <c r="K146" t="inlineStr">
        <is>
          <t>Germany|2018</t>
        </is>
      </c>
      <c r="L146" t="inlineStr">
        <is>
          <t>EUR</t>
        </is>
      </c>
      <c r="M146" t="n">
        <v>-18.30253157495386</v>
      </c>
      <c r="N146" t="n">
        <v>-4.706399765095581</v>
      </c>
      <c r="O146" t="n">
        <v>-22.14754103699928</v>
      </c>
      <c r="P146" t="n">
        <v>4.623059749553748</v>
      </c>
      <c r="Q146" t="n">
        <v>-25.58766762378808</v>
      </c>
      <c r="R146" t="n">
        <v>1.935</v>
      </c>
      <c r="S146" t="n">
        <v>2.439</v>
      </c>
      <c r="T146" t="n">
        <v>-0.504</v>
      </c>
      <c r="U146" t="n">
        <v>4057272000000</v>
      </c>
    </row>
    <row r="147">
      <c r="A147" t="inlineStr">
        <is>
          <t>Germany</t>
        </is>
      </c>
      <c r="B147" t="inlineStr">
        <is>
          <t>DEU</t>
        </is>
      </c>
      <c r="C147" t="inlineStr">
        <is>
          <t>EXS1.DE</t>
        </is>
      </c>
      <c r="D147" t="n">
        <v>2019</v>
      </c>
      <c r="E147" t="n">
        <v>24.44638798941621</v>
      </c>
      <c r="F147" t="n">
        <v>0.973</v>
      </c>
      <c r="G147" t="n">
        <v>3.006671</v>
      </c>
      <c r="H147" t="n">
        <v>-2.38929</v>
      </c>
      <c r="I147" t="n">
        <v>-23.68726632959689</v>
      </c>
      <c r="J147" t="inlineStr">
        <is>
          <t>Germany|EXS1.DE|2019</t>
        </is>
      </c>
      <c r="K147" t="inlineStr">
        <is>
          <t>Germany|2019</t>
        </is>
      </c>
      <c r="L147" t="inlineStr">
        <is>
          <t>EUR</t>
        </is>
      </c>
      <c r="M147" t="n">
        <v>24.44638798941621</v>
      </c>
      <c r="N147" t="n">
        <v>-2.529934143277091</v>
      </c>
      <c r="O147" t="n">
        <v>21.29797632959689</v>
      </c>
      <c r="P147" t="n">
        <v>-5.238458372604448</v>
      </c>
      <c r="Q147" t="n">
        <v>28.00338011230672</v>
      </c>
      <c r="R147" t="n">
        <v>1.354</v>
      </c>
      <c r="S147" t="n">
        <v>1.813</v>
      </c>
      <c r="T147" t="n">
        <v>-0.4589999999999999</v>
      </c>
      <c r="U147" t="n">
        <v>3960332000000</v>
      </c>
    </row>
    <row r="148">
      <c r="A148" t="inlineStr">
        <is>
          <t>Germany</t>
        </is>
      </c>
      <c r="B148" t="inlineStr">
        <is>
          <t>DEU</t>
        </is>
      </c>
      <c r="C148" t="inlineStr">
        <is>
          <t>EXS1.DE</t>
        </is>
      </c>
      <c r="D148" t="n">
        <v>2020</v>
      </c>
      <c r="E148" t="n">
        <v>1.971390568966225</v>
      </c>
      <c r="F148" t="n">
        <v>-4.127</v>
      </c>
      <c r="G148" t="n">
        <v>-2.447078</v>
      </c>
      <c r="H148" t="n">
        <v>-0.557731</v>
      </c>
      <c r="I148" t="n">
        <v>-12.33538068274573</v>
      </c>
      <c r="J148" t="inlineStr">
        <is>
          <t>Germany|EXS1.DE|2020</t>
        </is>
      </c>
      <c r="K148" t="inlineStr">
        <is>
          <t>Germany|2020</t>
        </is>
      </c>
      <c r="L148" t="inlineStr">
        <is>
          <t>EUR</t>
        </is>
      </c>
      <c r="M148" t="n">
        <v>1.971390568966225</v>
      </c>
      <c r="N148" t="n">
        <v>9.616676853246631</v>
      </c>
      <c r="O148" t="n">
        <v>11.77764968274573</v>
      </c>
      <c r="P148" t="n">
        <v>1.936740512948876</v>
      </c>
      <c r="Q148" t="n">
        <v>9.653937452067908</v>
      </c>
      <c r="R148" t="n">
        <v>0.371</v>
      </c>
      <c r="S148" t="n">
        <v>1.253</v>
      </c>
      <c r="T148" t="n">
        <v>-0.8819999999999999</v>
      </c>
      <c r="U148" t="n">
        <v>3938244000000</v>
      </c>
    </row>
    <row r="149">
      <c r="A149" t="inlineStr">
        <is>
          <t>Germany</t>
        </is>
      </c>
      <c r="B149" t="inlineStr">
        <is>
          <t>DEU</t>
        </is>
      </c>
      <c r="C149" t="inlineStr">
        <is>
          <t>EXS1.DE</t>
        </is>
      </c>
      <c r="D149" t="n">
        <v>2021</v>
      </c>
      <c r="E149" t="n">
        <v>15.33584108060253</v>
      </c>
      <c r="F149" t="n">
        <v>3.913</v>
      </c>
      <c r="G149" t="n">
        <v>6.712222</v>
      </c>
      <c r="H149" t="n">
        <v>10.662189</v>
      </c>
      <c r="I149" t="n">
        <v>3.42468478046245</v>
      </c>
      <c r="J149" t="inlineStr">
        <is>
          <t>Germany|EXS1.DE|2021</t>
        </is>
      </c>
      <c r="K149" t="inlineStr">
        <is>
          <t>Germany|2021</t>
        </is>
      </c>
      <c r="L149" t="inlineStr">
        <is>
          <t>EUR</t>
        </is>
      </c>
      <c r="M149" t="n">
        <v>15.33584108060253</v>
      </c>
      <c r="N149" t="n">
        <v>-7.021526686925927</v>
      </c>
      <c r="O149" t="n">
        <v>7.237504219537549</v>
      </c>
      <c r="P149" t="n">
        <v>3.70151240779959</v>
      </c>
      <c r="Q149" t="n">
        <v>3.409778439713484</v>
      </c>
      <c r="R149" t="n">
        <v>3.212</v>
      </c>
      <c r="S149" t="n">
        <v>4.679</v>
      </c>
      <c r="T149" t="n">
        <v>-1.467</v>
      </c>
      <c r="U149" t="n">
        <v>4358147000000</v>
      </c>
    </row>
    <row r="150">
      <c r="A150" t="inlineStr">
        <is>
          <t>Germany</t>
        </is>
      </c>
      <c r="B150" t="inlineStr">
        <is>
          <t>DEU</t>
        </is>
      </c>
      <c r="C150" t="inlineStr">
        <is>
          <t>EXS1.DE</t>
        </is>
      </c>
      <c r="D150" t="n">
        <v>2022</v>
      </c>
      <c r="E150" t="n">
        <v>-13.52386102227822</v>
      </c>
      <c r="F150" t="n">
        <v>1.807</v>
      </c>
      <c r="G150" t="n">
        <v>8.338448</v>
      </c>
      <c r="H150" t="n">
        <v>-3.529482</v>
      </c>
      <c r="I150" t="n">
        <v>15.41331530551549</v>
      </c>
      <c r="J150" t="inlineStr">
        <is>
          <t>Germany|EXS1.DE|2022</t>
        </is>
      </c>
      <c r="K150" t="inlineStr">
        <is>
          <t>Germany|2022</t>
        </is>
      </c>
      <c r="L150" t="inlineStr">
        <is>
          <t>EUR</t>
        </is>
      </c>
      <c r="M150" t="n">
        <v>-13.52386102227822</v>
      </c>
      <c r="N150" t="n">
        <v>-6.266394808206355</v>
      </c>
      <c r="O150" t="n">
        <v>-18.94279730551549</v>
      </c>
      <c r="P150" t="n">
        <v>-10.95449469055349</v>
      </c>
      <c r="Q150" t="n">
        <v>-8.971034065337102</v>
      </c>
      <c r="R150" t="n">
        <v>8.666</v>
      </c>
      <c r="S150" t="n">
        <v>7.993</v>
      </c>
      <c r="T150" t="n">
        <v>0.673</v>
      </c>
      <c r="U150" t="n">
        <v>4204327000000</v>
      </c>
    </row>
    <row r="151">
      <c r="A151" t="inlineStr">
        <is>
          <t>Germany</t>
        </is>
      </c>
      <c r="B151" t="inlineStr">
        <is>
          <t>DEU</t>
        </is>
      </c>
      <c r="C151" t="inlineStr">
        <is>
          <t>EXS1.DE</t>
        </is>
      </c>
      <c r="D151" t="n">
        <v>2023</v>
      </c>
      <c r="E151" t="n">
        <v>18.30606074746055</v>
      </c>
      <c r="F151" t="n">
        <v>-0.872</v>
      </c>
      <c r="G151" t="n">
        <v>5.763287</v>
      </c>
      <c r="H151" t="n">
        <v>8.543483999999999</v>
      </c>
      <c r="I151" t="n">
        <v>-13.72231119493885</v>
      </c>
      <c r="J151" t="inlineStr">
        <is>
          <t>Germany|EXS1.DE|2023</t>
        </is>
      </c>
      <c r="K151" t="inlineStr">
        <is>
          <t>Germany|2023</t>
        </is>
      </c>
      <c r="L151" t="inlineStr">
        <is>
          <t>EUR</t>
        </is>
      </c>
      <c r="M151" t="n">
        <v>18.30606074746055</v>
      </c>
      <c r="N151" t="n">
        <v>3.347025860264985</v>
      </c>
      <c r="O151" t="n">
        <v>22.26579519493885</v>
      </c>
      <c r="P151" t="n">
        <v>2.628697394305357</v>
      </c>
      <c r="Q151" t="n">
        <v>19.1341196947932</v>
      </c>
      <c r="R151" t="n">
        <v>6.03</v>
      </c>
      <c r="S151" t="n">
        <v>4.128</v>
      </c>
      <c r="T151" t="n">
        <v>1.902</v>
      </c>
      <c r="U151" t="n">
        <v>4563523000000</v>
      </c>
    </row>
    <row r="152">
      <c r="A152" t="inlineStr">
        <is>
          <t>Germany</t>
        </is>
      </c>
      <c r="B152" t="inlineStr">
        <is>
          <t>DEU</t>
        </is>
      </c>
      <c r="C152" t="inlineStr">
        <is>
          <t>EXS1.DE</t>
        </is>
      </c>
      <c r="D152" t="n">
        <v>2024</v>
      </c>
      <c r="E152" t="n">
        <v>17.96808286622589</v>
      </c>
      <c r="F152" t="n">
        <v>-0.496</v>
      </c>
      <c r="G152" t="n">
        <v>2.599003</v>
      </c>
      <c r="H152" t="n">
        <v>2.643988</v>
      </c>
      <c r="I152" t="n">
        <v>-8.391871871449416</v>
      </c>
      <c r="J152" t="inlineStr">
        <is>
          <t>Germany|EXS1.DE|2024</t>
        </is>
      </c>
      <c r="K152" t="inlineStr">
        <is>
          <t>Germany|2024</t>
        </is>
      </c>
      <c r="L152" t="inlineStr">
        <is>
          <t>EUR</t>
        </is>
      </c>
      <c r="M152" t="n">
        <v>17.96808286622589</v>
      </c>
      <c r="N152" t="n">
        <v>-5.876354710822507</v>
      </c>
      <c r="O152" t="n">
        <v>11.03585987144942</v>
      </c>
      <c r="P152" t="n">
        <v>0.04384529398600012</v>
      </c>
      <c r="Q152" t="n">
        <v>10.98719720854651</v>
      </c>
      <c r="R152" t="n">
        <v>2.489</v>
      </c>
      <c r="S152" t="n">
        <v>2.952</v>
      </c>
      <c r="T152" t="n">
        <v>-0.4630000000000001</v>
      </c>
      <c r="U152" t="n">
        <v>4684182000000</v>
      </c>
    </row>
    <row r="153">
      <c r="A153" t="inlineStr">
        <is>
          <t>Germany</t>
        </is>
      </c>
      <c r="B153" t="inlineStr">
        <is>
          <t>DEU</t>
        </is>
      </c>
      <c r="C153" t="inlineStr">
        <is>
          <t>EXS1.DE</t>
        </is>
      </c>
      <c r="D153" t="n">
        <v>2025</v>
      </c>
      <c r="E153" t="n">
        <v>21.8494981969924</v>
      </c>
      <c r="F153" t="n">
        <v>0.191</v>
      </c>
      <c r="G153" t="n">
        <v>2.531734</v>
      </c>
      <c r="H153" t="n">
        <v>7.032007</v>
      </c>
      <c r="I153" t="n">
        <v>-31.24281483556737</v>
      </c>
      <c r="J153" t="inlineStr">
        <is>
          <t>Germany|EXS1.DE|2025</t>
        </is>
      </c>
      <c r="K153" t="inlineStr">
        <is>
          <t>Germany|2025</t>
        </is>
      </c>
      <c r="L153" t="inlineStr">
        <is>
          <t>EUR</t>
        </is>
      </c>
      <c r="M153" t="n">
        <v>21.8494981969924</v>
      </c>
      <c r="N153" t="n">
        <v>13.48000925865149</v>
      </c>
      <c r="O153" t="n">
        <v>38.27482183556737</v>
      </c>
      <c r="P153" t="n">
        <v>4.389151360533838</v>
      </c>
      <c r="Q153" t="n">
        <v>32.46091191794533</v>
      </c>
      <c r="R153" t="n">
        <v>2.114</v>
      </c>
      <c r="S153" t="n">
        <v>2.715</v>
      </c>
      <c r="T153" t="n">
        <v>-0.601</v>
      </c>
      <c r="U153" t="n">
        <v>5013574000000</v>
      </c>
    </row>
    <row r="154">
      <c r="A154" t="inlineStr">
        <is>
          <t>Germany</t>
        </is>
      </c>
      <c r="B154" t="inlineStr">
        <is>
          <t>DEU</t>
        </is>
      </c>
      <c r="C154" t="inlineStr">
        <is>
          <t>EXS1.DE</t>
        </is>
      </c>
      <c r="D154" t="n">
        <v>2026</v>
      </c>
      <c r="E154" t="n">
        <v>-3.710626672919382</v>
      </c>
      <c r="F154" t="n">
        <v>0.944</v>
      </c>
      <c r="G154" t="n">
        <v>2.854457</v>
      </c>
      <c r="H154" t="n">
        <v>6.275164</v>
      </c>
      <c r="I154" t="n">
        <v>12.19347988333211</v>
      </c>
      <c r="J154" t="inlineStr">
        <is>
          <t>Germany|EXS1.DE|2026</t>
        </is>
      </c>
      <c r="K154" t="inlineStr">
        <is>
          <t>Germany|2026</t>
        </is>
      </c>
      <c r="L154" t="inlineStr">
        <is>
          <t>EUR</t>
        </is>
      </c>
      <c r="M154" t="n">
        <v>-3.710626672919382</v>
      </c>
      <c r="N154" t="n">
        <v>-2.292765166217814</v>
      </c>
      <c r="O154" t="n">
        <v>-5.918315883332115</v>
      </c>
      <c r="P154" t="n">
        <v>3.3257747234954</v>
      </c>
      <c r="Q154" t="n">
        <v>-8.946548556316303</v>
      </c>
      <c r="R154" t="n">
        <v>1.756</v>
      </c>
      <c r="S154" t="n">
        <v>2.435</v>
      </c>
      <c r="T154" t="n">
        <v>-0.679</v>
      </c>
      <c r="U154" t="n">
        <v>5328184000000</v>
      </c>
    </row>
    <row r="155">
      <c r="A155" t="inlineStr">
        <is>
          <t>Germany</t>
        </is>
      </c>
      <c r="B155" t="inlineStr">
        <is>
          <t>DEU</t>
        </is>
      </c>
      <c r="C155" t="inlineStr">
        <is>
          <t>EXS1.DE</t>
        </is>
      </c>
      <c r="D155" t="n">
        <v>2027</v>
      </c>
      <c r="E155" t="inlineStr"/>
      <c r="F155" t="n">
        <v>1.473</v>
      </c>
      <c r="G155" t="n">
        <v>3.466436</v>
      </c>
      <c r="H155" t="n">
        <v>3.198726</v>
      </c>
      <c r="I155" t="inlineStr"/>
      <c r="J155" t="inlineStr">
        <is>
          <t>Germany|EXS1.DE|2027</t>
        </is>
      </c>
      <c r="K155" t="inlineStr">
        <is>
          <t>Germany|2027</t>
        </is>
      </c>
      <c r="L155" t="inlineStr">
        <is>
          <t>EUR</t>
        </is>
      </c>
      <c r="M155" t="inlineStr"/>
      <c r="N155" t="inlineStr"/>
      <c r="O155" t="inlineStr"/>
      <c r="P155" t="n">
        <v>-0.2587412603538342</v>
      </c>
      <c r="Q155" t="inlineStr"/>
      <c r="R155" t="n">
        <v>2.011</v>
      </c>
      <c r="S155" t="n">
        <v>2.185</v>
      </c>
      <c r="T155" t="n">
        <v>-0.1739999999999999</v>
      </c>
      <c r="U155" t="n">
        <v>5498618000000</v>
      </c>
    </row>
    <row r="156">
      <c r="A156" t="inlineStr">
        <is>
          <t>Germany</t>
        </is>
      </c>
      <c r="B156" t="inlineStr">
        <is>
          <t>DEU</t>
        </is>
      </c>
      <c r="C156" t="inlineStr">
        <is>
          <t>EXS1.DE</t>
        </is>
      </c>
      <c r="D156" t="n">
        <v>2028</v>
      </c>
      <c r="E156" t="inlineStr"/>
      <c r="F156" t="n">
        <v>1.203</v>
      </c>
      <c r="G156" t="n">
        <v>3.37814</v>
      </c>
      <c r="H156" t="n">
        <v>3.196003</v>
      </c>
      <c r="I156" t="inlineStr"/>
      <c r="J156" t="inlineStr">
        <is>
          <t>Germany|EXS1.DE|2028</t>
        </is>
      </c>
      <c r="K156" t="inlineStr">
        <is>
          <t>Germany|2028</t>
        </is>
      </c>
      <c r="L156" t="inlineStr">
        <is>
          <t>EUR</t>
        </is>
      </c>
      <c r="M156" t="inlineStr"/>
      <c r="N156" t="inlineStr"/>
      <c r="O156" t="inlineStr"/>
      <c r="P156" t="n">
        <v>-0.176184799263257</v>
      </c>
      <c r="Q156" t="inlineStr"/>
      <c r="R156" t="n">
        <v>2.094</v>
      </c>
      <c r="S156" t="n">
        <v>2.206</v>
      </c>
      <c r="T156" t="n">
        <v>-0.1120000000000001</v>
      </c>
      <c r="U156" t="n">
        <v>5674354000000</v>
      </c>
    </row>
    <row r="157">
      <c r="A157" t="inlineStr">
        <is>
          <t>Germany</t>
        </is>
      </c>
      <c r="B157" t="inlineStr">
        <is>
          <t>DEU</t>
        </is>
      </c>
      <c r="C157" t="inlineStr">
        <is>
          <t>EXS1.DE</t>
        </is>
      </c>
      <c r="D157" t="n">
        <v>2029</v>
      </c>
      <c r="E157" t="inlineStr"/>
      <c r="F157" t="n">
        <v>0.98</v>
      </c>
      <c r="G157" t="n">
        <v>3.168367</v>
      </c>
      <c r="H157" t="n">
        <v>3.065389</v>
      </c>
      <c r="I157" t="inlineStr"/>
      <c r="J157" t="inlineStr">
        <is>
          <t>Germany|EXS1.DE|2029</t>
        </is>
      </c>
      <c r="K157" t="inlineStr">
        <is>
          <t>Germany|2029</t>
        </is>
      </c>
      <c r="L157" t="inlineStr">
        <is>
          <t>EUR</t>
        </is>
      </c>
      <c r="M157" t="inlineStr"/>
      <c r="N157" t="inlineStr"/>
      <c r="O157" t="inlineStr"/>
      <c r="P157" t="n">
        <v>-0.09981544091334227</v>
      </c>
      <c r="Q157" t="inlineStr"/>
      <c r="R157" t="n">
        <v>2.17</v>
      </c>
      <c r="S157" t="n">
        <v>2.203</v>
      </c>
      <c r="T157" t="n">
        <v>-0.03299999999999992</v>
      </c>
      <c r="U157" t="n">
        <v>5848295000000</v>
      </c>
    </row>
    <row r="158">
      <c r="A158" t="inlineStr">
        <is>
          <t>Germany</t>
        </is>
      </c>
      <c r="B158" t="inlineStr">
        <is>
          <t>DEU</t>
        </is>
      </c>
      <c r="C158" t="inlineStr">
        <is>
          <t>XDAX.L</t>
        </is>
      </c>
      <c r="D158" t="n">
        <v>2004</v>
      </c>
      <c r="E158" t="inlineStr"/>
      <c r="F158" t="n">
        <v>1.165</v>
      </c>
      <c r="G158" t="inlineStr"/>
      <c r="H158" t="inlineStr"/>
      <c r="I158" t="inlineStr"/>
      <c r="J158" t="inlineStr">
        <is>
          <t>Germany|XDAX.L|2004</t>
        </is>
      </c>
      <c r="K158" t="inlineStr">
        <is>
          <t>Germany|2004</t>
        </is>
      </c>
      <c r="L158" t="inlineStr">
        <is>
          <t>GBp</t>
        </is>
      </c>
      <c r="M158" t="inlineStr"/>
      <c r="N158" t="inlineStr"/>
      <c r="O158" t="inlineStr"/>
      <c r="P158" t="inlineStr"/>
      <c r="Q158" t="inlineStr"/>
      <c r="R158" t="n">
        <v>1.78</v>
      </c>
      <c r="S158" t="n">
        <v>2.668</v>
      </c>
      <c r="T158" t="n">
        <v>-0.8880000000000001</v>
      </c>
      <c r="U158" t="n">
        <v>2851023000000</v>
      </c>
    </row>
    <row r="159">
      <c r="A159" t="inlineStr">
        <is>
          <t>Germany</t>
        </is>
      </c>
      <c r="B159" t="inlineStr">
        <is>
          <t>DEU</t>
        </is>
      </c>
      <c r="C159" t="inlineStr">
        <is>
          <t>XDAX.L</t>
        </is>
      </c>
      <c r="D159" t="n">
        <v>2005</v>
      </c>
      <c r="E159" t="inlineStr"/>
      <c r="F159" t="n">
        <v>0.889</v>
      </c>
      <c r="G159" t="n">
        <v>1.424746</v>
      </c>
      <c r="H159" t="n">
        <v>1.542218</v>
      </c>
      <c r="I159" t="inlineStr"/>
      <c r="J159" t="inlineStr">
        <is>
          <t>Germany|XDAX.L|2005</t>
        </is>
      </c>
      <c r="K159" t="inlineStr">
        <is>
          <t>Germany|2005</t>
        </is>
      </c>
      <c r="L159" t="inlineStr">
        <is>
          <t>GBp</t>
        </is>
      </c>
      <c r="M159" t="inlineStr"/>
      <c r="N159" t="inlineStr"/>
      <c r="O159" t="inlineStr"/>
      <c r="P159" t="n">
        <v>0.1158219966559182</v>
      </c>
      <c r="Q159" t="inlineStr"/>
      <c r="R159" t="n">
        <v>1.928</v>
      </c>
      <c r="S159" t="n">
        <v>3.366</v>
      </c>
      <c r="T159" t="n">
        <v>-1.438</v>
      </c>
      <c r="U159" t="n">
        <v>2894992000000</v>
      </c>
    </row>
    <row r="160">
      <c r="A160" t="inlineStr">
        <is>
          <t>Germany</t>
        </is>
      </c>
      <c r="B160" t="inlineStr">
        <is>
          <t>DEU</t>
        </is>
      </c>
      <c r="C160" t="inlineStr">
        <is>
          <t>XDAX.L</t>
        </is>
      </c>
      <c r="D160" t="n">
        <v>2006</v>
      </c>
      <c r="E160" t="inlineStr"/>
      <c r="F160" t="n">
        <v>3.857</v>
      </c>
      <c r="G160" t="n">
        <v>4.319971</v>
      </c>
      <c r="H160" t="n">
        <v>5.232415</v>
      </c>
      <c r="I160" t="inlineStr"/>
      <c r="J160" t="inlineStr">
        <is>
          <t>Germany|XDAX.L|2006</t>
        </is>
      </c>
      <c r="K160" t="inlineStr">
        <is>
          <t>Germany|2006</t>
        </is>
      </c>
      <c r="L160" t="inlineStr">
        <is>
          <t>GBp</t>
        </is>
      </c>
      <c r="M160" t="inlineStr"/>
      <c r="N160" t="inlineStr"/>
      <c r="O160" t="inlineStr"/>
      <c r="P160" t="n">
        <v>0.874659027180047</v>
      </c>
      <c r="Q160" t="inlineStr"/>
      <c r="R160" t="n">
        <v>1.775</v>
      </c>
      <c r="S160" t="n">
        <v>3.222</v>
      </c>
      <c r="T160" t="n">
        <v>-1.447</v>
      </c>
      <c r="U160" t="n">
        <v>3046470000000</v>
      </c>
    </row>
    <row r="161">
      <c r="A161" t="inlineStr">
        <is>
          <t>Germany</t>
        </is>
      </c>
      <c r="B161" t="inlineStr">
        <is>
          <t>DEU</t>
        </is>
      </c>
      <c r="C161" t="inlineStr">
        <is>
          <t>XDAX.L</t>
        </is>
      </c>
      <c r="D161" t="n">
        <v>2007</v>
      </c>
      <c r="E161" t="inlineStr"/>
      <c r="F161" t="n">
        <v>2.892</v>
      </c>
      <c r="G161" t="n">
        <v>4.782827</v>
      </c>
      <c r="H161" t="n">
        <v>14.377197</v>
      </c>
      <c r="I161" t="inlineStr"/>
      <c r="J161" t="inlineStr">
        <is>
          <t>Germany|XDAX.L|2007</t>
        </is>
      </c>
      <c r="K161" t="inlineStr">
        <is>
          <t>Germany|2007</t>
        </is>
      </c>
      <c r="L161" t="inlineStr">
        <is>
          <t>GBp</t>
        </is>
      </c>
      <c r="M161" t="inlineStr"/>
      <c r="N161" t="inlineStr"/>
      <c r="O161" t="inlineStr"/>
      <c r="P161" t="n">
        <v>9.156433487039806</v>
      </c>
      <c r="Q161" t="inlineStr"/>
      <c r="R161" t="n">
        <v>2.271</v>
      </c>
      <c r="S161" t="n">
        <v>2.871</v>
      </c>
      <c r="T161" t="n">
        <v>-0.6000000000000001</v>
      </c>
      <c r="U161" t="n">
        <v>3484467000000</v>
      </c>
    </row>
    <row r="162">
      <c r="A162" t="inlineStr">
        <is>
          <t>Germany</t>
        </is>
      </c>
      <c r="B162" t="inlineStr">
        <is>
          <t>DEU</t>
        </is>
      </c>
      <c r="C162" t="inlineStr">
        <is>
          <t>XDAX.L</t>
        </is>
      </c>
      <c r="D162" t="n">
        <v>2008</v>
      </c>
      <c r="E162" t="inlineStr"/>
      <c r="F162" t="n">
        <v>0.888</v>
      </c>
      <c r="G162" t="n">
        <v>1.851138</v>
      </c>
      <c r="H162" t="n">
        <v>9.278722</v>
      </c>
      <c r="I162" t="inlineStr"/>
      <c r="J162" t="inlineStr">
        <is>
          <t>Germany|XDAX.L|2008</t>
        </is>
      </c>
      <c r="K162" t="inlineStr">
        <is>
          <t>Germany|2008</t>
        </is>
      </c>
      <c r="L162" t="inlineStr">
        <is>
          <t>GBp</t>
        </is>
      </c>
      <c r="M162" t="inlineStr"/>
      <c r="N162" t="n">
        <v>-26.2666463318202</v>
      </c>
      <c r="O162" t="inlineStr"/>
      <c r="P162" t="n">
        <v>7.292587976941745</v>
      </c>
      <c r="Q162" t="inlineStr"/>
      <c r="R162" t="n">
        <v>2.754</v>
      </c>
      <c r="S162" t="n">
        <v>3.815</v>
      </c>
      <c r="T162" t="n">
        <v>-1.061</v>
      </c>
      <c r="U162" t="n">
        <v>3807781000000</v>
      </c>
    </row>
    <row r="163">
      <c r="A163" t="inlineStr">
        <is>
          <t>Germany</t>
        </is>
      </c>
      <c r="B163" t="inlineStr">
        <is>
          <t>DEU</t>
        </is>
      </c>
      <c r="C163" t="inlineStr">
        <is>
          <t>XDAX.L</t>
        </is>
      </c>
      <c r="D163" t="n">
        <v>2009</v>
      </c>
      <c r="E163" t="n">
        <v>19.63554926907351</v>
      </c>
      <c r="F163" t="n">
        <v>-5.55</v>
      </c>
      <c r="G163" t="n">
        <v>-3.680946</v>
      </c>
      <c r="H163" t="n">
        <v>-8.745592</v>
      </c>
      <c r="I163" t="n">
        <v>-40.07619350395031</v>
      </c>
      <c r="J163" t="inlineStr">
        <is>
          <t>Germany|XDAX.L|2009</t>
        </is>
      </c>
      <c r="K163" t="inlineStr">
        <is>
          <t>Germany|2009</t>
        </is>
      </c>
      <c r="L163" t="inlineStr">
        <is>
          <t>GBp</t>
        </is>
      </c>
      <c r="M163" t="n">
        <v>19.63554926907351</v>
      </c>
      <c r="N163" t="n">
        <v>9.775566130910907</v>
      </c>
      <c r="O163" t="n">
        <v>31.33060150395031</v>
      </c>
      <c r="P163" t="n">
        <v>-5.258197612175719</v>
      </c>
      <c r="Q163" t="n">
        <v>38.61948811819125</v>
      </c>
      <c r="R163" t="n">
        <v>0.246</v>
      </c>
      <c r="S163" t="n">
        <v>-0.32</v>
      </c>
      <c r="T163" t="n">
        <v>0.5660000000000001</v>
      </c>
      <c r="U163" t="n">
        <v>3474768000000</v>
      </c>
    </row>
    <row r="164">
      <c r="A164" t="inlineStr">
        <is>
          <t>Germany</t>
        </is>
      </c>
      <c r="B164" t="inlineStr">
        <is>
          <t>DEU</t>
        </is>
      </c>
      <c r="C164" t="inlineStr">
        <is>
          <t>XDAX.L</t>
        </is>
      </c>
      <c r="D164" t="n">
        <v>2010</v>
      </c>
      <c r="E164" t="n">
        <v>14.15067396674154</v>
      </c>
      <c r="F164" t="n">
        <v>4.144</v>
      </c>
      <c r="G164" t="n">
        <v>4.86333</v>
      </c>
      <c r="H164" t="n">
        <v>-0.139376</v>
      </c>
      <c r="I164" t="n">
        <v>-9.366577138079888</v>
      </c>
      <c r="J164" t="inlineStr">
        <is>
          <t>Germany|XDAX.L|2010</t>
        </is>
      </c>
      <c r="K164" t="inlineStr">
        <is>
          <t>Germany|2010</t>
        </is>
      </c>
      <c r="L164" t="inlineStr">
        <is>
          <t>GBp</t>
        </is>
      </c>
      <c r="M164" t="n">
        <v>14.15067396674154</v>
      </c>
      <c r="N164" t="n">
        <v>-4.313135137595536</v>
      </c>
      <c r="O164" t="n">
        <v>9.227201138079888</v>
      </c>
      <c r="P164" t="n">
        <v>-4.770692049900704</v>
      </c>
      <c r="Q164" t="n">
        <v>14.69914408630961</v>
      </c>
      <c r="R164" t="n">
        <v>1.119</v>
      </c>
      <c r="S164" t="n">
        <v>1.637</v>
      </c>
      <c r="T164" t="n">
        <v>-0.518</v>
      </c>
      <c r="U164" t="n">
        <v>3469925000000</v>
      </c>
    </row>
    <row r="165">
      <c r="A165" t="inlineStr">
        <is>
          <t>Germany</t>
        </is>
      </c>
      <c r="B165" t="inlineStr">
        <is>
          <t>DEU</t>
        </is>
      </c>
      <c r="C165" t="inlineStr">
        <is>
          <t>XDAX.L</t>
        </is>
      </c>
      <c r="D165" t="n">
        <v>2011</v>
      </c>
      <c r="E165" t="n">
        <v>-15.61329407783218</v>
      </c>
      <c r="F165" t="n">
        <v>3.758</v>
      </c>
      <c r="G165" t="n">
        <v>5.033916</v>
      </c>
      <c r="H165" t="n">
        <v>10.172497</v>
      </c>
      <c r="I165" t="n">
        <v>26.63397259084951</v>
      </c>
      <c r="J165" t="inlineStr">
        <is>
          <t>Germany|XDAX.L|2011</t>
        </is>
      </c>
      <c r="K165" t="inlineStr">
        <is>
          <t>Germany|2011</t>
        </is>
      </c>
      <c r="L165" t="inlineStr">
        <is>
          <t>GBp</t>
        </is>
      </c>
      <c r="M165" t="n">
        <v>-15.61329407783218</v>
      </c>
      <c r="N165" t="n">
        <v>-1.005112717398426</v>
      </c>
      <c r="O165" t="n">
        <v>-16.46147559084951</v>
      </c>
      <c r="P165" t="n">
        <v>4.892305630170601</v>
      </c>
      <c r="Q165" t="n">
        <v>-20.35781470597976</v>
      </c>
      <c r="R165" t="n">
        <v>2.482</v>
      </c>
      <c r="S165" t="n">
        <v>3.14</v>
      </c>
      <c r="T165" t="n">
        <v>-0.6579999999999999</v>
      </c>
      <c r="U165" t="n">
        <v>3822903000000</v>
      </c>
    </row>
    <row r="166">
      <c r="A166" t="inlineStr">
        <is>
          <t>Germany</t>
        </is>
      </c>
      <c r="B166" t="inlineStr">
        <is>
          <t>DEU</t>
        </is>
      </c>
      <c r="C166" t="inlineStr">
        <is>
          <t>XDAX.L</t>
        </is>
      </c>
      <c r="D166" t="n">
        <v>2012</v>
      </c>
      <c r="E166" t="n">
        <v>23.17906383073682</v>
      </c>
      <c r="F166" t="n">
        <v>0.466</v>
      </c>
      <c r="G166" t="n">
        <v>1.906506</v>
      </c>
      <c r="H166" t="n">
        <v>-5.863136</v>
      </c>
      <c r="I166" t="n">
        <v>-34.21065582460795</v>
      </c>
      <c r="J166" t="inlineStr">
        <is>
          <t>Germany|XDAX.L|2012</t>
        </is>
      </c>
      <c r="K166" t="inlineStr">
        <is>
          <t>Germany|2012</t>
        </is>
      </c>
      <c r="L166" t="inlineStr">
        <is>
          <t>GBp</t>
        </is>
      </c>
      <c r="M166" t="n">
        <v>23.17906383073682</v>
      </c>
      <c r="N166" t="n">
        <v>4.195888354025179</v>
      </c>
      <c r="O166" t="n">
        <v>28.34751982460795</v>
      </c>
      <c r="P166" t="n">
        <v>-7.62428437430901</v>
      </c>
      <c r="Q166" t="n">
        <v>38.94075835328381</v>
      </c>
      <c r="R166" t="n">
        <v>2.159</v>
      </c>
      <c r="S166" t="n">
        <v>2.073</v>
      </c>
      <c r="T166" t="n">
        <v>0.08599999999999985</v>
      </c>
      <c r="U166" t="n">
        <v>3598761000000</v>
      </c>
    </row>
    <row r="167">
      <c r="A167" t="inlineStr">
        <is>
          <t>Germany</t>
        </is>
      </c>
      <c r="B167" t="inlineStr">
        <is>
          <t>DEU</t>
        </is>
      </c>
      <c r="C167" t="inlineStr">
        <is>
          <t>XDAX.L</t>
        </is>
      </c>
      <c r="D167" t="n">
        <v>2013</v>
      </c>
      <c r="E167" t="n">
        <v>22.36147544663336</v>
      </c>
      <c r="F167" t="n">
        <v>0.395</v>
      </c>
      <c r="G167" t="n">
        <v>2.400617</v>
      </c>
      <c r="H167" t="n">
        <v>5.788603</v>
      </c>
      <c r="I167" t="n">
        <v>-18.52261265893759</v>
      </c>
      <c r="J167" t="inlineStr">
        <is>
          <t>Germany|XDAX.L|2013</t>
        </is>
      </c>
      <c r="K167" t="inlineStr">
        <is>
          <t>Germany|2013</t>
        </is>
      </c>
      <c r="L167" t="inlineStr">
        <is>
          <t>GBp</t>
        </is>
      </c>
      <c r="M167" t="n">
        <v>22.36147544663336</v>
      </c>
      <c r="N167" t="n">
        <v>1.593426530031161</v>
      </c>
      <c r="O167" t="n">
        <v>24.31121565893759</v>
      </c>
      <c r="P167" t="n">
        <v>3.308560185591869</v>
      </c>
      <c r="Q167" t="n">
        <v>20.33002438095628</v>
      </c>
      <c r="R167" t="n">
        <v>1.607</v>
      </c>
      <c r="S167" t="n">
        <v>1.466</v>
      </c>
      <c r="T167" t="n">
        <v>0.141</v>
      </c>
      <c r="U167" t="n">
        <v>3807079000000</v>
      </c>
    </row>
    <row r="168">
      <c r="A168" t="inlineStr">
        <is>
          <t>Germany</t>
        </is>
      </c>
      <c r="B168" t="inlineStr">
        <is>
          <t>DEU</t>
        </is>
      </c>
      <c r="C168" t="inlineStr">
        <is>
          <t>XDAX.L</t>
        </is>
      </c>
      <c r="D168" t="n">
        <v>2014</v>
      </c>
      <c r="E168" t="n">
        <v>4.023694116498833</v>
      </c>
      <c r="F168" t="n">
        <v>2.177</v>
      </c>
      <c r="G168" t="n">
        <v>4.116198</v>
      </c>
      <c r="H168" t="n">
        <v>4.171545</v>
      </c>
      <c r="I168" t="n">
        <v>6.396078493724367</v>
      </c>
      <c r="J168" t="inlineStr">
        <is>
          <t>Germany|XDAX.L|2014</t>
        </is>
      </c>
      <c r="K168" t="inlineStr">
        <is>
          <t>Germany|2014</t>
        </is>
      </c>
      <c r="L168" t="inlineStr">
        <is>
          <t>GBp</t>
        </is>
      </c>
      <c r="M168" t="n">
        <v>4.023694116498833</v>
      </c>
      <c r="N168" t="n">
        <v>-6.006542704804973</v>
      </c>
      <c r="O168" t="n">
        <v>-2.224533493724368</v>
      </c>
      <c r="P168" t="n">
        <v>0.05315827677865315</v>
      </c>
      <c r="Q168" t="n">
        <v>-2.276481632096217</v>
      </c>
      <c r="R168" t="n">
        <v>0.769</v>
      </c>
      <c r="S168" t="n">
        <v>1.615</v>
      </c>
      <c r="T168" t="n">
        <v>-0.846</v>
      </c>
      <c r="U168" t="n">
        <v>3965893000000</v>
      </c>
    </row>
    <row r="169">
      <c r="A169" t="inlineStr">
        <is>
          <t>Germany</t>
        </is>
      </c>
      <c r="B169" t="inlineStr">
        <is>
          <t>DEU</t>
        </is>
      </c>
      <c r="C169" t="inlineStr">
        <is>
          <t>XDAX.L</t>
        </is>
      </c>
      <c r="D169" t="n">
        <v>2015</v>
      </c>
      <c r="E169" t="n">
        <v>9.739379736443542</v>
      </c>
      <c r="F169" t="n">
        <v>1.663</v>
      </c>
      <c r="G169" t="n">
        <v>3.436456</v>
      </c>
      <c r="H169" t="n">
        <v>-13.627372</v>
      </c>
      <c r="I169" t="n">
        <v>-18.00175162773155</v>
      </c>
      <c r="J169" t="inlineStr">
        <is>
          <t>Germany|XDAX.L|2015</t>
        </is>
      </c>
      <c r="K169" t="inlineStr">
        <is>
          <t>Germany|2015</t>
        </is>
      </c>
      <c r="L169" t="inlineStr">
        <is>
          <t>GBp</t>
        </is>
      </c>
      <c r="M169" t="n">
        <v>9.739379736443542</v>
      </c>
      <c r="N169" t="n">
        <v>-4.888855870697362</v>
      </c>
      <c r="O169" t="n">
        <v>4.374379627731551</v>
      </c>
      <c r="P169" t="n">
        <v>-16.49691888235992</v>
      </c>
      <c r="Q169" t="n">
        <v>24.9946447852478</v>
      </c>
      <c r="R169" t="n">
        <v>0.68</v>
      </c>
      <c r="S169" t="n">
        <v>0.121</v>
      </c>
      <c r="T169" t="n">
        <v>0.5590000000000001</v>
      </c>
      <c r="U169" t="n">
        <v>3425446000000</v>
      </c>
    </row>
    <row r="170">
      <c r="A170" t="inlineStr">
        <is>
          <t>Germany</t>
        </is>
      </c>
      <c r="B170" t="inlineStr">
        <is>
          <t>DEU</t>
        </is>
      </c>
      <c r="C170" t="inlineStr">
        <is>
          <t>XDAX.L</t>
        </is>
      </c>
      <c r="D170" t="n">
        <v>2016</v>
      </c>
      <c r="E170" t="n">
        <v>11.10671765226789</v>
      </c>
      <c r="F170" t="n">
        <v>2.217</v>
      </c>
      <c r="G170" t="n">
        <v>3.504339</v>
      </c>
      <c r="H170" t="n">
        <v>3.221945</v>
      </c>
      <c r="I170" t="n">
        <v>10.58750647099429</v>
      </c>
      <c r="J170" t="inlineStr">
        <is>
          <t>Germany|XDAX.L|2016</t>
        </is>
      </c>
      <c r="K170" t="inlineStr">
        <is>
          <t>Germany|2016</t>
        </is>
      </c>
      <c r="L170" t="inlineStr">
        <is>
          <t>GBp</t>
        </is>
      </c>
      <c r="M170" t="n">
        <v>11.10671765226789</v>
      </c>
      <c r="N170" t="n">
        <v>-16.62570861023462</v>
      </c>
      <c r="O170" t="n">
        <v>-7.365561470994287</v>
      </c>
      <c r="P170" t="n">
        <v>-0.2728327328096358</v>
      </c>
      <c r="Q170" t="n">
        <v>-7.112132964913876</v>
      </c>
      <c r="R170" t="n">
        <v>0.367</v>
      </c>
      <c r="S170" t="n">
        <v>1.267</v>
      </c>
      <c r="T170" t="n">
        <v>-0.8999999999999999</v>
      </c>
      <c r="U170" t="n">
        <v>3535812000000</v>
      </c>
    </row>
    <row r="171">
      <c r="A171" t="inlineStr">
        <is>
          <t>Germany</t>
        </is>
      </c>
      <c r="B171" t="inlineStr">
        <is>
          <t>DEU</t>
        </is>
      </c>
      <c r="C171" t="inlineStr">
        <is>
          <t>XDAX.L</t>
        </is>
      </c>
      <c r="D171" t="n">
        <v>2017</v>
      </c>
      <c r="E171" t="n">
        <v>-1.427771945157674</v>
      </c>
      <c r="F171" t="n">
        <v>2.806</v>
      </c>
      <c r="G171" t="n">
        <v>4.315835</v>
      </c>
      <c r="H171" t="n">
        <v>6.454274</v>
      </c>
      <c r="I171" t="n">
        <v>-0.83310726796753</v>
      </c>
      <c r="J171" t="inlineStr">
        <is>
          <t>Germany|XDAX.L|2017</t>
        </is>
      </c>
      <c r="K171" t="inlineStr">
        <is>
          <t>Germany|2017</t>
        </is>
      </c>
      <c r="L171" t="inlineStr">
        <is>
          <t>GBp</t>
        </is>
      </c>
      <c r="M171" t="n">
        <v>-1.427771945157674</v>
      </c>
      <c r="N171" t="n">
        <v>8.841388071573641</v>
      </c>
      <c r="O171" t="n">
        <v>7.28738126796753</v>
      </c>
      <c r="P171" t="n">
        <v>2.04996574222911</v>
      </c>
      <c r="Q171" t="n">
        <v>5.132207039606218</v>
      </c>
      <c r="R171" t="n">
        <v>1.702</v>
      </c>
      <c r="S171" t="n">
        <v>2.131</v>
      </c>
      <c r="T171" t="n">
        <v>-0.4289999999999998</v>
      </c>
      <c r="U171" t="n">
        <v>3764023000000</v>
      </c>
    </row>
    <row r="172">
      <c r="A172" t="inlineStr">
        <is>
          <t>Germany</t>
        </is>
      </c>
      <c r="B172" t="inlineStr">
        <is>
          <t>DEU</t>
        </is>
      </c>
      <c r="C172" t="inlineStr">
        <is>
          <t>XDAX.L</t>
        </is>
      </c>
      <c r="D172" t="n">
        <v>2018</v>
      </c>
      <c r="E172" t="n">
        <v>-16.66816789767609</v>
      </c>
      <c r="F172" t="n">
        <v>1.133</v>
      </c>
      <c r="G172" t="n">
        <v>3.027803</v>
      </c>
      <c r="H172" t="n">
        <v>7.79084</v>
      </c>
      <c r="I172" t="n">
        <v>29.53000339706877</v>
      </c>
      <c r="J172" t="inlineStr">
        <is>
          <t>Germany|XDAX.L|2018</t>
        </is>
      </c>
      <c r="K172" t="inlineStr">
        <is>
          <t>Germany|2018</t>
        </is>
      </c>
      <c r="L172" t="inlineStr">
        <is>
          <t>GBp</t>
        </is>
      </c>
      <c r="M172" t="n">
        <v>-16.66816789767609</v>
      </c>
      <c r="N172" t="n">
        <v>-6.085304224640065</v>
      </c>
      <c r="O172" t="n">
        <v>-21.73916339706877</v>
      </c>
      <c r="P172" t="n">
        <v>4.623059749553748</v>
      </c>
      <c r="Q172" t="n">
        <v>-25.19733528127385</v>
      </c>
      <c r="R172" t="n">
        <v>1.935</v>
      </c>
      <c r="S172" t="n">
        <v>2.439</v>
      </c>
      <c r="T172" t="n">
        <v>-0.504</v>
      </c>
      <c r="U172" t="n">
        <v>4057272000000</v>
      </c>
    </row>
    <row r="173">
      <c r="A173" t="inlineStr">
        <is>
          <t>Germany</t>
        </is>
      </c>
      <c r="B173" t="inlineStr">
        <is>
          <t>DEU</t>
        </is>
      </c>
      <c r="C173" t="inlineStr">
        <is>
          <t>XDAX.L</t>
        </is>
      </c>
      <c r="D173" t="n">
        <v>2019</v>
      </c>
      <c r="E173" t="n">
        <v>16.50359478890751</v>
      </c>
      <c r="F173" t="n">
        <v>0.973</v>
      </c>
      <c r="G173" t="n">
        <v>3.006671</v>
      </c>
      <c r="H173" t="n">
        <v>-2.38929</v>
      </c>
      <c r="I173" t="n">
        <v>-22.32259251701548</v>
      </c>
      <c r="J173" t="inlineStr">
        <is>
          <t>Germany|XDAX.L|2019</t>
        </is>
      </c>
      <c r="K173" t="inlineStr">
        <is>
          <t>Germany|2019</t>
        </is>
      </c>
      <c r="L173" t="inlineStr">
        <is>
          <t>GBp</t>
        </is>
      </c>
      <c r="M173" t="n">
        <v>16.50359478890751</v>
      </c>
      <c r="N173" t="n">
        <v>2.94386429390634</v>
      </c>
      <c r="O173" t="n">
        <v>19.93330251701548</v>
      </c>
      <c r="P173" t="n">
        <v>-5.238458372604448</v>
      </c>
      <c r="Q173" t="n">
        <v>26.56326655025922</v>
      </c>
      <c r="R173" t="n">
        <v>1.354</v>
      </c>
      <c r="S173" t="n">
        <v>1.813</v>
      </c>
      <c r="T173" t="n">
        <v>-0.4589999999999999</v>
      </c>
      <c r="U173" t="n">
        <v>3960332000000</v>
      </c>
    </row>
    <row r="174">
      <c r="A174" t="inlineStr">
        <is>
          <t>Germany</t>
        </is>
      </c>
      <c r="B174" t="inlineStr">
        <is>
          <t>DEU</t>
        </is>
      </c>
      <c r="C174" t="inlineStr">
        <is>
          <t>XDAX.L</t>
        </is>
      </c>
      <c r="D174" t="n">
        <v>2020</v>
      </c>
      <c r="E174" t="n">
        <v>7.320404261130853</v>
      </c>
      <c r="F174" t="n">
        <v>-4.127</v>
      </c>
      <c r="G174" t="n">
        <v>-2.447078</v>
      </c>
      <c r="H174" t="n">
        <v>-0.557731</v>
      </c>
      <c r="I174" t="n">
        <v>-10.85648936261787</v>
      </c>
      <c r="J174" t="inlineStr">
        <is>
          <t>Germany|XDAX.L|2020</t>
        </is>
      </c>
      <c r="K174" t="inlineStr">
        <is>
          <t>Germany|2020</t>
        </is>
      </c>
      <c r="L174" t="inlineStr">
        <is>
          <t>GBp</t>
        </is>
      </c>
      <c r="M174" t="n">
        <v>7.320404261130853</v>
      </c>
      <c r="N174" t="n">
        <v>2.775198362317122</v>
      </c>
      <c r="O174" t="n">
        <v>10.29875836261787</v>
      </c>
      <c r="P174" t="n">
        <v>1.936740512948876</v>
      </c>
      <c r="Q174" t="n">
        <v>8.203144231992354</v>
      </c>
      <c r="R174" t="n">
        <v>0.371</v>
      </c>
      <c r="S174" t="n">
        <v>1.253</v>
      </c>
      <c r="T174" t="n">
        <v>-0.8819999999999999</v>
      </c>
      <c r="U174" t="n">
        <v>3938244000000</v>
      </c>
    </row>
    <row r="175">
      <c r="A175" t="inlineStr">
        <is>
          <t>Germany</t>
        </is>
      </c>
      <c r="B175" t="inlineStr">
        <is>
          <t>DEU</t>
        </is>
      </c>
      <c r="C175" t="inlineStr">
        <is>
          <t>XDAX.L</t>
        </is>
      </c>
      <c r="D175" t="n">
        <v>2021</v>
      </c>
      <c r="E175" t="n">
        <v>6.768558951965065</v>
      </c>
      <c r="F175" t="n">
        <v>3.913</v>
      </c>
      <c r="G175" t="n">
        <v>6.712222</v>
      </c>
      <c r="H175" t="n">
        <v>10.662189</v>
      </c>
      <c r="I175" t="n">
        <v>5.257299986360442</v>
      </c>
      <c r="J175" t="inlineStr">
        <is>
          <t>Germany|XDAX.L|2021</t>
        </is>
      </c>
      <c r="K175" t="inlineStr">
        <is>
          <t>Germany|2021</t>
        </is>
      </c>
      <c r="L175" t="inlineStr">
        <is>
          <t>GBp</t>
        </is>
      </c>
      <c r="M175" t="n">
        <v>6.768558951965065</v>
      </c>
      <c r="N175" t="n">
        <v>-1.277220514832489</v>
      </c>
      <c r="O175" t="n">
        <v>5.404889013639558</v>
      </c>
      <c r="P175" t="n">
        <v>3.70151240779959</v>
      </c>
      <c r="Q175" t="n">
        <v>1.642576435280474</v>
      </c>
      <c r="R175" t="n">
        <v>3.212</v>
      </c>
      <c r="S175" t="n">
        <v>4.679</v>
      </c>
      <c r="T175" t="n">
        <v>-1.467</v>
      </c>
      <c r="U175" t="n">
        <v>4358147000000</v>
      </c>
    </row>
    <row r="176">
      <c r="A176" t="inlineStr">
        <is>
          <t>Germany</t>
        </is>
      </c>
      <c r="B176" t="inlineStr">
        <is>
          <t>DEU</t>
        </is>
      </c>
      <c r="C176" t="inlineStr">
        <is>
          <t>XDAX.L</t>
        </is>
      </c>
      <c r="D176" t="n">
        <v>2022</v>
      </c>
      <c r="E176" t="n">
        <v>-8.695314321237079</v>
      </c>
      <c r="F176" t="n">
        <v>1.807</v>
      </c>
      <c r="G176" t="n">
        <v>8.338448</v>
      </c>
      <c r="H176" t="n">
        <v>-3.529482</v>
      </c>
      <c r="I176" t="n">
        <v>15.06421619199018</v>
      </c>
      <c r="J176" t="inlineStr">
        <is>
          <t>Germany|XDAX.L|2022</t>
        </is>
      </c>
      <c r="K176" t="inlineStr">
        <is>
          <t>Germany|2022</t>
        </is>
      </c>
      <c r="L176" t="inlineStr">
        <is>
          <t>GBp</t>
        </is>
      </c>
      <c r="M176" t="n">
        <v>-8.695314321237079</v>
      </c>
      <c r="N176" t="n">
        <v>-10.84104698150823</v>
      </c>
      <c r="O176" t="n">
        <v>-18.59369819199018</v>
      </c>
      <c r="P176" t="n">
        <v>-10.95449469055349</v>
      </c>
      <c r="Q176" t="n">
        <v>-8.578988321633208</v>
      </c>
      <c r="R176" t="n">
        <v>8.666</v>
      </c>
      <c r="S176" t="n">
        <v>7.993</v>
      </c>
      <c r="T176" t="n">
        <v>0.673</v>
      </c>
      <c r="U176" t="n">
        <v>4204327000000</v>
      </c>
    </row>
    <row r="177">
      <c r="A177" t="inlineStr">
        <is>
          <t>Germany</t>
        </is>
      </c>
      <c r="B177" t="inlineStr">
        <is>
          <t>DEU</t>
        </is>
      </c>
      <c r="C177" t="inlineStr">
        <is>
          <t>XDAX.L</t>
        </is>
      </c>
      <c r="D177" t="n">
        <v>2023</v>
      </c>
      <c r="E177" t="n">
        <v>15.80053817692566</v>
      </c>
      <c r="F177" t="n">
        <v>-0.872</v>
      </c>
      <c r="G177" t="n">
        <v>5.763287</v>
      </c>
      <c r="H177" t="n">
        <v>8.543483999999999</v>
      </c>
      <c r="I177" t="n">
        <v>-13.12007095905226</v>
      </c>
      <c r="J177" t="inlineStr">
        <is>
          <t>Germany|XDAX.L|2023</t>
        </is>
      </c>
      <c r="K177" t="inlineStr">
        <is>
          <t>Germany|2023</t>
        </is>
      </c>
      <c r="L177" t="inlineStr">
        <is>
          <t>GBp</t>
        </is>
      </c>
      <c r="M177" t="n">
        <v>15.80053817692566</v>
      </c>
      <c r="N177" t="n">
        <v>5.06303068571996</v>
      </c>
      <c r="O177" t="n">
        <v>21.66355495905226</v>
      </c>
      <c r="P177" t="n">
        <v>2.628697394305357</v>
      </c>
      <c r="Q177" t="n">
        <v>18.54730504043511</v>
      </c>
      <c r="R177" t="n">
        <v>6.03</v>
      </c>
      <c r="S177" t="n">
        <v>4.128</v>
      </c>
      <c r="T177" t="n">
        <v>1.902</v>
      </c>
      <c r="U177" t="n">
        <v>4563523000000</v>
      </c>
    </row>
    <row r="178">
      <c r="A178" t="inlineStr">
        <is>
          <t>Germany</t>
        </is>
      </c>
      <c r="B178" t="inlineStr">
        <is>
          <t>DEU</t>
        </is>
      </c>
      <c r="C178" t="inlineStr">
        <is>
          <t>XDAX.L</t>
        </is>
      </c>
      <c r="D178" t="n">
        <v>2024</v>
      </c>
      <c r="E178" t="n">
        <v>13.16821615339918</v>
      </c>
      <c r="F178" t="n">
        <v>-0.496</v>
      </c>
      <c r="G178" t="n">
        <v>2.599003</v>
      </c>
      <c r="H178" t="n">
        <v>2.643988</v>
      </c>
      <c r="I178" t="n">
        <v>-8.916047230082576</v>
      </c>
      <c r="J178" t="inlineStr">
        <is>
          <t>Germany|XDAX.L|2024</t>
        </is>
      </c>
      <c r="K178" t="inlineStr">
        <is>
          <t>Germany|2024</t>
        </is>
      </c>
      <c r="L178" t="inlineStr">
        <is>
          <t>GBp</t>
        </is>
      </c>
      <c r="M178" t="n">
        <v>13.16821615339918</v>
      </c>
      <c r="N178" t="n">
        <v>-1.421053523664917</v>
      </c>
      <c r="O178" t="n">
        <v>11.56003523008258</v>
      </c>
      <c r="P178" t="n">
        <v>0.04384529398600012</v>
      </c>
      <c r="Q178" t="n">
        <v>11.51114284167649</v>
      </c>
      <c r="R178" t="n">
        <v>2.489</v>
      </c>
      <c r="S178" t="n">
        <v>2.952</v>
      </c>
      <c r="T178" t="n">
        <v>-0.4630000000000001</v>
      </c>
      <c r="U178" t="n">
        <v>4684182000000</v>
      </c>
    </row>
    <row r="179">
      <c r="A179" t="inlineStr">
        <is>
          <t>Germany</t>
        </is>
      </c>
      <c r="B179" t="inlineStr">
        <is>
          <t>DEU</t>
        </is>
      </c>
      <c r="C179" t="inlineStr">
        <is>
          <t>XDAX.L</t>
        </is>
      </c>
      <c r="D179" t="n">
        <v>2025</v>
      </c>
      <c r="E179" t="n">
        <v>28.64559964104865</v>
      </c>
      <c r="F179" t="n">
        <v>0.191</v>
      </c>
      <c r="G179" t="n">
        <v>2.531734</v>
      </c>
      <c r="H179" t="n">
        <v>7.032007</v>
      </c>
      <c r="I179" t="n">
        <v>-31.3545468218239</v>
      </c>
      <c r="J179" t="inlineStr">
        <is>
          <t>Germany|XDAX.L|2025</t>
        </is>
      </c>
      <c r="K179" t="inlineStr">
        <is>
          <t>Germany|2025</t>
        </is>
      </c>
      <c r="L179" t="inlineStr">
        <is>
          <t>GBp</t>
        </is>
      </c>
      <c r="M179" t="n">
        <v>28.64559964104865</v>
      </c>
      <c r="N179" t="n">
        <v>7.571929555270285</v>
      </c>
      <c r="O179" t="n">
        <v>38.3865538218239</v>
      </c>
      <c r="P179" t="n">
        <v>4.389151360533838</v>
      </c>
      <c r="Q179" t="n">
        <v>32.56794601564638</v>
      </c>
      <c r="R179" t="n">
        <v>2.114</v>
      </c>
      <c r="S179" t="n">
        <v>2.715</v>
      </c>
      <c r="T179" t="n">
        <v>-0.601</v>
      </c>
      <c r="U179" t="n">
        <v>5013574000000</v>
      </c>
    </row>
    <row r="180">
      <c r="A180" t="inlineStr">
        <is>
          <t>Germany</t>
        </is>
      </c>
      <c r="B180" t="inlineStr">
        <is>
          <t>DEU</t>
        </is>
      </c>
      <c r="C180" t="inlineStr">
        <is>
          <t>XDAX.L</t>
        </is>
      </c>
      <c r="D180" t="n">
        <v>2026</v>
      </c>
      <c r="E180" t="n">
        <v>-3.216783216783214</v>
      </c>
      <c r="F180" t="n">
        <v>0.944</v>
      </c>
      <c r="G180" t="n">
        <v>2.854457</v>
      </c>
      <c r="H180" t="n">
        <v>6.275164</v>
      </c>
      <c r="I180" t="n">
        <v>10.94591666445883</v>
      </c>
      <c r="J180" t="inlineStr">
        <is>
          <t>Germany|XDAX.L|2026</t>
        </is>
      </c>
      <c r="K180" t="inlineStr">
        <is>
          <t>Germany|2026</t>
        </is>
      </c>
      <c r="L180" t="inlineStr">
        <is>
          <t>GBp</t>
        </is>
      </c>
      <c r="M180" t="n">
        <v>-3.216783216783214</v>
      </c>
      <c r="N180" t="n">
        <v>-1.502295021803568</v>
      </c>
      <c r="O180" t="n">
        <v>-4.670752664458833</v>
      </c>
      <c r="P180" t="n">
        <v>3.3257747234954</v>
      </c>
      <c r="Q180" t="n">
        <v>-7.739140992993576</v>
      </c>
      <c r="R180" t="n">
        <v>1.756</v>
      </c>
      <c r="S180" t="n">
        <v>2.435</v>
      </c>
      <c r="T180" t="n">
        <v>-0.679</v>
      </c>
      <c r="U180" t="n">
        <v>5328184000000</v>
      </c>
    </row>
    <row r="181">
      <c r="A181" t="inlineStr">
        <is>
          <t>Germany</t>
        </is>
      </c>
      <c r="B181" t="inlineStr">
        <is>
          <t>DEU</t>
        </is>
      </c>
      <c r="C181" t="inlineStr">
        <is>
          <t>XDAX.L</t>
        </is>
      </c>
      <c r="D181" t="n">
        <v>2027</v>
      </c>
      <c r="E181" t="inlineStr"/>
      <c r="F181" t="n">
        <v>1.473</v>
      </c>
      <c r="G181" t="n">
        <v>3.466436</v>
      </c>
      <c r="H181" t="n">
        <v>3.198726</v>
      </c>
      <c r="I181" t="inlineStr"/>
      <c r="J181" t="inlineStr">
        <is>
          <t>Germany|XDAX.L|2027</t>
        </is>
      </c>
      <c r="K181" t="inlineStr">
        <is>
          <t>Germany|2027</t>
        </is>
      </c>
      <c r="L181" t="inlineStr">
        <is>
          <t>GBp</t>
        </is>
      </c>
      <c r="M181" t="inlineStr"/>
      <c r="N181" t="inlineStr"/>
      <c r="O181" t="inlineStr"/>
      <c r="P181" t="n">
        <v>-0.2587412603538342</v>
      </c>
      <c r="Q181" t="inlineStr"/>
      <c r="R181" t="n">
        <v>2.011</v>
      </c>
      <c r="S181" t="n">
        <v>2.185</v>
      </c>
      <c r="T181" t="n">
        <v>-0.1739999999999999</v>
      </c>
      <c r="U181" t="n">
        <v>5498618000000</v>
      </c>
    </row>
    <row r="182">
      <c r="A182" t="inlineStr">
        <is>
          <t>Germany</t>
        </is>
      </c>
      <c r="B182" t="inlineStr">
        <is>
          <t>DEU</t>
        </is>
      </c>
      <c r="C182" t="inlineStr">
        <is>
          <t>XDAX.L</t>
        </is>
      </c>
      <c r="D182" t="n">
        <v>2028</v>
      </c>
      <c r="E182" t="inlineStr"/>
      <c r="F182" t="n">
        <v>1.203</v>
      </c>
      <c r="G182" t="n">
        <v>3.37814</v>
      </c>
      <c r="H182" t="n">
        <v>3.196003</v>
      </c>
      <c r="I182" t="inlineStr"/>
      <c r="J182" t="inlineStr">
        <is>
          <t>Germany|XDAX.L|2028</t>
        </is>
      </c>
      <c r="K182" t="inlineStr">
        <is>
          <t>Germany|2028</t>
        </is>
      </c>
      <c r="L182" t="inlineStr">
        <is>
          <t>GBp</t>
        </is>
      </c>
      <c r="M182" t="inlineStr"/>
      <c r="N182" t="inlineStr"/>
      <c r="O182" t="inlineStr"/>
      <c r="P182" t="n">
        <v>-0.176184799263257</v>
      </c>
      <c r="Q182" t="inlineStr"/>
      <c r="R182" t="n">
        <v>2.094</v>
      </c>
      <c r="S182" t="n">
        <v>2.206</v>
      </c>
      <c r="T182" t="n">
        <v>-0.1120000000000001</v>
      </c>
      <c r="U182" t="n">
        <v>5674354000000</v>
      </c>
    </row>
    <row r="183">
      <c r="A183" t="inlineStr">
        <is>
          <t>Germany</t>
        </is>
      </c>
      <c r="B183" t="inlineStr">
        <is>
          <t>DEU</t>
        </is>
      </c>
      <c r="C183" t="inlineStr">
        <is>
          <t>XDAX.L</t>
        </is>
      </c>
      <c r="D183" t="n">
        <v>2029</v>
      </c>
      <c r="E183" t="inlineStr"/>
      <c r="F183" t="n">
        <v>0.98</v>
      </c>
      <c r="G183" t="n">
        <v>3.168367</v>
      </c>
      <c r="H183" t="n">
        <v>3.065389</v>
      </c>
      <c r="I183" t="inlineStr"/>
      <c r="J183" t="inlineStr">
        <is>
          <t>Germany|XDAX.L|2029</t>
        </is>
      </c>
      <c r="K183" t="inlineStr">
        <is>
          <t>Germany|2029</t>
        </is>
      </c>
      <c r="L183" t="inlineStr">
        <is>
          <t>GBp</t>
        </is>
      </c>
      <c r="M183" t="inlineStr"/>
      <c r="N183" t="inlineStr"/>
      <c r="O183" t="inlineStr"/>
      <c r="P183" t="n">
        <v>-0.09981544091334227</v>
      </c>
      <c r="Q183" t="inlineStr"/>
      <c r="R183" t="n">
        <v>2.17</v>
      </c>
      <c r="S183" t="n">
        <v>2.203</v>
      </c>
      <c r="T183" t="n">
        <v>-0.03299999999999992</v>
      </c>
      <c r="U183" t="n">
        <v>5848295000000</v>
      </c>
    </row>
    <row r="184">
      <c r="A184" t="inlineStr">
        <is>
          <t>India</t>
        </is>
      </c>
      <c r="B184" t="inlineStr">
        <is>
          <t>IND</t>
        </is>
      </c>
      <c r="C184" t="inlineStr">
        <is>
          <t>LYINR.SW</t>
        </is>
      </c>
      <c r="D184" t="n">
        <v>2004</v>
      </c>
      <c r="E184" t="inlineStr"/>
      <c r="F184" t="n">
        <v>7.923</v>
      </c>
      <c r="G184" t="inlineStr"/>
      <c r="H184" t="inlineStr"/>
      <c r="I184" t="inlineStr"/>
      <c r="J184" t="inlineStr">
        <is>
          <t>India|LYINR.SW|2004</t>
        </is>
      </c>
      <c r="K184" t="inlineStr">
        <is>
          <t>India|2004</t>
        </is>
      </c>
      <c r="L184" t="inlineStr">
        <is>
          <t>USD</t>
        </is>
      </c>
      <c r="M184" t="inlineStr"/>
      <c r="N184" t="inlineStr"/>
      <c r="O184" t="inlineStr"/>
      <c r="P184" t="inlineStr"/>
      <c r="Q184" t="inlineStr"/>
      <c r="R184" t="n">
        <v>3.997</v>
      </c>
      <c r="S184" t="n">
        <v>2.668</v>
      </c>
      <c r="T184" t="n">
        <v>1.329</v>
      </c>
      <c r="U184" t="n">
        <v>709152000000</v>
      </c>
    </row>
    <row r="185">
      <c r="A185" t="inlineStr">
        <is>
          <t>India</t>
        </is>
      </c>
      <c r="B185" t="inlineStr">
        <is>
          <t>IND</t>
        </is>
      </c>
      <c r="C185" t="inlineStr">
        <is>
          <t>LYINR.SW</t>
        </is>
      </c>
      <c r="D185" t="n">
        <v>2005</v>
      </c>
      <c r="E185" t="inlineStr"/>
      <c r="F185" t="n">
        <v>7.923</v>
      </c>
      <c r="G185" t="n">
        <v>13.991018</v>
      </c>
      <c r="H185" t="n">
        <v>15.685354</v>
      </c>
      <c r="I185" t="inlineStr"/>
      <c r="J185" t="inlineStr">
        <is>
          <t>India|LYINR.SW|2005</t>
        </is>
      </c>
      <c r="K185" t="inlineStr">
        <is>
          <t>India|2005</t>
        </is>
      </c>
      <c r="L185" t="inlineStr">
        <is>
          <t>USD</t>
        </is>
      </c>
      <c r="M185" t="inlineStr"/>
      <c r="N185" t="inlineStr"/>
      <c r="O185" t="inlineStr"/>
      <c r="P185" t="n">
        <v>1.486376669551426</v>
      </c>
      <c r="Q185" t="inlineStr"/>
      <c r="R185" t="n">
        <v>3.679</v>
      </c>
      <c r="S185" t="n">
        <v>3.366</v>
      </c>
      <c r="T185" t="n">
        <v>0.3129999999999997</v>
      </c>
      <c r="U185" t="n">
        <v>820385000000</v>
      </c>
    </row>
    <row r="186">
      <c r="A186" t="inlineStr">
        <is>
          <t>India</t>
        </is>
      </c>
      <c r="B186" t="inlineStr">
        <is>
          <t>IND</t>
        </is>
      </c>
      <c r="C186" t="inlineStr">
        <is>
          <t>LYINR.SW</t>
        </is>
      </c>
      <c r="D186" t="n">
        <v>2006</v>
      </c>
      <c r="E186" t="inlineStr"/>
      <c r="F186" t="n">
        <v>8.061</v>
      </c>
      <c r="G186" t="n">
        <v>17.138704</v>
      </c>
      <c r="H186" t="n">
        <v>14.612042</v>
      </c>
      <c r="I186" t="inlineStr"/>
      <c r="J186" t="inlineStr">
        <is>
          <t>India|LYINR.SW|2006</t>
        </is>
      </c>
      <c r="K186" t="inlineStr">
        <is>
          <t>India|2006</t>
        </is>
      </c>
      <c r="L186" t="inlineStr">
        <is>
          <t>USD</t>
        </is>
      </c>
      <c r="M186" t="inlineStr"/>
      <c r="N186" t="inlineStr"/>
      <c r="O186" t="inlineStr"/>
      <c r="P186" t="n">
        <v>-2.156982916909611</v>
      </c>
      <c r="Q186" t="inlineStr"/>
      <c r="R186" t="n">
        <v>6.736</v>
      </c>
      <c r="S186" t="n">
        <v>3.222</v>
      </c>
      <c r="T186" t="n">
        <v>3.514</v>
      </c>
      <c r="U186" t="n">
        <v>940260000000</v>
      </c>
    </row>
    <row r="187">
      <c r="A187" t="inlineStr">
        <is>
          <t>India</t>
        </is>
      </c>
      <c r="B187" t="inlineStr">
        <is>
          <t>IND</t>
        </is>
      </c>
      <c r="C187" t="inlineStr">
        <is>
          <t>LYINR.SW</t>
        </is>
      </c>
      <c r="D187" t="n">
        <v>2007</v>
      </c>
      <c r="E187" t="inlineStr"/>
      <c r="F187" t="n">
        <v>7.661</v>
      </c>
      <c r="G187" t="n">
        <v>15.137156</v>
      </c>
      <c r="H187" t="n">
        <v>29.404207</v>
      </c>
      <c r="I187" t="inlineStr"/>
      <c r="J187" t="inlineStr">
        <is>
          <t>India|LYINR.SW|2007</t>
        </is>
      </c>
      <c r="K187" t="inlineStr">
        <is>
          <t>India|2007</t>
        </is>
      </c>
      <c r="L187" t="inlineStr">
        <is>
          <t>USD</t>
        </is>
      </c>
      <c r="M187" t="inlineStr"/>
      <c r="N187" t="inlineStr"/>
      <c r="O187" t="inlineStr"/>
      <c r="P187" t="n">
        <v>12.3913524727902</v>
      </c>
      <c r="Q187" t="inlineStr"/>
      <c r="R187" t="n">
        <v>5.919</v>
      </c>
      <c r="S187" t="n">
        <v>2.871</v>
      </c>
      <c r="T187" t="n">
        <v>3.048</v>
      </c>
      <c r="U187" t="n">
        <v>1216736000000</v>
      </c>
    </row>
    <row r="188">
      <c r="A188" t="inlineStr">
        <is>
          <t>India</t>
        </is>
      </c>
      <c r="B188" t="inlineStr">
        <is>
          <t>IND</t>
        </is>
      </c>
      <c r="C188" t="inlineStr">
        <is>
          <t>LYINR.SW</t>
        </is>
      </c>
      <c r="D188" t="n">
        <v>2008</v>
      </c>
      <c r="E188" t="inlineStr"/>
      <c r="F188" t="n">
        <v>3.087</v>
      </c>
      <c r="G188" t="n">
        <v>12.564456</v>
      </c>
      <c r="H188" t="n">
        <v>-1.4663</v>
      </c>
      <c r="I188" t="inlineStr"/>
      <c r="J188" t="inlineStr">
        <is>
          <t>India|LYINR.SW|2008</t>
        </is>
      </c>
      <c r="K188" t="inlineStr">
        <is>
          <t>India|2008</t>
        </is>
      </c>
      <c r="L188" t="inlineStr">
        <is>
          <t>USD</t>
        </is>
      </c>
      <c r="M188" t="inlineStr"/>
      <c r="N188" t="n">
        <v>0</v>
      </c>
      <c r="O188" t="inlineStr"/>
      <c r="P188" t="n">
        <v>-12.46464190689108</v>
      </c>
      <c r="Q188" t="inlineStr"/>
      <c r="R188" t="n">
        <v>9.212</v>
      </c>
      <c r="S188" t="n">
        <v>3.815</v>
      </c>
      <c r="T188" t="n">
        <v>5.397</v>
      </c>
      <c r="U188" t="n">
        <v>1198895000000</v>
      </c>
    </row>
    <row r="189">
      <c r="A189" t="inlineStr">
        <is>
          <t>India</t>
        </is>
      </c>
      <c r="B189" t="inlineStr">
        <is>
          <t>IND</t>
        </is>
      </c>
      <c r="C189" t="inlineStr">
        <is>
          <t>LYINR.SW</t>
        </is>
      </c>
      <c r="D189" t="n">
        <v>2009</v>
      </c>
      <c r="E189" t="n">
        <v>84.86682850650217</v>
      </c>
      <c r="F189" t="n">
        <v>7.862</v>
      </c>
      <c r="G189" t="n">
        <v>15.455873</v>
      </c>
      <c r="H189" t="n">
        <v>11.92715</v>
      </c>
      <c r="I189" t="n">
        <v>-72.93967850650218</v>
      </c>
      <c r="J189" t="inlineStr">
        <is>
          <t>India|LYINR.SW|2009</t>
        </is>
      </c>
      <c r="K189" t="inlineStr">
        <is>
          <t>India|2009</t>
        </is>
      </c>
      <c r="L189" t="inlineStr">
        <is>
          <t>USD</t>
        </is>
      </c>
      <c r="M189" t="n">
        <v>84.86682850650217</v>
      </c>
      <c r="N189" t="n">
        <v>0</v>
      </c>
      <c r="O189" t="n">
        <v>84.86682850650217</v>
      </c>
      <c r="P189" t="n">
        <v>-3.056339149337006</v>
      </c>
      <c r="Q189" t="n">
        <v>90.69511805550707</v>
      </c>
      <c r="R189" t="n">
        <v>10.607</v>
      </c>
      <c r="S189" t="n">
        <v>-0.32</v>
      </c>
      <c r="T189" t="n">
        <v>10.927</v>
      </c>
      <c r="U189" t="n">
        <v>1341889000000</v>
      </c>
    </row>
    <row r="190">
      <c r="A190" t="inlineStr">
        <is>
          <t>India</t>
        </is>
      </c>
      <c r="B190" t="inlineStr">
        <is>
          <t>IND</t>
        </is>
      </c>
      <c r="C190" t="inlineStr">
        <is>
          <t>LYINR.SW</t>
        </is>
      </c>
      <c r="D190" t="n">
        <v>2010</v>
      </c>
      <c r="E190" t="n">
        <v>15.82319232129035</v>
      </c>
      <c r="F190" t="n">
        <v>8.497999999999999</v>
      </c>
      <c r="G190" t="n">
        <v>19.917976</v>
      </c>
      <c r="H190" t="n">
        <v>24.869866</v>
      </c>
      <c r="I190" t="n">
        <v>9.046673678709652</v>
      </c>
      <c r="J190" t="inlineStr">
        <is>
          <t>India|LYINR.SW|2010</t>
        </is>
      </c>
      <c r="K190" t="inlineStr">
        <is>
          <t>India|2010</t>
        </is>
      </c>
      <c r="L190" t="inlineStr">
        <is>
          <t>USD</t>
        </is>
      </c>
      <c r="M190" t="n">
        <v>15.82319232129035</v>
      </c>
      <c r="N190" t="n">
        <v>0</v>
      </c>
      <c r="O190" t="n">
        <v>15.82319232129035</v>
      </c>
      <c r="P190" t="n">
        <v>4.129398035325216</v>
      </c>
      <c r="Q190" t="n">
        <v>11.23006039274144</v>
      </c>
      <c r="R190" t="n">
        <v>9.368</v>
      </c>
      <c r="S190" t="n">
        <v>1.637</v>
      </c>
      <c r="T190" t="n">
        <v>7.731</v>
      </c>
      <c r="U190" t="n">
        <v>1675615000000</v>
      </c>
    </row>
    <row r="191">
      <c r="A191" t="inlineStr">
        <is>
          <t>India</t>
        </is>
      </c>
      <c r="B191" t="inlineStr">
        <is>
          <t>IND</t>
        </is>
      </c>
      <c r="C191" t="inlineStr">
        <is>
          <t>LYINR.SW</t>
        </is>
      </c>
      <c r="D191" t="n">
        <v>2011</v>
      </c>
      <c r="E191" t="n">
        <v>-37.81558534197283</v>
      </c>
      <c r="F191" t="n">
        <v>5.241</v>
      </c>
      <c r="G191" t="n">
        <v>14.432698</v>
      </c>
      <c r="H191" t="n">
        <v>8.798978</v>
      </c>
      <c r="I191" t="n">
        <v>46.61456334197283</v>
      </c>
      <c r="J191" t="inlineStr">
        <is>
          <t>India|LYINR.SW|2011</t>
        </is>
      </c>
      <c r="K191" t="inlineStr">
        <is>
          <t>India|2011</t>
        </is>
      </c>
      <c r="L191" t="inlineStr">
        <is>
          <t>USD</t>
        </is>
      </c>
      <c r="M191" t="n">
        <v>-37.81558534197283</v>
      </c>
      <c r="N191" t="n">
        <v>0</v>
      </c>
      <c r="O191" t="n">
        <v>-37.81558534197283</v>
      </c>
      <c r="P191" t="n">
        <v>-4.923173031244488</v>
      </c>
      <c r="Q191" t="n">
        <v>-34.59561426207205</v>
      </c>
      <c r="R191" t="n">
        <v>8.112</v>
      </c>
      <c r="S191" t="n">
        <v>3.14</v>
      </c>
      <c r="T191" t="n">
        <v>4.972</v>
      </c>
      <c r="U191" t="n">
        <v>1823052000000</v>
      </c>
    </row>
    <row r="192">
      <c r="A192" t="inlineStr">
        <is>
          <t>India</t>
        </is>
      </c>
      <c r="B192" t="inlineStr">
        <is>
          <t>IND</t>
        </is>
      </c>
      <c r="C192" t="inlineStr">
        <is>
          <t>LYINR.SW</t>
        </is>
      </c>
      <c r="D192" t="n">
        <v>2012</v>
      </c>
      <c r="E192" t="n">
        <v>19.55782437049793</v>
      </c>
      <c r="F192" t="n">
        <v>5.456</v>
      </c>
      <c r="G192" t="n">
        <v>13.823654</v>
      </c>
      <c r="H192" t="n">
        <v>0.251501</v>
      </c>
      <c r="I192" t="n">
        <v>-19.30632337049793</v>
      </c>
      <c r="J192" t="inlineStr">
        <is>
          <t>India|LYINR.SW|2012</t>
        </is>
      </c>
      <c r="K192" t="inlineStr">
        <is>
          <t>India|2012</t>
        </is>
      </c>
      <c r="L192" t="inlineStr">
        <is>
          <t>USD</t>
        </is>
      </c>
      <c r="M192" t="n">
        <v>19.55782437049793</v>
      </c>
      <c r="N192" t="n">
        <v>0</v>
      </c>
      <c r="O192" t="n">
        <v>19.55782437049793</v>
      </c>
      <c r="P192" t="n">
        <v>-11.92384172968695</v>
      </c>
      <c r="Q192" t="n">
        <v>35.74368673479719</v>
      </c>
      <c r="R192" t="n">
        <v>10.049</v>
      </c>
      <c r="S192" t="n">
        <v>2.073</v>
      </c>
      <c r="T192" t="n">
        <v>7.975999999999999</v>
      </c>
      <c r="U192" t="n">
        <v>1827637000000</v>
      </c>
    </row>
    <row r="193">
      <c r="A193" t="inlineStr">
        <is>
          <t>India</t>
        </is>
      </c>
      <c r="B193" t="inlineStr">
        <is>
          <t>IND</t>
        </is>
      </c>
      <c r="C193" t="inlineStr">
        <is>
          <t>LYINR.SW</t>
        </is>
      </c>
      <c r="D193" t="n">
        <v>2013</v>
      </c>
      <c r="E193" t="n">
        <v>-7.384401047106781</v>
      </c>
      <c r="F193" t="n">
        <v>6.386</v>
      </c>
      <c r="G193" t="n">
        <v>12.967706</v>
      </c>
      <c r="H193" t="n">
        <v>1.591344</v>
      </c>
      <c r="I193" t="n">
        <v>8.975745047106781</v>
      </c>
      <c r="J193" t="inlineStr">
        <is>
          <t>India|LYINR.SW|2013</t>
        </is>
      </c>
      <c r="K193" t="inlineStr">
        <is>
          <t>India|2013</t>
        </is>
      </c>
      <c r="L193" t="inlineStr">
        <is>
          <t>USD</t>
        </is>
      </c>
      <c r="M193" t="n">
        <v>-7.384401047106781</v>
      </c>
      <c r="N193" t="n">
        <v>0</v>
      </c>
      <c r="O193" t="n">
        <v>-7.384401047106781</v>
      </c>
      <c r="P193" t="n">
        <v>-10.07045475123239</v>
      </c>
      <c r="Q193" t="n">
        <v>2.986842307158688</v>
      </c>
      <c r="R193" t="n">
        <v>9.382999999999999</v>
      </c>
      <c r="S193" t="n">
        <v>1.466</v>
      </c>
      <c r="T193" t="n">
        <v>7.916999999999999</v>
      </c>
      <c r="U193" t="n">
        <v>1856721000000</v>
      </c>
    </row>
    <row r="194">
      <c r="A194" t="inlineStr">
        <is>
          <t>India</t>
        </is>
      </c>
      <c r="B194" t="inlineStr">
        <is>
          <t>IND</t>
        </is>
      </c>
      <c r="C194" t="inlineStr">
        <is>
          <t>LYINR.SW</t>
        </is>
      </c>
      <c r="D194" t="n">
        <v>2014</v>
      </c>
      <c r="E194" t="n">
        <v>24.29118066120979</v>
      </c>
      <c r="F194" t="n">
        <v>7.41</v>
      </c>
      <c r="G194" t="n">
        <v>10.988898</v>
      </c>
      <c r="H194" t="n">
        <v>9.824093</v>
      </c>
      <c r="I194" t="n">
        <v>-14.46708766120979</v>
      </c>
      <c r="J194" t="inlineStr">
        <is>
          <t>India|LYINR.SW|2014</t>
        </is>
      </c>
      <c r="K194" t="inlineStr">
        <is>
          <t>India|2014</t>
        </is>
      </c>
      <c r="L194" t="inlineStr">
        <is>
          <t>USD</t>
        </is>
      </c>
      <c r="M194" t="n">
        <v>24.29118066120979</v>
      </c>
      <c r="N194" t="n">
        <v>0</v>
      </c>
      <c r="O194" t="n">
        <v>24.29118066120979</v>
      </c>
      <c r="P194" t="n">
        <v>-1.049478300048123</v>
      </c>
      <c r="Q194" t="n">
        <v>25.6094243121815</v>
      </c>
      <c r="R194" t="n">
        <v>5.833</v>
      </c>
      <c r="S194" t="n">
        <v>1.615</v>
      </c>
      <c r="T194" t="n">
        <v>4.218</v>
      </c>
      <c r="U194" t="n">
        <v>2039127000000</v>
      </c>
    </row>
    <row r="195">
      <c r="A195" t="inlineStr">
        <is>
          <t>India</t>
        </is>
      </c>
      <c r="B195" t="inlineStr">
        <is>
          <t>IND</t>
        </is>
      </c>
      <c r="C195" t="inlineStr">
        <is>
          <t>LYINR.SW</t>
        </is>
      </c>
      <c r="D195" t="n">
        <v>2015</v>
      </c>
      <c r="E195" t="n">
        <v>-8.312804475504365</v>
      </c>
      <c r="F195" t="n">
        <v>7.996</v>
      </c>
      <c r="G195" t="n">
        <v>10.458086</v>
      </c>
      <c r="H195" t="n">
        <v>3.161206</v>
      </c>
      <c r="I195" t="n">
        <v>11.47401047550436</v>
      </c>
      <c r="J195" t="inlineStr">
        <is>
          <t>India|LYINR.SW|2015</t>
        </is>
      </c>
      <c r="K195" t="inlineStr">
        <is>
          <t>India|2015</t>
        </is>
      </c>
      <c r="L195" t="inlineStr">
        <is>
          <t>USD</t>
        </is>
      </c>
      <c r="M195" t="n">
        <v>-8.312804475504365</v>
      </c>
      <c r="N195" t="n">
        <v>0</v>
      </c>
      <c r="O195" t="n">
        <v>-8.312804475504365</v>
      </c>
      <c r="P195" t="n">
        <v>-6.606017421106358</v>
      </c>
      <c r="Q195" t="n">
        <v>-1.827512873172765</v>
      </c>
      <c r="R195" t="n">
        <v>4.908</v>
      </c>
      <c r="S195" t="n">
        <v>0.121</v>
      </c>
      <c r="T195" t="n">
        <v>4.787000000000001</v>
      </c>
      <c r="U195" t="n">
        <v>2103588000000</v>
      </c>
    </row>
    <row r="196">
      <c r="A196" t="inlineStr">
        <is>
          <t>India</t>
        </is>
      </c>
      <c r="B196" t="inlineStr">
        <is>
          <t>IND</t>
        </is>
      </c>
      <c r="C196" t="inlineStr">
        <is>
          <t>LYINR.SW</t>
        </is>
      </c>
      <c r="D196" t="n">
        <v>2016</v>
      </c>
      <c r="E196" t="n">
        <v>0.06863575217086471</v>
      </c>
      <c r="F196" t="n">
        <v>8.256</v>
      </c>
      <c r="G196" t="n">
        <v>11.761656</v>
      </c>
      <c r="H196" t="n">
        <v>9.08966</v>
      </c>
      <c r="I196" t="n">
        <v>9.021024247829136</v>
      </c>
      <c r="J196" t="inlineStr">
        <is>
          <t>India|LYINR.SW|2016</t>
        </is>
      </c>
      <c r="K196" t="inlineStr">
        <is>
          <t>India|2016</t>
        </is>
      </c>
      <c r="L196" t="inlineStr">
        <is>
          <t>USD</t>
        </is>
      </c>
      <c r="M196" t="n">
        <v>0.06863575217086471</v>
      </c>
      <c r="N196" t="n">
        <v>0</v>
      </c>
      <c r="O196" t="n">
        <v>0.06863575217086471</v>
      </c>
      <c r="P196" t="n">
        <v>-2.390798540526762</v>
      </c>
      <c r="Q196" t="n">
        <v>2.519674637148595</v>
      </c>
      <c r="R196" t="n">
        <v>4.525</v>
      </c>
      <c r="S196" t="n">
        <v>1.267</v>
      </c>
      <c r="T196" t="n">
        <v>3.258</v>
      </c>
      <c r="U196" t="n">
        <v>2294797000000</v>
      </c>
    </row>
    <row r="197">
      <c r="A197" t="inlineStr">
        <is>
          <t>India</t>
        </is>
      </c>
      <c r="B197" t="inlineStr">
        <is>
          <t>IND</t>
        </is>
      </c>
      <c r="C197" t="inlineStr">
        <is>
          <t>LYINR.SW</t>
        </is>
      </c>
      <c r="D197" t="n">
        <v>2017</v>
      </c>
      <c r="E197" t="n">
        <v>37.54290552693875</v>
      </c>
      <c r="F197" t="n">
        <v>6.795</v>
      </c>
      <c r="G197" t="n">
        <v>11.034345</v>
      </c>
      <c r="H197" t="n">
        <v>15.542856</v>
      </c>
      <c r="I197" t="n">
        <v>-22.00004952693875</v>
      </c>
      <c r="J197" t="inlineStr">
        <is>
          <t>India|LYINR.SW|2017</t>
        </is>
      </c>
      <c r="K197" t="inlineStr">
        <is>
          <t>India|2017</t>
        </is>
      </c>
      <c r="L197" t="inlineStr">
        <is>
          <t>USD</t>
        </is>
      </c>
      <c r="M197" t="n">
        <v>37.54290552693875</v>
      </c>
      <c r="N197" t="n">
        <v>0</v>
      </c>
      <c r="O197" t="n">
        <v>37.54290552693875</v>
      </c>
      <c r="P197" t="n">
        <v>4.060465333542962</v>
      </c>
      <c r="Q197" t="n">
        <v>32.1759470189521</v>
      </c>
      <c r="R197" t="n">
        <v>3.587</v>
      </c>
      <c r="S197" t="n">
        <v>2.131</v>
      </c>
      <c r="T197" t="n">
        <v>1.456</v>
      </c>
      <c r="U197" t="n">
        <v>2651474000000</v>
      </c>
    </row>
    <row r="198">
      <c r="A198" t="inlineStr">
        <is>
          <t>India</t>
        </is>
      </c>
      <c r="B198" t="inlineStr">
        <is>
          <t>IND</t>
        </is>
      </c>
      <c r="C198" t="inlineStr">
        <is>
          <t>LYINR.SW</t>
        </is>
      </c>
      <c r="D198" t="n">
        <v>2018</v>
      </c>
      <c r="E198" t="n">
        <v>-9.304655485984137</v>
      </c>
      <c r="F198" t="n">
        <v>6.454</v>
      </c>
      <c r="G198" t="n">
        <v>10.588799</v>
      </c>
      <c r="H198" t="n">
        <v>1.940656</v>
      </c>
      <c r="I198" t="n">
        <v>11.24531148598414</v>
      </c>
      <c r="J198" t="inlineStr">
        <is>
          <t>India|LYINR.SW|2018</t>
        </is>
      </c>
      <c r="K198" t="inlineStr">
        <is>
          <t>India|2018</t>
        </is>
      </c>
      <c r="L198" t="inlineStr">
        <is>
          <t>USD</t>
        </is>
      </c>
      <c r="M198" t="n">
        <v>-9.304655485984137</v>
      </c>
      <c r="N198" t="n">
        <v>0</v>
      </c>
      <c r="O198" t="n">
        <v>-9.304655485984137</v>
      </c>
      <c r="P198" t="n">
        <v>-7.820089155916065</v>
      </c>
      <c r="Q198" t="n">
        <v>-1.610509618065392</v>
      </c>
      <c r="R198" t="n">
        <v>3.414</v>
      </c>
      <c r="S198" t="n">
        <v>2.439</v>
      </c>
      <c r="T198" t="n">
        <v>0.9750000000000001</v>
      </c>
      <c r="U198" t="n">
        <v>2702930000000</v>
      </c>
    </row>
    <row r="199">
      <c r="A199" t="inlineStr">
        <is>
          <t>India</t>
        </is>
      </c>
      <c r="B199" t="inlineStr">
        <is>
          <t>IND</t>
        </is>
      </c>
      <c r="C199" t="inlineStr">
        <is>
          <t>LYINR.SW</t>
        </is>
      </c>
      <c r="D199" t="n">
        <v>2019</v>
      </c>
      <c r="E199" t="n">
        <v>9.547509593920278</v>
      </c>
      <c r="F199" t="n">
        <v>3.871</v>
      </c>
      <c r="G199" t="n">
        <v>6.370058</v>
      </c>
      <c r="H199" t="n">
        <v>4.908599</v>
      </c>
      <c r="I199" t="n">
        <v>-4.638910593920278</v>
      </c>
      <c r="J199" t="inlineStr">
        <is>
          <t>India|LYINR.SW|2019</t>
        </is>
      </c>
      <c r="K199" t="inlineStr">
        <is>
          <t>India|2019</t>
        </is>
      </c>
      <c r="L199" t="inlineStr">
        <is>
          <t>USD</t>
        </is>
      </c>
      <c r="M199" t="n">
        <v>9.547509593920278</v>
      </c>
      <c r="N199" t="n">
        <v>0</v>
      </c>
      <c r="O199" t="n">
        <v>9.547509593920278</v>
      </c>
      <c r="P199" t="n">
        <v>-1.373938446170708</v>
      </c>
      <c r="Q199" t="n">
        <v>11.07359238321624</v>
      </c>
      <c r="R199" t="n">
        <v>4.769</v>
      </c>
      <c r="S199" t="n">
        <v>1.813</v>
      </c>
      <c r="T199" t="n">
        <v>2.956</v>
      </c>
      <c r="U199" t="n">
        <v>2835606000000</v>
      </c>
    </row>
    <row r="200">
      <c r="A200" t="inlineStr">
        <is>
          <t>India</t>
        </is>
      </c>
      <c r="B200" t="inlineStr">
        <is>
          <t>IND</t>
        </is>
      </c>
      <c r="C200" t="inlineStr">
        <is>
          <t>LYINR.SW</t>
        </is>
      </c>
      <c r="D200" t="n">
        <v>2020</v>
      </c>
      <c r="E200" t="n">
        <v>12.54019928737056</v>
      </c>
      <c r="F200" t="n">
        <v>-5.778</v>
      </c>
      <c r="G200" t="n">
        <v>-1.241022</v>
      </c>
      <c r="H200" t="n">
        <v>-5.669123</v>
      </c>
      <c r="I200" t="n">
        <v>-18.20932228737056</v>
      </c>
      <c r="J200" t="inlineStr">
        <is>
          <t>India|LYINR.SW|2020</t>
        </is>
      </c>
      <c r="K200" t="inlineStr">
        <is>
          <t>India|2020</t>
        </is>
      </c>
      <c r="L200" t="inlineStr">
        <is>
          <t>USD</t>
        </is>
      </c>
      <c r="M200" t="n">
        <v>12.54019928737056</v>
      </c>
      <c r="N200" t="n">
        <v>0</v>
      </c>
      <c r="O200" t="n">
        <v>12.54019928737056</v>
      </c>
      <c r="P200" t="n">
        <v>-4.483745431379016</v>
      </c>
      <c r="Q200" t="n">
        <v>17.82308654755635</v>
      </c>
      <c r="R200" t="n">
        <v>6.165</v>
      </c>
      <c r="S200" t="n">
        <v>1.253</v>
      </c>
      <c r="T200" t="n">
        <v>4.912</v>
      </c>
      <c r="U200" t="n">
        <v>2674852000000</v>
      </c>
    </row>
    <row r="201">
      <c r="A201" t="inlineStr">
        <is>
          <t>India</t>
        </is>
      </c>
      <c r="B201" t="inlineStr">
        <is>
          <t>IND</t>
        </is>
      </c>
      <c r="C201" t="inlineStr">
        <is>
          <t>LYINR.SW</t>
        </is>
      </c>
      <c r="D201" t="n">
        <v>2021</v>
      </c>
      <c r="E201" t="n">
        <v>22.28506403642434</v>
      </c>
      <c r="F201" t="n">
        <v>9.69</v>
      </c>
      <c r="G201" t="n">
        <v>18.85404</v>
      </c>
      <c r="H201" t="n">
        <v>18.409205</v>
      </c>
      <c r="I201" t="n">
        <v>-3.875859036424341</v>
      </c>
      <c r="J201" t="inlineStr">
        <is>
          <t>India|LYINR.SW|2021</t>
        </is>
      </c>
      <c r="K201" t="inlineStr">
        <is>
          <t>India|2021</t>
        </is>
      </c>
      <c r="L201" t="inlineStr">
        <is>
          <t>USD</t>
        </is>
      </c>
      <c r="M201" t="n">
        <v>22.28506403642434</v>
      </c>
      <c r="N201" t="n">
        <v>0</v>
      </c>
      <c r="O201" t="n">
        <v>22.28506403642434</v>
      </c>
      <c r="P201" t="n">
        <v>-0.3742698007604184</v>
      </c>
      <c r="Q201" t="n">
        <v>22.74445948036596</v>
      </c>
      <c r="R201" t="n">
        <v>5.506</v>
      </c>
      <c r="S201" t="n">
        <v>4.679</v>
      </c>
      <c r="T201" t="n">
        <v>0.827</v>
      </c>
      <c r="U201" t="n">
        <v>3167271000000</v>
      </c>
    </row>
    <row r="202">
      <c r="A202" t="inlineStr">
        <is>
          <t>India</t>
        </is>
      </c>
      <c r="B202" t="inlineStr">
        <is>
          <t>IND</t>
        </is>
      </c>
      <c r="C202" t="inlineStr">
        <is>
          <t>LYINR.SW</t>
        </is>
      </c>
      <c r="D202" t="n">
        <v>2022</v>
      </c>
      <c r="E202" t="n">
        <v>-10.74229984980545</v>
      </c>
      <c r="F202" t="n">
        <v>7.609</v>
      </c>
      <c r="G202" t="n">
        <v>13.955224</v>
      </c>
      <c r="H202" t="n">
        <v>5.646375</v>
      </c>
      <c r="I202" t="n">
        <v>16.38867484980545</v>
      </c>
      <c r="J202" t="inlineStr">
        <is>
          <t>India|LYINR.SW|2022</t>
        </is>
      </c>
      <c r="K202" t="inlineStr">
        <is>
          <t>India|2022</t>
        </is>
      </c>
      <c r="L202" t="inlineStr">
        <is>
          <t>USD</t>
        </is>
      </c>
      <c r="M202" t="n">
        <v>-10.74229984980545</v>
      </c>
      <c r="N202" t="n">
        <v>0</v>
      </c>
      <c r="O202" t="n">
        <v>-10.74229984980545</v>
      </c>
      <c r="P202" t="n">
        <v>-7.291327709406925</v>
      </c>
      <c r="Q202" t="n">
        <v>-3.722383305826593</v>
      </c>
      <c r="R202" t="n">
        <v>6.653</v>
      </c>
      <c r="S202" t="n">
        <v>7.993</v>
      </c>
      <c r="T202" t="n">
        <v>-1.340000000000001</v>
      </c>
      <c r="U202" t="n">
        <v>3346107000000</v>
      </c>
    </row>
    <row r="203">
      <c r="A203" t="inlineStr">
        <is>
          <t>India</t>
        </is>
      </c>
      <c r="B203" t="inlineStr">
        <is>
          <t>IND</t>
        </is>
      </c>
      <c r="C203" t="inlineStr">
        <is>
          <t>LYINR.SW</t>
        </is>
      </c>
      <c r="D203" t="n">
        <v>2023</v>
      </c>
      <c r="E203" t="n">
        <v>19.4868653550923</v>
      </c>
      <c r="F203" t="n">
        <v>9.191000000000001</v>
      </c>
      <c r="G203" t="n">
        <v>12.02095</v>
      </c>
      <c r="H203" t="n">
        <v>8.738004999999999</v>
      </c>
      <c r="I203" t="n">
        <v>-10.7488603550923</v>
      </c>
      <c r="J203" t="inlineStr">
        <is>
          <t>India|LYINR.SW|2023</t>
        </is>
      </c>
      <c r="K203" t="inlineStr">
        <is>
          <t>India|2023</t>
        </is>
      </c>
      <c r="L203" t="inlineStr">
        <is>
          <t>USD</t>
        </is>
      </c>
      <c r="M203" t="n">
        <v>19.4868653550923</v>
      </c>
      <c r="N203" t="n">
        <v>0</v>
      </c>
      <c r="O203" t="n">
        <v>19.4868653550923</v>
      </c>
      <c r="P203" t="n">
        <v>-2.930652772798581</v>
      </c>
      <c r="Q203" t="n">
        <v>23.09433283343323</v>
      </c>
      <c r="R203" t="n">
        <v>5.361</v>
      </c>
      <c r="S203" t="n">
        <v>4.128</v>
      </c>
      <c r="T203" t="n">
        <v>1.233</v>
      </c>
      <c r="U203" t="n">
        <v>3638490000000</v>
      </c>
    </row>
    <row r="204">
      <c r="A204" t="inlineStr">
        <is>
          <t>India</t>
        </is>
      </c>
      <c r="B204" t="inlineStr">
        <is>
          <t>IND</t>
        </is>
      </c>
      <c r="C204" t="inlineStr">
        <is>
          <t>LYINR.SW</t>
        </is>
      </c>
      <c r="D204" t="n">
        <v>2024</v>
      </c>
      <c r="E204" t="n">
        <v>9.413377097400467</v>
      </c>
      <c r="F204" t="n">
        <v>6.495</v>
      </c>
      <c r="G204" t="n">
        <v>9.777226000000001</v>
      </c>
      <c r="H204" t="n">
        <v>7.459193</v>
      </c>
      <c r="I204" t="n">
        <v>-1.954184097400467</v>
      </c>
      <c r="J204" t="inlineStr">
        <is>
          <t>India|LYINR.SW|2024</t>
        </is>
      </c>
      <c r="K204" t="inlineStr">
        <is>
          <t>India|2024</t>
        </is>
      </c>
      <c r="L204" t="inlineStr">
        <is>
          <t>USD</t>
        </is>
      </c>
      <c r="M204" t="n">
        <v>9.413377097400467</v>
      </c>
      <c r="N204" t="n">
        <v>0</v>
      </c>
      <c r="O204" t="n">
        <v>9.413377097400467</v>
      </c>
      <c r="P204" t="n">
        <v>-2.11157928390201</v>
      </c>
      <c r="Q204" t="n">
        <v>11.77356453091409</v>
      </c>
      <c r="R204" t="n">
        <v>4.626</v>
      </c>
      <c r="S204" t="n">
        <v>2.952</v>
      </c>
      <c r="T204" t="n">
        <v>1.674</v>
      </c>
      <c r="U204" t="n">
        <v>3909892000000</v>
      </c>
    </row>
    <row r="205">
      <c r="A205" t="inlineStr">
        <is>
          <t>India</t>
        </is>
      </c>
      <c r="B205" t="inlineStr">
        <is>
          <t>IND</t>
        </is>
      </c>
      <c r="C205" t="inlineStr">
        <is>
          <t>LYINR.SW</t>
        </is>
      </c>
      <c r="D205" t="n">
        <v>2025</v>
      </c>
      <c r="E205" t="n">
        <v>-0.8894369562915561</v>
      </c>
      <c r="F205" t="n">
        <v>6.646</v>
      </c>
      <c r="G205" t="n">
        <v>8.515731000000001</v>
      </c>
      <c r="H205" t="n">
        <v>5.507083</v>
      </c>
      <c r="I205" t="n">
        <v>6.396519956291556</v>
      </c>
      <c r="J205" t="inlineStr">
        <is>
          <t>India|LYINR.SW|2025</t>
        </is>
      </c>
      <c r="K205" t="inlineStr">
        <is>
          <t>India|2025</t>
        </is>
      </c>
      <c r="L205" t="inlineStr">
        <is>
          <t>USD</t>
        </is>
      </c>
      <c r="M205" t="n">
        <v>-0.8894369562915561</v>
      </c>
      <c r="N205" t="n">
        <v>0</v>
      </c>
      <c r="O205" t="n">
        <v>-0.8894369562915561</v>
      </c>
      <c r="P205" t="n">
        <v>-2.772545698409046</v>
      </c>
      <c r="Q205" t="n">
        <v>1.936807618428693</v>
      </c>
      <c r="R205" t="n">
        <v>2.822</v>
      </c>
      <c r="S205" t="n">
        <v>2.715</v>
      </c>
      <c r="T205" t="n">
        <v>0.1070000000000002</v>
      </c>
      <c r="U205" t="n">
        <v>4125213000000</v>
      </c>
    </row>
    <row r="206">
      <c r="A206" t="inlineStr">
        <is>
          <t>India</t>
        </is>
      </c>
      <c r="B206" t="inlineStr">
        <is>
          <t>IND</t>
        </is>
      </c>
      <c r="C206" t="inlineStr">
        <is>
          <t>LYINR.SW</t>
        </is>
      </c>
      <c r="D206" t="n">
        <v>2026</v>
      </c>
      <c r="E206" t="n">
        <v>-10.94701369260255</v>
      </c>
      <c r="F206" t="n">
        <v>6.159</v>
      </c>
      <c r="G206" t="n">
        <v>10.122338</v>
      </c>
      <c r="H206" t="n">
        <v>9.221730000000001</v>
      </c>
      <c r="I206" t="n">
        <v>20.16874369260255</v>
      </c>
      <c r="J206" t="inlineStr">
        <is>
          <t>India|LYINR.SW|2026</t>
        </is>
      </c>
      <c r="K206" t="inlineStr">
        <is>
          <t>India|2026</t>
        </is>
      </c>
      <c r="L206" t="inlineStr">
        <is>
          <t>USD</t>
        </is>
      </c>
      <c r="M206" t="n">
        <v>-10.94701369260255</v>
      </c>
      <c r="N206" t="n">
        <v>0</v>
      </c>
      <c r="O206" t="n">
        <v>-10.94701369260255</v>
      </c>
      <c r="P206" t="n">
        <v>-0.8178255346367069</v>
      </c>
      <c r="Q206" t="n">
        <v>-10.21271031066493</v>
      </c>
      <c r="R206" t="n">
        <v>4.046</v>
      </c>
      <c r="S206" t="n">
        <v>2.435</v>
      </c>
      <c r="T206" t="n">
        <v>1.611</v>
      </c>
      <c r="U206" t="n">
        <v>4505629000000</v>
      </c>
    </row>
    <row r="207">
      <c r="A207" t="inlineStr">
        <is>
          <t>India</t>
        </is>
      </c>
      <c r="B207" t="inlineStr">
        <is>
          <t>IND</t>
        </is>
      </c>
      <c r="C207" t="inlineStr">
        <is>
          <t>LYINR.SW</t>
        </is>
      </c>
      <c r="D207" t="n">
        <v>2027</v>
      </c>
      <c r="E207" t="inlineStr"/>
      <c r="F207" t="n">
        <v>6.409</v>
      </c>
      <c r="G207" t="n">
        <v>10.664874</v>
      </c>
      <c r="H207" t="n">
        <v>10.061281</v>
      </c>
      <c r="I207" t="inlineStr"/>
      <c r="J207" t="inlineStr">
        <is>
          <t>India|LYINR.SW|2027</t>
        </is>
      </c>
      <c r="K207" t="inlineStr">
        <is>
          <t>India|2027</t>
        </is>
      </c>
      <c r="L207" t="inlineStr">
        <is>
          <t>USD</t>
        </is>
      </c>
      <c r="M207" t="inlineStr"/>
      <c r="N207" t="inlineStr"/>
      <c r="O207" t="inlineStr"/>
      <c r="P207" t="n">
        <v>-0.545423849367288</v>
      </c>
      <c r="Q207" t="inlineStr"/>
      <c r="R207" t="n">
        <v>4</v>
      </c>
      <c r="S207" t="n">
        <v>2.185</v>
      </c>
      <c r="T207" t="n">
        <v>1.815</v>
      </c>
      <c r="U207" t="n">
        <v>4958953000000</v>
      </c>
    </row>
    <row r="208">
      <c r="A208" t="inlineStr">
        <is>
          <t>India</t>
        </is>
      </c>
      <c r="B208" t="inlineStr">
        <is>
          <t>IND</t>
        </is>
      </c>
      <c r="C208" t="inlineStr">
        <is>
          <t>LYINR.SW</t>
        </is>
      </c>
      <c r="D208" t="n">
        <v>2028</v>
      </c>
      <c r="E208" t="inlineStr"/>
      <c r="F208" t="n">
        <v>6.481</v>
      </c>
      <c r="G208" t="n">
        <v>10.739654</v>
      </c>
      <c r="H208" t="n">
        <v>10.137624</v>
      </c>
      <c r="I208" t="inlineStr"/>
      <c r="J208" t="inlineStr">
        <is>
          <t>India|LYINR.SW|2028</t>
        </is>
      </c>
      <c r="K208" t="inlineStr">
        <is>
          <t>India|2028</t>
        </is>
      </c>
      <c r="L208" t="inlineStr">
        <is>
          <t>USD</t>
        </is>
      </c>
      <c r="M208" t="inlineStr"/>
      <c r="N208" t="inlineStr"/>
      <c r="O208" t="inlineStr"/>
      <c r="P208" t="n">
        <v>-0.543644850442615</v>
      </c>
      <c r="Q208" t="inlineStr"/>
      <c r="R208" t="n">
        <v>4</v>
      </c>
      <c r="S208" t="n">
        <v>2.206</v>
      </c>
      <c r="T208" t="n">
        <v>1.794</v>
      </c>
      <c r="U208" t="n">
        <v>5461673000000</v>
      </c>
    </row>
    <row r="209">
      <c r="A209" t="inlineStr">
        <is>
          <t>India</t>
        </is>
      </c>
      <c r="B209" t="inlineStr">
        <is>
          <t>IND</t>
        </is>
      </c>
      <c r="C209" t="inlineStr">
        <is>
          <t>LYINR.SW</t>
        </is>
      </c>
      <c r="D209" t="n">
        <v>2029</v>
      </c>
      <c r="E209" t="inlineStr"/>
      <c r="F209" t="n">
        <v>6.495</v>
      </c>
      <c r="G209" t="n">
        <v>10.753957</v>
      </c>
      <c r="H209" t="n">
        <v>10.149381</v>
      </c>
      <c r="I209" t="inlineStr"/>
      <c r="J209" t="inlineStr">
        <is>
          <t>India|LYINR.SW|2029</t>
        </is>
      </c>
      <c r="K209" t="inlineStr">
        <is>
          <t>India|2029</t>
        </is>
      </c>
      <c r="L209" t="inlineStr">
        <is>
          <t>USD</t>
        </is>
      </c>
      <c r="M209" t="inlineStr"/>
      <c r="N209" t="inlineStr"/>
      <c r="O209" t="inlineStr"/>
      <c r="P209" t="n">
        <v>-0.5458730422895797</v>
      </c>
      <c r="Q209" t="inlineStr"/>
      <c r="R209" t="n">
        <v>4</v>
      </c>
      <c r="S209" t="n">
        <v>2.203</v>
      </c>
      <c r="T209" t="n">
        <v>1.797</v>
      </c>
      <c r="U209" t="n">
        <v>6015999000000</v>
      </c>
    </row>
    <row r="210">
      <c r="A210" t="inlineStr">
        <is>
          <t>Indonesia</t>
        </is>
      </c>
      <c r="B210" t="inlineStr">
        <is>
          <t>IDN</t>
        </is>
      </c>
      <c r="C210" t="inlineStr">
        <is>
          <t>INDO.PA</t>
        </is>
      </c>
      <c r="D210" t="n">
        <v>2004</v>
      </c>
      <c r="E210" t="inlineStr"/>
      <c r="F210" t="n">
        <v>5.031</v>
      </c>
      <c r="G210" t="inlineStr"/>
      <c r="H210" t="inlineStr"/>
      <c r="I210" t="inlineStr"/>
      <c r="J210" t="inlineStr">
        <is>
          <t>Indonesia|INDO.PA|2004</t>
        </is>
      </c>
      <c r="K210" t="inlineStr">
        <is>
          <t>Indonesia|2004</t>
        </is>
      </c>
      <c r="L210" t="inlineStr">
        <is>
          <t>EUR</t>
        </is>
      </c>
      <c r="M210" t="inlineStr"/>
      <c r="N210" t="inlineStr"/>
      <c r="O210" t="inlineStr"/>
      <c r="P210" t="inlineStr"/>
      <c r="Q210" t="inlineStr"/>
      <c r="R210" t="n">
        <v>6.062</v>
      </c>
      <c r="S210" t="n">
        <v>2.668</v>
      </c>
      <c r="T210" t="n">
        <v>3.394</v>
      </c>
      <c r="U210" t="n">
        <v>279344000000</v>
      </c>
    </row>
    <row r="211">
      <c r="A211" t="inlineStr">
        <is>
          <t>Indonesia</t>
        </is>
      </c>
      <c r="B211" t="inlineStr">
        <is>
          <t>IDN</t>
        </is>
      </c>
      <c r="C211" t="inlineStr">
        <is>
          <t>INDO.PA</t>
        </is>
      </c>
      <c r="D211" t="n">
        <v>2005</v>
      </c>
      <c r="E211" t="inlineStr"/>
      <c r="F211" t="n">
        <v>5.693</v>
      </c>
      <c r="G211" t="n">
        <v>20.840204</v>
      </c>
      <c r="H211" t="n">
        <v>11.303626</v>
      </c>
      <c r="I211" t="inlineStr"/>
      <c r="J211" t="inlineStr">
        <is>
          <t>Indonesia|INDO.PA|2005</t>
        </is>
      </c>
      <c r="K211" t="inlineStr">
        <is>
          <t>Indonesia|2005</t>
        </is>
      </c>
      <c r="L211" t="inlineStr">
        <is>
          <t>EUR</t>
        </is>
      </c>
      <c r="M211" t="inlineStr"/>
      <c r="N211" t="inlineStr"/>
      <c r="O211" t="inlineStr"/>
      <c r="P211" t="n">
        <v>-7.891892265503719</v>
      </c>
      <c r="Q211" t="inlineStr"/>
      <c r="R211" t="n">
        <v>10.464</v>
      </c>
      <c r="S211" t="n">
        <v>3.366</v>
      </c>
      <c r="T211" t="n">
        <v>7.098000000000001</v>
      </c>
      <c r="U211" t="n">
        <v>310920000000</v>
      </c>
    </row>
    <row r="212">
      <c r="A212" t="inlineStr">
        <is>
          <t>Indonesia</t>
        </is>
      </c>
      <c r="B212" t="inlineStr">
        <is>
          <t>IDN</t>
        </is>
      </c>
      <c r="C212" t="inlineStr">
        <is>
          <t>INDO.PA</t>
        </is>
      </c>
      <c r="D212" t="n">
        <v>2006</v>
      </c>
      <c r="E212" t="inlineStr"/>
      <c r="F212" t="n">
        <v>5.501</v>
      </c>
      <c r="G212" t="n">
        <v>20.363318</v>
      </c>
      <c r="H212" t="n">
        <v>27.530554</v>
      </c>
      <c r="I212" t="inlineStr"/>
      <c r="J212" t="inlineStr">
        <is>
          <t>Indonesia|INDO.PA|2006</t>
        </is>
      </c>
      <c r="K212" t="inlineStr">
        <is>
          <t>Indonesia|2006</t>
        </is>
      </c>
      <c r="L212" t="inlineStr">
        <is>
          <t>EUR</t>
        </is>
      </c>
      <c r="M212" t="inlineStr"/>
      <c r="N212" t="inlineStr"/>
      <c r="O212" t="inlineStr"/>
      <c r="P212" t="n">
        <v>5.954668266201324</v>
      </c>
      <c r="Q212" t="inlineStr"/>
      <c r="R212" t="n">
        <v>13.099</v>
      </c>
      <c r="S212" t="n">
        <v>3.222</v>
      </c>
      <c r="T212" t="n">
        <v>9.877000000000001</v>
      </c>
      <c r="U212" t="n">
        <v>396518000000</v>
      </c>
    </row>
    <row r="213">
      <c r="A213" t="inlineStr">
        <is>
          <t>Indonesia</t>
        </is>
      </c>
      <c r="B213" t="inlineStr">
        <is>
          <t>IDN</t>
        </is>
      </c>
      <c r="C213" t="inlineStr">
        <is>
          <t>INDO.PA</t>
        </is>
      </c>
      <c r="D213" t="n">
        <v>2007</v>
      </c>
      <c r="E213" t="inlineStr"/>
      <c r="F213" t="n">
        <v>6.345</v>
      </c>
      <c r="G213" t="n">
        <v>18.317959</v>
      </c>
      <c r="H213" t="n">
        <v>18.555021</v>
      </c>
      <c r="I213" t="inlineStr"/>
      <c r="J213" t="inlineStr">
        <is>
          <t>Indonesia|INDO.PA|2007</t>
        </is>
      </c>
      <c r="K213" t="inlineStr">
        <is>
          <t>Indonesia|2007</t>
        </is>
      </c>
      <c r="L213" t="inlineStr">
        <is>
          <t>EUR</t>
        </is>
      </c>
      <c r="M213" t="inlineStr"/>
      <c r="N213" t="inlineStr"/>
      <c r="O213" t="inlineStr"/>
      <c r="P213" t="n">
        <v>0.2003605344262693</v>
      </c>
      <c r="Q213" t="inlineStr"/>
      <c r="R213" t="n">
        <v>6.319</v>
      </c>
      <c r="S213" t="n">
        <v>2.871</v>
      </c>
      <c r="T213" t="n">
        <v>3.448</v>
      </c>
      <c r="U213" t="n">
        <v>470092000000</v>
      </c>
    </row>
    <row r="214">
      <c r="A214" t="inlineStr">
        <is>
          <t>Indonesia</t>
        </is>
      </c>
      <c r="B214" t="inlineStr">
        <is>
          <t>IDN</t>
        </is>
      </c>
      <c r="C214" t="inlineStr">
        <is>
          <t>INDO.PA</t>
        </is>
      </c>
      <c r="D214" t="n">
        <v>2008</v>
      </c>
      <c r="E214" t="inlineStr"/>
      <c r="F214" t="n">
        <v>7.442</v>
      </c>
      <c r="G214" t="n">
        <v>26.011147</v>
      </c>
      <c r="H214" t="n">
        <v>18.762072</v>
      </c>
      <c r="I214" t="inlineStr"/>
      <c r="J214" t="inlineStr">
        <is>
          <t>Indonesia|INDO.PA|2008</t>
        </is>
      </c>
      <c r="K214" t="inlineStr">
        <is>
          <t>Indonesia|2008</t>
        </is>
      </c>
      <c r="L214" t="inlineStr">
        <is>
          <t>EUR</t>
        </is>
      </c>
      <c r="M214" t="inlineStr"/>
      <c r="N214" t="n">
        <v>-4.378515203486955</v>
      </c>
      <c r="O214" t="inlineStr"/>
      <c r="P214" t="n">
        <v>-5.752725401952907</v>
      </c>
      <c r="Q214" t="inlineStr"/>
      <c r="R214" t="n">
        <v>9.871</v>
      </c>
      <c r="S214" t="n">
        <v>3.815</v>
      </c>
      <c r="T214" t="n">
        <v>6.056000000000001</v>
      </c>
      <c r="U214" t="n">
        <v>558291000000</v>
      </c>
    </row>
    <row r="215">
      <c r="A215" t="inlineStr">
        <is>
          <t>Indonesia</t>
        </is>
      </c>
      <c r="B215" t="inlineStr">
        <is>
          <t>IDN</t>
        </is>
      </c>
      <c r="C215" t="inlineStr">
        <is>
          <t>INDO.PA</t>
        </is>
      </c>
      <c r="D215" t="n">
        <v>2009</v>
      </c>
      <c r="E215" t="inlineStr"/>
      <c r="F215" t="n">
        <v>4.702</v>
      </c>
      <c r="G215" t="n">
        <v>11.01663</v>
      </c>
      <c r="H215" t="n">
        <v>3.633589</v>
      </c>
      <c r="I215" t="inlineStr"/>
      <c r="J215" t="inlineStr">
        <is>
          <t>Indonesia|INDO.PA|2009</t>
        </is>
      </c>
      <c r="K215" t="inlineStr">
        <is>
          <t>Indonesia|2009</t>
        </is>
      </c>
      <c r="L215" t="inlineStr">
        <is>
          <t>EUR</t>
        </is>
      </c>
      <c r="M215" t="inlineStr"/>
      <c r="N215" t="n">
        <v>2.34390933478803</v>
      </c>
      <c r="O215" t="inlineStr"/>
      <c r="P215" t="n">
        <v>-6.650392029852292</v>
      </c>
      <c r="Q215" t="inlineStr"/>
      <c r="R215" t="n">
        <v>4.804</v>
      </c>
      <c r="S215" t="n">
        <v>-0.32</v>
      </c>
      <c r="T215" t="n">
        <v>5.124000000000001</v>
      </c>
      <c r="U215" t="n">
        <v>578577000000</v>
      </c>
    </row>
    <row r="216">
      <c r="A216" t="inlineStr">
        <is>
          <t>Indonesia</t>
        </is>
      </c>
      <c r="B216" t="inlineStr">
        <is>
          <t>IDN</t>
        </is>
      </c>
      <c r="C216" t="inlineStr">
        <is>
          <t>INDO.PA</t>
        </is>
      </c>
      <c r="D216" t="n">
        <v>2010</v>
      </c>
      <c r="E216" t="inlineStr"/>
      <c r="F216" t="n">
        <v>6.378</v>
      </c>
      <c r="G216" t="n">
        <v>14.185741</v>
      </c>
      <c r="H216" t="n">
        <v>30.508817</v>
      </c>
      <c r="I216" t="inlineStr"/>
      <c r="J216" t="inlineStr">
        <is>
          <t>Indonesia|INDO.PA|2010</t>
        </is>
      </c>
      <c r="K216" t="inlineStr">
        <is>
          <t>Indonesia|2010</t>
        </is>
      </c>
      <c r="L216" t="inlineStr">
        <is>
          <t>EUR</t>
        </is>
      </c>
      <c r="M216" t="inlineStr"/>
      <c r="N216" t="n">
        <v>-7.565738324128879</v>
      </c>
      <c r="O216" t="inlineStr"/>
      <c r="P216" t="n">
        <v>14.29519653866307</v>
      </c>
      <c r="Q216" t="inlineStr"/>
      <c r="R216" t="n">
        <v>5.137</v>
      </c>
      <c r="S216" t="n">
        <v>1.637</v>
      </c>
      <c r="T216" t="n">
        <v>3.5</v>
      </c>
      <c r="U216" t="n">
        <v>755094000000</v>
      </c>
    </row>
    <row r="217">
      <c r="A217" t="inlineStr">
        <is>
          <t>Indonesia</t>
        </is>
      </c>
      <c r="B217" t="inlineStr">
        <is>
          <t>IDN</t>
        </is>
      </c>
      <c r="C217" t="inlineStr">
        <is>
          <t>INDO.PA</t>
        </is>
      </c>
      <c r="D217" t="n">
        <v>2011</v>
      </c>
      <c r="E217" t="n">
        <v>1.757797241210945</v>
      </c>
      <c r="F217" t="n">
        <v>6.17</v>
      </c>
      <c r="G217" t="n">
        <v>14.09636</v>
      </c>
      <c r="H217" t="n">
        <v>18.259316</v>
      </c>
      <c r="I217" t="n">
        <v>19.56279918644614</v>
      </c>
      <c r="J217" t="inlineStr">
        <is>
          <t>Indonesia|INDO.PA|2011</t>
        </is>
      </c>
      <c r="K217" t="inlineStr">
        <is>
          <t>Indonesia|2011</t>
        </is>
      </c>
      <c r="L217" t="inlineStr">
        <is>
          <t>EUR</t>
        </is>
      </c>
      <c r="M217" t="n">
        <v>1.757797241210945</v>
      </c>
      <c r="N217" t="n">
        <v>-3.008398875223783</v>
      </c>
      <c r="O217" t="n">
        <v>-1.303483186446142</v>
      </c>
      <c r="P217" t="n">
        <v>3.648631954390336</v>
      </c>
      <c r="Q217" t="n">
        <v>-4.777791127060516</v>
      </c>
      <c r="R217" t="n">
        <v>5.345</v>
      </c>
      <c r="S217" t="n">
        <v>3.14</v>
      </c>
      <c r="T217" t="n">
        <v>2.205</v>
      </c>
      <c r="U217" t="n">
        <v>892969000000</v>
      </c>
    </row>
    <row r="218">
      <c r="A218" t="inlineStr">
        <is>
          <t>Indonesia</t>
        </is>
      </c>
      <c r="B218" t="inlineStr">
        <is>
          <t>IDN</t>
        </is>
      </c>
      <c r="C218" t="inlineStr">
        <is>
          <t>INDO.PA</t>
        </is>
      </c>
      <c r="D218" t="n">
        <v>2012</v>
      </c>
      <c r="E218" t="n">
        <v>2.615357179673761</v>
      </c>
      <c r="F218" t="n">
        <v>6.03</v>
      </c>
      <c r="G218" t="n">
        <v>10.01029</v>
      </c>
      <c r="H218" t="n">
        <v>2.788563</v>
      </c>
      <c r="I218" t="n">
        <v>-1.945643600360014</v>
      </c>
      <c r="J218" t="inlineStr">
        <is>
          <t>Indonesia|INDO.PA|2012</t>
        </is>
      </c>
      <c r="K218" t="inlineStr">
        <is>
          <t>Indonesia|2012</t>
        </is>
      </c>
      <c r="L218" t="inlineStr">
        <is>
          <t>EUR</t>
        </is>
      </c>
      <c r="M218" t="n">
        <v>2.615357179673761</v>
      </c>
      <c r="N218" t="n">
        <v>2.064846314354551</v>
      </c>
      <c r="O218" t="n">
        <v>4.734206600360014</v>
      </c>
      <c r="P218" t="n">
        <v>-6.564592761997057</v>
      </c>
      <c r="Q218" t="n">
        <v>12.09263136572654</v>
      </c>
      <c r="R218" t="n">
        <v>3.979</v>
      </c>
      <c r="S218" t="n">
        <v>2.073</v>
      </c>
      <c r="T218" t="n">
        <v>1.906</v>
      </c>
      <c r="U218" t="n">
        <v>917870000000</v>
      </c>
    </row>
    <row r="219">
      <c r="A219" t="inlineStr">
        <is>
          <t>Indonesia</t>
        </is>
      </c>
      <c r="B219" t="inlineStr">
        <is>
          <t>IDN</t>
        </is>
      </c>
      <c r="C219" t="inlineStr">
        <is>
          <t>INDO.PA</t>
        </is>
      </c>
      <c r="D219" t="n">
        <v>2013</v>
      </c>
      <c r="E219" t="n">
        <v>-27.22847389882372</v>
      </c>
      <c r="F219" t="n">
        <v>5.557</v>
      </c>
      <c r="G219" t="n">
        <v>10.799227</v>
      </c>
      <c r="H219" t="n">
        <v>-0.582435</v>
      </c>
      <c r="I219" t="n">
        <v>23.29041481969697</v>
      </c>
      <c r="J219" t="inlineStr">
        <is>
          <t>Indonesia|INDO.PA|2013</t>
        </is>
      </c>
      <c r="K219" t="inlineStr">
        <is>
          <t>Indonesia|2013</t>
        </is>
      </c>
      <c r="L219" t="inlineStr">
        <is>
          <t>EUR</t>
        </is>
      </c>
      <c r="M219" t="n">
        <v>-27.22847389882372</v>
      </c>
      <c r="N219" t="n">
        <v>4.611177281704015</v>
      </c>
      <c r="O219" t="n">
        <v>-23.87284981969697</v>
      </c>
      <c r="P219" t="n">
        <v>-10.27233029400788</v>
      </c>
      <c r="Q219" t="n">
        <v>-15.15755348406294</v>
      </c>
      <c r="R219" t="n">
        <v>6.41</v>
      </c>
      <c r="S219" t="n">
        <v>1.466</v>
      </c>
      <c r="T219" t="n">
        <v>4.944</v>
      </c>
      <c r="U219" t="n">
        <v>912524000000</v>
      </c>
    </row>
    <row r="220">
      <c r="A220" t="inlineStr">
        <is>
          <t>Indonesia</t>
        </is>
      </c>
      <c r="B220" t="inlineStr">
        <is>
          <t>IDN</t>
        </is>
      </c>
      <c r="C220" t="inlineStr">
        <is>
          <t>INDO.PA</t>
        </is>
      </c>
      <c r="D220" t="n">
        <v>2014</v>
      </c>
      <c r="E220" t="n">
        <v>39.33835045607408</v>
      </c>
      <c r="F220" t="n">
        <v>5.007</v>
      </c>
      <c r="G220" t="n">
        <v>10.722365</v>
      </c>
      <c r="H220" t="n">
        <v>-2.379006</v>
      </c>
      <c r="I220" t="n">
        <v>-25.67082676472711</v>
      </c>
      <c r="J220" t="inlineStr">
        <is>
          <t>Indonesia|INDO.PA|2014</t>
        </is>
      </c>
      <c r="K220" t="inlineStr">
        <is>
          <t>Indonesia|2014</t>
        </is>
      </c>
      <c r="L220" t="inlineStr">
        <is>
          <t>EUR</t>
        </is>
      </c>
      <c r="M220" t="n">
        <v>39.33835045607408</v>
      </c>
      <c r="N220" t="n">
        <v>-11.51623342663697</v>
      </c>
      <c r="O220" t="n">
        <v>23.29182076472711</v>
      </c>
      <c r="P220" t="n">
        <v>-11.83263258234356</v>
      </c>
      <c r="Q220" t="n">
        <v>39.83838281195706</v>
      </c>
      <c r="R220" t="n">
        <v>6.399</v>
      </c>
      <c r="S220" t="n">
        <v>1.615</v>
      </c>
      <c r="T220" t="n">
        <v>4.784</v>
      </c>
      <c r="U220" t="n">
        <v>890815000000</v>
      </c>
    </row>
    <row r="221">
      <c r="A221" t="inlineStr">
        <is>
          <t>Indonesia</t>
        </is>
      </c>
      <c r="B221" t="inlineStr">
        <is>
          <t>IDN</t>
        </is>
      </c>
      <c r="C221" t="inlineStr">
        <is>
          <t>INDO.PA</t>
        </is>
      </c>
      <c r="D221" t="n">
        <v>2015</v>
      </c>
      <c r="E221" t="n">
        <v>-10.91348111118395</v>
      </c>
      <c r="F221" t="n">
        <v>4.876</v>
      </c>
      <c r="G221" t="n">
        <v>9.050654</v>
      </c>
      <c r="H221" t="n">
        <v>-3.363325</v>
      </c>
      <c r="I221" t="n">
        <v>16.12587022518744</v>
      </c>
      <c r="J221" t="inlineStr">
        <is>
          <t>Indonesia|INDO.PA|2015</t>
        </is>
      </c>
      <c r="K221" t="inlineStr">
        <is>
          <t>Indonesia|2015</t>
        </is>
      </c>
      <c r="L221" t="inlineStr">
        <is>
          <t>EUR</t>
        </is>
      </c>
      <c r="M221" t="n">
        <v>-10.91348111118395</v>
      </c>
      <c r="N221" t="n">
        <v>-9.626275918027915</v>
      </c>
      <c r="O221" t="n">
        <v>-19.48919522518744</v>
      </c>
      <c r="P221" t="n">
        <v>-11.38368135684324</v>
      </c>
      <c r="Q221" t="n">
        <v>-9.146750838278173</v>
      </c>
      <c r="R221" t="n">
        <v>6.36</v>
      </c>
      <c r="S221" t="n">
        <v>0.121</v>
      </c>
      <c r="T221" t="n">
        <v>6.239000000000001</v>
      </c>
      <c r="U221" t="n">
        <v>860854000000</v>
      </c>
    </row>
    <row r="222">
      <c r="A222" t="inlineStr">
        <is>
          <t>Indonesia</t>
        </is>
      </c>
      <c r="B222" t="inlineStr">
        <is>
          <t>IDN</t>
        </is>
      </c>
      <c r="C222" t="inlineStr">
        <is>
          <t>INDO.PA</t>
        </is>
      </c>
      <c r="D222" t="n">
        <v>2016</v>
      </c>
      <c r="E222" t="n">
        <v>21.68839404503549</v>
      </c>
      <c r="F222" t="n">
        <v>5.033</v>
      </c>
      <c r="G222" t="n">
        <v>7.594746</v>
      </c>
      <c r="H222" t="n">
        <v>8.250296000000001</v>
      </c>
      <c r="I222" t="n">
        <v>-10.25819917952178</v>
      </c>
      <c r="J222" t="inlineStr">
        <is>
          <t>Indonesia|INDO.PA|2016</t>
        </is>
      </c>
      <c r="K222" t="inlineStr">
        <is>
          <t>Indonesia|2016</t>
        </is>
      </c>
      <c r="L222" t="inlineStr">
        <is>
          <t>EUR</t>
        </is>
      </c>
      <c r="M222" t="n">
        <v>21.68839404503549</v>
      </c>
      <c r="N222" t="n">
        <v>-2.613148846665581</v>
      </c>
      <c r="O222" t="n">
        <v>18.50849517952178</v>
      </c>
      <c r="P222" t="n">
        <v>0.6092766186998499</v>
      </c>
      <c r="Q222" t="n">
        <v>17.79082323457941</v>
      </c>
      <c r="R222" t="n">
        <v>3.53</v>
      </c>
      <c r="S222" t="n">
        <v>1.267</v>
      </c>
      <c r="T222" t="n">
        <v>2.263</v>
      </c>
      <c r="U222" t="n">
        <v>931877000000</v>
      </c>
    </row>
    <row r="223">
      <c r="A223" t="inlineStr">
        <is>
          <t>Indonesia</t>
        </is>
      </c>
      <c r="B223" t="inlineStr">
        <is>
          <t>IDN</t>
        </is>
      </c>
      <c r="C223" t="inlineStr">
        <is>
          <t>INDO.PA</t>
        </is>
      </c>
      <c r="D223" t="n">
        <v>2017</v>
      </c>
      <c r="E223" t="n">
        <v>7.031584399794055</v>
      </c>
      <c r="F223" t="n">
        <v>5.07</v>
      </c>
      <c r="G223" t="n">
        <v>9.580094000000001</v>
      </c>
      <c r="H223" t="n">
        <v>8.986378999999999</v>
      </c>
      <c r="I223" t="n">
        <v>-12.42941182226148</v>
      </c>
      <c r="J223" t="inlineStr">
        <is>
          <t>Indonesia|INDO.PA|2017</t>
        </is>
      </c>
      <c r="K223" t="inlineStr">
        <is>
          <t>Indonesia|2017</t>
        </is>
      </c>
      <c r="L223" t="inlineStr">
        <is>
          <t>EUR</t>
        </is>
      </c>
      <c r="M223" t="n">
        <v>7.031584399794055</v>
      </c>
      <c r="N223" t="n">
        <v>13.43921656689508</v>
      </c>
      <c r="O223" t="n">
        <v>21.41579082226148</v>
      </c>
      <c r="P223" t="n">
        <v>-0.5418087266628624</v>
      </c>
      <c r="Q223" t="n">
        <v>22.07721583090036</v>
      </c>
      <c r="R223" t="n">
        <v>3.807</v>
      </c>
      <c r="S223" t="n">
        <v>2.131</v>
      </c>
      <c r="T223" t="n">
        <v>1.676</v>
      </c>
      <c r="U223" t="n">
        <v>1015619000000</v>
      </c>
    </row>
    <row r="224">
      <c r="A224" t="inlineStr">
        <is>
          <t>Indonesia</t>
        </is>
      </c>
      <c r="B224" t="inlineStr">
        <is>
          <t>IDN</t>
        </is>
      </c>
      <c r="C224" t="inlineStr">
        <is>
          <t>INDO.PA</t>
        </is>
      </c>
      <c r="D224" t="n">
        <v>2018</v>
      </c>
      <c r="E224" t="n">
        <v>-4.968792335846706</v>
      </c>
      <c r="F224" t="n">
        <v>5.174</v>
      </c>
      <c r="G224" t="n">
        <v>9.190186000000001</v>
      </c>
      <c r="H224" t="n">
        <v>2.624311</v>
      </c>
      <c r="I224" t="n">
        <v>12.06565187011991</v>
      </c>
      <c r="J224" t="inlineStr">
        <is>
          <t>Indonesia|INDO.PA|2018</t>
        </is>
      </c>
      <c r="K224" t="inlineStr">
        <is>
          <t>Indonesia|2018</t>
        </is>
      </c>
      <c r="L224" t="inlineStr">
        <is>
          <t>EUR</t>
        </is>
      </c>
      <c r="M224" t="n">
        <v>-4.968792335846706</v>
      </c>
      <c r="N224" t="n">
        <v>-4.706399765095581</v>
      </c>
      <c r="O224" t="n">
        <v>-9.441340870119907</v>
      </c>
      <c r="P224" t="n">
        <v>-6.013246827850804</v>
      </c>
      <c r="Q224" t="n">
        <v>-3.647422563890568</v>
      </c>
      <c r="R224" t="n">
        <v>3.291</v>
      </c>
      <c r="S224" t="n">
        <v>2.439</v>
      </c>
      <c r="T224" t="n">
        <v>0.8519999999999999</v>
      </c>
      <c r="U224" t="n">
        <v>1042272000000</v>
      </c>
    </row>
    <row r="225">
      <c r="A225" t="inlineStr">
        <is>
          <t>Indonesia</t>
        </is>
      </c>
      <c r="B225" t="inlineStr">
        <is>
          <t>IDN</t>
        </is>
      </c>
      <c r="C225" t="inlineStr">
        <is>
          <t>INDO.PA</t>
        </is>
      </c>
      <c r="D225" t="n">
        <v>2019</v>
      </c>
      <c r="E225" t="n">
        <v>10.5197414012292</v>
      </c>
      <c r="F225" t="n">
        <v>5.019</v>
      </c>
      <c r="G225" t="n">
        <v>6.698009</v>
      </c>
      <c r="H225" t="n">
        <v>7.371204</v>
      </c>
      <c r="I225" t="n">
        <v>-0.3524607284579577</v>
      </c>
      <c r="J225" t="inlineStr">
        <is>
          <t>Indonesia|INDO.PA|2019</t>
        </is>
      </c>
      <c r="K225" t="inlineStr">
        <is>
          <t>Indonesia|2019</t>
        </is>
      </c>
      <c r="L225" t="inlineStr">
        <is>
          <t>EUR</t>
        </is>
      </c>
      <c r="M225" t="n">
        <v>10.5197414012292</v>
      </c>
      <c r="N225" t="n">
        <v>-2.529934143277091</v>
      </c>
      <c r="O225" t="n">
        <v>7.723664728457957</v>
      </c>
      <c r="P225" t="n">
        <v>0.6309354184369065</v>
      </c>
      <c r="Q225" t="n">
        <v>7.048259345427454</v>
      </c>
      <c r="R225" t="n">
        <v>2.822</v>
      </c>
      <c r="S225" t="n">
        <v>1.813</v>
      </c>
      <c r="T225" t="n">
        <v>1.009</v>
      </c>
      <c r="U225" t="n">
        <v>1119100000000</v>
      </c>
    </row>
    <row r="226">
      <c r="A226" t="inlineStr">
        <is>
          <t>Indonesia</t>
        </is>
      </c>
      <c r="B226" t="inlineStr">
        <is>
          <t>IDN</t>
        </is>
      </c>
      <c r="C226" t="inlineStr">
        <is>
          <t>INDO.PA</t>
        </is>
      </c>
      <c r="D226" t="n">
        <v>2020</v>
      </c>
      <c r="E226" t="n">
        <v>-16.05572999906417</v>
      </c>
      <c r="F226" t="n">
        <v>-2.066</v>
      </c>
      <c r="G226" t="n">
        <v>-2.458867</v>
      </c>
      <c r="H226" t="n">
        <v>-5.365472</v>
      </c>
      <c r="I226" t="n">
        <v>2.617608816257326</v>
      </c>
      <c r="J226" t="inlineStr">
        <is>
          <t>Indonesia|INDO.PA|2020</t>
        </is>
      </c>
      <c r="K226" t="inlineStr">
        <is>
          <t>Indonesia|2020</t>
        </is>
      </c>
      <c r="L226" t="inlineStr">
        <is>
          <t>EUR</t>
        </is>
      </c>
      <c r="M226" t="n">
        <v>-16.05572999906417</v>
      </c>
      <c r="N226" t="n">
        <v>9.616676853246631</v>
      </c>
      <c r="O226" t="n">
        <v>-7.983080816257326</v>
      </c>
      <c r="P226" t="n">
        <v>-2.97987634715593</v>
      </c>
      <c r="Q226" t="n">
        <v>-5.156872905051935</v>
      </c>
      <c r="R226" t="n">
        <v>2.031</v>
      </c>
      <c r="S226" t="n">
        <v>1.253</v>
      </c>
      <c r="T226" t="n">
        <v>0.7780000000000002</v>
      </c>
      <c r="U226" t="n">
        <v>1059055000000</v>
      </c>
    </row>
    <row r="227">
      <c r="A227" t="inlineStr">
        <is>
          <t>Indonesia</t>
        </is>
      </c>
      <c r="B227" t="inlineStr">
        <is>
          <t>IDN</t>
        </is>
      </c>
      <c r="C227" t="inlineStr">
        <is>
          <t>INDO.PA</t>
        </is>
      </c>
      <c r="D227" t="n">
        <v>2021</v>
      </c>
      <c r="E227" t="n">
        <v>8.173632026871447</v>
      </c>
      <c r="F227" t="n">
        <v>3.703</v>
      </c>
      <c r="G227" t="n">
        <v>9.929179</v>
      </c>
      <c r="H227" t="n">
        <v>12.034786</v>
      </c>
      <c r="I227" t="n">
        <v>11.45659441411239</v>
      </c>
      <c r="J227" t="inlineStr">
        <is>
          <t>Indonesia|INDO.PA|2021</t>
        </is>
      </c>
      <c r="K227" t="inlineStr">
        <is>
          <t>Indonesia|2021</t>
        </is>
      </c>
      <c r="L227" t="inlineStr">
        <is>
          <t>EUR</t>
        </is>
      </c>
      <c r="M227" t="n">
        <v>8.173632026871447</v>
      </c>
      <c r="N227" t="n">
        <v>-7.021526686925927</v>
      </c>
      <c r="O227" t="n">
        <v>0.5781915858876108</v>
      </c>
      <c r="P227" t="n">
        <v>1.915421032552178</v>
      </c>
      <c r="Q227" t="n">
        <v>-1.31209725978314</v>
      </c>
      <c r="R227" t="n">
        <v>1.561</v>
      </c>
      <c r="S227" t="n">
        <v>4.679</v>
      </c>
      <c r="T227" t="n">
        <v>-3.118</v>
      </c>
      <c r="U227" t="n">
        <v>1186510000000</v>
      </c>
    </row>
    <row r="228">
      <c r="A228" t="inlineStr">
        <is>
          <t>Indonesia</t>
        </is>
      </c>
      <c r="B228" t="inlineStr">
        <is>
          <t>IDN</t>
        </is>
      </c>
      <c r="C228" t="inlineStr">
        <is>
          <t>INDO.PA</t>
        </is>
      </c>
      <c r="D228" t="n">
        <v>2022</v>
      </c>
      <c r="E228" t="n">
        <v>8.437335166019434</v>
      </c>
      <c r="F228" t="n">
        <v>5.307</v>
      </c>
      <c r="G228" t="n">
        <v>15.38403</v>
      </c>
      <c r="H228" t="n">
        <v>11.174874</v>
      </c>
      <c r="I228" t="n">
        <v>9.532650374981333</v>
      </c>
      <c r="J228" t="inlineStr">
        <is>
          <t>Indonesia|INDO.PA|2022</t>
        </is>
      </c>
      <c r="K228" t="inlineStr">
        <is>
          <t>Indonesia|2022</t>
        </is>
      </c>
      <c r="L228" t="inlineStr">
        <is>
          <t>EUR</t>
        </is>
      </c>
      <c r="M228" t="n">
        <v>8.437335166019434</v>
      </c>
      <c r="N228" t="n">
        <v>-6.266394808206355</v>
      </c>
      <c r="O228" t="n">
        <v>1.642223625018668</v>
      </c>
      <c r="P228" t="n">
        <v>-3.647953384784552</v>
      </c>
      <c r="Q228" t="n">
        <v>5.490466674703542</v>
      </c>
      <c r="R228" t="n">
        <v>4.139</v>
      </c>
      <c r="S228" t="n">
        <v>7.993</v>
      </c>
      <c r="T228" t="n">
        <v>-3.854</v>
      </c>
      <c r="U228" t="n">
        <v>1319101000000</v>
      </c>
    </row>
    <row r="229">
      <c r="A229" t="inlineStr">
        <is>
          <t>Indonesia</t>
        </is>
      </c>
      <c r="B229" t="inlineStr">
        <is>
          <t>IDN</t>
        </is>
      </c>
      <c r="C229" t="inlineStr">
        <is>
          <t>INDO.PA</t>
        </is>
      </c>
      <c r="D229" t="n">
        <v>2023</v>
      </c>
      <c r="E229" t="n">
        <v>1.373901186379678</v>
      </c>
      <c r="F229" t="n">
        <v>5.049</v>
      </c>
      <c r="G229" t="n">
        <v>6.656412</v>
      </c>
      <c r="H229" t="n">
        <v>3.947234</v>
      </c>
      <c r="I229" t="n">
        <v>-0.8196778746472839</v>
      </c>
      <c r="J229" t="inlineStr">
        <is>
          <t>Indonesia|INDO.PA|2023</t>
        </is>
      </c>
      <c r="K229" t="inlineStr">
        <is>
          <t>Indonesia|2023</t>
        </is>
      </c>
      <c r="L229" t="inlineStr">
        <is>
          <t>EUR</t>
        </is>
      </c>
      <c r="M229" t="n">
        <v>1.373901186379678</v>
      </c>
      <c r="N229" t="n">
        <v>3.347025860264985</v>
      </c>
      <c r="O229" t="n">
        <v>4.766911874647284</v>
      </c>
      <c r="P229" t="n">
        <v>-2.540098820247638</v>
      </c>
      <c r="Q229" t="n">
        <v>7.497453420784894</v>
      </c>
      <c r="R229" t="n">
        <v>3.713</v>
      </c>
      <c r="S229" t="n">
        <v>4.128</v>
      </c>
      <c r="T229" t="n">
        <v>-0.415</v>
      </c>
      <c r="U229" t="n">
        <v>1371169000000</v>
      </c>
    </row>
    <row r="230">
      <c r="A230" t="inlineStr">
        <is>
          <t>Indonesia</t>
        </is>
      </c>
      <c r="B230" t="inlineStr">
        <is>
          <t>IDN</t>
        </is>
      </c>
      <c r="C230" t="inlineStr">
        <is>
          <t>INDO.PA</t>
        </is>
      </c>
      <c r="D230" t="n">
        <v>2024</v>
      </c>
      <c r="E230" t="n">
        <v>-8.966646994343774</v>
      </c>
      <c r="F230" t="n">
        <v>5.03</v>
      </c>
      <c r="G230" t="n">
        <v>5.966852</v>
      </c>
      <c r="H230" t="n">
        <v>1.832816</v>
      </c>
      <c r="I230" t="n">
        <v>16.14890572211134</v>
      </c>
      <c r="J230" t="inlineStr">
        <is>
          <t>Indonesia|INDO.PA|2024</t>
        </is>
      </c>
      <c r="K230" t="inlineStr">
        <is>
          <t>Indonesia|2024</t>
        </is>
      </c>
      <c r="L230" t="inlineStr">
        <is>
          <t>EUR</t>
        </is>
      </c>
      <c r="M230" t="n">
        <v>-8.966646994343774</v>
      </c>
      <c r="N230" t="n">
        <v>-5.876354710822507</v>
      </c>
      <c r="O230" t="n">
        <v>-14.31608972211134</v>
      </c>
      <c r="P230" t="n">
        <v>-3.901254220131589</v>
      </c>
      <c r="Q230" t="n">
        <v>-10.83763936507227</v>
      </c>
      <c r="R230" t="n">
        <v>2.3</v>
      </c>
      <c r="S230" t="n">
        <v>2.952</v>
      </c>
      <c r="T230" t="n">
        <v>-0.6520000000000001</v>
      </c>
      <c r="U230" t="n">
        <v>1396300000000</v>
      </c>
    </row>
    <row r="231">
      <c r="A231" t="inlineStr">
        <is>
          <t>Indonesia</t>
        </is>
      </c>
      <c r="B231" t="inlineStr">
        <is>
          <t>IDN</t>
        </is>
      </c>
      <c r="C231" t="inlineStr">
        <is>
          <t>INDO.PA</t>
        </is>
      </c>
      <c r="D231" t="n">
        <v>2025</v>
      </c>
      <c r="E231" t="n">
        <v>-14.84785496348749</v>
      </c>
      <c r="F231" t="n">
        <v>4.861</v>
      </c>
      <c r="G231" t="n">
        <v>7.022756</v>
      </c>
      <c r="H231" t="n">
        <v>3.362888</v>
      </c>
      <c r="I231" t="n">
        <v>6.73222592862526</v>
      </c>
      <c r="J231" t="inlineStr">
        <is>
          <t>Indonesia|INDO.PA|2025</t>
        </is>
      </c>
      <c r="K231" t="inlineStr">
        <is>
          <t>Indonesia|2025</t>
        </is>
      </c>
      <c r="L231" t="inlineStr">
        <is>
          <t>EUR</t>
        </is>
      </c>
      <c r="M231" t="n">
        <v>-14.84785496348749</v>
      </c>
      <c r="N231" t="n">
        <v>13.48000925865149</v>
      </c>
      <c r="O231" t="n">
        <v>-3.36933792862526</v>
      </c>
      <c r="P231" t="n">
        <v>-3.419710718214619</v>
      </c>
      <c r="Q231" t="n">
        <v>0.05215638715099224</v>
      </c>
      <c r="R231" t="n">
        <v>1.839</v>
      </c>
      <c r="S231" t="n">
        <v>2.715</v>
      </c>
      <c r="T231" t="n">
        <v>-0.8759999999999999</v>
      </c>
      <c r="U231" t="n">
        <v>1443256000000</v>
      </c>
    </row>
    <row r="232">
      <c r="A232" t="inlineStr">
        <is>
          <t>Indonesia</t>
        </is>
      </c>
      <c r="B232" t="inlineStr">
        <is>
          <t>IDN</t>
        </is>
      </c>
      <c r="C232" t="inlineStr">
        <is>
          <t>INDO.PA</t>
        </is>
      </c>
      <c r="D232" t="n">
        <v>2026</v>
      </c>
      <c r="E232" t="n">
        <v>-15.20174510240897</v>
      </c>
      <c r="F232" t="n">
        <v>4.942</v>
      </c>
      <c r="G232" t="n">
        <v>7.932287</v>
      </c>
      <c r="H232" t="n">
        <v>7.412406</v>
      </c>
      <c r="I232" t="n">
        <v>24.55837595226153</v>
      </c>
      <c r="J232" t="inlineStr">
        <is>
          <t>Indonesia|INDO.PA|2026</t>
        </is>
      </c>
      <c r="K232" t="inlineStr">
        <is>
          <t>Indonesia|2026</t>
        </is>
      </c>
      <c r="L232" t="inlineStr">
        <is>
          <t>EUR</t>
        </is>
      </c>
      <c r="M232" t="n">
        <v>-15.20174510240897</v>
      </c>
      <c r="N232" t="n">
        <v>-2.292765166217814</v>
      </c>
      <c r="O232" t="n">
        <v>-17.14596995226153</v>
      </c>
      <c r="P232" t="n">
        <v>-0.4816731502218174</v>
      </c>
      <c r="Q232" t="n">
        <v>-16.7449527434221</v>
      </c>
      <c r="R232" t="n">
        <v>2.905</v>
      </c>
      <c r="S232" t="n">
        <v>2.435</v>
      </c>
      <c r="T232" t="n">
        <v>0.4699999999999998</v>
      </c>
      <c r="U232" t="n">
        <v>1550236000000</v>
      </c>
    </row>
    <row r="233">
      <c r="A233" t="inlineStr">
        <is>
          <t>Indonesia</t>
        </is>
      </c>
      <c r="B233" t="inlineStr">
        <is>
          <t>IDN</t>
        </is>
      </c>
      <c r="C233" t="inlineStr">
        <is>
          <t>INDO.PA</t>
        </is>
      </c>
      <c r="D233" t="n">
        <v>2027</v>
      </c>
      <c r="E233" t="inlineStr"/>
      <c r="F233" t="n">
        <v>4.961</v>
      </c>
      <c r="G233" t="n">
        <v>7.599609</v>
      </c>
      <c r="H233" t="n">
        <v>7.248767</v>
      </c>
      <c r="I233" t="inlineStr"/>
      <c r="J233" t="inlineStr">
        <is>
          <t>Indonesia|INDO.PA|2027</t>
        </is>
      </c>
      <c r="K233" t="inlineStr">
        <is>
          <t>Indonesia|2027</t>
        </is>
      </c>
      <c r="L233" t="inlineStr">
        <is>
          <t>EUR</t>
        </is>
      </c>
      <c r="M233" t="inlineStr"/>
      <c r="N233" t="inlineStr"/>
      <c r="O233" t="inlineStr"/>
      <c r="P233" t="n">
        <v>-0.3260625856134958</v>
      </c>
      <c r="Q233" t="inlineStr"/>
      <c r="R233" t="n">
        <v>2.522</v>
      </c>
      <c r="S233" t="n">
        <v>2.185</v>
      </c>
      <c r="T233" t="n">
        <v>0.3369999999999997</v>
      </c>
      <c r="U233" t="n">
        <v>1662609000000</v>
      </c>
    </row>
    <row r="234">
      <c r="A234" t="inlineStr">
        <is>
          <t>Indonesia</t>
        </is>
      </c>
      <c r="B234" t="inlineStr">
        <is>
          <t>IDN</t>
        </is>
      </c>
      <c r="C234" t="inlineStr">
        <is>
          <t>INDO.PA</t>
        </is>
      </c>
      <c r="D234" t="n">
        <v>2028</v>
      </c>
      <c r="E234" t="inlineStr"/>
      <c r="F234" t="n">
        <v>4.956</v>
      </c>
      <c r="G234" t="n">
        <v>7.596469</v>
      </c>
      <c r="H234" t="n">
        <v>7.694653</v>
      </c>
      <c r="I234" t="inlineStr"/>
      <c r="J234" t="inlineStr">
        <is>
          <t>Indonesia|INDO.PA|2028</t>
        </is>
      </c>
      <c r="K234" t="inlineStr">
        <is>
          <t>Indonesia|2028</t>
        </is>
      </c>
      <c r="L234" t="inlineStr">
        <is>
          <t>EUR</t>
        </is>
      </c>
      <c r="M234" t="inlineStr"/>
      <c r="N234" t="inlineStr"/>
      <c r="O234" t="inlineStr"/>
      <c r="P234" t="n">
        <v>0.09125288421170108</v>
      </c>
      <c r="Q234" t="inlineStr"/>
      <c r="R234" t="n">
        <v>2.517</v>
      </c>
      <c r="S234" t="n">
        <v>2.206</v>
      </c>
      <c r="T234" t="n">
        <v>0.3109999999999999</v>
      </c>
      <c r="U234" t="n">
        <v>1790541000000</v>
      </c>
    </row>
    <row r="235">
      <c r="A235" t="inlineStr">
        <is>
          <t>Indonesia</t>
        </is>
      </c>
      <c r="B235" t="inlineStr">
        <is>
          <t>IDN</t>
        </is>
      </c>
      <c r="C235" t="inlineStr">
        <is>
          <t>INDO.PA</t>
        </is>
      </c>
      <c r="D235" t="n">
        <v>2029</v>
      </c>
      <c r="E235" t="inlineStr"/>
      <c r="F235" t="n">
        <v>5.111</v>
      </c>
      <c r="G235" t="n">
        <v>7.755014</v>
      </c>
      <c r="H235" t="n">
        <v>7.744419</v>
      </c>
      <c r="I235" t="inlineStr"/>
      <c r="J235" t="inlineStr">
        <is>
          <t>Indonesia|INDO.PA|2029</t>
        </is>
      </c>
      <c r="K235" t="inlineStr">
        <is>
          <t>Indonesia|2029</t>
        </is>
      </c>
      <c r="L235" t="inlineStr">
        <is>
          <t>EUR</t>
        </is>
      </c>
      <c r="M235" t="inlineStr"/>
      <c r="N235" t="inlineStr"/>
      <c r="O235" t="inlineStr"/>
      <c r="P235" t="n">
        <v>-0.009832470972592766</v>
      </c>
      <c r="Q235" t="inlineStr"/>
      <c r="R235" t="n">
        <v>2.517</v>
      </c>
      <c r="S235" t="n">
        <v>2.203</v>
      </c>
      <c r="T235" t="n">
        <v>0.3140000000000001</v>
      </c>
      <c r="U235" t="n">
        <v>1929208000000</v>
      </c>
    </row>
    <row r="236">
      <c r="A236" t="inlineStr">
        <is>
          <t>Japan</t>
        </is>
      </c>
      <c r="B236" t="inlineStr">
        <is>
          <t>JPN</t>
        </is>
      </c>
      <c r="C236" t="inlineStr">
        <is>
          <t>CJPU.L</t>
        </is>
      </c>
      <c r="D236" t="n">
        <v>2004</v>
      </c>
      <c r="E236" t="inlineStr"/>
      <c r="F236" t="n">
        <v>2.186</v>
      </c>
      <c r="G236" t="inlineStr"/>
      <c r="H236" t="inlineStr"/>
      <c r="I236" t="inlineStr"/>
      <c r="J236" t="inlineStr">
        <is>
          <t>Japan|CJPU.L|2004</t>
        </is>
      </c>
      <c r="K236" t="inlineStr">
        <is>
          <t>Japan|2004</t>
        </is>
      </c>
      <c r="L236" t="inlineStr">
        <is>
          <t>USD</t>
        </is>
      </c>
      <c r="M236" t="inlineStr"/>
      <c r="N236" t="inlineStr"/>
      <c r="O236" t="inlineStr"/>
      <c r="P236" t="inlineStr"/>
      <c r="Q236" t="inlineStr"/>
      <c r="R236" t="n">
        <v>-0.01</v>
      </c>
      <c r="S236" t="n">
        <v>2.668</v>
      </c>
      <c r="T236" t="n">
        <v>-2.678</v>
      </c>
      <c r="U236" t="n">
        <v>4893135000000</v>
      </c>
    </row>
    <row r="237">
      <c r="A237" t="inlineStr">
        <is>
          <t>Japan</t>
        </is>
      </c>
      <c r="B237" t="inlineStr">
        <is>
          <t>JPN</t>
        </is>
      </c>
      <c r="C237" t="inlineStr">
        <is>
          <t>CJPU.L</t>
        </is>
      </c>
      <c r="D237" t="n">
        <v>2005</v>
      </c>
      <c r="E237" t="inlineStr"/>
      <c r="F237" t="n">
        <v>1.804</v>
      </c>
      <c r="G237" t="n">
        <v>0.588344</v>
      </c>
      <c r="H237" t="n">
        <v>-1.260296</v>
      </c>
      <c r="I237" t="inlineStr"/>
      <c r="J237" t="inlineStr">
        <is>
          <t>Japan|CJPU.L|2005</t>
        </is>
      </c>
      <c r="K237" t="inlineStr">
        <is>
          <t>Japan|2005</t>
        </is>
      </c>
      <c r="L237" t="inlineStr">
        <is>
          <t>USD</t>
        </is>
      </c>
      <c r="M237" t="inlineStr"/>
      <c r="N237" t="inlineStr"/>
      <c r="O237" t="inlineStr"/>
      <c r="P237" t="n">
        <v>-1.837827854098106</v>
      </c>
      <c r="Q237" t="inlineStr"/>
      <c r="R237" t="n">
        <v>-0.288</v>
      </c>
      <c r="S237" t="n">
        <v>3.366</v>
      </c>
      <c r="T237" t="n">
        <v>-3.654</v>
      </c>
      <c r="U237" t="n">
        <v>4831467000000</v>
      </c>
    </row>
    <row r="238">
      <c r="A238" t="inlineStr">
        <is>
          <t>Japan</t>
        </is>
      </c>
      <c r="B238" t="inlineStr">
        <is>
          <t>JPN</t>
        </is>
      </c>
      <c r="C238" t="inlineStr">
        <is>
          <t>CJPU.L</t>
        </is>
      </c>
      <c r="D238" t="n">
        <v>2006</v>
      </c>
      <c r="E238" t="inlineStr"/>
      <c r="F238" t="n">
        <v>1.372</v>
      </c>
      <c r="G238" t="n">
        <v>0.498502</v>
      </c>
      <c r="H238" t="n">
        <v>-4.756402</v>
      </c>
      <c r="I238" t="inlineStr"/>
      <c r="J238" t="inlineStr">
        <is>
          <t>Japan|CJPU.L|2006</t>
        </is>
      </c>
      <c r="K238" t="inlineStr">
        <is>
          <t>Japan|2006</t>
        </is>
      </c>
      <c r="L238" t="inlineStr">
        <is>
          <t>USD</t>
        </is>
      </c>
      <c r="M238" t="inlineStr"/>
      <c r="N238" t="inlineStr"/>
      <c r="O238" t="inlineStr"/>
      <c r="P238" t="n">
        <v>-5.228838118850454</v>
      </c>
      <c r="Q238" t="inlineStr"/>
      <c r="R238" t="n">
        <v>0.256</v>
      </c>
      <c r="S238" t="n">
        <v>3.222</v>
      </c>
      <c r="T238" t="n">
        <v>-2.966</v>
      </c>
      <c r="U238" t="n">
        <v>4601663000000</v>
      </c>
    </row>
    <row r="239">
      <c r="A239" t="inlineStr">
        <is>
          <t>Japan</t>
        </is>
      </c>
      <c r="B239" t="inlineStr">
        <is>
          <t>JPN</t>
        </is>
      </c>
      <c r="C239" t="inlineStr">
        <is>
          <t>CJPU.L</t>
        </is>
      </c>
      <c r="D239" t="n">
        <v>2007</v>
      </c>
      <c r="E239" t="inlineStr"/>
      <c r="F239" t="n">
        <v>1.484</v>
      </c>
      <c r="G239" t="n">
        <v>0.7682600000000001</v>
      </c>
      <c r="H239" t="n">
        <v>-0.476197</v>
      </c>
      <c r="I239" t="inlineStr"/>
      <c r="J239" t="inlineStr">
        <is>
          <t>Japan|CJPU.L|2007</t>
        </is>
      </c>
      <c r="K239" t="inlineStr">
        <is>
          <t>Japan|2007</t>
        </is>
      </c>
      <c r="L239" t="inlineStr">
        <is>
          <t>USD</t>
        </is>
      </c>
      <c r="M239" t="inlineStr"/>
      <c r="N239" t="inlineStr"/>
      <c r="O239" t="inlineStr"/>
      <c r="P239" t="n">
        <v>-1.234969892140847</v>
      </c>
      <c r="Q239" t="inlineStr"/>
      <c r="R239" t="n">
        <v>0.046</v>
      </c>
      <c r="S239" t="n">
        <v>2.871</v>
      </c>
      <c r="T239" t="n">
        <v>-2.825</v>
      </c>
      <c r="U239" t="n">
        <v>4579750000000</v>
      </c>
    </row>
    <row r="240">
      <c r="A240" t="inlineStr">
        <is>
          <t>Japan</t>
        </is>
      </c>
      <c r="B240" t="inlineStr">
        <is>
          <t>JPN</t>
        </is>
      </c>
      <c r="C240" t="inlineStr">
        <is>
          <t>CJPU.L</t>
        </is>
      </c>
      <c r="D240" t="n">
        <v>2008</v>
      </c>
      <c r="E240" t="inlineStr"/>
      <c r="F240" t="n">
        <v>-1.224</v>
      </c>
      <c r="G240" t="n">
        <v>-2.12466</v>
      </c>
      <c r="H240" t="n">
        <v>11.505628</v>
      </c>
      <c r="I240" t="inlineStr"/>
      <c r="J240" t="inlineStr">
        <is>
          <t>Japan|CJPU.L|2008</t>
        </is>
      </c>
      <c r="K240" t="inlineStr">
        <is>
          <t>Japan|2008</t>
        </is>
      </c>
      <c r="L240" t="inlineStr">
        <is>
          <t>USD</t>
        </is>
      </c>
      <c r="M240" t="inlineStr"/>
      <c r="N240" t="n">
        <v>0</v>
      </c>
      <c r="O240" t="inlineStr"/>
      <c r="P240" t="n">
        <v>13.92617128494857</v>
      </c>
      <c r="Q240" t="inlineStr"/>
      <c r="R240" t="n">
        <v>1.382</v>
      </c>
      <c r="S240" t="n">
        <v>3.815</v>
      </c>
      <c r="T240" t="n">
        <v>-2.433</v>
      </c>
      <c r="U240" t="n">
        <v>5106679000000</v>
      </c>
    </row>
    <row r="241">
      <c r="A241" t="inlineStr">
        <is>
          <t>Japan</t>
        </is>
      </c>
      <c r="B241" t="inlineStr">
        <is>
          <t>JPN</t>
        </is>
      </c>
      <c r="C241" t="inlineStr">
        <is>
          <t>CJPU.L</t>
        </is>
      </c>
      <c r="D241" t="n">
        <v>2009</v>
      </c>
      <c r="E241" t="inlineStr"/>
      <c r="F241" t="n">
        <v>-5.693</v>
      </c>
      <c r="G241" t="n">
        <v>-6.230375</v>
      </c>
      <c r="H241" t="n">
        <v>3.57992</v>
      </c>
      <c r="I241" t="inlineStr"/>
      <c r="J241" t="inlineStr">
        <is>
          <t>Japan|CJPU.L|2009</t>
        </is>
      </c>
      <c r="K241" t="inlineStr">
        <is>
          <t>Japan|2009</t>
        </is>
      </c>
      <c r="L241" t="inlineStr">
        <is>
          <t>USD</t>
        </is>
      </c>
      <c r="M241" t="inlineStr"/>
      <c r="N241" t="n">
        <v>0</v>
      </c>
      <c r="O241" t="inlineStr"/>
      <c r="P241" t="n">
        <v>10.46212365387138</v>
      </c>
      <c r="Q241" t="inlineStr"/>
      <c r="R241" t="n">
        <v>-1.331</v>
      </c>
      <c r="S241" t="n">
        <v>-0.32</v>
      </c>
      <c r="T241" t="n">
        <v>-1.011</v>
      </c>
      <c r="U241" t="n">
        <v>5289494000000</v>
      </c>
    </row>
    <row r="242">
      <c r="A242" t="inlineStr">
        <is>
          <t>Japan</t>
        </is>
      </c>
      <c r="B242" t="inlineStr">
        <is>
          <t>JPN</t>
        </is>
      </c>
      <c r="C242" t="inlineStr">
        <is>
          <t>CJPU.L</t>
        </is>
      </c>
      <c r="D242" t="n">
        <v>2010</v>
      </c>
      <c r="E242" t="n">
        <v>0</v>
      </c>
      <c r="F242" t="n">
        <v>4.098</v>
      </c>
      <c r="G242" t="n">
        <v>2.140105</v>
      </c>
      <c r="H242" t="n">
        <v>8.877560000000001</v>
      </c>
      <c r="I242" t="n">
        <v>8.877560000000001</v>
      </c>
      <c r="J242" t="inlineStr">
        <is>
          <t>Japan|CJPU.L|2010</t>
        </is>
      </c>
      <c r="K242" t="inlineStr">
        <is>
          <t>Japan|2010</t>
        </is>
      </c>
      <c r="L242" t="inlineStr">
        <is>
          <t>USD</t>
        </is>
      </c>
      <c r="M242" t="n">
        <v>0</v>
      </c>
      <c r="N242" t="n">
        <v>0</v>
      </c>
      <c r="O242" t="n">
        <v>0</v>
      </c>
      <c r="P242" t="n">
        <v>6.596287760068931</v>
      </c>
      <c r="Q242" t="n">
        <v>-6.188102699144748</v>
      </c>
      <c r="R242" t="n">
        <v>-0.742</v>
      </c>
      <c r="S242" t="n">
        <v>1.637</v>
      </c>
      <c r="T242" t="n">
        <v>-2.379</v>
      </c>
      <c r="U242" t="n">
        <v>5759072000000</v>
      </c>
    </row>
    <row r="243">
      <c r="A243" t="inlineStr">
        <is>
          <t>Japan</t>
        </is>
      </c>
      <c r="B243" t="inlineStr">
        <is>
          <t>JPN</t>
        </is>
      </c>
      <c r="C243" t="inlineStr">
        <is>
          <t>CJPU.L</t>
        </is>
      </c>
      <c r="D243" t="n">
        <v>2011</v>
      </c>
      <c r="E243" t="n">
        <v>0</v>
      </c>
      <c r="F243" t="n">
        <v>0.024</v>
      </c>
      <c r="G243" t="n">
        <v>-1.598637</v>
      </c>
      <c r="H243" t="n">
        <v>8.231812</v>
      </c>
      <c r="I243" t="n">
        <v>8.231812</v>
      </c>
      <c r="J243" t="inlineStr">
        <is>
          <t>Japan|CJPU.L|2011</t>
        </is>
      </c>
      <c r="K243" t="inlineStr">
        <is>
          <t>Japan|2011</t>
        </is>
      </c>
      <c r="L243" t="inlineStr">
        <is>
          <t>USD</t>
        </is>
      </c>
      <c r="M243" t="n">
        <v>0</v>
      </c>
      <c r="N243" t="n">
        <v>0</v>
      </c>
      <c r="O243" t="n">
        <v>0</v>
      </c>
      <c r="P243" t="n">
        <v>9.990155845406811</v>
      </c>
      <c r="Q243" t="n">
        <v>-9.082772697811393</v>
      </c>
      <c r="R243" t="n">
        <v>-0.277</v>
      </c>
      <c r="S243" t="n">
        <v>3.14</v>
      </c>
      <c r="T243" t="n">
        <v>-3.417</v>
      </c>
      <c r="U243" t="n">
        <v>6233148000000</v>
      </c>
    </row>
    <row r="244">
      <c r="A244" t="inlineStr">
        <is>
          <t>Japan</t>
        </is>
      </c>
      <c r="B244" t="inlineStr">
        <is>
          <t>JPN</t>
        </is>
      </c>
      <c r="C244" t="inlineStr">
        <is>
          <t>CJPU.L</t>
        </is>
      </c>
      <c r="D244" t="n">
        <v>2012</v>
      </c>
      <c r="E244" t="n">
        <v>0</v>
      </c>
      <c r="F244" t="n">
        <v>1.375</v>
      </c>
      <c r="G244" t="n">
        <v>0.608223</v>
      </c>
      <c r="H244" t="n">
        <v>0.62912</v>
      </c>
      <c r="I244" t="n">
        <v>0.62912</v>
      </c>
      <c r="J244" t="inlineStr">
        <is>
          <t>Japan|CJPU.L|2012</t>
        </is>
      </c>
      <c r="K244" t="inlineStr">
        <is>
          <t>Japan|2012</t>
        </is>
      </c>
      <c r="L244" t="inlineStr">
        <is>
          <t>USD</t>
        </is>
      </c>
      <c r="M244" t="n">
        <v>0</v>
      </c>
      <c r="N244" t="n">
        <v>0</v>
      </c>
      <c r="O244" t="n">
        <v>0</v>
      </c>
      <c r="P244" t="n">
        <v>0.02077082218900905</v>
      </c>
      <c r="Q244" t="n">
        <v>-0.02076650881438491</v>
      </c>
      <c r="R244" t="n">
        <v>-0.049</v>
      </c>
      <c r="S244" t="n">
        <v>2.073</v>
      </c>
      <c r="T244" t="n">
        <v>-2.122</v>
      </c>
      <c r="U244" t="n">
        <v>6272362000000</v>
      </c>
    </row>
    <row r="245">
      <c r="A245" t="inlineStr">
        <is>
          <t>Japan</t>
        </is>
      </c>
      <c r="B245" t="inlineStr">
        <is>
          <t>JPN</t>
        </is>
      </c>
      <c r="C245" t="inlineStr">
        <is>
          <t>CJPU.L</t>
        </is>
      </c>
      <c r="D245" t="n">
        <v>2013</v>
      </c>
      <c r="E245" t="n">
        <v>0</v>
      </c>
      <c r="F245" t="n">
        <v>2.005</v>
      </c>
      <c r="G245" t="n">
        <v>1.64364</v>
      </c>
      <c r="H245" t="n">
        <v>-16.900077</v>
      </c>
      <c r="I245" t="n">
        <v>-16.900077</v>
      </c>
      <c r="J245" t="inlineStr">
        <is>
          <t>Japan|CJPU.L|2013</t>
        </is>
      </c>
      <c r="K245" t="inlineStr">
        <is>
          <t>Japan|2013</t>
        </is>
      </c>
      <c r="L245" t="inlineStr">
        <is>
          <t>USD</t>
        </is>
      </c>
      <c r="M245" t="n">
        <v>0</v>
      </c>
      <c r="N245" t="n">
        <v>0</v>
      </c>
      <c r="O245" t="n">
        <v>0</v>
      </c>
      <c r="P245" t="n">
        <v>-18.24385348662068</v>
      </c>
      <c r="Q245" t="n">
        <v>22.31496256203207</v>
      </c>
      <c r="R245" t="n">
        <v>0.332</v>
      </c>
      <c r="S245" t="n">
        <v>1.466</v>
      </c>
      <c r="T245" t="n">
        <v>-1.134</v>
      </c>
      <c r="U245" t="n">
        <v>5212328000000</v>
      </c>
    </row>
    <row r="246">
      <c r="A246" t="inlineStr">
        <is>
          <t>Japan</t>
        </is>
      </c>
      <c r="B246" t="inlineStr">
        <is>
          <t>JPN</t>
        </is>
      </c>
      <c r="C246" t="inlineStr">
        <is>
          <t>CJPU.L</t>
        </is>
      </c>
      <c r="D246" t="n">
        <v>2014</v>
      </c>
      <c r="E246" t="n">
        <v>3.944335724851866</v>
      </c>
      <c r="F246" t="n">
        <v>0.296</v>
      </c>
      <c r="G246" t="n">
        <v>1.987515</v>
      </c>
      <c r="H246" t="n">
        <v>-6.049754</v>
      </c>
      <c r="I246" t="n">
        <v>-9.994089724851866</v>
      </c>
      <c r="J246" t="inlineStr">
        <is>
          <t>Japan|CJPU.L|2014</t>
        </is>
      </c>
      <c r="K246" t="inlineStr">
        <is>
          <t>Japan|2014</t>
        </is>
      </c>
      <c r="L246" t="inlineStr">
        <is>
          <t>USD</t>
        </is>
      </c>
      <c r="M246" t="n">
        <v>3.944335724851866</v>
      </c>
      <c r="N246" t="n">
        <v>0</v>
      </c>
      <c r="O246" t="n">
        <v>3.944335724851866</v>
      </c>
      <c r="P246" t="n">
        <v>-7.880639558660462</v>
      </c>
      <c r="Q246" t="n">
        <v>12.83657987513094</v>
      </c>
      <c r="R246" t="n">
        <v>2.758</v>
      </c>
      <c r="S246" t="n">
        <v>1.615</v>
      </c>
      <c r="T246" t="n">
        <v>1.143</v>
      </c>
      <c r="U246" t="n">
        <v>4896995000000</v>
      </c>
    </row>
    <row r="247">
      <c r="A247" t="inlineStr">
        <is>
          <t>Japan</t>
        </is>
      </c>
      <c r="B247" t="inlineStr">
        <is>
          <t>JPN</t>
        </is>
      </c>
      <c r="C247" t="inlineStr">
        <is>
          <t>CJPU.L</t>
        </is>
      </c>
      <c r="D247" t="n">
        <v>2015</v>
      </c>
      <c r="E247" t="n">
        <v>9.329169648484047</v>
      </c>
      <c r="F247" t="n">
        <v>1.561</v>
      </c>
      <c r="G247" t="n">
        <v>3.704874</v>
      </c>
      <c r="H247" t="n">
        <v>-9.231457000000001</v>
      </c>
      <c r="I247" t="n">
        <v>-18.56062664848405</v>
      </c>
      <c r="J247" t="inlineStr">
        <is>
          <t>Japan|CJPU.L|2015</t>
        </is>
      </c>
      <c r="K247" t="inlineStr">
        <is>
          <t>Japan|2015</t>
        </is>
      </c>
      <c r="L247" t="inlineStr">
        <is>
          <t>USD</t>
        </is>
      </c>
      <c r="M247" t="n">
        <v>9.329169648484047</v>
      </c>
      <c r="N247" t="n">
        <v>0</v>
      </c>
      <c r="O247" t="n">
        <v>9.329169648484047</v>
      </c>
      <c r="P247" t="n">
        <v>-12.47417904740141</v>
      </c>
      <c r="Q247" t="n">
        <v>24.91076171418434</v>
      </c>
      <c r="R247" t="n">
        <v>0.799</v>
      </c>
      <c r="S247" t="n">
        <v>0.121</v>
      </c>
      <c r="T247" t="n">
        <v>0.678</v>
      </c>
      <c r="U247" t="n">
        <v>4444931000000</v>
      </c>
    </row>
    <row r="248">
      <c r="A248" t="inlineStr">
        <is>
          <t>Japan</t>
        </is>
      </c>
      <c r="B248" t="inlineStr">
        <is>
          <t>JPN</t>
        </is>
      </c>
      <c r="C248" t="inlineStr">
        <is>
          <t>CJPU.L</t>
        </is>
      </c>
      <c r="D248" t="n">
        <v>2016</v>
      </c>
      <c r="E248" t="n">
        <v>5.378466409585814</v>
      </c>
      <c r="F248" t="n">
        <v>0.754</v>
      </c>
      <c r="G248" t="n">
        <v>1.176918</v>
      </c>
      <c r="H248" t="n">
        <v>12.570431</v>
      </c>
      <c r="I248" t="n">
        <v>7.191964590414186</v>
      </c>
      <c r="J248" t="inlineStr">
        <is>
          <t>Japan|CJPU.L|2016</t>
        </is>
      </c>
      <c r="K248" t="inlineStr">
        <is>
          <t>Japan|2016</t>
        </is>
      </c>
      <c r="L248" t="inlineStr">
        <is>
          <t>USD</t>
        </is>
      </c>
      <c r="M248" t="n">
        <v>5.378466409585814</v>
      </c>
      <c r="N248" t="n">
        <v>0</v>
      </c>
      <c r="O248" t="n">
        <v>5.378466409585814</v>
      </c>
      <c r="P248" t="n">
        <v>11.26098087452183</v>
      </c>
      <c r="Q248" t="n">
        <v>-5.287131588000483</v>
      </c>
      <c r="R248" t="n">
        <v>-0.124</v>
      </c>
      <c r="S248" t="n">
        <v>1.267</v>
      </c>
      <c r="T248" t="n">
        <v>-1.391</v>
      </c>
      <c r="U248" t="n">
        <v>5003678000000</v>
      </c>
    </row>
    <row r="249">
      <c r="A249" t="inlineStr">
        <is>
          <t>Japan</t>
        </is>
      </c>
      <c r="B249" t="inlineStr">
        <is>
          <t>JPN</t>
        </is>
      </c>
      <c r="C249" t="inlineStr">
        <is>
          <t>CJPU.L</t>
        </is>
      </c>
      <c r="D249" t="n">
        <v>2017</v>
      </c>
      <c r="E249" t="n">
        <v>23.90629384021681</v>
      </c>
      <c r="F249" t="n">
        <v>1.675</v>
      </c>
      <c r="G249" t="n">
        <v>1.599737</v>
      </c>
      <c r="H249" t="n">
        <v>-1.455749</v>
      </c>
      <c r="I249" t="n">
        <v>-25.36204284021681</v>
      </c>
      <c r="J249" t="inlineStr">
        <is>
          <t>Japan|CJPU.L|2017</t>
        </is>
      </c>
      <c r="K249" t="inlineStr">
        <is>
          <t>Japan|2017</t>
        </is>
      </c>
      <c r="L249" t="inlineStr">
        <is>
          <t>USD</t>
        </is>
      </c>
      <c r="M249" t="n">
        <v>23.90629384021681</v>
      </c>
      <c r="N249" t="n">
        <v>0</v>
      </c>
      <c r="O249" t="n">
        <v>23.90629384021681</v>
      </c>
      <c r="P249" t="n">
        <v>-3.007375706721171</v>
      </c>
      <c r="Q249" t="n">
        <v>27.7481609999112</v>
      </c>
      <c r="R249" t="n">
        <v>0.487</v>
      </c>
      <c r="S249" t="n">
        <v>2.131</v>
      </c>
      <c r="T249" t="n">
        <v>-1.644</v>
      </c>
      <c r="U249" t="n">
        <v>4930837000000</v>
      </c>
    </row>
    <row r="250">
      <c r="A250" t="inlineStr">
        <is>
          <t>Japan</t>
        </is>
      </c>
      <c r="B250" t="inlineStr">
        <is>
          <t>JPN</t>
        </is>
      </c>
      <c r="C250" t="inlineStr">
        <is>
          <t>CJPU.L</t>
        </is>
      </c>
      <c r="D250" t="n">
        <v>2018</v>
      </c>
      <c r="E250" t="n">
        <v>-13.49926345850369</v>
      </c>
      <c r="F250" t="n">
        <v>0.643</v>
      </c>
      <c r="G250" t="n">
        <v>0.6431519999999999</v>
      </c>
      <c r="H250" t="n">
        <v>2.231751</v>
      </c>
      <c r="I250" t="n">
        <v>15.73101445850369</v>
      </c>
      <c r="J250" t="inlineStr">
        <is>
          <t>Japan|CJPU.L|2018</t>
        </is>
      </c>
      <c r="K250" t="inlineStr">
        <is>
          <t>Japan|2018</t>
        </is>
      </c>
      <c r="L250" t="inlineStr">
        <is>
          <t>USD</t>
        </is>
      </c>
      <c r="M250" t="n">
        <v>-13.49926345850369</v>
      </c>
      <c r="N250" t="n">
        <v>0</v>
      </c>
      <c r="O250" t="n">
        <v>-13.49926345850369</v>
      </c>
      <c r="P250" t="n">
        <v>1.578447114753345</v>
      </c>
      <c r="Q250" t="n">
        <v>-14.84341511563345</v>
      </c>
      <c r="R250" t="n">
        <v>0.99</v>
      </c>
      <c r="S250" t="n">
        <v>2.439</v>
      </c>
      <c r="T250" t="n">
        <v>-1.449</v>
      </c>
      <c r="U250" t="n">
        <v>5040881000000</v>
      </c>
    </row>
    <row r="251">
      <c r="A251" t="inlineStr">
        <is>
          <t>Japan</t>
        </is>
      </c>
      <c r="B251" t="inlineStr">
        <is>
          <t>JPN</t>
        </is>
      </c>
      <c r="C251" t="inlineStr">
        <is>
          <t>CJPU.L</t>
        </is>
      </c>
      <c r="D251" t="n">
        <v>2019</v>
      </c>
      <c r="E251" t="n">
        <v>18.55612029358247</v>
      </c>
      <c r="F251" t="n">
        <v>-0.402</v>
      </c>
      <c r="G251" t="n">
        <v>0.230099</v>
      </c>
      <c r="H251" t="n">
        <v>1.529772</v>
      </c>
      <c r="I251" t="n">
        <v>-17.02634829358247</v>
      </c>
      <c r="J251" t="inlineStr">
        <is>
          <t>Japan|CJPU.L|2019</t>
        </is>
      </c>
      <c r="K251" t="inlineStr">
        <is>
          <t>Japan|2019</t>
        </is>
      </c>
      <c r="L251" t="inlineStr">
        <is>
          <t>USD</t>
        </is>
      </c>
      <c r="M251" t="n">
        <v>18.55612029358247</v>
      </c>
      <c r="N251" t="n">
        <v>0</v>
      </c>
      <c r="O251" t="n">
        <v>18.55612029358247</v>
      </c>
      <c r="P251" t="n">
        <v>1.296689659444294</v>
      </c>
      <c r="Q251" t="n">
        <v>17.03849424118768</v>
      </c>
      <c r="R251" t="n">
        <v>0.469</v>
      </c>
      <c r="S251" t="n">
        <v>1.813</v>
      </c>
      <c r="T251" t="n">
        <v>-1.344</v>
      </c>
      <c r="U251" t="n">
        <v>5117995000000</v>
      </c>
    </row>
    <row r="252">
      <c r="A252" t="inlineStr">
        <is>
          <t>Japan</t>
        </is>
      </c>
      <c r="B252" t="inlineStr">
        <is>
          <t>JPN</t>
        </is>
      </c>
      <c r="C252" t="inlineStr">
        <is>
          <t>CJPU.L</t>
        </is>
      </c>
      <c r="D252" t="n">
        <v>2020</v>
      </c>
      <c r="E252" t="n">
        <v>14.51507284137148</v>
      </c>
      <c r="F252" t="n">
        <v>-4.169</v>
      </c>
      <c r="G252" t="n">
        <v>-3.273784</v>
      </c>
      <c r="H252" t="n">
        <v>-1.249044</v>
      </c>
      <c r="I252" t="n">
        <v>-15.76411684137148</v>
      </c>
      <c r="J252" t="inlineStr">
        <is>
          <t>Japan|CJPU.L|2020</t>
        </is>
      </c>
      <c r="K252" t="inlineStr">
        <is>
          <t>Japan|2020</t>
        </is>
      </c>
      <c r="L252" t="inlineStr">
        <is>
          <t>USD</t>
        </is>
      </c>
      <c r="M252" t="n">
        <v>14.51507284137148</v>
      </c>
      <c r="N252" t="n">
        <v>0</v>
      </c>
      <c r="O252" t="n">
        <v>14.51507284137148</v>
      </c>
      <c r="P252" t="n">
        <v>2.093269720708757</v>
      </c>
      <c r="Q252" t="n">
        <v>12.16711263596943</v>
      </c>
      <c r="R252" t="n">
        <v>-0.027</v>
      </c>
      <c r="S252" t="n">
        <v>1.253</v>
      </c>
      <c r="T252" t="n">
        <v>-1.28</v>
      </c>
      <c r="U252" t="n">
        <v>5054069000000</v>
      </c>
    </row>
    <row r="253">
      <c r="A253" t="inlineStr">
        <is>
          <t>Japan</t>
        </is>
      </c>
      <c r="B253" t="inlineStr">
        <is>
          <t>JPN</t>
        </is>
      </c>
      <c r="C253" t="inlineStr">
        <is>
          <t>CJPU.L</t>
        </is>
      </c>
      <c r="D253" t="n">
        <v>2021</v>
      </c>
      <c r="E253" t="n">
        <v>1.286765336928752</v>
      </c>
      <c r="F253" t="n">
        <v>2.697</v>
      </c>
      <c r="G253" t="n">
        <v>2.487223</v>
      </c>
      <c r="H253" t="n">
        <v>-0.295227</v>
      </c>
      <c r="I253" t="n">
        <v>-1.581992336928753</v>
      </c>
      <c r="J253" t="inlineStr">
        <is>
          <t>Japan|CJPU.L|2021</t>
        </is>
      </c>
      <c r="K253" t="inlineStr">
        <is>
          <t>Japan|2021</t>
        </is>
      </c>
      <c r="L253" t="inlineStr">
        <is>
          <t>USD</t>
        </is>
      </c>
      <c r="M253" t="n">
        <v>1.286765336928752</v>
      </c>
      <c r="N253" t="n">
        <v>0</v>
      </c>
      <c r="O253" t="n">
        <v>1.286765336928752</v>
      </c>
      <c r="P253" t="n">
        <v>-2.71492391150101</v>
      </c>
      <c r="Q253" t="n">
        <v>4.113363949871895</v>
      </c>
      <c r="R253" t="n">
        <v>-0.235</v>
      </c>
      <c r="S253" t="n">
        <v>4.679</v>
      </c>
      <c r="T253" t="n">
        <v>-4.914000000000001</v>
      </c>
      <c r="U253" t="n">
        <v>5039148000000</v>
      </c>
    </row>
    <row r="254">
      <c r="A254" t="inlineStr">
        <is>
          <t>Japan</t>
        </is>
      </c>
      <c r="B254" t="inlineStr">
        <is>
          <t>JPN</t>
        </is>
      </c>
      <c r="C254" t="inlineStr">
        <is>
          <t>CJPU.L</t>
        </is>
      </c>
      <c r="D254" t="n">
        <v>2022</v>
      </c>
      <c r="E254" t="n">
        <v>-18.75000101541136</v>
      </c>
      <c r="F254" t="n">
        <v>0.96</v>
      </c>
      <c r="G254" t="n">
        <v>1.36305</v>
      </c>
      <c r="H254" t="n">
        <v>-15.397782</v>
      </c>
      <c r="I254" t="n">
        <v>3.352219015411357</v>
      </c>
      <c r="J254" t="inlineStr">
        <is>
          <t>Japan|CJPU.L|2022</t>
        </is>
      </c>
      <c r="K254" t="inlineStr">
        <is>
          <t>Japan|2022</t>
        </is>
      </c>
      <c r="L254" t="inlineStr">
        <is>
          <t>USD</t>
        </is>
      </c>
      <c r="M254" t="n">
        <v>-18.75000101541136</v>
      </c>
      <c r="N254" t="n">
        <v>0</v>
      </c>
      <c r="O254" t="n">
        <v>-18.75000101541136</v>
      </c>
      <c r="P254" t="n">
        <v>-16.53544552238265</v>
      </c>
      <c r="Q254" t="n">
        <v>-2.653288580870072</v>
      </c>
      <c r="R254" t="n">
        <v>2.496</v>
      </c>
      <c r="S254" t="n">
        <v>7.993</v>
      </c>
      <c r="T254" t="n">
        <v>-5.497</v>
      </c>
      <c r="U254" t="n">
        <v>4263231000000</v>
      </c>
    </row>
    <row r="255">
      <c r="A255" t="inlineStr">
        <is>
          <t>Japan</t>
        </is>
      </c>
      <c r="B255" t="inlineStr">
        <is>
          <t>JPN</t>
        </is>
      </c>
      <c r="C255" t="inlineStr">
        <is>
          <t>CJPU.L</t>
        </is>
      </c>
      <c r="D255" t="n">
        <v>2023</v>
      </c>
      <c r="E255" t="n">
        <v>19.82893339712084</v>
      </c>
      <c r="F255" t="n">
        <v>1.245</v>
      </c>
      <c r="G255" t="n">
        <v>5.36886</v>
      </c>
      <c r="H255" t="n">
        <v>-1.375905</v>
      </c>
      <c r="I255" t="n">
        <v>-21.20483839712084</v>
      </c>
      <c r="J255" t="inlineStr">
        <is>
          <t>Japan|CJPU.L|2023</t>
        </is>
      </c>
      <c r="K255" t="inlineStr">
        <is>
          <t>Japan|2023</t>
        </is>
      </c>
      <c r="L255" t="inlineStr">
        <is>
          <t>USD</t>
        </is>
      </c>
      <c r="M255" t="n">
        <v>19.82893339712084</v>
      </c>
      <c r="N255" t="n">
        <v>0</v>
      </c>
      <c r="O255" t="n">
        <v>19.82893339712084</v>
      </c>
      <c r="P255" t="n">
        <v>-6.401098831033202</v>
      </c>
      <c r="Q255" t="n">
        <v>28.02386769562926</v>
      </c>
      <c r="R255" t="n">
        <v>3.268</v>
      </c>
      <c r="S255" t="n">
        <v>4.128</v>
      </c>
      <c r="T255" t="n">
        <v>-0.8600000000000003</v>
      </c>
      <c r="U255" t="n">
        <v>4204573000000</v>
      </c>
    </row>
    <row r="256">
      <c r="A256" t="inlineStr">
        <is>
          <t>Japan</t>
        </is>
      </c>
      <c r="B256" t="inlineStr">
        <is>
          <t>JPN</t>
        </is>
      </c>
      <c r="C256" t="inlineStr">
        <is>
          <t>CJPU.L</t>
        </is>
      </c>
      <c r="D256" t="n">
        <v>2024</v>
      </c>
      <c r="E256" t="n">
        <v>8.123835572930771</v>
      </c>
      <c r="F256" t="n">
        <v>0.104</v>
      </c>
      <c r="G256" t="n">
        <v>2.995369</v>
      </c>
      <c r="H256" t="n">
        <v>-4.404514</v>
      </c>
      <c r="I256" t="n">
        <v>-12.52834957293077</v>
      </c>
      <c r="J256" t="inlineStr">
        <is>
          <t>Japan|CJPU.L|2024</t>
        </is>
      </c>
      <c r="K256" t="inlineStr">
        <is>
          <t>Japan|2024</t>
        </is>
      </c>
      <c r="L256" t="inlineStr">
        <is>
          <t>USD</t>
        </is>
      </c>
      <c r="M256" t="n">
        <v>8.123835572930771</v>
      </c>
      <c r="N256" t="n">
        <v>0</v>
      </c>
      <c r="O256" t="n">
        <v>8.123835572930771</v>
      </c>
      <c r="P256" t="n">
        <v>-7.184675699697651</v>
      </c>
      <c r="Q256" t="n">
        <v>16.49351697904755</v>
      </c>
      <c r="R256" t="n">
        <v>2.739</v>
      </c>
      <c r="S256" t="n">
        <v>2.952</v>
      </c>
      <c r="T256" t="n">
        <v>-0.2130000000000001</v>
      </c>
      <c r="U256" t="n">
        <v>4019382000000</v>
      </c>
    </row>
    <row r="257">
      <c r="A257" t="inlineStr">
        <is>
          <t>Japan</t>
        </is>
      </c>
      <c r="B257" t="inlineStr">
        <is>
          <t>JPN</t>
        </is>
      </c>
      <c r="C257" t="inlineStr">
        <is>
          <t>CJPU.L</t>
        </is>
      </c>
      <c r="D257" t="n">
        <v>2025</v>
      </c>
      <c r="E257" t="n">
        <v>25.89693520558538</v>
      </c>
      <c r="F257" t="n">
        <v>1.076</v>
      </c>
      <c r="G257" t="n">
        <v>3.88797</v>
      </c>
      <c r="H257" t="n">
        <v>6.479752</v>
      </c>
      <c r="I257" t="n">
        <v>-19.41718320558538</v>
      </c>
      <c r="J257" t="inlineStr">
        <is>
          <t>Japan|CJPU.L|2025</t>
        </is>
      </c>
      <c r="K257" t="inlineStr">
        <is>
          <t>Japan|2025</t>
        </is>
      </c>
      <c r="L257" t="inlineStr">
        <is>
          <t>USD</t>
        </is>
      </c>
      <c r="M257" t="n">
        <v>25.89693520558538</v>
      </c>
      <c r="N257" t="n">
        <v>0</v>
      </c>
      <c r="O257" t="n">
        <v>25.89693520558538</v>
      </c>
      <c r="P257" t="n">
        <v>2.494785464134441</v>
      </c>
      <c r="Q257" t="n">
        <v>22.83252717245792</v>
      </c>
      <c r="R257" t="n">
        <v>3.287</v>
      </c>
      <c r="S257" t="n">
        <v>2.715</v>
      </c>
      <c r="T257" t="n">
        <v>0.5720000000000001</v>
      </c>
      <c r="U257" t="n">
        <v>4279828000000</v>
      </c>
    </row>
    <row r="258">
      <c r="A258" t="inlineStr">
        <is>
          <t>Japan</t>
        </is>
      </c>
      <c r="B258" t="inlineStr">
        <is>
          <t>JPN</t>
        </is>
      </c>
      <c r="C258" t="inlineStr">
        <is>
          <t>CJPU.L</t>
        </is>
      </c>
      <c r="D258" t="n">
        <v>2026</v>
      </c>
      <c r="E258" t="n">
        <v>5.238512919042693</v>
      </c>
      <c r="F258" t="n">
        <v>0.633</v>
      </c>
      <c r="G258" t="n">
        <v>2.602655</v>
      </c>
      <c r="H258" t="n">
        <v>4.294705</v>
      </c>
      <c r="I258" t="n">
        <v>-0.9438079190426922</v>
      </c>
      <c r="J258" t="inlineStr">
        <is>
          <t>Japan|CJPU.L|2026</t>
        </is>
      </c>
      <c r="K258" t="inlineStr">
        <is>
          <t>Japan|2026</t>
        </is>
      </c>
      <c r="L258" t="inlineStr">
        <is>
          <t>USD</t>
        </is>
      </c>
      <c r="M258" t="n">
        <v>5.238512919042693</v>
      </c>
      <c r="N258" t="n">
        <v>0</v>
      </c>
      <c r="O258" t="n">
        <v>5.238512919042693</v>
      </c>
      <c r="P258" t="n">
        <v>1.649129003290351</v>
      </c>
      <c r="Q258" t="n">
        <v>3.531150685645468</v>
      </c>
      <c r="R258" t="n">
        <v>2.144</v>
      </c>
      <c r="S258" t="n">
        <v>2.435</v>
      </c>
      <c r="T258" t="n">
        <v>-0.2909999999999999</v>
      </c>
      <c r="U258" t="n">
        <v>4463634000000</v>
      </c>
    </row>
    <row r="259">
      <c r="A259" t="inlineStr">
        <is>
          <t>Japan</t>
        </is>
      </c>
      <c r="B259" t="inlineStr">
        <is>
          <t>JPN</t>
        </is>
      </c>
      <c r="C259" t="inlineStr">
        <is>
          <t>CJPU.L</t>
        </is>
      </c>
      <c r="D259" t="n">
        <v>2027</v>
      </c>
      <c r="E259" t="inlineStr"/>
      <c r="F259" t="n">
        <v>0.634</v>
      </c>
      <c r="G259" t="n">
        <v>2.668307</v>
      </c>
      <c r="H259" t="n">
        <v>3.594493</v>
      </c>
      <c r="I259" t="inlineStr"/>
      <c r="J259" t="inlineStr">
        <is>
          <t>Japan|CJPU.L|2027</t>
        </is>
      </c>
      <c r="K259" t="inlineStr">
        <is>
          <t>Japan|2027</t>
        </is>
      </c>
      <c r="L259" t="inlineStr">
        <is>
          <t>USD</t>
        </is>
      </c>
      <c r="M259" t="inlineStr"/>
      <c r="N259" t="inlineStr"/>
      <c r="O259" t="inlineStr"/>
      <c r="P259" t="n">
        <v>0.9021146402703462</v>
      </c>
      <c r="Q259" t="inlineStr"/>
      <c r="R259" t="n">
        <v>2.012</v>
      </c>
      <c r="S259" t="n">
        <v>2.185</v>
      </c>
      <c r="T259" t="n">
        <v>-0.173</v>
      </c>
      <c r="U259" t="n">
        <v>4624079000000</v>
      </c>
    </row>
    <row r="260">
      <c r="A260" t="inlineStr">
        <is>
          <t>Japan</t>
        </is>
      </c>
      <c r="B260" t="inlineStr">
        <is>
          <t>JPN</t>
        </is>
      </c>
      <c r="C260" t="inlineStr">
        <is>
          <t>CJPU.L</t>
        </is>
      </c>
      <c r="D260" t="n">
        <v>2028</v>
      </c>
      <c r="E260" t="inlineStr"/>
      <c r="F260" t="n">
        <v>0.551</v>
      </c>
      <c r="G260" t="n">
        <v>2.562328</v>
      </c>
      <c r="H260" t="n">
        <v>4.250144</v>
      </c>
      <c r="I260" t="inlineStr"/>
      <c r="J260" t="inlineStr">
        <is>
          <t>Japan|CJPU.L|2028</t>
        </is>
      </c>
      <c r="K260" t="inlineStr">
        <is>
          <t>Japan|2028</t>
        </is>
      </c>
      <c r="L260" t="inlineStr">
        <is>
          <t>USD</t>
        </is>
      </c>
      <c r="M260" t="inlineStr"/>
      <c r="N260" t="inlineStr"/>
      <c r="O260" t="inlineStr"/>
      <c r="P260" t="n">
        <v>1.645649021851936</v>
      </c>
      <c r="Q260" t="inlineStr"/>
      <c r="R260" t="n">
        <v>2.006</v>
      </c>
      <c r="S260" t="n">
        <v>2.206</v>
      </c>
      <c r="T260" t="n">
        <v>-0.2000000000000002</v>
      </c>
      <c r="U260" t="n">
        <v>4820609000000</v>
      </c>
    </row>
    <row r="261">
      <c r="A261" t="inlineStr">
        <is>
          <t>Japan</t>
        </is>
      </c>
      <c r="B261" t="inlineStr">
        <is>
          <t>JPN</t>
        </is>
      </c>
      <c r="C261" t="inlineStr">
        <is>
          <t>CJPU.L</t>
        </is>
      </c>
      <c r="D261" t="n">
        <v>2029</v>
      </c>
      <c r="E261" t="inlineStr"/>
      <c r="F261" t="n">
        <v>0.524</v>
      </c>
      <c r="G261" t="n">
        <v>2.509667</v>
      </c>
      <c r="H261" t="n">
        <v>2.63699</v>
      </c>
      <c r="I261" t="inlineStr"/>
      <c r="J261" t="inlineStr">
        <is>
          <t>Japan|CJPU.L|2029</t>
        </is>
      </c>
      <c r="K261" t="inlineStr">
        <is>
          <t>Japan|2029</t>
        </is>
      </c>
      <c r="L261" t="inlineStr">
        <is>
          <t>USD</t>
        </is>
      </c>
      <c r="M261" t="inlineStr"/>
      <c r="N261" t="inlineStr"/>
      <c r="O261" t="inlineStr"/>
      <c r="P261" t="n">
        <v>0.124205951755596</v>
      </c>
      <c r="Q261" t="inlineStr"/>
      <c r="R261" t="n">
        <v>2.006</v>
      </c>
      <c r="S261" t="n">
        <v>2.203</v>
      </c>
      <c r="T261" t="n">
        <v>-0.1970000000000001</v>
      </c>
      <c r="U261" t="n">
        <v>4947728000000</v>
      </c>
    </row>
    <row r="262">
      <c r="A262" t="inlineStr">
        <is>
          <t>Malaysia</t>
        </is>
      </c>
      <c r="B262" t="inlineStr">
        <is>
          <t>MYS</t>
        </is>
      </c>
      <c r="C262" t="inlineStr">
        <is>
          <t>XCX3.L</t>
        </is>
      </c>
      <c r="D262" t="n">
        <v>2004</v>
      </c>
      <c r="E262" t="inlineStr"/>
      <c r="F262" t="n">
        <v>6.783</v>
      </c>
      <c r="G262" t="inlineStr"/>
      <c r="H262" t="inlineStr"/>
      <c r="I262" t="inlineStr"/>
      <c r="J262" t="inlineStr">
        <is>
          <t>Malaysia|XCX3.L|2004</t>
        </is>
      </c>
      <c r="K262" t="inlineStr">
        <is>
          <t>Malaysia|2004</t>
        </is>
      </c>
      <c r="L262" t="inlineStr">
        <is>
          <t>GBp</t>
        </is>
      </c>
      <c r="M262" t="inlineStr"/>
      <c r="N262" t="inlineStr"/>
      <c r="O262" t="inlineStr"/>
      <c r="P262" t="inlineStr"/>
      <c r="Q262" t="inlineStr"/>
      <c r="R262" t="n">
        <v>1.42</v>
      </c>
      <c r="S262" t="n">
        <v>2.668</v>
      </c>
      <c r="T262" t="n">
        <v>-1.248</v>
      </c>
      <c r="U262" t="n">
        <v>135869000000</v>
      </c>
    </row>
    <row r="263">
      <c r="A263" t="inlineStr">
        <is>
          <t>Malaysia</t>
        </is>
      </c>
      <c r="B263" t="inlineStr">
        <is>
          <t>MYS</t>
        </is>
      </c>
      <c r="C263" t="inlineStr">
        <is>
          <t>XCX3.L</t>
        </is>
      </c>
      <c r="D263" t="n">
        <v>2005</v>
      </c>
      <c r="E263" t="inlineStr"/>
      <c r="F263" t="n">
        <v>4.976</v>
      </c>
      <c r="G263" t="n">
        <v>10.278674</v>
      </c>
      <c r="H263" t="n">
        <v>10.65438</v>
      </c>
      <c r="I263" t="inlineStr"/>
      <c r="J263" t="inlineStr">
        <is>
          <t>Malaysia|XCX3.L|2005</t>
        </is>
      </c>
      <c r="K263" t="inlineStr">
        <is>
          <t>Malaysia|2005</t>
        </is>
      </c>
      <c r="L263" t="inlineStr">
        <is>
          <t>GBp</t>
        </is>
      </c>
      <c r="M263" t="inlineStr"/>
      <c r="N263" t="inlineStr"/>
      <c r="O263" t="inlineStr"/>
      <c r="P263" t="n">
        <v>0.3406880032947646</v>
      </c>
      <c r="Q263" t="inlineStr"/>
      <c r="R263" t="n">
        <v>3.039</v>
      </c>
      <c r="S263" t="n">
        <v>3.366</v>
      </c>
      <c r="T263" t="n">
        <v>-0.327</v>
      </c>
      <c r="U263" t="n">
        <v>150345000000</v>
      </c>
    </row>
    <row r="264">
      <c r="A264" t="inlineStr">
        <is>
          <t>Malaysia</t>
        </is>
      </c>
      <c r="B264" t="inlineStr">
        <is>
          <t>MYS</t>
        </is>
      </c>
      <c r="C264" t="inlineStr">
        <is>
          <t>XCX3.L</t>
        </is>
      </c>
      <c r="D264" t="n">
        <v>2006</v>
      </c>
      <c r="E264" t="inlineStr"/>
      <c r="F264" t="n">
        <v>5.584</v>
      </c>
      <c r="G264" t="n">
        <v>9.787818</v>
      </c>
      <c r="H264" t="n">
        <v>13.345971</v>
      </c>
      <c r="I264" t="inlineStr"/>
      <c r="J264" t="inlineStr">
        <is>
          <t>Malaysia|XCX3.L|2006</t>
        </is>
      </c>
      <c r="K264" t="inlineStr">
        <is>
          <t>Malaysia|2006</t>
        </is>
      </c>
      <c r="L264" t="inlineStr">
        <is>
          <t>GBp</t>
        </is>
      </c>
      <c r="M264" t="inlineStr"/>
      <c r="N264" t="inlineStr"/>
      <c r="O264" t="inlineStr"/>
      <c r="P264" t="n">
        <v>3.240935556533309</v>
      </c>
      <c r="Q264" t="inlineStr"/>
      <c r="R264" t="n">
        <v>3.621</v>
      </c>
      <c r="S264" t="n">
        <v>3.222</v>
      </c>
      <c r="T264" t="n">
        <v>0.399</v>
      </c>
      <c r="U264" t="n">
        <v>170410000000</v>
      </c>
    </row>
    <row r="265">
      <c r="A265" t="inlineStr">
        <is>
          <t>Malaysia</t>
        </is>
      </c>
      <c r="B265" t="inlineStr">
        <is>
          <t>MYS</t>
        </is>
      </c>
      <c r="C265" t="inlineStr">
        <is>
          <t>XCX3.L</t>
        </is>
      </c>
      <c r="D265" t="n">
        <v>2007</v>
      </c>
      <c r="E265" t="inlineStr"/>
      <c r="F265" t="n">
        <v>6.299</v>
      </c>
      <c r="G265" t="n">
        <v>11.487762</v>
      </c>
      <c r="H265" t="n">
        <v>18.967197</v>
      </c>
      <c r="I265" t="inlineStr"/>
      <c r="J265" t="inlineStr">
        <is>
          <t>Malaysia|XCX3.L|2007</t>
        </is>
      </c>
      <c r="K265" t="inlineStr">
        <is>
          <t>Malaysia|2007</t>
        </is>
      </c>
      <c r="L265" t="inlineStr">
        <is>
          <t>GBp</t>
        </is>
      </c>
      <c r="M265" t="inlineStr"/>
      <c r="N265" t="inlineStr"/>
      <c r="O265" t="inlineStr"/>
      <c r="P265" t="n">
        <v>6.70874961637371</v>
      </c>
      <c r="Q265" t="inlineStr"/>
      <c r="R265" t="n">
        <v>2.027</v>
      </c>
      <c r="S265" t="n">
        <v>2.871</v>
      </c>
      <c r="T265" t="n">
        <v>-0.8439999999999999</v>
      </c>
      <c r="U265" t="n">
        <v>202732000000</v>
      </c>
    </row>
    <row r="266">
      <c r="A266" t="inlineStr">
        <is>
          <t>Malaysia</t>
        </is>
      </c>
      <c r="B266" t="inlineStr">
        <is>
          <t>MYS</t>
        </is>
      </c>
      <c r="C266" t="inlineStr">
        <is>
          <t>XCX3.L</t>
        </is>
      </c>
      <c r="D266" t="n">
        <v>2008</v>
      </c>
      <c r="E266" t="inlineStr"/>
      <c r="F266" t="n">
        <v>4.832</v>
      </c>
      <c r="G266" t="n">
        <v>15.72226</v>
      </c>
      <c r="H266" t="n">
        <v>19.342778</v>
      </c>
      <c r="I266" t="inlineStr"/>
      <c r="J266" t="inlineStr">
        <is>
          <t>Malaysia|XCX3.L|2008</t>
        </is>
      </c>
      <c r="K266" t="inlineStr">
        <is>
          <t>Malaysia|2008</t>
        </is>
      </c>
      <c r="L266" t="inlineStr">
        <is>
          <t>GBp</t>
        </is>
      </c>
      <c r="M266" t="inlineStr"/>
      <c r="N266" t="n">
        <v>-26.2666463318202</v>
      </c>
      <c r="O266" t="inlineStr"/>
      <c r="P266" t="n">
        <v>3.128627091906888</v>
      </c>
      <c r="Q266" t="inlineStr"/>
      <c r="R266" t="n">
        <v>5.429</v>
      </c>
      <c r="S266" t="n">
        <v>3.815</v>
      </c>
      <c r="T266" t="n">
        <v>1.614</v>
      </c>
      <c r="U266" t="n">
        <v>241946000000</v>
      </c>
    </row>
    <row r="267">
      <c r="A267" t="inlineStr">
        <is>
          <t>Malaysia</t>
        </is>
      </c>
      <c r="B267" t="inlineStr">
        <is>
          <t>MYS</t>
        </is>
      </c>
      <c r="C267" t="inlineStr">
        <is>
          <t>XCX3.L</t>
        </is>
      </c>
      <c r="D267" t="n">
        <v>2009</v>
      </c>
      <c r="E267" t="inlineStr"/>
      <c r="F267" t="n">
        <v>-1.514</v>
      </c>
      <c r="G267" t="n">
        <v>-7.415063</v>
      </c>
      <c r="H267" t="n">
        <v>-12.440379</v>
      </c>
      <c r="I267" t="inlineStr"/>
      <c r="J267" t="inlineStr">
        <is>
          <t>Malaysia|XCX3.L|2009</t>
        </is>
      </c>
      <c r="K267" t="inlineStr">
        <is>
          <t>Malaysia|2009</t>
        </is>
      </c>
      <c r="L267" t="inlineStr">
        <is>
          <t>GBp</t>
        </is>
      </c>
      <c r="M267" t="inlineStr"/>
      <c r="N267" t="n">
        <v>9.775566130910907</v>
      </c>
      <c r="O267" t="inlineStr"/>
      <c r="P267" t="n">
        <v>-5.427790341148297</v>
      </c>
      <c r="Q267" t="inlineStr"/>
      <c r="R267" t="n">
        <v>0.597</v>
      </c>
      <c r="S267" t="n">
        <v>-0.32</v>
      </c>
      <c r="T267" t="n">
        <v>0.917</v>
      </c>
      <c r="U267" t="n">
        <v>211847000000</v>
      </c>
    </row>
    <row r="268">
      <c r="A268" t="inlineStr">
        <is>
          <t>Malaysia</t>
        </is>
      </c>
      <c r="B268" t="inlineStr">
        <is>
          <t>MYS</t>
        </is>
      </c>
      <c r="C268" t="inlineStr">
        <is>
          <t>XCX3.L</t>
        </is>
      </c>
      <c r="D268" t="n">
        <v>2010</v>
      </c>
      <c r="E268" t="n">
        <v>-20.09326250677636</v>
      </c>
      <c r="F268" t="n">
        <v>7.528</v>
      </c>
      <c r="G268" t="n">
        <v>11.574586</v>
      </c>
      <c r="H268" t="n">
        <v>22.088111</v>
      </c>
      <c r="I268" t="n">
        <v>45.62785907890282</v>
      </c>
      <c r="J268" t="inlineStr">
        <is>
          <t>Malaysia|XCX3.L|2010</t>
        </is>
      </c>
      <c r="K268" t="inlineStr">
        <is>
          <t>Malaysia|2010</t>
        </is>
      </c>
      <c r="L268" t="inlineStr">
        <is>
          <t>GBp</t>
        </is>
      </c>
      <c r="M268" t="n">
        <v>-20.09326250677636</v>
      </c>
      <c r="N268" t="n">
        <v>-4.313135137595536</v>
      </c>
      <c r="O268" t="n">
        <v>-23.53974807890281</v>
      </c>
      <c r="P268" t="n">
        <v>9.422867317350224</v>
      </c>
      <c r="Q268" t="n">
        <v>-30.12406474476148</v>
      </c>
      <c r="R268" t="n">
        <v>1.72</v>
      </c>
      <c r="S268" t="n">
        <v>1.637</v>
      </c>
      <c r="T268" t="n">
        <v>0.08299999999999996</v>
      </c>
      <c r="U268" t="n">
        <v>258640000000</v>
      </c>
    </row>
    <row r="269">
      <c r="A269" t="inlineStr">
        <is>
          <t>Malaysia</t>
        </is>
      </c>
      <c r="B269" t="inlineStr">
        <is>
          <t>MYS</t>
        </is>
      </c>
      <c r="C269" t="inlineStr">
        <is>
          <t>XCX3.L</t>
        </is>
      </c>
      <c r="D269" t="n">
        <v>2011</v>
      </c>
      <c r="E269" t="n">
        <v>0.2300613496932336</v>
      </c>
      <c r="F269" t="n">
        <v>5.293</v>
      </c>
      <c r="G269" t="n">
        <v>10.992745</v>
      </c>
      <c r="H269" t="n">
        <v>16.835756</v>
      </c>
      <c r="I269" t="n">
        <v>17.61311974358878</v>
      </c>
      <c r="J269" t="inlineStr">
        <is>
          <t>Malaysia|XCX3.L|2011</t>
        </is>
      </c>
      <c r="K269" t="inlineStr">
        <is>
          <t>Malaysia|2011</t>
        </is>
      </c>
      <c r="L269" t="inlineStr">
        <is>
          <t>GBp</t>
        </is>
      </c>
      <c r="M269" t="n">
        <v>0.2300613496932336</v>
      </c>
      <c r="N269" t="n">
        <v>-1.005112717398426</v>
      </c>
      <c r="O269" t="n">
        <v>-0.777363743588777</v>
      </c>
      <c r="P269" t="n">
        <v>5.264317996046031</v>
      </c>
      <c r="Q269" t="n">
        <v>-5.739534397460067</v>
      </c>
      <c r="R269" t="n">
        <v>3.183</v>
      </c>
      <c r="S269" t="n">
        <v>3.14</v>
      </c>
      <c r="T269" t="n">
        <v>0.04299999999999971</v>
      </c>
      <c r="U269" t="n">
        <v>302184000000</v>
      </c>
    </row>
    <row r="270">
      <c r="A270" t="inlineStr">
        <is>
          <t>Malaysia</t>
        </is>
      </c>
      <c r="B270" t="inlineStr">
        <is>
          <t>MYS</t>
        </is>
      </c>
      <c r="C270" t="inlineStr">
        <is>
          <t>XCX3.L</t>
        </is>
      </c>
      <c r="D270" t="n">
        <v>2012</v>
      </c>
      <c r="E270" t="n">
        <v>8.647313156269298</v>
      </c>
      <c r="F270" t="n">
        <v>5.474</v>
      </c>
      <c r="G270" t="n">
        <v>6.528061</v>
      </c>
      <c r="H270" t="n">
        <v>5.534707</v>
      </c>
      <c r="I270" t="n">
        <v>-7.671326115954474</v>
      </c>
      <c r="J270" t="inlineStr">
        <is>
          <t>Malaysia|XCX3.L|2012</t>
        </is>
      </c>
      <c r="K270" t="inlineStr">
        <is>
          <t>Malaysia|2012</t>
        </is>
      </c>
      <c r="L270" t="inlineStr">
        <is>
          <t>GBp</t>
        </is>
      </c>
      <c r="M270" t="n">
        <v>8.647313156269298</v>
      </c>
      <c r="N270" t="n">
        <v>4.195888354025179</v>
      </c>
      <c r="O270" t="n">
        <v>13.20603311595447</v>
      </c>
      <c r="P270" t="n">
        <v>-0.932480670477942</v>
      </c>
      <c r="Q270" t="n">
        <v>14.27159363848041</v>
      </c>
      <c r="R270" t="n">
        <v>1.655</v>
      </c>
      <c r="S270" t="n">
        <v>2.073</v>
      </c>
      <c r="T270" t="n">
        <v>-0.4179999999999999</v>
      </c>
      <c r="U270" t="n">
        <v>318909000000</v>
      </c>
    </row>
    <row r="271">
      <c r="A271" t="inlineStr">
        <is>
          <t>Malaysia</t>
        </is>
      </c>
      <c r="B271" t="inlineStr">
        <is>
          <t>MYS</t>
        </is>
      </c>
      <c r="C271" t="inlineStr">
        <is>
          <t>XCX3.L</t>
        </is>
      </c>
      <c r="D271" t="n">
        <v>2013</v>
      </c>
      <c r="E271" t="n">
        <v>3.278919223191656</v>
      </c>
      <c r="F271" t="n">
        <v>4.694</v>
      </c>
      <c r="G271" t="n">
        <v>4.876509</v>
      </c>
      <c r="H271" t="n">
        <v>2.809579</v>
      </c>
      <c r="I271" t="n">
        <v>-2.115013922023452</v>
      </c>
      <c r="J271" t="inlineStr">
        <is>
          <t>Malaysia|XCX3.L|2013</t>
        </is>
      </c>
      <c r="K271" t="inlineStr">
        <is>
          <t>Malaysia|2013</t>
        </is>
      </c>
      <c r="L271" t="inlineStr">
        <is>
          <t>GBp</t>
        </is>
      </c>
      <c r="M271" t="n">
        <v>3.278919223191656</v>
      </c>
      <c r="N271" t="n">
        <v>1.593426530031161</v>
      </c>
      <c r="O271" t="n">
        <v>4.924592922023452</v>
      </c>
      <c r="P271" t="n">
        <v>-1.970822445553932</v>
      </c>
      <c r="Q271" t="n">
        <v>7.034043883258767</v>
      </c>
      <c r="R271" t="n">
        <v>2.105</v>
      </c>
      <c r="S271" t="n">
        <v>1.466</v>
      </c>
      <c r="T271" t="n">
        <v>0.639</v>
      </c>
      <c r="U271" t="n">
        <v>327869000000</v>
      </c>
    </row>
    <row r="272">
      <c r="A272" t="inlineStr">
        <is>
          <t>Malaysia</t>
        </is>
      </c>
      <c r="B272" t="inlineStr">
        <is>
          <t>MYS</t>
        </is>
      </c>
      <c r="C272" t="inlineStr">
        <is>
          <t>XCX3.L</t>
        </is>
      </c>
      <c r="D272" t="n">
        <v>2014</v>
      </c>
      <c r="E272" t="n">
        <v>-4.877380463077118</v>
      </c>
      <c r="F272" t="n">
        <v>6.007</v>
      </c>
      <c r="G272" t="n">
        <v>8.622233</v>
      </c>
      <c r="H272" t="n">
        <v>4.574693</v>
      </c>
      <c r="I272" t="n">
        <v>15.16565422749155</v>
      </c>
      <c r="J272" t="inlineStr">
        <is>
          <t>Malaysia|XCX3.L|2014</t>
        </is>
      </c>
      <c r="K272" t="inlineStr">
        <is>
          <t>Malaysia|2014</t>
        </is>
      </c>
      <c r="L272" t="inlineStr">
        <is>
          <t>GBp</t>
        </is>
      </c>
      <c r="M272" t="n">
        <v>-4.877380463077118</v>
      </c>
      <c r="N272" t="n">
        <v>-6.006542704804973</v>
      </c>
      <c r="O272" t="n">
        <v>-10.59096122749155</v>
      </c>
      <c r="P272" t="n">
        <v>-3.726254137240681</v>
      </c>
      <c r="Q272" t="n">
        <v>-7.130404066791662</v>
      </c>
      <c r="R272" t="n">
        <v>3.143</v>
      </c>
      <c r="S272" t="n">
        <v>1.615</v>
      </c>
      <c r="T272" t="n">
        <v>1.528</v>
      </c>
      <c r="U272" t="n">
        <v>342868000000</v>
      </c>
    </row>
    <row r="273">
      <c r="A273" t="inlineStr">
        <is>
          <t>Malaysia</t>
        </is>
      </c>
      <c r="B273" t="inlineStr">
        <is>
          <t>MYS</t>
        </is>
      </c>
      <c r="C273" t="inlineStr">
        <is>
          <t>XCX3.L</t>
        </is>
      </c>
      <c r="D273" t="n">
        <v>2015</v>
      </c>
      <c r="E273" t="n">
        <v>-16.44470179502026</v>
      </c>
      <c r="F273" t="n">
        <v>5.007</v>
      </c>
      <c r="G273" t="n">
        <v>4.881746</v>
      </c>
      <c r="H273" t="n">
        <v>-12.107575</v>
      </c>
      <c r="I273" t="n">
        <v>8.422024896593108</v>
      </c>
      <c r="J273" t="inlineStr">
        <is>
          <t>Malaysia|XCX3.L|2015</t>
        </is>
      </c>
      <c r="K273" t="inlineStr">
        <is>
          <t>Malaysia|2015</t>
        </is>
      </c>
      <c r="L273" t="inlineStr">
        <is>
          <t>GBp</t>
        </is>
      </c>
      <c r="M273" t="n">
        <v>-16.44470179502026</v>
      </c>
      <c r="N273" t="n">
        <v>-4.888855870697362</v>
      </c>
      <c r="O273" t="n">
        <v>-20.52959989659311</v>
      </c>
      <c r="P273" t="n">
        <v>-16.19854884811654</v>
      </c>
      <c r="Q273" t="n">
        <v>-5.168229176159345</v>
      </c>
      <c r="R273" t="n">
        <v>2.104</v>
      </c>
      <c r="S273" t="n">
        <v>0.121</v>
      </c>
      <c r="T273" t="n">
        <v>1.983</v>
      </c>
      <c r="U273" t="n">
        <v>301355000000</v>
      </c>
    </row>
    <row r="274">
      <c r="A274" t="inlineStr">
        <is>
          <t>Malaysia</t>
        </is>
      </c>
      <c r="B274" t="inlineStr">
        <is>
          <t>MYS</t>
        </is>
      </c>
      <c r="C274" t="inlineStr">
        <is>
          <t>XCX3.L</t>
        </is>
      </c>
      <c r="D274" t="n">
        <v>2016</v>
      </c>
      <c r="E274" t="n">
        <v>18.38652482269503</v>
      </c>
      <c r="F274" t="n">
        <v>4.45</v>
      </c>
      <c r="G274" t="n">
        <v>6.181873</v>
      </c>
      <c r="H274" t="n">
        <v>-0.032852</v>
      </c>
      <c r="I274" t="n">
        <v>1.263221828109334</v>
      </c>
      <c r="J274" t="inlineStr">
        <is>
          <t>Malaysia|XCX3.L|2016</t>
        </is>
      </c>
      <c r="K274" t="inlineStr">
        <is>
          <t>Malaysia|2016</t>
        </is>
      </c>
      <c r="L274" t="inlineStr">
        <is>
          <t>GBp</t>
        </is>
      </c>
      <c r="M274" t="n">
        <v>18.38652482269503</v>
      </c>
      <c r="N274" t="n">
        <v>-16.62570861023462</v>
      </c>
      <c r="O274" t="n">
        <v>-1.296073828109334</v>
      </c>
      <c r="P274" t="n">
        <v>-5.852905596959301</v>
      </c>
      <c r="Q274" t="n">
        <v>4.840119387373032</v>
      </c>
      <c r="R274" t="n">
        <v>2.076</v>
      </c>
      <c r="S274" t="n">
        <v>1.267</v>
      </c>
      <c r="T274" t="n">
        <v>0.8090000000000002</v>
      </c>
      <c r="U274" t="n">
        <v>301256000000</v>
      </c>
    </row>
    <row r="275">
      <c r="A275" t="inlineStr">
        <is>
          <t>Malaysia</t>
        </is>
      </c>
      <c r="B275" t="inlineStr">
        <is>
          <t>MYS</t>
        </is>
      </c>
      <c r="C275" t="inlineStr">
        <is>
          <t>XCX3.L</t>
        </is>
      </c>
      <c r="D275" t="n">
        <v>2017</v>
      </c>
      <c r="E275" t="n">
        <v>10.07011785767567</v>
      </c>
      <c r="F275" t="n">
        <v>5.813</v>
      </c>
      <c r="G275" t="n">
        <v>9.81133</v>
      </c>
      <c r="H275" t="n">
        <v>5.926189</v>
      </c>
      <c r="I275" t="n">
        <v>-13.87565512831125</v>
      </c>
      <c r="J275" t="inlineStr">
        <is>
          <t>Malaysia|XCX3.L|2017</t>
        </is>
      </c>
      <c r="K275" t="inlineStr">
        <is>
          <t>Malaysia|2017</t>
        </is>
      </c>
      <c r="L275" t="inlineStr">
        <is>
          <t>GBp</t>
        </is>
      </c>
      <c r="M275" t="n">
        <v>10.07011785767567</v>
      </c>
      <c r="N275" t="n">
        <v>8.841388071573641</v>
      </c>
      <c r="O275" t="n">
        <v>19.80184412831125</v>
      </c>
      <c r="P275" t="n">
        <v>-3.538015048810317</v>
      </c>
      <c r="Q275" t="n">
        <v>24.19591426501504</v>
      </c>
      <c r="R275" t="n">
        <v>3.799</v>
      </c>
      <c r="S275" t="n">
        <v>2.131</v>
      </c>
      <c r="T275" t="n">
        <v>1.668</v>
      </c>
      <c r="U275" t="n">
        <v>319109000000</v>
      </c>
    </row>
    <row r="276">
      <c r="A276" t="inlineStr">
        <is>
          <t>Malaysia</t>
        </is>
      </c>
      <c r="B276" t="inlineStr">
        <is>
          <t>MYS</t>
        </is>
      </c>
      <c r="C276" t="inlineStr">
        <is>
          <t>XCX3.L</t>
        </is>
      </c>
      <c r="D276" t="n">
        <v>2018</v>
      </c>
      <c r="E276" t="n">
        <v>2.100840336134446</v>
      </c>
      <c r="F276" t="n">
        <v>4.843</v>
      </c>
      <c r="G276" t="n">
        <v>5.498029</v>
      </c>
      <c r="H276" t="n">
        <v>12.432742</v>
      </c>
      <c r="I276" t="n">
        <v>16.54504841423335</v>
      </c>
      <c r="J276" t="inlineStr">
        <is>
          <t>Malaysia|XCX3.L|2018</t>
        </is>
      </c>
      <c r="K276" t="inlineStr">
        <is>
          <t>Malaysia|2018</t>
        </is>
      </c>
      <c r="L276" t="inlineStr">
        <is>
          <t>GBp</t>
        </is>
      </c>
      <c r="M276" t="n">
        <v>2.100840336134446</v>
      </c>
      <c r="N276" t="n">
        <v>-6.085304224640065</v>
      </c>
      <c r="O276" t="n">
        <v>-4.112306414233347</v>
      </c>
      <c r="P276" t="n">
        <v>6.573311009078542</v>
      </c>
      <c r="Q276" t="n">
        <v>-10.02654165675835</v>
      </c>
      <c r="R276" t="n">
        <v>0.969</v>
      </c>
      <c r="S276" t="n">
        <v>2.439</v>
      </c>
      <c r="T276" t="n">
        <v>-1.47</v>
      </c>
      <c r="U276" t="n">
        <v>358783000000</v>
      </c>
    </row>
    <row r="277">
      <c r="A277" t="inlineStr">
        <is>
          <t>Malaysia</t>
        </is>
      </c>
      <c r="B277" t="inlineStr">
        <is>
          <t>MYS</t>
        </is>
      </c>
      <c r="C277" t="inlineStr">
        <is>
          <t>XCX3.L</t>
        </is>
      </c>
      <c r="D277" t="n">
        <v>2019</v>
      </c>
      <c r="E277" t="n">
        <v>-6.105762890676503</v>
      </c>
      <c r="F277" t="n">
        <v>4.413</v>
      </c>
      <c r="G277" t="n">
        <v>4.488175</v>
      </c>
      <c r="H277" t="n">
        <v>1.782414</v>
      </c>
      <c r="I277" t="n">
        <v>5.124057970379371</v>
      </c>
      <c r="J277" t="inlineStr">
        <is>
          <t>Malaysia|XCX3.L|2019</t>
        </is>
      </c>
      <c r="K277" t="inlineStr">
        <is>
          <t>Malaysia|2019</t>
        </is>
      </c>
      <c r="L277" t="inlineStr">
        <is>
          <t>GBp</t>
        </is>
      </c>
      <c r="M277" t="n">
        <v>-6.105762890676503</v>
      </c>
      <c r="N277" t="n">
        <v>2.94386429390634</v>
      </c>
      <c r="O277" t="n">
        <v>-3.341643970379371</v>
      </c>
      <c r="P277" t="n">
        <v>-2.589537428459254</v>
      </c>
      <c r="Q277" t="n">
        <v>-0.7721003699861839</v>
      </c>
      <c r="R277" t="n">
        <v>0.663</v>
      </c>
      <c r="S277" t="n">
        <v>1.813</v>
      </c>
      <c r="T277" t="n">
        <v>-1.15</v>
      </c>
      <c r="U277" t="n">
        <v>365178000000</v>
      </c>
    </row>
    <row r="278">
      <c r="A278" t="inlineStr">
        <is>
          <t>Malaysia</t>
        </is>
      </c>
      <c r="B278" t="inlineStr">
        <is>
          <t>MYS</t>
        </is>
      </c>
      <c r="C278" t="inlineStr">
        <is>
          <t>XCX3.L</t>
        </is>
      </c>
      <c r="D278" t="n">
        <v>2020</v>
      </c>
      <c r="E278" t="n">
        <v>-1.636615811373088</v>
      </c>
      <c r="F278" t="n">
        <v>-5.457</v>
      </c>
      <c r="G278" t="n">
        <v>-6.230226</v>
      </c>
      <c r="H278" t="n">
        <v>-7.591366</v>
      </c>
      <c r="I278" t="n">
        <v>-8.684529215749393</v>
      </c>
      <c r="J278" t="inlineStr">
        <is>
          <t>Malaysia|XCX3.L|2020</t>
        </is>
      </c>
      <c r="K278" t="inlineStr">
        <is>
          <t>Malaysia|2020</t>
        </is>
      </c>
      <c r="L278" t="inlineStr">
        <is>
          <t>GBp</t>
        </is>
      </c>
      <c r="M278" t="n">
        <v>-1.636615811373088</v>
      </c>
      <c r="N278" t="n">
        <v>2.775198362317122</v>
      </c>
      <c r="O278" t="n">
        <v>1.093163215749393</v>
      </c>
      <c r="P278" t="n">
        <v>-1.451576660294396</v>
      </c>
      <c r="Q278" t="n">
        <v>2.582222819812996</v>
      </c>
      <c r="R278" t="n">
        <v>-1.139</v>
      </c>
      <c r="S278" t="n">
        <v>1.253</v>
      </c>
      <c r="T278" t="n">
        <v>-2.392</v>
      </c>
      <c r="U278" t="n">
        <v>337456000000</v>
      </c>
    </row>
    <row r="279">
      <c r="A279" t="inlineStr">
        <is>
          <t>Malaysia</t>
        </is>
      </c>
      <c r="B279" t="inlineStr">
        <is>
          <t>MYS</t>
        </is>
      </c>
      <c r="C279" t="inlineStr">
        <is>
          <t>XCX3.L</t>
        </is>
      </c>
      <c r="D279" t="n">
        <v>2021</v>
      </c>
      <c r="E279" t="n">
        <v>-5.977566377963949</v>
      </c>
      <c r="F279" t="n">
        <v>3.315</v>
      </c>
      <c r="G279" t="n">
        <v>9.179473</v>
      </c>
      <c r="H279" t="n">
        <v>10.765552</v>
      </c>
      <c r="I279" t="n">
        <v>17.94399218872935</v>
      </c>
      <c r="J279" t="inlineStr">
        <is>
          <t>Malaysia|XCX3.L|2021</t>
        </is>
      </c>
      <c r="K279" t="inlineStr">
        <is>
          <t>Malaysia|2021</t>
        </is>
      </c>
      <c r="L279" t="inlineStr">
        <is>
          <t>GBp</t>
        </is>
      </c>
      <c r="M279" t="n">
        <v>-5.977566377963949</v>
      </c>
      <c r="N279" t="n">
        <v>-1.277220514832489</v>
      </c>
      <c r="O279" t="n">
        <v>-7.178440188729351</v>
      </c>
      <c r="P279" t="n">
        <v>1.452725952678025</v>
      </c>
      <c r="Q279" t="n">
        <v>-8.507574400152961</v>
      </c>
      <c r="R279" t="n">
        <v>2.477</v>
      </c>
      <c r="S279" t="n">
        <v>4.679</v>
      </c>
      <c r="T279" t="n">
        <v>-2.202</v>
      </c>
      <c r="U279" t="n">
        <v>373785000000</v>
      </c>
    </row>
    <row r="280">
      <c r="A280" t="inlineStr">
        <is>
          <t>Malaysia</t>
        </is>
      </c>
      <c r="B280" t="inlineStr">
        <is>
          <t>MYS</t>
        </is>
      </c>
      <c r="C280" t="inlineStr">
        <is>
          <t>XCX3.L</t>
        </is>
      </c>
      <c r="D280" t="n">
        <v>2022</v>
      </c>
      <c r="E280" t="n">
        <v>7.51303281202087</v>
      </c>
      <c r="F280" t="n">
        <v>9.032</v>
      </c>
      <c r="G280" t="n">
        <v>15.896677</v>
      </c>
      <c r="H280" t="n">
        <v>9.108177</v>
      </c>
      <c r="I280" t="n">
        <v>13.25068258637467</v>
      </c>
      <c r="J280" t="inlineStr">
        <is>
          <t>Malaysia|XCX3.L|2022</t>
        </is>
      </c>
      <c r="K280" t="inlineStr">
        <is>
          <t>Malaysia|2022</t>
        </is>
      </c>
      <c r="L280" t="inlineStr">
        <is>
          <t>GBp</t>
        </is>
      </c>
      <c r="M280" t="n">
        <v>7.51303281202087</v>
      </c>
      <c r="N280" t="n">
        <v>-10.84104698150823</v>
      </c>
      <c r="O280" t="n">
        <v>-4.142505586374668</v>
      </c>
      <c r="P280" t="n">
        <v>-5.85737251362477</v>
      </c>
      <c r="Q280" t="n">
        <v>1.821562636435115</v>
      </c>
      <c r="R280" t="n">
        <v>3.379</v>
      </c>
      <c r="S280" t="n">
        <v>7.993</v>
      </c>
      <c r="T280" t="n">
        <v>-4.614000000000001</v>
      </c>
      <c r="U280" t="n">
        <v>407830000000</v>
      </c>
    </row>
    <row r="281">
      <c r="A281" t="inlineStr">
        <is>
          <t>Malaysia</t>
        </is>
      </c>
      <c r="B281" t="inlineStr">
        <is>
          <t>MYS</t>
        </is>
      </c>
      <c r="C281" t="inlineStr">
        <is>
          <t>XCX3.L</t>
        </is>
      </c>
      <c r="D281" t="n">
        <v>2023</v>
      </c>
      <c r="E281" t="n">
        <v>-8.690630864732206</v>
      </c>
      <c r="F281" t="n">
        <v>3.537</v>
      </c>
      <c r="G281" t="n">
        <v>1.622715</v>
      </c>
      <c r="H281" t="n">
        <v>-1.932423</v>
      </c>
      <c r="I281" t="n">
        <v>2.135186486476287</v>
      </c>
      <c r="J281" t="inlineStr">
        <is>
          <t>Malaysia|XCX3.L|2023</t>
        </is>
      </c>
      <c r="K281" t="inlineStr">
        <is>
          <t>Malaysia|2023</t>
        </is>
      </c>
      <c r="L281" t="inlineStr">
        <is>
          <t>GBp</t>
        </is>
      </c>
      <c r="M281" t="n">
        <v>-8.690630864732206</v>
      </c>
      <c r="N281" t="n">
        <v>5.06303068571996</v>
      </c>
      <c r="O281" t="n">
        <v>-4.067609486476287</v>
      </c>
      <c r="P281" t="n">
        <v>-3.49836936921436</v>
      </c>
      <c r="Q281" t="n">
        <v>-0.5898761643104655</v>
      </c>
      <c r="R281" t="n">
        <v>2.489</v>
      </c>
      <c r="S281" t="n">
        <v>4.128</v>
      </c>
      <c r="T281" t="n">
        <v>-1.639</v>
      </c>
      <c r="U281" t="n">
        <v>399949000000</v>
      </c>
    </row>
    <row r="282">
      <c r="A282" t="inlineStr">
        <is>
          <t>Malaysia</t>
        </is>
      </c>
      <c r="B282" t="inlineStr">
        <is>
          <t>MYS</t>
        </is>
      </c>
      <c r="C282" t="inlineStr">
        <is>
          <t>XCX3.L</t>
        </is>
      </c>
      <c r="D282" t="n">
        <v>2024</v>
      </c>
      <c r="E282" t="n">
        <v>21.8267716535433</v>
      </c>
      <c r="F282" t="n">
        <v>5.105</v>
      </c>
      <c r="G282" t="n">
        <v>5.935903</v>
      </c>
      <c r="H282" t="n">
        <v>5.57021</v>
      </c>
      <c r="I282" t="n">
        <v>-14.5253380221934</v>
      </c>
      <c r="J282" t="inlineStr">
        <is>
          <t>Malaysia|XCX3.L|2024</t>
        </is>
      </c>
      <c r="K282" t="inlineStr">
        <is>
          <t>Malaysia|2024</t>
        </is>
      </c>
      <c r="L282" t="inlineStr">
        <is>
          <t>GBp</t>
        </is>
      </c>
      <c r="M282" t="n">
        <v>21.8267716535433</v>
      </c>
      <c r="N282" t="n">
        <v>-1.421053523664917</v>
      </c>
      <c r="O282" t="n">
        <v>20.0955480221934</v>
      </c>
      <c r="P282" t="n">
        <v>-0.3452020207730944</v>
      </c>
      <c r="Q282" t="n">
        <v>20.51155634997863</v>
      </c>
      <c r="R282" t="n">
        <v>1.834</v>
      </c>
      <c r="S282" t="n">
        <v>2.952</v>
      </c>
      <c r="T282" t="n">
        <v>-1.118</v>
      </c>
      <c r="U282" t="n">
        <v>422227000000</v>
      </c>
    </row>
    <row r="283">
      <c r="A283" t="inlineStr">
        <is>
          <t>Malaysia</t>
        </is>
      </c>
      <c r="B283" t="inlineStr">
        <is>
          <t>MYS</t>
        </is>
      </c>
      <c r="C283" t="inlineStr">
        <is>
          <t>XCX3.L</t>
        </is>
      </c>
      <c r="D283" t="n">
        <v>2025</v>
      </c>
      <c r="E283" t="n">
        <v>6.998844227558743</v>
      </c>
      <c r="F283" t="n">
        <v>4.5</v>
      </c>
      <c r="G283" t="n">
        <v>5.607851</v>
      </c>
      <c r="H283" t="n">
        <v>11.450002</v>
      </c>
      <c r="I283" t="n">
        <v>-3.650719337422885</v>
      </c>
      <c r="J283" t="inlineStr">
        <is>
          <t>Malaysia|XCX3.L|2025</t>
        </is>
      </c>
      <c r="K283" t="inlineStr">
        <is>
          <t>Malaysia|2025</t>
        </is>
      </c>
      <c r="L283" t="inlineStr">
        <is>
          <t>GBp</t>
        </is>
      </c>
      <c r="M283" t="n">
        <v>6.998844227558743</v>
      </c>
      <c r="N283" t="n">
        <v>7.571929555270285</v>
      </c>
      <c r="O283" t="n">
        <v>15.10072133742288</v>
      </c>
      <c r="P283" t="n">
        <v>5.531928703126043</v>
      </c>
      <c r="Q283" t="n">
        <v>9.067201511321766</v>
      </c>
      <c r="R283" t="n">
        <v>1.587</v>
      </c>
      <c r="S283" t="n">
        <v>2.715</v>
      </c>
      <c r="T283" t="n">
        <v>-1.128</v>
      </c>
      <c r="U283" t="n">
        <v>470572000000</v>
      </c>
    </row>
    <row r="284">
      <c r="A284" t="inlineStr">
        <is>
          <t>Malaysia</t>
        </is>
      </c>
      <c r="B284" t="inlineStr">
        <is>
          <t>MYS</t>
        </is>
      </c>
      <c r="C284" t="inlineStr">
        <is>
          <t>XCX3.L</t>
        </is>
      </c>
      <c r="D284" t="n">
        <v>2026</v>
      </c>
      <c r="E284" t="n">
        <v>6.10079575596818</v>
      </c>
      <c r="F284" t="n">
        <v>4</v>
      </c>
      <c r="G284" t="n">
        <v>5.973192</v>
      </c>
      <c r="H284" t="n">
        <v>7.393555</v>
      </c>
      <c r="I284" t="n">
        <v>2.886706216767691</v>
      </c>
      <c r="J284" t="inlineStr">
        <is>
          <t>Malaysia|XCX3.L|2026</t>
        </is>
      </c>
      <c r="K284" t="inlineStr">
        <is>
          <t>Malaysia|2026</t>
        </is>
      </c>
      <c r="L284" t="inlineStr">
        <is>
          <t>GBp</t>
        </is>
      </c>
      <c r="M284" t="n">
        <v>6.10079575596818</v>
      </c>
      <c r="N284" t="n">
        <v>-1.502295021803568</v>
      </c>
      <c r="O284" t="n">
        <v>4.506848783232309</v>
      </c>
      <c r="P284" t="n">
        <v>1.340304244938451</v>
      </c>
      <c r="Q284" t="n">
        <v>3.124664526998422</v>
      </c>
      <c r="R284" t="n">
        <v>2.201</v>
      </c>
      <c r="S284" t="n">
        <v>2.435</v>
      </c>
      <c r="T284" t="n">
        <v>-0.234</v>
      </c>
      <c r="U284" t="n">
        <v>505364000000</v>
      </c>
    </row>
    <row r="285">
      <c r="A285" t="inlineStr">
        <is>
          <t>Malaysia</t>
        </is>
      </c>
      <c r="B285" t="inlineStr">
        <is>
          <t>MYS</t>
        </is>
      </c>
      <c r="C285" t="inlineStr">
        <is>
          <t>XCX3.L</t>
        </is>
      </c>
      <c r="D285" t="n">
        <v>2027</v>
      </c>
      <c r="E285" t="inlineStr"/>
      <c r="F285" t="n">
        <v>4</v>
      </c>
      <c r="G285" t="n">
        <v>5.968899</v>
      </c>
      <c r="H285" t="n">
        <v>6.375207</v>
      </c>
      <c r="I285" t="inlineStr"/>
      <c r="J285" t="inlineStr">
        <is>
          <t>Malaysia|XCX3.L|2027</t>
        </is>
      </c>
      <c r="K285" t="inlineStr">
        <is>
          <t>Malaysia|2027</t>
        </is>
      </c>
      <c r="L285" t="inlineStr">
        <is>
          <t>GBp</t>
        </is>
      </c>
      <c r="M285" t="inlineStr"/>
      <c r="N285" t="inlineStr"/>
      <c r="O285" t="inlineStr"/>
      <c r="P285" t="n">
        <v>0.3834220546757416</v>
      </c>
      <c r="Q285" t="inlineStr"/>
      <c r="R285" t="n">
        <v>2</v>
      </c>
      <c r="S285" t="n">
        <v>2.185</v>
      </c>
      <c r="T285" t="n">
        <v>-0.1850000000000001</v>
      </c>
      <c r="U285" t="n">
        <v>537582000000</v>
      </c>
    </row>
    <row r="286">
      <c r="A286" t="inlineStr">
        <is>
          <t>Malaysia</t>
        </is>
      </c>
      <c r="B286" t="inlineStr">
        <is>
          <t>MYS</t>
        </is>
      </c>
      <c r="C286" t="inlineStr">
        <is>
          <t>XCX3.L</t>
        </is>
      </c>
      <c r="D286" t="n">
        <v>2028</v>
      </c>
      <c r="E286" t="inlineStr"/>
      <c r="F286" t="n">
        <v>4</v>
      </c>
      <c r="G286" t="n">
        <v>6.126139</v>
      </c>
      <c r="H286" t="n">
        <v>6.517145</v>
      </c>
      <c r="I286" t="inlineStr"/>
      <c r="J286" t="inlineStr">
        <is>
          <t>Malaysia|XCX3.L|2028</t>
        </is>
      </c>
      <c r="K286" t="inlineStr">
        <is>
          <t>Malaysia|2028</t>
        </is>
      </c>
      <c r="L286" t="inlineStr">
        <is>
          <t>GBp</t>
        </is>
      </c>
      <c r="M286" t="inlineStr"/>
      <c r="N286" t="inlineStr"/>
      <c r="O286" t="inlineStr"/>
      <c r="P286" t="n">
        <v>0.3684358516213404</v>
      </c>
      <c r="Q286" t="inlineStr"/>
      <c r="R286" t="n">
        <v>2</v>
      </c>
      <c r="S286" t="n">
        <v>2.206</v>
      </c>
      <c r="T286" t="n">
        <v>-0.206</v>
      </c>
      <c r="U286" t="n">
        <v>572617000000</v>
      </c>
    </row>
    <row r="287">
      <c r="A287" t="inlineStr">
        <is>
          <t>Malaysia</t>
        </is>
      </c>
      <c r="B287" t="inlineStr">
        <is>
          <t>MYS</t>
        </is>
      </c>
      <c r="C287" t="inlineStr">
        <is>
          <t>XCX3.L</t>
        </is>
      </c>
      <c r="D287" t="n">
        <v>2029</v>
      </c>
      <c r="E287" t="inlineStr"/>
      <c r="F287" t="n">
        <v>4</v>
      </c>
      <c r="G287" t="n">
        <v>6.200753</v>
      </c>
      <c r="H287" t="n">
        <v>6.326917</v>
      </c>
      <c r="I287" t="inlineStr"/>
      <c r="J287" t="inlineStr">
        <is>
          <t>Malaysia|XCX3.L|2029</t>
        </is>
      </c>
      <c r="K287" t="inlineStr">
        <is>
          <t>Malaysia|2029</t>
        </is>
      </c>
      <c r="L287" t="inlineStr">
        <is>
          <t>GBp</t>
        </is>
      </c>
      <c r="M287" t="inlineStr"/>
      <c r="N287" t="inlineStr"/>
      <c r="O287" t="inlineStr"/>
      <c r="P287" t="n">
        <v>0.1187970777748237</v>
      </c>
      <c r="Q287" t="inlineStr"/>
      <c r="R287" t="n">
        <v>2</v>
      </c>
      <c r="S287" t="n">
        <v>2.203</v>
      </c>
      <c r="T287" t="n">
        <v>-0.2029999999999998</v>
      </c>
      <c r="U287" t="n">
        <v>608846000000</v>
      </c>
    </row>
    <row r="288">
      <c r="A288" t="inlineStr">
        <is>
          <t>Mexico</t>
        </is>
      </c>
      <c r="B288" t="inlineStr">
        <is>
          <t>MEX</t>
        </is>
      </c>
      <c r="C288" t="inlineStr">
        <is>
          <t>XMEX.L</t>
        </is>
      </c>
      <c r="D288" t="n">
        <v>2004</v>
      </c>
      <c r="E288" t="inlineStr"/>
      <c r="F288" t="n">
        <v>3.565</v>
      </c>
      <c r="G288" t="inlineStr"/>
      <c r="H288" t="inlineStr"/>
      <c r="I288" t="inlineStr"/>
      <c r="J288" t="inlineStr">
        <is>
          <t>Mexico|XMEX.L|2004</t>
        </is>
      </c>
      <c r="K288" t="inlineStr">
        <is>
          <t>Mexico|2004</t>
        </is>
      </c>
      <c r="L288" t="inlineStr">
        <is>
          <t>GBp</t>
        </is>
      </c>
      <c r="M288" t="inlineStr"/>
      <c r="N288" t="inlineStr"/>
      <c r="O288" t="inlineStr"/>
      <c r="P288" t="inlineStr"/>
      <c r="Q288" t="inlineStr"/>
      <c r="R288" t="n">
        <v>4.694</v>
      </c>
      <c r="S288" t="n">
        <v>2.668</v>
      </c>
      <c r="T288" t="n">
        <v>2.026</v>
      </c>
      <c r="U288" t="n">
        <v>819459000000</v>
      </c>
    </row>
    <row r="289">
      <c r="A289" t="inlineStr">
        <is>
          <t>Mexico</t>
        </is>
      </c>
      <c r="B289" t="inlineStr">
        <is>
          <t>MEX</t>
        </is>
      </c>
      <c r="C289" t="inlineStr">
        <is>
          <t>XMEX.L</t>
        </is>
      </c>
      <c r="D289" t="n">
        <v>2005</v>
      </c>
      <c r="E289" t="inlineStr"/>
      <c r="F289" t="n">
        <v>2.113</v>
      </c>
      <c r="G289" t="n">
        <v>8.122591999999999</v>
      </c>
      <c r="H289" t="n">
        <v>11.972899</v>
      </c>
      <c r="I289" t="inlineStr"/>
      <c r="J289" t="inlineStr">
        <is>
          <t>Mexico|XMEX.L|2005</t>
        </is>
      </c>
      <c r="K289" t="inlineStr">
        <is>
          <t>Mexico|2005</t>
        </is>
      </c>
      <c r="L289" t="inlineStr">
        <is>
          <t>GBp</t>
        </is>
      </c>
      <c r="M289" t="inlineStr"/>
      <c r="N289" t="inlineStr"/>
      <c r="O289" t="inlineStr"/>
      <c r="P289" t="n">
        <v>3.561056915366811</v>
      </c>
      <c r="Q289" t="inlineStr"/>
      <c r="R289" t="n">
        <v>3.99</v>
      </c>
      <c r="S289" t="n">
        <v>3.366</v>
      </c>
      <c r="T289" t="n">
        <v>0.6240000000000001</v>
      </c>
      <c r="U289" t="n">
        <v>917572000000</v>
      </c>
    </row>
    <row r="290">
      <c r="A290" t="inlineStr">
        <is>
          <t>Mexico</t>
        </is>
      </c>
      <c r="B290" t="inlineStr">
        <is>
          <t>MEX</t>
        </is>
      </c>
      <c r="C290" t="inlineStr">
        <is>
          <t>XMEX.L</t>
        </is>
      </c>
      <c r="D290" t="n">
        <v>2006</v>
      </c>
      <c r="E290" t="inlineStr"/>
      <c r="F290" t="n">
        <v>4.805</v>
      </c>
      <c r="G290" t="n">
        <v>11.205619</v>
      </c>
      <c r="H290" t="n">
        <v>11.191819</v>
      </c>
      <c r="I290" t="inlineStr"/>
      <c r="J290" t="inlineStr">
        <is>
          <t>Mexico|XMEX.L|2006</t>
        </is>
      </c>
      <c r="K290" t="inlineStr">
        <is>
          <t>Mexico|2006</t>
        </is>
      </c>
      <c r="L290" t="inlineStr">
        <is>
          <t>GBp</t>
        </is>
      </c>
      <c r="M290" t="inlineStr"/>
      <c r="N290" t="inlineStr"/>
      <c r="O290" t="inlineStr"/>
      <c r="P290" t="n">
        <v>-0.01240950398012641</v>
      </c>
      <c r="Q290" t="inlineStr"/>
      <c r="R290" t="n">
        <v>3.633</v>
      </c>
      <c r="S290" t="n">
        <v>3.222</v>
      </c>
      <c r="T290" t="n">
        <v>0.411</v>
      </c>
      <c r="U290" t="n">
        <v>1020265000000</v>
      </c>
    </row>
    <row r="291">
      <c r="A291" t="inlineStr">
        <is>
          <t>Mexico</t>
        </is>
      </c>
      <c r="B291" t="inlineStr">
        <is>
          <t>MEX</t>
        </is>
      </c>
      <c r="C291" t="inlineStr">
        <is>
          <t>XMEX.L</t>
        </is>
      </c>
      <c r="D291" t="n">
        <v>2007</v>
      </c>
      <c r="E291" t="inlineStr"/>
      <c r="F291" t="n">
        <v>2.078</v>
      </c>
      <c r="G291" t="n">
        <v>8.332979999999999</v>
      </c>
      <c r="H291" t="n">
        <v>8.046047</v>
      </c>
      <c r="I291" t="inlineStr"/>
      <c r="J291" t="inlineStr">
        <is>
          <t>Mexico|XMEX.L|2007</t>
        </is>
      </c>
      <c r="K291" t="inlineStr">
        <is>
          <t>Mexico|2007</t>
        </is>
      </c>
      <c r="L291" t="inlineStr">
        <is>
          <t>GBp</t>
        </is>
      </c>
      <c r="M291" t="inlineStr"/>
      <c r="N291" t="inlineStr"/>
      <c r="O291" t="inlineStr"/>
      <c r="P291" t="n">
        <v>-0.2648618736683428</v>
      </c>
      <c r="Q291" t="inlineStr"/>
      <c r="R291" t="n">
        <v>3.969</v>
      </c>
      <c r="S291" t="n">
        <v>2.871</v>
      </c>
      <c r="T291" t="n">
        <v>1.098</v>
      </c>
      <c r="U291" t="n">
        <v>1102356000000</v>
      </c>
    </row>
    <row r="292">
      <c r="A292" t="inlineStr">
        <is>
          <t>Mexico</t>
        </is>
      </c>
      <c r="B292" t="inlineStr">
        <is>
          <t>MEX</t>
        </is>
      </c>
      <c r="C292" t="inlineStr">
        <is>
          <t>XMEX.L</t>
        </is>
      </c>
      <c r="D292" t="n">
        <v>2008</v>
      </c>
      <c r="E292" t="inlineStr"/>
      <c r="F292" t="n">
        <v>0.9429999999999999</v>
      </c>
      <c r="G292" t="n">
        <v>7.31324</v>
      </c>
      <c r="H292" t="n">
        <v>5.370044</v>
      </c>
      <c r="I292" t="inlineStr"/>
      <c r="J292" t="inlineStr">
        <is>
          <t>Mexico|XMEX.L|2008</t>
        </is>
      </c>
      <c r="K292" t="inlineStr">
        <is>
          <t>Mexico|2008</t>
        </is>
      </c>
      <c r="L292" t="inlineStr">
        <is>
          <t>GBp</t>
        </is>
      </c>
      <c r="M292" t="inlineStr"/>
      <c r="N292" t="n">
        <v>-26.2666463318202</v>
      </c>
      <c r="O292" t="inlineStr"/>
      <c r="P292" t="n">
        <v>-1.810770540785056</v>
      </c>
      <c r="Q292" t="inlineStr"/>
      <c r="R292" t="n">
        <v>5.13</v>
      </c>
      <c r="S292" t="n">
        <v>3.815</v>
      </c>
      <c r="T292" t="n">
        <v>1.315</v>
      </c>
      <c r="U292" t="n">
        <v>1161553000000</v>
      </c>
    </row>
    <row r="293">
      <c r="A293" t="inlineStr">
        <is>
          <t>Mexico</t>
        </is>
      </c>
      <c r="B293" t="inlineStr">
        <is>
          <t>MEX</t>
        </is>
      </c>
      <c r="C293" t="inlineStr">
        <is>
          <t>XMEX.L</t>
        </is>
      </c>
      <c r="D293" t="n">
        <v>2009</v>
      </c>
      <c r="E293" t="inlineStr"/>
      <c r="F293" t="n">
        <v>-6.295</v>
      </c>
      <c r="G293" t="n">
        <v>-1.381856</v>
      </c>
      <c r="H293" t="n">
        <v>-18.777964</v>
      </c>
      <c r="I293" t="inlineStr"/>
      <c r="J293" t="inlineStr">
        <is>
          <t>Mexico|XMEX.L|2009</t>
        </is>
      </c>
      <c r="K293" t="inlineStr">
        <is>
          <t>Mexico|2009</t>
        </is>
      </c>
      <c r="L293" t="inlineStr">
        <is>
          <t>GBp</t>
        </is>
      </c>
      <c r="M293" t="inlineStr"/>
      <c r="N293" t="n">
        <v>9.775566130910907</v>
      </c>
      <c r="O293" t="inlineStr"/>
      <c r="P293" t="n">
        <v>-17.63986544052355</v>
      </c>
      <c r="Q293" t="inlineStr"/>
      <c r="R293" t="n">
        <v>5.296</v>
      </c>
      <c r="S293" t="n">
        <v>-0.32</v>
      </c>
      <c r="T293" t="n">
        <v>5.616000000000001</v>
      </c>
      <c r="U293" t="n">
        <v>943437000000</v>
      </c>
    </row>
    <row r="294">
      <c r="A294" t="inlineStr">
        <is>
          <t>Mexico</t>
        </is>
      </c>
      <c r="B294" t="inlineStr">
        <is>
          <t>MEX</t>
        </is>
      </c>
      <c r="C294" t="inlineStr">
        <is>
          <t>XMEX.L</t>
        </is>
      </c>
      <c r="D294" t="n">
        <v>2010</v>
      </c>
      <c r="E294" t="n">
        <v>20.68245132434483</v>
      </c>
      <c r="F294" t="n">
        <v>4.971</v>
      </c>
      <c r="G294" t="n">
        <v>9.561697000000001</v>
      </c>
      <c r="H294" t="n">
        <v>17.16988</v>
      </c>
      <c r="I294" t="n">
        <v>1.692625888637107</v>
      </c>
      <c r="J294" t="inlineStr">
        <is>
          <t>Mexico|XMEX.L|2010</t>
        </is>
      </c>
      <c r="K294" t="inlineStr">
        <is>
          <t>Mexico|2010</t>
        </is>
      </c>
      <c r="L294" t="inlineStr">
        <is>
          <t>GBp</t>
        </is>
      </c>
      <c r="M294" t="n">
        <v>20.68245132434483</v>
      </c>
      <c r="N294" t="n">
        <v>-4.313135137595536</v>
      </c>
      <c r="O294" t="n">
        <v>15.47725411136289</v>
      </c>
      <c r="P294" t="n">
        <v>6.944199848779853</v>
      </c>
      <c r="Q294" t="n">
        <v>7.978978078894294</v>
      </c>
      <c r="R294" t="n">
        <v>4.155</v>
      </c>
      <c r="S294" t="n">
        <v>1.637</v>
      </c>
      <c r="T294" t="n">
        <v>2.518</v>
      </c>
      <c r="U294" t="n">
        <v>1105424000000</v>
      </c>
    </row>
    <row r="295">
      <c r="A295" t="inlineStr">
        <is>
          <t>Mexico</t>
        </is>
      </c>
      <c r="B295" t="inlineStr">
        <is>
          <t>MEX</t>
        </is>
      </c>
      <c r="C295" t="inlineStr">
        <is>
          <t>XMEX.L</t>
        </is>
      </c>
      <c r="D295" t="n">
        <v>2011</v>
      </c>
      <c r="E295" t="n">
        <v>-12.12571498325892</v>
      </c>
      <c r="F295" t="n">
        <v>3.444</v>
      </c>
      <c r="G295" t="n">
        <v>9.308942</v>
      </c>
      <c r="H295" t="n">
        <v>11.180325</v>
      </c>
      <c r="I295" t="n">
        <v>24.18927559728512</v>
      </c>
      <c r="J295" t="inlineStr">
        <is>
          <t>Mexico|XMEX.L|2011</t>
        </is>
      </c>
      <c r="K295" t="inlineStr">
        <is>
          <t>Mexico|2011</t>
        </is>
      </c>
      <c r="L295" t="inlineStr">
        <is>
          <t>GBp</t>
        </is>
      </c>
      <c r="M295" t="n">
        <v>-12.12571498325892</v>
      </c>
      <c r="N295" t="n">
        <v>-1.005112717398426</v>
      </c>
      <c r="O295" t="n">
        <v>-13.00895059728512</v>
      </c>
      <c r="P295" t="n">
        <v>1.71201295329011</v>
      </c>
      <c r="Q295" t="n">
        <v>-14.47318082018063</v>
      </c>
      <c r="R295" t="n">
        <v>3.404</v>
      </c>
      <c r="S295" t="n">
        <v>3.14</v>
      </c>
      <c r="T295" t="n">
        <v>0.2639999999999998</v>
      </c>
      <c r="U295" t="n">
        <v>1229014000000</v>
      </c>
    </row>
    <row r="296">
      <c r="A296" t="inlineStr">
        <is>
          <t>Mexico</t>
        </is>
      </c>
      <c r="B296" t="inlineStr">
        <is>
          <t>MEX</t>
        </is>
      </c>
      <c r="C296" t="inlineStr">
        <is>
          <t>XMEX.L</t>
        </is>
      </c>
      <c r="D296" t="n">
        <v>2012</v>
      </c>
      <c r="E296" t="n">
        <v>19.35897240271935</v>
      </c>
      <c r="F296" t="n">
        <v>3.553</v>
      </c>
      <c r="G296" t="n">
        <v>8.256818000000001</v>
      </c>
      <c r="H296" t="n">
        <v>2.123328</v>
      </c>
      <c r="I296" t="n">
        <v>-22.24381362524918</v>
      </c>
      <c r="J296" t="inlineStr">
        <is>
          <t>Mexico|XMEX.L|2012</t>
        </is>
      </c>
      <c r="K296" t="inlineStr">
        <is>
          <t>Mexico|2012</t>
        </is>
      </c>
      <c r="L296" t="inlineStr">
        <is>
          <t>GBp</t>
        </is>
      </c>
      <c r="M296" t="n">
        <v>19.35897240271935</v>
      </c>
      <c r="N296" t="n">
        <v>4.195888354025179</v>
      </c>
      <c r="O296" t="n">
        <v>24.36714162524918</v>
      </c>
      <c r="P296" t="n">
        <v>-5.665684291341789</v>
      </c>
      <c r="Q296" t="n">
        <v>31.83658639062401</v>
      </c>
      <c r="R296" t="n">
        <v>4.111</v>
      </c>
      <c r="S296" t="n">
        <v>2.073</v>
      </c>
      <c r="T296" t="n">
        <v>2.038</v>
      </c>
      <c r="U296" t="n">
        <v>1255110000000</v>
      </c>
    </row>
    <row r="297">
      <c r="A297" t="inlineStr">
        <is>
          <t>Mexico</t>
        </is>
      </c>
      <c r="B297" t="inlineStr">
        <is>
          <t>MEX</t>
        </is>
      </c>
      <c r="C297" t="inlineStr">
        <is>
          <t>XMEX.L</t>
        </is>
      </c>
      <c r="D297" t="n">
        <v>2013</v>
      </c>
      <c r="E297" t="n">
        <v>-4.693794920281313</v>
      </c>
      <c r="F297" t="n">
        <v>0.852</v>
      </c>
      <c r="G297" t="n">
        <v>2.570505</v>
      </c>
      <c r="H297" t="n">
        <v>5.762523</v>
      </c>
      <c r="I297" t="n">
        <v>8.93768356377517</v>
      </c>
      <c r="J297" t="inlineStr">
        <is>
          <t>Mexico|XMEX.L|2013</t>
        </is>
      </c>
      <c r="K297" t="inlineStr">
        <is>
          <t>Mexico|2013</t>
        </is>
      </c>
      <c r="L297" t="inlineStr">
        <is>
          <t>GBp</t>
        </is>
      </c>
      <c r="M297" t="n">
        <v>-4.693794920281313</v>
      </c>
      <c r="N297" t="n">
        <v>1.593426530031161</v>
      </c>
      <c r="O297" t="n">
        <v>-3.17516056377517</v>
      </c>
      <c r="P297" t="n">
        <v>3.112022847335449</v>
      </c>
      <c r="Q297" t="n">
        <v>-6.097429996518677</v>
      </c>
      <c r="R297" t="n">
        <v>3.804</v>
      </c>
      <c r="S297" t="n">
        <v>1.466</v>
      </c>
      <c r="T297" t="n">
        <v>2.338</v>
      </c>
      <c r="U297" t="n">
        <v>1327436000000</v>
      </c>
    </row>
    <row r="298">
      <c r="A298" t="inlineStr">
        <is>
          <t>Mexico</t>
        </is>
      </c>
      <c r="B298" t="inlineStr">
        <is>
          <t>MEX</t>
        </is>
      </c>
      <c r="C298" t="inlineStr">
        <is>
          <t>XMEX.L</t>
        </is>
      </c>
      <c r="D298" t="n">
        <v>2014</v>
      </c>
      <c r="E298" t="n">
        <v>-4.652769953747926</v>
      </c>
      <c r="F298" t="n">
        <v>2.504</v>
      </c>
      <c r="G298" t="n">
        <v>6.981506</v>
      </c>
      <c r="H298" t="n">
        <v>2.792752</v>
      </c>
      <c r="I298" t="n">
        <v>13.17259404432469</v>
      </c>
      <c r="J298" t="inlineStr">
        <is>
          <t>Mexico|XMEX.L|2014</t>
        </is>
      </c>
      <c r="K298" t="inlineStr">
        <is>
          <t>Mexico|2014</t>
        </is>
      </c>
      <c r="L298" t="inlineStr">
        <is>
          <t>GBp</t>
        </is>
      </c>
      <c r="M298" t="n">
        <v>-4.652769953747926</v>
      </c>
      <c r="N298" t="n">
        <v>-6.006542704804973</v>
      </c>
      <c r="O298" t="n">
        <v>-10.37984204432469</v>
      </c>
      <c r="P298" t="n">
        <v>-3.915400070815311</v>
      </c>
      <c r="Q298" t="n">
        <v>-6.727864796516547</v>
      </c>
      <c r="R298" t="n">
        <v>4.019</v>
      </c>
      <c r="S298" t="n">
        <v>1.615</v>
      </c>
      <c r="T298" t="n">
        <v>2.404</v>
      </c>
      <c r="U298" t="n">
        <v>1364508000000</v>
      </c>
    </row>
    <row r="299">
      <c r="A299" t="inlineStr">
        <is>
          <t>Mexico</t>
        </is>
      </c>
      <c r="B299" t="inlineStr">
        <is>
          <t>MEX</t>
        </is>
      </c>
      <c r="C299" t="inlineStr">
        <is>
          <t>XMEX.L</t>
        </is>
      </c>
      <c r="D299" t="n">
        <v>2015</v>
      </c>
      <c r="E299" t="n">
        <v>-9.970801137659679</v>
      </c>
      <c r="F299" t="n">
        <v>2.702</v>
      </c>
      <c r="G299" t="n">
        <v>6.014913</v>
      </c>
      <c r="H299" t="n">
        <v>-11.081943</v>
      </c>
      <c r="I299" t="n">
        <v>3.290255911583012</v>
      </c>
      <c r="J299" t="inlineStr">
        <is>
          <t>Mexico|XMEX.L|2015</t>
        </is>
      </c>
      <c r="K299" t="inlineStr">
        <is>
          <t>Mexico|2015</t>
        </is>
      </c>
      <c r="L299" t="inlineStr">
        <is>
          <t>GBp</t>
        </is>
      </c>
      <c r="M299" t="n">
        <v>-9.970801137659679</v>
      </c>
      <c r="N299" t="n">
        <v>-4.888855870697362</v>
      </c>
      <c r="O299" t="n">
        <v>-14.37219891158301</v>
      </c>
      <c r="P299" t="n">
        <v>-16.12684096819736</v>
      </c>
      <c r="Q299" t="n">
        <v>2.092018563351172</v>
      </c>
      <c r="R299" t="n">
        <v>2.719</v>
      </c>
      <c r="S299" t="n">
        <v>0.121</v>
      </c>
      <c r="T299" t="n">
        <v>2.598</v>
      </c>
      <c r="U299" t="n">
        <v>1213294000000</v>
      </c>
    </row>
    <row r="300">
      <c r="A300" t="inlineStr">
        <is>
          <t>Mexico</t>
        </is>
      </c>
      <c r="B300" t="inlineStr">
        <is>
          <t>MEX</t>
        </is>
      </c>
      <c r="C300" t="inlineStr">
        <is>
          <t>XMEX.L</t>
        </is>
      </c>
      <c r="D300" t="n">
        <v>2016</v>
      </c>
      <c r="E300" t="n">
        <v>11.89535854640324</v>
      </c>
      <c r="F300" t="n">
        <v>1.772</v>
      </c>
      <c r="G300" t="n">
        <v>7.957807</v>
      </c>
      <c r="H300" t="n">
        <v>-8.329473</v>
      </c>
      <c r="I300" t="n">
        <v>-1.621435286100971</v>
      </c>
      <c r="J300" t="inlineStr">
        <is>
          <t>Mexico|XMEX.L|2016</t>
        </is>
      </c>
      <c r="K300" t="inlineStr">
        <is>
          <t>Mexico|2016</t>
        </is>
      </c>
      <c r="L300" t="inlineStr">
        <is>
          <t>GBp</t>
        </is>
      </c>
      <c r="M300" t="n">
        <v>11.89535854640324</v>
      </c>
      <c r="N300" t="n">
        <v>-16.62570861023462</v>
      </c>
      <c r="O300" t="n">
        <v>-6.708037713899029</v>
      </c>
      <c r="P300" t="n">
        <v>-15.08670883513138</v>
      </c>
      <c r="Q300" t="n">
        <v>9.867325840620445</v>
      </c>
      <c r="R300" t="n">
        <v>2.82</v>
      </c>
      <c r="S300" t="n">
        <v>1.267</v>
      </c>
      <c r="T300" t="n">
        <v>1.553</v>
      </c>
      <c r="U300" t="n">
        <v>1112233000000</v>
      </c>
    </row>
    <row r="301">
      <c r="A301" t="inlineStr">
        <is>
          <t>Mexico</t>
        </is>
      </c>
      <c r="B301" t="inlineStr">
        <is>
          <t>MEX</t>
        </is>
      </c>
      <c r="C301" t="inlineStr">
        <is>
          <t>XMEX.L</t>
        </is>
      </c>
      <c r="D301" t="n">
        <v>2017</v>
      </c>
      <c r="E301" t="n">
        <v>3.693817729694904</v>
      </c>
      <c r="F301" t="n">
        <v>1.872</v>
      </c>
      <c r="G301" t="n">
        <v>8.562246999999999</v>
      </c>
      <c r="H301" t="n">
        <v>7.056795</v>
      </c>
      <c r="I301" t="n">
        <v>-5.80499556140746</v>
      </c>
      <c r="J301" t="inlineStr">
        <is>
          <t>Mexico|XMEX.L|2017</t>
        </is>
      </c>
      <c r="K301" t="inlineStr">
        <is>
          <t>Mexico|2017</t>
        </is>
      </c>
      <c r="L301" t="inlineStr">
        <is>
          <t>GBp</t>
        </is>
      </c>
      <c r="M301" t="n">
        <v>3.693817729694904</v>
      </c>
      <c r="N301" t="n">
        <v>8.841388071573641</v>
      </c>
      <c r="O301" t="n">
        <v>12.86179056140746</v>
      </c>
      <c r="P301" t="n">
        <v>-1.386718199947168</v>
      </c>
      <c r="Q301" t="n">
        <v>14.44887392577072</v>
      </c>
      <c r="R301" t="n">
        <v>6.042</v>
      </c>
      <c r="S301" t="n">
        <v>2.131</v>
      </c>
      <c r="T301" t="n">
        <v>3.911</v>
      </c>
      <c r="U301" t="n">
        <v>1190721000000</v>
      </c>
    </row>
    <row r="302">
      <c r="A302" t="inlineStr">
        <is>
          <t>Mexico</t>
        </is>
      </c>
      <c r="B302" t="inlineStr">
        <is>
          <t>MEX</t>
        </is>
      </c>
      <c r="C302" t="inlineStr">
        <is>
          <t>XMEX.L</t>
        </is>
      </c>
      <c r="D302" t="n">
        <v>2018</v>
      </c>
      <c r="E302" t="n">
        <v>-10.87596013818325</v>
      </c>
      <c r="F302" t="n">
        <v>1.972</v>
      </c>
      <c r="G302" t="n">
        <v>7.279219</v>
      </c>
      <c r="H302" t="n">
        <v>5.507503</v>
      </c>
      <c r="I302" t="n">
        <v>21.80693210106428</v>
      </c>
      <c r="J302" t="inlineStr">
        <is>
          <t>Mexico|XMEX.L|2018</t>
        </is>
      </c>
      <c r="K302" t="inlineStr">
        <is>
          <t>Mexico|2018</t>
        </is>
      </c>
      <c r="L302" t="inlineStr">
        <is>
          <t>GBp</t>
        </is>
      </c>
      <c r="M302" t="n">
        <v>-10.87596013818325</v>
      </c>
      <c r="N302" t="n">
        <v>-6.085304224640065</v>
      </c>
      <c r="O302" t="n">
        <v>-16.29942910106428</v>
      </c>
      <c r="P302" t="n">
        <v>-1.651498985104194</v>
      </c>
      <c r="Q302" t="n">
        <v>-14.89390276903307</v>
      </c>
      <c r="R302" t="n">
        <v>4.898</v>
      </c>
      <c r="S302" t="n">
        <v>2.439</v>
      </c>
      <c r="T302" t="n">
        <v>2.459</v>
      </c>
      <c r="U302" t="n">
        <v>1256300000000</v>
      </c>
    </row>
    <row r="303">
      <c r="A303" t="inlineStr">
        <is>
          <t>Mexico</t>
        </is>
      </c>
      <c r="B303" t="inlineStr">
        <is>
          <t>MEX</t>
        </is>
      </c>
      <c r="C303" t="inlineStr">
        <is>
          <t>XMEX.L</t>
        </is>
      </c>
      <c r="D303" t="n">
        <v>2019</v>
      </c>
      <c r="E303" t="n">
        <v>4.346498216753458</v>
      </c>
      <c r="F303" t="n">
        <v>-0.393</v>
      </c>
      <c r="G303" t="n">
        <v>3.90936</v>
      </c>
      <c r="H303" t="n">
        <v>3.805301</v>
      </c>
      <c r="I303" t="n">
        <v>-3.613016519698081</v>
      </c>
      <c r="J303" t="inlineStr">
        <is>
          <t>Mexico|XMEX.L|2019</t>
        </is>
      </c>
      <c r="K303" t="inlineStr">
        <is>
          <t>Mexico|2019</t>
        </is>
      </c>
      <c r="L303" t="inlineStr">
        <is>
          <t>GBp</t>
        </is>
      </c>
      <c r="M303" t="n">
        <v>4.346498216753458</v>
      </c>
      <c r="N303" t="n">
        <v>2.94386429390634</v>
      </c>
      <c r="O303" t="n">
        <v>7.418317519698081</v>
      </c>
      <c r="P303" t="n">
        <v>-0.1001434754796748</v>
      </c>
      <c r="Q303" t="n">
        <v>7.525997790930128</v>
      </c>
      <c r="R303" t="n">
        <v>3.635</v>
      </c>
      <c r="S303" t="n">
        <v>1.813</v>
      </c>
      <c r="T303" t="n">
        <v>1.822</v>
      </c>
      <c r="U303" t="n">
        <v>1304106000000</v>
      </c>
    </row>
    <row r="304">
      <c r="A304" t="inlineStr">
        <is>
          <t>Mexico</t>
        </is>
      </c>
      <c r="B304" t="inlineStr">
        <is>
          <t>MEX</t>
        </is>
      </c>
      <c r="C304" t="inlineStr">
        <is>
          <t>XMEX.L</t>
        </is>
      </c>
      <c r="D304" t="n">
        <v>2020</v>
      </c>
      <c r="E304" t="n">
        <v>-5.381167780111673</v>
      </c>
      <c r="F304" t="n">
        <v>-8.353999999999999</v>
      </c>
      <c r="G304" t="n">
        <v>-4.120183</v>
      </c>
      <c r="H304" t="n">
        <v>-14.035746</v>
      </c>
      <c r="I304" t="n">
        <v>-11.28043850209825</v>
      </c>
      <c r="J304" t="inlineStr">
        <is>
          <t>Mexico|XMEX.L|2020</t>
        </is>
      </c>
      <c r="K304" t="inlineStr">
        <is>
          <t>Mexico|2020</t>
        </is>
      </c>
      <c r="L304" t="inlineStr">
        <is>
          <t>GBp</t>
        </is>
      </c>
      <c r="M304" t="n">
        <v>-5.381167780111673</v>
      </c>
      <c r="N304" t="n">
        <v>2.775198362317122</v>
      </c>
      <c r="O304" t="n">
        <v>-2.755307497901749</v>
      </c>
      <c r="P304" t="n">
        <v>-10.34165808638219</v>
      </c>
      <c r="Q304" t="n">
        <v>8.461399604946497</v>
      </c>
      <c r="R304" t="n">
        <v>3.398</v>
      </c>
      <c r="S304" t="n">
        <v>1.253</v>
      </c>
      <c r="T304" t="n">
        <v>2.145</v>
      </c>
      <c r="U304" t="n">
        <v>1121065000000</v>
      </c>
    </row>
    <row r="305">
      <c r="A305" t="inlineStr">
        <is>
          <t>Mexico</t>
        </is>
      </c>
      <c r="B305" t="inlineStr">
        <is>
          <t>MEX</t>
        </is>
      </c>
      <c r="C305" t="inlineStr">
        <is>
          <t>XMEX.L</t>
        </is>
      </c>
      <c r="D305" t="n">
        <v>2021</v>
      </c>
      <c r="E305" t="n">
        <v>19.99089795741909</v>
      </c>
      <c r="F305" t="n">
        <v>6.048</v>
      </c>
      <c r="G305" t="n">
        <v>10.807909</v>
      </c>
      <c r="H305" t="n">
        <v>17.439132</v>
      </c>
      <c r="I305" t="n">
        <v>-1.019217592775213</v>
      </c>
      <c r="J305" t="inlineStr">
        <is>
          <t>Mexico|XMEX.L|2021</t>
        </is>
      </c>
      <c r="K305" t="inlineStr">
        <is>
          <t>Mexico|2021</t>
        </is>
      </c>
      <c r="L305" t="inlineStr">
        <is>
          <t>GBp</t>
        </is>
      </c>
      <c r="M305" t="n">
        <v>19.99089795741909</v>
      </c>
      <c r="N305" t="n">
        <v>-1.277220514832489</v>
      </c>
      <c r="O305" t="n">
        <v>18.45834959277521</v>
      </c>
      <c r="P305" t="n">
        <v>5.984430260408757</v>
      </c>
      <c r="Q305" t="n">
        <v>11.76957719328911</v>
      </c>
      <c r="R305" t="n">
        <v>5.693</v>
      </c>
      <c r="S305" t="n">
        <v>4.679</v>
      </c>
      <c r="T305" t="n">
        <v>1.013999999999999</v>
      </c>
      <c r="U305" t="n">
        <v>1316569000000</v>
      </c>
    </row>
    <row r="306">
      <c r="A306" t="inlineStr">
        <is>
          <t>Mexico</t>
        </is>
      </c>
      <c r="B306" t="inlineStr">
        <is>
          <t>MEX</t>
        </is>
      </c>
      <c r="C306" t="inlineStr">
        <is>
          <t>XMEX.L</t>
        </is>
      </c>
      <c r="D306" t="n">
        <v>2022</v>
      </c>
      <c r="E306" t="n">
        <v>11.77221792262422</v>
      </c>
      <c r="F306" t="n">
        <v>3.71</v>
      </c>
      <c r="G306" t="n">
        <v>10.623726</v>
      </c>
      <c r="H306" t="n">
        <v>11.42105</v>
      </c>
      <c r="I306" t="n">
        <v>11.76611073464123</v>
      </c>
      <c r="J306" t="inlineStr">
        <is>
          <t>Mexico|XMEX.L|2022</t>
        </is>
      </c>
      <c r="K306" t="inlineStr">
        <is>
          <t>Mexico|2022</t>
        </is>
      </c>
      <c r="L306" t="inlineStr">
        <is>
          <t>GBp</t>
        </is>
      </c>
      <c r="M306" t="n">
        <v>11.77221792262422</v>
      </c>
      <c r="N306" t="n">
        <v>-10.84104698150823</v>
      </c>
      <c r="O306" t="n">
        <v>-0.3450607346412338</v>
      </c>
      <c r="P306" t="n">
        <v>0.7207528155679599</v>
      </c>
      <c r="Q306" t="n">
        <v>-1.058186640205949</v>
      </c>
      <c r="R306" t="n">
        <v>7.897</v>
      </c>
      <c r="S306" t="n">
        <v>7.993</v>
      </c>
      <c r="T306" t="n">
        <v>-0.09600000000000009</v>
      </c>
      <c r="U306" t="n">
        <v>1466935000000</v>
      </c>
    </row>
    <row r="307">
      <c r="A307" t="inlineStr">
        <is>
          <t>Mexico</t>
        </is>
      </c>
      <c r="B307" t="inlineStr">
        <is>
          <t>MEX</t>
        </is>
      </c>
      <c r="C307" t="inlineStr">
        <is>
          <t>XMEX.L</t>
        </is>
      </c>
      <c r="D307" t="n">
        <v>2023</v>
      </c>
      <c r="E307" t="n">
        <v>29.66957921780331</v>
      </c>
      <c r="F307" t="n">
        <v>3.354</v>
      </c>
      <c r="G307" t="n">
        <v>8.163463</v>
      </c>
      <c r="H307" t="n">
        <v>22.590162</v>
      </c>
      <c r="I307" t="n">
        <v>-13.64462780364465</v>
      </c>
      <c r="J307" t="inlineStr">
        <is>
          <t>Mexico|XMEX.L|2023</t>
        </is>
      </c>
      <c r="K307" t="inlineStr">
        <is>
          <t>Mexico|2023</t>
        </is>
      </c>
      <c r="L307" t="inlineStr">
        <is>
          <t>GBp</t>
        </is>
      </c>
      <c r="M307" t="n">
        <v>29.66957921780331</v>
      </c>
      <c r="N307" t="n">
        <v>5.06303068571996</v>
      </c>
      <c r="O307" t="n">
        <v>36.23478980364465</v>
      </c>
      <c r="P307" t="n">
        <v>13.33786760534426</v>
      </c>
      <c r="Q307" t="n">
        <v>20.20235838389881</v>
      </c>
      <c r="R307" t="n">
        <v>5.526</v>
      </c>
      <c r="S307" t="n">
        <v>4.128</v>
      </c>
      <c r="T307" t="n">
        <v>1.398</v>
      </c>
      <c r="U307" t="n">
        <v>1798318000000</v>
      </c>
    </row>
    <row r="308">
      <c r="A308" t="inlineStr">
        <is>
          <t>Mexico</t>
        </is>
      </c>
      <c r="B308" t="inlineStr">
        <is>
          <t>MEX</t>
        </is>
      </c>
      <c r="C308" t="inlineStr">
        <is>
          <t>XMEX.L</t>
        </is>
      </c>
      <c r="D308" t="n">
        <v>2024</v>
      </c>
      <c r="E308" t="n">
        <v>-26.73406378777472</v>
      </c>
      <c r="F308" t="n">
        <v>1.427</v>
      </c>
      <c r="G308" t="n">
        <v>6.402517</v>
      </c>
      <c r="H308" t="n">
        <v>3.227905</v>
      </c>
      <c r="I308" t="n">
        <v>31.00311695596464</v>
      </c>
      <c r="J308" t="inlineStr">
        <is>
          <t>Mexico|XMEX.L|2024</t>
        </is>
      </c>
      <c r="K308" t="inlineStr">
        <is>
          <t>Mexico|2024</t>
        </is>
      </c>
      <c r="L308" t="inlineStr">
        <is>
          <t>GBp</t>
        </is>
      </c>
      <c r="M308" t="n">
        <v>-26.73406378777472</v>
      </c>
      <c r="N308" t="n">
        <v>-1.421053523664917</v>
      </c>
      <c r="O308" t="n">
        <v>-27.77521195596464</v>
      </c>
      <c r="P308" t="n">
        <v>-2.983587549191158</v>
      </c>
      <c r="Q308" t="n">
        <v>-25.55405191811624</v>
      </c>
      <c r="R308" t="n">
        <v>4.723</v>
      </c>
      <c r="S308" t="n">
        <v>2.952</v>
      </c>
      <c r="T308" t="n">
        <v>1.771</v>
      </c>
      <c r="U308" t="n">
        <v>1856366000000</v>
      </c>
    </row>
    <row r="309">
      <c r="A309" t="inlineStr">
        <is>
          <t>Mexico</t>
        </is>
      </c>
      <c r="B309" t="inlineStr">
        <is>
          <t>MEX</t>
        </is>
      </c>
      <c r="C309" t="inlineStr">
        <is>
          <t>XMEX.L</t>
        </is>
      </c>
      <c r="D309" t="n">
        <v>2025</v>
      </c>
      <c r="E309" t="n">
        <v>41.10571760925725</v>
      </c>
      <c r="F309" t="n">
        <v>0.99</v>
      </c>
      <c r="G309" t="n">
        <v>6.194171</v>
      </c>
      <c r="H309" t="n">
        <v>0.343359</v>
      </c>
      <c r="I309" t="n">
        <v>-51.44678414508883</v>
      </c>
      <c r="J309" t="inlineStr">
        <is>
          <t>Mexico|XMEX.L|2025</t>
        </is>
      </c>
      <c r="K309" t="inlineStr">
        <is>
          <t>Mexico|2025</t>
        </is>
      </c>
      <c r="L309" t="inlineStr">
        <is>
          <t>GBp</t>
        </is>
      </c>
      <c r="M309" t="n">
        <v>41.10571760925725</v>
      </c>
      <c r="N309" t="n">
        <v>7.571929555270285</v>
      </c>
      <c r="O309" t="n">
        <v>51.79014314508883</v>
      </c>
      <c r="P309" t="n">
        <v>-5.509541994452317</v>
      </c>
      <c r="Q309" t="n">
        <v>60.64071055320422</v>
      </c>
      <c r="R309" t="n">
        <v>3.916</v>
      </c>
      <c r="S309" t="n">
        <v>2.715</v>
      </c>
      <c r="T309" t="n">
        <v>1.201</v>
      </c>
      <c r="U309" t="n">
        <v>1862740000000</v>
      </c>
    </row>
    <row r="310">
      <c r="A310" t="inlineStr">
        <is>
          <t>Mexico</t>
        </is>
      </c>
      <c r="B310" t="inlineStr">
        <is>
          <t>MEX</t>
        </is>
      </c>
      <c r="C310" t="inlineStr">
        <is>
          <t>XMEX.L</t>
        </is>
      </c>
      <c r="D310" t="n">
        <v>2026</v>
      </c>
      <c r="E310" t="n">
        <v>9.447852760736208</v>
      </c>
      <c r="F310" t="n">
        <v>1.544</v>
      </c>
      <c r="G310" t="n">
        <v>6.135736</v>
      </c>
      <c r="H310" t="n">
        <v>9.032876</v>
      </c>
      <c r="I310" t="n">
        <v>1.229252882759234</v>
      </c>
      <c r="J310" t="inlineStr">
        <is>
          <t>Mexico|XMEX.L|2026</t>
        </is>
      </c>
      <c r="K310" t="inlineStr">
        <is>
          <t>Mexico|2026</t>
        </is>
      </c>
      <c r="L310" t="inlineStr">
        <is>
          <t>GBp</t>
        </is>
      </c>
      <c r="M310" t="n">
        <v>9.447852760736208</v>
      </c>
      <c r="N310" t="n">
        <v>-1.502295021803568</v>
      </c>
      <c r="O310" t="n">
        <v>7.803623117240766</v>
      </c>
      <c r="P310" t="n">
        <v>2.729655744762916</v>
      </c>
      <c r="Q310" t="n">
        <v>4.939145698185121</v>
      </c>
      <c r="R310" t="n">
        <v>3.349</v>
      </c>
      <c r="S310" t="n">
        <v>2.435</v>
      </c>
      <c r="T310" t="n">
        <v>0.9140000000000001</v>
      </c>
      <c r="U310" t="n">
        <v>2030999000000</v>
      </c>
    </row>
    <row r="311">
      <c r="A311" t="inlineStr">
        <is>
          <t>Mexico</t>
        </is>
      </c>
      <c r="B311" t="inlineStr">
        <is>
          <t>MEX</t>
        </is>
      </c>
      <c r="C311" t="inlineStr">
        <is>
          <t>XMEX.L</t>
        </is>
      </c>
      <c r="D311" t="n">
        <v>2027</v>
      </c>
      <c r="E311" t="inlineStr"/>
      <c r="F311" t="n">
        <v>2.044</v>
      </c>
      <c r="G311" t="n">
        <v>5.545933</v>
      </c>
      <c r="H311" t="n">
        <v>4.67627</v>
      </c>
      <c r="I311" t="inlineStr"/>
      <c r="J311" t="inlineStr">
        <is>
          <t>Mexico|XMEX.L|2027</t>
        </is>
      </c>
      <c r="K311" t="inlineStr">
        <is>
          <t>Mexico|2027</t>
        </is>
      </c>
      <c r="L311" t="inlineStr">
        <is>
          <t>GBp</t>
        </is>
      </c>
      <c r="M311" t="inlineStr"/>
      <c r="N311" t="inlineStr"/>
      <c r="O311" t="inlineStr"/>
      <c r="P311" t="n">
        <v>-0.8239658104926884</v>
      </c>
      <c r="Q311" t="inlineStr"/>
      <c r="R311" t="n">
        <v>3</v>
      </c>
      <c r="S311" t="n">
        <v>2.185</v>
      </c>
      <c r="T311" t="n">
        <v>0.8149999999999999</v>
      </c>
      <c r="U311" t="n">
        <v>2125974000000</v>
      </c>
    </row>
    <row r="312">
      <c r="A312" t="inlineStr">
        <is>
          <t>Mexico</t>
        </is>
      </c>
      <c r="B312" t="inlineStr">
        <is>
          <t>MEX</t>
        </is>
      </c>
      <c r="C312" t="inlineStr">
        <is>
          <t>XMEX.L</t>
        </is>
      </c>
      <c r="D312" t="n">
        <v>2028</v>
      </c>
      <c r="E312" t="inlineStr"/>
      <c r="F312" t="n">
        <v>2.139</v>
      </c>
      <c r="G312" t="n">
        <v>5.591824</v>
      </c>
      <c r="H312" t="n">
        <v>4.751846</v>
      </c>
      <c r="I312" t="inlineStr"/>
      <c r="J312" t="inlineStr">
        <is>
          <t>Mexico|XMEX.L|2028</t>
        </is>
      </c>
      <c r="K312" t="inlineStr">
        <is>
          <t>Mexico|2028</t>
        </is>
      </c>
      <c r="L312" t="inlineStr">
        <is>
          <t>GBp</t>
        </is>
      </c>
      <c r="M312" t="inlineStr"/>
      <c r="N312" t="inlineStr"/>
      <c r="O312" t="inlineStr"/>
      <c r="P312" t="n">
        <v>-0.7954961036300223</v>
      </c>
      <c r="Q312" t="inlineStr"/>
      <c r="R312" t="n">
        <v>3</v>
      </c>
      <c r="S312" t="n">
        <v>2.206</v>
      </c>
      <c r="T312" t="n">
        <v>0.794</v>
      </c>
      <c r="U312" t="n">
        <v>2226997000000</v>
      </c>
    </row>
    <row r="313">
      <c r="A313" t="inlineStr">
        <is>
          <t>Mexico</t>
        </is>
      </c>
      <c r="B313" t="inlineStr">
        <is>
          <t>MEX</t>
        </is>
      </c>
      <c r="C313" t="inlineStr">
        <is>
          <t>XMEX.L</t>
        </is>
      </c>
      <c r="D313" t="n">
        <v>2029</v>
      </c>
      <c r="E313" t="inlineStr"/>
      <c r="F313" t="n">
        <v>2.084</v>
      </c>
      <c r="G313" t="n">
        <v>5.553594</v>
      </c>
      <c r="H313" t="n">
        <v>4.71918</v>
      </c>
      <c r="I313" t="inlineStr"/>
      <c r="J313" t="inlineStr">
        <is>
          <t>Mexico|XMEX.L|2029</t>
        </is>
      </c>
      <c r="K313" t="inlineStr">
        <is>
          <t>Mexico|2029</t>
        </is>
      </c>
      <c r="L313" t="inlineStr">
        <is>
          <t>GBp</t>
        </is>
      </c>
      <c r="M313" t="inlineStr"/>
      <c r="N313" t="inlineStr"/>
      <c r="O313" t="inlineStr"/>
      <c r="P313" t="n">
        <v>-0.7905121385973768</v>
      </c>
      <c r="Q313" t="inlineStr"/>
      <c r="R313" t="n">
        <v>3</v>
      </c>
      <c r="S313" t="n">
        <v>2.203</v>
      </c>
      <c r="T313" t="n">
        <v>0.7970000000000002</v>
      </c>
      <c r="U313" t="n">
        <v>2332093000000</v>
      </c>
    </row>
    <row r="314">
      <c r="A314" t="inlineStr">
        <is>
          <t>Pakistan</t>
        </is>
      </c>
      <c r="B314" t="inlineStr">
        <is>
          <t>PAK</t>
        </is>
      </c>
      <c r="C314" t="inlineStr">
        <is>
          <t>XBAK.L</t>
        </is>
      </c>
      <c r="D314" t="n">
        <v>2004</v>
      </c>
      <c r="E314" t="inlineStr"/>
      <c r="F314" t="n">
        <v>7.691</v>
      </c>
      <c r="G314" t="inlineStr"/>
      <c r="H314" t="inlineStr"/>
      <c r="I314" t="inlineStr"/>
      <c r="J314" t="inlineStr">
        <is>
          <t>Pakistan|XBAK.L|2004</t>
        </is>
      </c>
      <c r="K314" t="inlineStr">
        <is>
          <t>Pakistan|2004</t>
        </is>
      </c>
      <c r="L314" t="inlineStr">
        <is>
          <t>USD</t>
        </is>
      </c>
      <c r="M314" t="inlineStr"/>
      <c r="N314" t="inlineStr"/>
      <c r="O314" t="inlineStr"/>
      <c r="P314" t="inlineStr"/>
      <c r="Q314" t="inlineStr"/>
      <c r="R314" t="n">
        <v>4.569</v>
      </c>
      <c r="S314" t="n">
        <v>2.668</v>
      </c>
      <c r="T314" t="n">
        <v>1.901</v>
      </c>
      <c r="U314" t="n">
        <v>132206000000</v>
      </c>
    </row>
    <row r="315">
      <c r="A315" t="inlineStr">
        <is>
          <t>Pakistan</t>
        </is>
      </c>
      <c r="B315" t="inlineStr">
        <is>
          <t>PAK</t>
        </is>
      </c>
      <c r="C315" t="inlineStr">
        <is>
          <t>XBAK.L</t>
        </is>
      </c>
      <c r="D315" t="n">
        <v>2005</v>
      </c>
      <c r="E315" t="inlineStr"/>
      <c r="F315" t="n">
        <v>7.997</v>
      </c>
      <c r="G315" t="n">
        <v>13.23695</v>
      </c>
      <c r="H315" t="n">
        <v>9.835407999999999</v>
      </c>
      <c r="I315" t="inlineStr"/>
      <c r="J315" t="inlineStr">
        <is>
          <t>Pakistan|XBAK.L|2005</t>
        </is>
      </c>
      <c r="K315" t="inlineStr">
        <is>
          <t>Pakistan|2005</t>
        </is>
      </c>
      <c r="L315" t="inlineStr">
        <is>
          <t>USD</t>
        </is>
      </c>
      <c r="M315" t="inlineStr"/>
      <c r="N315" t="inlineStr"/>
      <c r="O315" t="inlineStr"/>
      <c r="P315" t="n">
        <v>-3.003914783755768</v>
      </c>
      <c r="Q315" t="inlineStr"/>
      <c r="R315" t="n">
        <v>9.275</v>
      </c>
      <c r="S315" t="n">
        <v>3.366</v>
      </c>
      <c r="T315" t="n">
        <v>5.909000000000001</v>
      </c>
      <c r="U315" t="n">
        <v>145209000000</v>
      </c>
    </row>
    <row r="316">
      <c r="A316" t="inlineStr">
        <is>
          <t>Pakistan</t>
        </is>
      </c>
      <c r="B316" t="inlineStr">
        <is>
          <t>PAK</t>
        </is>
      </c>
      <c r="C316" t="inlineStr">
        <is>
          <t>XBAK.L</t>
        </is>
      </c>
      <c r="D316" t="n">
        <v>2006</v>
      </c>
      <c r="E316" t="inlineStr"/>
      <c r="F316" t="n">
        <v>5.664</v>
      </c>
      <c r="G316" t="n">
        <v>12.412231</v>
      </c>
      <c r="H316" t="n">
        <v>11.474495</v>
      </c>
      <c r="I316" t="inlineStr"/>
      <c r="J316" t="inlineStr">
        <is>
          <t>Pakistan|XBAK.L|2006</t>
        </is>
      </c>
      <c r="K316" t="inlineStr">
        <is>
          <t>Pakistan|2006</t>
        </is>
      </c>
      <c r="L316" t="inlineStr">
        <is>
          <t>USD</t>
        </is>
      </c>
      <c r="M316" t="inlineStr"/>
      <c r="N316" t="inlineStr"/>
      <c r="O316" t="inlineStr"/>
      <c r="P316" t="n">
        <v>-0.8341937235419095</v>
      </c>
      <c r="Q316" t="inlineStr"/>
      <c r="R316" t="n">
        <v>7.918</v>
      </c>
      <c r="S316" t="n">
        <v>3.222</v>
      </c>
      <c r="T316" t="n">
        <v>4.696</v>
      </c>
      <c r="U316" t="n">
        <v>161871000000</v>
      </c>
    </row>
    <row r="317">
      <c r="A317" t="inlineStr">
        <is>
          <t>Pakistan</t>
        </is>
      </c>
      <c r="B317" t="inlineStr">
        <is>
          <t>PAK</t>
        </is>
      </c>
      <c r="C317" t="inlineStr">
        <is>
          <t>XBAK.L</t>
        </is>
      </c>
      <c r="D317" t="n">
        <v>2007</v>
      </c>
      <c r="E317" t="inlineStr"/>
      <c r="F317" t="n">
        <v>5.111</v>
      </c>
      <c r="G317" t="n">
        <v>15.235341</v>
      </c>
      <c r="H317" t="n">
        <v>13.757869</v>
      </c>
      <c r="I317" t="inlineStr"/>
      <c r="J317" t="inlineStr">
        <is>
          <t>Pakistan|XBAK.L|2007</t>
        </is>
      </c>
      <c r="K317" t="inlineStr">
        <is>
          <t>Pakistan|2007</t>
        </is>
      </c>
      <c r="L317" t="inlineStr">
        <is>
          <t>USD</t>
        </is>
      </c>
      <c r="M317" t="inlineStr"/>
      <c r="N317" t="inlineStr"/>
      <c r="O317" t="inlineStr"/>
      <c r="P317" t="n">
        <v>-1.282134456151407</v>
      </c>
      <c r="Q317" t="inlineStr"/>
      <c r="R317" t="n">
        <v>7.777</v>
      </c>
      <c r="S317" t="n">
        <v>2.871</v>
      </c>
      <c r="T317" t="n">
        <v>4.906000000000001</v>
      </c>
      <c r="U317" t="n">
        <v>184141000000</v>
      </c>
    </row>
    <row r="318">
      <c r="A318" t="inlineStr">
        <is>
          <t>Pakistan</t>
        </is>
      </c>
      <c r="B318" t="inlineStr">
        <is>
          <t>PAK</t>
        </is>
      </c>
      <c r="C318" t="inlineStr">
        <is>
          <t>XBAK.L</t>
        </is>
      </c>
      <c r="D318" t="n">
        <v>2008</v>
      </c>
      <c r="E318" t="inlineStr"/>
      <c r="F318" t="n">
        <v>4.445</v>
      </c>
      <c r="G318" t="n">
        <v>13.272476</v>
      </c>
      <c r="H318" t="n">
        <v>9.809331</v>
      </c>
      <c r="I318" t="inlineStr"/>
      <c r="J318" t="inlineStr">
        <is>
          <t>Pakistan|XBAK.L|2008</t>
        </is>
      </c>
      <c r="K318" t="inlineStr">
        <is>
          <t>Pakistan|2008</t>
        </is>
      </c>
      <c r="L318" t="inlineStr">
        <is>
          <t>USD</t>
        </is>
      </c>
      <c r="M318" t="inlineStr"/>
      <c r="N318" t="n">
        <v>0</v>
      </c>
      <c r="O318" t="inlineStr"/>
      <c r="P318" t="n">
        <v>-3.057357977088448</v>
      </c>
      <c r="Q318" t="inlineStr"/>
      <c r="R318" t="n">
        <v>11.996</v>
      </c>
      <c r="S318" t="n">
        <v>3.815</v>
      </c>
      <c r="T318" t="n">
        <v>8.181000000000001</v>
      </c>
      <c r="U318" t="n">
        <v>202204000000</v>
      </c>
    </row>
    <row r="319">
      <c r="A319" t="inlineStr">
        <is>
          <t>Pakistan</t>
        </is>
      </c>
      <c r="B319" t="inlineStr">
        <is>
          <t>PAK</t>
        </is>
      </c>
      <c r="C319" t="inlineStr">
        <is>
          <t>XBAK.L</t>
        </is>
      </c>
      <c r="D319" t="n">
        <v>2009</v>
      </c>
      <c r="E319" t="inlineStr"/>
      <c r="F319" t="n">
        <v>1.063</v>
      </c>
      <c r="G319" t="n">
        <v>16.276893</v>
      </c>
      <c r="H319" t="n">
        <v>-7.482542</v>
      </c>
      <c r="I319" t="inlineStr"/>
      <c r="J319" t="inlineStr">
        <is>
          <t>Pakistan|XBAK.L|2009</t>
        </is>
      </c>
      <c r="K319" t="inlineStr">
        <is>
          <t>Pakistan|2009</t>
        </is>
      </c>
      <c r="L319" t="inlineStr">
        <is>
          <t>USD</t>
        </is>
      </c>
      <c r="M319" t="inlineStr"/>
      <c r="N319" t="n">
        <v>0</v>
      </c>
      <c r="O319" t="inlineStr"/>
      <c r="P319" t="n">
        <v>-20.43349718084437</v>
      </c>
      <c r="Q319" t="inlineStr"/>
      <c r="R319" t="n">
        <v>19.561</v>
      </c>
      <c r="S319" t="n">
        <v>-0.32</v>
      </c>
      <c r="T319" t="n">
        <v>19.881</v>
      </c>
      <c r="U319" t="n">
        <v>187074000000</v>
      </c>
    </row>
    <row r="320">
      <c r="A320" t="inlineStr">
        <is>
          <t>Pakistan</t>
        </is>
      </c>
      <c r="B320" t="inlineStr">
        <is>
          <t>PAK</t>
        </is>
      </c>
      <c r="C320" t="inlineStr">
        <is>
          <t>XBAK.L</t>
        </is>
      </c>
      <c r="D320" t="n">
        <v>2010</v>
      </c>
      <c r="E320" t="inlineStr"/>
      <c r="F320" t="n">
        <v>2.265</v>
      </c>
      <c r="G320" t="n">
        <v>12.249368</v>
      </c>
      <c r="H320" t="n">
        <v>5.151972</v>
      </c>
      <c r="I320" t="inlineStr"/>
      <c r="J320" t="inlineStr">
        <is>
          <t>Pakistan|XBAK.L|2010</t>
        </is>
      </c>
      <c r="K320" t="inlineStr">
        <is>
          <t>Pakistan|2010</t>
        </is>
      </c>
      <c r="L320" t="inlineStr">
        <is>
          <t>USD</t>
        </is>
      </c>
      <c r="M320" t="inlineStr"/>
      <c r="N320" t="n">
        <v>0</v>
      </c>
      <c r="O320" t="inlineStr"/>
      <c r="P320" t="n">
        <v>-6.322882494166215</v>
      </c>
      <c r="Q320" t="inlineStr"/>
      <c r="R320" t="n">
        <v>10.108</v>
      </c>
      <c r="S320" t="n">
        <v>1.637</v>
      </c>
      <c r="T320" t="n">
        <v>8.471</v>
      </c>
      <c r="U320" t="n">
        <v>196712000000</v>
      </c>
    </row>
    <row r="321">
      <c r="A321" t="inlineStr">
        <is>
          <t>Pakistan</t>
        </is>
      </c>
      <c r="B321" t="inlineStr">
        <is>
          <t>PAK</t>
        </is>
      </c>
      <c r="C321" t="inlineStr">
        <is>
          <t>XBAK.L</t>
        </is>
      </c>
      <c r="D321" t="n">
        <v>2011</v>
      </c>
      <c r="E321" t="inlineStr"/>
      <c r="F321" t="n">
        <v>3.204</v>
      </c>
      <c r="G321" t="n">
        <v>19.530906</v>
      </c>
      <c r="H321" t="n">
        <v>17.215523</v>
      </c>
      <c r="I321" t="inlineStr"/>
      <c r="J321" t="inlineStr">
        <is>
          <t>Pakistan|XBAK.L|2011</t>
        </is>
      </c>
      <c r="K321" t="inlineStr">
        <is>
          <t>Pakistan|2011</t>
        </is>
      </c>
      <c r="L321" t="inlineStr">
        <is>
          <t>USD</t>
        </is>
      </c>
      <c r="M321" t="inlineStr"/>
      <c r="N321" t="n">
        <v>0</v>
      </c>
      <c r="O321" t="inlineStr"/>
      <c r="P321" t="n">
        <v>-1.937057826744992</v>
      </c>
      <c r="Q321" t="inlineStr"/>
      <c r="R321" t="n">
        <v>13.658</v>
      </c>
      <c r="S321" t="n">
        <v>3.14</v>
      </c>
      <c r="T321" t="n">
        <v>10.518</v>
      </c>
      <c r="U321" t="n">
        <v>230577000000</v>
      </c>
    </row>
    <row r="322">
      <c r="A322" t="inlineStr">
        <is>
          <t>Pakistan</t>
        </is>
      </c>
      <c r="B322" t="inlineStr">
        <is>
          <t>PAK</t>
        </is>
      </c>
      <c r="C322" t="inlineStr">
        <is>
          <t>XBAK.L</t>
        </is>
      </c>
      <c r="D322" t="n">
        <v>2012</v>
      </c>
      <c r="E322" t="n">
        <v>13.04347645808255</v>
      </c>
      <c r="F322" t="n">
        <v>3.196</v>
      </c>
      <c r="G322" t="n">
        <v>13.246186</v>
      </c>
      <c r="H322" t="n">
        <v>8.464418</v>
      </c>
      <c r="I322" t="n">
        <v>-4.579058458082548</v>
      </c>
      <c r="J322" t="inlineStr">
        <is>
          <t>Pakistan|XBAK.L|2012</t>
        </is>
      </c>
      <c r="K322" t="inlineStr">
        <is>
          <t>Pakistan|2012</t>
        </is>
      </c>
      <c r="L322" t="inlineStr">
        <is>
          <t>USD</t>
        </is>
      </c>
      <c r="M322" t="n">
        <v>13.04347645808255</v>
      </c>
      <c r="N322" t="n">
        <v>0</v>
      </c>
      <c r="O322" t="n">
        <v>13.04347645808255</v>
      </c>
      <c r="P322" t="n">
        <v>-4.222454605454551</v>
      </c>
      <c r="Q322" t="n">
        <v>18.02711793501486</v>
      </c>
      <c r="R322" t="n">
        <v>11.004</v>
      </c>
      <c r="S322" t="n">
        <v>2.073</v>
      </c>
      <c r="T322" t="n">
        <v>8.930999999999999</v>
      </c>
      <c r="U322" t="n">
        <v>250094000000</v>
      </c>
    </row>
    <row r="323">
      <c r="A323" t="inlineStr">
        <is>
          <t>Pakistan</t>
        </is>
      </c>
      <c r="B323" t="inlineStr">
        <is>
          <t>PAK</t>
        </is>
      </c>
      <c r="C323" t="inlineStr">
        <is>
          <t>XBAK.L</t>
        </is>
      </c>
      <c r="D323" t="n">
        <v>2013</v>
      </c>
      <c r="E323" t="n">
        <v>33.5937559662854</v>
      </c>
      <c r="F323" t="n">
        <v>3.856</v>
      </c>
      <c r="G323" t="n">
        <v>12.072381</v>
      </c>
      <c r="H323" t="n">
        <v>3.43071</v>
      </c>
      <c r="I323" t="n">
        <v>-30.1630459662854</v>
      </c>
      <c r="J323" t="inlineStr">
        <is>
          <t>Pakistan|XBAK.L|2013</t>
        </is>
      </c>
      <c r="K323" t="inlineStr">
        <is>
          <t>Pakistan|2013</t>
        </is>
      </c>
      <c r="L323" t="inlineStr">
        <is>
          <t>USD</t>
        </is>
      </c>
      <c r="M323" t="n">
        <v>33.5937559662854</v>
      </c>
      <c r="N323" t="n">
        <v>0</v>
      </c>
      <c r="O323" t="n">
        <v>33.5937559662854</v>
      </c>
      <c r="P323" t="n">
        <v>-7.710794634106799</v>
      </c>
      <c r="Q323" t="n">
        <v>44.75555991259719</v>
      </c>
      <c r="R323" t="n">
        <v>7.361</v>
      </c>
      <c r="S323" t="n">
        <v>1.466</v>
      </c>
      <c r="T323" t="n">
        <v>5.895</v>
      </c>
      <c r="U323" t="n">
        <v>258674000000</v>
      </c>
    </row>
    <row r="324">
      <c r="A324" t="inlineStr">
        <is>
          <t>Pakistan</t>
        </is>
      </c>
      <c r="B324" t="inlineStr">
        <is>
          <t>PAK</t>
        </is>
      </c>
      <c r="C324" t="inlineStr">
        <is>
          <t>XBAK.L</t>
        </is>
      </c>
      <c r="D324" t="n">
        <v>2014</v>
      </c>
      <c r="E324" t="n">
        <v>15.60693514160272</v>
      </c>
      <c r="F324" t="n">
        <v>3.556</v>
      </c>
      <c r="G324" t="n">
        <v>11.622979</v>
      </c>
      <c r="H324" t="n">
        <v>4.928211</v>
      </c>
      <c r="I324" t="n">
        <v>-10.67872414160272</v>
      </c>
      <c r="J324" t="inlineStr">
        <is>
          <t>Pakistan|XBAK.L|2014</t>
        </is>
      </c>
      <c r="K324" t="inlineStr">
        <is>
          <t>Pakistan|2014</t>
        </is>
      </c>
      <c r="L324" t="inlineStr">
        <is>
          <t>USD</t>
        </is>
      </c>
      <c r="M324" t="n">
        <v>15.60693514160272</v>
      </c>
      <c r="N324" t="n">
        <v>0</v>
      </c>
      <c r="O324" t="n">
        <v>15.60693514160272</v>
      </c>
      <c r="P324" t="n">
        <v>-5.99766114164767</v>
      </c>
      <c r="Q324" t="n">
        <v>22.983041215395</v>
      </c>
      <c r="R324" t="n">
        <v>8.621</v>
      </c>
      <c r="S324" t="n">
        <v>1.615</v>
      </c>
      <c r="T324" t="n">
        <v>7.006</v>
      </c>
      <c r="U324" t="n">
        <v>271422000000</v>
      </c>
    </row>
    <row r="325">
      <c r="A325" t="inlineStr">
        <is>
          <t>Pakistan</t>
        </is>
      </c>
      <c r="B325" t="inlineStr">
        <is>
          <t>PAK</t>
        </is>
      </c>
      <c r="C325" t="inlineStr">
        <is>
          <t>XBAK.L</t>
        </is>
      </c>
      <c r="D325" t="n">
        <v>2015</v>
      </c>
      <c r="E325" t="n">
        <v>-11.00000143051147</v>
      </c>
      <c r="F325" t="n">
        <v>3.812</v>
      </c>
      <c r="G325" t="n">
        <v>8.847284</v>
      </c>
      <c r="H325" t="n">
        <v>10.503202</v>
      </c>
      <c r="I325" t="n">
        <v>21.50320343051148</v>
      </c>
      <c r="J325" t="inlineStr">
        <is>
          <t>Pakistan|XBAK.L|2015</t>
        </is>
      </c>
      <c r="K325" t="inlineStr">
        <is>
          <t>Pakistan|2015</t>
        </is>
      </c>
      <c r="L325" t="inlineStr">
        <is>
          <t>USD</t>
        </is>
      </c>
      <c r="M325" t="n">
        <v>-11.00000143051147</v>
      </c>
      <c r="N325" t="n">
        <v>0</v>
      </c>
      <c r="O325" t="n">
        <v>-11.00000143051147</v>
      </c>
      <c r="P325" t="n">
        <v>1.521321743553594</v>
      </c>
      <c r="Q325" t="n">
        <v>-12.33368809528935</v>
      </c>
      <c r="R325" t="n">
        <v>4.526</v>
      </c>
      <c r="S325" t="n">
        <v>0.121</v>
      </c>
      <c r="T325" t="n">
        <v>4.404999999999999</v>
      </c>
      <c r="U325" t="n">
        <v>299930000000</v>
      </c>
    </row>
    <row r="326">
      <c r="A326" t="inlineStr">
        <is>
          <t>Pakistan</t>
        </is>
      </c>
      <c r="B326" t="inlineStr">
        <is>
          <t>PAK</t>
        </is>
      </c>
      <c r="C326" t="inlineStr">
        <is>
          <t>XBAK.L</t>
        </is>
      </c>
      <c r="D326" t="n">
        <v>2016</v>
      </c>
      <c r="E326" t="n">
        <v>33.1460631265436</v>
      </c>
      <c r="F326" t="n">
        <v>4.072</v>
      </c>
      <c r="G326" t="n">
        <v>7.556623</v>
      </c>
      <c r="H326" t="n">
        <v>4.565399</v>
      </c>
      <c r="I326" t="n">
        <v>-28.5806641265436</v>
      </c>
      <c r="J326" t="inlineStr">
        <is>
          <t>Pakistan|XBAK.L|2016</t>
        </is>
      </c>
      <c r="K326" t="inlineStr">
        <is>
          <t>Pakistan|2016</t>
        </is>
      </c>
      <c r="L326" t="inlineStr">
        <is>
          <t>USD</t>
        </is>
      </c>
      <c r="M326" t="n">
        <v>33.1460631265436</v>
      </c>
      <c r="N326" t="n">
        <v>0</v>
      </c>
      <c r="O326" t="n">
        <v>33.1460631265436</v>
      </c>
      <c r="P326" t="n">
        <v>-2.781069334901842</v>
      </c>
      <c r="Q326" t="n">
        <v>36.95487310512393</v>
      </c>
      <c r="R326" t="n">
        <v>2.864</v>
      </c>
      <c r="S326" t="n">
        <v>1.267</v>
      </c>
      <c r="T326" t="n">
        <v>1.597</v>
      </c>
      <c r="U326" t="n">
        <v>313623000000</v>
      </c>
    </row>
    <row r="327">
      <c r="A327" t="inlineStr">
        <is>
          <t>Pakistan</t>
        </is>
      </c>
      <c r="B327" t="inlineStr">
        <is>
          <t>PAK</t>
        </is>
      </c>
      <c r="C327" t="inlineStr">
        <is>
          <t>XBAK.L</t>
        </is>
      </c>
      <c r="D327" t="n">
        <v>2017</v>
      </c>
      <c r="E327" t="n">
        <v>-27.01613190084786</v>
      </c>
      <c r="F327" t="n">
        <v>4.609</v>
      </c>
      <c r="G327" t="n">
        <v>8.640995</v>
      </c>
      <c r="H327" t="n">
        <v>8.164580000000001</v>
      </c>
      <c r="I327" t="n">
        <v>35.18071190084786</v>
      </c>
      <c r="J327" t="inlineStr">
        <is>
          <t>Pakistan|XBAK.L|2017</t>
        </is>
      </c>
      <c r="K327" t="inlineStr">
        <is>
          <t>Pakistan|2017</t>
        </is>
      </c>
      <c r="L327" t="inlineStr">
        <is>
          <t>USD</t>
        </is>
      </c>
      <c r="M327" t="n">
        <v>-27.01613190084786</v>
      </c>
      <c r="N327" t="n">
        <v>0</v>
      </c>
      <c r="O327" t="n">
        <v>-27.01613190084786</v>
      </c>
      <c r="P327" t="n">
        <v>-0.4385229505501576</v>
      </c>
      <c r="Q327" t="n">
        <v>-26.69467121012802</v>
      </c>
      <c r="R327" t="n">
        <v>4.775</v>
      </c>
      <c r="S327" t="n">
        <v>2.131</v>
      </c>
      <c r="T327" t="n">
        <v>2.644000000000001</v>
      </c>
      <c r="U327" t="n">
        <v>339229000000</v>
      </c>
    </row>
    <row r="328">
      <c r="A328" t="inlineStr">
        <is>
          <t>Pakistan</t>
        </is>
      </c>
      <c r="B328" t="inlineStr">
        <is>
          <t>PAK</t>
        </is>
      </c>
      <c r="C328" t="inlineStr">
        <is>
          <t>XBAK.L</t>
        </is>
      </c>
      <c r="D328" t="n">
        <v>2018</v>
      </c>
      <c r="E328" t="n">
        <v>-36.50793350442705</v>
      </c>
      <c r="F328" t="n">
        <v>6.096</v>
      </c>
      <c r="G328" t="n">
        <v>10.229825</v>
      </c>
      <c r="H328" t="n">
        <v>4.991908</v>
      </c>
      <c r="I328" t="n">
        <v>41.49984150442705</v>
      </c>
      <c r="J328" t="inlineStr">
        <is>
          <t>Pakistan|XBAK.L|2018</t>
        </is>
      </c>
      <c r="K328" t="inlineStr">
        <is>
          <t>Pakistan|2018</t>
        </is>
      </c>
      <c r="L328" t="inlineStr">
        <is>
          <t>USD</t>
        </is>
      </c>
      <c r="M328" t="n">
        <v>-36.50793350442705</v>
      </c>
      <c r="N328" t="n">
        <v>0</v>
      </c>
      <c r="O328" t="n">
        <v>-36.50793350442705</v>
      </c>
      <c r="P328" t="n">
        <v>-4.751814160549017</v>
      </c>
      <c r="Q328" t="n">
        <v>-33.34039285263207</v>
      </c>
      <c r="R328" t="n">
        <v>4.7</v>
      </c>
      <c r="S328" t="n">
        <v>2.439</v>
      </c>
      <c r="T328" t="n">
        <v>2.261</v>
      </c>
      <c r="U328" t="n">
        <v>356163000000</v>
      </c>
    </row>
    <row r="329">
      <c r="A329" t="inlineStr">
        <is>
          <t>Pakistan</t>
        </is>
      </c>
      <c r="B329" t="inlineStr">
        <is>
          <t>PAK</t>
        </is>
      </c>
      <c r="C329" t="inlineStr">
        <is>
          <t>XBAK.L</t>
        </is>
      </c>
      <c r="D329" t="n">
        <v>2019</v>
      </c>
      <c r="E329" t="n">
        <v>-3.968250213867131</v>
      </c>
      <c r="F329" t="n">
        <v>3.12</v>
      </c>
      <c r="G329" t="n">
        <v>11.759667</v>
      </c>
      <c r="H329" t="n">
        <v>-9.852792000000001</v>
      </c>
      <c r="I329" t="n">
        <v>-5.88454178613287</v>
      </c>
      <c r="J329" t="inlineStr">
        <is>
          <t>Pakistan|XBAK.L|2019</t>
        </is>
      </c>
      <c r="K329" t="inlineStr">
        <is>
          <t>Pakistan|2019</t>
        </is>
      </c>
      <c r="L329" t="inlineStr">
        <is>
          <t>USD</t>
        </is>
      </c>
      <c r="M329" t="n">
        <v>-3.968250213867131</v>
      </c>
      <c r="N329" t="n">
        <v>0</v>
      </c>
      <c r="O329" t="n">
        <v>-3.968250213867131</v>
      </c>
      <c r="P329" t="n">
        <v>-19.33833500383704</v>
      </c>
      <c r="Q329" t="n">
        <v>19.05500560979128</v>
      </c>
      <c r="R329" t="n">
        <v>6.802</v>
      </c>
      <c r="S329" t="n">
        <v>1.813</v>
      </c>
      <c r="T329" t="n">
        <v>4.989</v>
      </c>
      <c r="U329" t="n">
        <v>321071000000</v>
      </c>
    </row>
    <row r="330">
      <c r="A330" t="inlineStr">
        <is>
          <t>Pakistan</t>
        </is>
      </c>
      <c r="B330" t="inlineStr">
        <is>
          <t>PAK</t>
        </is>
      </c>
      <c r="C330" t="inlineStr">
        <is>
          <t>XBAK.L</t>
        </is>
      </c>
      <c r="D330" t="n">
        <v>2020</v>
      </c>
      <c r="E330" t="n">
        <v>-10.39999961853028</v>
      </c>
      <c r="F330" t="n">
        <v>-0.9429999999999999</v>
      </c>
      <c r="G330" t="n">
        <v>8.543709</v>
      </c>
      <c r="H330" t="n">
        <v>-6.435025</v>
      </c>
      <c r="I330" t="n">
        <v>3.964974618530275</v>
      </c>
      <c r="J330" t="inlineStr">
        <is>
          <t>Pakistan|XBAK.L|2020</t>
        </is>
      </c>
      <c r="K330" t="inlineStr">
        <is>
          <t>Pakistan|2020</t>
        </is>
      </c>
      <c r="L330" t="inlineStr">
        <is>
          <t>USD</t>
        </is>
      </c>
      <c r="M330" t="n">
        <v>-10.39999961853028</v>
      </c>
      <c r="N330" t="n">
        <v>0</v>
      </c>
      <c r="O330" t="n">
        <v>-10.39999961853028</v>
      </c>
      <c r="P330" t="n">
        <v>-13.79972598532128</v>
      </c>
      <c r="Q330" t="n">
        <v>3.943985568087727</v>
      </c>
      <c r="R330" t="n">
        <v>10.739</v>
      </c>
      <c r="S330" t="n">
        <v>1.253</v>
      </c>
      <c r="T330" t="n">
        <v>9.486000000000001</v>
      </c>
      <c r="U330" t="n">
        <v>300410000000</v>
      </c>
    </row>
    <row r="331">
      <c r="A331" t="inlineStr">
        <is>
          <t>Pakistan</t>
        </is>
      </c>
      <c r="B331" t="inlineStr">
        <is>
          <t>PAK</t>
        </is>
      </c>
      <c r="C331" t="inlineStr">
        <is>
          <t>XBAK.L</t>
        </is>
      </c>
      <c r="D331" t="n">
        <v>2021</v>
      </c>
      <c r="E331" t="n">
        <v>-18.1034469469832</v>
      </c>
      <c r="F331" t="n">
        <v>5.77</v>
      </c>
      <c r="G331" t="n">
        <v>17.450031</v>
      </c>
      <c r="H331" t="n">
        <v>16.001798</v>
      </c>
      <c r="I331" t="n">
        <v>34.10524494698321</v>
      </c>
      <c r="J331" t="inlineStr">
        <is>
          <t>Pakistan|XBAK.L|2021</t>
        </is>
      </c>
      <c r="K331" t="inlineStr">
        <is>
          <t>Pakistan|2021</t>
        </is>
      </c>
      <c r="L331" t="inlineStr">
        <is>
          <t>USD</t>
        </is>
      </c>
      <c r="M331" t="n">
        <v>-18.1034469469832</v>
      </c>
      <c r="N331" t="n">
        <v>0</v>
      </c>
      <c r="O331" t="n">
        <v>-18.1034469469832</v>
      </c>
      <c r="P331" t="n">
        <v>-1.233063303502224</v>
      </c>
      <c r="Q331" t="n">
        <v>-17.08100322613245</v>
      </c>
      <c r="R331" t="n">
        <v>8.896000000000001</v>
      </c>
      <c r="S331" t="n">
        <v>4.679</v>
      </c>
      <c r="T331" t="n">
        <v>4.217000000000001</v>
      </c>
      <c r="U331" t="n">
        <v>348481000000</v>
      </c>
    </row>
    <row r="332">
      <c r="A332" t="inlineStr">
        <is>
          <t>Pakistan</t>
        </is>
      </c>
      <c r="B332" t="inlineStr">
        <is>
          <t>PAK</t>
        </is>
      </c>
      <c r="C332" t="inlineStr">
        <is>
          <t>XBAK.L</t>
        </is>
      </c>
      <c r="D332" t="n">
        <v>2022</v>
      </c>
      <c r="E332" t="n">
        <v>-31.63265268885063</v>
      </c>
      <c r="F332" t="n">
        <v>6.18</v>
      </c>
      <c r="G332" t="n">
        <v>19.381043</v>
      </c>
      <c r="H332" t="n">
        <v>7.56684</v>
      </c>
      <c r="I332" t="n">
        <v>39.19949268885063</v>
      </c>
      <c r="J332" t="inlineStr">
        <is>
          <t>Pakistan|XBAK.L|2022</t>
        </is>
      </c>
      <c r="K332" t="inlineStr">
        <is>
          <t>Pakistan|2022</t>
        </is>
      </c>
      <c r="L332" t="inlineStr">
        <is>
          <t>USD</t>
        </is>
      </c>
      <c r="M332" t="n">
        <v>-31.63265268885063</v>
      </c>
      <c r="N332" t="n">
        <v>0</v>
      </c>
      <c r="O332" t="n">
        <v>-31.63265268885063</v>
      </c>
      <c r="P332" t="n">
        <v>-9.896213818608556</v>
      </c>
      <c r="Q332" t="n">
        <v>-24.12377968943902</v>
      </c>
      <c r="R332" t="n">
        <v>12.153</v>
      </c>
      <c r="S332" t="n">
        <v>7.993</v>
      </c>
      <c r="T332" t="n">
        <v>4.16</v>
      </c>
      <c r="U332" t="n">
        <v>374850000000</v>
      </c>
    </row>
    <row r="333">
      <c r="A333" t="inlineStr">
        <is>
          <t>Pakistan</t>
        </is>
      </c>
      <c r="B333" t="inlineStr">
        <is>
          <t>PAK</t>
        </is>
      </c>
      <c r="C333" t="inlineStr">
        <is>
          <t>XBAK.L</t>
        </is>
      </c>
      <c r="D333" t="n">
        <v>2023</v>
      </c>
      <c r="E333" t="n">
        <v>17.64705933914053</v>
      </c>
      <c r="F333" t="n">
        <v>-0.212</v>
      </c>
      <c r="G333" t="n">
        <v>25.492808</v>
      </c>
      <c r="H333" t="n">
        <v>-10.216086</v>
      </c>
      <c r="I333" t="n">
        <v>-27.86314533914053</v>
      </c>
      <c r="J333" t="inlineStr">
        <is>
          <t>Pakistan|XBAK.L|2023</t>
        </is>
      </c>
      <c r="K333" t="inlineStr">
        <is>
          <t>Pakistan|2023</t>
        </is>
      </c>
      <c r="L333" t="inlineStr">
        <is>
          <t>USD</t>
        </is>
      </c>
      <c r="M333" t="n">
        <v>17.64705933914053</v>
      </c>
      <c r="N333" t="n">
        <v>0</v>
      </c>
      <c r="O333" t="n">
        <v>17.64705933914053</v>
      </c>
      <c r="P333" t="n">
        <v>-28.45493273685884</v>
      </c>
      <c r="Q333" t="n">
        <v>64.43769478395663</v>
      </c>
      <c r="R333" t="n">
        <v>29.181</v>
      </c>
      <c r="S333" t="n">
        <v>4.128</v>
      </c>
      <c r="T333" t="n">
        <v>25.053</v>
      </c>
      <c r="U333" t="n">
        <v>336555000000</v>
      </c>
    </row>
    <row r="334">
      <c r="A334" t="inlineStr">
        <is>
          <t>Pakistan</t>
        </is>
      </c>
      <c r="B334" t="inlineStr">
        <is>
          <t>PAK</t>
        </is>
      </c>
      <c r="C334" t="inlineStr">
        <is>
          <t>XBAK.L</t>
        </is>
      </c>
      <c r="D334" t="n">
        <v>2024</v>
      </c>
      <c r="E334" t="n">
        <v>64.64020240140165</v>
      </c>
      <c r="F334" t="n">
        <v>2.51</v>
      </c>
      <c r="G334" t="n">
        <v>25.692394</v>
      </c>
      <c r="H334" t="n">
        <v>10.355811</v>
      </c>
      <c r="I334" t="n">
        <v>-54.28439140140165</v>
      </c>
      <c r="J334" t="inlineStr">
        <is>
          <t>Pakistan|XBAK.L|2024</t>
        </is>
      </c>
      <c r="K334" t="inlineStr">
        <is>
          <t>Pakistan|2024</t>
        </is>
      </c>
      <c r="L334" t="inlineStr">
        <is>
          <t>USD</t>
        </is>
      </c>
      <c r="M334" t="n">
        <v>64.64020240140165</v>
      </c>
      <c r="N334" t="n">
        <v>0</v>
      </c>
      <c r="O334" t="n">
        <v>64.64020240140165</v>
      </c>
      <c r="P334" t="n">
        <v>-12.20167951833979</v>
      </c>
      <c r="Q334" t="n">
        <v>87.52090187851896</v>
      </c>
      <c r="R334" t="n">
        <v>23.411</v>
      </c>
      <c r="S334" t="n">
        <v>2.952</v>
      </c>
      <c r="T334" t="n">
        <v>20.459</v>
      </c>
      <c r="U334" t="n">
        <v>371408000000</v>
      </c>
    </row>
    <row r="335">
      <c r="A335" t="inlineStr">
        <is>
          <t>Pakistan</t>
        </is>
      </c>
      <c r="B335" t="inlineStr">
        <is>
          <t>PAK</t>
        </is>
      </c>
      <c r="C335" t="inlineStr">
        <is>
          <t>XBAK.L</t>
        </is>
      </c>
      <c r="D335" t="n">
        <v>2025</v>
      </c>
      <c r="E335" t="n">
        <v>34.99065889359694</v>
      </c>
      <c r="F335" t="n">
        <v>2.676</v>
      </c>
      <c r="G335" t="n">
        <v>9.082018</v>
      </c>
      <c r="H335" t="n">
        <v>10.524006</v>
      </c>
      <c r="I335" t="n">
        <v>-24.46665289359694</v>
      </c>
      <c r="J335" t="inlineStr">
        <is>
          <t>Pakistan|XBAK.L|2025</t>
        </is>
      </c>
      <c r="K335" t="inlineStr">
        <is>
          <t>Pakistan|2025</t>
        </is>
      </c>
      <c r="L335" t="inlineStr">
        <is>
          <t>USD</t>
        </is>
      </c>
      <c r="M335" t="n">
        <v>34.99065889359694</v>
      </c>
      <c r="N335" t="n">
        <v>0</v>
      </c>
      <c r="O335" t="n">
        <v>34.99065889359694</v>
      </c>
      <c r="P335" t="n">
        <v>1.321929806024724</v>
      </c>
      <c r="Q335" t="n">
        <v>33.22945896513139</v>
      </c>
      <c r="R335" t="n">
        <v>4.495</v>
      </c>
      <c r="S335" t="n">
        <v>2.715</v>
      </c>
      <c r="T335" t="n">
        <v>1.78</v>
      </c>
      <c r="U335" t="n">
        <v>410495000000</v>
      </c>
    </row>
    <row r="336">
      <c r="A336" t="inlineStr">
        <is>
          <t>Pakistan</t>
        </is>
      </c>
      <c r="B336" t="inlineStr">
        <is>
          <t>PAK</t>
        </is>
      </c>
      <c r="C336" t="inlineStr">
        <is>
          <t>XBAK.L</t>
        </is>
      </c>
      <c r="D336" t="n">
        <v>2026</v>
      </c>
      <c r="E336" t="n">
        <v>-11.21898316017659</v>
      </c>
      <c r="F336" t="n">
        <v>3.578</v>
      </c>
      <c r="G336" t="n">
        <v>11.117481</v>
      </c>
      <c r="H336" t="inlineStr"/>
      <c r="I336" t="inlineStr"/>
      <c r="J336" t="inlineStr">
        <is>
          <t>Pakistan|XBAK.L|2026</t>
        </is>
      </c>
      <c r="K336" t="inlineStr">
        <is>
          <t>Pakistan|2026</t>
        </is>
      </c>
      <c r="L336" t="inlineStr">
        <is>
          <t>USD</t>
        </is>
      </c>
      <c r="M336" t="n">
        <v>-11.21898316017659</v>
      </c>
      <c r="N336" t="n">
        <v>0</v>
      </c>
      <c r="O336" t="n">
        <v>-11.21898316017659</v>
      </c>
      <c r="P336" t="inlineStr"/>
      <c r="Q336" t="inlineStr"/>
      <c r="R336" t="n">
        <v>6.043</v>
      </c>
      <c r="S336" t="n">
        <v>2.435</v>
      </c>
      <c r="T336" t="n">
        <v>3.608</v>
      </c>
      <c r="U336" t="inlineStr"/>
    </row>
    <row r="337">
      <c r="A337" t="inlineStr">
        <is>
          <t>Pakistan</t>
        </is>
      </c>
      <c r="B337" t="inlineStr">
        <is>
          <t>PAK</t>
        </is>
      </c>
      <c r="C337" t="inlineStr">
        <is>
          <t>XBAK.L</t>
        </is>
      </c>
      <c r="D337" t="n">
        <v>2027</v>
      </c>
      <c r="E337" t="inlineStr"/>
      <c r="F337" t="n">
        <v>4.099</v>
      </c>
      <c r="G337" t="n">
        <v>11.148424</v>
      </c>
      <c r="H337" t="inlineStr"/>
      <c r="I337" t="inlineStr"/>
      <c r="J337" t="inlineStr">
        <is>
          <t>Pakistan|XBAK.L|2027</t>
        </is>
      </c>
      <c r="K337" t="inlineStr">
        <is>
          <t>Pakistan|2027</t>
        </is>
      </c>
      <c r="L337" t="inlineStr">
        <is>
          <t>USD</t>
        </is>
      </c>
      <c r="M337" t="inlineStr"/>
      <c r="N337" t="inlineStr"/>
      <c r="O337" t="inlineStr"/>
      <c r="P337" t="inlineStr"/>
      <c r="Q337" t="inlineStr"/>
      <c r="R337" t="n">
        <v>6.485</v>
      </c>
      <c r="S337" t="n">
        <v>2.185</v>
      </c>
      <c r="T337" t="n">
        <v>4.300000000000001</v>
      </c>
      <c r="U337" t="inlineStr"/>
    </row>
    <row r="338">
      <c r="A338" t="inlineStr">
        <is>
          <t>Pakistan</t>
        </is>
      </c>
      <c r="B338" t="inlineStr">
        <is>
          <t>PAK</t>
        </is>
      </c>
      <c r="C338" t="inlineStr">
        <is>
          <t>XBAK.L</t>
        </is>
      </c>
      <c r="D338" t="n">
        <v>2028</v>
      </c>
      <c r="E338" t="inlineStr"/>
      <c r="F338" t="n">
        <v>4.5</v>
      </c>
      <c r="G338" t="n">
        <v>11.225562</v>
      </c>
      <c r="H338" t="inlineStr"/>
      <c r="I338" t="inlineStr"/>
      <c r="J338" t="inlineStr">
        <is>
          <t>Pakistan|XBAK.L|2028</t>
        </is>
      </c>
      <c r="K338" t="inlineStr">
        <is>
          <t>Pakistan|2028</t>
        </is>
      </c>
      <c r="L338" t="inlineStr">
        <is>
          <t>USD</t>
        </is>
      </c>
      <c r="M338" t="inlineStr"/>
      <c r="N338" t="inlineStr"/>
      <c r="O338" t="inlineStr"/>
      <c r="P338" t="inlineStr"/>
      <c r="Q338" t="inlineStr"/>
      <c r="R338" t="n">
        <v>6.494</v>
      </c>
      <c r="S338" t="n">
        <v>2.206</v>
      </c>
      <c r="T338" t="n">
        <v>4.288</v>
      </c>
      <c r="U338" t="inlineStr"/>
    </row>
    <row r="339">
      <c r="A339" t="inlineStr">
        <is>
          <t>Pakistan</t>
        </is>
      </c>
      <c r="B339" t="inlineStr">
        <is>
          <t>PAK</t>
        </is>
      </c>
      <c r="C339" t="inlineStr">
        <is>
          <t>XBAK.L</t>
        </is>
      </c>
      <c r="D339" t="n">
        <v>2029</v>
      </c>
      <c r="E339" t="inlineStr"/>
      <c r="F339" t="n">
        <v>4.5</v>
      </c>
      <c r="G339" t="n">
        <v>11.288902</v>
      </c>
      <c r="H339" t="inlineStr"/>
      <c r="I339" t="inlineStr"/>
      <c r="J339" t="inlineStr">
        <is>
          <t>Pakistan|XBAK.L|2029</t>
        </is>
      </c>
      <c r="K339" t="inlineStr">
        <is>
          <t>Pakistan|2029</t>
        </is>
      </c>
      <c r="L339" t="inlineStr">
        <is>
          <t>USD</t>
        </is>
      </c>
      <c r="M339" t="inlineStr"/>
      <c r="N339" t="inlineStr"/>
      <c r="O339" t="inlineStr"/>
      <c r="P339" t="inlineStr"/>
      <c r="Q339" t="inlineStr"/>
      <c r="R339" t="n">
        <v>6.494</v>
      </c>
      <c r="S339" t="n">
        <v>2.203</v>
      </c>
      <c r="T339" t="n">
        <v>4.291</v>
      </c>
      <c r="U339" t="inlineStr"/>
    </row>
    <row r="340">
      <c r="A340" t="inlineStr">
        <is>
          <t>Philippines</t>
        </is>
      </c>
      <c r="B340" t="inlineStr">
        <is>
          <t>PHL</t>
        </is>
      </c>
      <c r="C340" t="inlineStr">
        <is>
          <t>XPHG.L</t>
        </is>
      </c>
      <c r="D340" t="n">
        <v>2004</v>
      </c>
      <c r="E340" t="inlineStr"/>
      <c r="F340" t="n">
        <v>6.569</v>
      </c>
      <c r="G340" t="inlineStr"/>
      <c r="H340" t="inlineStr"/>
      <c r="I340" t="inlineStr"/>
      <c r="J340" t="inlineStr">
        <is>
          <t>Philippines|XPHG.L|2004</t>
        </is>
      </c>
      <c r="K340" t="inlineStr">
        <is>
          <t>Philippines|2004</t>
        </is>
      </c>
      <c r="L340" t="inlineStr">
        <is>
          <t>GBp</t>
        </is>
      </c>
      <c r="M340" t="inlineStr"/>
      <c r="N340" t="inlineStr"/>
      <c r="O340" t="inlineStr"/>
      <c r="P340" t="inlineStr"/>
      <c r="Q340" t="inlineStr"/>
      <c r="R340" t="n">
        <v>4.799</v>
      </c>
      <c r="S340" t="n">
        <v>2.668</v>
      </c>
      <c r="T340" t="n">
        <v>2.131</v>
      </c>
      <c r="U340" t="n">
        <v>95002000000</v>
      </c>
    </row>
    <row r="341">
      <c r="A341" t="inlineStr">
        <is>
          <t>Philippines</t>
        </is>
      </c>
      <c r="B341" t="inlineStr">
        <is>
          <t>PHL</t>
        </is>
      </c>
      <c r="C341" t="inlineStr">
        <is>
          <t>XPHG.L</t>
        </is>
      </c>
      <c r="D341" t="n">
        <v>2005</v>
      </c>
      <c r="E341" t="inlineStr"/>
      <c r="F341" t="n">
        <v>4.942</v>
      </c>
      <c r="G341" t="n">
        <v>11.145505</v>
      </c>
      <c r="H341" t="n">
        <v>13.071304</v>
      </c>
      <c r="I341" t="inlineStr"/>
      <c r="J341" t="inlineStr">
        <is>
          <t>Philippines|XPHG.L|2005</t>
        </is>
      </c>
      <c r="K341" t="inlineStr">
        <is>
          <t>Philippines|2005</t>
        </is>
      </c>
      <c r="L341" t="inlineStr">
        <is>
          <t>GBp</t>
        </is>
      </c>
      <c r="M341" t="inlineStr"/>
      <c r="N341" t="inlineStr"/>
      <c r="O341" t="inlineStr"/>
      <c r="P341" t="n">
        <v>1.732682310768729</v>
      </c>
      <c r="Q341" t="inlineStr"/>
      <c r="R341" t="n">
        <v>6.64</v>
      </c>
      <c r="S341" t="n">
        <v>3.366</v>
      </c>
      <c r="T341" t="n">
        <v>3.274</v>
      </c>
      <c r="U341" t="n">
        <v>107420000000</v>
      </c>
    </row>
    <row r="342">
      <c r="A342" t="inlineStr">
        <is>
          <t>Philippines</t>
        </is>
      </c>
      <c r="B342" t="inlineStr">
        <is>
          <t>PHL</t>
        </is>
      </c>
      <c r="C342" t="inlineStr">
        <is>
          <t>XPHG.L</t>
        </is>
      </c>
      <c r="D342" t="n">
        <v>2006</v>
      </c>
      <c r="E342" t="inlineStr"/>
      <c r="F342" t="n">
        <v>5.316</v>
      </c>
      <c r="G342" t="n">
        <v>10.699798</v>
      </c>
      <c r="H342" t="n">
        <v>18.835412</v>
      </c>
      <c r="I342" t="inlineStr"/>
      <c r="J342" t="inlineStr">
        <is>
          <t>Philippines|XPHG.L|2006</t>
        </is>
      </c>
      <c r="K342" t="inlineStr">
        <is>
          <t>Philippines|2006</t>
        </is>
      </c>
      <c r="L342" t="inlineStr">
        <is>
          <t>GBp</t>
        </is>
      </c>
      <c r="M342" t="inlineStr"/>
      <c r="N342" t="inlineStr"/>
      <c r="O342" t="inlineStr"/>
      <c r="P342" t="n">
        <v>7.349258693886407</v>
      </c>
      <c r="Q342" t="inlineStr"/>
      <c r="R342" t="n">
        <v>5.448</v>
      </c>
      <c r="S342" t="n">
        <v>3.222</v>
      </c>
      <c r="T342" t="n">
        <v>2.226</v>
      </c>
      <c r="U342" t="n">
        <v>127653000000</v>
      </c>
    </row>
    <row r="343">
      <c r="A343" t="inlineStr">
        <is>
          <t>Philippines</t>
        </is>
      </c>
      <c r="B343" t="inlineStr">
        <is>
          <t>PHL</t>
        </is>
      </c>
      <c r="C343" t="inlineStr">
        <is>
          <t>XPHG.L</t>
        </is>
      </c>
      <c r="D343" t="n">
        <v>2007</v>
      </c>
      <c r="E343" t="inlineStr"/>
      <c r="F343" t="n">
        <v>6.519</v>
      </c>
      <c r="G343" t="n">
        <v>9.889844</v>
      </c>
      <c r="H343" t="n">
        <v>22.190626</v>
      </c>
      <c r="I343" t="inlineStr"/>
      <c r="J343" t="inlineStr">
        <is>
          <t>Philippines|XPHG.L|2007</t>
        </is>
      </c>
      <c r="K343" t="inlineStr">
        <is>
          <t>Philippines|2007</t>
        </is>
      </c>
      <c r="L343" t="inlineStr">
        <is>
          <t>GBp</t>
        </is>
      </c>
      <c r="M343" t="inlineStr"/>
      <c r="N343" t="inlineStr"/>
      <c r="O343" t="inlineStr"/>
      <c r="P343" t="n">
        <v>11.19373919127271</v>
      </c>
      <c r="Q343" t="inlineStr"/>
      <c r="R343" t="n">
        <v>2.914</v>
      </c>
      <c r="S343" t="n">
        <v>2.871</v>
      </c>
      <c r="T343" t="n">
        <v>0.04300000000000015</v>
      </c>
      <c r="U343" t="n">
        <v>155980000000</v>
      </c>
    </row>
    <row r="344">
      <c r="A344" t="inlineStr">
        <is>
          <t>Philippines</t>
        </is>
      </c>
      <c r="B344" t="inlineStr">
        <is>
          <t>PHL</t>
        </is>
      </c>
      <c r="C344" t="inlineStr">
        <is>
          <t>XPHG.L</t>
        </is>
      </c>
      <c r="D344" t="n">
        <v>2008</v>
      </c>
      <c r="E344" t="inlineStr"/>
      <c r="F344" t="n">
        <v>4.344</v>
      </c>
      <c r="G344" t="n">
        <v>11.83561</v>
      </c>
      <c r="H344" t="n">
        <v>16.045006</v>
      </c>
      <c r="I344" t="inlineStr"/>
      <c r="J344" t="inlineStr">
        <is>
          <t>Philippines|XPHG.L|2008</t>
        </is>
      </c>
      <c r="K344" t="inlineStr">
        <is>
          <t>Philippines|2008</t>
        </is>
      </c>
      <c r="L344" t="inlineStr">
        <is>
          <t>GBp</t>
        </is>
      </c>
      <c r="M344" t="inlineStr"/>
      <c r="N344" t="n">
        <v>-26.2666463318202</v>
      </c>
      <c r="O344" t="inlineStr"/>
      <c r="P344" t="n">
        <v>3.76391322359233</v>
      </c>
      <c r="Q344" t="inlineStr"/>
      <c r="R344" t="n">
        <v>8.211</v>
      </c>
      <c r="S344" t="n">
        <v>3.815</v>
      </c>
      <c r="T344" t="n">
        <v>4.396000000000001</v>
      </c>
      <c r="U344" t="n">
        <v>181007000000</v>
      </c>
    </row>
    <row r="345">
      <c r="A345" t="inlineStr">
        <is>
          <t>Philippines</t>
        </is>
      </c>
      <c r="B345" t="inlineStr">
        <is>
          <t>PHL</t>
        </is>
      </c>
      <c r="C345" t="inlineStr">
        <is>
          <t>XPHG.L</t>
        </is>
      </c>
      <c r="D345" t="n">
        <v>2009</v>
      </c>
      <c r="E345" t="inlineStr"/>
      <c r="F345" t="n">
        <v>1.448</v>
      </c>
      <c r="G345" t="n">
        <v>4.226256</v>
      </c>
      <c r="H345" t="n">
        <v>-2.693266</v>
      </c>
      <c r="I345" t="inlineStr"/>
      <c r="J345" t="inlineStr">
        <is>
          <t>Philippines|XPHG.L|2009</t>
        </is>
      </c>
      <c r="K345" t="inlineStr">
        <is>
          <t>Philippines|2009</t>
        </is>
      </c>
      <c r="L345" t="inlineStr">
        <is>
          <t>GBp</t>
        </is>
      </c>
      <c r="M345" t="inlineStr"/>
      <c r="N345" t="n">
        <v>9.775566130910907</v>
      </c>
      <c r="O345" t="inlineStr"/>
      <c r="P345" t="n">
        <v>-6.638943065019742</v>
      </c>
      <c r="Q345" t="inlineStr"/>
      <c r="R345" t="n">
        <v>4.24</v>
      </c>
      <c r="S345" t="n">
        <v>-0.32</v>
      </c>
      <c r="T345" t="n">
        <v>4.56</v>
      </c>
      <c r="U345" t="n">
        <v>176132000000</v>
      </c>
    </row>
    <row r="346">
      <c r="A346" t="inlineStr">
        <is>
          <t>Philippines</t>
        </is>
      </c>
      <c r="B346" t="inlineStr">
        <is>
          <t>PHL</t>
        </is>
      </c>
      <c r="C346" t="inlineStr">
        <is>
          <t>XPHG.L</t>
        </is>
      </c>
      <c r="D346" t="n">
        <v>2010</v>
      </c>
      <c r="E346" t="inlineStr"/>
      <c r="F346" t="n">
        <v>7.335</v>
      </c>
      <c r="G346" t="n">
        <v>12.025976</v>
      </c>
      <c r="H346" t="n">
        <v>18.30275</v>
      </c>
      <c r="I346" t="inlineStr"/>
      <c r="J346" t="inlineStr">
        <is>
          <t>Philippines|XPHG.L|2010</t>
        </is>
      </c>
      <c r="K346" t="inlineStr">
        <is>
          <t>Philippines|2010</t>
        </is>
      </c>
      <c r="L346" t="inlineStr">
        <is>
          <t>GBp</t>
        </is>
      </c>
      <c r="M346" t="inlineStr"/>
      <c r="N346" t="n">
        <v>-4.313135137595536</v>
      </c>
      <c r="O346" t="inlineStr"/>
      <c r="P346" t="n">
        <v>5.602963377363568</v>
      </c>
      <c r="Q346" t="inlineStr"/>
      <c r="R346" t="n">
        <v>3.738</v>
      </c>
      <c r="S346" t="n">
        <v>1.637</v>
      </c>
      <c r="T346" t="n">
        <v>2.101</v>
      </c>
      <c r="U346" t="n">
        <v>208369000000</v>
      </c>
    </row>
    <row r="347">
      <c r="A347" t="inlineStr">
        <is>
          <t>Philippines</t>
        </is>
      </c>
      <c r="B347" t="inlineStr">
        <is>
          <t>PHL</t>
        </is>
      </c>
      <c r="C347" t="inlineStr">
        <is>
          <t>XPHG.L</t>
        </is>
      </c>
      <c r="D347" t="n">
        <v>2011</v>
      </c>
      <c r="E347" t="n">
        <v>6154.414050737012</v>
      </c>
      <c r="F347" t="n">
        <v>3.858</v>
      </c>
      <c r="G347" t="n">
        <v>7.92824</v>
      </c>
      <c r="H347" t="n">
        <v>12.404916</v>
      </c>
      <c r="I347" t="n">
        <v>-6079.1452237143</v>
      </c>
      <c r="J347" t="inlineStr">
        <is>
          <t>Philippines|XPHG.L|2011</t>
        </is>
      </c>
      <c r="K347" t="inlineStr">
        <is>
          <t>Philippines|2011</t>
        </is>
      </c>
      <c r="L347" t="inlineStr">
        <is>
          <t>GBp</t>
        </is>
      </c>
      <c r="M347" t="n">
        <v>6154.414050737012</v>
      </c>
      <c r="N347" t="n">
        <v>-1.005112717398426</v>
      </c>
      <c r="O347" t="n">
        <v>6091.550139714301</v>
      </c>
      <c r="P347" t="n">
        <v>4.147826977113156</v>
      </c>
      <c r="Q347" t="n">
        <v>5844.963346258693</v>
      </c>
      <c r="R347" t="n">
        <v>4.745</v>
      </c>
      <c r="S347" t="n">
        <v>3.14</v>
      </c>
      <c r="T347" t="n">
        <v>1.605</v>
      </c>
      <c r="U347" t="n">
        <v>234217000000</v>
      </c>
    </row>
    <row r="348">
      <c r="A348" t="inlineStr">
        <is>
          <t>Philippines</t>
        </is>
      </c>
      <c r="B348" t="inlineStr">
        <is>
          <t>PHL</t>
        </is>
      </c>
      <c r="C348" t="inlineStr">
        <is>
          <t>XPHG.L</t>
        </is>
      </c>
      <c r="D348" t="n">
        <v>2012</v>
      </c>
      <c r="E348" t="n">
        <v>40.03735077788466</v>
      </c>
      <c r="F348" t="n">
        <v>6.897</v>
      </c>
      <c r="G348" t="n">
        <v>9.02866</v>
      </c>
      <c r="H348" t="n">
        <v>11.82792</v>
      </c>
      <c r="I348" t="n">
        <v>-34.08524167045931</v>
      </c>
      <c r="J348" t="inlineStr">
        <is>
          <t>Philippines|XPHG.L|2012</t>
        </is>
      </c>
      <c r="K348" t="inlineStr">
        <is>
          <t>Philippines|2012</t>
        </is>
      </c>
      <c r="L348" t="inlineStr">
        <is>
          <t>GBp</t>
        </is>
      </c>
      <c r="M348" t="n">
        <v>40.03735077788466</v>
      </c>
      <c r="N348" t="n">
        <v>4.195888354025179</v>
      </c>
      <c r="O348" t="n">
        <v>45.91316167045931</v>
      </c>
      <c r="P348" t="n">
        <v>2.567453977426637</v>
      </c>
      <c r="Q348" t="n">
        <v>42.26068407876473</v>
      </c>
      <c r="R348" t="n">
        <v>3.158</v>
      </c>
      <c r="S348" t="n">
        <v>2.073</v>
      </c>
      <c r="T348" t="n">
        <v>1.085</v>
      </c>
      <c r="U348" t="n">
        <v>261920000000</v>
      </c>
    </row>
    <row r="349">
      <c r="A349" t="inlineStr">
        <is>
          <t>Philippines</t>
        </is>
      </c>
      <c r="B349" t="inlineStr">
        <is>
          <t>PHL</t>
        </is>
      </c>
      <c r="C349" t="inlineStr">
        <is>
          <t>XPHG.L</t>
        </is>
      </c>
      <c r="D349" t="n">
        <v>2013</v>
      </c>
      <c r="E349" t="n">
        <v>-12.15157160871095</v>
      </c>
      <c r="F349" t="n">
        <v>6.751</v>
      </c>
      <c r="G349" t="n">
        <v>8.950735</v>
      </c>
      <c r="H349" t="n">
        <v>8.393020999999999</v>
      </c>
      <c r="I349" t="n">
        <v>19.14479244450873</v>
      </c>
      <c r="J349" t="inlineStr">
        <is>
          <t>Philippines|XPHG.L|2013</t>
        </is>
      </c>
      <c r="K349" t="inlineStr">
        <is>
          <t>Philippines|2013</t>
        </is>
      </c>
      <c r="L349" t="inlineStr">
        <is>
          <t>GBp</t>
        </is>
      </c>
      <c r="M349" t="n">
        <v>-12.15157160871095</v>
      </c>
      <c r="N349" t="n">
        <v>1.593426530031161</v>
      </c>
      <c r="O349" t="n">
        <v>-10.75177144450873</v>
      </c>
      <c r="P349" t="n">
        <v>-0.5118957048733663</v>
      </c>
      <c r="Q349" t="n">
        <v>-10.29256292718099</v>
      </c>
      <c r="R349" t="n">
        <v>2.592</v>
      </c>
      <c r="S349" t="n">
        <v>1.466</v>
      </c>
      <c r="T349" t="n">
        <v>1.126</v>
      </c>
      <c r="U349" t="n">
        <v>283903000000</v>
      </c>
    </row>
    <row r="350">
      <c r="A350" t="inlineStr">
        <is>
          <t>Philippines</t>
        </is>
      </c>
      <c r="B350" t="inlineStr">
        <is>
          <t>PHL</t>
        </is>
      </c>
      <c r="C350" t="inlineStr">
        <is>
          <t>XPHG.L</t>
        </is>
      </c>
      <c r="D350" t="n">
        <v>2014</v>
      </c>
      <c r="E350" t="n">
        <v>29.77887277814035</v>
      </c>
      <c r="F350" t="n">
        <v>6.348</v>
      </c>
      <c r="G350" t="n">
        <v>9.594839</v>
      </c>
      <c r="H350" t="n">
        <v>4.783676</v>
      </c>
      <c r="I350" t="n">
        <v>-17.19997336290684</v>
      </c>
      <c r="J350" t="inlineStr">
        <is>
          <t>Philippines|XPHG.L|2014</t>
        </is>
      </c>
      <c r="K350" t="inlineStr">
        <is>
          <t>Philippines|2014</t>
        </is>
      </c>
      <c r="L350" t="inlineStr">
        <is>
          <t>GBp</t>
        </is>
      </c>
      <c r="M350" t="n">
        <v>29.77887277814035</v>
      </c>
      <c r="N350" t="n">
        <v>-6.006542704804973</v>
      </c>
      <c r="O350" t="n">
        <v>21.98364936290684</v>
      </c>
      <c r="P350" t="n">
        <v>-4.389953900934862</v>
      </c>
      <c r="Q350" t="n">
        <v>27.58455239788822</v>
      </c>
      <c r="R350" t="n">
        <v>3.594</v>
      </c>
      <c r="S350" t="n">
        <v>1.615</v>
      </c>
      <c r="T350" t="n">
        <v>1.979</v>
      </c>
      <c r="U350" t="n">
        <v>297484000000</v>
      </c>
    </row>
    <row r="351">
      <c r="A351" t="inlineStr">
        <is>
          <t>Philippines</t>
        </is>
      </c>
      <c r="B351" t="inlineStr">
        <is>
          <t>PHL</t>
        </is>
      </c>
      <c r="C351" t="inlineStr">
        <is>
          <t>XPHG.L</t>
        </is>
      </c>
      <c r="D351" t="n">
        <v>2015</v>
      </c>
      <c r="E351" t="n">
        <v>-5.919815719102905</v>
      </c>
      <c r="F351" t="n">
        <v>6.348</v>
      </c>
      <c r="G351" t="n">
        <v>5.582953</v>
      </c>
      <c r="H351" t="n">
        <v>3.012599</v>
      </c>
      <c r="I351" t="n">
        <v>13.53185933148244</v>
      </c>
      <c r="J351" t="inlineStr">
        <is>
          <t>Philippines|XPHG.L|2015</t>
        </is>
      </c>
      <c r="K351" t="inlineStr">
        <is>
          <t>Philippines|2015</t>
        </is>
      </c>
      <c r="L351" t="inlineStr">
        <is>
          <t>GBp</t>
        </is>
      </c>
      <c r="M351" t="n">
        <v>-5.919815719102905</v>
      </c>
      <c r="N351" t="n">
        <v>-4.888855870697362</v>
      </c>
      <c r="O351" t="n">
        <v>-10.51926033148244</v>
      </c>
      <c r="P351" t="n">
        <v>-2.434440342705058</v>
      </c>
      <c r="Q351" t="n">
        <v>-8.286551132567489</v>
      </c>
      <c r="R351" t="n">
        <v>0.6899999999999999</v>
      </c>
      <c r="S351" t="n">
        <v>0.121</v>
      </c>
      <c r="T351" t="n">
        <v>0.569</v>
      </c>
      <c r="U351" t="n">
        <v>306446000000</v>
      </c>
    </row>
    <row r="352">
      <c r="A352" t="inlineStr">
        <is>
          <t>Philippines</t>
        </is>
      </c>
      <c r="B352" t="inlineStr">
        <is>
          <t>PHL</t>
        </is>
      </c>
      <c r="C352" t="inlineStr">
        <is>
          <t>XPHG.L</t>
        </is>
      </c>
      <c r="D352" t="n">
        <v>2016</v>
      </c>
      <c r="E352" t="n">
        <v>17.71382143851849</v>
      </c>
      <c r="F352" t="n">
        <v>7.149</v>
      </c>
      <c r="G352" t="n">
        <v>8.521296</v>
      </c>
      <c r="H352" t="n">
        <v>3.974925</v>
      </c>
      <c r="I352" t="n">
        <v>5.831860507821489</v>
      </c>
      <c r="J352" t="inlineStr">
        <is>
          <t>Philippines|XPHG.L|2016</t>
        </is>
      </c>
      <c r="K352" t="inlineStr">
        <is>
          <t>Philippines|2016</t>
        </is>
      </c>
      <c r="L352" t="inlineStr">
        <is>
          <t>GBp</t>
        </is>
      </c>
      <c r="M352" t="n">
        <v>17.71382143851849</v>
      </c>
      <c r="N352" t="n">
        <v>-16.62570861023462</v>
      </c>
      <c r="O352" t="n">
        <v>-1.856935507821489</v>
      </c>
      <c r="P352" t="n">
        <v>-4.189380608721938</v>
      </c>
      <c r="Q352" t="n">
        <v>2.434432754656402</v>
      </c>
      <c r="R352" t="n">
        <v>1.234</v>
      </c>
      <c r="S352" t="n">
        <v>1.267</v>
      </c>
      <c r="T352" t="n">
        <v>-0.03299999999999992</v>
      </c>
      <c r="U352" t="n">
        <v>318627000000</v>
      </c>
    </row>
    <row r="353">
      <c r="A353" t="inlineStr">
        <is>
          <t>Philippines</t>
        </is>
      </c>
      <c r="B353" t="inlineStr">
        <is>
          <t>PHL</t>
        </is>
      </c>
      <c r="C353" t="inlineStr">
        <is>
          <t>XPHG.L</t>
        </is>
      </c>
      <c r="D353" t="n">
        <v>2017</v>
      </c>
      <c r="E353" t="n">
        <v>9.373920972458262</v>
      </c>
      <c r="F353" t="n">
        <v>6.931</v>
      </c>
      <c r="G353" t="n">
        <v>9.412061</v>
      </c>
      <c r="H353" t="n">
        <v>3.092644</v>
      </c>
      <c r="I353" t="n">
        <v>-15.95144977472957</v>
      </c>
      <c r="J353" t="inlineStr">
        <is>
          <t>Philippines|XPHG.L|2017</t>
        </is>
      </c>
      <c r="K353" t="inlineStr">
        <is>
          <t>Philippines|2017</t>
        </is>
      </c>
      <c r="L353" t="inlineStr">
        <is>
          <t>GBp</t>
        </is>
      </c>
      <c r="M353" t="n">
        <v>9.373920972458262</v>
      </c>
      <c r="N353" t="n">
        <v>8.841388071573641</v>
      </c>
      <c r="O353" t="n">
        <v>19.04409377472957</v>
      </c>
      <c r="P353" t="n">
        <v>-5.775795110546666</v>
      </c>
      <c r="Q353" t="n">
        <v>26.3413089178048</v>
      </c>
      <c r="R353" t="n">
        <v>2.853</v>
      </c>
      <c r="S353" t="n">
        <v>2.131</v>
      </c>
      <c r="T353" t="n">
        <v>0.7220000000000004</v>
      </c>
      <c r="U353" t="n">
        <v>328481000000</v>
      </c>
    </row>
    <row r="354">
      <c r="A354" t="inlineStr">
        <is>
          <t>Philippines</t>
        </is>
      </c>
      <c r="B354" t="inlineStr">
        <is>
          <t>PHL</t>
        </is>
      </c>
      <c r="C354" t="inlineStr">
        <is>
          <t>XPHG.L</t>
        </is>
      </c>
      <c r="D354" t="n">
        <v>2018</v>
      </c>
      <c r="E354" t="n">
        <v>-11.28058424625853</v>
      </c>
      <c r="F354" t="n">
        <v>6.341</v>
      </c>
      <c r="G354" t="n">
        <v>10.319357</v>
      </c>
      <c r="H354" t="n">
        <v>5.589669</v>
      </c>
      <c r="I354" t="n">
        <v>22.26909960119694</v>
      </c>
      <c r="J354" t="inlineStr">
        <is>
          <t>Philippines|XPHG.L|2018</t>
        </is>
      </c>
      <c r="K354" t="inlineStr">
        <is>
          <t>Philippines|2018</t>
        </is>
      </c>
      <c r="L354" t="inlineStr">
        <is>
          <t>GBp</t>
        </is>
      </c>
      <c r="M354" t="n">
        <v>-11.28058424625853</v>
      </c>
      <c r="N354" t="n">
        <v>-6.085304224640065</v>
      </c>
      <c r="O354" t="n">
        <v>-16.67943060119694</v>
      </c>
      <c r="P354" t="n">
        <v>-4.287269940198146</v>
      </c>
      <c r="Q354" t="n">
        <v>-12.94724395935223</v>
      </c>
      <c r="R354" t="n">
        <v>5.31</v>
      </c>
      <c r="S354" t="n">
        <v>2.439</v>
      </c>
      <c r="T354" t="n">
        <v>2.871</v>
      </c>
      <c r="U354" t="n">
        <v>346842000000</v>
      </c>
    </row>
    <row r="355">
      <c r="A355" t="inlineStr">
        <is>
          <t>Philippines</t>
        </is>
      </c>
      <c r="B355" t="inlineStr">
        <is>
          <t>PHL</t>
        </is>
      </c>
      <c r="C355" t="inlineStr">
        <is>
          <t>XPHG.L</t>
        </is>
      </c>
      <c r="D355" t="n">
        <v>2019</v>
      </c>
      <c r="E355" t="n">
        <v>1.759943643992123</v>
      </c>
      <c r="F355" t="n">
        <v>6.119</v>
      </c>
      <c r="G355" t="n">
        <v>6.858253</v>
      </c>
      <c r="H355" t="n">
        <v>8.643993999999999</v>
      </c>
      <c r="I355" t="n">
        <v>3.888375709573189</v>
      </c>
      <c r="J355" t="inlineStr">
        <is>
          <t>Philippines|XPHG.L|2019</t>
        </is>
      </c>
      <c r="K355" t="inlineStr">
        <is>
          <t>Philippines|2019</t>
        </is>
      </c>
      <c r="L355" t="inlineStr">
        <is>
          <t>GBp</t>
        </is>
      </c>
      <c r="M355" t="n">
        <v>1.759943643992123</v>
      </c>
      <c r="N355" t="n">
        <v>2.94386429390634</v>
      </c>
      <c r="O355" t="n">
        <v>4.755618290426811</v>
      </c>
      <c r="P355" t="n">
        <v>1.671130233366513</v>
      </c>
      <c r="Q355" t="n">
        <v>3.033789483780147</v>
      </c>
      <c r="R355" t="n">
        <v>2.392</v>
      </c>
      <c r="S355" t="n">
        <v>1.813</v>
      </c>
      <c r="T355" t="n">
        <v>0.579</v>
      </c>
      <c r="U355" t="n">
        <v>376823000000</v>
      </c>
    </row>
    <row r="356">
      <c r="A356" t="inlineStr">
        <is>
          <t>Philippines</t>
        </is>
      </c>
      <c r="B356" t="inlineStr">
        <is>
          <t>PHL</t>
        </is>
      </c>
      <c r="C356" t="inlineStr">
        <is>
          <t>XPHG.L</t>
        </is>
      </c>
      <c r="D356" t="n">
        <v>2020</v>
      </c>
      <c r="E356" t="n">
        <v>-5.298006975537762</v>
      </c>
      <c r="F356" t="n">
        <v>-9.518000000000001</v>
      </c>
      <c r="G356" t="n">
        <v>-8.024900000000001</v>
      </c>
      <c r="H356" t="n">
        <v>-3.999756</v>
      </c>
      <c r="I356" t="n">
        <v>-1.329917183958786</v>
      </c>
      <c r="J356" t="inlineStr">
        <is>
          <t>Philippines|XPHG.L|2020</t>
        </is>
      </c>
      <c r="K356" t="inlineStr">
        <is>
          <t>Philippines|2020</t>
        </is>
      </c>
      <c r="L356" t="inlineStr">
        <is>
          <t>GBp</t>
        </is>
      </c>
      <c r="M356" t="n">
        <v>-5.298006975537762</v>
      </c>
      <c r="N356" t="n">
        <v>2.775198362317122</v>
      </c>
      <c r="O356" t="n">
        <v>-2.669838816041215</v>
      </c>
      <c r="P356" t="n">
        <v>4.376340751010699</v>
      </c>
      <c r="Q356" t="n">
        <v>-6.75074400611585</v>
      </c>
      <c r="R356" t="n">
        <v>2.393</v>
      </c>
      <c r="S356" t="n">
        <v>1.253</v>
      </c>
      <c r="T356" t="n">
        <v>1.14</v>
      </c>
      <c r="U356" t="n">
        <v>361751000000</v>
      </c>
    </row>
    <row r="357">
      <c r="A357" t="inlineStr">
        <is>
          <t>Philippines</t>
        </is>
      </c>
      <c r="B357" t="inlineStr">
        <is>
          <t>PHL</t>
        </is>
      </c>
      <c r="C357" t="inlineStr">
        <is>
          <t>XPHG.L</t>
        </is>
      </c>
      <c r="D357" t="n">
        <v>2021</v>
      </c>
      <c r="E357" t="n">
        <v>-2.604550970119768</v>
      </c>
      <c r="F357" t="n">
        <v>5.715</v>
      </c>
      <c r="G357" t="n">
        <v>8.127649</v>
      </c>
      <c r="H357" t="n">
        <v>8.938745000000001</v>
      </c>
      <c r="I357" t="n">
        <v>12.78725062564262</v>
      </c>
      <c r="J357" t="inlineStr">
        <is>
          <t>Philippines|XPHG.L|2021</t>
        </is>
      </c>
      <c r="K357" t="inlineStr">
        <is>
          <t>Philippines|2021</t>
        </is>
      </c>
      <c r="L357" t="inlineStr">
        <is>
          <t>GBp</t>
        </is>
      </c>
      <c r="M357" t="n">
        <v>-2.604550970119768</v>
      </c>
      <c r="N357" t="n">
        <v>-1.277220514832489</v>
      </c>
      <c r="O357" t="n">
        <v>-3.848505625642618</v>
      </c>
      <c r="P357" t="n">
        <v>0.7501283898980748</v>
      </c>
      <c r="Q357" t="n">
        <v>-4.564395191382986</v>
      </c>
      <c r="R357" t="n">
        <v>3.927</v>
      </c>
      <c r="S357" t="n">
        <v>4.679</v>
      </c>
      <c r="T357" t="n">
        <v>-0.7520000000000002</v>
      </c>
      <c r="U357" t="n">
        <v>394087000000</v>
      </c>
    </row>
    <row r="358">
      <c r="A358" t="inlineStr">
        <is>
          <t>Philippines</t>
        </is>
      </c>
      <c r="B358" t="inlineStr">
        <is>
          <t>PHL</t>
        </is>
      </c>
      <c r="C358" t="inlineStr">
        <is>
          <t>XPHG.L</t>
        </is>
      </c>
      <c r="D358" t="n">
        <v>2022</v>
      </c>
      <c r="E358" t="n">
        <v>-3.244274809160308</v>
      </c>
      <c r="F358" t="n">
        <v>7.581</v>
      </c>
      <c r="G358" t="n">
        <v>13.485713</v>
      </c>
      <c r="H358" t="n">
        <v>2.605009</v>
      </c>
      <c r="I358" t="n">
        <v>16.33861743439824</v>
      </c>
      <c r="J358" t="inlineStr">
        <is>
          <t>Philippines|XPHG.L|2022</t>
        </is>
      </c>
      <c r="K358" t="inlineStr">
        <is>
          <t>Philippines|2022</t>
        </is>
      </c>
      <c r="L358" t="inlineStr">
        <is>
          <t>GBp</t>
        </is>
      </c>
      <c r="M358" t="n">
        <v>-3.244274809160308</v>
      </c>
      <c r="N358" t="n">
        <v>-10.84104698150823</v>
      </c>
      <c r="O358" t="n">
        <v>-13.73360843439824</v>
      </c>
      <c r="P358" t="n">
        <v>-9.587730768314028</v>
      </c>
      <c r="Q358" t="n">
        <v>-4.58552550590251</v>
      </c>
      <c r="R358" t="n">
        <v>5.821</v>
      </c>
      <c r="S358" t="n">
        <v>7.993</v>
      </c>
      <c r="T358" t="n">
        <v>-2.172000000000001</v>
      </c>
      <c r="U358" t="n">
        <v>404353000000</v>
      </c>
    </row>
    <row r="359">
      <c r="A359" t="inlineStr">
        <is>
          <t>Philippines</t>
        </is>
      </c>
      <c r="B359" t="inlineStr">
        <is>
          <t>PHL</t>
        </is>
      </c>
      <c r="C359" t="inlineStr">
        <is>
          <t>XPHG.L</t>
        </is>
      </c>
      <c r="D359" t="n">
        <v>2023</v>
      </c>
      <c r="E359" t="n">
        <v>-5.217727780083791</v>
      </c>
      <c r="F359" t="n">
        <v>5.519</v>
      </c>
      <c r="G359" t="n">
        <v>10.374339</v>
      </c>
      <c r="H359" t="n">
        <v>8.087488</v>
      </c>
      <c r="I359" t="n">
        <v>8.506360252966807</v>
      </c>
      <c r="J359" t="inlineStr">
        <is>
          <t>Philippines|XPHG.L|2023</t>
        </is>
      </c>
      <c r="K359" t="inlineStr">
        <is>
          <t>Philippines|2023</t>
        </is>
      </c>
      <c r="L359" t="inlineStr">
        <is>
          <t>GBp</t>
        </is>
      </c>
      <c r="M359" t="n">
        <v>-5.217727780083791</v>
      </c>
      <c r="N359" t="n">
        <v>5.06303068571996</v>
      </c>
      <c r="O359" t="n">
        <v>-0.4188722529668065</v>
      </c>
      <c r="P359" t="n">
        <v>-2.0719045595462</v>
      </c>
      <c r="Q359" t="n">
        <v>1.688006183664159</v>
      </c>
      <c r="R359" t="n">
        <v>5.978</v>
      </c>
      <c r="S359" t="n">
        <v>4.128</v>
      </c>
      <c r="T359" t="n">
        <v>1.85</v>
      </c>
      <c r="U359" t="n">
        <v>437055000000</v>
      </c>
    </row>
    <row r="360">
      <c r="A360" t="inlineStr">
        <is>
          <t>Philippines</t>
        </is>
      </c>
      <c r="B360" t="inlineStr">
        <is>
          <t>PHL</t>
        </is>
      </c>
      <c r="C360" t="inlineStr">
        <is>
          <t>XPHG.L</t>
        </is>
      </c>
      <c r="D360" t="n">
        <v>2024</v>
      </c>
      <c r="E360" t="n">
        <v>-2.961461684283073</v>
      </c>
      <c r="F360" t="n">
        <v>5.692</v>
      </c>
      <c r="G360" t="n">
        <v>8.772079</v>
      </c>
      <c r="H360" t="n">
        <v>5.619888</v>
      </c>
      <c r="I360" t="n">
        <v>9.960319252331502</v>
      </c>
      <c r="J360" t="inlineStr">
        <is>
          <t>Philippines|XPHG.L|2024</t>
        </is>
      </c>
      <c r="K360" t="inlineStr">
        <is>
          <t>Philippines|2024</t>
        </is>
      </c>
      <c r="L360" t="inlineStr">
        <is>
          <t>GBp</t>
        </is>
      </c>
      <c r="M360" t="n">
        <v>-2.961461684283073</v>
      </c>
      <c r="N360" t="n">
        <v>-1.421053523664917</v>
      </c>
      <c r="O360" t="n">
        <v>-4.3404312523315</v>
      </c>
      <c r="P360" t="n">
        <v>-2.897978235682697</v>
      </c>
      <c r="Q360" t="n">
        <v>-1.485502557454343</v>
      </c>
      <c r="R360" t="n">
        <v>3.213</v>
      </c>
      <c r="S360" t="n">
        <v>2.952</v>
      </c>
      <c r="T360" t="n">
        <v>0.2610000000000001</v>
      </c>
      <c r="U360" t="n">
        <v>461617000000</v>
      </c>
    </row>
    <row r="361">
      <c r="A361" t="inlineStr">
        <is>
          <t>Philippines</t>
        </is>
      </c>
      <c r="B361" t="inlineStr">
        <is>
          <t>PHL</t>
        </is>
      </c>
      <c r="C361" t="inlineStr">
        <is>
          <t>XPHG.L</t>
        </is>
      </c>
      <c r="D361" t="n">
        <v>2025</v>
      </c>
      <c r="E361" t="n">
        <v>-7.84634131086781</v>
      </c>
      <c r="F361" t="n">
        <v>5.435</v>
      </c>
      <c r="G361" t="n">
        <v>7.049198</v>
      </c>
      <c r="H361" t="n">
        <v>7.04935</v>
      </c>
      <c r="I361" t="n">
        <v>7.917881192322508</v>
      </c>
      <c r="J361" t="inlineStr">
        <is>
          <t>Philippines|XPHG.L|2025</t>
        </is>
      </c>
      <c r="K361" t="inlineStr">
        <is>
          <t>Philippines|2025</t>
        </is>
      </c>
      <c r="L361" t="inlineStr">
        <is>
          <t>GBp</t>
        </is>
      </c>
      <c r="M361" t="n">
        <v>-7.84634131086781</v>
      </c>
      <c r="N361" t="n">
        <v>7.571929555270285</v>
      </c>
      <c r="O361" t="n">
        <v>-0.8685311923225081</v>
      </c>
      <c r="P361" t="n">
        <v>0.000142096061339636</v>
      </c>
      <c r="Q361" t="n">
        <v>-0.868672054035069</v>
      </c>
      <c r="R361" t="n">
        <v>1.608</v>
      </c>
      <c r="S361" t="n">
        <v>2.715</v>
      </c>
      <c r="T361" t="n">
        <v>-1.107</v>
      </c>
      <c r="U361" t="n">
        <v>494158000000</v>
      </c>
    </row>
    <row r="362">
      <c r="A362" t="inlineStr">
        <is>
          <t>Philippines</t>
        </is>
      </c>
      <c r="B362" t="inlineStr">
        <is>
          <t>PHL</t>
        </is>
      </c>
      <c r="C362" t="inlineStr">
        <is>
          <t>XPHG.L</t>
        </is>
      </c>
      <c r="D362" t="n">
        <v>2026</v>
      </c>
      <c r="E362" t="n">
        <v>4.08971121432451</v>
      </c>
      <c r="F362" t="n">
        <v>5.731</v>
      </c>
      <c r="G362" t="n">
        <v>8.046950000000001</v>
      </c>
      <c r="H362" t="n">
        <v>8.046818999999999</v>
      </c>
      <c r="I362" t="n">
        <v>5.520842335458004</v>
      </c>
      <c r="J362" t="inlineStr">
        <is>
          <t>Philippines|XPHG.L|2026</t>
        </is>
      </c>
      <c r="K362" t="inlineStr">
        <is>
          <t>Philippines|2026</t>
        </is>
      </c>
      <c r="L362" t="inlineStr">
        <is>
          <t>GBp</t>
        </is>
      </c>
      <c r="M362" t="n">
        <v>4.08971121432451</v>
      </c>
      <c r="N362" t="n">
        <v>-1.502295021803568</v>
      </c>
      <c r="O362" t="n">
        <v>2.525976664541996</v>
      </c>
      <c r="P362" t="n">
        <v>-0.0001214776089053515</v>
      </c>
      <c r="Q362" t="n">
        <v>2.526101210798259</v>
      </c>
      <c r="R362" t="n">
        <v>2.55</v>
      </c>
      <c r="S362" t="n">
        <v>2.435</v>
      </c>
      <c r="T362" t="n">
        <v>0.1149999999999998</v>
      </c>
      <c r="U362" t="n">
        <v>533922000000</v>
      </c>
    </row>
    <row r="363">
      <c r="A363" t="inlineStr">
        <is>
          <t>Philippines</t>
        </is>
      </c>
      <c r="B363" t="inlineStr">
        <is>
          <t>PHL</t>
        </is>
      </c>
      <c r="C363" t="inlineStr">
        <is>
          <t>XPHG.L</t>
        </is>
      </c>
      <c r="D363" t="n">
        <v>2027</v>
      </c>
      <c r="E363" t="inlineStr"/>
      <c r="F363" t="n">
        <v>5.993</v>
      </c>
      <c r="G363" t="n">
        <v>8.515618999999999</v>
      </c>
      <c r="H363" t="n">
        <v>8.515663</v>
      </c>
      <c r="I363" t="inlineStr"/>
      <c r="J363" t="inlineStr">
        <is>
          <t>Philippines|XPHG.L|2027</t>
        </is>
      </c>
      <c r="K363" t="inlineStr">
        <is>
          <t>Philippines|2027</t>
        </is>
      </c>
      <c r="L363" t="inlineStr">
        <is>
          <t>GBp</t>
        </is>
      </c>
      <c r="M363" t="inlineStr"/>
      <c r="N363" t="inlineStr"/>
      <c r="O363" t="inlineStr"/>
      <c r="P363" t="n">
        <v>4.067559684628463e-05</v>
      </c>
      <c r="Q363" t="inlineStr"/>
      <c r="R363" t="n">
        <v>2.842</v>
      </c>
      <c r="S363" t="n">
        <v>2.185</v>
      </c>
      <c r="T363" t="n">
        <v>0.657</v>
      </c>
      <c r="U363" t="n">
        <v>579389000000</v>
      </c>
    </row>
    <row r="364">
      <c r="A364" t="inlineStr">
        <is>
          <t>Philippines</t>
        </is>
      </c>
      <c r="B364" t="inlineStr">
        <is>
          <t>PHL</t>
        </is>
      </c>
      <c r="C364" t="inlineStr">
        <is>
          <t>XPHG.L</t>
        </is>
      </c>
      <c r="D364" t="n">
        <v>2028</v>
      </c>
      <c r="E364" t="inlineStr"/>
      <c r="F364" t="n">
        <v>6.003</v>
      </c>
      <c r="G364" t="n">
        <v>8.666224</v>
      </c>
      <c r="H364" t="n">
        <v>8.666198</v>
      </c>
      <c r="I364" t="inlineStr"/>
      <c r="J364" t="inlineStr">
        <is>
          <t>Philippines|XPHG.L|2028</t>
        </is>
      </c>
      <c r="K364" t="inlineStr">
        <is>
          <t>Philippines|2028</t>
        </is>
      </c>
      <c r="L364" t="inlineStr">
        <is>
          <t>GBp</t>
        </is>
      </c>
      <c r="M364" t="inlineStr"/>
      <c r="N364" t="inlineStr"/>
      <c r="O364" t="inlineStr"/>
      <c r="P364" t="n">
        <v>-2.373717220560678e-05</v>
      </c>
      <c r="Q364" t="inlineStr"/>
      <c r="R364" t="n">
        <v>3</v>
      </c>
      <c r="S364" t="n">
        <v>2.206</v>
      </c>
      <c r="T364" t="n">
        <v>0.794</v>
      </c>
      <c r="U364" t="n">
        <v>629600000000</v>
      </c>
    </row>
    <row r="365">
      <c r="A365" t="inlineStr">
        <is>
          <t>Philippines</t>
        </is>
      </c>
      <c r="B365" t="inlineStr">
        <is>
          <t>PHL</t>
        </is>
      </c>
      <c r="C365" t="inlineStr">
        <is>
          <t>XPHG.L</t>
        </is>
      </c>
      <c r="D365" t="n">
        <v>2029</v>
      </c>
      <c r="E365" t="inlineStr"/>
      <c r="F365" t="n">
        <v>6.013</v>
      </c>
      <c r="G365" t="n">
        <v>8.913233</v>
      </c>
      <c r="H365" t="n">
        <v>8.913278</v>
      </c>
      <c r="I365" t="inlineStr"/>
      <c r="J365" t="inlineStr">
        <is>
          <t>Philippines|XPHG.L|2029</t>
        </is>
      </c>
      <c r="K365" t="inlineStr">
        <is>
          <t>Philippines|2029</t>
        </is>
      </c>
      <c r="L365" t="inlineStr">
        <is>
          <t>GBp</t>
        </is>
      </c>
      <c r="M365" t="inlineStr"/>
      <c r="N365" t="inlineStr"/>
      <c r="O365" t="inlineStr"/>
      <c r="P365" t="n">
        <v>4.138998963565399e-05</v>
      </c>
      <c r="Q365" t="inlineStr"/>
      <c r="R365" t="n">
        <v>3.267</v>
      </c>
      <c r="S365" t="n">
        <v>2.203</v>
      </c>
      <c r="T365" t="n">
        <v>1.064</v>
      </c>
      <c r="U365" t="n">
        <v>685718000000</v>
      </c>
    </row>
    <row r="366">
      <c r="A366" t="inlineStr">
        <is>
          <t>Poland</t>
        </is>
      </c>
      <c r="B366" t="inlineStr">
        <is>
          <t>POL</t>
        </is>
      </c>
      <c r="C366" t="inlineStr">
        <is>
          <t>IPOL.L</t>
        </is>
      </c>
      <c r="D366" t="n">
        <v>2004</v>
      </c>
      <c r="E366" t="inlineStr"/>
      <c r="F366" t="n">
        <v>5.091</v>
      </c>
      <c r="G366" t="inlineStr"/>
      <c r="H366" t="inlineStr"/>
      <c r="I366" t="inlineStr"/>
      <c r="J366" t="inlineStr">
        <is>
          <t>Poland|IPOL.L|2004</t>
        </is>
      </c>
      <c r="K366" t="inlineStr">
        <is>
          <t>Poland|2004</t>
        </is>
      </c>
      <c r="L366" t="inlineStr">
        <is>
          <t>USD</t>
        </is>
      </c>
      <c r="M366" t="inlineStr"/>
      <c r="N366" t="inlineStr"/>
      <c r="O366" t="inlineStr"/>
      <c r="P366" t="inlineStr"/>
      <c r="Q366" t="inlineStr"/>
      <c r="R366" t="n">
        <v>3.538</v>
      </c>
      <c r="S366" t="n">
        <v>2.668</v>
      </c>
      <c r="T366" t="n">
        <v>0.8699999999999997</v>
      </c>
      <c r="U366" t="n">
        <v>256454000000</v>
      </c>
    </row>
    <row r="367">
      <c r="A367" t="inlineStr">
        <is>
          <t>Poland</t>
        </is>
      </c>
      <c r="B367" t="inlineStr">
        <is>
          <t>POL</t>
        </is>
      </c>
      <c r="C367" t="inlineStr">
        <is>
          <t>IPOL.L</t>
        </is>
      </c>
      <c r="D367" t="n">
        <v>2005</v>
      </c>
      <c r="E367" t="inlineStr"/>
      <c r="F367" t="n">
        <v>3.261</v>
      </c>
      <c r="G367" t="n">
        <v>5.969452</v>
      </c>
      <c r="H367" t="n">
        <v>19.771187</v>
      </c>
      <c r="I367" t="inlineStr"/>
      <c r="J367" t="inlineStr">
        <is>
          <t>Poland|IPOL.L|2005</t>
        </is>
      </c>
      <c r="K367" t="inlineStr">
        <is>
          <t>Poland|2005</t>
        </is>
      </c>
      <c r="L367" t="inlineStr">
        <is>
          <t>USD</t>
        </is>
      </c>
      <c r="M367" t="inlineStr"/>
      <c r="N367" t="inlineStr"/>
      <c r="O367" t="inlineStr"/>
      <c r="P367" t="n">
        <v>13.02425838565335</v>
      </c>
      <c r="Q367" t="inlineStr"/>
      <c r="R367" t="n">
        <v>2.21</v>
      </c>
      <c r="S367" t="n">
        <v>3.366</v>
      </c>
      <c r="T367" t="n">
        <v>-1.156</v>
      </c>
      <c r="U367" t="n">
        <v>307158000000</v>
      </c>
    </row>
    <row r="368">
      <c r="A368" t="inlineStr">
        <is>
          <t>Poland</t>
        </is>
      </c>
      <c r="B368" t="inlineStr">
        <is>
          <t>POL</t>
        </is>
      </c>
      <c r="C368" t="inlineStr">
        <is>
          <t>IPOL.L</t>
        </is>
      </c>
      <c r="D368" t="n">
        <v>2006</v>
      </c>
      <c r="E368" t="inlineStr"/>
      <c r="F368" t="n">
        <v>6.202</v>
      </c>
      <c r="G368" t="n">
        <v>8.062274</v>
      </c>
      <c r="H368" t="n">
        <v>12.612401</v>
      </c>
      <c r="I368" t="inlineStr"/>
      <c r="J368" t="inlineStr">
        <is>
          <t>Poland|IPOL.L|2006</t>
        </is>
      </c>
      <c r="K368" t="inlineStr">
        <is>
          <t>Poland|2006</t>
        </is>
      </c>
      <c r="L368" t="inlineStr">
        <is>
          <t>USD</t>
        </is>
      </c>
      <c r="M368" t="inlineStr"/>
      <c r="N368" t="inlineStr"/>
      <c r="O368" t="inlineStr"/>
      <c r="P368" t="n">
        <v>4.21065336780424</v>
      </c>
      <c r="Q368" t="inlineStr"/>
      <c r="R368" t="n">
        <v>1.197</v>
      </c>
      <c r="S368" t="n">
        <v>3.222</v>
      </c>
      <c r="T368" t="n">
        <v>-2.025</v>
      </c>
      <c r="U368" t="n">
        <v>345898000000</v>
      </c>
    </row>
    <row r="369">
      <c r="A369" t="inlineStr">
        <is>
          <t>Poland</t>
        </is>
      </c>
      <c r="B369" t="inlineStr">
        <is>
          <t>POL</t>
        </is>
      </c>
      <c r="C369" t="inlineStr">
        <is>
          <t>IPOL.L</t>
        </is>
      </c>
      <c r="D369" t="n">
        <v>2007</v>
      </c>
      <c r="E369" t="inlineStr"/>
      <c r="F369" t="n">
        <v>6.76</v>
      </c>
      <c r="G369" t="n">
        <v>10.812158</v>
      </c>
      <c r="H369" t="n">
        <v>24.23171</v>
      </c>
      <c r="I369" t="inlineStr"/>
      <c r="J369" t="inlineStr">
        <is>
          <t>Poland|IPOL.L|2007</t>
        </is>
      </c>
      <c r="K369" t="inlineStr">
        <is>
          <t>Poland|2007</t>
        </is>
      </c>
      <c r="L369" t="inlineStr">
        <is>
          <t>USD</t>
        </is>
      </c>
      <c r="M369" t="inlineStr"/>
      <c r="N369" t="inlineStr"/>
      <c r="O369" t="inlineStr"/>
      <c r="P369" t="n">
        <v>12.11018020553651</v>
      </c>
      <c r="Q369" t="inlineStr"/>
      <c r="R369" t="n">
        <v>2.472</v>
      </c>
      <c r="S369" t="n">
        <v>2.871</v>
      </c>
      <c r="T369" t="n">
        <v>-0.399</v>
      </c>
      <c r="U369" t="n">
        <v>429715000000</v>
      </c>
    </row>
    <row r="370">
      <c r="A370" t="inlineStr">
        <is>
          <t>Poland</t>
        </is>
      </c>
      <c r="B370" t="inlineStr">
        <is>
          <t>POL</t>
        </is>
      </c>
      <c r="C370" t="inlineStr">
        <is>
          <t>IPOL.L</t>
        </is>
      </c>
      <c r="D370" t="n">
        <v>2008</v>
      </c>
      <c r="E370" t="inlineStr"/>
      <c r="F370" t="n">
        <v>4.384</v>
      </c>
      <c r="G370" t="n">
        <v>8.490537</v>
      </c>
      <c r="H370" t="n">
        <v>24.643543</v>
      </c>
      <c r="I370" t="inlineStr"/>
      <c r="J370" t="inlineStr">
        <is>
          <t>Poland|IPOL.L|2008</t>
        </is>
      </c>
      <c r="K370" t="inlineStr">
        <is>
          <t>Poland|2008</t>
        </is>
      </c>
      <c r="L370" t="inlineStr">
        <is>
          <t>USD</t>
        </is>
      </c>
      <c r="M370" t="inlineStr"/>
      <c r="N370" t="n">
        <v>0</v>
      </c>
      <c r="O370" t="inlineStr"/>
      <c r="P370" t="n">
        <v>14.88886100435267</v>
      </c>
      <c r="Q370" t="inlineStr"/>
      <c r="R370" t="n">
        <v>4.342</v>
      </c>
      <c r="S370" t="n">
        <v>3.815</v>
      </c>
      <c r="T370" t="n">
        <v>0.5269999999999997</v>
      </c>
      <c r="U370" t="n">
        <v>535612000000</v>
      </c>
    </row>
    <row r="371">
      <c r="A371" t="inlineStr">
        <is>
          <t>Poland</t>
        </is>
      </c>
      <c r="B371" t="inlineStr">
        <is>
          <t>POL</t>
        </is>
      </c>
      <c r="C371" t="inlineStr">
        <is>
          <t>IPOL.L</t>
        </is>
      </c>
      <c r="D371" t="n">
        <v>2009</v>
      </c>
      <c r="E371" t="inlineStr"/>
      <c r="F371" t="n">
        <v>2.615</v>
      </c>
      <c r="G371" t="n">
        <v>6.604444</v>
      </c>
      <c r="H371" t="n">
        <v>-17.672868</v>
      </c>
      <c r="I371" t="inlineStr"/>
      <c r="J371" t="inlineStr">
        <is>
          <t>Poland|IPOL.L|2009</t>
        </is>
      </c>
      <c r="K371" t="inlineStr">
        <is>
          <t>Poland|2009</t>
        </is>
      </c>
      <c r="L371" t="inlineStr">
        <is>
          <t>USD</t>
        </is>
      </c>
      <c r="M371" t="inlineStr"/>
      <c r="N371" t="n">
        <v>0</v>
      </c>
      <c r="O371" t="inlineStr"/>
      <c r="P371" t="n">
        <v>-22.77326417994352</v>
      </c>
      <c r="Q371" t="inlineStr"/>
      <c r="R371" t="n">
        <v>3.785</v>
      </c>
      <c r="S371" t="n">
        <v>-0.32</v>
      </c>
      <c r="T371" t="n">
        <v>4.105</v>
      </c>
      <c r="U371" t="n">
        <v>440954000000</v>
      </c>
    </row>
    <row r="372">
      <c r="A372" t="inlineStr">
        <is>
          <t>Poland</t>
        </is>
      </c>
      <c r="B372" t="inlineStr">
        <is>
          <t>POL</t>
        </is>
      </c>
      <c r="C372" t="inlineStr">
        <is>
          <t>IPOL.L</t>
        </is>
      </c>
      <c r="D372" t="n">
        <v>2010</v>
      </c>
      <c r="E372" t="inlineStr"/>
      <c r="F372" t="n">
        <v>3.169</v>
      </c>
      <c r="G372" t="n">
        <v>4.798189</v>
      </c>
      <c r="H372" t="n">
        <v>8.426503</v>
      </c>
      <c r="I372" t="inlineStr"/>
      <c r="J372" t="inlineStr">
        <is>
          <t>Poland|IPOL.L|2010</t>
        </is>
      </c>
      <c r="K372" t="inlineStr">
        <is>
          <t>Poland|2010</t>
        </is>
      </c>
      <c r="L372" t="inlineStr">
        <is>
          <t>USD</t>
        </is>
      </c>
      <c r="M372" t="inlineStr"/>
      <c r="N372" t="n">
        <v>0</v>
      </c>
      <c r="O372" t="inlineStr"/>
      <c r="P372" t="n">
        <v>3.462191001244275</v>
      </c>
      <c r="Q372" t="inlineStr"/>
      <c r="R372" t="n">
        <v>2.59</v>
      </c>
      <c r="S372" t="n">
        <v>1.637</v>
      </c>
      <c r="T372" t="n">
        <v>0.9529999999999998</v>
      </c>
      <c r="U372" t="n">
        <v>478111000000</v>
      </c>
    </row>
    <row r="373">
      <c r="A373" t="inlineStr">
        <is>
          <t>Poland</t>
        </is>
      </c>
      <c r="B373" t="inlineStr">
        <is>
          <t>POL</t>
        </is>
      </c>
      <c r="C373" t="inlineStr">
        <is>
          <t>IPOL.L</t>
        </is>
      </c>
      <c r="D373" t="n">
        <v>2011</v>
      </c>
      <c r="E373" t="n">
        <v>-31.98714941104516</v>
      </c>
      <c r="F373" t="n">
        <v>5.255</v>
      </c>
      <c r="G373" t="n">
        <v>8.482295000000001</v>
      </c>
      <c r="H373" t="n">
        <v>10.402814</v>
      </c>
      <c r="I373" t="n">
        <v>42.38996341104516</v>
      </c>
      <c r="J373" t="inlineStr">
        <is>
          <t>Poland|IPOL.L|2011</t>
        </is>
      </c>
      <c r="K373" t="inlineStr">
        <is>
          <t>Poland|2011</t>
        </is>
      </c>
      <c r="L373" t="inlineStr">
        <is>
          <t>USD</t>
        </is>
      </c>
      <c r="M373" t="n">
        <v>-31.98714941104516</v>
      </c>
      <c r="N373" t="n">
        <v>0</v>
      </c>
      <c r="O373" t="n">
        <v>-31.98714941104516</v>
      </c>
      <c r="P373" t="n">
        <v>1.770353239125777</v>
      </c>
      <c r="Q373" t="n">
        <v>-33.1702716712128</v>
      </c>
      <c r="R373" t="n">
        <v>4.226</v>
      </c>
      <c r="S373" t="n">
        <v>3.14</v>
      </c>
      <c r="T373" t="n">
        <v>1.086</v>
      </c>
      <c r="U373" t="n">
        <v>527848000000</v>
      </c>
    </row>
    <row r="374">
      <c r="A374" t="inlineStr">
        <is>
          <t>Poland</t>
        </is>
      </c>
      <c r="B374" t="inlineStr">
        <is>
          <t>POL</t>
        </is>
      </c>
      <c r="C374" t="inlineStr">
        <is>
          <t>IPOL.L</t>
        </is>
      </c>
      <c r="D374" t="n">
        <v>2012</v>
      </c>
      <c r="E374" t="n">
        <v>35.5206876859937</v>
      </c>
      <c r="F374" t="n">
        <v>1.512</v>
      </c>
      <c r="G374" t="n">
        <v>3.728224</v>
      </c>
      <c r="H374" t="n">
        <v>-5.62643</v>
      </c>
      <c r="I374" t="n">
        <v>-41.1471176859937</v>
      </c>
      <c r="J374" t="inlineStr">
        <is>
          <t>Poland|IPOL.L|2012</t>
        </is>
      </c>
      <c r="K374" t="inlineStr">
        <is>
          <t>Poland|2012</t>
        </is>
      </c>
      <c r="L374" t="inlineStr">
        <is>
          <t>USD</t>
        </is>
      </c>
      <c r="M374" t="n">
        <v>35.5206876859937</v>
      </c>
      <c r="N374" t="n">
        <v>0</v>
      </c>
      <c r="O374" t="n">
        <v>35.5206876859937</v>
      </c>
      <c r="P374" t="n">
        <v>-9.018427169029808</v>
      </c>
      <c r="Q374" t="n">
        <v>48.95399526426121</v>
      </c>
      <c r="R374" t="n">
        <v>3.727</v>
      </c>
      <c r="S374" t="n">
        <v>2.073</v>
      </c>
      <c r="T374" t="n">
        <v>1.654</v>
      </c>
      <c r="U374" t="n">
        <v>498149000000</v>
      </c>
    </row>
    <row r="375">
      <c r="A375" t="inlineStr">
        <is>
          <t>Poland</t>
        </is>
      </c>
      <c r="B375" t="inlineStr">
        <is>
          <t>POL</t>
        </is>
      </c>
      <c r="C375" t="inlineStr">
        <is>
          <t>IPOL.L</t>
        </is>
      </c>
      <c r="D375" t="n">
        <v>2013</v>
      </c>
      <c r="E375" t="n">
        <v>1.468153588734</v>
      </c>
      <c r="F375" t="n">
        <v>0.6840000000000001</v>
      </c>
      <c r="G375" t="n">
        <v>0.957071</v>
      </c>
      <c r="H375" t="n">
        <v>4.021086</v>
      </c>
      <c r="I375" t="n">
        <v>2.552932411266</v>
      </c>
      <c r="J375" t="inlineStr">
        <is>
          <t>Poland|IPOL.L|2013</t>
        </is>
      </c>
      <c r="K375" t="inlineStr">
        <is>
          <t>Poland|2013</t>
        </is>
      </c>
      <c r="L375" t="inlineStr">
        <is>
          <t>USD</t>
        </is>
      </c>
      <c r="M375" t="n">
        <v>1.468153588734</v>
      </c>
      <c r="N375" t="n">
        <v>0</v>
      </c>
      <c r="O375" t="n">
        <v>1.468153588734</v>
      </c>
      <c r="P375" t="n">
        <v>3.034968745948086</v>
      </c>
      <c r="Q375" t="n">
        <v>-1.520663495397723</v>
      </c>
      <c r="R375" t="n">
        <v>1.117</v>
      </c>
      <c r="S375" t="n">
        <v>1.466</v>
      </c>
      <c r="T375" t="n">
        <v>-0.349</v>
      </c>
      <c r="U375" t="n">
        <v>518180000000</v>
      </c>
    </row>
    <row r="376">
      <c r="A376" t="inlineStr">
        <is>
          <t>Poland</t>
        </is>
      </c>
      <c r="B376" t="inlineStr">
        <is>
          <t>POL</t>
        </is>
      </c>
      <c r="C376" t="inlineStr">
        <is>
          <t>IPOL.L</t>
        </is>
      </c>
      <c r="D376" t="n">
        <v>2014</v>
      </c>
      <c r="E376" t="n">
        <v>-13.42240984416119</v>
      </c>
      <c r="F376" t="n">
        <v>3.92</v>
      </c>
      <c r="G376" t="n">
        <v>4.421689</v>
      </c>
      <c r="H376" t="n">
        <v>4.648192</v>
      </c>
      <c r="I376" t="n">
        <v>18.07060184416119</v>
      </c>
      <c r="J376" t="inlineStr">
        <is>
          <t>Poland|IPOL.L|2014</t>
        </is>
      </c>
      <c r="K376" t="inlineStr">
        <is>
          <t>Poland|2014</t>
        </is>
      </c>
      <c r="L376" t="inlineStr">
        <is>
          <t>USD</t>
        </is>
      </c>
      <c r="M376" t="n">
        <v>-13.42240984416119</v>
      </c>
      <c r="N376" t="n">
        <v>0</v>
      </c>
      <c r="O376" t="n">
        <v>-13.42240984416119</v>
      </c>
      <c r="P376" t="n">
        <v>0.2169120316258155</v>
      </c>
      <c r="Q376" t="n">
        <v>-13.60980058084687</v>
      </c>
      <c r="R376" t="n">
        <v>0.105</v>
      </c>
      <c r="S376" t="n">
        <v>1.615</v>
      </c>
      <c r="T376" t="n">
        <v>-1.51</v>
      </c>
      <c r="U376" t="n">
        <v>542266000000</v>
      </c>
    </row>
    <row r="377">
      <c r="A377" t="inlineStr">
        <is>
          <t>Poland</t>
        </is>
      </c>
      <c r="B377" t="inlineStr">
        <is>
          <t>POL</t>
        </is>
      </c>
      <c r="C377" t="inlineStr">
        <is>
          <t>IPOL.L</t>
        </is>
      </c>
      <c r="D377" t="n">
        <v>2015</v>
      </c>
      <c r="E377" t="n">
        <v>-24.55335253145974</v>
      </c>
      <c r="F377" t="n">
        <v>4.432</v>
      </c>
      <c r="G377" t="n">
        <v>5.811009</v>
      </c>
      <c r="H377" t="n">
        <v>-11.532532</v>
      </c>
      <c r="I377" t="n">
        <v>13.02082053145974</v>
      </c>
      <c r="J377" t="inlineStr">
        <is>
          <t>Poland|IPOL.L|2015</t>
        </is>
      </c>
      <c r="K377" t="inlineStr">
        <is>
          <t>Poland|2015</t>
        </is>
      </c>
      <c r="L377" t="inlineStr">
        <is>
          <t>USD</t>
        </is>
      </c>
      <c r="M377" t="n">
        <v>-24.55335253145974</v>
      </c>
      <c r="N377" t="n">
        <v>0</v>
      </c>
      <c r="O377" t="n">
        <v>-24.55335253145974</v>
      </c>
      <c r="P377" t="n">
        <v>-16.39105510844966</v>
      </c>
      <c r="Q377" t="n">
        <v>-9.76246911571177</v>
      </c>
      <c r="R377" t="n">
        <v>-0.924</v>
      </c>
      <c r="S377" t="n">
        <v>0.121</v>
      </c>
      <c r="T377" t="n">
        <v>-1.045</v>
      </c>
      <c r="U377" t="n">
        <v>479729000000</v>
      </c>
    </row>
    <row r="378">
      <c r="A378" t="inlineStr">
        <is>
          <t>Poland</t>
        </is>
      </c>
      <c r="B378" t="inlineStr">
        <is>
          <t>POL</t>
        </is>
      </c>
      <c r="C378" t="inlineStr">
        <is>
          <t>IPOL.L</t>
        </is>
      </c>
      <c r="D378" t="n">
        <v>2016</v>
      </c>
      <c r="E378" t="n">
        <v>3.866666158040366</v>
      </c>
      <c r="F378" t="n">
        <v>3.031</v>
      </c>
      <c r="G378" t="n">
        <v>3.116552</v>
      </c>
      <c r="H378" t="n">
        <v>-1.427056</v>
      </c>
      <c r="I378" t="n">
        <v>-5.293722158040366</v>
      </c>
      <c r="J378" t="inlineStr">
        <is>
          <t>Poland|IPOL.L|2016</t>
        </is>
      </c>
      <c r="K378" t="inlineStr">
        <is>
          <t>Poland|2016</t>
        </is>
      </c>
      <c r="L378" t="inlineStr">
        <is>
          <t>USD</t>
        </is>
      </c>
      <c r="M378" t="n">
        <v>3.866666158040366</v>
      </c>
      <c r="N378" t="n">
        <v>0</v>
      </c>
      <c r="O378" t="n">
        <v>3.866666158040366</v>
      </c>
      <c r="P378" t="n">
        <v>-4.406283417642287</v>
      </c>
      <c r="Q378" t="n">
        <v>8.654281757687677</v>
      </c>
      <c r="R378" t="n">
        <v>-0.677</v>
      </c>
      <c r="S378" t="n">
        <v>1.267</v>
      </c>
      <c r="T378" t="n">
        <v>-1.944</v>
      </c>
      <c r="U378" t="n">
        <v>472883000000</v>
      </c>
    </row>
    <row r="379">
      <c r="A379" t="inlineStr">
        <is>
          <t>Poland</t>
        </is>
      </c>
      <c r="B379" t="inlineStr">
        <is>
          <t>POL</t>
        </is>
      </c>
      <c r="C379" t="inlineStr">
        <is>
          <t>IPOL.L</t>
        </is>
      </c>
      <c r="D379" t="n">
        <v>2017</v>
      </c>
      <c r="E379" t="n">
        <v>52.89624697287321</v>
      </c>
      <c r="F379" t="n">
        <v>5.152</v>
      </c>
      <c r="G379" t="n">
        <v>7.01387</v>
      </c>
      <c r="H379" t="n">
        <v>11.760626</v>
      </c>
      <c r="I379" t="n">
        <v>-41.13562097287321</v>
      </c>
      <c r="J379" t="inlineStr">
        <is>
          <t>Poland|IPOL.L|2017</t>
        </is>
      </c>
      <c r="K379" t="inlineStr">
        <is>
          <t>Poland|2017</t>
        </is>
      </c>
      <c r="L379" t="inlineStr">
        <is>
          <t>USD</t>
        </is>
      </c>
      <c r="M379" t="n">
        <v>52.89624697287321</v>
      </c>
      <c r="N379" t="n">
        <v>0</v>
      </c>
      <c r="O379" t="n">
        <v>52.89624697287321</v>
      </c>
      <c r="P379" t="n">
        <v>4.435645830500357</v>
      </c>
      <c r="Q379" t="n">
        <v>46.40235693187045</v>
      </c>
      <c r="R379" t="n">
        <v>1.969</v>
      </c>
      <c r="S379" t="n">
        <v>2.131</v>
      </c>
      <c r="T379" t="n">
        <v>-0.1619999999999997</v>
      </c>
      <c r="U379" t="n">
        <v>528497000000</v>
      </c>
    </row>
    <row r="380">
      <c r="A380" t="inlineStr">
        <is>
          <t>Poland</t>
        </is>
      </c>
      <c r="B380" t="inlineStr">
        <is>
          <t>POL</t>
        </is>
      </c>
      <c r="C380" t="inlineStr">
        <is>
          <t>IPOL.L</t>
        </is>
      </c>
      <c r="D380" t="n">
        <v>2018</v>
      </c>
      <c r="E380" t="n">
        <v>-12.83222658794891</v>
      </c>
      <c r="F380" t="n">
        <v>6.246</v>
      </c>
      <c r="G380" t="n">
        <v>7.549493</v>
      </c>
      <c r="H380" t="n">
        <v>12.515492</v>
      </c>
      <c r="I380" t="n">
        <v>25.34771858794891</v>
      </c>
      <c r="J380" t="inlineStr">
        <is>
          <t>Poland|IPOL.L|2018</t>
        </is>
      </c>
      <c r="K380" t="inlineStr">
        <is>
          <t>Poland|2018</t>
        </is>
      </c>
      <c r="L380" t="inlineStr">
        <is>
          <t>USD</t>
        </is>
      </c>
      <c r="M380" t="n">
        <v>-12.83222658794891</v>
      </c>
      <c r="N380" t="n">
        <v>0</v>
      </c>
      <c r="O380" t="n">
        <v>-12.83222658794891</v>
      </c>
      <c r="P380" t="n">
        <v>4.617407851598276</v>
      </c>
      <c r="Q380" t="n">
        <v>-16.67947504902799</v>
      </c>
      <c r="R380" t="n">
        <v>1.767</v>
      </c>
      <c r="S380" t="n">
        <v>2.439</v>
      </c>
      <c r="T380" t="n">
        <v>-0.6720000000000002</v>
      </c>
      <c r="U380" t="n">
        <v>594641000000</v>
      </c>
    </row>
    <row r="381">
      <c r="A381" t="inlineStr">
        <is>
          <t>Poland</t>
        </is>
      </c>
      <c r="B381" t="inlineStr">
        <is>
          <t>POL</t>
        </is>
      </c>
      <c r="C381" t="inlineStr">
        <is>
          <t>IPOL.L</t>
        </is>
      </c>
      <c r="D381" t="n">
        <v>2019</v>
      </c>
      <c r="E381" t="n">
        <v>-6.94100666991273</v>
      </c>
      <c r="F381" t="n">
        <v>4.581</v>
      </c>
      <c r="G381" t="n">
        <v>7.74553</v>
      </c>
      <c r="H381" t="n">
        <v>1.337109</v>
      </c>
      <c r="I381" t="n">
        <v>8.278115669912731</v>
      </c>
      <c r="J381" t="inlineStr">
        <is>
          <t>Poland|IPOL.L|2019</t>
        </is>
      </c>
      <c r="K381" t="inlineStr">
        <is>
          <t>Poland|2019</t>
        </is>
      </c>
      <c r="L381" t="inlineStr">
        <is>
          <t>USD</t>
        </is>
      </c>
      <c r="M381" t="n">
        <v>-6.94100666991273</v>
      </c>
      <c r="N381" t="n">
        <v>0</v>
      </c>
      <c r="O381" t="n">
        <v>-6.94100666991273</v>
      </c>
      <c r="P381" t="n">
        <v>-5.947737156331002</v>
      </c>
      <c r="Q381" t="n">
        <v>-1.056082526406321</v>
      </c>
      <c r="R381" t="n">
        <v>2.267</v>
      </c>
      <c r="S381" t="n">
        <v>1.813</v>
      </c>
      <c r="T381" t="n">
        <v>0.454</v>
      </c>
      <c r="U381" t="n">
        <v>602592000000</v>
      </c>
    </row>
    <row r="382">
      <c r="A382" t="inlineStr">
        <is>
          <t>Poland</t>
        </is>
      </c>
      <c r="B382" t="inlineStr">
        <is>
          <t>POL</t>
        </is>
      </c>
      <c r="C382" t="inlineStr">
        <is>
          <t>IPOL.L</t>
        </is>
      </c>
      <c r="D382" t="n">
        <v>2020</v>
      </c>
      <c r="E382" t="n">
        <v>-13.32834986178385</v>
      </c>
      <c r="F382" t="n">
        <v>-2.036</v>
      </c>
      <c r="G382" t="n">
        <v>2.116746</v>
      </c>
      <c r="H382" t="n">
        <v>0.55394</v>
      </c>
      <c r="I382" t="n">
        <v>13.88228986178385</v>
      </c>
      <c r="J382" t="inlineStr">
        <is>
          <t>Poland|IPOL.L|2020</t>
        </is>
      </c>
      <c r="K382" t="inlineStr">
        <is>
          <t>Poland|2020</t>
        </is>
      </c>
      <c r="L382" t="inlineStr">
        <is>
          <t>USD</t>
        </is>
      </c>
      <c r="M382" t="n">
        <v>-13.32834986178385</v>
      </c>
      <c r="N382" t="n">
        <v>0</v>
      </c>
      <c r="O382" t="n">
        <v>-13.32834986178385</v>
      </c>
      <c r="P382" t="n">
        <v>-1.53041079858377</v>
      </c>
      <c r="Q382" t="n">
        <v>-11.98130220597122</v>
      </c>
      <c r="R382" t="n">
        <v>3.434</v>
      </c>
      <c r="S382" t="n">
        <v>1.253</v>
      </c>
      <c r="T382" t="n">
        <v>2.181</v>
      </c>
      <c r="U382" t="n">
        <v>605930000000</v>
      </c>
    </row>
    <row r="383">
      <c r="A383" t="inlineStr">
        <is>
          <t>Poland</t>
        </is>
      </c>
      <c r="B383" t="inlineStr">
        <is>
          <t>POL</t>
        </is>
      </c>
      <c r="C383" t="inlineStr">
        <is>
          <t>IPOL.L</t>
        </is>
      </c>
      <c r="D383" t="n">
        <v>2021</v>
      </c>
      <c r="E383" t="n">
        <v>5.569779315299028</v>
      </c>
      <c r="F383" t="n">
        <v>6.927</v>
      </c>
      <c r="G383" t="n">
        <v>12.637347</v>
      </c>
      <c r="H383" t="n">
        <v>13.751258</v>
      </c>
      <c r="I383" t="n">
        <v>8.181478684700972</v>
      </c>
      <c r="J383" t="inlineStr">
        <is>
          <t>Poland|IPOL.L|2021</t>
        </is>
      </c>
      <c r="K383" t="inlineStr">
        <is>
          <t>Poland|2021</t>
        </is>
      </c>
      <c r="L383" t="inlineStr">
        <is>
          <t>USD</t>
        </is>
      </c>
      <c r="M383" t="n">
        <v>5.569779315299028</v>
      </c>
      <c r="N383" t="n">
        <v>0</v>
      </c>
      <c r="O383" t="n">
        <v>5.569779315299028</v>
      </c>
      <c r="P383" t="n">
        <v>0.9889364737227568</v>
      </c>
      <c r="Q383" t="n">
        <v>4.535984833119033</v>
      </c>
      <c r="R383" t="n">
        <v>5.129</v>
      </c>
      <c r="S383" t="n">
        <v>4.679</v>
      </c>
      <c r="T383" t="n">
        <v>0.4499999999999993</v>
      </c>
      <c r="U383" t="n">
        <v>689253000000</v>
      </c>
    </row>
    <row r="384">
      <c r="A384" t="inlineStr">
        <is>
          <t>Poland</t>
        </is>
      </c>
      <c r="B384" t="inlineStr">
        <is>
          <t>POL</t>
        </is>
      </c>
      <c r="C384" t="inlineStr">
        <is>
          <t>IPOL.L</t>
        </is>
      </c>
      <c r="D384" t="n">
        <v>2022</v>
      </c>
      <c r="E384" t="n">
        <v>-28.04459025763768</v>
      </c>
      <c r="F384" t="n">
        <v>5.255</v>
      </c>
      <c r="G384" t="n">
        <v>16.506821</v>
      </c>
      <c r="H384" t="n">
        <v>0.940293</v>
      </c>
      <c r="I384" t="n">
        <v>28.98488325763768</v>
      </c>
      <c r="J384" t="inlineStr">
        <is>
          <t>Poland|IPOL.L|2022</t>
        </is>
      </c>
      <c r="K384" t="inlineStr">
        <is>
          <t>Poland|2022</t>
        </is>
      </c>
      <c r="L384" t="inlineStr">
        <is>
          <t>USD</t>
        </is>
      </c>
      <c r="M384" t="n">
        <v>-28.04459025763768</v>
      </c>
      <c r="N384" t="n">
        <v>0</v>
      </c>
      <c r="O384" t="n">
        <v>-28.04459025763768</v>
      </c>
      <c r="P384" t="n">
        <v>-13.3610437046137</v>
      </c>
      <c r="Q384" t="n">
        <v>-16.94797257594147</v>
      </c>
      <c r="R384" t="n">
        <v>14.21</v>
      </c>
      <c r="S384" t="n">
        <v>7.993</v>
      </c>
      <c r="T384" t="n">
        <v>6.217000000000001</v>
      </c>
      <c r="U384" t="n">
        <v>695734000000</v>
      </c>
    </row>
    <row r="385">
      <c r="A385" t="inlineStr">
        <is>
          <t>Poland</t>
        </is>
      </c>
      <c r="B385" t="inlineStr">
        <is>
          <t>POL</t>
        </is>
      </c>
      <c r="C385" t="inlineStr">
        <is>
          <t>IPOL.L</t>
        </is>
      </c>
      <c r="D385" t="n">
        <v>2023</v>
      </c>
      <c r="E385" t="n">
        <v>48.43636363129584</v>
      </c>
      <c r="F385" t="n">
        <v>0.25</v>
      </c>
      <c r="G385" t="n">
        <v>10.139929</v>
      </c>
      <c r="H385" t="n">
        <v>16.849112</v>
      </c>
      <c r="I385" t="n">
        <v>-31.58725163129584</v>
      </c>
      <c r="J385" t="inlineStr">
        <is>
          <t>Poland|IPOL.L|2023</t>
        </is>
      </c>
      <c r="K385" t="inlineStr">
        <is>
          <t>Poland|2023</t>
        </is>
      </c>
      <c r="L385" t="inlineStr">
        <is>
          <t>USD</t>
        </is>
      </c>
      <c r="M385" t="n">
        <v>48.43636363129584</v>
      </c>
      <c r="N385" t="n">
        <v>0</v>
      </c>
      <c r="O385" t="n">
        <v>48.43636363129584</v>
      </c>
      <c r="P385" t="n">
        <v>6.091507900116233</v>
      </c>
      <c r="Q385" t="n">
        <v>39.91352047804499</v>
      </c>
      <c r="R385" t="n">
        <v>11.473</v>
      </c>
      <c r="S385" t="n">
        <v>4.128</v>
      </c>
      <c r="T385" t="n">
        <v>7.345000000000001</v>
      </c>
      <c r="U385" t="n">
        <v>812959000000</v>
      </c>
    </row>
    <row r="386">
      <c r="A386" t="inlineStr">
        <is>
          <t>Poland</t>
        </is>
      </c>
      <c r="B386" t="inlineStr">
        <is>
          <t>POL</t>
        </is>
      </c>
      <c r="C386" t="inlineStr">
        <is>
          <t>IPOL.L</t>
        </is>
      </c>
      <c r="D386" t="n">
        <v>2024</v>
      </c>
      <c r="E386" t="n">
        <v>-2.90150003330214</v>
      </c>
      <c r="F386" t="n">
        <v>2.923</v>
      </c>
      <c r="G386" t="n">
        <v>6.615399</v>
      </c>
      <c r="H386" t="n">
        <v>12.496817</v>
      </c>
      <c r="I386" t="n">
        <v>15.39831703330214</v>
      </c>
      <c r="J386" t="inlineStr">
        <is>
          <t>Poland|IPOL.L|2024</t>
        </is>
      </c>
      <c r="K386" t="inlineStr">
        <is>
          <t>Poland|2024</t>
        </is>
      </c>
      <c r="L386" t="inlineStr">
        <is>
          <t>USD</t>
        </is>
      </c>
      <c r="M386" t="n">
        <v>-2.90150003330214</v>
      </c>
      <c r="N386" t="n">
        <v>0</v>
      </c>
      <c r="O386" t="n">
        <v>-2.90150003330214</v>
      </c>
      <c r="P386" t="n">
        <v>5.516481015833197</v>
      </c>
      <c r="Q386" t="n">
        <v>-7.977882666379088</v>
      </c>
      <c r="R386" t="n">
        <v>3.723</v>
      </c>
      <c r="S386" t="n">
        <v>2.952</v>
      </c>
      <c r="T386" t="n">
        <v>0.7709999999999999</v>
      </c>
      <c r="U386" t="n">
        <v>914553000000</v>
      </c>
    </row>
    <row r="387">
      <c r="A387" t="inlineStr">
        <is>
          <t>Poland</t>
        </is>
      </c>
      <c r="B387" t="inlineStr">
        <is>
          <t>POL</t>
        </is>
      </c>
      <c r="C387" t="inlineStr">
        <is>
          <t>IPOL.L</t>
        </is>
      </c>
      <c r="D387" t="n">
        <v>2025</v>
      </c>
      <c r="E387" t="n">
        <v>74.00603656381143</v>
      </c>
      <c r="F387" t="n">
        <v>3.243</v>
      </c>
      <c r="G387" t="n">
        <v>6.963458</v>
      </c>
      <c r="H387" t="n">
        <v>13.675096</v>
      </c>
      <c r="I387" t="n">
        <v>-60.33094056381144</v>
      </c>
      <c r="J387" t="inlineStr">
        <is>
          <t>Poland|IPOL.L|2025</t>
        </is>
      </c>
      <c r="K387" t="inlineStr">
        <is>
          <t>Poland|2025</t>
        </is>
      </c>
      <c r="L387" t="inlineStr">
        <is>
          <t>USD</t>
        </is>
      </c>
      <c r="M387" t="n">
        <v>74.00603656381143</v>
      </c>
      <c r="N387" t="n">
        <v>0</v>
      </c>
      <c r="O387" t="n">
        <v>74.00603656381143</v>
      </c>
      <c r="P387" t="n">
        <v>6.274701424363371</v>
      </c>
      <c r="Q387" t="n">
        <v>63.73232220995986</v>
      </c>
      <c r="R387" t="n">
        <v>3.803</v>
      </c>
      <c r="S387" t="n">
        <v>2.715</v>
      </c>
      <c r="T387" t="n">
        <v>1.088</v>
      </c>
      <c r="U387" t="n">
        <v>1039619000000</v>
      </c>
    </row>
    <row r="388">
      <c r="A388" t="inlineStr">
        <is>
          <t>Poland</t>
        </is>
      </c>
      <c r="B388" t="inlineStr">
        <is>
          <t>POL</t>
        </is>
      </c>
      <c r="C388" t="inlineStr">
        <is>
          <t>IPOL.L</t>
        </is>
      </c>
      <c r="D388" t="n">
        <v>2026</v>
      </c>
      <c r="E388" t="n">
        <v>-0.7378984419078916</v>
      </c>
      <c r="F388" t="n">
        <v>3.136</v>
      </c>
      <c r="G388" t="n">
        <v>6.397182</v>
      </c>
      <c r="H388" t="n">
        <v>6.766229</v>
      </c>
      <c r="I388" t="n">
        <v>7.504127441907892</v>
      </c>
      <c r="J388" t="inlineStr">
        <is>
          <t>Poland|IPOL.L|2026</t>
        </is>
      </c>
      <c r="K388" t="inlineStr">
        <is>
          <t>Poland|2026</t>
        </is>
      </c>
      <c r="L388" t="inlineStr">
        <is>
          <t>USD</t>
        </is>
      </c>
      <c r="M388" t="n">
        <v>-0.7378984419078916</v>
      </c>
      <c r="N388" t="n">
        <v>0</v>
      </c>
      <c r="O388" t="n">
        <v>-0.7378984419078916</v>
      </c>
      <c r="P388" t="n">
        <v>0.3468579952283335</v>
      </c>
      <c r="Q388" t="n">
        <v>-1.0810068783497</v>
      </c>
      <c r="R388" t="n">
        <v>2.776</v>
      </c>
      <c r="S388" t="n">
        <v>2.435</v>
      </c>
      <c r="T388" t="n">
        <v>0.3409999999999997</v>
      </c>
      <c r="U388" t="n">
        <v>1109962000000</v>
      </c>
    </row>
    <row r="389">
      <c r="A389" t="inlineStr">
        <is>
          <t>Poland</t>
        </is>
      </c>
      <c r="B389" t="inlineStr">
        <is>
          <t>POL</t>
        </is>
      </c>
      <c r="C389" t="inlineStr">
        <is>
          <t>IPOL.L</t>
        </is>
      </c>
      <c r="D389" t="n">
        <v>2027</v>
      </c>
      <c r="E389" t="inlineStr"/>
      <c r="F389" t="n">
        <v>2.861</v>
      </c>
      <c r="G389" t="n">
        <v>5.679433</v>
      </c>
      <c r="H389" t="n">
        <v>5.793351</v>
      </c>
      <c r="I389" t="inlineStr"/>
      <c r="J389" t="inlineStr">
        <is>
          <t>Poland|IPOL.L|2027</t>
        </is>
      </c>
      <c r="K389" t="inlineStr">
        <is>
          <t>Poland|2027</t>
        </is>
      </c>
      <c r="L389" t="inlineStr">
        <is>
          <t>USD</t>
        </is>
      </c>
      <c r="M389" t="inlineStr"/>
      <c r="N389" t="inlineStr"/>
      <c r="O389" t="inlineStr"/>
      <c r="P389" t="n">
        <v>0.1077960293723423</v>
      </c>
      <c r="Q389" t="inlineStr"/>
      <c r="R389" t="n">
        <v>2.717</v>
      </c>
      <c r="S389" t="n">
        <v>2.185</v>
      </c>
      <c r="T389" t="n">
        <v>0.532</v>
      </c>
      <c r="U389" t="n">
        <v>1174266000000</v>
      </c>
    </row>
    <row r="390">
      <c r="A390" t="inlineStr">
        <is>
          <t>Poland</t>
        </is>
      </c>
      <c r="B390" t="inlineStr">
        <is>
          <t>POL</t>
        </is>
      </c>
      <c r="C390" t="inlineStr">
        <is>
          <t>IPOL.L</t>
        </is>
      </c>
      <c r="D390" t="n">
        <v>2028</v>
      </c>
      <c r="E390" t="inlineStr"/>
      <c r="F390" t="n">
        <v>2.802</v>
      </c>
      <c r="G390" t="n">
        <v>5.582508</v>
      </c>
      <c r="H390" t="n">
        <v>5.898323</v>
      </c>
      <c r="I390" t="inlineStr"/>
      <c r="J390" t="inlineStr">
        <is>
          <t>Poland|IPOL.L|2028</t>
        </is>
      </c>
      <c r="K390" t="inlineStr">
        <is>
          <t>Poland|2028</t>
        </is>
      </c>
      <c r="L390" t="inlineStr">
        <is>
          <t>USD</t>
        </is>
      </c>
      <c r="M390" t="inlineStr"/>
      <c r="N390" t="inlineStr"/>
      <c r="O390" t="inlineStr"/>
      <c r="P390" t="n">
        <v>0.2991163618569104</v>
      </c>
      <c r="Q390" t="inlineStr"/>
      <c r="R390" t="n">
        <v>2.6</v>
      </c>
      <c r="S390" t="n">
        <v>2.206</v>
      </c>
      <c r="T390" t="n">
        <v>0.3940000000000001</v>
      </c>
      <c r="U390" t="n">
        <v>1243528000000</v>
      </c>
    </row>
    <row r="391">
      <c r="A391" t="inlineStr">
        <is>
          <t>Poland</t>
        </is>
      </c>
      <c r="B391" t="inlineStr">
        <is>
          <t>POL</t>
        </is>
      </c>
      <c r="C391" t="inlineStr">
        <is>
          <t>IPOL.L</t>
        </is>
      </c>
      <c r="D391" t="n">
        <v>2029</v>
      </c>
      <c r="E391" t="inlineStr"/>
      <c r="F391" t="n">
        <v>2.666</v>
      </c>
      <c r="G391" t="n">
        <v>5.197545</v>
      </c>
      <c r="H391" t="n">
        <v>5.622793</v>
      </c>
      <c r="I391" t="inlineStr"/>
      <c r="J391" t="inlineStr">
        <is>
          <t>Poland|IPOL.L|2029</t>
        </is>
      </c>
      <c r="K391" t="inlineStr">
        <is>
          <t>Poland|2029</t>
        </is>
      </c>
      <c r="L391" t="inlineStr">
        <is>
          <t>USD</t>
        </is>
      </c>
      <c r="M391" t="inlineStr"/>
      <c r="N391" t="inlineStr"/>
      <c r="O391" t="inlineStr"/>
      <c r="P391" t="n">
        <v>0.4042375578623636</v>
      </c>
      <c r="Q391" t="inlineStr"/>
      <c r="R391" t="n">
        <v>2.5</v>
      </c>
      <c r="S391" t="n">
        <v>2.203</v>
      </c>
      <c r="T391" t="n">
        <v>0.2970000000000002</v>
      </c>
      <c r="U391" t="n">
        <v>1313449000000</v>
      </c>
    </row>
    <row r="392">
      <c r="A392" t="inlineStr">
        <is>
          <t>Poland</t>
        </is>
      </c>
      <c r="B392" t="inlineStr">
        <is>
          <t>POL</t>
        </is>
      </c>
      <c r="C392" t="inlineStr">
        <is>
          <t>SPOL.L</t>
        </is>
      </c>
      <c r="D392" t="n">
        <v>2004</v>
      </c>
      <c r="E392" t="inlineStr"/>
      <c r="F392" t="n">
        <v>5.091</v>
      </c>
      <c r="G392" t="inlineStr"/>
      <c r="H392" t="inlineStr"/>
      <c r="I392" t="inlineStr"/>
      <c r="J392" t="inlineStr">
        <is>
          <t>Poland|SPOL.L|2004</t>
        </is>
      </c>
      <c r="K392" t="inlineStr">
        <is>
          <t>Poland|2004</t>
        </is>
      </c>
      <c r="L392" t="inlineStr">
        <is>
          <t>GBp</t>
        </is>
      </c>
      <c r="M392" t="inlineStr"/>
      <c r="N392" t="inlineStr"/>
      <c r="O392" t="inlineStr"/>
      <c r="P392" t="inlineStr"/>
      <c r="Q392" t="inlineStr"/>
      <c r="R392" t="n">
        <v>3.538</v>
      </c>
      <c r="S392" t="n">
        <v>2.668</v>
      </c>
      <c r="T392" t="n">
        <v>0.8699999999999997</v>
      </c>
      <c r="U392" t="n">
        <v>256454000000</v>
      </c>
    </row>
    <row r="393">
      <c r="A393" t="inlineStr">
        <is>
          <t>Poland</t>
        </is>
      </c>
      <c r="B393" t="inlineStr">
        <is>
          <t>POL</t>
        </is>
      </c>
      <c r="C393" t="inlineStr">
        <is>
          <t>SPOL.L</t>
        </is>
      </c>
      <c r="D393" t="n">
        <v>2005</v>
      </c>
      <c r="E393" t="inlineStr"/>
      <c r="F393" t="n">
        <v>3.261</v>
      </c>
      <c r="G393" t="n">
        <v>5.969452</v>
      </c>
      <c r="H393" t="n">
        <v>19.771187</v>
      </c>
      <c r="I393" t="inlineStr"/>
      <c r="J393" t="inlineStr">
        <is>
          <t>Poland|SPOL.L|2005</t>
        </is>
      </c>
      <c r="K393" t="inlineStr">
        <is>
          <t>Poland|2005</t>
        </is>
      </c>
      <c r="L393" t="inlineStr">
        <is>
          <t>GBp</t>
        </is>
      </c>
      <c r="M393" t="inlineStr"/>
      <c r="N393" t="inlineStr"/>
      <c r="O393" t="inlineStr"/>
      <c r="P393" t="n">
        <v>13.02425838565335</v>
      </c>
      <c r="Q393" t="inlineStr"/>
      <c r="R393" t="n">
        <v>2.21</v>
      </c>
      <c r="S393" t="n">
        <v>3.366</v>
      </c>
      <c r="T393" t="n">
        <v>-1.156</v>
      </c>
      <c r="U393" t="n">
        <v>307158000000</v>
      </c>
    </row>
    <row r="394">
      <c r="A394" t="inlineStr">
        <is>
          <t>Poland</t>
        </is>
      </c>
      <c r="B394" t="inlineStr">
        <is>
          <t>POL</t>
        </is>
      </c>
      <c r="C394" t="inlineStr">
        <is>
          <t>SPOL.L</t>
        </is>
      </c>
      <c r="D394" t="n">
        <v>2006</v>
      </c>
      <c r="E394" t="inlineStr"/>
      <c r="F394" t="n">
        <v>6.202</v>
      </c>
      <c r="G394" t="n">
        <v>8.062274</v>
      </c>
      <c r="H394" t="n">
        <v>12.612401</v>
      </c>
      <c r="I394" t="inlineStr"/>
      <c r="J394" t="inlineStr">
        <is>
          <t>Poland|SPOL.L|2006</t>
        </is>
      </c>
      <c r="K394" t="inlineStr">
        <is>
          <t>Poland|2006</t>
        </is>
      </c>
      <c r="L394" t="inlineStr">
        <is>
          <t>GBp</t>
        </is>
      </c>
      <c r="M394" t="inlineStr"/>
      <c r="N394" t="inlineStr"/>
      <c r="O394" t="inlineStr"/>
      <c r="P394" t="n">
        <v>4.21065336780424</v>
      </c>
      <c r="Q394" t="inlineStr"/>
      <c r="R394" t="n">
        <v>1.197</v>
      </c>
      <c r="S394" t="n">
        <v>3.222</v>
      </c>
      <c r="T394" t="n">
        <v>-2.025</v>
      </c>
      <c r="U394" t="n">
        <v>345898000000</v>
      </c>
    </row>
    <row r="395">
      <c r="A395" t="inlineStr">
        <is>
          <t>Poland</t>
        </is>
      </c>
      <c r="B395" t="inlineStr">
        <is>
          <t>POL</t>
        </is>
      </c>
      <c r="C395" t="inlineStr">
        <is>
          <t>SPOL.L</t>
        </is>
      </c>
      <c r="D395" t="n">
        <v>2007</v>
      </c>
      <c r="E395" t="inlineStr"/>
      <c r="F395" t="n">
        <v>6.76</v>
      </c>
      <c r="G395" t="n">
        <v>10.812158</v>
      </c>
      <c r="H395" t="n">
        <v>24.23171</v>
      </c>
      <c r="I395" t="inlineStr"/>
      <c r="J395" t="inlineStr">
        <is>
          <t>Poland|SPOL.L|2007</t>
        </is>
      </c>
      <c r="K395" t="inlineStr">
        <is>
          <t>Poland|2007</t>
        </is>
      </c>
      <c r="L395" t="inlineStr">
        <is>
          <t>GBp</t>
        </is>
      </c>
      <c r="M395" t="inlineStr"/>
      <c r="N395" t="inlineStr"/>
      <c r="O395" t="inlineStr"/>
      <c r="P395" t="n">
        <v>12.11018020553651</v>
      </c>
      <c r="Q395" t="inlineStr"/>
      <c r="R395" t="n">
        <v>2.472</v>
      </c>
      <c r="S395" t="n">
        <v>2.871</v>
      </c>
      <c r="T395" t="n">
        <v>-0.399</v>
      </c>
      <c r="U395" t="n">
        <v>429715000000</v>
      </c>
    </row>
    <row r="396">
      <c r="A396" t="inlineStr">
        <is>
          <t>Poland</t>
        </is>
      </c>
      <c r="B396" t="inlineStr">
        <is>
          <t>POL</t>
        </is>
      </c>
      <c r="C396" t="inlineStr">
        <is>
          <t>SPOL.L</t>
        </is>
      </c>
      <c r="D396" t="n">
        <v>2008</v>
      </c>
      <c r="E396" t="inlineStr"/>
      <c r="F396" t="n">
        <v>4.384</v>
      </c>
      <c r="G396" t="n">
        <v>8.490537</v>
      </c>
      <c r="H396" t="n">
        <v>24.643543</v>
      </c>
      <c r="I396" t="inlineStr"/>
      <c r="J396" t="inlineStr">
        <is>
          <t>Poland|SPOL.L|2008</t>
        </is>
      </c>
      <c r="K396" t="inlineStr">
        <is>
          <t>Poland|2008</t>
        </is>
      </c>
      <c r="L396" t="inlineStr">
        <is>
          <t>GBp</t>
        </is>
      </c>
      <c r="M396" t="inlineStr"/>
      <c r="N396" t="n">
        <v>-26.2666463318202</v>
      </c>
      <c r="O396" t="inlineStr"/>
      <c r="P396" t="n">
        <v>14.88886100435267</v>
      </c>
      <c r="Q396" t="inlineStr"/>
      <c r="R396" t="n">
        <v>4.342</v>
      </c>
      <c r="S396" t="n">
        <v>3.815</v>
      </c>
      <c r="T396" t="n">
        <v>0.5269999999999997</v>
      </c>
      <c r="U396" t="n">
        <v>535612000000</v>
      </c>
    </row>
    <row r="397">
      <c r="A397" t="inlineStr">
        <is>
          <t>Poland</t>
        </is>
      </c>
      <c r="B397" t="inlineStr">
        <is>
          <t>POL</t>
        </is>
      </c>
      <c r="C397" t="inlineStr">
        <is>
          <t>SPOL.L</t>
        </is>
      </c>
      <c r="D397" t="n">
        <v>2009</v>
      </c>
      <c r="E397" t="inlineStr"/>
      <c r="F397" t="n">
        <v>2.615</v>
      </c>
      <c r="G397" t="n">
        <v>6.604444</v>
      </c>
      <c r="H397" t="n">
        <v>-17.672868</v>
      </c>
      <c r="I397" t="inlineStr"/>
      <c r="J397" t="inlineStr">
        <is>
          <t>Poland|SPOL.L|2009</t>
        </is>
      </c>
      <c r="K397" t="inlineStr">
        <is>
          <t>Poland|2009</t>
        </is>
      </c>
      <c r="L397" t="inlineStr">
        <is>
          <t>GBp</t>
        </is>
      </c>
      <c r="M397" t="inlineStr"/>
      <c r="N397" t="n">
        <v>9.775566130910907</v>
      </c>
      <c r="O397" t="inlineStr"/>
      <c r="P397" t="n">
        <v>-22.77326417994352</v>
      </c>
      <c r="Q397" t="inlineStr"/>
      <c r="R397" t="n">
        <v>3.785</v>
      </c>
      <c r="S397" t="n">
        <v>-0.32</v>
      </c>
      <c r="T397" t="n">
        <v>4.105</v>
      </c>
      <c r="U397" t="n">
        <v>440954000000</v>
      </c>
    </row>
    <row r="398">
      <c r="A398" t="inlineStr">
        <is>
          <t>Poland</t>
        </is>
      </c>
      <c r="B398" t="inlineStr">
        <is>
          <t>POL</t>
        </is>
      </c>
      <c r="C398" t="inlineStr">
        <is>
          <t>SPOL.L</t>
        </is>
      </c>
      <c r="D398" t="n">
        <v>2010</v>
      </c>
      <c r="E398" t="inlineStr"/>
      <c r="F398" t="n">
        <v>3.169</v>
      </c>
      <c r="G398" t="n">
        <v>4.798189</v>
      </c>
      <c r="H398" t="n">
        <v>8.426503</v>
      </c>
      <c r="I398" t="inlineStr"/>
      <c r="J398" t="inlineStr">
        <is>
          <t>Poland|SPOL.L|2010</t>
        </is>
      </c>
      <c r="K398" t="inlineStr">
        <is>
          <t>Poland|2010</t>
        </is>
      </c>
      <c r="L398" t="inlineStr">
        <is>
          <t>GBp</t>
        </is>
      </c>
      <c r="M398" t="inlineStr"/>
      <c r="N398" t="n">
        <v>-4.313135137595536</v>
      </c>
      <c r="O398" t="inlineStr"/>
      <c r="P398" t="n">
        <v>3.462191001244275</v>
      </c>
      <c r="Q398" t="inlineStr"/>
      <c r="R398" t="n">
        <v>2.59</v>
      </c>
      <c r="S398" t="n">
        <v>1.637</v>
      </c>
      <c r="T398" t="n">
        <v>0.9529999999999998</v>
      </c>
      <c r="U398" t="n">
        <v>478111000000</v>
      </c>
    </row>
    <row r="399">
      <c r="A399" t="inlineStr">
        <is>
          <t>Poland</t>
        </is>
      </c>
      <c r="B399" t="inlineStr">
        <is>
          <t>POL</t>
        </is>
      </c>
      <c r="C399" t="inlineStr">
        <is>
          <t>SPOL.L</t>
        </is>
      </c>
      <c r="D399" t="n">
        <v>2011</v>
      </c>
      <c r="E399" t="n">
        <v>-56.07045038507488</v>
      </c>
      <c r="F399" t="n">
        <v>5.255</v>
      </c>
      <c r="G399" t="n">
        <v>8.482295000000001</v>
      </c>
      <c r="H399" t="n">
        <v>10.402814</v>
      </c>
      <c r="I399" t="n">
        <v>66.91480587495033</v>
      </c>
      <c r="J399" t="inlineStr">
        <is>
          <t>Poland|SPOL.L|2011</t>
        </is>
      </c>
      <c r="K399" t="inlineStr">
        <is>
          <t>Poland|2011</t>
        </is>
      </c>
      <c r="L399" t="inlineStr">
        <is>
          <t>GBp</t>
        </is>
      </c>
      <c r="M399" t="n">
        <v>-56.07045038507488</v>
      </c>
      <c r="N399" t="n">
        <v>-1.005112717398426</v>
      </c>
      <c r="O399" t="n">
        <v>-56.51199187495034</v>
      </c>
      <c r="P399" t="n">
        <v>1.770353239125777</v>
      </c>
      <c r="Q399" t="n">
        <v>-57.26849053685841</v>
      </c>
      <c r="R399" t="n">
        <v>4.226</v>
      </c>
      <c r="S399" t="n">
        <v>3.14</v>
      </c>
      <c r="T399" t="n">
        <v>1.086</v>
      </c>
      <c r="U399" t="n">
        <v>527848000000</v>
      </c>
    </row>
    <row r="400">
      <c r="A400" t="inlineStr">
        <is>
          <t>Poland</t>
        </is>
      </c>
      <c r="B400" t="inlineStr">
        <is>
          <t>POL</t>
        </is>
      </c>
      <c r="C400" t="inlineStr">
        <is>
          <t>SPOL.L</t>
        </is>
      </c>
      <c r="D400" t="n">
        <v>2012</v>
      </c>
      <c r="E400" t="n">
        <v>31.4260169870362</v>
      </c>
      <c r="F400" t="n">
        <v>1.512</v>
      </c>
      <c r="G400" t="n">
        <v>3.728224</v>
      </c>
      <c r="H400" t="n">
        <v>-5.62643</v>
      </c>
      <c r="I400" t="n">
        <v>-42.56693592795441</v>
      </c>
      <c r="J400" t="inlineStr">
        <is>
          <t>Poland|SPOL.L|2012</t>
        </is>
      </c>
      <c r="K400" t="inlineStr">
        <is>
          <t>Poland|2012</t>
        </is>
      </c>
      <c r="L400" t="inlineStr">
        <is>
          <t>GBp</t>
        </is>
      </c>
      <c r="M400" t="n">
        <v>31.4260169870362</v>
      </c>
      <c r="N400" t="n">
        <v>4.195888354025179</v>
      </c>
      <c r="O400" t="n">
        <v>36.94050592795441</v>
      </c>
      <c r="P400" t="n">
        <v>-9.018427169029808</v>
      </c>
      <c r="Q400" t="n">
        <v>50.51455109747209</v>
      </c>
      <c r="R400" t="n">
        <v>3.727</v>
      </c>
      <c r="S400" t="n">
        <v>2.073</v>
      </c>
      <c r="T400" t="n">
        <v>1.654</v>
      </c>
      <c r="U400" t="n">
        <v>498149000000</v>
      </c>
    </row>
    <row r="401">
      <c r="A401" t="inlineStr">
        <is>
          <t>Poland</t>
        </is>
      </c>
      <c r="B401" t="inlineStr">
        <is>
          <t>POL</t>
        </is>
      </c>
      <c r="C401" t="inlineStr">
        <is>
          <t>SPOL.L</t>
        </is>
      </c>
      <c r="D401" t="n">
        <v>2013</v>
      </c>
      <c r="E401" t="n">
        <v>-0.2352150537634379</v>
      </c>
      <c r="F401" t="n">
        <v>0.6840000000000001</v>
      </c>
      <c r="G401" t="n">
        <v>0.957071</v>
      </c>
      <c r="H401" t="n">
        <v>4.021086</v>
      </c>
      <c r="I401" t="n">
        <v>2.666622502801568</v>
      </c>
      <c r="J401" t="inlineStr">
        <is>
          <t>Poland|SPOL.L|2013</t>
        </is>
      </c>
      <c r="K401" t="inlineStr">
        <is>
          <t>Poland|2013</t>
        </is>
      </c>
      <c r="L401" t="inlineStr">
        <is>
          <t>GBp</t>
        </is>
      </c>
      <c r="M401" t="n">
        <v>-0.2352150537634379</v>
      </c>
      <c r="N401" t="n">
        <v>1.593426530031161</v>
      </c>
      <c r="O401" t="n">
        <v>1.354463497198433</v>
      </c>
      <c r="P401" t="n">
        <v>3.034968745948086</v>
      </c>
      <c r="Q401" t="n">
        <v>-1.631004763919763</v>
      </c>
      <c r="R401" t="n">
        <v>1.117</v>
      </c>
      <c r="S401" t="n">
        <v>1.466</v>
      </c>
      <c r="T401" t="n">
        <v>-0.349</v>
      </c>
      <c r="U401" t="n">
        <v>518180000000</v>
      </c>
    </row>
    <row r="402">
      <c r="A402" t="inlineStr">
        <is>
          <t>Poland</t>
        </is>
      </c>
      <c r="B402" t="inlineStr">
        <is>
          <t>POL</t>
        </is>
      </c>
      <c r="C402" t="inlineStr">
        <is>
          <t>SPOL.L</t>
        </is>
      </c>
      <c r="D402" t="n">
        <v>2014</v>
      </c>
      <c r="E402" t="n">
        <v>-8.831475852752446</v>
      </c>
      <c r="F402" t="n">
        <v>3.92</v>
      </c>
      <c r="G402" t="n">
        <v>4.421689</v>
      </c>
      <c r="H402" t="n">
        <v>4.648192</v>
      </c>
      <c r="I402" t="n">
        <v>18.95574418899731</v>
      </c>
      <c r="J402" t="inlineStr">
        <is>
          <t>Poland|SPOL.L|2014</t>
        </is>
      </c>
      <c r="K402" t="inlineStr">
        <is>
          <t>Poland|2014</t>
        </is>
      </c>
      <c r="L402" t="inlineStr">
        <is>
          <t>GBp</t>
        </is>
      </c>
      <c r="M402" t="n">
        <v>-8.831475852752446</v>
      </c>
      <c r="N402" t="n">
        <v>-6.006542704804973</v>
      </c>
      <c r="O402" t="n">
        <v>-14.30755218899731</v>
      </c>
      <c r="P402" t="n">
        <v>0.2169120316258155</v>
      </c>
      <c r="Q402" t="n">
        <v>-14.49302710109406</v>
      </c>
      <c r="R402" t="n">
        <v>0.105</v>
      </c>
      <c r="S402" t="n">
        <v>1.615</v>
      </c>
      <c r="T402" t="n">
        <v>-1.51</v>
      </c>
      <c r="U402" t="n">
        <v>542266000000</v>
      </c>
    </row>
    <row r="403">
      <c r="A403" t="inlineStr">
        <is>
          <t>Poland</t>
        </is>
      </c>
      <c r="B403" t="inlineStr">
        <is>
          <t>POL</t>
        </is>
      </c>
      <c r="C403" t="inlineStr">
        <is>
          <t>SPOL.L</t>
        </is>
      </c>
      <c r="D403" t="n">
        <v>2015</v>
      </c>
      <c r="E403" t="n">
        <v>-21.83268410313485</v>
      </c>
      <c r="F403" t="n">
        <v>4.432</v>
      </c>
      <c r="G403" t="n">
        <v>5.811009</v>
      </c>
      <c r="H403" t="n">
        <v>-11.532532</v>
      </c>
      <c r="I403" t="n">
        <v>14.1216395153253</v>
      </c>
      <c r="J403" t="inlineStr">
        <is>
          <t>Poland|SPOL.L|2015</t>
        </is>
      </c>
      <c r="K403" t="inlineStr">
        <is>
          <t>Poland|2015</t>
        </is>
      </c>
      <c r="L403" t="inlineStr">
        <is>
          <t>GBp</t>
        </is>
      </c>
      <c r="M403" t="n">
        <v>-21.83268410313485</v>
      </c>
      <c r="N403" t="n">
        <v>-4.888855870697362</v>
      </c>
      <c r="O403" t="n">
        <v>-25.6541715153253</v>
      </c>
      <c r="P403" t="n">
        <v>-16.39105510844966</v>
      </c>
      <c r="Q403" t="n">
        <v>-11.07909736080378</v>
      </c>
      <c r="R403" t="n">
        <v>-0.924</v>
      </c>
      <c r="S403" t="n">
        <v>0.121</v>
      </c>
      <c r="T403" t="n">
        <v>-1.045</v>
      </c>
      <c r="U403" t="n">
        <v>479729000000</v>
      </c>
    </row>
    <row r="404">
      <c r="A404" t="inlineStr">
        <is>
          <t>Poland</t>
        </is>
      </c>
      <c r="B404" t="inlineStr">
        <is>
          <t>POL</t>
        </is>
      </c>
      <c r="C404" t="inlineStr">
        <is>
          <t>SPOL.L</t>
        </is>
      </c>
      <c r="D404" t="n">
        <v>2016</v>
      </c>
      <c r="E404" t="n">
        <v>23.83863080684596</v>
      </c>
      <c r="F404" t="n">
        <v>3.031</v>
      </c>
      <c r="G404" t="n">
        <v>3.116552</v>
      </c>
      <c r="H404" t="n">
        <v>-1.427056</v>
      </c>
      <c r="I404" t="n">
        <v>-4.676636901995497</v>
      </c>
      <c r="J404" t="inlineStr">
        <is>
          <t>Poland|SPOL.L|2016</t>
        </is>
      </c>
      <c r="K404" t="inlineStr">
        <is>
          <t>Poland|2016</t>
        </is>
      </c>
      <c r="L404" t="inlineStr">
        <is>
          <t>GBp</t>
        </is>
      </c>
      <c r="M404" t="n">
        <v>23.83863080684596</v>
      </c>
      <c r="N404" t="n">
        <v>-16.62570861023462</v>
      </c>
      <c r="O404" t="n">
        <v>3.249580901995497</v>
      </c>
      <c r="P404" t="n">
        <v>-4.406283417642287</v>
      </c>
      <c r="Q404" t="n">
        <v>8.008752660057894</v>
      </c>
      <c r="R404" t="n">
        <v>-0.677</v>
      </c>
      <c r="S404" t="n">
        <v>1.267</v>
      </c>
      <c r="T404" t="n">
        <v>-1.944</v>
      </c>
      <c r="U404" t="n">
        <v>472883000000</v>
      </c>
    </row>
    <row r="405">
      <c r="A405" t="inlineStr">
        <is>
          <t>Poland</t>
        </is>
      </c>
      <c r="B405" t="inlineStr">
        <is>
          <t>POL</t>
        </is>
      </c>
      <c r="C405" t="inlineStr">
        <is>
          <t>SPOL.L</t>
        </is>
      </c>
      <c r="D405" t="n">
        <v>2017</v>
      </c>
      <c r="E405" t="n">
        <v>38.72854914196569</v>
      </c>
      <c r="F405" t="n">
        <v>5.152</v>
      </c>
      <c r="G405" t="n">
        <v>7.01387</v>
      </c>
      <c r="H405" t="n">
        <v>11.760626</v>
      </c>
      <c r="I405" t="n">
        <v>-39.23345253767062</v>
      </c>
      <c r="J405" t="inlineStr">
        <is>
          <t>Poland|SPOL.L|2017</t>
        </is>
      </c>
      <c r="K405" t="inlineStr">
        <is>
          <t>Poland|2017</t>
        </is>
      </c>
      <c r="L405" t="inlineStr">
        <is>
          <t>GBp</t>
        </is>
      </c>
      <c r="M405" t="n">
        <v>38.72854914196569</v>
      </c>
      <c r="N405" t="n">
        <v>8.841388071573641</v>
      </c>
      <c r="O405" t="n">
        <v>50.99407853767062</v>
      </c>
      <c r="P405" t="n">
        <v>4.435645830500357</v>
      </c>
      <c r="Q405" t="n">
        <v>44.58097839767743</v>
      </c>
      <c r="R405" t="n">
        <v>1.969</v>
      </c>
      <c r="S405" t="n">
        <v>2.131</v>
      </c>
      <c r="T405" t="n">
        <v>-0.1619999999999997</v>
      </c>
      <c r="U405" t="n">
        <v>528497000000</v>
      </c>
    </row>
    <row r="406">
      <c r="A406" t="inlineStr">
        <is>
          <t>Poland</t>
        </is>
      </c>
      <c r="B406" t="inlineStr">
        <is>
          <t>POL</t>
        </is>
      </c>
      <c r="C406" t="inlineStr">
        <is>
          <t>SPOL.L</t>
        </is>
      </c>
      <c r="D406" t="n">
        <v>2018</v>
      </c>
      <c r="E406" t="n">
        <v>-7.426416568687122</v>
      </c>
      <c r="F406" t="n">
        <v>6.246</v>
      </c>
      <c r="G406" t="n">
        <v>7.549493</v>
      </c>
      <c r="H406" t="n">
        <v>12.515492</v>
      </c>
      <c r="I406" t="n">
        <v>25.5752927521335</v>
      </c>
      <c r="J406" t="inlineStr">
        <is>
          <t>Poland|SPOL.L|2018</t>
        </is>
      </c>
      <c r="K406" t="inlineStr">
        <is>
          <t>Poland|2018</t>
        </is>
      </c>
      <c r="L406" t="inlineStr">
        <is>
          <t>GBp</t>
        </is>
      </c>
      <c r="M406" t="n">
        <v>-7.426416568687122</v>
      </c>
      <c r="N406" t="n">
        <v>-6.085304224640065</v>
      </c>
      <c r="O406" t="n">
        <v>-13.0598007521335</v>
      </c>
      <c r="P406" t="n">
        <v>4.617407851598276</v>
      </c>
      <c r="Q406" t="n">
        <v>-16.89700496958137</v>
      </c>
      <c r="R406" t="n">
        <v>1.767</v>
      </c>
      <c r="S406" t="n">
        <v>2.439</v>
      </c>
      <c r="T406" t="n">
        <v>-0.6720000000000002</v>
      </c>
      <c r="U406" t="n">
        <v>594641000000</v>
      </c>
    </row>
    <row r="407">
      <c r="A407" t="inlineStr">
        <is>
          <t>Poland</t>
        </is>
      </c>
      <c r="B407" t="inlineStr">
        <is>
          <t>POL</t>
        </is>
      </c>
      <c r="C407" t="inlineStr">
        <is>
          <t>SPOL.L</t>
        </is>
      </c>
      <c r="D407" t="n">
        <v>2019</v>
      </c>
      <c r="E407" t="n">
        <v>-11.19362207638414</v>
      </c>
      <c r="F407" t="n">
        <v>4.581</v>
      </c>
      <c r="G407" t="n">
        <v>7.74553</v>
      </c>
      <c r="H407" t="n">
        <v>1.337109</v>
      </c>
      <c r="I407" t="n">
        <v>9.916391825979284</v>
      </c>
      <c r="J407" t="inlineStr">
        <is>
          <t>Poland|SPOL.L|2019</t>
        </is>
      </c>
      <c r="K407" t="inlineStr">
        <is>
          <t>Poland|2019</t>
        </is>
      </c>
      <c r="L407" t="inlineStr">
        <is>
          <t>GBp</t>
        </is>
      </c>
      <c r="M407" t="n">
        <v>-11.19362207638414</v>
      </c>
      <c r="N407" t="n">
        <v>2.94386429390634</v>
      </c>
      <c r="O407" t="n">
        <v>-8.579282825979284</v>
      </c>
      <c r="P407" t="n">
        <v>-5.947737156331002</v>
      </c>
      <c r="Q407" t="n">
        <v>-2.797961037920338</v>
      </c>
      <c r="R407" t="n">
        <v>2.267</v>
      </c>
      <c r="S407" t="n">
        <v>1.813</v>
      </c>
      <c r="T407" t="n">
        <v>0.454</v>
      </c>
      <c r="U407" t="n">
        <v>602592000000</v>
      </c>
    </row>
    <row r="408">
      <c r="A408" t="inlineStr">
        <is>
          <t>Poland</t>
        </is>
      </c>
      <c r="B408" t="inlineStr">
        <is>
          <t>POL</t>
        </is>
      </c>
      <c r="C408" t="inlineStr">
        <is>
          <t>SPOL.L</t>
        </is>
      </c>
      <c r="D408" t="n">
        <v>2020</v>
      </c>
      <c r="E408" t="n">
        <v>-16.46533185382913</v>
      </c>
      <c r="F408" t="n">
        <v>-2.036</v>
      </c>
      <c r="G408" t="n">
        <v>2.116746</v>
      </c>
      <c r="H408" t="n">
        <v>0.55394</v>
      </c>
      <c r="I408" t="n">
        <v>14.70101911146956</v>
      </c>
      <c r="J408" t="inlineStr">
        <is>
          <t>Poland|SPOL.L|2020</t>
        </is>
      </c>
      <c r="K408" t="inlineStr">
        <is>
          <t>Poland|2020</t>
        </is>
      </c>
      <c r="L408" t="inlineStr">
        <is>
          <t>GBp</t>
        </is>
      </c>
      <c r="M408" t="n">
        <v>-16.46533185382913</v>
      </c>
      <c r="N408" t="n">
        <v>2.775198362317122</v>
      </c>
      <c r="O408" t="n">
        <v>-14.14707911146956</v>
      </c>
      <c r="P408" t="n">
        <v>-1.53041079858377</v>
      </c>
      <c r="Q408" t="n">
        <v>-12.81275611608253</v>
      </c>
      <c r="R408" t="n">
        <v>3.434</v>
      </c>
      <c r="S408" t="n">
        <v>1.253</v>
      </c>
      <c r="T408" t="n">
        <v>2.181</v>
      </c>
      <c r="U408" t="n">
        <v>605930000000</v>
      </c>
    </row>
    <row r="409">
      <c r="A409" t="inlineStr">
        <is>
          <t>Poland</t>
        </is>
      </c>
      <c r="B409" t="inlineStr">
        <is>
          <t>POL</t>
        </is>
      </c>
      <c r="C409" t="inlineStr">
        <is>
          <t>SPOL.L</t>
        </is>
      </c>
      <c r="D409" t="n">
        <v>2021</v>
      </c>
      <c r="E409" t="n">
        <v>6.55738107253101</v>
      </c>
      <c r="F409" t="n">
        <v>6.927</v>
      </c>
      <c r="G409" t="n">
        <v>12.637347</v>
      </c>
      <c r="H409" t="n">
        <v>13.751258</v>
      </c>
      <c r="I409" t="n">
        <v>8.554849658595598</v>
      </c>
      <c r="J409" t="inlineStr">
        <is>
          <t>Poland|SPOL.L|2021</t>
        </is>
      </c>
      <c r="K409" t="inlineStr">
        <is>
          <t>Poland|2021</t>
        </is>
      </c>
      <c r="L409" t="inlineStr">
        <is>
          <t>GBp</t>
        </is>
      </c>
      <c r="M409" t="n">
        <v>6.55738107253101</v>
      </c>
      <c r="N409" t="n">
        <v>-1.277220514832489</v>
      </c>
      <c r="O409" t="n">
        <v>5.196408341404402</v>
      </c>
      <c r="P409" t="n">
        <v>0.9889364737227568</v>
      </c>
      <c r="Q409" t="n">
        <v>4.166270103038894</v>
      </c>
      <c r="R409" t="n">
        <v>5.129</v>
      </c>
      <c r="S409" t="n">
        <v>4.679</v>
      </c>
      <c r="T409" t="n">
        <v>0.4499999999999993</v>
      </c>
      <c r="U409" t="n">
        <v>689253000000</v>
      </c>
    </row>
    <row r="410">
      <c r="A410" t="inlineStr">
        <is>
          <t>Poland</t>
        </is>
      </c>
      <c r="B410" t="inlineStr">
        <is>
          <t>POL</t>
        </is>
      </c>
      <c r="C410" t="inlineStr">
        <is>
          <t>SPOL.L</t>
        </is>
      </c>
      <c r="D410" t="n">
        <v>2022</v>
      </c>
      <c r="E410" t="n">
        <v>-19.146042091298</v>
      </c>
      <c r="F410" t="n">
        <v>5.255</v>
      </c>
      <c r="G410" t="n">
        <v>16.506821</v>
      </c>
      <c r="H410" t="n">
        <v>0.940293</v>
      </c>
      <c r="I410" t="n">
        <v>28.85175065458927</v>
      </c>
      <c r="J410" t="inlineStr">
        <is>
          <t>Poland|SPOL.L|2022</t>
        </is>
      </c>
      <c r="K410" t="inlineStr">
        <is>
          <t>Poland|2022</t>
        </is>
      </c>
      <c r="L410" t="inlineStr">
        <is>
          <t>GBp</t>
        </is>
      </c>
      <c r="M410" t="n">
        <v>-19.146042091298</v>
      </c>
      <c r="N410" t="n">
        <v>-10.84104698150823</v>
      </c>
      <c r="O410" t="n">
        <v>-27.91145765458927</v>
      </c>
      <c r="P410" t="n">
        <v>-13.3610437046137</v>
      </c>
      <c r="Q410" t="n">
        <v>-16.79430890229966</v>
      </c>
      <c r="R410" t="n">
        <v>14.21</v>
      </c>
      <c r="S410" t="n">
        <v>7.993</v>
      </c>
      <c r="T410" t="n">
        <v>6.217000000000001</v>
      </c>
      <c r="U410" t="n">
        <v>695734000000</v>
      </c>
    </row>
    <row r="411">
      <c r="A411" t="inlineStr">
        <is>
          <t>Poland</t>
        </is>
      </c>
      <c r="B411" t="inlineStr">
        <is>
          <t>POL</t>
        </is>
      </c>
      <c r="C411" t="inlineStr">
        <is>
          <t>SPOL.L</t>
        </is>
      </c>
      <c r="D411" t="n">
        <v>2023</v>
      </c>
      <c r="E411" t="n">
        <v>40.03501307781727</v>
      </c>
      <c r="F411" t="n">
        <v>0.25</v>
      </c>
      <c r="G411" t="n">
        <v>10.139929</v>
      </c>
      <c r="H411" t="n">
        <v>16.849112</v>
      </c>
      <c r="I411" t="n">
        <v>-30.27591676069913</v>
      </c>
      <c r="J411" t="inlineStr">
        <is>
          <t>Poland|SPOL.L|2023</t>
        </is>
      </c>
      <c r="K411" t="inlineStr">
        <is>
          <t>Poland|2023</t>
        </is>
      </c>
      <c r="L411" t="inlineStr">
        <is>
          <t>GBp</t>
        </is>
      </c>
      <c r="M411" t="n">
        <v>40.03501307781727</v>
      </c>
      <c r="N411" t="n">
        <v>5.06303068571996</v>
      </c>
      <c r="O411" t="n">
        <v>47.12502876069913</v>
      </c>
      <c r="P411" t="n">
        <v>6.091507900116233</v>
      </c>
      <c r="Q411" t="n">
        <v>38.67747916187167</v>
      </c>
      <c r="R411" t="n">
        <v>11.473</v>
      </c>
      <c r="S411" t="n">
        <v>4.128</v>
      </c>
      <c r="T411" t="n">
        <v>7.345000000000001</v>
      </c>
      <c r="U411" t="n">
        <v>812959000000</v>
      </c>
    </row>
    <row r="412">
      <c r="A412" t="inlineStr">
        <is>
          <t>Poland</t>
        </is>
      </c>
      <c r="B412" t="inlineStr">
        <is>
          <t>POL</t>
        </is>
      </c>
      <c r="C412" t="inlineStr">
        <is>
          <t>SPOL.L</t>
        </is>
      </c>
      <c r="D412" t="n">
        <v>2024</v>
      </c>
      <c r="E412" t="n">
        <v>-2.256652631798706</v>
      </c>
      <c r="F412" t="n">
        <v>2.923</v>
      </c>
      <c r="G412" t="n">
        <v>6.615399</v>
      </c>
      <c r="H412" t="n">
        <v>12.496817</v>
      </c>
      <c r="I412" t="n">
        <v>16.14245491372257</v>
      </c>
      <c r="J412" t="inlineStr">
        <is>
          <t>Poland|SPOL.L|2024</t>
        </is>
      </c>
      <c r="K412" t="inlineStr">
        <is>
          <t>Poland|2024</t>
        </is>
      </c>
      <c r="L412" t="inlineStr">
        <is>
          <t>GBp</t>
        </is>
      </c>
      <c r="M412" t="n">
        <v>-2.256652631798706</v>
      </c>
      <c r="N412" t="n">
        <v>-1.421053523664917</v>
      </c>
      <c r="O412" t="n">
        <v>-3.645637913722566</v>
      </c>
      <c r="P412" t="n">
        <v>5.516481015833197</v>
      </c>
      <c r="Q412" t="n">
        <v>-8.683116458537832</v>
      </c>
      <c r="R412" t="n">
        <v>3.723</v>
      </c>
      <c r="S412" t="n">
        <v>2.952</v>
      </c>
      <c r="T412" t="n">
        <v>0.7709999999999999</v>
      </c>
      <c r="U412" t="n">
        <v>914553000000</v>
      </c>
    </row>
    <row r="413">
      <c r="A413" t="inlineStr">
        <is>
          <t>Poland</t>
        </is>
      </c>
      <c r="B413" t="inlineStr">
        <is>
          <t>POL</t>
        </is>
      </c>
      <c r="C413" t="inlineStr">
        <is>
          <t>SPOL.L</t>
        </is>
      </c>
      <c r="D413" t="n">
        <v>2025</v>
      </c>
      <c r="E413" t="n">
        <v>60.01501619451324</v>
      </c>
      <c r="F413" t="n">
        <v>3.243</v>
      </c>
      <c r="G413" t="n">
        <v>6.963458</v>
      </c>
      <c r="H413" t="n">
        <v>13.675096</v>
      </c>
      <c r="I413" t="n">
        <v>-58.45614449861613</v>
      </c>
      <c r="J413" t="inlineStr">
        <is>
          <t>Poland|SPOL.L|2025</t>
        </is>
      </c>
      <c r="K413" t="inlineStr">
        <is>
          <t>Poland|2025</t>
        </is>
      </c>
      <c r="L413" t="inlineStr">
        <is>
          <t>GBp</t>
        </is>
      </c>
      <c r="M413" t="n">
        <v>60.01501619451324</v>
      </c>
      <c r="N413" t="n">
        <v>7.571929555270285</v>
      </c>
      <c r="O413" t="n">
        <v>72.13124049861612</v>
      </c>
      <c r="P413" t="n">
        <v>6.274701424363371</v>
      </c>
      <c r="Q413" t="n">
        <v>61.96821839214803</v>
      </c>
      <c r="R413" t="n">
        <v>3.803</v>
      </c>
      <c r="S413" t="n">
        <v>2.715</v>
      </c>
      <c r="T413" t="n">
        <v>1.088</v>
      </c>
      <c r="U413" t="n">
        <v>1039619000000</v>
      </c>
    </row>
    <row r="414">
      <c r="A414" t="inlineStr">
        <is>
          <t>Poland</t>
        </is>
      </c>
      <c r="B414" t="inlineStr">
        <is>
          <t>POL</t>
        </is>
      </c>
      <c r="C414" t="inlineStr">
        <is>
          <t>SPOL.L</t>
        </is>
      </c>
      <c r="D414" t="n">
        <v>2026</v>
      </c>
      <c r="E414" t="n">
        <v>-0.9916699722332445</v>
      </c>
      <c r="F414" t="n">
        <v>3.136</v>
      </c>
      <c r="G414" t="n">
        <v>6.397182</v>
      </c>
      <c r="H414" t="n">
        <v>6.766229</v>
      </c>
      <c r="I414" t="n">
        <v>9.245296185411233</v>
      </c>
      <c r="J414" t="inlineStr">
        <is>
          <t>Poland|SPOL.L|2026</t>
        </is>
      </c>
      <c r="K414" t="inlineStr">
        <is>
          <t>Poland|2026</t>
        </is>
      </c>
      <c r="L414" t="inlineStr">
        <is>
          <t>GBp</t>
        </is>
      </c>
      <c r="M414" t="n">
        <v>-0.9916699722332445</v>
      </c>
      <c r="N414" t="n">
        <v>-1.502295021803568</v>
      </c>
      <c r="O414" t="n">
        <v>-2.479067185411232</v>
      </c>
      <c r="P414" t="n">
        <v>0.3468579952283335</v>
      </c>
      <c r="Q414" t="n">
        <v>-2.816157114529627</v>
      </c>
      <c r="R414" t="n">
        <v>2.776</v>
      </c>
      <c r="S414" t="n">
        <v>2.435</v>
      </c>
      <c r="T414" t="n">
        <v>0.3409999999999997</v>
      </c>
      <c r="U414" t="n">
        <v>1109962000000</v>
      </c>
    </row>
    <row r="415">
      <c r="A415" t="inlineStr">
        <is>
          <t>Poland</t>
        </is>
      </c>
      <c r="B415" t="inlineStr">
        <is>
          <t>POL</t>
        </is>
      </c>
      <c r="C415" t="inlineStr">
        <is>
          <t>SPOL.L</t>
        </is>
      </c>
      <c r="D415" t="n">
        <v>2027</v>
      </c>
      <c r="E415" t="inlineStr"/>
      <c r="F415" t="n">
        <v>2.861</v>
      </c>
      <c r="G415" t="n">
        <v>5.679433</v>
      </c>
      <c r="H415" t="n">
        <v>5.793351</v>
      </c>
      <c r="I415" t="inlineStr"/>
      <c r="J415" t="inlineStr">
        <is>
          <t>Poland|SPOL.L|2027</t>
        </is>
      </c>
      <c r="K415" t="inlineStr">
        <is>
          <t>Poland|2027</t>
        </is>
      </c>
      <c r="L415" t="inlineStr">
        <is>
          <t>GBp</t>
        </is>
      </c>
      <c r="M415" t="inlineStr"/>
      <c r="N415" t="inlineStr"/>
      <c r="O415" t="inlineStr"/>
      <c r="P415" t="n">
        <v>0.1077960293723423</v>
      </c>
      <c r="Q415" t="inlineStr"/>
      <c r="R415" t="n">
        <v>2.717</v>
      </c>
      <c r="S415" t="n">
        <v>2.185</v>
      </c>
      <c r="T415" t="n">
        <v>0.532</v>
      </c>
      <c r="U415" t="n">
        <v>1174266000000</v>
      </c>
    </row>
    <row r="416">
      <c r="A416" t="inlineStr">
        <is>
          <t>Poland</t>
        </is>
      </c>
      <c r="B416" t="inlineStr">
        <is>
          <t>POL</t>
        </is>
      </c>
      <c r="C416" t="inlineStr">
        <is>
          <t>SPOL.L</t>
        </is>
      </c>
      <c r="D416" t="n">
        <v>2028</v>
      </c>
      <c r="E416" t="inlineStr"/>
      <c r="F416" t="n">
        <v>2.802</v>
      </c>
      <c r="G416" t="n">
        <v>5.582508</v>
      </c>
      <c r="H416" t="n">
        <v>5.898323</v>
      </c>
      <c r="I416" t="inlineStr"/>
      <c r="J416" t="inlineStr">
        <is>
          <t>Poland|SPOL.L|2028</t>
        </is>
      </c>
      <c r="K416" t="inlineStr">
        <is>
          <t>Poland|2028</t>
        </is>
      </c>
      <c r="L416" t="inlineStr">
        <is>
          <t>GBp</t>
        </is>
      </c>
      <c r="M416" t="inlineStr"/>
      <c r="N416" t="inlineStr"/>
      <c r="O416" t="inlineStr"/>
      <c r="P416" t="n">
        <v>0.2991163618569104</v>
      </c>
      <c r="Q416" t="inlineStr"/>
      <c r="R416" t="n">
        <v>2.6</v>
      </c>
      <c r="S416" t="n">
        <v>2.206</v>
      </c>
      <c r="T416" t="n">
        <v>0.3940000000000001</v>
      </c>
      <c r="U416" t="n">
        <v>1243528000000</v>
      </c>
    </row>
    <row r="417">
      <c r="A417" t="inlineStr">
        <is>
          <t>Poland</t>
        </is>
      </c>
      <c r="B417" t="inlineStr">
        <is>
          <t>POL</t>
        </is>
      </c>
      <c r="C417" t="inlineStr">
        <is>
          <t>SPOL.L</t>
        </is>
      </c>
      <c r="D417" t="n">
        <v>2029</v>
      </c>
      <c r="E417" t="inlineStr"/>
      <c r="F417" t="n">
        <v>2.666</v>
      </c>
      <c r="G417" t="n">
        <v>5.197545</v>
      </c>
      <c r="H417" t="n">
        <v>5.622793</v>
      </c>
      <c r="I417" t="inlineStr"/>
      <c r="J417" t="inlineStr">
        <is>
          <t>Poland|SPOL.L|2029</t>
        </is>
      </c>
      <c r="K417" t="inlineStr">
        <is>
          <t>Poland|2029</t>
        </is>
      </c>
      <c r="L417" t="inlineStr">
        <is>
          <t>GBp</t>
        </is>
      </c>
      <c r="M417" t="inlineStr"/>
      <c r="N417" t="inlineStr"/>
      <c r="O417" t="inlineStr"/>
      <c r="P417" t="n">
        <v>0.4042375578623636</v>
      </c>
      <c r="Q417" t="inlineStr"/>
      <c r="R417" t="n">
        <v>2.5</v>
      </c>
      <c r="S417" t="n">
        <v>2.203</v>
      </c>
      <c r="T417" t="n">
        <v>0.2970000000000002</v>
      </c>
      <c r="U417" t="n">
        <v>1313449000000</v>
      </c>
    </row>
    <row r="418">
      <c r="A418" t="inlineStr">
        <is>
          <t>Saudi Arabia</t>
        </is>
      </c>
      <c r="B418" t="inlineStr">
        <is>
          <t>SAU</t>
        </is>
      </c>
      <c r="C418" t="inlineStr">
        <is>
          <t>IKSA.L</t>
        </is>
      </c>
      <c r="D418" t="n">
        <v>2004</v>
      </c>
      <c r="E418" t="inlineStr"/>
      <c r="F418" t="n">
        <v>8.631</v>
      </c>
      <c r="G418" t="inlineStr"/>
      <c r="H418" t="inlineStr"/>
      <c r="I418" t="inlineStr"/>
      <c r="J418" t="inlineStr">
        <is>
          <t>Saudi Arabia|IKSA.L|2004</t>
        </is>
      </c>
      <c r="K418" t="inlineStr">
        <is>
          <t>Saudi Arabia|2004</t>
        </is>
      </c>
      <c r="L418" t="inlineStr">
        <is>
          <t>USD</t>
        </is>
      </c>
      <c r="M418" t="inlineStr"/>
      <c r="N418" t="inlineStr"/>
      <c r="O418" t="inlineStr"/>
      <c r="P418" t="inlineStr"/>
      <c r="Q418" t="inlineStr"/>
      <c r="R418" t="n">
        <v>0.294</v>
      </c>
      <c r="S418" t="n">
        <v>2.668</v>
      </c>
      <c r="T418" t="n">
        <v>-2.374</v>
      </c>
      <c r="U418" t="n">
        <v>258742000000</v>
      </c>
    </row>
    <row r="419">
      <c r="A419" t="inlineStr">
        <is>
          <t>Saudi Arabia</t>
        </is>
      </c>
      <c r="B419" t="inlineStr">
        <is>
          <t>SAU</t>
        </is>
      </c>
      <c r="C419" t="inlineStr">
        <is>
          <t>IKSA.L</t>
        </is>
      </c>
      <c r="D419" t="n">
        <v>2005</v>
      </c>
      <c r="E419" t="inlineStr"/>
      <c r="F419" t="n">
        <v>5.945</v>
      </c>
      <c r="G419" t="n">
        <v>26.846656</v>
      </c>
      <c r="H419" t="n">
        <v>26.846434</v>
      </c>
      <c r="I419" t="inlineStr"/>
      <c r="J419" t="inlineStr">
        <is>
          <t>Saudi Arabia|IKSA.L|2005</t>
        </is>
      </c>
      <c r="K419" t="inlineStr">
        <is>
          <t>Saudi Arabia|2005</t>
        </is>
      </c>
      <c r="L419" t="inlineStr">
        <is>
          <t>USD</t>
        </is>
      </c>
      <c r="M419" t="inlineStr"/>
      <c r="N419" t="inlineStr"/>
      <c r="O419" t="inlineStr"/>
      <c r="P419" t="n">
        <v>-0.0001749066241063524</v>
      </c>
      <c r="Q419" t="inlineStr"/>
      <c r="R419" t="n">
        <v>0.573</v>
      </c>
      <c r="S419" t="n">
        <v>3.366</v>
      </c>
      <c r="T419" t="n">
        <v>-2.793</v>
      </c>
      <c r="U419" t="n">
        <v>328205000000</v>
      </c>
    </row>
    <row r="420">
      <c r="A420" t="inlineStr">
        <is>
          <t>Saudi Arabia</t>
        </is>
      </c>
      <c r="B420" t="inlineStr">
        <is>
          <t>SAU</t>
        </is>
      </c>
      <c r="C420" t="inlineStr">
        <is>
          <t>IKSA.L</t>
        </is>
      </c>
      <c r="D420" t="n">
        <v>2006</v>
      </c>
      <c r="E420" t="inlineStr"/>
      <c r="F420" t="n">
        <v>3.313</v>
      </c>
      <c r="G420" t="n">
        <v>14.683665</v>
      </c>
      <c r="H420" t="n">
        <v>14.68381</v>
      </c>
      <c r="I420" t="inlineStr"/>
      <c r="J420" t="inlineStr">
        <is>
          <t>Saudi Arabia|IKSA.L|2006</t>
        </is>
      </c>
      <c r="K420" t="inlineStr">
        <is>
          <t>Saudi Arabia|2006</t>
        </is>
      </c>
      <c r="L420" t="inlineStr">
        <is>
          <t>USD</t>
        </is>
      </c>
      <c r="M420" t="inlineStr"/>
      <c r="N420" t="inlineStr"/>
      <c r="O420" t="inlineStr"/>
      <c r="P420" t="n">
        <v>0.0001265831327312839</v>
      </c>
      <c r="Q420" t="inlineStr"/>
      <c r="R420" t="n">
        <v>1.904</v>
      </c>
      <c r="S420" t="n">
        <v>3.222</v>
      </c>
      <c r="T420" t="n">
        <v>-1.318</v>
      </c>
      <c r="U420" t="n">
        <v>376398000000</v>
      </c>
    </row>
    <row r="421">
      <c r="A421" t="inlineStr">
        <is>
          <t>Saudi Arabia</t>
        </is>
      </c>
      <c r="B421" t="inlineStr">
        <is>
          <t>SAU</t>
        </is>
      </c>
      <c r="C421" t="inlineStr">
        <is>
          <t>IKSA.L</t>
        </is>
      </c>
      <c r="D421" t="n">
        <v>2007</v>
      </c>
      <c r="E421" t="inlineStr"/>
      <c r="F421" t="n">
        <v>2.214</v>
      </c>
      <c r="G421" t="n">
        <v>10.438324</v>
      </c>
      <c r="H421" t="n">
        <v>10.438153</v>
      </c>
      <c r="I421" t="inlineStr"/>
      <c r="J421" t="inlineStr">
        <is>
          <t>Saudi Arabia|IKSA.L|2007</t>
        </is>
      </c>
      <c r="K421" t="inlineStr">
        <is>
          <t>Saudi Arabia|2007</t>
        </is>
      </c>
      <c r="L421" t="inlineStr">
        <is>
          <t>USD</t>
        </is>
      </c>
      <c r="M421" t="inlineStr"/>
      <c r="N421" t="inlineStr"/>
      <c r="O421" t="inlineStr"/>
      <c r="P421" t="n">
        <v>-0.0001543835395745319</v>
      </c>
      <c r="Q421" t="inlineStr"/>
      <c r="R421" t="n">
        <v>4.976</v>
      </c>
      <c r="S421" t="n">
        <v>2.871</v>
      </c>
      <c r="T421" t="n">
        <v>2.105</v>
      </c>
      <c r="U421" t="n">
        <v>415687000000</v>
      </c>
    </row>
    <row r="422">
      <c r="A422" t="inlineStr">
        <is>
          <t>Saudi Arabia</t>
        </is>
      </c>
      <c r="B422" t="inlineStr">
        <is>
          <t>SAU</t>
        </is>
      </c>
      <c r="C422" t="inlineStr">
        <is>
          <t>IKSA.L</t>
        </is>
      </c>
      <c r="D422" t="n">
        <v>2008</v>
      </c>
      <c r="E422" t="inlineStr"/>
      <c r="F422" t="n">
        <v>6.238</v>
      </c>
      <c r="G422" t="n">
        <v>25.045114</v>
      </c>
      <c r="H422" t="n">
        <v>25.045286</v>
      </c>
      <c r="I422" t="inlineStr"/>
      <c r="J422" t="inlineStr">
        <is>
          <t>Saudi Arabia|IKSA.L|2008</t>
        </is>
      </c>
      <c r="K422" t="inlineStr">
        <is>
          <t>Saudi Arabia|2008</t>
        </is>
      </c>
      <c r="L422" t="inlineStr">
        <is>
          <t>USD</t>
        </is>
      </c>
      <c r="M422" t="inlineStr"/>
      <c r="N422" t="n">
        <v>0</v>
      </c>
      <c r="O422" t="inlineStr"/>
      <c r="P422" t="n">
        <v>0.0001378918853101041</v>
      </c>
      <c r="Q422" t="inlineStr"/>
      <c r="R422" t="n">
        <v>6.121</v>
      </c>
      <c r="S422" t="n">
        <v>3.815</v>
      </c>
      <c r="T422" t="n">
        <v>2.306</v>
      </c>
      <c r="U422" t="n">
        <v>519797000000</v>
      </c>
    </row>
    <row r="423">
      <c r="A423" t="inlineStr">
        <is>
          <t>Saudi Arabia</t>
        </is>
      </c>
      <c r="B423" t="inlineStr">
        <is>
          <t>SAU</t>
        </is>
      </c>
      <c r="C423" t="inlineStr">
        <is>
          <t>IKSA.L</t>
        </is>
      </c>
      <c r="D423" t="n">
        <v>2009</v>
      </c>
      <c r="E423" t="inlineStr"/>
      <c r="F423" t="n">
        <v>-1.067</v>
      </c>
      <c r="G423" t="n">
        <v>-17.44893</v>
      </c>
      <c r="H423" t="n">
        <v>-17.448927</v>
      </c>
      <c r="I423" t="inlineStr"/>
      <c r="J423" t="inlineStr">
        <is>
          <t>Saudi Arabia|IKSA.L|2009</t>
        </is>
      </c>
      <c r="K423" t="inlineStr">
        <is>
          <t>Saudi Arabia|2009</t>
        </is>
      </c>
      <c r="L423" t="inlineStr">
        <is>
          <t>USD</t>
        </is>
      </c>
      <c r="M423" t="inlineStr"/>
      <c r="N423" t="n">
        <v>0</v>
      </c>
      <c r="O423" t="inlineStr"/>
      <c r="P423" t="n">
        <v>3.440163776069483e-06</v>
      </c>
      <c r="Q423" t="inlineStr"/>
      <c r="R423" t="n">
        <v>4.262</v>
      </c>
      <c r="S423" t="n">
        <v>-0.32</v>
      </c>
      <c r="T423" t="n">
        <v>4.582</v>
      </c>
      <c r="U423" t="n">
        <v>429098000000</v>
      </c>
    </row>
    <row r="424">
      <c r="A424" t="inlineStr">
        <is>
          <t>Saudi Arabia</t>
        </is>
      </c>
      <c r="B424" t="inlineStr">
        <is>
          <t>SAU</t>
        </is>
      </c>
      <c r="C424" t="inlineStr">
        <is>
          <t>IKSA.L</t>
        </is>
      </c>
      <c r="D424" t="n">
        <v>2010</v>
      </c>
      <c r="E424" t="inlineStr"/>
      <c r="F424" t="n">
        <v>5.04</v>
      </c>
      <c r="G424" t="n">
        <v>23.097154</v>
      </c>
      <c r="H424" t="n">
        <v>23.097055</v>
      </c>
      <c r="I424" t="inlineStr"/>
      <c r="J424" t="inlineStr">
        <is>
          <t>Saudi Arabia|IKSA.L|2010</t>
        </is>
      </c>
      <c r="K424" t="inlineStr">
        <is>
          <t>Saudi Arabia|2010</t>
        </is>
      </c>
      <c r="L424" t="inlineStr">
        <is>
          <t>USD</t>
        </is>
      </c>
      <c r="M424" t="inlineStr"/>
      <c r="N424" t="n">
        <v>0</v>
      </c>
      <c r="O424" t="inlineStr"/>
      <c r="P424" t="n">
        <v>-8.059749417865802e-05</v>
      </c>
      <c r="Q424" t="inlineStr"/>
      <c r="R424" t="n">
        <v>3.698</v>
      </c>
      <c r="S424" t="n">
        <v>1.637</v>
      </c>
      <c r="T424" t="n">
        <v>2.061</v>
      </c>
      <c r="U424" t="n">
        <v>528207000000</v>
      </c>
    </row>
    <row r="425">
      <c r="A425" t="inlineStr">
        <is>
          <t>Saudi Arabia</t>
        </is>
      </c>
      <c r="B425" t="inlineStr">
        <is>
          <t>SAU</t>
        </is>
      </c>
      <c r="C425" t="inlineStr">
        <is>
          <t>IKSA.L</t>
        </is>
      </c>
      <c r="D425" t="n">
        <v>2011</v>
      </c>
      <c r="E425" t="inlineStr"/>
      <c r="F425" t="n">
        <v>11.759</v>
      </c>
      <c r="G425" t="n">
        <v>28.862527</v>
      </c>
      <c r="H425" t="n">
        <v>28.862548</v>
      </c>
      <c r="I425" t="inlineStr"/>
      <c r="J425" t="inlineStr">
        <is>
          <t>Saudi Arabia|IKSA.L|2011</t>
        </is>
      </c>
      <c r="K425" t="inlineStr">
        <is>
          <t>Saudi Arabia|2011</t>
        </is>
      </c>
      <c r="L425" t="inlineStr">
        <is>
          <t>USD</t>
        </is>
      </c>
      <c r="M425" t="inlineStr"/>
      <c r="N425" t="n">
        <v>0</v>
      </c>
      <c r="O425" t="inlineStr"/>
      <c r="P425" t="n">
        <v>1.676189294030905e-05</v>
      </c>
      <c r="Q425" t="inlineStr"/>
      <c r="R425" t="n">
        <v>3.744</v>
      </c>
      <c r="S425" t="n">
        <v>3.14</v>
      </c>
      <c r="T425" t="n">
        <v>0.6040000000000001</v>
      </c>
      <c r="U425" t="n">
        <v>680661000000</v>
      </c>
    </row>
    <row r="426">
      <c r="A426" t="inlineStr">
        <is>
          <t>Saudi Arabia</t>
        </is>
      </c>
      <c r="B426" t="inlineStr">
        <is>
          <t>SAU</t>
        </is>
      </c>
      <c r="C426" t="inlineStr">
        <is>
          <t>IKSA.L</t>
        </is>
      </c>
      <c r="D426" t="n">
        <v>2012</v>
      </c>
      <c r="E426" t="inlineStr"/>
      <c r="F426" t="n">
        <v>5.762</v>
      </c>
      <c r="G426" t="n">
        <v>10.469277</v>
      </c>
      <c r="H426" t="n">
        <v>10.469235</v>
      </c>
      <c r="I426" t="inlineStr"/>
      <c r="J426" t="inlineStr">
        <is>
          <t>Saudi Arabia|IKSA.L|2012</t>
        </is>
      </c>
      <c r="K426" t="inlineStr">
        <is>
          <t>Saudi Arabia|2012</t>
        </is>
      </c>
      <c r="L426" t="inlineStr">
        <is>
          <t>USD</t>
        </is>
      </c>
      <c r="M426" t="inlineStr"/>
      <c r="N426" t="n">
        <v>0</v>
      </c>
      <c r="O426" t="inlineStr"/>
      <c r="P426" t="n">
        <v>-3.824937876428791e-05</v>
      </c>
      <c r="Q426" t="inlineStr"/>
      <c r="R426" t="n">
        <v>2.866</v>
      </c>
      <c r="S426" t="n">
        <v>2.073</v>
      </c>
      <c r="T426" t="n">
        <v>0.7930000000000001</v>
      </c>
      <c r="U426" t="n">
        <v>751921000000</v>
      </c>
    </row>
    <row r="427">
      <c r="A427" t="inlineStr">
        <is>
          <t>Saudi Arabia</t>
        </is>
      </c>
      <c r="B427" t="inlineStr">
        <is>
          <t>SAU</t>
        </is>
      </c>
      <c r="C427" t="inlineStr">
        <is>
          <t>IKSA.L</t>
        </is>
      </c>
      <c r="D427" t="n">
        <v>2013</v>
      </c>
      <c r="E427" t="inlineStr"/>
      <c r="F427" t="n">
        <v>2.946</v>
      </c>
      <c r="G427" t="n">
        <v>2.371845</v>
      </c>
      <c r="H427" t="n">
        <v>2.371792</v>
      </c>
      <c r="I427" t="inlineStr"/>
      <c r="J427" t="inlineStr">
        <is>
          <t>Saudi Arabia|IKSA.L|2013</t>
        </is>
      </c>
      <c r="K427" t="inlineStr">
        <is>
          <t>Saudi Arabia|2013</t>
        </is>
      </c>
      <c r="L427" t="inlineStr">
        <is>
          <t>USD</t>
        </is>
      </c>
      <c r="M427" t="inlineStr"/>
      <c r="N427" t="n">
        <v>0</v>
      </c>
      <c r="O427" t="inlineStr"/>
      <c r="P427" t="n">
        <v>-5.175913946331434e-05</v>
      </c>
      <c r="Q427" t="inlineStr"/>
      <c r="R427" t="n">
        <v>3.53</v>
      </c>
      <c r="S427" t="n">
        <v>1.466</v>
      </c>
      <c r="T427" t="n">
        <v>2.064</v>
      </c>
      <c r="U427" t="n">
        <v>769755000000</v>
      </c>
    </row>
    <row r="428">
      <c r="A428" t="inlineStr">
        <is>
          <t>Saudi Arabia</t>
        </is>
      </c>
      <c r="B428" t="inlineStr">
        <is>
          <t>SAU</t>
        </is>
      </c>
      <c r="C428" t="inlineStr">
        <is>
          <t>IKSA.L</t>
        </is>
      </c>
      <c r="D428" t="n">
        <v>2014</v>
      </c>
      <c r="E428" t="inlineStr"/>
      <c r="F428" t="n">
        <v>4.025</v>
      </c>
      <c r="G428" t="n">
        <v>2.260077</v>
      </c>
      <c r="H428" t="n">
        <v>2.2602</v>
      </c>
      <c r="I428" t="inlineStr"/>
      <c r="J428" t="inlineStr">
        <is>
          <t>Saudi Arabia|IKSA.L|2014</t>
        </is>
      </c>
      <c r="K428" t="inlineStr">
        <is>
          <t>Saudi Arabia|2014</t>
        </is>
      </c>
      <c r="L428" t="inlineStr">
        <is>
          <t>USD</t>
        </is>
      </c>
      <c r="M428" t="inlineStr"/>
      <c r="N428" t="n">
        <v>0</v>
      </c>
      <c r="O428" t="inlineStr"/>
      <c r="P428" t="n">
        <v>0.0001199108040417229</v>
      </c>
      <c r="Q428" t="inlineStr"/>
      <c r="R428" t="n">
        <v>2.236</v>
      </c>
      <c r="S428" t="n">
        <v>1.615</v>
      </c>
      <c r="T428" t="n">
        <v>0.6210000000000002</v>
      </c>
      <c r="U428" t="n">
        <v>787153000000</v>
      </c>
    </row>
    <row r="429">
      <c r="A429" t="inlineStr">
        <is>
          <t>Saudi Arabia</t>
        </is>
      </c>
      <c r="B429" t="inlineStr">
        <is>
          <t>SAU</t>
        </is>
      </c>
      <c r="C429" t="inlineStr">
        <is>
          <t>IKSA.L</t>
        </is>
      </c>
      <c r="D429" t="n">
        <v>2015</v>
      </c>
      <c r="E429" t="inlineStr"/>
      <c r="F429" t="n">
        <v>4.655</v>
      </c>
      <c r="G429" t="n">
        <v>-11.908442</v>
      </c>
      <c r="H429" t="n">
        <v>-11.908485</v>
      </c>
      <c r="I429" t="inlineStr"/>
      <c r="J429" t="inlineStr">
        <is>
          <t>Saudi Arabia|IKSA.L|2015</t>
        </is>
      </c>
      <c r="K429" t="inlineStr">
        <is>
          <t>Saudi Arabia|2015</t>
        </is>
      </c>
      <c r="L429" t="inlineStr">
        <is>
          <t>USD</t>
        </is>
      </c>
      <c r="M429" t="inlineStr"/>
      <c r="N429" t="n">
        <v>0</v>
      </c>
      <c r="O429" t="inlineStr"/>
      <c r="P429" t="n">
        <v>-4.967113508280718e-05</v>
      </c>
      <c r="Q429" t="inlineStr"/>
      <c r="R429" t="n">
        <v>1.206</v>
      </c>
      <c r="S429" t="n">
        <v>0.121</v>
      </c>
      <c r="T429" t="n">
        <v>1.085</v>
      </c>
      <c r="U429" t="n">
        <v>693415000000</v>
      </c>
    </row>
    <row r="430">
      <c r="A430" t="inlineStr">
        <is>
          <t>Saudi Arabia</t>
        </is>
      </c>
      <c r="B430" t="inlineStr">
        <is>
          <t>SAU</t>
        </is>
      </c>
      <c r="C430" t="inlineStr">
        <is>
          <t>IKSA.L</t>
        </is>
      </c>
      <c r="D430" t="n">
        <v>2016</v>
      </c>
      <c r="E430" t="inlineStr"/>
      <c r="F430" t="n">
        <v>1.704</v>
      </c>
      <c r="G430" t="n">
        <v>-0.596391</v>
      </c>
      <c r="H430" t="n">
        <v>-0.596468</v>
      </c>
      <c r="I430" t="inlineStr"/>
      <c r="J430" t="inlineStr">
        <is>
          <t>Saudi Arabia|IKSA.L|2016</t>
        </is>
      </c>
      <c r="K430" t="inlineStr">
        <is>
          <t>Saudi Arabia|2016</t>
        </is>
      </c>
      <c r="L430" t="inlineStr">
        <is>
          <t>USD</t>
        </is>
      </c>
      <c r="M430" t="inlineStr"/>
      <c r="N430" t="n">
        <v>0</v>
      </c>
      <c r="O430" t="inlineStr"/>
      <c r="P430" t="n">
        <v>-7.731779541053641e-05</v>
      </c>
      <c r="Q430" t="inlineStr"/>
      <c r="R430" t="n">
        <v>2.069</v>
      </c>
      <c r="S430" t="n">
        <v>1.267</v>
      </c>
      <c r="T430" t="n">
        <v>0.802</v>
      </c>
      <c r="U430" t="n">
        <v>689279000000</v>
      </c>
    </row>
    <row r="431">
      <c r="A431" t="inlineStr">
        <is>
          <t>Saudi Arabia</t>
        </is>
      </c>
      <c r="B431" t="inlineStr">
        <is>
          <t>SAU</t>
        </is>
      </c>
      <c r="C431" t="inlineStr">
        <is>
          <t>IKSA.L</t>
        </is>
      </c>
      <c r="D431" t="n">
        <v>2017</v>
      </c>
      <c r="E431" t="inlineStr"/>
      <c r="F431" t="n">
        <v>1.182</v>
      </c>
      <c r="G431" t="n">
        <v>7.542137</v>
      </c>
      <c r="H431" t="n">
        <v>7.542229</v>
      </c>
      <c r="I431" t="inlineStr"/>
      <c r="J431" t="inlineStr">
        <is>
          <t>Saudi Arabia|IKSA.L|2017</t>
        </is>
      </c>
      <c r="K431" t="inlineStr">
        <is>
          <t>Saudi Arabia|2017</t>
        </is>
      </c>
      <c r="L431" t="inlineStr">
        <is>
          <t>USD</t>
        </is>
      </c>
      <c r="M431" t="inlineStr"/>
      <c r="N431" t="n">
        <v>0</v>
      </c>
      <c r="O431" t="inlineStr"/>
      <c r="P431" t="n">
        <v>8.569085625520501e-05</v>
      </c>
      <c r="Q431" t="inlineStr"/>
      <c r="R431" t="n">
        <v>-0.838</v>
      </c>
      <c r="S431" t="n">
        <v>2.131</v>
      </c>
      <c r="T431" t="n">
        <v>-2.969</v>
      </c>
      <c r="U431" t="n">
        <v>741266000000</v>
      </c>
    </row>
    <row r="432">
      <c r="A432" t="inlineStr">
        <is>
          <t>Saudi Arabia</t>
        </is>
      </c>
      <c r="B432" t="inlineStr">
        <is>
          <t>SAU</t>
        </is>
      </c>
      <c r="C432" t="inlineStr">
        <is>
          <t>IKSA.L</t>
        </is>
      </c>
      <c r="D432" t="n">
        <v>2018</v>
      </c>
      <c r="E432" t="inlineStr"/>
      <c r="F432" t="n">
        <v>3.227</v>
      </c>
      <c r="G432" t="n">
        <v>19.601316</v>
      </c>
      <c r="H432" t="n">
        <v>19.601331</v>
      </c>
      <c r="I432" t="inlineStr"/>
      <c r="J432" t="inlineStr">
        <is>
          <t>Saudi Arabia|IKSA.L|2018</t>
        </is>
      </c>
      <c r="K432" t="inlineStr">
        <is>
          <t>Saudi Arabia|2018</t>
        </is>
      </c>
      <c r="L432" t="inlineStr">
        <is>
          <t>USD</t>
        </is>
      </c>
      <c r="M432" t="inlineStr"/>
      <c r="N432" t="n">
        <v>0</v>
      </c>
      <c r="O432" t="inlineStr"/>
      <c r="P432" t="n">
        <v>1.209142914682104e-05</v>
      </c>
      <c r="Q432" t="inlineStr"/>
      <c r="R432" t="n">
        <v>2.458</v>
      </c>
      <c r="S432" t="n">
        <v>2.439</v>
      </c>
      <c r="T432" t="n">
        <v>0.01900000000000013</v>
      </c>
      <c r="U432" t="n">
        <v>886564000000</v>
      </c>
    </row>
    <row r="433">
      <c r="A433" t="inlineStr">
        <is>
          <t>Saudi Arabia</t>
        </is>
      </c>
      <c r="B433" t="inlineStr">
        <is>
          <t>SAU</t>
        </is>
      </c>
      <c r="C433" t="inlineStr">
        <is>
          <t>IKSA.L</t>
        </is>
      </c>
      <c r="D433" t="n">
        <v>2019</v>
      </c>
      <c r="E433" t="n">
        <v>-10.50999641418455</v>
      </c>
      <c r="F433" t="n">
        <v>1.652</v>
      </c>
      <c r="G433" t="n">
        <v>0.262136</v>
      </c>
      <c r="H433" t="n">
        <v>0.262136</v>
      </c>
      <c r="I433" t="n">
        <v>10.77213241418455</v>
      </c>
      <c r="J433" t="inlineStr">
        <is>
          <t>Saudi Arabia|IKSA.L|2019</t>
        </is>
      </c>
      <c r="K433" t="inlineStr">
        <is>
          <t>Saudi Arabia|2019</t>
        </is>
      </c>
      <c r="L433" t="inlineStr">
        <is>
          <t>USD</t>
        </is>
      </c>
      <c r="M433" t="n">
        <v>-10.50999641418455</v>
      </c>
      <c r="N433" t="n">
        <v>0</v>
      </c>
      <c r="O433" t="n">
        <v>-10.50999641418455</v>
      </c>
      <c r="P433" t="n">
        <v>-7.864078277464159e-08</v>
      </c>
      <c r="Q433" t="n">
        <v>-10.50999634380891</v>
      </c>
      <c r="R433" t="n">
        <v>-2.093</v>
      </c>
      <c r="S433" t="n">
        <v>1.813</v>
      </c>
      <c r="T433" t="n">
        <v>-3.906</v>
      </c>
      <c r="U433" t="n">
        <v>888888000000</v>
      </c>
    </row>
    <row r="434">
      <c r="A434" t="inlineStr">
        <is>
          <t>Saudi Arabia</t>
        </is>
      </c>
      <c r="B434" t="inlineStr">
        <is>
          <t>SAU</t>
        </is>
      </c>
      <c r="C434" t="inlineStr">
        <is>
          <t>IKSA.L</t>
        </is>
      </c>
      <c r="D434" t="n">
        <v>2020</v>
      </c>
      <c r="E434" t="n">
        <v>0.06664281421631113</v>
      </c>
      <c r="F434" t="n">
        <v>-3.805</v>
      </c>
      <c r="G434" t="n">
        <v>-13.678308</v>
      </c>
      <c r="H434" t="n">
        <v>-13.678326</v>
      </c>
      <c r="I434" t="n">
        <v>-13.74496881421631</v>
      </c>
      <c r="J434" t="inlineStr">
        <is>
          <t>Saudi Arabia|IKSA.L|2020</t>
        </is>
      </c>
      <c r="K434" t="inlineStr">
        <is>
          <t>Saudi Arabia|2020</t>
        </is>
      </c>
      <c r="L434" t="inlineStr">
        <is>
          <t>USD</t>
        </is>
      </c>
      <c r="M434" t="n">
        <v>0.06664281421631113</v>
      </c>
      <c r="N434" t="n">
        <v>0</v>
      </c>
      <c r="O434" t="n">
        <v>0.06664281421631113</v>
      </c>
      <c r="P434" t="n">
        <v>-2.131159108076375e-05</v>
      </c>
      <c r="Q434" t="n">
        <v>0.06666414001457177</v>
      </c>
      <c r="R434" t="n">
        <v>3.445</v>
      </c>
      <c r="S434" t="n">
        <v>1.253</v>
      </c>
      <c r="T434" t="n">
        <v>2.192</v>
      </c>
      <c r="U434" t="n">
        <v>767303000000</v>
      </c>
    </row>
    <row r="435">
      <c r="A435" t="inlineStr">
        <is>
          <t>Saudi Arabia</t>
        </is>
      </c>
      <c r="B435" t="inlineStr">
        <is>
          <t>SAU</t>
        </is>
      </c>
      <c r="C435" t="inlineStr">
        <is>
          <t>IKSA.L</t>
        </is>
      </c>
      <c r="D435" t="n">
        <v>2021</v>
      </c>
      <c r="E435" t="n">
        <v>37.43165715563745</v>
      </c>
      <c r="F435" t="n">
        <v>6.52</v>
      </c>
      <c r="G435" t="n">
        <v>28.066898</v>
      </c>
      <c r="H435" t="n">
        <v>28.066878</v>
      </c>
      <c r="I435" t="n">
        <v>-9.364779155637454</v>
      </c>
      <c r="J435" t="inlineStr">
        <is>
          <t>Saudi Arabia|IKSA.L|2021</t>
        </is>
      </c>
      <c r="K435" t="inlineStr">
        <is>
          <t>Saudi Arabia|2021</t>
        </is>
      </c>
      <c r="L435" t="inlineStr">
        <is>
          <t>USD</t>
        </is>
      </c>
      <c r="M435" t="n">
        <v>37.43165715563745</v>
      </c>
      <c r="N435" t="n">
        <v>0</v>
      </c>
      <c r="O435" t="n">
        <v>37.43165715563745</v>
      </c>
      <c r="P435" t="n">
        <v>-1.547273935642579e-05</v>
      </c>
      <c r="Q435" t="n">
        <v>37.43167842008286</v>
      </c>
      <c r="R435" t="n">
        <v>3.063</v>
      </c>
      <c r="S435" t="n">
        <v>4.679</v>
      </c>
      <c r="T435" t="n">
        <v>-1.616</v>
      </c>
      <c r="U435" t="n">
        <v>982661000000</v>
      </c>
    </row>
    <row r="436">
      <c r="A436" t="inlineStr">
        <is>
          <t>Saudi Arabia</t>
        </is>
      </c>
      <c r="B436" t="inlineStr">
        <is>
          <t>SAU</t>
        </is>
      </c>
      <c r="C436" t="inlineStr">
        <is>
          <t>IKSA.L</t>
        </is>
      </c>
      <c r="D436" t="n">
        <v>2022</v>
      </c>
      <c r="E436" t="n">
        <v>-6.324523575817764</v>
      </c>
      <c r="F436" t="n">
        <v>12.001</v>
      </c>
      <c r="G436" t="n">
        <v>26.09388</v>
      </c>
      <c r="H436" t="n">
        <v>26.093841</v>
      </c>
      <c r="I436" t="n">
        <v>32.41836457581776</v>
      </c>
      <c r="J436" t="inlineStr">
        <is>
          <t>Saudi Arabia|IKSA.L|2022</t>
        </is>
      </c>
      <c r="K436" t="inlineStr">
        <is>
          <t>Saudi Arabia|2022</t>
        </is>
      </c>
      <c r="L436" t="inlineStr">
        <is>
          <t>USD</t>
        </is>
      </c>
      <c r="M436" t="n">
        <v>-6.324523575817764</v>
      </c>
      <c r="N436" t="n">
        <v>0</v>
      </c>
      <c r="O436" t="n">
        <v>-6.324523575817764</v>
      </c>
      <c r="P436" t="n">
        <v>-3.087819233638101e-05</v>
      </c>
      <c r="Q436" t="n">
        <v>-6.324494650515056</v>
      </c>
      <c r="R436" t="n">
        <v>2.474</v>
      </c>
      <c r="S436" t="n">
        <v>7.993</v>
      </c>
      <c r="T436" t="n">
        <v>-5.519</v>
      </c>
      <c r="U436" t="n">
        <v>1239075000000</v>
      </c>
    </row>
    <row r="437">
      <c r="A437" t="inlineStr">
        <is>
          <t>Saudi Arabia</t>
        </is>
      </c>
      <c r="B437" t="inlineStr">
        <is>
          <t>SAU</t>
        </is>
      </c>
      <c r="C437" t="inlineStr">
        <is>
          <t>IKSA.L</t>
        </is>
      </c>
      <c r="D437" t="n">
        <v>2023</v>
      </c>
      <c r="E437" t="n">
        <v>8.379461836297741</v>
      </c>
      <c r="F437" t="n">
        <v>0.543</v>
      </c>
      <c r="G437" t="n">
        <v>-1.653728</v>
      </c>
      <c r="H437" t="n">
        <v>-1.653653</v>
      </c>
      <c r="I437" t="n">
        <v>-10.03311483629774</v>
      </c>
      <c r="J437" t="inlineStr">
        <is>
          <t>Saudi Arabia|IKSA.L|2023</t>
        </is>
      </c>
      <c r="K437" t="inlineStr">
        <is>
          <t>Saudi Arabia|2023</t>
        </is>
      </c>
      <c r="L437" t="inlineStr">
        <is>
          <t>USD</t>
        </is>
      </c>
      <c r="M437" t="n">
        <v>8.379461836297741</v>
      </c>
      <c r="N437" t="n">
        <v>0</v>
      </c>
      <c r="O437" t="n">
        <v>8.379461836297741</v>
      </c>
      <c r="P437" t="n">
        <v>7.595831563733668e-05</v>
      </c>
      <c r="Q437" t="n">
        <v>8.379379513146556</v>
      </c>
      <c r="R437" t="n">
        <v>2.327</v>
      </c>
      <c r="S437" t="n">
        <v>4.128</v>
      </c>
      <c r="T437" t="n">
        <v>-1.801</v>
      </c>
      <c r="U437" t="n">
        <v>1218585000000</v>
      </c>
    </row>
    <row r="438">
      <c r="A438" t="inlineStr">
        <is>
          <t>Saudi Arabia</t>
        </is>
      </c>
      <c r="B438" t="inlineStr">
        <is>
          <t>SAU</t>
        </is>
      </c>
      <c r="C438" t="inlineStr">
        <is>
          <t>IKSA.L</t>
        </is>
      </c>
      <c r="D438" t="n">
        <v>2024</v>
      </c>
      <c r="E438" t="n">
        <v>-1.739530777835496</v>
      </c>
      <c r="F438" t="n">
        <v>1.997</v>
      </c>
      <c r="G438" t="n">
        <v>1.741387</v>
      </c>
      <c r="H438" t="n">
        <v>1.741364</v>
      </c>
      <c r="I438" t="n">
        <v>3.480894777835496</v>
      </c>
      <c r="J438" t="inlineStr">
        <is>
          <t>Saudi Arabia|IKSA.L|2024</t>
        </is>
      </c>
      <c r="K438" t="inlineStr">
        <is>
          <t>Saudi Arabia|2024</t>
        </is>
      </c>
      <c r="L438" t="inlineStr">
        <is>
          <t>USD</t>
        </is>
      </c>
      <c r="M438" t="n">
        <v>-1.739530777835496</v>
      </c>
      <c r="N438" t="n">
        <v>0</v>
      </c>
      <c r="O438" t="n">
        <v>-1.739530777835496</v>
      </c>
      <c r="P438" t="n">
        <v>-2.21642174502712e-05</v>
      </c>
      <c r="Q438" t="n">
        <v>-1.739508999166606</v>
      </c>
      <c r="R438" t="n">
        <v>1.688</v>
      </c>
      <c r="S438" t="n">
        <v>2.952</v>
      </c>
      <c r="T438" t="n">
        <v>-1.264</v>
      </c>
      <c r="U438" t="n">
        <v>1239805000000</v>
      </c>
    </row>
    <row r="439">
      <c r="A439" t="inlineStr">
        <is>
          <t>Saudi Arabia</t>
        </is>
      </c>
      <c r="B439" t="inlineStr">
        <is>
          <t>SAU</t>
        </is>
      </c>
      <c r="C439" t="inlineStr">
        <is>
          <t>IKSA.L</t>
        </is>
      </c>
      <c r="D439" t="n">
        <v>2025</v>
      </c>
      <c r="E439" t="n">
        <v>-6.082555514391419</v>
      </c>
      <c r="F439" t="n">
        <v>4.021</v>
      </c>
      <c r="G439" t="n">
        <v>2.317311</v>
      </c>
      <c r="H439" t="n">
        <v>2.3173</v>
      </c>
      <c r="I439" t="n">
        <v>8.399855514391419</v>
      </c>
      <c r="J439" t="inlineStr">
        <is>
          <t>Saudi Arabia|IKSA.L|2025</t>
        </is>
      </c>
      <c r="K439" t="inlineStr">
        <is>
          <t>Saudi Arabia|2025</t>
        </is>
      </c>
      <c r="L439" t="inlineStr">
        <is>
          <t>USD</t>
        </is>
      </c>
      <c r="M439" t="n">
        <v>-6.082555514391419</v>
      </c>
      <c r="N439" t="n">
        <v>0</v>
      </c>
      <c r="O439" t="n">
        <v>-6.082555514391419</v>
      </c>
      <c r="P439" t="n">
        <v>-1.087616346984177e-05</v>
      </c>
      <c r="Q439" t="n">
        <v>-6.082545299775521</v>
      </c>
      <c r="R439" t="n">
        <v>2.1</v>
      </c>
      <c r="S439" t="n">
        <v>2.715</v>
      </c>
      <c r="T439" t="n">
        <v>-0.6149999999999998</v>
      </c>
      <c r="U439" t="n">
        <v>1268535000000</v>
      </c>
    </row>
    <row r="440">
      <c r="A440" t="inlineStr">
        <is>
          <t>Saudi Arabia</t>
        </is>
      </c>
      <c r="B440" t="inlineStr">
        <is>
          <t>SAU</t>
        </is>
      </c>
      <c r="C440" t="inlineStr">
        <is>
          <t>IKSA.L</t>
        </is>
      </c>
      <c r="D440" t="n">
        <v>2026</v>
      </c>
      <c r="E440" t="n">
        <v>5.161286912875029</v>
      </c>
      <c r="F440" t="n">
        <v>3.978</v>
      </c>
      <c r="G440" t="n">
        <v>3.761463</v>
      </c>
      <c r="H440" t="n">
        <v>3.761426</v>
      </c>
      <c r="I440" t="n">
        <v>-1.399860912875029</v>
      </c>
      <c r="J440" t="inlineStr">
        <is>
          <t>Saudi Arabia|IKSA.L|2026</t>
        </is>
      </c>
      <c r="K440" t="inlineStr">
        <is>
          <t>Saudi Arabia|2026</t>
        </is>
      </c>
      <c r="L440" t="inlineStr">
        <is>
          <t>USD</t>
        </is>
      </c>
      <c r="M440" t="n">
        <v>5.161286912875029</v>
      </c>
      <c r="N440" t="n">
        <v>0</v>
      </c>
      <c r="O440" t="n">
        <v>5.161286912875029</v>
      </c>
      <c r="P440" t="n">
        <v>-3.56447590665887e-05</v>
      </c>
      <c r="Q440" t="n">
        <v>5.161324397375733</v>
      </c>
      <c r="R440" t="n">
        <v>2</v>
      </c>
      <c r="S440" t="n">
        <v>2.435</v>
      </c>
      <c r="T440" t="n">
        <v>-0.4350000000000001</v>
      </c>
      <c r="U440" t="n">
        <v>1316250000000</v>
      </c>
    </row>
    <row r="441">
      <c r="A441" t="inlineStr">
        <is>
          <t>Saudi Arabia</t>
        </is>
      </c>
      <c r="B441" t="inlineStr">
        <is>
          <t>SAU</t>
        </is>
      </c>
      <c r="C441" t="inlineStr">
        <is>
          <t>IKSA.L</t>
        </is>
      </c>
      <c r="D441" t="n">
        <v>2027</v>
      </c>
      <c r="E441" t="inlineStr"/>
      <c r="F441" t="n">
        <v>3.25</v>
      </c>
      <c r="G441" t="n">
        <v>4.755043</v>
      </c>
      <c r="H441" t="n">
        <v>4.7551</v>
      </c>
      <c r="I441" t="inlineStr"/>
      <c r="J441" t="inlineStr">
        <is>
          <t>Saudi Arabia|IKSA.L|2027</t>
        </is>
      </c>
      <c r="K441" t="inlineStr">
        <is>
          <t>Saudi Arabia|2027</t>
        </is>
      </c>
      <c r="L441" t="inlineStr">
        <is>
          <t>USD</t>
        </is>
      </c>
      <c r="M441" t="inlineStr"/>
      <c r="N441" t="inlineStr"/>
      <c r="O441" t="inlineStr"/>
      <c r="P441" t="n">
        <v>5.456430476336038e-05</v>
      </c>
      <c r="Q441" t="inlineStr"/>
      <c r="R441" t="n">
        <v>2</v>
      </c>
      <c r="S441" t="n">
        <v>2.185</v>
      </c>
      <c r="T441" t="n">
        <v>-0.1850000000000001</v>
      </c>
      <c r="U441" t="n">
        <v>1378839000000</v>
      </c>
    </row>
    <row r="442">
      <c r="A442" t="inlineStr">
        <is>
          <t>Saudi Arabia</t>
        </is>
      </c>
      <c r="B442" t="inlineStr">
        <is>
          <t>SAU</t>
        </is>
      </c>
      <c r="C442" t="inlineStr">
        <is>
          <t>IKSA.L</t>
        </is>
      </c>
      <c r="D442" t="n">
        <v>2028</v>
      </c>
      <c r="E442" t="inlineStr"/>
      <c r="F442" t="n">
        <v>3.334</v>
      </c>
      <c r="G442" t="n">
        <v>5.052078</v>
      </c>
      <c r="H442" t="n">
        <v>5.052076</v>
      </c>
      <c r="I442" t="inlineStr"/>
      <c r="J442" t="inlineStr">
        <is>
          <t>Saudi Arabia|IKSA.L|2028</t>
        </is>
      </c>
      <c r="K442" t="inlineStr">
        <is>
          <t>Saudi Arabia|2028</t>
        </is>
      </c>
      <c r="L442" t="inlineStr">
        <is>
          <t>USD</t>
        </is>
      </c>
      <c r="M442" t="inlineStr"/>
      <c r="N442" t="inlineStr"/>
      <c r="O442" t="inlineStr"/>
      <c r="P442" t="n">
        <v>-1.162600637982791e-06</v>
      </c>
      <c r="Q442" t="inlineStr"/>
      <c r="R442" t="n">
        <v>2</v>
      </c>
      <c r="S442" t="n">
        <v>2.206</v>
      </c>
      <c r="T442" t="n">
        <v>-0.206</v>
      </c>
      <c r="U442" t="n">
        <v>1448499000000</v>
      </c>
    </row>
    <row r="443">
      <c r="A443" t="inlineStr">
        <is>
          <t>Saudi Arabia</t>
        </is>
      </c>
      <c r="B443" t="inlineStr">
        <is>
          <t>SAU</t>
        </is>
      </c>
      <c r="C443" t="inlineStr">
        <is>
          <t>IKSA.L</t>
        </is>
      </c>
      <c r="D443" t="n">
        <v>2029</v>
      </c>
      <c r="E443" t="inlineStr"/>
      <c r="F443" t="n">
        <v>3.3</v>
      </c>
      <c r="G443" t="n">
        <v>5.082982</v>
      </c>
      <c r="H443" t="n">
        <v>5.082986</v>
      </c>
      <c r="I443" t="inlineStr"/>
      <c r="J443" t="inlineStr">
        <is>
          <t>Saudi Arabia|IKSA.L|2029</t>
        </is>
      </c>
      <c r="K443" t="inlineStr">
        <is>
          <t>Saudi Arabia|2029</t>
        </is>
      </c>
      <c r="L443" t="inlineStr">
        <is>
          <t>USD</t>
        </is>
      </c>
      <c r="M443" t="inlineStr"/>
      <c r="N443" t="inlineStr"/>
      <c r="O443" t="inlineStr"/>
      <c r="P443" t="n">
        <v>3.266706793958463e-06</v>
      </c>
      <c r="Q443" t="inlineStr"/>
      <c r="R443" t="n">
        <v>2</v>
      </c>
      <c r="S443" t="n">
        <v>2.203</v>
      </c>
      <c r="T443" t="n">
        <v>-0.2029999999999998</v>
      </c>
      <c r="U443" t="n">
        <v>1522126000000</v>
      </c>
    </row>
    <row r="444">
      <c r="A444" t="inlineStr">
        <is>
          <t>South Africa</t>
        </is>
      </c>
      <c r="B444" t="inlineStr">
        <is>
          <t>ZAF</t>
        </is>
      </c>
      <c r="C444" t="inlineStr">
        <is>
          <t>IRSA.L</t>
        </is>
      </c>
      <c r="D444" t="n">
        <v>2004</v>
      </c>
      <c r="E444" t="inlineStr"/>
      <c r="F444" t="n">
        <v>4.555</v>
      </c>
      <c r="G444" t="inlineStr"/>
      <c r="H444" t="inlineStr"/>
      <c r="I444" t="inlineStr"/>
      <c r="J444" t="inlineStr">
        <is>
          <t>South Africa|IRSA.L|2004</t>
        </is>
      </c>
      <c r="K444" t="inlineStr">
        <is>
          <t>South Africa|2004</t>
        </is>
      </c>
      <c r="L444" t="inlineStr">
        <is>
          <t>USD</t>
        </is>
      </c>
      <c r="M444" t="inlineStr"/>
      <c r="N444" t="inlineStr"/>
      <c r="O444" t="inlineStr"/>
      <c r="P444" t="inlineStr"/>
      <c r="Q444" t="inlineStr"/>
      <c r="R444" t="n">
        <v>1.386</v>
      </c>
      <c r="S444" t="n">
        <v>2.668</v>
      </c>
      <c r="T444" t="n">
        <v>-1.282</v>
      </c>
      <c r="U444" t="n">
        <v>256188000000</v>
      </c>
    </row>
    <row r="445">
      <c r="A445" t="inlineStr">
        <is>
          <t>South Africa</t>
        </is>
      </c>
      <c r="B445" t="inlineStr">
        <is>
          <t>ZAF</t>
        </is>
      </c>
      <c r="C445" t="inlineStr">
        <is>
          <t>IRSA.L</t>
        </is>
      </c>
      <c r="D445" t="n">
        <v>2005</v>
      </c>
      <c r="E445" t="inlineStr"/>
      <c r="F445" t="n">
        <v>5.277</v>
      </c>
      <c r="G445" t="n">
        <v>11.169409</v>
      </c>
      <c r="H445" t="n">
        <v>12.709807</v>
      </c>
      <c r="I445" t="inlineStr"/>
      <c r="J445" t="inlineStr">
        <is>
          <t>South Africa|IRSA.L|2005</t>
        </is>
      </c>
      <c r="K445" t="inlineStr">
        <is>
          <t>South Africa|2005</t>
        </is>
      </c>
      <c r="L445" t="inlineStr">
        <is>
          <t>USD</t>
        </is>
      </c>
      <c r="M445" t="inlineStr"/>
      <c r="N445" t="inlineStr"/>
      <c r="O445" t="inlineStr"/>
      <c r="P445" t="n">
        <v>1.38563107243328</v>
      </c>
      <c r="Q445" t="inlineStr"/>
      <c r="R445" t="n">
        <v>3.393</v>
      </c>
      <c r="S445" t="n">
        <v>3.366</v>
      </c>
      <c r="T445" t="n">
        <v>0.02699999999999969</v>
      </c>
      <c r="U445" t="n">
        <v>288749000000</v>
      </c>
    </row>
    <row r="446">
      <c r="A446" t="inlineStr">
        <is>
          <t>South Africa</t>
        </is>
      </c>
      <c r="B446" t="inlineStr">
        <is>
          <t>ZAF</t>
        </is>
      </c>
      <c r="C446" t="inlineStr">
        <is>
          <t>IRSA.L</t>
        </is>
      </c>
      <c r="D446" t="n">
        <v>2006</v>
      </c>
      <c r="E446" t="inlineStr"/>
      <c r="F446" t="n">
        <v>5.604</v>
      </c>
      <c r="G446" t="n">
        <v>12.008383</v>
      </c>
      <c r="H446" t="n">
        <v>5.300798</v>
      </c>
      <c r="I446" t="inlineStr"/>
      <c r="J446" t="inlineStr">
        <is>
          <t>South Africa|IRSA.L|2006</t>
        </is>
      </c>
      <c r="K446" t="inlineStr">
        <is>
          <t>South Africa|2006</t>
        </is>
      </c>
      <c r="L446" t="inlineStr">
        <is>
          <t>USD</t>
        </is>
      </c>
      <c r="M446" t="inlineStr"/>
      <c r="N446" t="inlineStr"/>
      <c r="O446" t="inlineStr"/>
      <c r="P446" t="n">
        <v>-5.988467524817431</v>
      </c>
      <c r="Q446" t="inlineStr"/>
      <c r="R446" t="n">
        <v>4.651</v>
      </c>
      <c r="S446" t="n">
        <v>3.222</v>
      </c>
      <c r="T446" t="n">
        <v>1.429</v>
      </c>
      <c r="U446" t="n">
        <v>304055000000</v>
      </c>
    </row>
    <row r="447">
      <c r="A447" t="inlineStr">
        <is>
          <t>South Africa</t>
        </is>
      </c>
      <c r="B447" t="inlineStr">
        <is>
          <t>ZAF</t>
        </is>
      </c>
      <c r="C447" t="inlineStr">
        <is>
          <t>IRSA.L</t>
        </is>
      </c>
      <c r="D447" t="n">
        <v>2007</v>
      </c>
      <c r="E447" t="inlineStr"/>
      <c r="F447" t="n">
        <v>5.36</v>
      </c>
      <c r="G447" t="n">
        <v>14.048301</v>
      </c>
      <c r="H447" t="n">
        <v>9.404548999999999</v>
      </c>
      <c r="I447" t="inlineStr"/>
      <c r="J447" t="inlineStr">
        <is>
          <t>South Africa|IRSA.L|2007</t>
        </is>
      </c>
      <c r="K447" t="inlineStr">
        <is>
          <t>South Africa|2007</t>
        </is>
      </c>
      <c r="L447" t="inlineStr">
        <is>
          <t>USD</t>
        </is>
      </c>
      <c r="M447" t="inlineStr"/>
      <c r="N447" t="inlineStr"/>
      <c r="O447" t="inlineStr"/>
      <c r="P447" t="n">
        <v>-4.071741982178634</v>
      </c>
      <c r="Q447" t="inlineStr"/>
      <c r="R447" t="n">
        <v>7.128</v>
      </c>
      <c r="S447" t="n">
        <v>2.871</v>
      </c>
      <c r="T447" t="n">
        <v>4.257</v>
      </c>
      <c r="U447" t="n">
        <v>332650000000</v>
      </c>
    </row>
    <row r="448">
      <c r="A448" t="inlineStr">
        <is>
          <t>South Africa</t>
        </is>
      </c>
      <c r="B448" t="inlineStr">
        <is>
          <t>ZAF</t>
        </is>
      </c>
      <c r="C448" t="inlineStr">
        <is>
          <t>IRSA.L</t>
        </is>
      </c>
      <c r="D448" t="n">
        <v>2008</v>
      </c>
      <c r="E448" t="inlineStr"/>
      <c r="F448" t="n">
        <v>3.191</v>
      </c>
      <c r="G448" t="n">
        <v>11.291837</v>
      </c>
      <c r="H448" t="n">
        <v>-4.857658</v>
      </c>
      <c r="I448" t="inlineStr"/>
      <c r="J448" t="inlineStr">
        <is>
          <t>South Africa|IRSA.L|2008</t>
        </is>
      </c>
      <c r="K448" t="inlineStr">
        <is>
          <t>South Africa|2008</t>
        </is>
      </c>
      <c r="L448" t="inlineStr">
        <is>
          <t>USD</t>
        </is>
      </c>
      <c r="M448" t="inlineStr"/>
      <c r="N448" t="n">
        <v>0</v>
      </c>
      <c r="O448" t="inlineStr"/>
      <c r="P448" t="n">
        <v>-14.51094295904194</v>
      </c>
      <c r="Q448" t="inlineStr"/>
      <c r="R448" t="n">
        <v>10.865</v>
      </c>
      <c r="S448" t="n">
        <v>3.815</v>
      </c>
      <c r="T448" t="n">
        <v>7.050000000000001</v>
      </c>
      <c r="U448" t="n">
        <v>316491000000</v>
      </c>
    </row>
    <row r="449">
      <c r="A449" t="inlineStr">
        <is>
          <t>South Africa</t>
        </is>
      </c>
      <c r="B449" t="inlineStr">
        <is>
          <t>ZAF</t>
        </is>
      </c>
      <c r="C449" t="inlineStr">
        <is>
          <t>IRSA.L</t>
        </is>
      </c>
      <c r="D449" t="n">
        <v>2009</v>
      </c>
      <c r="E449" t="inlineStr"/>
      <c r="F449" t="n">
        <v>-1.538</v>
      </c>
      <c r="G449" t="n">
        <v>6.991723</v>
      </c>
      <c r="H449" t="n">
        <v>4.64247</v>
      </c>
      <c r="I449" t="inlineStr"/>
      <c r="J449" t="inlineStr">
        <is>
          <t>South Africa|IRSA.L|2009</t>
        </is>
      </c>
      <c r="K449" t="inlineStr">
        <is>
          <t>South Africa|2009</t>
        </is>
      </c>
      <c r="L449" t="inlineStr">
        <is>
          <t>USD</t>
        </is>
      </c>
      <c r="M449" t="inlineStr"/>
      <c r="N449" t="n">
        <v>0</v>
      </c>
      <c r="O449" t="inlineStr"/>
      <c r="P449" t="n">
        <v>-2.195733136665823</v>
      </c>
      <c r="Q449" t="inlineStr"/>
      <c r="R449" t="n">
        <v>7.198</v>
      </c>
      <c r="S449" t="n">
        <v>-0.32</v>
      </c>
      <c r="T449" t="n">
        <v>7.518000000000001</v>
      </c>
      <c r="U449" t="n">
        <v>331184000000</v>
      </c>
    </row>
    <row r="450">
      <c r="A450" t="inlineStr">
        <is>
          <t>South Africa</t>
        </is>
      </c>
      <c r="B450" t="inlineStr">
        <is>
          <t>ZAF</t>
        </is>
      </c>
      <c r="C450" t="inlineStr">
        <is>
          <t>IRSA.L</t>
        </is>
      </c>
      <c r="D450" t="n">
        <v>2010</v>
      </c>
      <c r="E450" t="n">
        <v>41.31276177035461</v>
      </c>
      <c r="F450" t="n">
        <v>3.04</v>
      </c>
      <c r="G450" t="n">
        <v>9.354423000000001</v>
      </c>
      <c r="H450" t="n">
        <v>26.006993</v>
      </c>
      <c r="I450" t="n">
        <v>-15.30576877035461</v>
      </c>
      <c r="J450" t="inlineStr">
        <is>
          <t>South Africa|IRSA.L|2010</t>
        </is>
      </c>
      <c r="K450" t="inlineStr">
        <is>
          <t>South Africa|2010</t>
        </is>
      </c>
      <c r="L450" t="inlineStr">
        <is>
          <t>USD</t>
        </is>
      </c>
      <c r="M450" t="n">
        <v>41.31276177035461</v>
      </c>
      <c r="N450" t="n">
        <v>0</v>
      </c>
      <c r="O450" t="n">
        <v>41.31276177035461</v>
      </c>
      <c r="P450" t="n">
        <v>15.2280718464477</v>
      </c>
      <c r="Q450" t="n">
        <v>22.63744372870114</v>
      </c>
      <c r="R450" t="n">
        <v>4.235</v>
      </c>
      <c r="S450" t="n">
        <v>1.637</v>
      </c>
      <c r="T450" t="n">
        <v>2.598</v>
      </c>
      <c r="U450" t="n">
        <v>417315000000</v>
      </c>
    </row>
    <row r="451">
      <c r="A451" t="inlineStr">
        <is>
          <t>South Africa</t>
        </is>
      </c>
      <c r="B451" t="inlineStr">
        <is>
          <t>ZAF</t>
        </is>
      </c>
      <c r="C451" t="inlineStr">
        <is>
          <t>IRSA.L</t>
        </is>
      </c>
      <c r="D451" t="n">
        <v>2011</v>
      </c>
      <c r="E451" t="n">
        <v>-13.89294613466495</v>
      </c>
      <c r="F451" t="n">
        <v>3.169</v>
      </c>
      <c r="G451" t="n">
        <v>8.883127999999999</v>
      </c>
      <c r="H451" t="n">
        <v>9.918886000000001</v>
      </c>
      <c r="I451" t="n">
        <v>23.81183213466495</v>
      </c>
      <c r="J451" t="inlineStr">
        <is>
          <t>South Africa|IRSA.L|2011</t>
        </is>
      </c>
      <c r="K451" t="inlineStr">
        <is>
          <t>South Africa|2011</t>
        </is>
      </c>
      <c r="L451" t="inlineStr">
        <is>
          <t>USD</t>
        </is>
      </c>
      <c r="M451" t="n">
        <v>-13.89294613466495</v>
      </c>
      <c r="N451" t="n">
        <v>0</v>
      </c>
      <c r="O451" t="n">
        <v>-13.89294613466495</v>
      </c>
      <c r="P451" t="n">
        <v>0.9512572735293379</v>
      </c>
      <c r="Q451" t="n">
        <v>-14.70432742404945</v>
      </c>
      <c r="R451" t="n">
        <v>4.98</v>
      </c>
      <c r="S451" t="n">
        <v>3.14</v>
      </c>
      <c r="T451" t="n">
        <v>1.84</v>
      </c>
      <c r="U451" t="n">
        <v>458708000000</v>
      </c>
    </row>
    <row r="452">
      <c r="A452" t="inlineStr">
        <is>
          <t>South Africa</t>
        </is>
      </c>
      <c r="B452" t="inlineStr">
        <is>
          <t>ZAF</t>
        </is>
      </c>
      <c r="C452" t="inlineStr">
        <is>
          <t>IRSA.L</t>
        </is>
      </c>
      <c r="D452" t="n">
        <v>2012</v>
      </c>
      <c r="E452" t="n">
        <v>14.87069175411948</v>
      </c>
      <c r="F452" t="n">
        <v>2.396</v>
      </c>
      <c r="G452" t="n">
        <v>7.193707</v>
      </c>
      <c r="H452" t="n">
        <v>-5.299232</v>
      </c>
      <c r="I452" t="n">
        <v>-20.16992375411948</v>
      </c>
      <c r="J452" t="inlineStr">
        <is>
          <t>South Africa|IRSA.L|2012</t>
        </is>
      </c>
      <c r="K452" t="inlineStr">
        <is>
          <t>South Africa|2012</t>
        </is>
      </c>
      <c r="L452" t="inlineStr">
        <is>
          <t>USD</t>
        </is>
      </c>
      <c r="M452" t="n">
        <v>14.87069175411948</v>
      </c>
      <c r="N452" t="n">
        <v>0</v>
      </c>
      <c r="O452" t="n">
        <v>14.87069175411948</v>
      </c>
      <c r="P452" t="n">
        <v>-11.65454461974855</v>
      </c>
      <c r="Q452" t="n">
        <v>30.02444920307403</v>
      </c>
      <c r="R452" t="n">
        <v>5.651</v>
      </c>
      <c r="S452" t="n">
        <v>2.073</v>
      </c>
      <c r="T452" t="n">
        <v>3.578</v>
      </c>
      <c r="U452" t="n">
        <v>434400000000</v>
      </c>
    </row>
    <row r="453">
      <c r="A453" t="inlineStr">
        <is>
          <t>South Africa</t>
        </is>
      </c>
      <c r="B453" t="inlineStr">
        <is>
          <t>ZAF</t>
        </is>
      </c>
      <c r="C453" t="inlineStr">
        <is>
          <t>IRSA.L</t>
        </is>
      </c>
      <c r="D453" t="n">
        <v>2013</v>
      </c>
      <c r="E453" t="n">
        <v>-8.064980959670853</v>
      </c>
      <c r="F453" t="n">
        <v>2.485</v>
      </c>
      <c r="G453" t="n">
        <v>8.474856000000001</v>
      </c>
      <c r="H453" t="n">
        <v>-7.717081</v>
      </c>
      <c r="I453" t="n">
        <v>0.347899959670853</v>
      </c>
      <c r="J453" t="inlineStr">
        <is>
          <t>South Africa|IRSA.L|2013</t>
        </is>
      </c>
      <c r="K453" t="inlineStr">
        <is>
          <t>South Africa|2013</t>
        </is>
      </c>
      <c r="L453" t="inlineStr">
        <is>
          <t>USD</t>
        </is>
      </c>
      <c r="M453" t="n">
        <v>-8.064980959670853</v>
      </c>
      <c r="N453" t="n">
        <v>0</v>
      </c>
      <c r="O453" t="n">
        <v>-8.064980959670853</v>
      </c>
      <c r="P453" t="n">
        <v>-14.92690360849608</v>
      </c>
      <c r="Q453" t="n">
        <v>8.065913831614701</v>
      </c>
      <c r="R453" t="n">
        <v>5.747</v>
      </c>
      <c r="S453" t="n">
        <v>1.466</v>
      </c>
      <c r="T453" t="n">
        <v>4.281</v>
      </c>
      <c r="U453" t="n">
        <v>400877000000</v>
      </c>
    </row>
    <row r="454">
      <c r="A454" t="inlineStr">
        <is>
          <t>South Africa</t>
        </is>
      </c>
      <c r="B454" t="inlineStr">
        <is>
          <t>ZAF</t>
        </is>
      </c>
      <c r="C454" t="inlineStr">
        <is>
          <t>IRSA.L</t>
        </is>
      </c>
      <c r="D454" t="n">
        <v>2014</v>
      </c>
      <c r="E454" t="n">
        <v>6.108068314926607</v>
      </c>
      <c r="F454" t="n">
        <v>1.414</v>
      </c>
      <c r="G454" t="n">
        <v>6.856224</v>
      </c>
      <c r="H454" t="n">
        <v>-4.909735</v>
      </c>
      <c r="I454" t="n">
        <v>-11.01780331492661</v>
      </c>
      <c r="J454" t="inlineStr">
        <is>
          <t>South Africa|IRSA.L|2014</t>
        </is>
      </c>
      <c r="K454" t="inlineStr">
        <is>
          <t>South Africa|2014</t>
        </is>
      </c>
      <c r="L454" t="inlineStr">
        <is>
          <t>USD</t>
        </is>
      </c>
      <c r="M454" t="n">
        <v>6.108068314926607</v>
      </c>
      <c r="N454" t="n">
        <v>0</v>
      </c>
      <c r="O454" t="n">
        <v>6.108068314926607</v>
      </c>
      <c r="P454" t="n">
        <v>-11.01101910727816</v>
      </c>
      <c r="Q454" t="n">
        <v>19.23731146313745</v>
      </c>
      <c r="R454" t="n">
        <v>6.116</v>
      </c>
      <c r="S454" t="n">
        <v>1.615</v>
      </c>
      <c r="T454" t="n">
        <v>4.500999999999999</v>
      </c>
      <c r="U454" t="n">
        <v>381195000000</v>
      </c>
    </row>
    <row r="455">
      <c r="A455" t="inlineStr">
        <is>
          <t>South Africa</t>
        </is>
      </c>
      <c r="B455" t="inlineStr">
        <is>
          <t>ZAF</t>
        </is>
      </c>
      <c r="C455" t="inlineStr">
        <is>
          <t>IRSA.L</t>
        </is>
      </c>
      <c r="D455" t="n">
        <v>2015</v>
      </c>
      <c r="E455" t="n">
        <v>-24.05351480551538</v>
      </c>
      <c r="F455" t="n">
        <v>1.322</v>
      </c>
      <c r="G455" t="n">
        <v>6.940707</v>
      </c>
      <c r="H455" t="n">
        <v>-9.058881</v>
      </c>
      <c r="I455" t="n">
        <v>14.99463380551538</v>
      </c>
      <c r="J455" t="inlineStr">
        <is>
          <t>South Africa|IRSA.L|2015</t>
        </is>
      </c>
      <c r="K455" t="inlineStr">
        <is>
          <t>South Africa|2015</t>
        </is>
      </c>
      <c r="L455" t="inlineStr">
        <is>
          <t>USD</t>
        </is>
      </c>
      <c r="M455" t="n">
        <v>-24.05351480551538</v>
      </c>
      <c r="N455" t="n">
        <v>0</v>
      </c>
      <c r="O455" t="n">
        <v>-24.05351480551538</v>
      </c>
      <c r="P455" t="n">
        <v>-14.96117597624932</v>
      </c>
      <c r="Q455" t="n">
        <v>-10.69198561203839</v>
      </c>
      <c r="R455" t="n">
        <v>4.589</v>
      </c>
      <c r="S455" t="n">
        <v>0.121</v>
      </c>
      <c r="T455" t="n">
        <v>4.468</v>
      </c>
      <c r="U455" t="n">
        <v>346663000000</v>
      </c>
    </row>
    <row r="456">
      <c r="A456" t="inlineStr">
        <is>
          <t>South Africa</t>
        </is>
      </c>
      <c r="B456" t="inlineStr">
        <is>
          <t>ZAF</t>
        </is>
      </c>
      <c r="C456" t="inlineStr">
        <is>
          <t>IRSA.L</t>
        </is>
      </c>
      <c r="D456" t="n">
        <v>2016</v>
      </c>
      <c r="E456" t="n">
        <v>21.89386186222804</v>
      </c>
      <c r="F456" t="n">
        <v>0.665</v>
      </c>
      <c r="G456" t="n">
        <v>7.662924</v>
      </c>
      <c r="H456" t="n">
        <v>-6.683725</v>
      </c>
      <c r="I456" t="n">
        <v>-28.57758686222803</v>
      </c>
      <c r="J456" t="inlineStr">
        <is>
          <t>South Africa|IRSA.L|2016</t>
        </is>
      </c>
      <c r="K456" t="inlineStr">
        <is>
          <t>South Africa|2016</t>
        </is>
      </c>
      <c r="L456" t="inlineStr">
        <is>
          <t>USD</t>
        </is>
      </c>
      <c r="M456" t="n">
        <v>21.89386186222804</v>
      </c>
      <c r="N456" t="n">
        <v>0</v>
      </c>
      <c r="O456" t="n">
        <v>21.89386186222804</v>
      </c>
      <c r="P456" t="n">
        <v>-13.32552363775227</v>
      </c>
      <c r="Q456" t="n">
        <v>40.63409088597689</v>
      </c>
      <c r="R456" t="n">
        <v>6.32</v>
      </c>
      <c r="S456" t="n">
        <v>1.267</v>
      </c>
      <c r="T456" t="n">
        <v>5.053000000000001</v>
      </c>
      <c r="U456" t="n">
        <v>323493000000</v>
      </c>
    </row>
    <row r="457">
      <c r="A457" t="inlineStr">
        <is>
          <t>South Africa</t>
        </is>
      </c>
      <c r="B457" t="inlineStr">
        <is>
          <t>ZAF</t>
        </is>
      </c>
      <c r="C457" t="inlineStr">
        <is>
          <t>IRSA.L</t>
        </is>
      </c>
      <c r="D457" t="n">
        <v>2017</v>
      </c>
      <c r="E457" t="n">
        <v>34.23377729686121</v>
      </c>
      <c r="F457" t="n">
        <v>1.158</v>
      </c>
      <c r="G457" t="n">
        <v>6.694659</v>
      </c>
      <c r="H457" t="n">
        <v>17.874884</v>
      </c>
      <c r="I457" t="n">
        <v>-16.35889329686121</v>
      </c>
      <c r="J457" t="inlineStr">
        <is>
          <t>South Africa|IRSA.L|2017</t>
        </is>
      </c>
      <c r="K457" t="inlineStr">
        <is>
          <t>South Africa|2017</t>
        </is>
      </c>
      <c r="L457" t="inlineStr">
        <is>
          <t>USD</t>
        </is>
      </c>
      <c r="M457" t="n">
        <v>34.23377729686121</v>
      </c>
      <c r="N457" t="n">
        <v>0</v>
      </c>
      <c r="O457" t="n">
        <v>34.23377729686121</v>
      </c>
      <c r="P457" t="n">
        <v>10.47871096741679</v>
      </c>
      <c r="Q457" t="n">
        <v>21.50194016696161</v>
      </c>
      <c r="R457" t="n">
        <v>5.294</v>
      </c>
      <c r="S457" t="n">
        <v>2.131</v>
      </c>
      <c r="T457" t="n">
        <v>3.163</v>
      </c>
      <c r="U457" t="n">
        <v>381317000000</v>
      </c>
    </row>
    <row r="458">
      <c r="A458" t="inlineStr">
        <is>
          <t>South Africa</t>
        </is>
      </c>
      <c r="B458" t="inlineStr">
        <is>
          <t>ZAF</t>
        </is>
      </c>
      <c r="C458" t="inlineStr">
        <is>
          <t>IRSA.L</t>
        </is>
      </c>
      <c r="D458" t="n">
        <v>2018</v>
      </c>
      <c r="E458" t="n">
        <v>-24.79147038938383</v>
      </c>
      <c r="F458" t="n">
        <v>1.557</v>
      </c>
      <c r="G458" t="n">
        <v>5.612215</v>
      </c>
      <c r="H458" t="n">
        <v>6.235232</v>
      </c>
      <c r="I458" t="n">
        <v>31.02670238938383</v>
      </c>
      <c r="J458" t="inlineStr">
        <is>
          <t>South Africa|IRSA.L|2018</t>
        </is>
      </c>
      <c r="K458" t="inlineStr">
        <is>
          <t>South Africa|2018</t>
        </is>
      </c>
      <c r="L458" t="inlineStr">
        <is>
          <t>USD</t>
        </is>
      </c>
      <c r="M458" t="n">
        <v>-24.79147038938383</v>
      </c>
      <c r="N458" t="n">
        <v>0</v>
      </c>
      <c r="O458" t="n">
        <v>-24.79147038938383</v>
      </c>
      <c r="P458" t="n">
        <v>0.5899100257062306</v>
      </c>
      <c r="Q458" t="n">
        <v>-25.2325311838968</v>
      </c>
      <c r="R458" t="n">
        <v>4.596</v>
      </c>
      <c r="S458" t="n">
        <v>2.439</v>
      </c>
      <c r="T458" t="n">
        <v>2.157</v>
      </c>
      <c r="U458" t="n">
        <v>405093000000</v>
      </c>
    </row>
    <row r="459">
      <c r="A459" t="inlineStr">
        <is>
          <t>South Africa</t>
        </is>
      </c>
      <c r="B459" t="inlineStr">
        <is>
          <t>ZAF</t>
        </is>
      </c>
      <c r="C459" t="inlineStr">
        <is>
          <t>IRSA.L</t>
        </is>
      </c>
      <c r="D459" t="n">
        <v>2019</v>
      </c>
      <c r="E459" t="n">
        <v>11.06752716800878</v>
      </c>
      <c r="F459" t="n">
        <v>0.26</v>
      </c>
      <c r="G459" t="n">
        <v>4.885469</v>
      </c>
      <c r="H459" t="n">
        <v>-3.912188</v>
      </c>
      <c r="I459" t="n">
        <v>-14.97971516800878</v>
      </c>
      <c r="J459" t="inlineStr">
        <is>
          <t>South Africa|IRSA.L|2019</t>
        </is>
      </c>
      <c r="K459" t="inlineStr">
        <is>
          <t>South Africa|2019</t>
        </is>
      </c>
      <c r="L459" t="inlineStr">
        <is>
          <t>USD</t>
        </is>
      </c>
      <c r="M459" t="n">
        <v>11.06752716800878</v>
      </c>
      <c r="N459" t="n">
        <v>0</v>
      </c>
      <c r="O459" t="n">
        <v>11.06752716800878</v>
      </c>
      <c r="P459" t="n">
        <v>-8.387870510503181</v>
      </c>
      <c r="Q459" t="n">
        <v>21.23670499411599</v>
      </c>
      <c r="R459" t="n">
        <v>4.115</v>
      </c>
      <c r="S459" t="n">
        <v>1.813</v>
      </c>
      <c r="T459" t="n">
        <v>2.302</v>
      </c>
      <c r="U459" t="n">
        <v>389245000000</v>
      </c>
    </row>
    <row r="460">
      <c r="A460" t="inlineStr">
        <is>
          <t>South Africa</t>
        </is>
      </c>
      <c r="B460" t="inlineStr">
        <is>
          <t>ZAF</t>
        </is>
      </c>
      <c r="C460" t="inlineStr">
        <is>
          <t>IRSA.L</t>
        </is>
      </c>
      <c r="D460" t="n">
        <v>2020</v>
      </c>
      <c r="E460" t="n">
        <v>-3.222364564563518</v>
      </c>
      <c r="F460" t="n">
        <v>-6.169</v>
      </c>
      <c r="G460" t="n">
        <v>-1.110128</v>
      </c>
      <c r="H460" t="n">
        <v>-13.197087</v>
      </c>
      <c r="I460" t="n">
        <v>-9.974722435436481</v>
      </c>
      <c r="J460" t="inlineStr">
        <is>
          <t>South Africa|IRSA.L|2020</t>
        </is>
      </c>
      <c r="K460" t="inlineStr">
        <is>
          <t>South Africa|2020</t>
        </is>
      </c>
      <c r="L460" t="inlineStr">
        <is>
          <t>USD</t>
        </is>
      </c>
      <c r="M460" t="n">
        <v>-3.222364564563518</v>
      </c>
      <c r="N460" t="n">
        <v>0</v>
      </c>
      <c r="O460" t="n">
        <v>-3.222364564563518</v>
      </c>
      <c r="P460" t="n">
        <v>-12.22264564770048</v>
      </c>
      <c r="Q460" t="n">
        <v>10.25353423961015</v>
      </c>
      <c r="R460" t="n">
        <v>3.288</v>
      </c>
      <c r="S460" t="n">
        <v>1.253</v>
      </c>
      <c r="T460" t="n">
        <v>2.035</v>
      </c>
      <c r="U460" t="n">
        <v>337876000000</v>
      </c>
    </row>
    <row r="461">
      <c r="A461" t="inlineStr">
        <is>
          <t>South Africa</t>
        </is>
      </c>
      <c r="B461" t="inlineStr">
        <is>
          <t>ZAF</t>
        </is>
      </c>
      <c r="C461" t="inlineStr">
        <is>
          <t>IRSA.L</t>
        </is>
      </c>
      <c r="D461" t="n">
        <v>2021</v>
      </c>
      <c r="E461" t="n">
        <v>3.746853039929943</v>
      </c>
      <c r="F461" t="n">
        <v>4.859</v>
      </c>
      <c r="G461" t="n">
        <v>11.578443</v>
      </c>
      <c r="H461" t="n">
        <v>24.26985</v>
      </c>
      <c r="I461" t="n">
        <v>20.52299696007006</v>
      </c>
      <c r="J461" t="inlineStr">
        <is>
          <t>South Africa|IRSA.L|2021</t>
        </is>
      </c>
      <c r="K461" t="inlineStr">
        <is>
          <t>South Africa|2021</t>
        </is>
      </c>
      <c r="L461" t="inlineStr">
        <is>
          <t>USD</t>
        </is>
      </c>
      <c r="M461" t="n">
        <v>3.746853039929943</v>
      </c>
      <c r="N461" t="n">
        <v>0</v>
      </c>
      <c r="O461" t="n">
        <v>3.746853039929943</v>
      </c>
      <c r="P461" t="n">
        <v>11.37442596697338</v>
      </c>
      <c r="Q461" t="n">
        <v>-6.848585625308001</v>
      </c>
      <c r="R461" t="n">
        <v>4.553</v>
      </c>
      <c r="S461" t="n">
        <v>4.679</v>
      </c>
      <c r="T461" t="n">
        <v>-0.1260000000000003</v>
      </c>
      <c r="U461" t="n">
        <v>419878000000</v>
      </c>
    </row>
    <row r="462">
      <c r="A462" t="inlineStr">
        <is>
          <t>South Africa</t>
        </is>
      </c>
      <c r="B462" t="inlineStr">
        <is>
          <t>ZAF</t>
        </is>
      </c>
      <c r="C462" t="inlineStr">
        <is>
          <t>IRSA.L</t>
        </is>
      </c>
      <c r="D462" t="n">
        <v>2022</v>
      </c>
      <c r="E462" t="n">
        <v>-4.587850327537191</v>
      </c>
      <c r="F462" t="n">
        <v>2.058</v>
      </c>
      <c r="G462" t="n">
        <v>7.406989</v>
      </c>
      <c r="H462" t="n">
        <v>-2.964671</v>
      </c>
      <c r="I462" t="n">
        <v>1.623179327537191</v>
      </c>
      <c r="J462" t="inlineStr">
        <is>
          <t>South Africa|IRSA.L|2022</t>
        </is>
      </c>
      <c r="K462" t="inlineStr">
        <is>
          <t>South Africa|2022</t>
        </is>
      </c>
      <c r="L462" t="inlineStr">
        <is>
          <t>USD</t>
        </is>
      </c>
      <c r="M462" t="n">
        <v>-4.587850327537191</v>
      </c>
      <c r="N462" t="n">
        <v>0</v>
      </c>
      <c r="O462" t="n">
        <v>-4.587850327537191</v>
      </c>
      <c r="P462" t="n">
        <v>-9.656410023450967</v>
      </c>
      <c r="Q462" t="n">
        <v>5.610314685557038</v>
      </c>
      <c r="R462" t="n">
        <v>6.864</v>
      </c>
      <c r="S462" t="n">
        <v>7.993</v>
      </c>
      <c r="T462" t="n">
        <v>-1.129</v>
      </c>
      <c r="U462" t="n">
        <v>407430000000</v>
      </c>
    </row>
    <row r="463">
      <c r="A463" t="inlineStr">
        <is>
          <t>South Africa</t>
        </is>
      </c>
      <c r="B463" t="inlineStr">
        <is>
          <t>ZAF</t>
        </is>
      </c>
      <c r="C463" t="inlineStr">
        <is>
          <t>IRSA.L</t>
        </is>
      </c>
      <c r="D463" t="n">
        <v>2023</v>
      </c>
      <c r="E463" t="n">
        <v>-1.273890748070561</v>
      </c>
      <c r="F463" t="n">
        <v>0.806</v>
      </c>
      <c r="G463" t="n">
        <v>5.566467</v>
      </c>
      <c r="H463" t="n">
        <v>-6.405027</v>
      </c>
      <c r="I463" t="n">
        <v>-5.131136251929439</v>
      </c>
      <c r="J463" t="inlineStr">
        <is>
          <t>South Africa|IRSA.L|2023</t>
        </is>
      </c>
      <c r="K463" t="inlineStr">
        <is>
          <t>South Africa|2023</t>
        </is>
      </c>
      <c r="L463" t="inlineStr">
        <is>
          <t>USD</t>
        </is>
      </c>
      <c r="M463" t="n">
        <v>-1.273890748070561</v>
      </c>
      <c r="N463" t="n">
        <v>0</v>
      </c>
      <c r="O463" t="n">
        <v>-1.273890748070561</v>
      </c>
      <c r="P463" t="n">
        <v>-11.3402423639299</v>
      </c>
      <c r="Q463" t="n">
        <v>11.353912850946</v>
      </c>
      <c r="R463" t="n">
        <v>5.903</v>
      </c>
      <c r="S463" t="n">
        <v>4.128</v>
      </c>
      <c r="T463" t="n">
        <v>1.774999999999999</v>
      </c>
      <c r="U463" t="n">
        <v>381334000000</v>
      </c>
    </row>
    <row r="464">
      <c r="A464" t="inlineStr">
        <is>
          <t>South Africa</t>
        </is>
      </c>
      <c r="B464" t="inlineStr">
        <is>
          <t>ZAF</t>
        </is>
      </c>
      <c r="C464" t="inlineStr">
        <is>
          <t>IRSA.L</t>
        </is>
      </c>
      <c r="D464" t="n">
        <v>2024</v>
      </c>
      <c r="E464" t="n">
        <v>9.804554511548847</v>
      </c>
      <c r="F464" t="n">
        <v>0.535</v>
      </c>
      <c r="G464" t="n">
        <v>4.472728</v>
      </c>
      <c r="H464" t="n">
        <v>5.177089</v>
      </c>
      <c r="I464" t="n">
        <v>-4.627465511548848</v>
      </c>
      <c r="J464" t="inlineStr">
        <is>
          <t>South Africa|IRSA.L|2024</t>
        </is>
      </c>
      <c r="K464" t="inlineStr">
        <is>
          <t>South Africa|2024</t>
        </is>
      </c>
      <c r="L464" t="inlineStr">
        <is>
          <t>USD</t>
        </is>
      </c>
      <c r="M464" t="n">
        <v>9.804554511548847</v>
      </c>
      <c r="N464" t="n">
        <v>0</v>
      </c>
      <c r="O464" t="n">
        <v>9.804554511548847</v>
      </c>
      <c r="P464" t="n">
        <v>0.6742056870953972</v>
      </c>
      <c r="Q464" t="n">
        <v>9.069203737083754</v>
      </c>
      <c r="R464" t="n">
        <v>4.426</v>
      </c>
      <c r="S464" t="n">
        <v>2.952</v>
      </c>
      <c r="T464" t="n">
        <v>1.474</v>
      </c>
      <c r="U464" t="n">
        <v>401076000000</v>
      </c>
    </row>
    <row r="465">
      <c r="A465" t="inlineStr">
        <is>
          <t>South Africa</t>
        </is>
      </c>
      <c r="B465" t="inlineStr">
        <is>
          <t>ZAF</t>
        </is>
      </c>
      <c r="C465" t="inlineStr">
        <is>
          <t>IRSA.L</t>
        </is>
      </c>
      <c r="D465" t="n">
        <v>2025</v>
      </c>
      <c r="E465" t="n">
        <v>75.04335635161455</v>
      </c>
      <c r="F465" t="n">
        <v>1.149</v>
      </c>
      <c r="G465" t="n">
        <v>4.705452</v>
      </c>
      <c r="H465" t="n">
        <v>6.309777</v>
      </c>
      <c r="I465" t="n">
        <v>-68.73357935161455</v>
      </c>
      <c r="J465" t="inlineStr">
        <is>
          <t>South Africa|IRSA.L|2025</t>
        </is>
      </c>
      <c r="K465" t="inlineStr">
        <is>
          <t>South Africa|2025</t>
        </is>
      </c>
      <c r="L465" t="inlineStr">
        <is>
          <t>USD</t>
        </is>
      </c>
      <c r="M465" t="n">
        <v>75.04335635161455</v>
      </c>
      <c r="N465" t="n">
        <v>0</v>
      </c>
      <c r="O465" t="n">
        <v>75.04335635161455</v>
      </c>
      <c r="P465" t="n">
        <v>1.532226590883012</v>
      </c>
      <c r="Q465" t="n">
        <v>72.40177057964017</v>
      </c>
      <c r="R465" t="n">
        <v>3.359</v>
      </c>
      <c r="S465" t="n">
        <v>2.715</v>
      </c>
      <c r="T465" t="n">
        <v>0.6440000000000001</v>
      </c>
      <c r="U465" t="n">
        <v>426383000000</v>
      </c>
    </row>
    <row r="466">
      <c r="A466" t="inlineStr">
        <is>
          <t>South Africa</t>
        </is>
      </c>
      <c r="B466" t="inlineStr">
        <is>
          <t>ZAF</t>
        </is>
      </c>
      <c r="C466" t="inlineStr">
        <is>
          <t>IRSA.L</t>
        </is>
      </c>
      <c r="D466" t="n">
        <v>2026</v>
      </c>
      <c r="E466" t="n">
        <v>2.991243469671212</v>
      </c>
      <c r="F466" t="n">
        <v>1.151</v>
      </c>
      <c r="G466" t="n">
        <v>4.860935</v>
      </c>
      <c r="H466" t="n">
        <v>4.048004</v>
      </c>
      <c r="I466" t="n">
        <v>1.056760530328788</v>
      </c>
      <c r="J466" t="inlineStr">
        <is>
          <t>South Africa|IRSA.L|2026</t>
        </is>
      </c>
      <c r="K466" t="inlineStr">
        <is>
          <t>South Africa|2026</t>
        </is>
      </c>
      <c r="L466" t="inlineStr">
        <is>
          <t>USD</t>
        </is>
      </c>
      <c r="M466" t="n">
        <v>2.991243469671212</v>
      </c>
      <c r="N466" t="n">
        <v>0</v>
      </c>
      <c r="O466" t="n">
        <v>2.991243469671212</v>
      </c>
      <c r="P466" t="n">
        <v>-0.7752469863729683</v>
      </c>
      <c r="Q466" t="n">
        <v>3.79591819747529</v>
      </c>
      <c r="R466" t="n">
        <v>3.664</v>
      </c>
      <c r="S466" t="n">
        <v>2.435</v>
      </c>
      <c r="T466" t="n">
        <v>1.229</v>
      </c>
      <c r="U466" t="n">
        <v>443643000000</v>
      </c>
    </row>
    <row r="467">
      <c r="A467" t="inlineStr">
        <is>
          <t>South Africa</t>
        </is>
      </c>
      <c r="B467" t="inlineStr">
        <is>
          <t>ZAF</t>
        </is>
      </c>
      <c r="C467" t="inlineStr">
        <is>
          <t>IRSA.L</t>
        </is>
      </c>
      <c r="D467" t="n">
        <v>2027</v>
      </c>
      <c r="E467" t="inlineStr"/>
      <c r="F467" t="n">
        <v>1.512</v>
      </c>
      <c r="G467" t="n">
        <v>4.766922</v>
      </c>
      <c r="H467" t="n">
        <v>3.336016</v>
      </c>
      <c r="I467" t="inlineStr"/>
      <c r="J467" t="inlineStr">
        <is>
          <t>South Africa|IRSA.L|2027</t>
        </is>
      </c>
      <c r="K467" t="inlineStr">
        <is>
          <t>South Africa|2027</t>
        </is>
      </c>
      <c r="L467" t="inlineStr">
        <is>
          <t>USD</t>
        </is>
      </c>
      <c r="M467" t="inlineStr"/>
      <c r="N467" t="inlineStr"/>
      <c r="O467" t="inlineStr"/>
      <c r="P467" t="n">
        <v>-1.365799452694705</v>
      </c>
      <c r="Q467" t="inlineStr"/>
      <c r="R467" t="n">
        <v>3.232</v>
      </c>
      <c r="S467" t="n">
        <v>2.185</v>
      </c>
      <c r="T467" t="n">
        <v>1.047</v>
      </c>
      <c r="U467" t="n">
        <v>458443000000</v>
      </c>
    </row>
    <row r="468">
      <c r="A468" t="inlineStr">
        <is>
          <t>South Africa</t>
        </is>
      </c>
      <c r="B468" t="inlineStr">
        <is>
          <t>ZAF</t>
        </is>
      </c>
      <c r="C468" t="inlineStr">
        <is>
          <t>IRSA.L</t>
        </is>
      </c>
      <c r="D468" t="n">
        <v>2028</v>
      </c>
      <c r="E468" t="inlineStr"/>
      <c r="F468" t="n">
        <v>1.702</v>
      </c>
      <c r="G468" t="n">
        <v>4.906291</v>
      </c>
      <c r="H468" t="n">
        <v>3.724127</v>
      </c>
      <c r="I468" t="inlineStr"/>
      <c r="J468" t="inlineStr">
        <is>
          <t>South Africa|IRSA.L|2028</t>
        </is>
      </c>
      <c r="K468" t="inlineStr">
        <is>
          <t>South Africa|2028</t>
        </is>
      </c>
      <c r="L468" t="inlineStr">
        <is>
          <t>USD</t>
        </is>
      </c>
      <c r="M468" t="inlineStr"/>
      <c r="N468" t="inlineStr"/>
      <c r="O468" t="inlineStr"/>
      <c r="P468" t="n">
        <v>-1.126876515225639</v>
      </c>
      <c r="Q468" t="inlineStr"/>
      <c r="R468" t="n">
        <v>3</v>
      </c>
      <c r="S468" t="n">
        <v>2.206</v>
      </c>
      <c r="T468" t="n">
        <v>0.794</v>
      </c>
      <c r="U468" t="n">
        <v>475516000000</v>
      </c>
    </row>
    <row r="469">
      <c r="A469" t="inlineStr">
        <is>
          <t>South Africa</t>
        </is>
      </c>
      <c r="B469" t="inlineStr">
        <is>
          <t>ZAF</t>
        </is>
      </c>
      <c r="C469" t="inlineStr">
        <is>
          <t>IRSA.L</t>
        </is>
      </c>
      <c r="D469" t="n">
        <v>2029</v>
      </c>
      <c r="E469" t="inlineStr"/>
      <c r="F469" t="n">
        <v>1.835</v>
      </c>
      <c r="G469" t="n">
        <v>4.869249</v>
      </c>
      <c r="H469" t="n">
        <v>3.750242</v>
      </c>
      <c r="I469" t="inlineStr"/>
      <c r="J469" t="inlineStr">
        <is>
          <t>South Africa|IRSA.L|2029</t>
        </is>
      </c>
      <c r="K469" t="inlineStr">
        <is>
          <t>South Africa|2029</t>
        </is>
      </c>
      <c r="L469" t="inlineStr">
        <is>
          <t>USD</t>
        </is>
      </c>
      <c r="M469" t="inlineStr"/>
      <c r="N469" t="inlineStr"/>
      <c r="O469" t="inlineStr"/>
      <c r="P469" t="n">
        <v>-1.067050310175166</v>
      </c>
      <c r="Q469" t="inlineStr"/>
      <c r="R469" t="n">
        <v>3</v>
      </c>
      <c r="S469" t="n">
        <v>2.203</v>
      </c>
      <c r="T469" t="n">
        <v>0.7970000000000002</v>
      </c>
      <c r="U469" t="n">
        <v>493349000000</v>
      </c>
    </row>
    <row r="470">
      <c r="A470" t="inlineStr">
        <is>
          <t>South Africa</t>
        </is>
      </c>
      <c r="B470" t="inlineStr">
        <is>
          <t>ZAF</t>
        </is>
      </c>
      <c r="C470" t="inlineStr">
        <is>
          <t>SRSA.L</t>
        </is>
      </c>
      <c r="D470" t="n">
        <v>2004</v>
      </c>
      <c r="E470" t="inlineStr"/>
      <c r="F470" t="n">
        <v>4.555</v>
      </c>
      <c r="G470" t="inlineStr"/>
      <c r="H470" t="inlineStr"/>
      <c r="I470" t="inlineStr"/>
      <c r="J470" t="inlineStr">
        <is>
          <t>South Africa|SRSA.L|2004</t>
        </is>
      </c>
      <c r="K470" t="inlineStr">
        <is>
          <t>South Africa|2004</t>
        </is>
      </c>
      <c r="L470" t="inlineStr">
        <is>
          <t>GBp</t>
        </is>
      </c>
      <c r="M470" t="inlineStr"/>
      <c r="N470" t="inlineStr"/>
      <c r="O470" t="inlineStr"/>
      <c r="P470" t="inlineStr"/>
      <c r="Q470" t="inlineStr"/>
      <c r="R470" t="n">
        <v>1.386</v>
      </c>
      <c r="S470" t="n">
        <v>2.668</v>
      </c>
      <c r="T470" t="n">
        <v>-1.282</v>
      </c>
      <c r="U470" t="n">
        <v>256188000000</v>
      </c>
    </row>
    <row r="471">
      <c r="A471" t="inlineStr">
        <is>
          <t>South Africa</t>
        </is>
      </c>
      <c r="B471" t="inlineStr">
        <is>
          <t>ZAF</t>
        </is>
      </c>
      <c r="C471" t="inlineStr">
        <is>
          <t>SRSA.L</t>
        </is>
      </c>
      <c r="D471" t="n">
        <v>2005</v>
      </c>
      <c r="E471" t="inlineStr"/>
      <c r="F471" t="n">
        <v>5.277</v>
      </c>
      <c r="G471" t="n">
        <v>11.169409</v>
      </c>
      <c r="H471" t="n">
        <v>12.709807</v>
      </c>
      <c r="I471" t="inlineStr"/>
      <c r="J471" t="inlineStr">
        <is>
          <t>South Africa|SRSA.L|2005</t>
        </is>
      </c>
      <c r="K471" t="inlineStr">
        <is>
          <t>South Africa|2005</t>
        </is>
      </c>
      <c r="L471" t="inlineStr">
        <is>
          <t>GBp</t>
        </is>
      </c>
      <c r="M471" t="inlineStr"/>
      <c r="N471" t="inlineStr"/>
      <c r="O471" t="inlineStr"/>
      <c r="P471" t="n">
        <v>1.38563107243328</v>
      </c>
      <c r="Q471" t="inlineStr"/>
      <c r="R471" t="n">
        <v>3.393</v>
      </c>
      <c r="S471" t="n">
        <v>3.366</v>
      </c>
      <c r="T471" t="n">
        <v>0.02699999999999969</v>
      </c>
      <c r="U471" t="n">
        <v>288749000000</v>
      </c>
    </row>
    <row r="472">
      <c r="A472" t="inlineStr">
        <is>
          <t>South Africa</t>
        </is>
      </c>
      <c r="B472" t="inlineStr">
        <is>
          <t>ZAF</t>
        </is>
      </c>
      <c r="C472" t="inlineStr">
        <is>
          <t>SRSA.L</t>
        </is>
      </c>
      <c r="D472" t="n">
        <v>2006</v>
      </c>
      <c r="E472" t="inlineStr"/>
      <c r="F472" t="n">
        <v>5.604</v>
      </c>
      <c r="G472" t="n">
        <v>12.008383</v>
      </c>
      <c r="H472" t="n">
        <v>5.300798</v>
      </c>
      <c r="I472" t="inlineStr"/>
      <c r="J472" t="inlineStr">
        <is>
          <t>South Africa|SRSA.L|2006</t>
        </is>
      </c>
      <c r="K472" t="inlineStr">
        <is>
          <t>South Africa|2006</t>
        </is>
      </c>
      <c r="L472" t="inlineStr">
        <is>
          <t>GBp</t>
        </is>
      </c>
      <c r="M472" t="inlineStr"/>
      <c r="N472" t="inlineStr"/>
      <c r="O472" t="inlineStr"/>
      <c r="P472" t="n">
        <v>-5.988467524817431</v>
      </c>
      <c r="Q472" t="inlineStr"/>
      <c r="R472" t="n">
        <v>4.651</v>
      </c>
      <c r="S472" t="n">
        <v>3.222</v>
      </c>
      <c r="T472" t="n">
        <v>1.429</v>
      </c>
      <c r="U472" t="n">
        <v>304055000000</v>
      </c>
    </row>
    <row r="473">
      <c r="A473" t="inlineStr">
        <is>
          <t>South Africa</t>
        </is>
      </c>
      <c r="B473" t="inlineStr">
        <is>
          <t>ZAF</t>
        </is>
      </c>
      <c r="C473" t="inlineStr">
        <is>
          <t>SRSA.L</t>
        </is>
      </c>
      <c r="D473" t="n">
        <v>2007</v>
      </c>
      <c r="E473" t="inlineStr"/>
      <c r="F473" t="n">
        <v>5.36</v>
      </c>
      <c r="G473" t="n">
        <v>14.048301</v>
      </c>
      <c r="H473" t="n">
        <v>9.404548999999999</v>
      </c>
      <c r="I473" t="inlineStr"/>
      <c r="J473" t="inlineStr">
        <is>
          <t>South Africa|SRSA.L|2007</t>
        </is>
      </c>
      <c r="K473" t="inlineStr">
        <is>
          <t>South Africa|2007</t>
        </is>
      </c>
      <c r="L473" t="inlineStr">
        <is>
          <t>GBp</t>
        </is>
      </c>
      <c r="M473" t="inlineStr"/>
      <c r="N473" t="inlineStr"/>
      <c r="O473" t="inlineStr"/>
      <c r="P473" t="n">
        <v>-4.071741982178634</v>
      </c>
      <c r="Q473" t="inlineStr"/>
      <c r="R473" t="n">
        <v>7.128</v>
      </c>
      <c r="S473" t="n">
        <v>2.871</v>
      </c>
      <c r="T473" t="n">
        <v>4.257</v>
      </c>
      <c r="U473" t="n">
        <v>332650000000</v>
      </c>
    </row>
    <row r="474">
      <c r="A474" t="inlineStr">
        <is>
          <t>South Africa</t>
        </is>
      </c>
      <c r="B474" t="inlineStr">
        <is>
          <t>ZAF</t>
        </is>
      </c>
      <c r="C474" t="inlineStr">
        <is>
          <t>SRSA.L</t>
        </is>
      </c>
      <c r="D474" t="n">
        <v>2008</v>
      </c>
      <c r="E474" t="inlineStr"/>
      <c r="F474" t="n">
        <v>3.191</v>
      </c>
      <c r="G474" t="n">
        <v>11.291837</v>
      </c>
      <c r="H474" t="n">
        <v>-4.857658</v>
      </c>
      <c r="I474" t="inlineStr"/>
      <c r="J474" t="inlineStr">
        <is>
          <t>South Africa|SRSA.L|2008</t>
        </is>
      </c>
      <c r="K474" t="inlineStr">
        <is>
          <t>South Africa|2008</t>
        </is>
      </c>
      <c r="L474" t="inlineStr">
        <is>
          <t>GBp</t>
        </is>
      </c>
      <c r="M474" t="inlineStr"/>
      <c r="N474" t="n">
        <v>-26.2666463318202</v>
      </c>
      <c r="O474" t="inlineStr"/>
      <c r="P474" t="n">
        <v>-14.51094295904194</v>
      </c>
      <c r="Q474" t="inlineStr"/>
      <c r="R474" t="n">
        <v>10.865</v>
      </c>
      <c r="S474" t="n">
        <v>3.815</v>
      </c>
      <c r="T474" t="n">
        <v>7.050000000000001</v>
      </c>
      <c r="U474" t="n">
        <v>316491000000</v>
      </c>
    </row>
    <row r="475">
      <c r="A475" t="inlineStr">
        <is>
          <t>South Africa</t>
        </is>
      </c>
      <c r="B475" t="inlineStr">
        <is>
          <t>ZAF</t>
        </is>
      </c>
      <c r="C475" t="inlineStr">
        <is>
          <t>SRSA.L</t>
        </is>
      </c>
      <c r="D475" t="n">
        <v>2009</v>
      </c>
      <c r="E475" t="inlineStr"/>
      <c r="F475" t="n">
        <v>-1.538</v>
      </c>
      <c r="G475" t="n">
        <v>6.991723</v>
      </c>
      <c r="H475" t="n">
        <v>4.64247</v>
      </c>
      <c r="I475" t="inlineStr"/>
      <c r="J475" t="inlineStr">
        <is>
          <t>South Africa|SRSA.L|2009</t>
        </is>
      </c>
      <c r="K475" t="inlineStr">
        <is>
          <t>South Africa|2009</t>
        </is>
      </c>
      <c r="L475" t="inlineStr">
        <is>
          <t>GBp</t>
        </is>
      </c>
      <c r="M475" t="inlineStr"/>
      <c r="N475" t="n">
        <v>9.775566130910907</v>
      </c>
      <c r="O475" t="inlineStr"/>
      <c r="P475" t="n">
        <v>-2.195733136665823</v>
      </c>
      <c r="Q475" t="inlineStr"/>
      <c r="R475" t="n">
        <v>7.198</v>
      </c>
      <c r="S475" t="n">
        <v>-0.32</v>
      </c>
      <c r="T475" t="n">
        <v>7.518000000000001</v>
      </c>
      <c r="U475" t="n">
        <v>331184000000</v>
      </c>
    </row>
    <row r="476">
      <c r="A476" t="inlineStr">
        <is>
          <t>South Africa</t>
        </is>
      </c>
      <c r="B476" t="inlineStr">
        <is>
          <t>ZAF</t>
        </is>
      </c>
      <c r="C476" t="inlineStr">
        <is>
          <t>SRSA.L</t>
        </is>
      </c>
      <c r="D476" t="n">
        <v>2010</v>
      </c>
      <c r="E476" t="n">
        <v>-9.22634996615429</v>
      </c>
      <c r="F476" t="n">
        <v>3.04</v>
      </c>
      <c r="G476" t="n">
        <v>9.354423000000001</v>
      </c>
      <c r="H476" t="n">
        <v>26.006993</v>
      </c>
      <c r="I476" t="n">
        <v>39.14853316144209</v>
      </c>
      <c r="J476" t="inlineStr">
        <is>
          <t>South Africa|SRSA.L|2010</t>
        </is>
      </c>
      <c r="K476" t="inlineStr">
        <is>
          <t>South Africa|2010</t>
        </is>
      </c>
      <c r="L476" t="inlineStr">
        <is>
          <t>GBp</t>
        </is>
      </c>
      <c r="M476" t="n">
        <v>-9.22634996615429</v>
      </c>
      <c r="N476" t="n">
        <v>-4.313135137595536</v>
      </c>
      <c r="O476" t="n">
        <v>-13.14154016144209</v>
      </c>
      <c r="P476" t="n">
        <v>15.2280718464477</v>
      </c>
      <c r="Q476" t="n">
        <v>-24.62039983251215</v>
      </c>
      <c r="R476" t="n">
        <v>4.235</v>
      </c>
      <c r="S476" t="n">
        <v>1.637</v>
      </c>
      <c r="T476" t="n">
        <v>2.598</v>
      </c>
      <c r="U476" t="n">
        <v>417315000000</v>
      </c>
    </row>
    <row r="477">
      <c r="A477" t="inlineStr">
        <is>
          <t>South Africa</t>
        </is>
      </c>
      <c r="B477" t="inlineStr">
        <is>
          <t>ZAF</t>
        </is>
      </c>
      <c r="C477" t="inlineStr">
        <is>
          <t>SRSA.L</t>
        </is>
      </c>
      <c r="D477" t="n">
        <v>2011</v>
      </c>
      <c r="E477" t="n">
        <v>-13.18430656934306</v>
      </c>
      <c r="F477" t="n">
        <v>3.169</v>
      </c>
      <c r="G477" t="n">
        <v>8.883127999999999</v>
      </c>
      <c r="H477" t="n">
        <v>9.918886000000001</v>
      </c>
      <c r="I477" t="n">
        <v>23.97578814471223</v>
      </c>
      <c r="J477" t="inlineStr">
        <is>
          <t>South Africa|SRSA.L|2011</t>
        </is>
      </c>
      <c r="K477" t="inlineStr">
        <is>
          <t>South Africa|2011</t>
        </is>
      </c>
      <c r="L477" t="inlineStr">
        <is>
          <t>GBp</t>
        </is>
      </c>
      <c r="M477" t="n">
        <v>-13.18430656934306</v>
      </c>
      <c r="N477" t="n">
        <v>-1.005112717398426</v>
      </c>
      <c r="O477" t="n">
        <v>-14.05690214471223</v>
      </c>
      <c r="P477" t="n">
        <v>0.9512572735293379</v>
      </c>
      <c r="Q477" t="n">
        <v>-14.86673848704694</v>
      </c>
      <c r="R477" t="n">
        <v>4.98</v>
      </c>
      <c r="S477" t="n">
        <v>3.14</v>
      </c>
      <c r="T477" t="n">
        <v>1.84</v>
      </c>
      <c r="U477" t="n">
        <v>458708000000</v>
      </c>
    </row>
    <row r="478">
      <c r="A478" t="inlineStr">
        <is>
          <t>South Africa</t>
        </is>
      </c>
      <c r="B478" t="inlineStr">
        <is>
          <t>ZAF</t>
        </is>
      </c>
      <c r="C478" t="inlineStr">
        <is>
          <t>SRSA.L</t>
        </is>
      </c>
      <c r="D478" t="n">
        <v>2012</v>
      </c>
      <c r="E478" t="n">
        <v>11.37957911145751</v>
      </c>
      <c r="F478" t="n">
        <v>2.396</v>
      </c>
      <c r="G478" t="n">
        <v>7.193707</v>
      </c>
      <c r="H478" t="n">
        <v>-5.299232</v>
      </c>
      <c r="I478" t="n">
        <v>-21.3521739001574</v>
      </c>
      <c r="J478" t="inlineStr">
        <is>
          <t>South Africa|SRSA.L|2012</t>
        </is>
      </c>
      <c r="K478" t="inlineStr">
        <is>
          <t>South Africa|2012</t>
        </is>
      </c>
      <c r="L478" t="inlineStr">
        <is>
          <t>GBp</t>
        </is>
      </c>
      <c r="M478" t="n">
        <v>11.37957911145751</v>
      </c>
      <c r="N478" t="n">
        <v>4.195888354025179</v>
      </c>
      <c r="O478" t="n">
        <v>16.0529419001574</v>
      </c>
      <c r="P478" t="n">
        <v>-11.65454461974855</v>
      </c>
      <c r="Q478" t="n">
        <v>31.36266195091642</v>
      </c>
      <c r="R478" t="n">
        <v>5.651</v>
      </c>
      <c r="S478" t="n">
        <v>2.073</v>
      </c>
      <c r="T478" t="n">
        <v>3.578</v>
      </c>
      <c r="U478" t="n">
        <v>434400000000</v>
      </c>
    </row>
    <row r="479">
      <c r="A479" t="inlineStr">
        <is>
          <t>South Africa</t>
        </is>
      </c>
      <c r="B479" t="inlineStr">
        <is>
          <t>ZAF</t>
        </is>
      </c>
      <c r="C479" t="inlineStr">
        <is>
          <t>SRSA.L</t>
        </is>
      </c>
      <c r="D479" t="n">
        <v>2013</v>
      </c>
      <c r="E479" t="n">
        <v>-9.655012734429258</v>
      </c>
      <c r="F479" t="n">
        <v>2.485</v>
      </c>
      <c r="G479" t="n">
        <v>8.474856000000001</v>
      </c>
      <c r="H479" t="n">
        <v>-7.717081</v>
      </c>
      <c r="I479" t="n">
        <v>0.4983507387863817</v>
      </c>
      <c r="J479" t="inlineStr">
        <is>
          <t>South Africa|SRSA.L|2013</t>
        </is>
      </c>
      <c r="K479" t="inlineStr">
        <is>
          <t>South Africa|2013</t>
        </is>
      </c>
      <c r="L479" t="inlineStr">
        <is>
          <t>GBp</t>
        </is>
      </c>
      <c r="M479" t="n">
        <v>-9.655012734429258</v>
      </c>
      <c r="N479" t="n">
        <v>1.593426530031161</v>
      </c>
      <c r="O479" t="n">
        <v>-8.215431738786382</v>
      </c>
      <c r="P479" t="n">
        <v>-14.92690360849608</v>
      </c>
      <c r="Q479" t="n">
        <v>7.889064997497797</v>
      </c>
      <c r="R479" t="n">
        <v>5.747</v>
      </c>
      <c r="S479" t="n">
        <v>1.466</v>
      </c>
      <c r="T479" t="n">
        <v>4.281</v>
      </c>
      <c r="U479" t="n">
        <v>400877000000</v>
      </c>
    </row>
    <row r="480">
      <c r="A480" t="inlineStr">
        <is>
          <t>South Africa</t>
        </is>
      </c>
      <c r="B480" t="inlineStr">
        <is>
          <t>ZAF</t>
        </is>
      </c>
      <c r="C480" t="inlineStr">
        <is>
          <t>SRSA.L</t>
        </is>
      </c>
      <c r="D480" t="n">
        <v>2014</v>
      </c>
      <c r="E480" t="n">
        <v>11.77909371781667</v>
      </c>
      <c r="F480" t="n">
        <v>1.414</v>
      </c>
      <c r="G480" t="n">
        <v>6.856224</v>
      </c>
      <c r="H480" t="n">
        <v>-4.909735</v>
      </c>
      <c r="I480" t="n">
        <v>-9.974769718612038</v>
      </c>
      <c r="J480" t="inlineStr">
        <is>
          <t>South Africa|SRSA.L|2014</t>
        </is>
      </c>
      <c r="K480" t="inlineStr">
        <is>
          <t>South Africa|2014</t>
        </is>
      </c>
      <c r="L480" t="inlineStr">
        <is>
          <t>GBp</t>
        </is>
      </c>
      <c r="M480" t="n">
        <v>11.77909371781667</v>
      </c>
      <c r="N480" t="n">
        <v>-6.006542704804973</v>
      </c>
      <c r="O480" t="n">
        <v>5.065034718612038</v>
      </c>
      <c r="P480" t="n">
        <v>-11.01101910727816</v>
      </c>
      <c r="Q480" t="n">
        <v>18.06521848505067</v>
      </c>
      <c r="R480" t="n">
        <v>6.116</v>
      </c>
      <c r="S480" t="n">
        <v>1.615</v>
      </c>
      <c r="T480" t="n">
        <v>4.500999999999999</v>
      </c>
      <c r="U480" t="n">
        <v>381195000000</v>
      </c>
    </row>
    <row r="481">
      <c r="A481" t="inlineStr">
        <is>
          <t>South Africa</t>
        </is>
      </c>
      <c r="B481" t="inlineStr">
        <is>
          <t>ZAF</t>
        </is>
      </c>
      <c r="C481" t="inlineStr">
        <is>
          <t>SRSA.L</t>
        </is>
      </c>
      <c r="D481" t="n">
        <v>2015</v>
      </c>
      <c r="E481" t="n">
        <v>-21.28082271824237</v>
      </c>
      <c r="F481" t="n">
        <v>1.322</v>
      </c>
      <c r="G481" t="n">
        <v>6.940707</v>
      </c>
      <c r="H481" t="n">
        <v>-9.058881</v>
      </c>
      <c r="I481" t="n">
        <v>16.07040883814624</v>
      </c>
      <c r="J481" t="inlineStr">
        <is>
          <t>South Africa|SRSA.L|2015</t>
        </is>
      </c>
      <c r="K481" t="inlineStr">
        <is>
          <t>South Africa|2015</t>
        </is>
      </c>
      <c r="L481" t="inlineStr">
        <is>
          <t>GBp</t>
        </is>
      </c>
      <c r="M481" t="n">
        <v>-21.28082271824237</v>
      </c>
      <c r="N481" t="n">
        <v>-4.888855870697362</v>
      </c>
      <c r="O481" t="n">
        <v>-25.12928983814624</v>
      </c>
      <c r="P481" t="n">
        <v>-14.96117597624932</v>
      </c>
      <c r="Q481" t="n">
        <v>-11.95702548644963</v>
      </c>
      <c r="R481" t="n">
        <v>4.589</v>
      </c>
      <c r="S481" t="n">
        <v>0.121</v>
      </c>
      <c r="T481" t="n">
        <v>4.468</v>
      </c>
      <c r="U481" t="n">
        <v>346663000000</v>
      </c>
    </row>
    <row r="482">
      <c r="A482" t="inlineStr">
        <is>
          <t>South Africa</t>
        </is>
      </c>
      <c r="B482" t="inlineStr">
        <is>
          <t>ZAF</t>
        </is>
      </c>
      <c r="C482" t="inlineStr">
        <is>
          <t>SRSA.L</t>
        </is>
      </c>
      <c r="D482" t="n">
        <v>2016</v>
      </c>
      <c r="E482" t="n">
        <v>45.48229548229548</v>
      </c>
      <c r="F482" t="n">
        <v>0.665</v>
      </c>
      <c r="G482" t="n">
        <v>7.662924</v>
      </c>
      <c r="H482" t="n">
        <v>-6.683725</v>
      </c>
      <c r="I482" t="n">
        <v>-27.97855795592849</v>
      </c>
      <c r="J482" t="inlineStr">
        <is>
          <t>South Africa|SRSA.L|2016</t>
        </is>
      </c>
      <c r="K482" t="inlineStr">
        <is>
          <t>South Africa|2016</t>
        </is>
      </c>
      <c r="L482" t="inlineStr">
        <is>
          <t>GBp</t>
        </is>
      </c>
      <c r="M482" t="n">
        <v>45.48229548229548</v>
      </c>
      <c r="N482" t="n">
        <v>-16.62570861023462</v>
      </c>
      <c r="O482" t="n">
        <v>21.29483295592849</v>
      </c>
      <c r="P482" t="n">
        <v>-13.32552363775227</v>
      </c>
      <c r="Q482" t="n">
        <v>39.94296596496096</v>
      </c>
      <c r="R482" t="n">
        <v>6.32</v>
      </c>
      <c r="S482" t="n">
        <v>1.267</v>
      </c>
      <c r="T482" t="n">
        <v>5.053000000000001</v>
      </c>
      <c r="U482" t="n">
        <v>323493000000</v>
      </c>
    </row>
    <row r="483">
      <c r="A483" t="inlineStr">
        <is>
          <t>South Africa</t>
        </is>
      </c>
      <c r="B483" t="inlineStr">
        <is>
          <t>ZAF</t>
        </is>
      </c>
      <c r="C483" t="inlineStr">
        <is>
          <t>SRSA.L</t>
        </is>
      </c>
      <c r="D483" t="n">
        <v>2017</v>
      </c>
      <c r="E483" t="n">
        <v>23.73816213966073</v>
      </c>
      <c r="F483" t="n">
        <v>1.158</v>
      </c>
      <c r="G483" t="n">
        <v>6.694659</v>
      </c>
      <c r="H483" t="n">
        <v>17.874884</v>
      </c>
      <c r="I483" t="n">
        <v>-16.80344924706115</v>
      </c>
      <c r="J483" t="inlineStr">
        <is>
          <t>South Africa|SRSA.L|2017</t>
        </is>
      </c>
      <c r="K483" t="inlineStr">
        <is>
          <t>South Africa|2017</t>
        </is>
      </c>
      <c r="L483" t="inlineStr">
        <is>
          <t>GBp</t>
        </is>
      </c>
      <c r="M483" t="n">
        <v>23.73816213966073</v>
      </c>
      <c r="N483" t="n">
        <v>8.841388071573641</v>
      </c>
      <c r="O483" t="n">
        <v>34.67833324706115</v>
      </c>
      <c r="P483" t="n">
        <v>10.47871096741679</v>
      </c>
      <c r="Q483" t="n">
        <v>21.90433076901259</v>
      </c>
      <c r="R483" t="n">
        <v>5.294</v>
      </c>
      <c r="S483" t="n">
        <v>2.131</v>
      </c>
      <c r="T483" t="n">
        <v>3.163</v>
      </c>
      <c r="U483" t="n">
        <v>381317000000</v>
      </c>
    </row>
    <row r="484">
      <c r="A484" t="inlineStr">
        <is>
          <t>South Africa</t>
        </is>
      </c>
      <c r="B484" t="inlineStr">
        <is>
          <t>ZAF</t>
        </is>
      </c>
      <c r="C484" t="inlineStr">
        <is>
          <t>SRSA.L</t>
        </is>
      </c>
      <c r="D484" t="n">
        <v>2018</v>
      </c>
      <c r="E484" t="n">
        <v>-19.97611736608667</v>
      </c>
      <c r="F484" t="n">
        <v>1.557</v>
      </c>
      <c r="G484" t="n">
        <v>5.612215</v>
      </c>
      <c r="H484" t="n">
        <v>6.235232</v>
      </c>
      <c r="I484" t="n">
        <v>31.0810460767292</v>
      </c>
      <c r="J484" t="inlineStr">
        <is>
          <t>South Africa|SRSA.L|2018</t>
        </is>
      </c>
      <c r="K484" t="inlineStr">
        <is>
          <t>South Africa|2018</t>
        </is>
      </c>
      <c r="L484" t="inlineStr">
        <is>
          <t>GBp</t>
        </is>
      </c>
      <c r="M484" t="n">
        <v>-19.97611736608667</v>
      </c>
      <c r="N484" t="n">
        <v>-6.085304224640065</v>
      </c>
      <c r="O484" t="n">
        <v>-24.8458140767292</v>
      </c>
      <c r="P484" t="n">
        <v>0.5899100257062306</v>
      </c>
      <c r="Q484" t="n">
        <v>-25.2865561724185</v>
      </c>
      <c r="R484" t="n">
        <v>4.596</v>
      </c>
      <c r="S484" t="n">
        <v>2.439</v>
      </c>
      <c r="T484" t="n">
        <v>2.157</v>
      </c>
      <c r="U484" t="n">
        <v>405093000000</v>
      </c>
    </row>
    <row r="485">
      <c r="A485" t="inlineStr">
        <is>
          <t>South Africa</t>
        </is>
      </c>
      <c r="B485" t="inlineStr">
        <is>
          <t>ZAF</t>
        </is>
      </c>
      <c r="C485" t="inlineStr">
        <is>
          <t>SRSA.L</t>
        </is>
      </c>
      <c r="D485" t="n">
        <v>2019</v>
      </c>
      <c r="E485" t="n">
        <v>5.935386927122455</v>
      </c>
      <c r="F485" t="n">
        <v>0.26</v>
      </c>
      <c r="G485" t="n">
        <v>4.885469</v>
      </c>
      <c r="H485" t="n">
        <v>-3.912188</v>
      </c>
      <c r="I485" t="n">
        <v>-12.96616895748153</v>
      </c>
      <c r="J485" t="inlineStr">
        <is>
          <t>South Africa|SRSA.L|2019</t>
        </is>
      </c>
      <c r="K485" t="inlineStr">
        <is>
          <t>South Africa|2019</t>
        </is>
      </c>
      <c r="L485" t="inlineStr">
        <is>
          <t>GBp</t>
        </is>
      </c>
      <c r="M485" t="n">
        <v>5.935386927122455</v>
      </c>
      <c r="N485" t="n">
        <v>2.94386429390634</v>
      </c>
      <c r="O485" t="n">
        <v>9.053980957481533</v>
      </c>
      <c r="P485" t="n">
        <v>-8.387870510503181</v>
      </c>
      <c r="Q485" t="n">
        <v>19.03880148314245</v>
      </c>
      <c r="R485" t="n">
        <v>4.115</v>
      </c>
      <c r="S485" t="n">
        <v>1.813</v>
      </c>
      <c r="T485" t="n">
        <v>2.302</v>
      </c>
      <c r="U485" t="n">
        <v>389245000000</v>
      </c>
    </row>
    <row r="486">
      <c r="A486" t="inlineStr">
        <is>
          <t>South Africa</t>
        </is>
      </c>
      <c r="B486" t="inlineStr">
        <is>
          <t>ZAF</t>
        </is>
      </c>
      <c r="C486" t="inlineStr">
        <is>
          <t>SRSA.L</t>
        </is>
      </c>
      <c r="D486" t="n">
        <v>2020</v>
      </c>
      <c r="E486" t="n">
        <v>-6.724969843184558</v>
      </c>
      <c r="F486" t="n">
        <v>-6.169</v>
      </c>
      <c r="G486" t="n">
        <v>-1.110128</v>
      </c>
      <c r="H486" t="n">
        <v>-13.197087</v>
      </c>
      <c r="I486" t="n">
        <v>-9.06068426617818</v>
      </c>
      <c r="J486" t="inlineStr">
        <is>
          <t>South Africa|SRSA.L|2020</t>
        </is>
      </c>
      <c r="K486" t="inlineStr">
        <is>
          <t>South Africa|2020</t>
        </is>
      </c>
      <c r="L486" t="inlineStr">
        <is>
          <t>GBp</t>
        </is>
      </c>
      <c r="M486" t="n">
        <v>-6.724969843184558</v>
      </c>
      <c r="N486" t="n">
        <v>2.775198362317122</v>
      </c>
      <c r="O486" t="n">
        <v>-4.13640273382182</v>
      </c>
      <c r="P486" t="n">
        <v>-12.22264564770048</v>
      </c>
      <c r="Q486" t="n">
        <v>9.212219909732134</v>
      </c>
      <c r="R486" t="n">
        <v>3.288</v>
      </c>
      <c r="S486" t="n">
        <v>1.253</v>
      </c>
      <c r="T486" t="n">
        <v>2.035</v>
      </c>
      <c r="U486" t="n">
        <v>337876000000</v>
      </c>
    </row>
    <row r="487">
      <c r="A487" t="inlineStr">
        <is>
          <t>South Africa</t>
        </is>
      </c>
      <c r="B487" t="inlineStr">
        <is>
          <t>ZAF</t>
        </is>
      </c>
      <c r="C487" t="inlineStr">
        <is>
          <t>SRSA.L</t>
        </is>
      </c>
      <c r="D487" t="n">
        <v>2021</v>
      </c>
      <c r="E487" t="n">
        <v>4.558099721806119</v>
      </c>
      <c r="F487" t="n">
        <v>4.859</v>
      </c>
      <c r="G487" t="n">
        <v>11.578443</v>
      </c>
      <c r="H487" t="n">
        <v>24.26985</v>
      </c>
      <c r="I487" t="n">
        <v>21.04718777775981</v>
      </c>
      <c r="J487" t="inlineStr">
        <is>
          <t>South Africa|SRSA.L|2021</t>
        </is>
      </c>
      <c r="K487" t="inlineStr">
        <is>
          <t>South Africa|2021</t>
        </is>
      </c>
      <c r="L487" t="inlineStr">
        <is>
          <t>GBp</t>
        </is>
      </c>
      <c r="M487" t="n">
        <v>4.558099721806119</v>
      </c>
      <c r="N487" t="n">
        <v>-1.277220514832489</v>
      </c>
      <c r="O487" t="n">
        <v>3.222662222240191</v>
      </c>
      <c r="P487" t="n">
        <v>11.37442596697338</v>
      </c>
      <c r="Q487" t="n">
        <v>-7.319241983927693</v>
      </c>
      <c r="R487" t="n">
        <v>4.553</v>
      </c>
      <c r="S487" t="n">
        <v>4.679</v>
      </c>
      <c r="T487" t="n">
        <v>-0.1260000000000003</v>
      </c>
      <c r="U487" t="n">
        <v>419878000000</v>
      </c>
    </row>
    <row r="488">
      <c r="A488" t="inlineStr">
        <is>
          <t>South Africa</t>
        </is>
      </c>
      <c r="B488" t="inlineStr">
        <is>
          <t>ZAF</t>
        </is>
      </c>
      <c r="C488" t="inlineStr">
        <is>
          <t>SRSA.L</t>
        </is>
      </c>
      <c r="D488" t="n">
        <v>2022</v>
      </c>
      <c r="E488" t="n">
        <v>7.076672436615428</v>
      </c>
      <c r="F488" t="n">
        <v>2.058</v>
      </c>
      <c r="G488" t="n">
        <v>7.406989</v>
      </c>
      <c r="H488" t="n">
        <v>-2.964671</v>
      </c>
      <c r="I488" t="n">
        <v>1.566888928473728</v>
      </c>
      <c r="J488" t="inlineStr">
        <is>
          <t>South Africa|SRSA.L|2022</t>
        </is>
      </c>
      <c r="K488" t="inlineStr">
        <is>
          <t>South Africa|2022</t>
        </is>
      </c>
      <c r="L488" t="inlineStr">
        <is>
          <t>GBp</t>
        </is>
      </c>
      <c r="M488" t="n">
        <v>7.076672436615428</v>
      </c>
      <c r="N488" t="n">
        <v>-10.84104698150823</v>
      </c>
      <c r="O488" t="n">
        <v>-4.531559928473728</v>
      </c>
      <c r="P488" t="n">
        <v>-9.656410023450967</v>
      </c>
      <c r="Q488" t="n">
        <v>5.672621705986591</v>
      </c>
      <c r="R488" t="n">
        <v>6.864</v>
      </c>
      <c r="S488" t="n">
        <v>7.993</v>
      </c>
      <c r="T488" t="n">
        <v>-1.129</v>
      </c>
      <c r="U488" t="n">
        <v>407430000000</v>
      </c>
    </row>
    <row r="489">
      <c r="A489" t="inlineStr">
        <is>
          <t>South Africa</t>
        </is>
      </c>
      <c r="B489" t="inlineStr">
        <is>
          <t>ZAF</t>
        </is>
      </c>
      <c r="C489" t="inlineStr">
        <is>
          <t>SRSA.L</t>
        </is>
      </c>
      <c r="D489" t="n">
        <v>2023</v>
      </c>
      <c r="E489" t="n">
        <v>-7.169459962756052</v>
      </c>
      <c r="F489" t="n">
        <v>0.806</v>
      </c>
      <c r="G489" t="n">
        <v>5.566467</v>
      </c>
      <c r="H489" t="n">
        <v>-6.405027</v>
      </c>
      <c r="I489" t="n">
        <v>-3.935605765049158</v>
      </c>
      <c r="J489" t="inlineStr">
        <is>
          <t>South Africa|SRSA.L|2023</t>
        </is>
      </c>
      <c r="K489" t="inlineStr">
        <is>
          <t>South Africa|2023</t>
        </is>
      </c>
      <c r="L489" t="inlineStr">
        <is>
          <t>GBp</t>
        </is>
      </c>
      <c r="M489" t="n">
        <v>-7.169459962756052</v>
      </c>
      <c r="N489" t="n">
        <v>5.06303068571996</v>
      </c>
      <c r="O489" t="n">
        <v>-2.469421234950842</v>
      </c>
      <c r="P489" t="n">
        <v>-11.3402423639299</v>
      </c>
      <c r="Q489" t="n">
        <v>10.00546512363809</v>
      </c>
      <c r="R489" t="n">
        <v>5.903</v>
      </c>
      <c r="S489" t="n">
        <v>4.128</v>
      </c>
      <c r="T489" t="n">
        <v>1.774999999999999</v>
      </c>
      <c r="U489" t="n">
        <v>381334000000</v>
      </c>
    </row>
    <row r="490">
      <c r="A490" t="inlineStr">
        <is>
          <t>South Africa</t>
        </is>
      </c>
      <c r="B490" t="inlineStr">
        <is>
          <t>ZAF</t>
        </is>
      </c>
      <c r="C490" t="inlineStr">
        <is>
          <t>SRSA.L</t>
        </is>
      </c>
      <c r="D490" t="n">
        <v>2024</v>
      </c>
      <c r="E490" t="n">
        <v>10.55623223710922</v>
      </c>
      <c r="F490" t="n">
        <v>0.535</v>
      </c>
      <c r="G490" t="n">
        <v>4.472728</v>
      </c>
      <c r="H490" t="n">
        <v>5.177089</v>
      </c>
      <c r="I490" t="n">
        <v>-3.808080003272621</v>
      </c>
      <c r="J490" t="inlineStr">
        <is>
          <t>South Africa|SRSA.L|2024</t>
        </is>
      </c>
      <c r="K490" t="inlineStr">
        <is>
          <t>South Africa|2024</t>
        </is>
      </c>
      <c r="L490" t="inlineStr">
        <is>
          <t>GBp</t>
        </is>
      </c>
      <c r="M490" t="n">
        <v>10.55623223710922</v>
      </c>
      <c r="N490" t="n">
        <v>-1.421053523664917</v>
      </c>
      <c r="O490" t="n">
        <v>8.98516900327262</v>
      </c>
      <c r="P490" t="n">
        <v>0.6742056870953972</v>
      </c>
      <c r="Q490" t="n">
        <v>8.255305576493409</v>
      </c>
      <c r="R490" t="n">
        <v>4.426</v>
      </c>
      <c r="S490" t="n">
        <v>2.952</v>
      </c>
      <c r="T490" t="n">
        <v>1.474</v>
      </c>
      <c r="U490" t="n">
        <v>401076000000</v>
      </c>
    </row>
    <row r="491">
      <c r="A491" t="inlineStr">
        <is>
          <t>South Africa</t>
        </is>
      </c>
      <c r="B491" t="inlineStr">
        <is>
          <t>ZAF</t>
        </is>
      </c>
      <c r="C491" t="inlineStr">
        <is>
          <t>SRSA.L</t>
        </is>
      </c>
      <c r="D491" t="n">
        <v>2025</v>
      </c>
      <c r="E491" t="n">
        <v>61.05545617173524</v>
      </c>
      <c r="F491" t="n">
        <v>1.149</v>
      </c>
      <c r="G491" t="n">
        <v>4.705452</v>
      </c>
      <c r="H491" t="n">
        <v>6.309777</v>
      </c>
      <c r="I491" t="n">
        <v>-66.94068485797825</v>
      </c>
      <c r="J491" t="inlineStr">
        <is>
          <t>South Africa|SRSA.L|2025</t>
        </is>
      </c>
      <c r="K491" t="inlineStr">
        <is>
          <t>South Africa|2025</t>
        </is>
      </c>
      <c r="L491" t="inlineStr">
        <is>
          <t>GBp</t>
        </is>
      </c>
      <c r="M491" t="n">
        <v>61.05545617173524</v>
      </c>
      <c r="N491" t="n">
        <v>7.571929555270285</v>
      </c>
      <c r="O491" t="n">
        <v>73.25046185797825</v>
      </c>
      <c r="P491" t="n">
        <v>1.532226590883012</v>
      </c>
      <c r="Q491" t="n">
        <v>70.63593272319227</v>
      </c>
      <c r="R491" t="n">
        <v>3.359</v>
      </c>
      <c r="S491" t="n">
        <v>2.715</v>
      </c>
      <c r="T491" t="n">
        <v>0.6440000000000001</v>
      </c>
      <c r="U491" t="n">
        <v>426383000000</v>
      </c>
    </row>
    <row r="492">
      <c r="A492" t="inlineStr">
        <is>
          <t>South Africa</t>
        </is>
      </c>
      <c r="B492" t="inlineStr">
        <is>
          <t>ZAF</t>
        </is>
      </c>
      <c r="C492" t="inlineStr">
        <is>
          <t>SRSA.L</t>
        </is>
      </c>
      <c r="D492" t="n">
        <v>2026</v>
      </c>
      <c r="E492" t="n">
        <v>2.949360044518645</v>
      </c>
      <c r="F492" t="n">
        <v>1.151</v>
      </c>
      <c r="G492" t="n">
        <v>4.860935</v>
      </c>
      <c r="H492" t="n">
        <v>4.048004</v>
      </c>
      <c r="I492" t="n">
        <v>2.645247066408779</v>
      </c>
      <c r="J492" t="inlineStr">
        <is>
          <t>South Africa|SRSA.L|2026</t>
        </is>
      </c>
      <c r="K492" t="inlineStr">
        <is>
          <t>South Africa|2026</t>
        </is>
      </c>
      <c r="L492" t="inlineStr">
        <is>
          <t>GBp</t>
        </is>
      </c>
      <c r="M492" t="n">
        <v>2.949360044518645</v>
      </c>
      <c r="N492" t="n">
        <v>-1.502295021803568</v>
      </c>
      <c r="O492" t="n">
        <v>1.40275693359122</v>
      </c>
      <c r="P492" t="n">
        <v>-0.7752469863729683</v>
      </c>
      <c r="Q492" t="n">
        <v>2.195020752195842</v>
      </c>
      <c r="R492" t="n">
        <v>3.664</v>
      </c>
      <c r="S492" t="n">
        <v>2.435</v>
      </c>
      <c r="T492" t="n">
        <v>1.229</v>
      </c>
      <c r="U492" t="n">
        <v>443643000000</v>
      </c>
    </row>
    <row r="493">
      <c r="A493" t="inlineStr">
        <is>
          <t>South Africa</t>
        </is>
      </c>
      <c r="B493" t="inlineStr">
        <is>
          <t>ZAF</t>
        </is>
      </c>
      <c r="C493" t="inlineStr">
        <is>
          <t>SRSA.L</t>
        </is>
      </c>
      <c r="D493" t="n">
        <v>2027</v>
      </c>
      <c r="E493" t="inlineStr"/>
      <c r="F493" t="n">
        <v>1.512</v>
      </c>
      <c r="G493" t="n">
        <v>4.766922</v>
      </c>
      <c r="H493" t="n">
        <v>3.336016</v>
      </c>
      <c r="I493" t="inlineStr"/>
      <c r="J493" t="inlineStr">
        <is>
          <t>South Africa|SRSA.L|2027</t>
        </is>
      </c>
      <c r="K493" t="inlineStr">
        <is>
          <t>South Africa|2027</t>
        </is>
      </c>
      <c r="L493" t="inlineStr">
        <is>
          <t>GBp</t>
        </is>
      </c>
      <c r="M493" t="inlineStr"/>
      <c r="N493" t="inlineStr"/>
      <c r="O493" t="inlineStr"/>
      <c r="P493" t="n">
        <v>-1.365799452694705</v>
      </c>
      <c r="Q493" t="inlineStr"/>
      <c r="R493" t="n">
        <v>3.232</v>
      </c>
      <c r="S493" t="n">
        <v>2.185</v>
      </c>
      <c r="T493" t="n">
        <v>1.047</v>
      </c>
      <c r="U493" t="n">
        <v>458443000000</v>
      </c>
    </row>
    <row r="494">
      <c r="A494" t="inlineStr">
        <is>
          <t>South Africa</t>
        </is>
      </c>
      <c r="B494" t="inlineStr">
        <is>
          <t>ZAF</t>
        </is>
      </c>
      <c r="C494" t="inlineStr">
        <is>
          <t>SRSA.L</t>
        </is>
      </c>
      <c r="D494" t="n">
        <v>2028</v>
      </c>
      <c r="E494" t="inlineStr"/>
      <c r="F494" t="n">
        <v>1.702</v>
      </c>
      <c r="G494" t="n">
        <v>4.906291</v>
      </c>
      <c r="H494" t="n">
        <v>3.724127</v>
      </c>
      <c r="I494" t="inlineStr"/>
      <c r="J494" t="inlineStr">
        <is>
          <t>South Africa|SRSA.L|2028</t>
        </is>
      </c>
      <c r="K494" t="inlineStr">
        <is>
          <t>South Africa|2028</t>
        </is>
      </c>
      <c r="L494" t="inlineStr">
        <is>
          <t>GBp</t>
        </is>
      </c>
      <c r="M494" t="inlineStr"/>
      <c r="N494" t="inlineStr"/>
      <c r="O494" t="inlineStr"/>
      <c r="P494" t="n">
        <v>-1.126876515225639</v>
      </c>
      <c r="Q494" t="inlineStr"/>
      <c r="R494" t="n">
        <v>3</v>
      </c>
      <c r="S494" t="n">
        <v>2.206</v>
      </c>
      <c r="T494" t="n">
        <v>0.794</v>
      </c>
      <c r="U494" t="n">
        <v>475516000000</v>
      </c>
    </row>
    <row r="495">
      <c r="A495" t="inlineStr">
        <is>
          <t>South Africa</t>
        </is>
      </c>
      <c r="B495" t="inlineStr">
        <is>
          <t>ZAF</t>
        </is>
      </c>
      <c r="C495" t="inlineStr">
        <is>
          <t>SRSA.L</t>
        </is>
      </c>
      <c r="D495" t="n">
        <v>2029</v>
      </c>
      <c r="E495" t="inlineStr"/>
      <c r="F495" t="n">
        <v>1.835</v>
      </c>
      <c r="G495" t="n">
        <v>4.869249</v>
      </c>
      <c r="H495" t="n">
        <v>3.750242</v>
      </c>
      <c r="I495" t="inlineStr"/>
      <c r="J495" t="inlineStr">
        <is>
          <t>South Africa|SRSA.L|2029</t>
        </is>
      </c>
      <c r="K495" t="inlineStr">
        <is>
          <t>South Africa|2029</t>
        </is>
      </c>
      <c r="L495" t="inlineStr">
        <is>
          <t>GBp</t>
        </is>
      </c>
      <c r="M495" t="inlineStr"/>
      <c r="N495" t="inlineStr"/>
      <c r="O495" t="inlineStr"/>
      <c r="P495" t="n">
        <v>-1.067050310175166</v>
      </c>
      <c r="Q495" t="inlineStr"/>
      <c r="R495" t="n">
        <v>3</v>
      </c>
      <c r="S495" t="n">
        <v>2.203</v>
      </c>
      <c r="T495" t="n">
        <v>0.7970000000000002</v>
      </c>
      <c r="U495" t="n">
        <v>493349000000</v>
      </c>
    </row>
    <row r="496">
      <c r="A496" t="inlineStr">
        <is>
          <t>South Korea</t>
        </is>
      </c>
      <c r="B496" t="inlineStr">
        <is>
          <t>KOR</t>
        </is>
      </c>
      <c r="C496" t="inlineStr">
        <is>
          <t>CSKR.L</t>
        </is>
      </c>
      <c r="D496" t="n">
        <v>2004</v>
      </c>
      <c r="E496" t="inlineStr"/>
      <c r="F496" t="n">
        <v>5.184</v>
      </c>
      <c r="G496" t="inlineStr"/>
      <c r="H496" t="inlineStr"/>
      <c r="I496" t="inlineStr"/>
      <c r="J496" t="inlineStr">
        <is>
          <t>South Korea|CSKR.L|2004</t>
        </is>
      </c>
      <c r="K496" t="inlineStr">
        <is>
          <t>South Korea|2004</t>
        </is>
      </c>
      <c r="L496" t="inlineStr">
        <is>
          <t>USD</t>
        </is>
      </c>
      <c r="M496" t="inlineStr"/>
      <c r="N496" t="inlineStr"/>
      <c r="O496" t="inlineStr"/>
      <c r="P496" t="inlineStr"/>
      <c r="Q496" t="inlineStr"/>
      <c r="R496" t="n">
        <v>3.591</v>
      </c>
      <c r="S496" t="n">
        <v>2.668</v>
      </c>
      <c r="T496" t="n">
        <v>0.923</v>
      </c>
      <c r="U496" t="n">
        <v>822583000000</v>
      </c>
    </row>
    <row r="497">
      <c r="A497" t="inlineStr">
        <is>
          <t>South Korea</t>
        </is>
      </c>
      <c r="B497" t="inlineStr">
        <is>
          <t>KOR</t>
        </is>
      </c>
      <c r="C497" t="inlineStr">
        <is>
          <t>CSKR.L</t>
        </is>
      </c>
      <c r="D497" t="n">
        <v>2005</v>
      </c>
      <c r="E497" t="inlineStr"/>
      <c r="F497" t="n">
        <v>4.358</v>
      </c>
      <c r="G497" t="n">
        <v>5.545765</v>
      </c>
      <c r="H497" t="n">
        <v>18.108446</v>
      </c>
      <c r="I497" t="inlineStr"/>
      <c r="J497" t="inlineStr">
        <is>
          <t>South Korea|CSKR.L|2005</t>
        </is>
      </c>
      <c r="K497" t="inlineStr">
        <is>
          <t>South Korea|2005</t>
        </is>
      </c>
      <c r="L497" t="inlineStr">
        <is>
          <t>USD</t>
        </is>
      </c>
      <c r="M497" t="inlineStr"/>
      <c r="N497" t="inlineStr"/>
      <c r="O497" t="inlineStr"/>
      <c r="P497" t="n">
        <v>11.90259178125674</v>
      </c>
      <c r="Q497" t="inlineStr"/>
      <c r="R497" t="n">
        <v>2.754</v>
      </c>
      <c r="S497" t="n">
        <v>3.366</v>
      </c>
      <c r="T497" t="n">
        <v>-0.6120000000000001</v>
      </c>
      <c r="U497" t="n">
        <v>971540000000</v>
      </c>
    </row>
    <row r="498">
      <c r="A498" t="inlineStr">
        <is>
          <t>South Korea</t>
        </is>
      </c>
      <c r="B498" t="inlineStr">
        <is>
          <t>KOR</t>
        </is>
      </c>
      <c r="C498" t="inlineStr">
        <is>
          <t>CSKR.L</t>
        </is>
      </c>
      <c r="D498" t="n">
        <v>2006</v>
      </c>
      <c r="E498" t="inlineStr"/>
      <c r="F498" t="n">
        <v>5.245</v>
      </c>
      <c r="G498" t="n">
        <v>5.073246</v>
      </c>
      <c r="H498" t="n">
        <v>12.660827</v>
      </c>
      <c r="I498" t="inlineStr"/>
      <c r="J498" t="inlineStr">
        <is>
          <t>South Korea|CSKR.L|2006</t>
        </is>
      </c>
      <c r="K498" t="inlineStr">
        <is>
          <t>South Korea|2006</t>
        </is>
      </c>
      <c r="L498" t="inlineStr">
        <is>
          <t>USD</t>
        </is>
      </c>
      <c r="M498" t="inlineStr"/>
      <c r="N498" t="inlineStr"/>
      <c r="O498" t="inlineStr"/>
      <c r="P498" t="n">
        <v>7.221230487863872</v>
      </c>
      <c r="Q498" t="inlineStr"/>
      <c r="R498" t="n">
        <v>2.242</v>
      </c>
      <c r="S498" t="n">
        <v>3.222</v>
      </c>
      <c r="T498" t="n">
        <v>-0.98</v>
      </c>
      <c r="U498" t="n">
        <v>1094545000000</v>
      </c>
    </row>
    <row r="499">
      <c r="A499" t="inlineStr">
        <is>
          <t>South Korea</t>
        </is>
      </c>
      <c r="B499" t="inlineStr">
        <is>
          <t>KOR</t>
        </is>
      </c>
      <c r="C499" t="inlineStr">
        <is>
          <t>CSKR.L</t>
        </is>
      </c>
      <c r="D499" t="n">
        <v>2007</v>
      </c>
      <c r="E499" t="inlineStr"/>
      <c r="F499" t="n">
        <v>5.842</v>
      </c>
      <c r="G499" t="n">
        <v>8.499687</v>
      </c>
      <c r="H499" t="n">
        <v>11.53091</v>
      </c>
      <c r="I499" t="inlineStr"/>
      <c r="J499" t="inlineStr">
        <is>
          <t>South Korea|CSKR.L|2007</t>
        </is>
      </c>
      <c r="K499" t="inlineStr">
        <is>
          <t>South Korea|2007</t>
        </is>
      </c>
      <c r="L499" t="inlineStr">
        <is>
          <t>USD</t>
        </is>
      </c>
      <c r="M499" t="inlineStr"/>
      <c r="N499" t="inlineStr"/>
      <c r="O499" t="inlineStr"/>
      <c r="P499" t="n">
        <v>2.793761988627996</v>
      </c>
      <c r="Q499" t="inlineStr"/>
      <c r="R499" t="n">
        <v>2.535</v>
      </c>
      <c r="S499" t="n">
        <v>2.871</v>
      </c>
      <c r="T499" t="n">
        <v>-0.3359999999999999</v>
      </c>
      <c r="U499" t="n">
        <v>1220756000000</v>
      </c>
    </row>
    <row r="500">
      <c r="A500" t="inlineStr">
        <is>
          <t>South Korea</t>
        </is>
      </c>
      <c r="B500" t="inlineStr">
        <is>
          <t>KOR</t>
        </is>
      </c>
      <c r="C500" t="inlineStr">
        <is>
          <t>CSKR.L</t>
        </is>
      </c>
      <c r="D500" t="n">
        <v>2008</v>
      </c>
      <c r="E500" t="inlineStr"/>
      <c r="F500" t="n">
        <v>3.004</v>
      </c>
      <c r="G500" t="n">
        <v>6.031653</v>
      </c>
      <c r="H500" t="n">
        <v>-10.425425</v>
      </c>
      <c r="I500" t="inlineStr"/>
      <c r="J500" t="inlineStr">
        <is>
          <t>South Korea|CSKR.L|2008</t>
        </is>
      </c>
      <c r="K500" t="inlineStr">
        <is>
          <t>South Korea|2008</t>
        </is>
      </c>
      <c r="L500" t="inlineStr">
        <is>
          <t>USD</t>
        </is>
      </c>
      <c r="M500" t="inlineStr"/>
      <c r="N500" t="n">
        <v>0</v>
      </c>
      <c r="O500" t="inlineStr"/>
      <c r="P500" t="n">
        <v>-15.52091083666075</v>
      </c>
      <c r="Q500" t="inlineStr"/>
      <c r="R500" t="n">
        <v>4.674</v>
      </c>
      <c r="S500" t="n">
        <v>3.815</v>
      </c>
      <c r="T500" t="n">
        <v>0.8590000000000004</v>
      </c>
      <c r="U500" t="n">
        <v>1093487000000</v>
      </c>
    </row>
    <row r="501">
      <c r="A501" t="inlineStr">
        <is>
          <t>South Korea</t>
        </is>
      </c>
      <c r="B501" t="inlineStr">
        <is>
          <t>KOR</t>
        </is>
      </c>
      <c r="C501" t="inlineStr">
        <is>
          <t>CSKR.L</t>
        </is>
      </c>
      <c r="D501" t="n">
        <v>2009</v>
      </c>
      <c r="E501" t="inlineStr"/>
      <c r="F501" t="n">
        <v>0.82</v>
      </c>
      <c r="G501" t="n">
        <v>4.350264</v>
      </c>
      <c r="H501" t="n">
        <v>-10.11745</v>
      </c>
      <c r="I501" t="inlineStr"/>
      <c r="J501" t="inlineStr">
        <is>
          <t>South Korea|CSKR.L|2009</t>
        </is>
      </c>
      <c r="K501" t="inlineStr">
        <is>
          <t>South Korea|2009</t>
        </is>
      </c>
      <c r="L501" t="inlineStr">
        <is>
          <t>USD</t>
        </is>
      </c>
      <c r="M501" t="inlineStr"/>
      <c r="N501" t="n">
        <v>0</v>
      </c>
      <c r="O501" t="inlineStr"/>
      <c r="P501" t="n">
        <v>-13.86456882455374</v>
      </c>
      <c r="Q501" t="inlineStr"/>
      <c r="R501" t="n">
        <v>2.756</v>
      </c>
      <c r="S501" t="n">
        <v>-0.32</v>
      </c>
      <c r="T501" t="n">
        <v>3.076</v>
      </c>
      <c r="U501" t="n">
        <v>982854000000</v>
      </c>
    </row>
    <row r="502">
      <c r="A502" t="inlineStr">
        <is>
          <t>South Korea</t>
        </is>
      </c>
      <c r="B502" t="inlineStr">
        <is>
          <t>KOR</t>
        </is>
      </c>
      <c r="C502" t="inlineStr">
        <is>
          <t>CSKR.L</t>
        </is>
      </c>
      <c r="D502" t="n">
        <v>2010</v>
      </c>
      <c r="E502" t="n">
        <v>18.5979637662546</v>
      </c>
      <c r="F502" t="n">
        <v>6.982</v>
      </c>
      <c r="G502" t="n">
        <v>9.890406</v>
      </c>
      <c r="H502" t="n">
        <v>21.352917</v>
      </c>
      <c r="I502" t="n">
        <v>2.7549532337454</v>
      </c>
      <c r="J502" t="inlineStr">
        <is>
          <t>South Korea|CSKR.L|2010</t>
        </is>
      </c>
      <c r="K502" t="inlineStr">
        <is>
          <t>South Korea|2010</t>
        </is>
      </c>
      <c r="L502" t="inlineStr">
        <is>
          <t>USD</t>
        </is>
      </c>
      <c r="M502" t="n">
        <v>18.5979637662546</v>
      </c>
      <c r="N502" t="n">
        <v>0</v>
      </c>
      <c r="O502" t="n">
        <v>18.5979637662546</v>
      </c>
      <c r="P502" t="n">
        <v>10.43085705740518</v>
      </c>
      <c r="Q502" t="n">
        <v>7.395674475843217</v>
      </c>
      <c r="R502" t="n">
        <v>2.939</v>
      </c>
      <c r="S502" t="n">
        <v>1.637</v>
      </c>
      <c r="T502" t="n">
        <v>1.302</v>
      </c>
      <c r="U502" t="n">
        <v>1192722000000</v>
      </c>
    </row>
    <row r="503">
      <c r="A503" t="inlineStr">
        <is>
          <t>South Korea</t>
        </is>
      </c>
      <c r="B503" t="inlineStr">
        <is>
          <t>KOR</t>
        </is>
      </c>
      <c r="C503" t="inlineStr">
        <is>
          <t>CSKR.L</t>
        </is>
      </c>
      <c r="D503" t="n">
        <v>2011</v>
      </c>
      <c r="E503" t="n">
        <v>-14.95039808037085</v>
      </c>
      <c r="F503" t="n">
        <v>3.688</v>
      </c>
      <c r="G503" t="n">
        <v>5.010329</v>
      </c>
      <c r="H503" t="n">
        <v>9.601315</v>
      </c>
      <c r="I503" t="n">
        <v>24.55171308037085</v>
      </c>
      <c r="J503" t="inlineStr">
        <is>
          <t>South Korea|CSKR.L|2011</t>
        </is>
      </c>
      <c r="K503" t="inlineStr">
        <is>
          <t>South Korea|2011</t>
        </is>
      </c>
      <c r="L503" t="inlineStr">
        <is>
          <t>USD</t>
        </is>
      </c>
      <c r="M503" t="n">
        <v>-14.95039808037085</v>
      </c>
      <c r="N503" t="n">
        <v>0</v>
      </c>
      <c r="O503" t="n">
        <v>-14.95039808037085</v>
      </c>
      <c r="P503" t="n">
        <v>4.37193744086084</v>
      </c>
      <c r="Q503" t="n">
        <v>-18.51296047098877</v>
      </c>
      <c r="R503" t="n">
        <v>4.026</v>
      </c>
      <c r="S503" t="n">
        <v>3.14</v>
      </c>
      <c r="T503" t="n">
        <v>0.8859999999999997</v>
      </c>
      <c r="U503" t="n">
        <v>1307239000000</v>
      </c>
    </row>
    <row r="504">
      <c r="A504" t="inlineStr">
        <is>
          <t>South Korea</t>
        </is>
      </c>
      <c r="B504" t="inlineStr">
        <is>
          <t>KOR</t>
        </is>
      </c>
      <c r="C504" t="inlineStr">
        <is>
          <t>CSKR.L</t>
        </is>
      </c>
      <c r="D504" t="n">
        <v>2012</v>
      </c>
      <c r="E504" t="n">
        <v>15.38362315967281</v>
      </c>
      <c r="F504" t="n">
        <v>2.548</v>
      </c>
      <c r="G504" t="n">
        <v>3.872659</v>
      </c>
      <c r="H504" t="n">
        <v>2.149951</v>
      </c>
      <c r="I504" t="n">
        <v>-13.23367215967281</v>
      </c>
      <c r="J504" t="inlineStr">
        <is>
          <t>South Korea|CSKR.L|2012</t>
        </is>
      </c>
      <c r="K504" t="inlineStr">
        <is>
          <t>South Korea|2012</t>
        </is>
      </c>
      <c r="L504" t="inlineStr">
        <is>
          <t>USD</t>
        </is>
      </c>
      <c r="M504" t="n">
        <v>15.38362315967281</v>
      </c>
      <c r="N504" t="n">
        <v>0</v>
      </c>
      <c r="O504" t="n">
        <v>15.38362315967281</v>
      </c>
      <c r="P504" t="n">
        <v>-1.658480729059686</v>
      </c>
      <c r="Q504" t="n">
        <v>17.32951048049183</v>
      </c>
      <c r="R504" t="n">
        <v>2.187</v>
      </c>
      <c r="S504" t="n">
        <v>2.073</v>
      </c>
      <c r="T504" t="n">
        <v>0.1139999999999999</v>
      </c>
      <c r="U504" t="n">
        <v>1335344000000</v>
      </c>
    </row>
    <row r="505">
      <c r="A505" t="inlineStr">
        <is>
          <t>South Korea</t>
        </is>
      </c>
      <c r="B505" t="inlineStr">
        <is>
          <t>KOR</t>
        </is>
      </c>
      <c r="C505" t="inlineStr">
        <is>
          <t>CSKR.L</t>
        </is>
      </c>
      <c r="D505" t="n">
        <v>2013</v>
      </c>
      <c r="E505" t="n">
        <v>-0.2222951401536055</v>
      </c>
      <c r="F505" t="n">
        <v>3.291</v>
      </c>
      <c r="G505" t="n">
        <v>4.403877</v>
      </c>
      <c r="H505" t="n">
        <v>7.438233</v>
      </c>
      <c r="I505" t="n">
        <v>7.660528140153605</v>
      </c>
      <c r="J505" t="inlineStr">
        <is>
          <t>South Korea|CSKR.L|2013</t>
        </is>
      </c>
      <c r="K505" t="inlineStr">
        <is>
          <t>South Korea|2013</t>
        </is>
      </c>
      <c r="L505" t="inlineStr">
        <is>
          <t>USD</t>
        </is>
      </c>
      <c r="M505" t="n">
        <v>-0.2222951401536055</v>
      </c>
      <c r="N505" t="n">
        <v>0</v>
      </c>
      <c r="O505" t="n">
        <v>-0.2222951401536055</v>
      </c>
      <c r="P505" t="n">
        <v>2.906363250192778</v>
      </c>
      <c r="Q505" t="n">
        <v>-3.040296334969861</v>
      </c>
      <c r="R505" t="n">
        <v>1.301</v>
      </c>
      <c r="S505" t="n">
        <v>1.466</v>
      </c>
      <c r="T505" t="n">
        <v>-0.165</v>
      </c>
      <c r="U505" t="n">
        <v>1434670000000</v>
      </c>
    </row>
    <row r="506">
      <c r="A506" t="inlineStr">
        <is>
          <t>South Korea</t>
        </is>
      </c>
      <c r="B506" t="inlineStr">
        <is>
          <t>KOR</t>
        </is>
      </c>
      <c r="C506" t="inlineStr">
        <is>
          <t>CSKR.L</t>
        </is>
      </c>
      <c r="D506" t="n">
        <v>2014</v>
      </c>
      <c r="E506" t="n">
        <v>-9.98698363174949</v>
      </c>
      <c r="F506" t="n">
        <v>3.215</v>
      </c>
      <c r="G506" t="n">
        <v>4.299768</v>
      </c>
      <c r="H506" t="n">
        <v>8.474562000000001</v>
      </c>
      <c r="I506" t="n">
        <v>18.46154563174949</v>
      </c>
      <c r="J506" t="inlineStr">
        <is>
          <t>South Korea|CSKR.L|2014</t>
        </is>
      </c>
      <c r="K506" t="inlineStr">
        <is>
          <t>South Korea|2014</t>
        </is>
      </c>
      <c r="L506" t="inlineStr">
        <is>
          <t>USD</t>
        </is>
      </c>
      <c r="M506" t="n">
        <v>-9.98698363174949</v>
      </c>
      <c r="N506" t="n">
        <v>0</v>
      </c>
      <c r="O506" t="n">
        <v>-9.98698363174949</v>
      </c>
      <c r="P506" t="n">
        <v>4.002687406644534</v>
      </c>
      <c r="Q506" t="n">
        <v>-13.45125918111636</v>
      </c>
      <c r="R506" t="n">
        <v>1.275</v>
      </c>
      <c r="S506" t="n">
        <v>1.615</v>
      </c>
      <c r="T506" t="n">
        <v>-0.3400000000000001</v>
      </c>
      <c r="U506" t="n">
        <v>1556252000000</v>
      </c>
    </row>
    <row r="507">
      <c r="A507" t="inlineStr">
        <is>
          <t>South Korea</t>
        </is>
      </c>
      <c r="B507" t="inlineStr">
        <is>
          <t>KOR</t>
        </is>
      </c>
      <c r="C507" t="inlineStr">
        <is>
          <t>CSKR.L</t>
        </is>
      </c>
      <c r="D507" t="n">
        <v>2015</v>
      </c>
      <c r="E507" t="n">
        <v>-6.759926185702048</v>
      </c>
      <c r="F507" t="n">
        <v>2.92</v>
      </c>
      <c r="G507" t="n">
        <v>6.243036</v>
      </c>
      <c r="H507" t="n">
        <v>-1.094938</v>
      </c>
      <c r="I507" t="n">
        <v>5.664988185702048</v>
      </c>
      <c r="J507" t="inlineStr">
        <is>
          <t>South Korea|CSKR.L|2015</t>
        </is>
      </c>
      <c r="K507" t="inlineStr">
        <is>
          <t>South Korea|2015</t>
        </is>
      </c>
      <c r="L507" t="inlineStr">
        <is>
          <t>USD</t>
        </is>
      </c>
      <c r="M507" t="n">
        <v>-6.759926185702048</v>
      </c>
      <c r="N507" t="n">
        <v>0</v>
      </c>
      <c r="O507" t="n">
        <v>-6.759926185702048</v>
      </c>
      <c r="P507" t="n">
        <v>-6.906781714880617</v>
      </c>
      <c r="Q507" t="n">
        <v>0.1577510498442347</v>
      </c>
      <c r="R507" t="n">
        <v>0.706</v>
      </c>
      <c r="S507" t="n">
        <v>0.121</v>
      </c>
      <c r="T507" t="n">
        <v>0.585</v>
      </c>
      <c r="U507" t="n">
        <v>1539212000000</v>
      </c>
    </row>
    <row r="508">
      <c r="A508" t="inlineStr">
        <is>
          <t>South Korea</t>
        </is>
      </c>
      <c r="B508" t="inlineStr">
        <is>
          <t>KOR</t>
        </is>
      </c>
      <c r="C508" t="inlineStr">
        <is>
          <t>CSKR.L</t>
        </is>
      </c>
      <c r="D508" t="n">
        <v>2016</v>
      </c>
      <c r="E508" t="n">
        <v>14.8122080055201</v>
      </c>
      <c r="F508" t="n">
        <v>3.172</v>
      </c>
      <c r="G508" t="n">
        <v>5.299389</v>
      </c>
      <c r="H508" t="n">
        <v>2.573005</v>
      </c>
      <c r="I508" t="n">
        <v>-12.2392030055201</v>
      </c>
      <c r="J508" t="inlineStr">
        <is>
          <t>South Korea|CSKR.L|2016</t>
        </is>
      </c>
      <c r="K508" t="inlineStr">
        <is>
          <t>South Korea|2016</t>
        </is>
      </c>
      <c r="L508" t="inlineStr">
        <is>
          <t>USD</t>
        </is>
      </c>
      <c r="M508" t="n">
        <v>14.8122080055201</v>
      </c>
      <c r="N508" t="n">
        <v>0</v>
      </c>
      <c r="O508" t="n">
        <v>14.8122080055201</v>
      </c>
      <c r="P508" t="n">
        <v>-2.589174156899388</v>
      </c>
      <c r="Q508" t="n">
        <v>17.86390990098765</v>
      </c>
      <c r="R508" t="n">
        <v>0.972</v>
      </c>
      <c r="S508" t="n">
        <v>1.267</v>
      </c>
      <c r="T508" t="n">
        <v>-0.2949999999999999</v>
      </c>
      <c r="U508" t="n">
        <v>1578816000000</v>
      </c>
    </row>
    <row r="509">
      <c r="A509" t="inlineStr">
        <is>
          <t>South Korea</t>
        </is>
      </c>
      <c r="B509" t="inlineStr">
        <is>
          <t>KOR</t>
        </is>
      </c>
      <c r="C509" t="inlineStr">
        <is>
          <t>CSKR.L</t>
        </is>
      </c>
      <c r="D509" t="n">
        <v>2017</v>
      </c>
      <c r="E509" t="n">
        <v>41.917579631142</v>
      </c>
      <c r="F509" t="n">
        <v>3.433</v>
      </c>
      <c r="G509" t="n">
        <v>5.521328</v>
      </c>
      <c r="H509" t="n">
        <v>8.321489</v>
      </c>
      <c r="I509" t="n">
        <v>-33.596090631142</v>
      </c>
      <c r="J509" t="inlineStr">
        <is>
          <t>South Korea|CSKR.L|2017</t>
        </is>
      </c>
      <c r="K509" t="inlineStr">
        <is>
          <t>South Korea|2017</t>
        </is>
      </c>
      <c r="L509" t="inlineStr">
        <is>
          <t>USD</t>
        </is>
      </c>
      <c r="M509" t="n">
        <v>41.917579631142</v>
      </c>
      <c r="N509" t="n">
        <v>0</v>
      </c>
      <c r="O509" t="n">
        <v>41.917579631142</v>
      </c>
      <c r="P509" t="n">
        <v>2.653644878798755</v>
      </c>
      <c r="Q509" t="n">
        <v>38.24894361880813</v>
      </c>
      <c r="R509" t="n">
        <v>1.944</v>
      </c>
      <c r="S509" t="n">
        <v>2.131</v>
      </c>
      <c r="T509" t="n">
        <v>-0.1869999999999998</v>
      </c>
      <c r="U509" t="n">
        <v>1710197000000</v>
      </c>
    </row>
    <row r="510">
      <c r="A510" t="inlineStr">
        <is>
          <t>South Korea</t>
        </is>
      </c>
      <c r="B510" t="inlineStr">
        <is>
          <t>KOR</t>
        </is>
      </c>
      <c r="C510" t="inlineStr">
        <is>
          <t>CSKR.L</t>
        </is>
      </c>
      <c r="D510" t="n">
        <v>2018</v>
      </c>
      <c r="E510" t="n">
        <v>-21.61225548234764</v>
      </c>
      <c r="F510" t="n">
        <v>3.176</v>
      </c>
      <c r="G510" t="n">
        <v>3.760698</v>
      </c>
      <c r="H510" t="n">
        <v>6.669056</v>
      </c>
      <c r="I510" t="n">
        <v>28.28131148234764</v>
      </c>
      <c r="J510" t="inlineStr">
        <is>
          <t>South Korea|CSKR.L|2018</t>
        </is>
      </c>
      <c r="K510" t="inlineStr">
        <is>
          <t>South Korea|2018</t>
        </is>
      </c>
      <c r="L510" t="inlineStr">
        <is>
          <t>USD</t>
        </is>
      </c>
      <c r="M510" t="n">
        <v>-21.61225548234764</v>
      </c>
      <c r="N510" t="n">
        <v>0</v>
      </c>
      <c r="O510" t="n">
        <v>-21.61225548234764</v>
      </c>
      <c r="P510" t="n">
        <v>2.802947625385244</v>
      </c>
      <c r="Q510" t="n">
        <v>-23.74951659625761</v>
      </c>
      <c r="R510" t="n">
        <v>1.476</v>
      </c>
      <c r="S510" t="n">
        <v>2.439</v>
      </c>
      <c r="T510" t="n">
        <v>-0.9630000000000001</v>
      </c>
      <c r="U510" t="n">
        <v>1824251000000</v>
      </c>
    </row>
    <row r="511">
      <c r="A511" t="inlineStr">
        <is>
          <t>South Korea</t>
        </is>
      </c>
      <c r="B511" t="inlineStr">
        <is>
          <t>KOR</t>
        </is>
      </c>
      <c r="C511" t="inlineStr">
        <is>
          <t>CSKR.L</t>
        </is>
      </c>
      <c r="D511" t="n">
        <v>2019</v>
      </c>
      <c r="E511" t="n">
        <v>12.91555933075797</v>
      </c>
      <c r="F511" t="n">
        <v>2.314</v>
      </c>
      <c r="G511" t="n">
        <v>1.675143</v>
      </c>
      <c r="H511" t="n">
        <v>-4.01288</v>
      </c>
      <c r="I511" t="n">
        <v>-16.92843933075796</v>
      </c>
      <c r="J511" t="inlineStr">
        <is>
          <t>South Korea|CSKR.L|2019</t>
        </is>
      </c>
      <c r="K511" t="inlineStr">
        <is>
          <t>South Korea|2019</t>
        </is>
      </c>
      <c r="L511" t="inlineStr">
        <is>
          <t>USD</t>
        </is>
      </c>
      <c r="M511" t="n">
        <v>12.91555933075797</v>
      </c>
      <c r="N511" t="n">
        <v>0</v>
      </c>
      <c r="O511" t="n">
        <v>12.91555933075797</v>
      </c>
      <c r="P511" t="n">
        <v>-5.594310365672516</v>
      </c>
      <c r="Q511" t="n">
        <v>19.6067310859408</v>
      </c>
      <c r="R511" t="n">
        <v>0.383</v>
      </c>
      <c r="S511" t="n">
        <v>1.813</v>
      </c>
      <c r="T511" t="n">
        <v>-1.43</v>
      </c>
      <c r="U511" t="n">
        <v>1751046000000</v>
      </c>
    </row>
    <row r="512">
      <c r="A512" t="inlineStr">
        <is>
          <t>South Korea</t>
        </is>
      </c>
      <c r="B512" t="inlineStr">
        <is>
          <t>KOR</t>
        </is>
      </c>
      <c r="C512" t="inlineStr">
        <is>
          <t>CSKR.L</t>
        </is>
      </c>
      <c r="D512" t="n">
        <v>2020</v>
      </c>
      <c r="E512" t="n">
        <v>44.82757939238946</v>
      </c>
      <c r="F512" t="n">
        <v>-0.7</v>
      </c>
      <c r="G512" t="n">
        <v>0.875833</v>
      </c>
      <c r="H512" t="n">
        <v>-0.376404</v>
      </c>
      <c r="I512" t="n">
        <v>-45.20398339238946</v>
      </c>
      <c r="J512" t="inlineStr">
        <is>
          <t>South Korea|CSKR.L|2020</t>
        </is>
      </c>
      <c r="K512" t="inlineStr">
        <is>
          <t>South Korea|2020</t>
        </is>
      </c>
      <c r="L512" t="inlineStr">
        <is>
          <t>USD</t>
        </is>
      </c>
      <c r="M512" t="n">
        <v>44.82757939238946</v>
      </c>
      <c r="N512" t="n">
        <v>0</v>
      </c>
      <c r="O512" t="n">
        <v>44.82757939238946</v>
      </c>
      <c r="P512" t="n">
        <v>-1.241364394072031</v>
      </c>
      <c r="Q512" t="n">
        <v>46.6480156431973</v>
      </c>
      <c r="R512" t="n">
        <v>0.537</v>
      </c>
      <c r="S512" t="n">
        <v>1.253</v>
      </c>
      <c r="T512" t="n">
        <v>-0.7159999999999999</v>
      </c>
      <c r="U512" t="n">
        <v>1744455000000</v>
      </c>
    </row>
    <row r="513">
      <c r="A513" t="inlineStr">
        <is>
          <t>South Korea</t>
        </is>
      </c>
      <c r="B513" t="inlineStr">
        <is>
          <t>KOR</t>
        </is>
      </c>
      <c r="C513" t="inlineStr">
        <is>
          <t>CSKR.L</t>
        </is>
      </c>
      <c r="D513" t="n">
        <v>2021</v>
      </c>
      <c r="E513" t="n">
        <v>-10.42339775059745</v>
      </c>
      <c r="F513" t="n">
        <v>4.613</v>
      </c>
      <c r="G513" t="n">
        <v>7.940202</v>
      </c>
      <c r="H513" t="n">
        <v>11.342167</v>
      </c>
      <c r="I513" t="n">
        <v>21.76556475059745</v>
      </c>
      <c r="J513" t="inlineStr">
        <is>
          <t>South Korea|CSKR.L|2021</t>
        </is>
      </c>
      <c r="K513" t="inlineStr">
        <is>
          <t>South Korea|2021</t>
        </is>
      </c>
      <c r="L513" t="inlineStr">
        <is>
          <t>USD</t>
        </is>
      </c>
      <c r="M513" t="n">
        <v>-10.42339775059745</v>
      </c>
      <c r="N513" t="n">
        <v>0</v>
      </c>
      <c r="O513" t="n">
        <v>-10.42339775059745</v>
      </c>
      <c r="P513" t="n">
        <v>3.151712600797096</v>
      </c>
      <c r="Q513" t="n">
        <v>-13.1603344327699</v>
      </c>
      <c r="R513" t="n">
        <v>2.498</v>
      </c>
      <c r="S513" t="n">
        <v>4.679</v>
      </c>
      <c r="T513" t="n">
        <v>-2.181</v>
      </c>
      <c r="U513" t="n">
        <v>1942314000000</v>
      </c>
    </row>
    <row r="514">
      <c r="A514" t="inlineStr">
        <is>
          <t>South Korea</t>
        </is>
      </c>
      <c r="B514" t="inlineStr">
        <is>
          <t>KOR</t>
        </is>
      </c>
      <c r="C514" t="inlineStr">
        <is>
          <t>CSKR.L</t>
        </is>
      </c>
      <c r="D514" t="n">
        <v>2022</v>
      </c>
      <c r="E514" t="n">
        <v>-27.74138051300801</v>
      </c>
      <c r="F514" t="n">
        <v>2.728</v>
      </c>
      <c r="G514" t="n">
        <v>4.58473</v>
      </c>
      <c r="H514" t="n">
        <v>-7.35983</v>
      </c>
      <c r="I514" t="n">
        <v>20.38155051300801</v>
      </c>
      <c r="J514" t="inlineStr">
        <is>
          <t>South Korea|CSKR.L|2022</t>
        </is>
      </c>
      <c r="K514" t="inlineStr">
        <is>
          <t>South Korea|2022</t>
        </is>
      </c>
      <c r="L514" t="inlineStr">
        <is>
          <t>USD</t>
        </is>
      </c>
      <c r="M514" t="n">
        <v>-27.74138051300801</v>
      </c>
      <c r="N514" t="n">
        <v>0</v>
      </c>
      <c r="O514" t="n">
        <v>-27.74138051300801</v>
      </c>
      <c r="P514" t="n">
        <v>-11.42094001016052</v>
      </c>
      <c r="Q514" t="n">
        <v>-18.424716298321</v>
      </c>
      <c r="R514" t="n">
        <v>5.09</v>
      </c>
      <c r="S514" t="n">
        <v>7.993</v>
      </c>
      <c r="T514" t="n">
        <v>-2.903</v>
      </c>
      <c r="U514" t="n">
        <v>1799363000000</v>
      </c>
    </row>
    <row r="515">
      <c r="A515" t="inlineStr">
        <is>
          <t>South Korea</t>
        </is>
      </c>
      <c r="B515" t="inlineStr">
        <is>
          <t>KOR</t>
        </is>
      </c>
      <c r="C515" t="inlineStr">
        <is>
          <t>CSKR.L</t>
        </is>
      </c>
      <c r="D515" t="n">
        <v>2023</v>
      </c>
      <c r="E515" t="n">
        <v>23.02142835005658</v>
      </c>
      <c r="F515" t="n">
        <v>1.583</v>
      </c>
      <c r="G515" t="n">
        <v>3.653773</v>
      </c>
      <c r="H515" t="n">
        <v>2.525227</v>
      </c>
      <c r="I515" t="n">
        <v>-20.49620135005658</v>
      </c>
      <c r="J515" t="inlineStr">
        <is>
          <t>South Korea|CSKR.L|2023</t>
        </is>
      </c>
      <c r="K515" t="inlineStr">
        <is>
          <t>South Korea|2023</t>
        </is>
      </c>
      <c r="L515" t="inlineStr">
        <is>
          <t>USD</t>
        </is>
      </c>
      <c r="M515" t="n">
        <v>23.02142835005658</v>
      </c>
      <c r="N515" t="n">
        <v>0</v>
      </c>
      <c r="O515" t="n">
        <v>23.02142835005658</v>
      </c>
      <c r="P515" t="n">
        <v>-1.08876482258119</v>
      </c>
      <c r="Q515" t="n">
        <v>24.37558597806497</v>
      </c>
      <c r="R515" t="n">
        <v>3.597</v>
      </c>
      <c r="S515" t="n">
        <v>4.128</v>
      </c>
      <c r="T515" t="n">
        <v>-0.5310000000000001</v>
      </c>
      <c r="U515" t="n">
        <v>1844801000000</v>
      </c>
    </row>
    <row r="516">
      <c r="A516" t="inlineStr">
        <is>
          <t>South Korea</t>
        </is>
      </c>
      <c r="B516" t="inlineStr">
        <is>
          <t>KOR</t>
        </is>
      </c>
      <c r="C516" t="inlineStr">
        <is>
          <t>CSKR.L</t>
        </is>
      </c>
      <c r="D516" t="n">
        <v>2024</v>
      </c>
      <c r="E516" t="n">
        <v>-21.70154358359101</v>
      </c>
      <c r="F516" t="n">
        <v>2.004</v>
      </c>
      <c r="G516" t="n">
        <v>6.151488</v>
      </c>
      <c r="H516" t="n">
        <v>1.658011</v>
      </c>
      <c r="I516" t="n">
        <v>23.35955458359101</v>
      </c>
      <c r="J516" t="inlineStr">
        <is>
          <t>South Korea|CSKR.L|2024</t>
        </is>
      </c>
      <c r="K516" t="inlineStr">
        <is>
          <t>South Korea|2024</t>
        </is>
      </c>
      <c r="L516" t="inlineStr">
        <is>
          <t>USD</t>
        </is>
      </c>
      <c r="M516" t="n">
        <v>-21.70154358359101</v>
      </c>
      <c r="N516" t="n">
        <v>0</v>
      </c>
      <c r="O516" t="n">
        <v>-21.70154358359101</v>
      </c>
      <c r="P516" t="n">
        <v>-4.233079411890717</v>
      </c>
      <c r="Q516" t="n">
        <v>-18.24060339877863</v>
      </c>
      <c r="R516" t="n">
        <v>2.322</v>
      </c>
      <c r="S516" t="n">
        <v>2.952</v>
      </c>
      <c r="T516" t="n">
        <v>-0.6299999999999999</v>
      </c>
      <c r="U516" t="n">
        <v>1875388000000</v>
      </c>
    </row>
    <row r="517">
      <c r="A517" t="inlineStr">
        <is>
          <t>South Korea</t>
        </is>
      </c>
      <c r="B517" t="inlineStr">
        <is>
          <t>KOR</t>
        </is>
      </c>
      <c r="C517" t="inlineStr">
        <is>
          <t>CSKR.L</t>
        </is>
      </c>
      <c r="D517" t="n">
        <v>2025</v>
      </c>
      <c r="E517" t="n">
        <v>99.25350103748991</v>
      </c>
      <c r="F517" t="n">
        <v>0.896</v>
      </c>
      <c r="G517" t="n">
        <v>2.117764</v>
      </c>
      <c r="H517" t="n">
        <v>-0.896668</v>
      </c>
      <c r="I517" t="n">
        <v>-100.1501690374899</v>
      </c>
      <c r="J517" t="inlineStr">
        <is>
          <t>South Korea|CSKR.L|2025</t>
        </is>
      </c>
      <c r="K517" t="inlineStr">
        <is>
          <t>South Korea|2025</t>
        </is>
      </c>
      <c r="L517" t="inlineStr">
        <is>
          <t>USD</t>
        </is>
      </c>
      <c r="M517" t="n">
        <v>99.25350103748991</v>
      </c>
      <c r="N517" t="n">
        <v>0</v>
      </c>
      <c r="O517" t="n">
        <v>99.25350103748991</v>
      </c>
      <c r="P517" t="n">
        <v>-2.951916938055843</v>
      </c>
      <c r="Q517" t="n">
        <v>105.3142058563998</v>
      </c>
      <c r="R517" t="n">
        <v>1.992</v>
      </c>
      <c r="S517" t="n">
        <v>2.715</v>
      </c>
      <c r="T517" t="n">
        <v>-0.7229999999999999</v>
      </c>
      <c r="U517" t="n">
        <v>1858572000000</v>
      </c>
    </row>
    <row r="518">
      <c r="A518" t="inlineStr">
        <is>
          <t>South Korea</t>
        </is>
      </c>
      <c r="B518" t="inlineStr">
        <is>
          <t>KOR</t>
        </is>
      </c>
      <c r="C518" t="inlineStr">
        <is>
          <t>CSKR.L</t>
        </is>
      </c>
      <c r="D518" t="n">
        <v>2026</v>
      </c>
      <c r="E518" t="n">
        <v>25.35398922272119</v>
      </c>
      <c r="F518" t="n">
        <v>1.83</v>
      </c>
      <c r="G518" t="n">
        <v>2.120058</v>
      </c>
      <c r="H518" t="n">
        <v>4.199192</v>
      </c>
      <c r="I518" t="n">
        <v>-21.15479722272119</v>
      </c>
      <c r="J518" t="inlineStr">
        <is>
          <t>South Korea|CSKR.L|2026</t>
        </is>
      </c>
      <c r="K518" t="inlineStr">
        <is>
          <t>South Korea|2026</t>
        </is>
      </c>
      <c r="L518" t="inlineStr">
        <is>
          <t>USD</t>
        </is>
      </c>
      <c r="M518" t="n">
        <v>25.35398922272119</v>
      </c>
      <c r="N518" t="n">
        <v>0</v>
      </c>
      <c r="O518" t="n">
        <v>25.35398922272119</v>
      </c>
      <c r="P518" t="n">
        <v>2.035970204912152</v>
      </c>
      <c r="Q518" t="n">
        <v>22.85274395978298</v>
      </c>
      <c r="R518" t="n">
        <v>1.846</v>
      </c>
      <c r="S518" t="n">
        <v>2.435</v>
      </c>
      <c r="T518" t="n">
        <v>-0.589</v>
      </c>
      <c r="U518" t="n">
        <v>1936617000000</v>
      </c>
    </row>
    <row r="519">
      <c r="A519" t="inlineStr">
        <is>
          <t>South Korea</t>
        </is>
      </c>
      <c r="B519" t="inlineStr">
        <is>
          <t>KOR</t>
        </is>
      </c>
      <c r="C519" t="inlineStr">
        <is>
          <t>CSKR.L</t>
        </is>
      </c>
      <c r="D519" t="n">
        <v>2027</v>
      </c>
      <c r="E519" t="inlineStr"/>
      <c r="F519" t="n">
        <v>2.152</v>
      </c>
      <c r="G519" t="n">
        <v>4.129526</v>
      </c>
      <c r="H519" t="n">
        <v>4.151208</v>
      </c>
      <c r="I519" t="inlineStr"/>
      <c r="J519" t="inlineStr">
        <is>
          <t>South Korea|CSKR.L|2027</t>
        </is>
      </c>
      <c r="K519" t="inlineStr">
        <is>
          <t>South Korea|2027</t>
        </is>
      </c>
      <c r="L519" t="inlineStr">
        <is>
          <t>USD</t>
        </is>
      </c>
      <c r="M519" t="inlineStr"/>
      <c r="N519" t="inlineStr"/>
      <c r="O519" t="inlineStr"/>
      <c r="P519" t="n">
        <v>0.02082204448103919</v>
      </c>
      <c r="Q519" t="inlineStr"/>
      <c r="R519" t="n">
        <v>1.972</v>
      </c>
      <c r="S519" t="n">
        <v>2.185</v>
      </c>
      <c r="T519" t="n">
        <v>-0.2130000000000001</v>
      </c>
      <c r="U519" t="n">
        <v>2017010000000</v>
      </c>
    </row>
    <row r="520">
      <c r="A520" t="inlineStr">
        <is>
          <t>South Korea</t>
        </is>
      </c>
      <c r="B520" t="inlineStr">
        <is>
          <t>KOR</t>
        </is>
      </c>
      <c r="C520" t="inlineStr">
        <is>
          <t>CSKR.L</t>
        </is>
      </c>
      <c r="D520" t="n">
        <v>2028</v>
      </c>
      <c r="E520" t="inlineStr"/>
      <c r="F520" t="n">
        <v>2.19</v>
      </c>
      <c r="G520" t="n">
        <v>4.115019</v>
      </c>
      <c r="H520" t="n">
        <v>4.099732</v>
      </c>
      <c r="I520" t="inlineStr"/>
      <c r="J520" t="inlineStr">
        <is>
          <t>South Korea|CSKR.L|2028</t>
        </is>
      </c>
      <c r="K520" t="inlineStr">
        <is>
          <t>South Korea|2028</t>
        </is>
      </c>
      <c r="L520" t="inlineStr">
        <is>
          <t>USD</t>
        </is>
      </c>
      <c r="M520" t="inlineStr"/>
      <c r="N520" t="inlineStr"/>
      <c r="O520" t="inlineStr"/>
      <c r="P520" t="n">
        <v>-0.01468306979793832</v>
      </c>
      <c r="Q520" t="inlineStr"/>
      <c r="R520" t="n">
        <v>2</v>
      </c>
      <c r="S520" t="n">
        <v>2.206</v>
      </c>
      <c r="T520" t="n">
        <v>-0.206</v>
      </c>
      <c r="U520" t="n">
        <v>2099702000000</v>
      </c>
    </row>
    <row r="521">
      <c r="A521" t="inlineStr">
        <is>
          <t>South Korea</t>
        </is>
      </c>
      <c r="B521" t="inlineStr">
        <is>
          <t>KOR</t>
        </is>
      </c>
      <c r="C521" t="inlineStr">
        <is>
          <t>CSKR.L</t>
        </is>
      </c>
      <c r="D521" t="n">
        <v>2029</v>
      </c>
      <c r="E521" t="inlineStr"/>
      <c r="F521" t="n">
        <v>1.967</v>
      </c>
      <c r="G521" t="n">
        <v>4.062423</v>
      </c>
      <c r="H521" t="n">
        <v>4.053051</v>
      </c>
      <c r="I521" t="inlineStr"/>
      <c r="J521" t="inlineStr">
        <is>
          <t>South Korea|CSKR.L|2029</t>
        </is>
      </c>
      <c r="K521" t="inlineStr">
        <is>
          <t>South Korea|2029</t>
        </is>
      </c>
      <c r="L521" t="inlineStr">
        <is>
          <t>USD</t>
        </is>
      </c>
      <c r="M521" t="inlineStr"/>
      <c r="N521" t="inlineStr"/>
      <c r="O521" t="inlineStr"/>
      <c r="P521" t="n">
        <v>-0.009005381036630844</v>
      </c>
      <c r="Q521" t="inlineStr"/>
      <c r="R521" t="n">
        <v>2</v>
      </c>
      <c r="S521" t="n">
        <v>2.203</v>
      </c>
      <c r="T521" t="n">
        <v>-0.2029999999999998</v>
      </c>
      <c r="U521" t="n">
        <v>2184804000000</v>
      </c>
    </row>
    <row r="522">
      <c r="A522" t="inlineStr">
        <is>
          <t>Switzerland</t>
        </is>
      </c>
      <c r="B522" t="inlineStr">
        <is>
          <t>CHE</t>
        </is>
      </c>
      <c r="C522" t="inlineStr">
        <is>
          <t>CSW.PA</t>
        </is>
      </c>
      <c r="D522" t="n">
        <v>2004</v>
      </c>
      <c r="E522" t="inlineStr"/>
      <c r="F522" t="n">
        <v>2.559</v>
      </c>
      <c r="G522" t="inlineStr"/>
      <c r="H522" t="inlineStr"/>
      <c r="I522" t="inlineStr"/>
      <c r="J522" t="inlineStr">
        <is>
          <t>Switzerland|CSW.PA|2004</t>
        </is>
      </c>
      <c r="K522" t="inlineStr">
        <is>
          <t>Switzerland|2004</t>
        </is>
      </c>
      <c r="L522" t="inlineStr">
        <is>
          <t>EUR</t>
        </is>
      </c>
      <c r="M522" t="inlineStr"/>
      <c r="N522" t="inlineStr"/>
      <c r="O522" t="inlineStr"/>
      <c r="P522" t="inlineStr"/>
      <c r="Q522" t="inlineStr"/>
      <c r="R522" t="n">
        <v>0.801</v>
      </c>
      <c r="S522" t="n">
        <v>2.668</v>
      </c>
      <c r="T522" t="n">
        <v>-1.867</v>
      </c>
      <c r="U522" t="n">
        <v>403459000000</v>
      </c>
    </row>
    <row r="523">
      <c r="A523" t="inlineStr">
        <is>
          <t>Switzerland</t>
        </is>
      </c>
      <c r="B523" t="inlineStr">
        <is>
          <t>CHE</t>
        </is>
      </c>
      <c r="C523" t="inlineStr">
        <is>
          <t>CSW.PA</t>
        </is>
      </c>
      <c r="D523" t="n">
        <v>2005</v>
      </c>
      <c r="E523" t="inlineStr"/>
      <c r="F523" t="n">
        <v>2.861</v>
      </c>
      <c r="G523" t="n">
        <v>3.80885</v>
      </c>
      <c r="H523" t="n">
        <v>3.668774</v>
      </c>
      <c r="I523" t="inlineStr"/>
      <c r="J523" t="inlineStr">
        <is>
          <t>Switzerland|CSW.PA|2005</t>
        </is>
      </c>
      <c r="K523" t="inlineStr">
        <is>
          <t>Switzerland|2005</t>
        </is>
      </c>
      <c r="L523" t="inlineStr">
        <is>
          <t>EUR</t>
        </is>
      </c>
      <c r="M523" t="inlineStr"/>
      <c r="N523" t="inlineStr"/>
      <c r="O523" t="inlineStr"/>
      <c r="P523" t="n">
        <v>-0.1349361215006284</v>
      </c>
      <c r="Q523" t="inlineStr"/>
      <c r="R523" t="n">
        <v>1.173</v>
      </c>
      <c r="S523" t="n">
        <v>3.366</v>
      </c>
      <c r="T523" t="n">
        <v>-2.193</v>
      </c>
      <c r="U523" t="n">
        <v>418261000000</v>
      </c>
    </row>
    <row r="524">
      <c r="A524" t="inlineStr">
        <is>
          <t>Switzerland</t>
        </is>
      </c>
      <c r="B524" t="inlineStr">
        <is>
          <t>CHE</t>
        </is>
      </c>
      <c r="C524" t="inlineStr">
        <is>
          <t>CSW.PA</t>
        </is>
      </c>
      <c r="D524" t="n">
        <v>2006</v>
      </c>
      <c r="E524" t="inlineStr"/>
      <c r="F524" t="n">
        <v>4.144</v>
      </c>
      <c r="G524" t="n">
        <v>6.37873</v>
      </c>
      <c r="H524" t="n">
        <v>5.643366</v>
      </c>
      <c r="I524" t="inlineStr"/>
      <c r="J524" t="inlineStr">
        <is>
          <t>Switzerland|CSW.PA|2006</t>
        </is>
      </c>
      <c r="K524" t="inlineStr">
        <is>
          <t>Switzerland|2006</t>
        </is>
      </c>
      <c r="L524" t="inlineStr">
        <is>
          <t>EUR</t>
        </is>
      </c>
      <c r="M524" t="inlineStr"/>
      <c r="N524" t="inlineStr"/>
      <c r="O524" t="inlineStr"/>
      <c r="P524" t="n">
        <v>-0.6912695711682071</v>
      </c>
      <c r="Q524" t="inlineStr"/>
      <c r="R524" t="n">
        <v>1.064</v>
      </c>
      <c r="S524" t="n">
        <v>3.222</v>
      </c>
      <c r="T524" t="n">
        <v>-2.158</v>
      </c>
      <c r="U524" t="n">
        <v>441865000000</v>
      </c>
    </row>
    <row r="525">
      <c r="A525" t="inlineStr">
        <is>
          <t>Switzerland</t>
        </is>
      </c>
      <c r="B525" t="inlineStr">
        <is>
          <t>CHE</t>
        </is>
      </c>
      <c r="C525" t="inlineStr">
        <is>
          <t>CSW.PA</t>
        </is>
      </c>
      <c r="D525" t="n">
        <v>2007</v>
      </c>
      <c r="E525" t="inlineStr"/>
      <c r="F525" t="n">
        <v>3.923</v>
      </c>
      <c r="G525" t="n">
        <v>6.392614</v>
      </c>
      <c r="H525" t="n">
        <v>11.132586</v>
      </c>
      <c r="I525" t="inlineStr"/>
      <c r="J525" t="inlineStr">
        <is>
          <t>Switzerland|CSW.PA|2007</t>
        </is>
      </c>
      <c r="K525" t="inlineStr">
        <is>
          <t>Switzerland|2007</t>
        </is>
      </c>
      <c r="L525" t="inlineStr">
        <is>
          <t>EUR</t>
        </is>
      </c>
      <c r="M525" t="inlineStr"/>
      <c r="N525" t="inlineStr"/>
      <c r="O525" t="inlineStr"/>
      <c r="P525" t="n">
        <v>4.455169811761706</v>
      </c>
      <c r="Q525" t="inlineStr"/>
      <c r="R525" t="n">
        <v>0.735</v>
      </c>
      <c r="S525" t="n">
        <v>2.871</v>
      </c>
      <c r="T525" t="n">
        <v>-2.136</v>
      </c>
      <c r="U525" t="n">
        <v>491056000000</v>
      </c>
    </row>
    <row r="526">
      <c r="A526" t="inlineStr">
        <is>
          <t>Switzerland</t>
        </is>
      </c>
      <c r="B526" t="inlineStr">
        <is>
          <t>CHE</t>
        </is>
      </c>
      <c r="C526" t="inlineStr">
        <is>
          <t>CSW.PA</t>
        </is>
      </c>
      <c r="D526" t="n">
        <v>2008</v>
      </c>
      <c r="E526" t="n">
        <v>-13.30088387548396</v>
      </c>
      <c r="F526" t="n">
        <v>2.685</v>
      </c>
      <c r="G526" t="n">
        <v>4.175609</v>
      </c>
      <c r="H526" t="n">
        <v>15.455671</v>
      </c>
      <c r="I526" t="n">
        <v>32.5526888562847</v>
      </c>
      <c r="J526" t="inlineStr">
        <is>
          <t>Switzerland|CSW.PA|2008</t>
        </is>
      </c>
      <c r="K526" t="inlineStr">
        <is>
          <t>Switzerland|2008</t>
        </is>
      </c>
      <c r="L526" t="inlineStr">
        <is>
          <t>EUR</t>
        </is>
      </c>
      <c r="M526" t="n">
        <v>-13.30088387548396</v>
      </c>
      <c r="N526" t="n">
        <v>-4.378515203486955</v>
      </c>
      <c r="O526" t="n">
        <v>-17.0970178562847</v>
      </c>
      <c r="P526" t="n">
        <v>10.8279303808319</v>
      </c>
      <c r="Q526" t="n">
        <v>-25.19667031691347</v>
      </c>
      <c r="R526" t="n">
        <v>2.428</v>
      </c>
      <c r="S526" t="n">
        <v>3.815</v>
      </c>
      <c r="T526" t="n">
        <v>-1.387</v>
      </c>
      <c r="U526" t="n">
        <v>566952000000</v>
      </c>
    </row>
    <row r="527">
      <c r="A527" t="inlineStr">
        <is>
          <t>Switzerland</t>
        </is>
      </c>
      <c r="B527" t="inlineStr">
        <is>
          <t>CHE</t>
        </is>
      </c>
      <c r="C527" t="inlineStr">
        <is>
          <t>CSW.PA</t>
        </is>
      </c>
      <c r="D527" t="n">
        <v>2009</v>
      </c>
      <c r="E527" t="n">
        <v>21.84701103752622</v>
      </c>
      <c r="F527" t="n">
        <v>-2.305</v>
      </c>
      <c r="G527" t="n">
        <v>-1.849656</v>
      </c>
      <c r="H527" t="n">
        <v>-2.30531</v>
      </c>
      <c r="I527" t="n">
        <v>-27.00830450339499</v>
      </c>
      <c r="J527" t="inlineStr">
        <is>
          <t>Switzerland|CSW.PA|2009</t>
        </is>
      </c>
      <c r="K527" t="inlineStr">
        <is>
          <t>Switzerland|2009</t>
        </is>
      </c>
      <c r="L527" t="inlineStr">
        <is>
          <t>EUR</t>
        </is>
      </c>
      <c r="M527" t="n">
        <v>21.84701103752622</v>
      </c>
      <c r="N527" t="n">
        <v>2.34390933478803</v>
      </c>
      <c r="O527" t="n">
        <v>24.70299450339499</v>
      </c>
      <c r="P527" t="n">
        <v>-0.4642402612147989</v>
      </c>
      <c r="Q527" t="n">
        <v>25.2846161325909</v>
      </c>
      <c r="R527" t="n">
        <v>-0.48</v>
      </c>
      <c r="S527" t="n">
        <v>-0.32</v>
      </c>
      <c r="T527" t="n">
        <v>-0.16</v>
      </c>
      <c r="U527" t="n">
        <v>553882000000</v>
      </c>
    </row>
    <row r="528">
      <c r="A528" t="inlineStr">
        <is>
          <t>Switzerland</t>
        </is>
      </c>
      <c r="B528" t="inlineStr">
        <is>
          <t>CHE</t>
        </is>
      </c>
      <c r="C528" t="inlineStr">
        <is>
          <t>CSW.PA</t>
        </is>
      </c>
      <c r="D528" t="n">
        <v>2010</v>
      </c>
      <c r="E528" t="n">
        <v>18.58648695570631</v>
      </c>
      <c r="F528" t="n">
        <v>3.213</v>
      </c>
      <c r="G528" t="n">
        <v>3.535246</v>
      </c>
      <c r="H528" t="n">
        <v>8.026078</v>
      </c>
      <c r="I528" t="n">
        <v>-1.588465664860342</v>
      </c>
      <c r="J528" t="inlineStr">
        <is>
          <t>Switzerland|CSW.PA|2010</t>
        </is>
      </c>
      <c r="K528" t="inlineStr">
        <is>
          <t>Switzerland|2010</t>
        </is>
      </c>
      <c r="L528" t="inlineStr">
        <is>
          <t>EUR</t>
        </is>
      </c>
      <c r="M528" t="n">
        <v>18.58648695570631</v>
      </c>
      <c r="N528" t="n">
        <v>-7.565738324128879</v>
      </c>
      <c r="O528" t="n">
        <v>9.614543664860342</v>
      </c>
      <c r="P528" t="n">
        <v>4.337490510679931</v>
      </c>
      <c r="Q528" t="n">
        <v>5.057676898641006</v>
      </c>
      <c r="R528" t="n">
        <v>0.6879999999999999</v>
      </c>
      <c r="S528" t="n">
        <v>1.637</v>
      </c>
      <c r="T528" t="n">
        <v>-0.9490000000000001</v>
      </c>
      <c r="U528" t="n">
        <v>598337000000</v>
      </c>
    </row>
    <row r="529">
      <c r="A529" t="inlineStr">
        <is>
          <t>Switzerland</t>
        </is>
      </c>
      <c r="B529" t="inlineStr">
        <is>
          <t>CHE</t>
        </is>
      </c>
      <c r="C529" t="inlineStr">
        <is>
          <t>CSW.PA</t>
        </is>
      </c>
      <c r="D529" t="n">
        <v>2011</v>
      </c>
      <c r="E529" t="n">
        <v>-4.742668523069471</v>
      </c>
      <c r="F529" t="n">
        <v>1.9</v>
      </c>
      <c r="G529" t="n">
        <v>1.875293</v>
      </c>
      <c r="H529" t="n">
        <v>19.641105</v>
      </c>
      <c r="I529" t="n">
        <v>27.24949401178964</v>
      </c>
      <c r="J529" t="inlineStr">
        <is>
          <t>Switzerland|CSW.PA|2011</t>
        </is>
      </c>
      <c r="K529" t="inlineStr">
        <is>
          <t>Switzerland|2011</t>
        </is>
      </c>
      <c r="L529" t="inlineStr">
        <is>
          <t>EUR</t>
        </is>
      </c>
      <c r="M529" t="n">
        <v>-4.742668523069471</v>
      </c>
      <c r="N529" t="n">
        <v>-3.008398875223783</v>
      </c>
      <c r="O529" t="n">
        <v>-7.60838901178964</v>
      </c>
      <c r="P529" t="n">
        <v>17.43878343197234</v>
      </c>
      <c r="Q529" t="n">
        <v>-21.32785414817484</v>
      </c>
      <c r="R529" t="n">
        <v>0.228</v>
      </c>
      <c r="S529" t="n">
        <v>3.14</v>
      </c>
      <c r="T529" t="n">
        <v>-2.912</v>
      </c>
      <c r="U529" t="n">
        <v>715857000000</v>
      </c>
    </row>
    <row r="530">
      <c r="A530" t="inlineStr">
        <is>
          <t>Switzerland</t>
        </is>
      </c>
      <c r="B530" t="inlineStr">
        <is>
          <t>CHE</t>
        </is>
      </c>
      <c r="C530" t="inlineStr">
        <is>
          <t>CSW.PA</t>
        </is>
      </c>
      <c r="D530" t="n">
        <v>2012</v>
      </c>
      <c r="E530" t="n">
        <v>18.30810302253876</v>
      </c>
      <c r="F530" t="n">
        <v>1.206</v>
      </c>
      <c r="G530" t="n">
        <v>1.266141</v>
      </c>
      <c r="H530" t="n">
        <v>-4.095092</v>
      </c>
      <c r="I530" t="n">
        <v>-24.84607552738243</v>
      </c>
      <c r="J530" t="inlineStr">
        <is>
          <t>Switzerland|CSW.PA|2012</t>
        </is>
      </c>
      <c r="K530" t="inlineStr">
        <is>
          <t>Switzerland|2012</t>
        </is>
      </c>
      <c r="L530" t="inlineStr">
        <is>
          <t>EUR</t>
        </is>
      </c>
      <c r="M530" t="n">
        <v>18.30810302253876</v>
      </c>
      <c r="N530" t="n">
        <v>2.064846314354551</v>
      </c>
      <c r="O530" t="n">
        <v>20.75098352738243</v>
      </c>
      <c r="P530" t="n">
        <v>-5.294200924610193</v>
      </c>
      <c r="Q530" t="n">
        <v>27.501150622529</v>
      </c>
      <c r="R530" t="n">
        <v>-0.6929999999999999</v>
      </c>
      <c r="S530" t="n">
        <v>2.073</v>
      </c>
      <c r="T530" t="n">
        <v>-2.766</v>
      </c>
      <c r="U530" t="n">
        <v>686542000000</v>
      </c>
    </row>
    <row r="531">
      <c r="A531" t="inlineStr">
        <is>
          <t>Switzerland</t>
        </is>
      </c>
      <c r="B531" t="inlineStr">
        <is>
          <t>CHE</t>
        </is>
      </c>
      <c r="C531" t="inlineStr">
        <is>
          <t>CSW.PA</t>
        </is>
      </c>
      <c r="D531" t="n">
        <v>2013</v>
      </c>
      <c r="E531" t="n">
        <v>21.11847764025621</v>
      </c>
      <c r="F531" t="n">
        <v>1.856</v>
      </c>
      <c r="G531" t="n">
        <v>1.764633</v>
      </c>
      <c r="H531" t="n">
        <v>2.948399</v>
      </c>
      <c r="I531" t="n">
        <v>-23.75506636514945</v>
      </c>
      <c r="J531" t="inlineStr">
        <is>
          <t>Switzerland|CSW.PA|2013</t>
        </is>
      </c>
      <c r="K531" t="inlineStr">
        <is>
          <t>Switzerland|2013</t>
        </is>
      </c>
      <c r="L531" t="inlineStr">
        <is>
          <t>EUR</t>
        </is>
      </c>
      <c r="M531" t="n">
        <v>21.11847764025621</v>
      </c>
      <c r="N531" t="n">
        <v>4.611177281704015</v>
      </c>
      <c r="O531" t="n">
        <v>26.70346536514945</v>
      </c>
      <c r="P531" t="n">
        <v>1.163239678486416</v>
      </c>
      <c r="Q531" t="n">
        <v>25.24654782491556</v>
      </c>
      <c r="R531" t="n">
        <v>-0.216</v>
      </c>
      <c r="S531" t="n">
        <v>1.466</v>
      </c>
      <c r="T531" t="n">
        <v>-1.682</v>
      </c>
      <c r="U531" t="n">
        <v>706784000000</v>
      </c>
    </row>
    <row r="532">
      <c r="A532" t="inlineStr">
        <is>
          <t>Switzerland</t>
        </is>
      </c>
      <c r="B532" t="inlineStr">
        <is>
          <t>CHE</t>
        </is>
      </c>
      <c r="C532" t="inlineStr">
        <is>
          <t>CSW.PA</t>
        </is>
      </c>
      <c r="D532" t="n">
        <v>2014</v>
      </c>
      <c r="E532" t="n">
        <v>13.92124788693583</v>
      </c>
      <c r="F532" t="n">
        <v>2.286</v>
      </c>
      <c r="G532" t="n">
        <v>1.620161</v>
      </c>
      <c r="H532" t="n">
        <v>2.812741</v>
      </c>
      <c r="I532" t="n">
        <v>2.010929942261445</v>
      </c>
      <c r="J532" t="inlineStr">
        <is>
          <t>Switzerland|CSW.PA|2014</t>
        </is>
      </c>
      <c r="K532" t="inlineStr">
        <is>
          <t>Switzerland|2014</t>
        </is>
      </c>
      <c r="L532" t="inlineStr">
        <is>
          <t>EUR</t>
        </is>
      </c>
      <c r="M532" t="n">
        <v>13.92124788693583</v>
      </c>
      <c r="N532" t="n">
        <v>-11.51623342663697</v>
      </c>
      <c r="O532" t="n">
        <v>0.8018110577385551</v>
      </c>
      <c r="P532" t="n">
        <v>1.173565678573585</v>
      </c>
      <c r="Q532" t="n">
        <v>-0.3674424424420231</v>
      </c>
      <c r="R532" t="n">
        <v>-0.012</v>
      </c>
      <c r="S532" t="n">
        <v>1.615</v>
      </c>
      <c r="T532" t="n">
        <v>-1.627</v>
      </c>
      <c r="U532" t="n">
        <v>726664000000</v>
      </c>
    </row>
    <row r="533">
      <c r="A533" t="inlineStr">
        <is>
          <t>Switzerland</t>
        </is>
      </c>
      <c r="B533" t="inlineStr">
        <is>
          <t>CHE</t>
        </is>
      </c>
      <c r="C533" t="inlineStr">
        <is>
          <t>CSW.PA</t>
        </is>
      </c>
      <c r="D533" t="n">
        <v>2015</v>
      </c>
      <c r="E533" t="n">
        <v>12.2367174594572</v>
      </c>
      <c r="F533" t="n">
        <v>1.571</v>
      </c>
      <c r="G533" t="n">
        <v>0.297416</v>
      </c>
      <c r="H533" t="n">
        <v>-4.520659</v>
      </c>
      <c r="I533" t="n">
        <v>-5.953160355472438</v>
      </c>
      <c r="J533" t="inlineStr">
        <is>
          <t>Switzerland|CSW.PA|2015</t>
        </is>
      </c>
      <c r="K533" t="inlineStr">
        <is>
          <t>Switzerland|2015</t>
        </is>
      </c>
      <c r="L533" t="inlineStr">
        <is>
          <t>EUR</t>
        </is>
      </c>
      <c r="M533" t="n">
        <v>12.2367174594572</v>
      </c>
      <c r="N533" t="n">
        <v>-9.626275918027915</v>
      </c>
      <c r="O533" t="n">
        <v>1.432501355472438</v>
      </c>
      <c r="P533" t="n">
        <v>-4.803787639377777</v>
      </c>
      <c r="Q533" t="n">
        <v>6.550984372388591</v>
      </c>
      <c r="R533" t="n">
        <v>-1.142</v>
      </c>
      <c r="S533" t="n">
        <v>0.121</v>
      </c>
      <c r="T533" t="n">
        <v>-1.263</v>
      </c>
      <c r="U533" t="n">
        <v>693814000000</v>
      </c>
    </row>
    <row r="534">
      <c r="A534" t="inlineStr">
        <is>
          <t>Switzerland</t>
        </is>
      </c>
      <c r="B534" t="inlineStr">
        <is>
          <t>CHE</t>
        </is>
      </c>
      <c r="C534" t="inlineStr">
        <is>
          <t>CSW.PA</t>
        </is>
      </c>
      <c r="D534" t="n">
        <v>2016</v>
      </c>
      <c r="E534" t="n">
        <v>-0.542205832713305</v>
      </c>
      <c r="F534" t="n">
        <v>2.098</v>
      </c>
      <c r="G534" t="n">
        <v>1.498696</v>
      </c>
      <c r="H534" t="n">
        <v>-0.871703</v>
      </c>
      <c r="I534" t="n">
        <v>2.269483033914789</v>
      </c>
      <c r="J534" t="inlineStr">
        <is>
          <t>Switzerland|CSW.PA|2016</t>
        </is>
      </c>
      <c r="K534" t="inlineStr">
        <is>
          <t>Switzerland|2016</t>
        </is>
      </c>
      <c r="L534" t="inlineStr">
        <is>
          <t>EUR</t>
        </is>
      </c>
      <c r="M534" t="n">
        <v>-0.542205832713305</v>
      </c>
      <c r="N534" t="n">
        <v>-2.613148846665581</v>
      </c>
      <c r="O534" t="n">
        <v>-3.141186033914789</v>
      </c>
      <c r="P534" t="n">
        <v>-2.335398404529998</v>
      </c>
      <c r="Q534" t="n">
        <v>-0.8250559734246266</v>
      </c>
      <c r="R534" t="n">
        <v>-0.434</v>
      </c>
      <c r="S534" t="n">
        <v>1.267</v>
      </c>
      <c r="T534" t="n">
        <v>-1.701</v>
      </c>
      <c r="U534" t="n">
        <v>687766000000</v>
      </c>
    </row>
    <row r="535">
      <c r="A535" t="inlineStr">
        <is>
          <t>Switzerland</t>
        </is>
      </c>
      <c r="B535" t="inlineStr">
        <is>
          <t>CHE</t>
        </is>
      </c>
      <c r="C535" t="inlineStr">
        <is>
          <t>CSW.PA</t>
        </is>
      </c>
      <c r="D535" t="n">
        <v>2017</v>
      </c>
      <c r="E535" t="n">
        <v>7.275124516117559</v>
      </c>
      <c r="F535" t="n">
        <v>1.428</v>
      </c>
      <c r="G535" t="n">
        <v>1.053383</v>
      </c>
      <c r="H535" t="n">
        <v>1.125528</v>
      </c>
      <c r="I535" t="n">
        <v>-20.56653282224495</v>
      </c>
      <c r="J535" t="inlineStr">
        <is>
          <t>Switzerland|CSW.PA|2017</t>
        </is>
      </c>
      <c r="K535" t="inlineStr">
        <is>
          <t>Switzerland|2017</t>
        </is>
      </c>
      <c r="L535" t="inlineStr">
        <is>
          <t>EUR</t>
        </is>
      </c>
      <c r="M535" t="n">
        <v>7.275124516117559</v>
      </c>
      <c r="N535" t="n">
        <v>13.43921656689508</v>
      </c>
      <c r="O535" t="n">
        <v>21.69206082224495</v>
      </c>
      <c r="P535" t="n">
        <v>0.07139279508214802</v>
      </c>
      <c r="Q535" t="n">
        <v>21.60524343998669</v>
      </c>
      <c r="R535" t="n">
        <v>0.535</v>
      </c>
      <c r="S535" t="n">
        <v>2.131</v>
      </c>
      <c r="T535" t="n">
        <v>-1.596</v>
      </c>
      <c r="U535" t="n">
        <v>695507000000</v>
      </c>
    </row>
    <row r="536">
      <c r="A536" t="inlineStr">
        <is>
          <t>Switzerland</t>
        </is>
      </c>
      <c r="B536" t="inlineStr">
        <is>
          <t>CHE</t>
        </is>
      </c>
      <c r="C536" t="inlineStr">
        <is>
          <t>CSW.PA</t>
        </is>
      </c>
      <c r="D536" t="n">
        <v>2018</v>
      </c>
      <c r="E536" t="n">
        <v>-97.5981169447611</v>
      </c>
      <c r="F536" t="n">
        <v>2.862</v>
      </c>
      <c r="G536" t="n">
        <v>3.647461</v>
      </c>
      <c r="H536" t="n">
        <v>4.368324</v>
      </c>
      <c r="I536" t="n">
        <v>102.0794831632307</v>
      </c>
      <c r="J536" t="inlineStr">
        <is>
          <t>Switzerland|CSW.PA|2018</t>
        </is>
      </c>
      <c r="K536" t="inlineStr">
        <is>
          <t>Switzerland|2018</t>
        </is>
      </c>
      <c r="L536" t="inlineStr">
        <is>
          <t>EUR</t>
        </is>
      </c>
      <c r="M536" t="n">
        <v>-97.5981169447611</v>
      </c>
      <c r="N536" t="n">
        <v>-4.706399765095581</v>
      </c>
      <c r="O536" t="n">
        <v>-97.71115916323075</v>
      </c>
      <c r="P536" t="n">
        <v>0.6954953977677203</v>
      </c>
      <c r="Q536" t="n">
        <v>-97.72696799620691</v>
      </c>
      <c r="R536" t="n">
        <v>0.9350000000000001</v>
      </c>
      <c r="S536" t="n">
        <v>2.439</v>
      </c>
      <c r="T536" t="n">
        <v>-1.504</v>
      </c>
      <c r="U536" t="n">
        <v>725889000000</v>
      </c>
    </row>
    <row r="537">
      <c r="A537" t="inlineStr">
        <is>
          <t>Switzerland</t>
        </is>
      </c>
      <c r="B537" t="inlineStr">
        <is>
          <t>CHE</t>
        </is>
      </c>
      <c r="C537" t="inlineStr">
        <is>
          <t>CSW.PA</t>
        </is>
      </c>
      <c r="D537" t="n">
        <v>2019</v>
      </c>
      <c r="E537" t="n">
        <v>34.55942289211569</v>
      </c>
      <c r="F537" t="n">
        <v>1.163</v>
      </c>
      <c r="G537" t="n">
        <v>1.058548</v>
      </c>
      <c r="H537" t="n">
        <v>-0.550084</v>
      </c>
      <c r="I537" t="n">
        <v>-31.70524210937144</v>
      </c>
      <c r="J537" t="inlineStr">
        <is>
          <t>Switzerland|CSW.PA|2019</t>
        </is>
      </c>
      <c r="K537" t="inlineStr">
        <is>
          <t>Switzerland|2019</t>
        </is>
      </c>
      <c r="L537" t="inlineStr">
        <is>
          <t>EUR</t>
        </is>
      </c>
      <c r="M537" t="n">
        <v>34.55942289211569</v>
      </c>
      <c r="N537" t="n">
        <v>-2.529934143277091</v>
      </c>
      <c r="O537" t="n">
        <v>31.15515810937144</v>
      </c>
      <c r="P537" t="n">
        <v>-1.591782718460655</v>
      </c>
      <c r="Q537" t="n">
        <v>33.27663251346713</v>
      </c>
      <c r="R537" t="n">
        <v>0.363</v>
      </c>
      <c r="S537" t="n">
        <v>1.813</v>
      </c>
      <c r="T537" t="n">
        <v>-1.45</v>
      </c>
      <c r="U537" t="n">
        <v>721896000000</v>
      </c>
    </row>
    <row r="538">
      <c r="A538" t="inlineStr">
        <is>
          <t>Switzerland</t>
        </is>
      </c>
      <c r="B538" t="inlineStr">
        <is>
          <t>CHE</t>
        </is>
      </c>
      <c r="C538" t="inlineStr">
        <is>
          <t>CSW.PA</t>
        </is>
      </c>
      <c r="D538" t="n">
        <v>2020</v>
      </c>
      <c r="E538" t="n">
        <v>0.6237905206050387</v>
      </c>
      <c r="F538" t="n">
        <v>-2.293</v>
      </c>
      <c r="G538" t="n">
        <v>-2.970639</v>
      </c>
      <c r="H538" t="n">
        <v>2.68626</v>
      </c>
      <c r="I538" t="n">
        <v>-7.614195292459443</v>
      </c>
      <c r="J538" t="inlineStr">
        <is>
          <t>Switzerland|CSW.PA|2020</t>
        </is>
      </c>
      <c r="K538" t="inlineStr">
        <is>
          <t>Switzerland|2020</t>
        </is>
      </c>
      <c r="L538" t="inlineStr">
        <is>
          <t>EUR</t>
        </is>
      </c>
      <c r="M538" t="n">
        <v>0.6237905206050387</v>
      </c>
      <c r="N538" t="n">
        <v>9.616676853246631</v>
      </c>
      <c r="O538" t="n">
        <v>10.30045529245944</v>
      </c>
      <c r="P538" t="n">
        <v>5.830089777766312</v>
      </c>
      <c r="Q538" t="n">
        <v>4.2240968746039</v>
      </c>
      <c r="R538" t="n">
        <v>-0.724</v>
      </c>
      <c r="S538" t="n">
        <v>1.253</v>
      </c>
      <c r="T538" t="n">
        <v>-1.977</v>
      </c>
      <c r="U538" t="n">
        <v>741288000000</v>
      </c>
    </row>
    <row r="539">
      <c r="A539" t="inlineStr">
        <is>
          <t>Switzerland</t>
        </is>
      </c>
      <c r="B539" t="inlineStr">
        <is>
          <t>CHE</t>
        </is>
      </c>
      <c r="C539" t="inlineStr">
        <is>
          <t>CSW.PA</t>
        </is>
      </c>
      <c r="D539" t="n">
        <v>2021</v>
      </c>
      <c r="E539" t="n">
        <v>27.92607924655868</v>
      </c>
      <c r="F539" t="n">
        <v>5.573</v>
      </c>
      <c r="G539" t="n">
        <v>6.962635</v>
      </c>
      <c r="H539" t="n">
        <v>9.902763999999999</v>
      </c>
      <c r="I539" t="n">
        <v>-9.040951452723553</v>
      </c>
      <c r="J539" t="inlineStr">
        <is>
          <t>Switzerland|CSW.PA|2021</t>
        </is>
      </c>
      <c r="K539" t="inlineStr">
        <is>
          <t>Switzerland|2021</t>
        </is>
      </c>
      <c r="L539" t="inlineStr">
        <is>
          <t>EUR</t>
        </is>
      </c>
      <c r="M539" t="n">
        <v>27.92607924655868</v>
      </c>
      <c r="N539" t="n">
        <v>-7.021526686925927</v>
      </c>
      <c r="O539" t="n">
        <v>18.94371545272355</v>
      </c>
      <c r="P539" t="n">
        <v>2.748744273606651</v>
      </c>
      <c r="Q539" t="n">
        <v>15.76172175495574</v>
      </c>
      <c r="R539" t="n">
        <v>0.583</v>
      </c>
      <c r="S539" t="n">
        <v>4.679</v>
      </c>
      <c r="T539" t="n">
        <v>-4.096</v>
      </c>
      <c r="U539" t="n">
        <v>814696000000</v>
      </c>
    </row>
    <row r="540">
      <c r="A540" t="inlineStr">
        <is>
          <t>Switzerland</t>
        </is>
      </c>
      <c r="B540" t="inlineStr">
        <is>
          <t>CHE</t>
        </is>
      </c>
      <c r="C540" t="inlineStr">
        <is>
          <t>CSW.PA</t>
        </is>
      </c>
      <c r="D540" t="n">
        <v>2022</v>
      </c>
      <c r="E540" t="n">
        <v>-13.63958999324812</v>
      </c>
      <c r="F540" t="n">
        <v>3.124</v>
      </c>
      <c r="G540" t="n">
        <v>6.257026</v>
      </c>
      <c r="H540" t="n">
        <v>1.69597</v>
      </c>
      <c r="I540" t="n">
        <v>20.74724424225694</v>
      </c>
      <c r="J540" t="inlineStr">
        <is>
          <t>Switzerland|CSW.PA|2022</t>
        </is>
      </c>
      <c r="K540" t="inlineStr">
        <is>
          <t>Switzerland|2022</t>
        </is>
      </c>
      <c r="L540" t="inlineStr">
        <is>
          <t>EUR</t>
        </is>
      </c>
      <c r="M540" t="n">
        <v>-13.63958999324812</v>
      </c>
      <c r="N540" t="n">
        <v>-6.266394808206355</v>
      </c>
      <c r="O540" t="n">
        <v>-19.05127424225694</v>
      </c>
      <c r="P540" t="n">
        <v>-4.29247512672184</v>
      </c>
      <c r="Q540" t="n">
        <v>-15.42073012030824</v>
      </c>
      <c r="R540" t="n">
        <v>2.834</v>
      </c>
      <c r="S540" t="n">
        <v>7.993</v>
      </c>
      <c r="T540" t="n">
        <v>-5.159000000000001</v>
      </c>
      <c r="U540" t="n">
        <v>828513000000</v>
      </c>
    </row>
    <row r="541">
      <c r="A541" t="inlineStr">
        <is>
          <t>Switzerland</t>
        </is>
      </c>
      <c r="B541" t="inlineStr">
        <is>
          <t>CHE</t>
        </is>
      </c>
      <c r="C541" t="inlineStr">
        <is>
          <t>CSW.PA</t>
        </is>
      </c>
      <c r="D541" t="n">
        <v>2023</v>
      </c>
      <c r="E541" t="n">
        <v>9.945783137920582</v>
      </c>
      <c r="F541" t="n">
        <v>0.737</v>
      </c>
      <c r="G541" t="n">
        <v>1.629522</v>
      </c>
      <c r="H541" t="n">
        <v>8.00253</v>
      </c>
      <c r="I541" t="n">
        <v>-5.623166931817654</v>
      </c>
      <c r="J541" t="inlineStr">
        <is>
          <t>Switzerland|CSW.PA|2023</t>
        </is>
      </c>
      <c r="K541" t="inlineStr">
        <is>
          <t>Switzerland|2023</t>
        </is>
      </c>
      <c r="L541" t="inlineStr">
        <is>
          <t>EUR</t>
        </is>
      </c>
      <c r="M541" t="n">
        <v>9.945783137920582</v>
      </c>
      <c r="N541" t="n">
        <v>3.347025860264985</v>
      </c>
      <c r="O541" t="n">
        <v>13.62569693181765</v>
      </c>
      <c r="P541" t="n">
        <v>6.270823636061729</v>
      </c>
      <c r="Q541" t="n">
        <v>6.920877287018734</v>
      </c>
      <c r="R541" t="n">
        <v>2.135</v>
      </c>
      <c r="S541" t="n">
        <v>4.128</v>
      </c>
      <c r="T541" t="n">
        <v>-1.993</v>
      </c>
      <c r="U541" t="n">
        <v>894815000000</v>
      </c>
    </row>
    <row r="542">
      <c r="A542" t="inlineStr">
        <is>
          <t>Switzerland</t>
        </is>
      </c>
      <c r="B542" t="inlineStr">
        <is>
          <t>CHE</t>
        </is>
      </c>
      <c r="C542" t="inlineStr">
        <is>
          <t>CSW.PA</t>
        </is>
      </c>
      <c r="D542" t="n">
        <v>2024</v>
      </c>
      <c r="E542" t="n">
        <v>3.663137597502431</v>
      </c>
      <c r="F542" t="n">
        <v>1.363</v>
      </c>
      <c r="G542" t="n">
        <v>2.737126</v>
      </c>
      <c r="H542" t="n">
        <v>4.843236</v>
      </c>
      <c r="I542" t="n">
        <v>7.271712072094821</v>
      </c>
      <c r="J542" t="inlineStr">
        <is>
          <t>Switzerland|CSW.PA|2024</t>
        </is>
      </c>
      <c r="K542" t="inlineStr">
        <is>
          <t>Switzerland|2024</t>
        </is>
      </c>
      <c r="L542" t="inlineStr">
        <is>
          <t>EUR</t>
        </is>
      </c>
      <c r="M542" t="n">
        <v>3.663137597502431</v>
      </c>
      <c r="N542" t="n">
        <v>-5.876354710822507</v>
      </c>
      <c r="O542" t="n">
        <v>-2.428476072094821</v>
      </c>
      <c r="P542" t="n">
        <v>2.049998749231574</v>
      </c>
      <c r="Q542" t="n">
        <v>-4.38851041275502</v>
      </c>
      <c r="R542" t="n">
        <v>1.06</v>
      </c>
      <c r="S542" t="n">
        <v>2.952</v>
      </c>
      <c r="T542" t="n">
        <v>-1.892</v>
      </c>
      <c r="U542" t="n">
        <v>938153000000</v>
      </c>
    </row>
    <row r="543">
      <c r="A543" t="inlineStr">
        <is>
          <t>Switzerland</t>
        </is>
      </c>
      <c r="B543" t="inlineStr">
        <is>
          <t>CHE</t>
        </is>
      </c>
      <c r="C543" t="inlineStr">
        <is>
          <t>CSW.PA</t>
        </is>
      </c>
      <c r="D543" t="n">
        <v>2025</v>
      </c>
      <c r="E543" t="n">
        <v>15.9135972759421</v>
      </c>
      <c r="F543" t="n">
        <v>0.946</v>
      </c>
      <c r="G543" t="n">
        <v>1.031492</v>
      </c>
      <c r="H543" t="n">
        <v>6.876597</v>
      </c>
      <c r="I543" t="n">
        <v>-24.6621639207751</v>
      </c>
      <c r="J543" t="inlineStr">
        <is>
          <t>Switzerland|CSW.PA|2025</t>
        </is>
      </c>
      <c r="K543" t="inlineStr">
        <is>
          <t>Switzerland|2025</t>
        </is>
      </c>
      <c r="L543" t="inlineStr">
        <is>
          <t>EUR</t>
        </is>
      </c>
      <c r="M543" t="n">
        <v>15.9135972759421</v>
      </c>
      <c r="N543" t="n">
        <v>13.48000925865149</v>
      </c>
      <c r="O543" t="n">
        <v>31.5387609207751</v>
      </c>
      <c r="P543" t="n">
        <v>5.785428671851567</v>
      </c>
      <c r="Q543" t="n">
        <v>24.34487676824646</v>
      </c>
      <c r="R543" t="n">
        <v>0.142</v>
      </c>
      <c r="S543" t="n">
        <v>2.715</v>
      </c>
      <c r="T543" t="n">
        <v>-2.573</v>
      </c>
      <c r="U543" t="n">
        <v>1002666000000</v>
      </c>
    </row>
    <row r="544">
      <c r="A544" t="inlineStr">
        <is>
          <t>Switzerland</t>
        </is>
      </c>
      <c r="B544" t="inlineStr">
        <is>
          <t>CHE</t>
        </is>
      </c>
      <c r="C544" t="inlineStr">
        <is>
          <t>CSW.PA</t>
        </is>
      </c>
      <c r="D544" t="n">
        <v>2026</v>
      </c>
      <c r="E544" t="n">
        <v>0.5544397776630294</v>
      </c>
      <c r="F544" t="n">
        <v>1.275</v>
      </c>
      <c r="G544" t="n">
        <v>1.903517</v>
      </c>
      <c r="H544" t="n">
        <v>7.173077</v>
      </c>
      <c r="I544" t="n">
        <v>8.924114390644695</v>
      </c>
      <c r="J544" t="inlineStr">
        <is>
          <t>Switzerland|CSW.PA|2026</t>
        </is>
      </c>
      <c r="K544" t="inlineStr">
        <is>
          <t>Switzerland|2026</t>
        </is>
      </c>
      <c r="L544" t="inlineStr">
        <is>
          <t>EUR</t>
        </is>
      </c>
      <c r="M544" t="n">
        <v>0.5544397776630294</v>
      </c>
      <c r="N544" t="n">
        <v>-2.292765166217814</v>
      </c>
      <c r="O544" t="n">
        <v>-1.751037390644694</v>
      </c>
      <c r="P544" t="n">
        <v>5.171126513062774</v>
      </c>
      <c r="Q544" t="n">
        <v>-6.581810172821245</v>
      </c>
      <c r="R544" t="n">
        <v>0.555</v>
      </c>
      <c r="S544" t="n">
        <v>2.435</v>
      </c>
      <c r="T544" t="n">
        <v>-1.88</v>
      </c>
      <c r="U544" t="n">
        <v>1074588000000</v>
      </c>
    </row>
    <row r="545">
      <c r="A545" t="inlineStr">
        <is>
          <t>Switzerland</t>
        </is>
      </c>
      <c r="B545" t="inlineStr">
        <is>
          <t>CHE</t>
        </is>
      </c>
      <c r="C545" t="inlineStr">
        <is>
          <t>CSW.PA</t>
        </is>
      </c>
      <c r="D545" t="n">
        <v>2027</v>
      </c>
      <c r="E545" t="inlineStr"/>
      <c r="F545" t="n">
        <v>1.1</v>
      </c>
      <c r="G545" t="n">
        <v>1.785998</v>
      </c>
      <c r="H545" t="n">
        <v>3.702814</v>
      </c>
      <c r="I545" t="inlineStr"/>
      <c r="J545" t="inlineStr">
        <is>
          <t>Switzerland|CSW.PA|2027</t>
        </is>
      </c>
      <c r="K545" t="inlineStr">
        <is>
          <t>Switzerland|2027</t>
        </is>
      </c>
      <c r="L545" t="inlineStr">
        <is>
          <t>EUR</t>
        </is>
      </c>
      <c r="M545" t="inlineStr"/>
      <c r="N545" t="inlineStr"/>
      <c r="O545" t="inlineStr"/>
      <c r="P545" t="n">
        <v>1.883183097825403</v>
      </c>
      <c r="Q545" t="inlineStr"/>
      <c r="R545" t="n">
        <v>0.656</v>
      </c>
      <c r="S545" t="n">
        <v>2.185</v>
      </c>
      <c r="T545" t="n">
        <v>-1.529</v>
      </c>
      <c r="U545" t="n">
        <v>1114378000000</v>
      </c>
    </row>
    <row r="546">
      <c r="A546" t="inlineStr">
        <is>
          <t>Switzerland</t>
        </is>
      </c>
      <c r="B546" t="inlineStr">
        <is>
          <t>CHE</t>
        </is>
      </c>
      <c r="C546" t="inlineStr">
        <is>
          <t>CSW.PA</t>
        </is>
      </c>
      <c r="D546" t="n">
        <v>2028</v>
      </c>
      <c r="E546" t="inlineStr"/>
      <c r="F546" t="n">
        <v>1.8</v>
      </c>
      <c r="G546" t="n">
        <v>2.508604</v>
      </c>
      <c r="H546" t="n">
        <v>4.374727</v>
      </c>
      <c r="I546" t="inlineStr"/>
      <c r="J546" t="inlineStr">
        <is>
          <t>Switzerland|CSW.PA|2028</t>
        </is>
      </c>
      <c r="K546" t="inlineStr">
        <is>
          <t>Switzerland|2028</t>
        </is>
      </c>
      <c r="L546" t="inlineStr">
        <is>
          <t>EUR</t>
        </is>
      </c>
      <c r="M546" t="inlineStr"/>
      <c r="N546" t="inlineStr"/>
      <c r="O546" t="inlineStr"/>
      <c r="P546" t="n">
        <v>1.820455362070983</v>
      </c>
      <c r="Q546" t="inlineStr"/>
      <c r="R546" t="n">
        <v>0.706</v>
      </c>
      <c r="S546" t="n">
        <v>2.206</v>
      </c>
      <c r="T546" t="n">
        <v>-1.5</v>
      </c>
      <c r="U546" t="n">
        <v>1163129000000</v>
      </c>
    </row>
    <row r="547">
      <c r="A547" t="inlineStr">
        <is>
          <t>Switzerland</t>
        </is>
      </c>
      <c r="B547" t="inlineStr">
        <is>
          <t>CHE</t>
        </is>
      </c>
      <c r="C547" t="inlineStr">
        <is>
          <t>CSW.PA</t>
        </is>
      </c>
      <c r="D547" t="n">
        <v>2029</v>
      </c>
      <c r="E547" t="inlineStr"/>
      <c r="F547" t="n">
        <v>1.2</v>
      </c>
      <c r="G547" t="n">
        <v>1.87232</v>
      </c>
      <c r="H547" t="n">
        <v>3.731744</v>
      </c>
      <c r="I547" t="inlineStr"/>
      <c r="J547" t="inlineStr">
        <is>
          <t>Switzerland|CSW.PA|2029</t>
        </is>
      </c>
      <c r="K547" t="inlineStr">
        <is>
          <t>Switzerland|2029</t>
        </is>
      </c>
      <c r="L547" t="inlineStr">
        <is>
          <t>EUR</t>
        </is>
      </c>
      <c r="M547" t="inlineStr"/>
      <c r="N547" t="inlineStr"/>
      <c r="O547" t="inlineStr"/>
      <c r="P547" t="n">
        <v>1.825249966288545</v>
      </c>
      <c r="Q547" t="inlineStr"/>
      <c r="R547" t="n">
        <v>0.711</v>
      </c>
      <c r="S547" t="n">
        <v>2.203</v>
      </c>
      <c r="T547" t="n">
        <v>-1.492</v>
      </c>
      <c r="U547" t="n">
        <v>1206534000000</v>
      </c>
    </row>
    <row r="548">
      <c r="A548" t="inlineStr">
        <is>
          <t>Switzerland</t>
        </is>
      </c>
      <c r="B548" t="inlineStr">
        <is>
          <t>CHE</t>
        </is>
      </c>
      <c r="C548" t="inlineStr">
        <is>
          <t>CSWG.L</t>
        </is>
      </c>
      <c r="D548" t="n">
        <v>2004</v>
      </c>
      <c r="E548" t="inlineStr"/>
      <c r="F548" t="n">
        <v>2.559</v>
      </c>
      <c r="G548" t="inlineStr"/>
      <c r="H548" t="inlineStr"/>
      <c r="I548" t="inlineStr"/>
      <c r="J548" t="inlineStr">
        <is>
          <t>Switzerland|CSWG.L|2004</t>
        </is>
      </c>
      <c r="K548" t="inlineStr">
        <is>
          <t>Switzerland|2004</t>
        </is>
      </c>
      <c r="L548" t="inlineStr">
        <is>
          <t>GBp</t>
        </is>
      </c>
      <c r="M548" t="inlineStr"/>
      <c r="N548" t="inlineStr"/>
      <c r="O548" t="inlineStr"/>
      <c r="P548" t="inlineStr"/>
      <c r="Q548" t="inlineStr"/>
      <c r="R548" t="n">
        <v>0.801</v>
      </c>
      <c r="S548" t="n">
        <v>2.668</v>
      </c>
      <c r="T548" t="n">
        <v>-1.867</v>
      </c>
      <c r="U548" t="n">
        <v>403459000000</v>
      </c>
    </row>
    <row r="549">
      <c r="A549" t="inlineStr">
        <is>
          <t>Switzerland</t>
        </is>
      </c>
      <c r="B549" t="inlineStr">
        <is>
          <t>CHE</t>
        </is>
      </c>
      <c r="C549" t="inlineStr">
        <is>
          <t>CSWG.L</t>
        </is>
      </c>
      <c r="D549" t="n">
        <v>2005</v>
      </c>
      <c r="E549" t="inlineStr"/>
      <c r="F549" t="n">
        <v>2.861</v>
      </c>
      <c r="G549" t="n">
        <v>3.80885</v>
      </c>
      <c r="H549" t="n">
        <v>3.668774</v>
      </c>
      <c r="I549" t="inlineStr"/>
      <c r="J549" t="inlineStr">
        <is>
          <t>Switzerland|CSWG.L|2005</t>
        </is>
      </c>
      <c r="K549" t="inlineStr">
        <is>
          <t>Switzerland|2005</t>
        </is>
      </c>
      <c r="L549" t="inlineStr">
        <is>
          <t>GBp</t>
        </is>
      </c>
      <c r="M549" t="inlineStr"/>
      <c r="N549" t="inlineStr"/>
      <c r="O549" t="inlineStr"/>
      <c r="P549" t="n">
        <v>-0.1349361215006284</v>
      </c>
      <c r="Q549" t="inlineStr"/>
      <c r="R549" t="n">
        <v>1.173</v>
      </c>
      <c r="S549" t="n">
        <v>3.366</v>
      </c>
      <c r="T549" t="n">
        <v>-2.193</v>
      </c>
      <c r="U549" t="n">
        <v>418261000000</v>
      </c>
    </row>
    <row r="550">
      <c r="A550" t="inlineStr">
        <is>
          <t>Switzerland</t>
        </is>
      </c>
      <c r="B550" t="inlineStr">
        <is>
          <t>CHE</t>
        </is>
      </c>
      <c r="C550" t="inlineStr">
        <is>
          <t>CSWG.L</t>
        </is>
      </c>
      <c r="D550" t="n">
        <v>2006</v>
      </c>
      <c r="E550" t="inlineStr"/>
      <c r="F550" t="n">
        <v>4.144</v>
      </c>
      <c r="G550" t="n">
        <v>6.37873</v>
      </c>
      <c r="H550" t="n">
        <v>5.643366</v>
      </c>
      <c r="I550" t="inlineStr"/>
      <c r="J550" t="inlineStr">
        <is>
          <t>Switzerland|CSWG.L|2006</t>
        </is>
      </c>
      <c r="K550" t="inlineStr">
        <is>
          <t>Switzerland|2006</t>
        </is>
      </c>
      <c r="L550" t="inlineStr">
        <is>
          <t>GBp</t>
        </is>
      </c>
      <c r="M550" t="inlineStr"/>
      <c r="N550" t="inlineStr"/>
      <c r="O550" t="inlineStr"/>
      <c r="P550" t="n">
        <v>-0.6912695711682071</v>
      </c>
      <c r="Q550" t="inlineStr"/>
      <c r="R550" t="n">
        <v>1.064</v>
      </c>
      <c r="S550" t="n">
        <v>3.222</v>
      </c>
      <c r="T550" t="n">
        <v>-2.158</v>
      </c>
      <c r="U550" t="n">
        <v>441865000000</v>
      </c>
    </row>
    <row r="551">
      <c r="A551" t="inlineStr">
        <is>
          <t>Switzerland</t>
        </is>
      </c>
      <c r="B551" t="inlineStr">
        <is>
          <t>CHE</t>
        </is>
      </c>
      <c r="C551" t="inlineStr">
        <is>
          <t>CSWG.L</t>
        </is>
      </c>
      <c r="D551" t="n">
        <v>2007</v>
      </c>
      <c r="E551" t="inlineStr"/>
      <c r="F551" t="n">
        <v>3.923</v>
      </c>
      <c r="G551" t="n">
        <v>6.392614</v>
      </c>
      <c r="H551" t="n">
        <v>11.132586</v>
      </c>
      <c r="I551" t="inlineStr"/>
      <c r="J551" t="inlineStr">
        <is>
          <t>Switzerland|CSWG.L|2007</t>
        </is>
      </c>
      <c r="K551" t="inlineStr">
        <is>
          <t>Switzerland|2007</t>
        </is>
      </c>
      <c r="L551" t="inlineStr">
        <is>
          <t>GBp</t>
        </is>
      </c>
      <c r="M551" t="inlineStr"/>
      <c r="N551" t="inlineStr"/>
      <c r="O551" t="inlineStr"/>
      <c r="P551" t="n">
        <v>4.455169811761706</v>
      </c>
      <c r="Q551" t="inlineStr"/>
      <c r="R551" t="n">
        <v>0.735</v>
      </c>
      <c r="S551" t="n">
        <v>2.871</v>
      </c>
      <c r="T551" t="n">
        <v>-2.136</v>
      </c>
      <c r="U551" t="n">
        <v>491056000000</v>
      </c>
    </row>
    <row r="552">
      <c r="A552" t="inlineStr">
        <is>
          <t>Switzerland</t>
        </is>
      </c>
      <c r="B552" t="inlineStr">
        <is>
          <t>CHE</t>
        </is>
      </c>
      <c r="C552" t="inlineStr">
        <is>
          <t>CSWG.L</t>
        </is>
      </c>
      <c r="D552" t="n">
        <v>2008</v>
      </c>
      <c r="E552" t="inlineStr"/>
      <c r="F552" t="n">
        <v>2.685</v>
      </c>
      <c r="G552" t="n">
        <v>4.175609</v>
      </c>
      <c r="H552" t="n">
        <v>15.455671</v>
      </c>
      <c r="I552" t="inlineStr"/>
      <c r="J552" t="inlineStr">
        <is>
          <t>Switzerland|CSWG.L|2008</t>
        </is>
      </c>
      <c r="K552" t="inlineStr">
        <is>
          <t>Switzerland|2008</t>
        </is>
      </c>
      <c r="L552" t="inlineStr">
        <is>
          <t>GBp</t>
        </is>
      </c>
      <c r="M552" t="inlineStr"/>
      <c r="N552" t="n">
        <v>-26.2666463318202</v>
      </c>
      <c r="O552" t="inlineStr"/>
      <c r="P552" t="n">
        <v>10.8279303808319</v>
      </c>
      <c r="Q552" t="inlineStr"/>
      <c r="R552" t="n">
        <v>2.428</v>
      </c>
      <c r="S552" t="n">
        <v>3.815</v>
      </c>
      <c r="T552" t="n">
        <v>-1.387</v>
      </c>
      <c r="U552" t="n">
        <v>566952000000</v>
      </c>
    </row>
    <row r="553">
      <c r="A553" t="inlineStr">
        <is>
          <t>Switzerland</t>
        </is>
      </c>
      <c r="B553" t="inlineStr">
        <is>
          <t>CHE</t>
        </is>
      </c>
      <c r="C553" t="inlineStr">
        <is>
          <t>CSWG.L</t>
        </is>
      </c>
      <c r="D553" t="n">
        <v>2009</v>
      </c>
      <c r="E553" t="inlineStr"/>
      <c r="F553" t="n">
        <v>-2.305</v>
      </c>
      <c r="G553" t="n">
        <v>-1.849656</v>
      </c>
      <c r="H553" t="n">
        <v>-2.30531</v>
      </c>
      <c r="I553" t="inlineStr"/>
      <c r="J553" t="inlineStr">
        <is>
          <t>Switzerland|CSWG.L|2009</t>
        </is>
      </c>
      <c r="K553" t="inlineStr">
        <is>
          <t>Switzerland|2009</t>
        </is>
      </c>
      <c r="L553" t="inlineStr">
        <is>
          <t>GBp</t>
        </is>
      </c>
      <c r="M553" t="inlineStr"/>
      <c r="N553" t="n">
        <v>9.775566130910907</v>
      </c>
      <c r="O553" t="inlineStr"/>
      <c r="P553" t="n">
        <v>-0.4642402612147989</v>
      </c>
      <c r="Q553" t="inlineStr"/>
      <c r="R553" t="n">
        <v>-0.48</v>
      </c>
      <c r="S553" t="n">
        <v>-0.32</v>
      </c>
      <c r="T553" t="n">
        <v>-0.16</v>
      </c>
      <c r="U553" t="n">
        <v>553882000000</v>
      </c>
    </row>
    <row r="554">
      <c r="A554" t="inlineStr">
        <is>
          <t>Switzerland</t>
        </is>
      </c>
      <c r="B554" t="inlineStr">
        <is>
          <t>CHE</t>
        </is>
      </c>
      <c r="C554" t="inlineStr">
        <is>
          <t>CSWG.L</t>
        </is>
      </c>
      <c r="D554" t="n">
        <v>2010</v>
      </c>
      <c r="E554" t="n">
        <v>-0.2526528549772755</v>
      </c>
      <c r="F554" t="n">
        <v>3.213</v>
      </c>
      <c r="G554" t="n">
        <v>3.535246</v>
      </c>
      <c r="H554" t="n">
        <v>8.026078</v>
      </c>
      <c r="I554" t="n">
        <v>12.58096873350866</v>
      </c>
      <c r="J554" t="inlineStr">
        <is>
          <t>Switzerland|CSWG.L|2010</t>
        </is>
      </c>
      <c r="K554" t="inlineStr">
        <is>
          <t>Switzerland|2010</t>
        </is>
      </c>
      <c r="L554" t="inlineStr">
        <is>
          <t>GBp</t>
        </is>
      </c>
      <c r="M554" t="n">
        <v>-0.2526528549772755</v>
      </c>
      <c r="N554" t="n">
        <v>-4.313135137595536</v>
      </c>
      <c r="O554" t="n">
        <v>-4.554890733508654</v>
      </c>
      <c r="P554" t="n">
        <v>4.337490510679931</v>
      </c>
      <c r="Q554" t="n">
        <v>-8.52270952719374</v>
      </c>
      <c r="R554" t="n">
        <v>0.6879999999999999</v>
      </c>
      <c r="S554" t="n">
        <v>1.637</v>
      </c>
      <c r="T554" t="n">
        <v>-0.9490000000000001</v>
      </c>
      <c r="U554" t="n">
        <v>598337000000</v>
      </c>
    </row>
    <row r="555">
      <c r="A555" t="inlineStr">
        <is>
          <t>Switzerland</t>
        </is>
      </c>
      <c r="B555" t="inlineStr">
        <is>
          <t>CHE</t>
        </is>
      </c>
      <c r="C555" t="inlineStr">
        <is>
          <t>CSWG.L</t>
        </is>
      </c>
      <c r="D555" t="n">
        <v>2011</v>
      </c>
      <c r="E555" t="n">
        <v>-7.390673605046438</v>
      </c>
      <c r="F555" t="n">
        <v>1.9</v>
      </c>
      <c r="G555" t="n">
        <v>1.875293</v>
      </c>
      <c r="H555" t="n">
        <v>19.641105</v>
      </c>
      <c r="I555" t="n">
        <v>27.96260672213914</v>
      </c>
      <c r="J555" t="inlineStr">
        <is>
          <t>Switzerland|CSWG.L|2011</t>
        </is>
      </c>
      <c r="K555" t="inlineStr">
        <is>
          <t>Switzerland|2011</t>
        </is>
      </c>
      <c r="L555" t="inlineStr">
        <is>
          <t>GBp</t>
        </is>
      </c>
      <c r="M555" t="n">
        <v>-7.390673605046438</v>
      </c>
      <c r="N555" t="n">
        <v>-1.005112717398426</v>
      </c>
      <c r="O555" t="n">
        <v>-8.321501722139136</v>
      </c>
      <c r="P555" t="n">
        <v>17.43878343197234</v>
      </c>
      <c r="Q555" t="n">
        <v>-21.93507493973096</v>
      </c>
      <c r="R555" t="n">
        <v>0.228</v>
      </c>
      <c r="S555" t="n">
        <v>3.14</v>
      </c>
      <c r="T555" t="n">
        <v>-2.912</v>
      </c>
      <c r="U555" t="n">
        <v>715857000000</v>
      </c>
    </row>
    <row r="556">
      <c r="A556" t="inlineStr">
        <is>
          <t>Switzerland</t>
        </is>
      </c>
      <c r="B556" t="inlineStr">
        <is>
          <t>CHE</t>
        </is>
      </c>
      <c r="C556" t="inlineStr">
        <is>
          <t>CSWG.L</t>
        </is>
      </c>
      <c r="D556" t="n">
        <v>2012</v>
      </c>
      <c r="E556" t="n">
        <v>15.39370144885757</v>
      </c>
      <c r="F556" t="n">
        <v>1.206</v>
      </c>
      <c r="G556" t="n">
        <v>1.266141</v>
      </c>
      <c r="H556" t="n">
        <v>-4.095092</v>
      </c>
      <c r="I556" t="n">
        <v>-24.33058432922877</v>
      </c>
      <c r="J556" t="inlineStr">
        <is>
          <t>Switzerland|CSWG.L|2012</t>
        </is>
      </c>
      <c r="K556" t="inlineStr">
        <is>
          <t>Switzerland|2012</t>
        </is>
      </c>
      <c r="L556" t="inlineStr">
        <is>
          <t>GBp</t>
        </is>
      </c>
      <c r="M556" t="n">
        <v>15.39370144885757</v>
      </c>
      <c r="N556" t="n">
        <v>4.195888354025179</v>
      </c>
      <c r="O556" t="n">
        <v>20.23549232922877</v>
      </c>
      <c r="P556" t="n">
        <v>-5.294200924610193</v>
      </c>
      <c r="Q556" t="n">
        <v>26.95684266759235</v>
      </c>
      <c r="R556" t="n">
        <v>-0.6929999999999999</v>
      </c>
      <c r="S556" t="n">
        <v>2.073</v>
      </c>
      <c r="T556" t="n">
        <v>-2.766</v>
      </c>
      <c r="U556" t="n">
        <v>686542000000</v>
      </c>
    </row>
    <row r="557">
      <c r="A557" t="inlineStr">
        <is>
          <t>Switzerland</t>
        </is>
      </c>
      <c r="B557" t="inlineStr">
        <is>
          <t>CHE</t>
        </is>
      </c>
      <c r="C557" t="inlineStr">
        <is>
          <t>CSWG.L</t>
        </is>
      </c>
      <c r="D557" t="n">
        <v>2013</v>
      </c>
      <c r="E557" t="n">
        <v>22.68748150355131</v>
      </c>
      <c r="F557" t="n">
        <v>1.856</v>
      </c>
      <c r="G557" t="n">
        <v>1.764633</v>
      </c>
      <c r="H557" t="n">
        <v>2.948399</v>
      </c>
      <c r="I557" t="n">
        <v>-21.69401738285598</v>
      </c>
      <c r="J557" t="inlineStr">
        <is>
          <t>Switzerland|CSWG.L|2013</t>
        </is>
      </c>
      <c r="K557" t="inlineStr">
        <is>
          <t>Switzerland|2013</t>
        </is>
      </c>
      <c r="L557" t="inlineStr">
        <is>
          <t>GBp</t>
        </is>
      </c>
      <c r="M557" t="n">
        <v>22.68748150355131</v>
      </c>
      <c r="N557" t="n">
        <v>1.593426530031161</v>
      </c>
      <c r="O557" t="n">
        <v>24.64241638285598</v>
      </c>
      <c r="P557" t="n">
        <v>1.163239678486416</v>
      </c>
      <c r="Q557" t="n">
        <v>23.20919810297721</v>
      </c>
      <c r="R557" t="n">
        <v>-0.216</v>
      </c>
      <c r="S557" t="n">
        <v>1.466</v>
      </c>
      <c r="T557" t="n">
        <v>-1.682</v>
      </c>
      <c r="U557" t="n">
        <v>706784000000</v>
      </c>
    </row>
    <row r="558">
      <c r="A558" t="inlineStr">
        <is>
          <t>Switzerland</t>
        </is>
      </c>
      <c r="B558" t="inlineStr">
        <is>
          <t>CHE</t>
        </is>
      </c>
      <c r="C558" t="inlineStr">
        <is>
          <t>CSWG.L</t>
        </is>
      </c>
      <c r="D558" t="n">
        <v>2014</v>
      </c>
      <c r="E558" t="n">
        <v>11.32974692679947</v>
      </c>
      <c r="F558" t="n">
        <v>2.286</v>
      </c>
      <c r="G558" t="n">
        <v>1.620161</v>
      </c>
      <c r="H558" t="n">
        <v>2.812741</v>
      </c>
      <c r="I558" t="n">
        <v>-1.829937134489953</v>
      </c>
      <c r="J558" t="inlineStr">
        <is>
          <t>Switzerland|CSWG.L|2014</t>
        </is>
      </c>
      <c r="K558" t="inlineStr">
        <is>
          <t>Switzerland|2014</t>
        </is>
      </c>
      <c r="L558" t="inlineStr">
        <is>
          <t>GBp</t>
        </is>
      </c>
      <c r="M558" t="n">
        <v>11.32974692679947</v>
      </c>
      <c r="N558" t="n">
        <v>-6.006542704804973</v>
      </c>
      <c r="O558" t="n">
        <v>4.642678134489953</v>
      </c>
      <c r="P558" t="n">
        <v>1.173565678573585</v>
      </c>
      <c r="Q558" t="n">
        <v>3.428872386427173</v>
      </c>
      <c r="R558" t="n">
        <v>-0.012</v>
      </c>
      <c r="S558" t="n">
        <v>1.615</v>
      </c>
      <c r="T558" t="n">
        <v>-1.627</v>
      </c>
      <c r="U558" t="n">
        <v>726664000000</v>
      </c>
    </row>
    <row r="559">
      <c r="A559" t="inlineStr">
        <is>
          <t>Switzerland</t>
        </is>
      </c>
      <c r="B559" t="inlineStr">
        <is>
          <t>CHE</t>
        </is>
      </c>
      <c r="C559" t="inlineStr">
        <is>
          <t>CSWG.L</t>
        </is>
      </c>
      <c r="D559" t="n">
        <v>2015</v>
      </c>
      <c r="E559" t="n">
        <v>0.9078539495379845</v>
      </c>
      <c r="F559" t="n">
        <v>1.571</v>
      </c>
      <c r="G559" t="n">
        <v>0.297416</v>
      </c>
      <c r="H559" t="n">
        <v>-4.520659</v>
      </c>
      <c r="I559" t="n">
        <v>-0.4952734077312737</v>
      </c>
      <c r="J559" t="inlineStr">
        <is>
          <t>Switzerland|CSWG.L|2015</t>
        </is>
      </c>
      <c r="K559" t="inlineStr">
        <is>
          <t>Switzerland|2015</t>
        </is>
      </c>
      <c r="L559" t="inlineStr">
        <is>
          <t>GBp</t>
        </is>
      </c>
      <c r="M559" t="n">
        <v>0.9078539495379845</v>
      </c>
      <c r="N559" t="n">
        <v>-4.888855870697362</v>
      </c>
      <c r="O559" t="n">
        <v>-4.025385592268726</v>
      </c>
      <c r="P559" t="n">
        <v>-4.803787639377777</v>
      </c>
      <c r="Q559" t="n">
        <v>0.817681741538534</v>
      </c>
      <c r="R559" t="n">
        <v>-1.142</v>
      </c>
      <c r="S559" t="n">
        <v>0.121</v>
      </c>
      <c r="T559" t="n">
        <v>-1.263</v>
      </c>
      <c r="U559" t="n">
        <v>693814000000</v>
      </c>
    </row>
    <row r="560">
      <c r="A560" t="inlineStr">
        <is>
          <t>Switzerland</t>
        </is>
      </c>
      <c r="B560" t="inlineStr">
        <is>
          <t>CHE</t>
        </is>
      </c>
      <c r="C560" t="inlineStr">
        <is>
          <t>CSWG.L</t>
        </is>
      </c>
      <c r="D560" t="n">
        <v>2016</v>
      </c>
      <c r="E560" t="n">
        <v>-1.837844670956446</v>
      </c>
      <c r="F560" t="n">
        <v>2.098</v>
      </c>
      <c r="G560" t="n">
        <v>1.498696</v>
      </c>
      <c r="H560" t="n">
        <v>-0.871703</v>
      </c>
      <c r="I560" t="n">
        <v>17.28629558148912</v>
      </c>
      <c r="J560" t="inlineStr">
        <is>
          <t>Switzerland|CSWG.L|2016</t>
        </is>
      </c>
      <c r="K560" t="inlineStr">
        <is>
          <t>Switzerland|2016</t>
        </is>
      </c>
      <c r="L560" t="inlineStr">
        <is>
          <t>GBp</t>
        </is>
      </c>
      <c r="M560" t="n">
        <v>-1.837844670956446</v>
      </c>
      <c r="N560" t="n">
        <v>-16.62570861023462</v>
      </c>
      <c r="O560" t="n">
        <v>-18.15799858148912</v>
      </c>
      <c r="P560" t="n">
        <v>-2.335398404529998</v>
      </c>
      <c r="Q560" t="n">
        <v>-16.20095706988788</v>
      </c>
      <c r="R560" t="n">
        <v>-0.434</v>
      </c>
      <c r="S560" t="n">
        <v>1.267</v>
      </c>
      <c r="T560" t="n">
        <v>-1.701</v>
      </c>
      <c r="U560" t="n">
        <v>687766000000</v>
      </c>
    </row>
    <row r="561">
      <c r="A561" t="inlineStr">
        <is>
          <t>Switzerland</t>
        </is>
      </c>
      <c r="B561" t="inlineStr">
        <is>
          <t>CHE</t>
        </is>
      </c>
      <c r="C561" t="inlineStr">
        <is>
          <t>CSWG.L</t>
        </is>
      </c>
      <c r="D561" t="n">
        <v>2017</v>
      </c>
      <c r="E561" t="n">
        <v>15.85573149956643</v>
      </c>
      <c r="F561" t="n">
        <v>1.428</v>
      </c>
      <c r="G561" t="n">
        <v>1.053383</v>
      </c>
      <c r="H561" t="n">
        <v>1.125528</v>
      </c>
      <c r="I561" t="n">
        <v>-24.97345832460348</v>
      </c>
      <c r="J561" t="inlineStr">
        <is>
          <t>Switzerland|CSWG.L|2017</t>
        </is>
      </c>
      <c r="K561" t="inlineStr">
        <is>
          <t>Switzerland|2017</t>
        </is>
      </c>
      <c r="L561" t="inlineStr">
        <is>
          <t>GBp</t>
        </is>
      </c>
      <c r="M561" t="n">
        <v>15.85573149956643</v>
      </c>
      <c r="N561" t="n">
        <v>8.841388071573641</v>
      </c>
      <c r="O561" t="n">
        <v>26.09898632460348</v>
      </c>
      <c r="P561" t="n">
        <v>0.07139279508214802</v>
      </c>
      <c r="Q561" t="n">
        <v>26.00902495962904</v>
      </c>
      <c r="R561" t="n">
        <v>0.535</v>
      </c>
      <c r="S561" t="n">
        <v>2.131</v>
      </c>
      <c r="T561" t="n">
        <v>-1.596</v>
      </c>
      <c r="U561" t="n">
        <v>695507000000</v>
      </c>
    </row>
    <row r="562">
      <c r="A562" t="inlineStr">
        <is>
          <t>Switzerland</t>
        </is>
      </c>
      <c r="B562" t="inlineStr">
        <is>
          <t>CHE</t>
        </is>
      </c>
      <c r="C562" t="inlineStr">
        <is>
          <t>CSWG.L</t>
        </is>
      </c>
      <c r="D562" t="n">
        <v>2018</v>
      </c>
      <c r="E562" t="n">
        <v>2835.268561832928</v>
      </c>
      <c r="F562" t="n">
        <v>2.862</v>
      </c>
      <c r="G562" t="n">
        <v>3.647461</v>
      </c>
      <c r="H562" t="n">
        <v>4.368324</v>
      </c>
      <c r="I562" t="n">
        <v>-2652.280216035177</v>
      </c>
      <c r="J562" t="inlineStr">
        <is>
          <t>Switzerland|CSWG.L|2018</t>
        </is>
      </c>
      <c r="K562" t="inlineStr">
        <is>
          <t>Switzerland|2018</t>
        </is>
      </c>
      <c r="L562" t="inlineStr">
        <is>
          <t>GBp</t>
        </is>
      </c>
      <c r="M562" t="n">
        <v>2835.268561832928</v>
      </c>
      <c r="N562" t="n">
        <v>-6.085304224640065</v>
      </c>
      <c r="O562" t="n">
        <v>2656.648540035177</v>
      </c>
      <c r="P562" t="n">
        <v>0.6954953977677203</v>
      </c>
      <c r="Q562" t="n">
        <v>2637.608598225624</v>
      </c>
      <c r="R562" t="n">
        <v>0.9350000000000001</v>
      </c>
      <c r="S562" t="n">
        <v>2.439</v>
      </c>
      <c r="T562" t="n">
        <v>-1.504</v>
      </c>
      <c r="U562" t="n">
        <v>725889000000</v>
      </c>
    </row>
    <row r="563">
      <c r="A563" t="inlineStr">
        <is>
          <t>Switzerland</t>
        </is>
      </c>
      <c r="B563" t="inlineStr">
        <is>
          <t>CHE</t>
        </is>
      </c>
      <c r="C563" t="inlineStr">
        <is>
          <t>CSWG.L</t>
        </is>
      </c>
      <c r="D563" t="n">
        <v>2019</v>
      </c>
      <c r="E563" t="n">
        <v>26.43935159306876</v>
      </c>
      <c r="F563" t="n">
        <v>1.163</v>
      </c>
      <c r="G563" t="n">
        <v>1.058548</v>
      </c>
      <c r="H563" t="n">
        <v>-0.550084</v>
      </c>
      <c r="I563" t="n">
        <v>-30.71163851806381</v>
      </c>
      <c r="J563" t="inlineStr">
        <is>
          <t>Switzerland|CSWG.L|2019</t>
        </is>
      </c>
      <c r="K563" t="inlineStr">
        <is>
          <t>Switzerland|2019</t>
        </is>
      </c>
      <c r="L563" t="inlineStr">
        <is>
          <t>GBp</t>
        </is>
      </c>
      <c r="M563" t="n">
        <v>26.43935159306876</v>
      </c>
      <c r="N563" t="n">
        <v>2.94386429390634</v>
      </c>
      <c r="O563" t="n">
        <v>30.16155451806382</v>
      </c>
      <c r="P563" t="n">
        <v>-1.591782718460655</v>
      </c>
      <c r="Q563" t="n">
        <v>32.26695708314713</v>
      </c>
      <c r="R563" t="n">
        <v>0.363</v>
      </c>
      <c r="S563" t="n">
        <v>1.813</v>
      </c>
      <c r="T563" t="n">
        <v>-1.45</v>
      </c>
      <c r="U563" t="n">
        <v>721896000000</v>
      </c>
    </row>
    <row r="564">
      <c r="A564" t="inlineStr">
        <is>
          <t>Switzerland</t>
        </is>
      </c>
      <c r="B564" t="inlineStr">
        <is>
          <t>CHE</t>
        </is>
      </c>
      <c r="C564" t="inlineStr">
        <is>
          <t>CSWG.L</t>
        </is>
      </c>
      <c r="D564" t="n">
        <v>2020</v>
      </c>
      <c r="E564" t="n">
        <v>6.910462159080955</v>
      </c>
      <c r="F564" t="n">
        <v>-2.293</v>
      </c>
      <c r="G564" t="n">
        <v>-2.970639</v>
      </c>
      <c r="H564" t="n">
        <v>2.68626</v>
      </c>
      <c r="I564" t="n">
        <v>-7.191179554065436</v>
      </c>
      <c r="J564" t="inlineStr">
        <is>
          <t>Switzerland|CSWG.L|2020</t>
        </is>
      </c>
      <c r="K564" t="inlineStr">
        <is>
          <t>Switzerland|2020</t>
        </is>
      </c>
      <c r="L564" t="inlineStr">
        <is>
          <t>GBp</t>
        </is>
      </c>
      <c r="M564" t="n">
        <v>6.910462159080955</v>
      </c>
      <c r="N564" t="n">
        <v>2.775198362317122</v>
      </c>
      <c r="O564" t="n">
        <v>9.877439554065436</v>
      </c>
      <c r="P564" t="n">
        <v>5.830089777766312</v>
      </c>
      <c r="Q564" t="n">
        <v>3.824384714024331</v>
      </c>
      <c r="R564" t="n">
        <v>-0.724</v>
      </c>
      <c r="S564" t="n">
        <v>1.253</v>
      </c>
      <c r="T564" t="n">
        <v>-1.977</v>
      </c>
      <c r="U564" t="n">
        <v>741288000000</v>
      </c>
    </row>
    <row r="565">
      <c r="A565" t="inlineStr">
        <is>
          <t>Switzerland</t>
        </is>
      </c>
      <c r="B565" t="inlineStr">
        <is>
          <t>CHE</t>
        </is>
      </c>
      <c r="C565" t="inlineStr">
        <is>
          <t>CSWG.L</t>
        </is>
      </c>
      <c r="D565" t="n">
        <v>2021</v>
      </c>
      <c r="E565" t="n">
        <v>18.55310165638193</v>
      </c>
      <c r="F565" t="n">
        <v>5.573</v>
      </c>
      <c r="G565" t="n">
        <v>6.962635</v>
      </c>
      <c r="H565" t="n">
        <v>9.902763999999999</v>
      </c>
      <c r="I565" t="n">
        <v>-7.136153121056408</v>
      </c>
      <c r="J565" t="inlineStr">
        <is>
          <t>Switzerland|CSWG.L|2021</t>
        </is>
      </c>
      <c r="K565" t="inlineStr">
        <is>
          <t>Switzerland|2021</t>
        </is>
      </c>
      <c r="L565" t="inlineStr">
        <is>
          <t>GBp</t>
        </is>
      </c>
      <c r="M565" t="n">
        <v>18.55310165638193</v>
      </c>
      <c r="N565" t="n">
        <v>-1.277220514832489</v>
      </c>
      <c r="O565" t="n">
        <v>17.03891712105641</v>
      </c>
      <c r="P565" t="n">
        <v>2.748744273606651</v>
      </c>
      <c r="Q565" t="n">
        <v>13.90788077117213</v>
      </c>
      <c r="R565" t="n">
        <v>0.583</v>
      </c>
      <c r="S565" t="n">
        <v>4.679</v>
      </c>
      <c r="T565" t="n">
        <v>-4.096</v>
      </c>
      <c r="U565" t="n">
        <v>814696000000</v>
      </c>
    </row>
    <row r="566">
      <c r="A566" t="inlineStr">
        <is>
          <t>Switzerland</t>
        </is>
      </c>
      <c r="B566" t="inlineStr">
        <is>
          <t>CHE</t>
        </is>
      </c>
      <c r="C566" t="inlineStr">
        <is>
          <t>CSWG.L</t>
        </is>
      </c>
      <c r="D566" t="n">
        <v>2022</v>
      </c>
      <c r="E566" t="n">
        <v>-97.68327164653236</v>
      </c>
      <c r="F566" t="n">
        <v>3.124</v>
      </c>
      <c r="G566" t="n">
        <v>6.257026</v>
      </c>
      <c r="H566" t="n">
        <v>1.69597</v>
      </c>
      <c r="I566" t="n">
        <v>99.63039925576571</v>
      </c>
      <c r="J566" t="inlineStr">
        <is>
          <t>Switzerland|CSWG.L|2022</t>
        </is>
      </c>
      <c r="K566" t="inlineStr">
        <is>
          <t>Switzerland|2022</t>
        </is>
      </c>
      <c r="L566" t="inlineStr">
        <is>
          <t>GBp</t>
        </is>
      </c>
      <c r="M566" t="n">
        <v>-97.68327164653236</v>
      </c>
      <c r="N566" t="n">
        <v>-10.84104698150823</v>
      </c>
      <c r="O566" t="n">
        <v>-97.93442925576571</v>
      </c>
      <c r="P566" t="n">
        <v>-4.29247512672184</v>
      </c>
      <c r="Q566" t="n">
        <v>-97.84178856681413</v>
      </c>
      <c r="R566" t="n">
        <v>2.834</v>
      </c>
      <c r="S566" t="n">
        <v>7.993</v>
      </c>
      <c r="T566" t="n">
        <v>-5.159000000000001</v>
      </c>
      <c r="U566" t="n">
        <v>828513000000</v>
      </c>
    </row>
    <row r="567">
      <c r="A567" t="inlineStr">
        <is>
          <t>Switzerland</t>
        </is>
      </c>
      <c r="B567" t="inlineStr">
        <is>
          <t>CHE</t>
        </is>
      </c>
      <c r="C567" t="inlineStr">
        <is>
          <t>CSWG.L</t>
        </is>
      </c>
      <c r="D567" t="n">
        <v>2023</v>
      </c>
      <c r="E567" t="n">
        <v>8.021459396061669</v>
      </c>
      <c r="F567" t="n">
        <v>0.737</v>
      </c>
      <c r="G567" t="n">
        <v>1.629522</v>
      </c>
      <c r="H567" t="n">
        <v>8.00253</v>
      </c>
      <c r="I567" t="n">
        <v>-5.488089032446794</v>
      </c>
      <c r="J567" t="inlineStr">
        <is>
          <t>Switzerland|CSWG.L|2023</t>
        </is>
      </c>
      <c r="K567" t="inlineStr">
        <is>
          <t>Switzerland|2023</t>
        </is>
      </c>
      <c r="L567" t="inlineStr">
        <is>
          <t>GBp</t>
        </is>
      </c>
      <c r="M567" t="n">
        <v>8.021459396061669</v>
      </c>
      <c r="N567" t="n">
        <v>5.06303068571996</v>
      </c>
      <c r="O567" t="n">
        <v>13.49061903244679</v>
      </c>
      <c r="P567" t="n">
        <v>6.270823636061729</v>
      </c>
      <c r="Q567" t="n">
        <v>6.793770057819626</v>
      </c>
      <c r="R567" t="n">
        <v>2.135</v>
      </c>
      <c r="S567" t="n">
        <v>4.128</v>
      </c>
      <c r="T567" t="n">
        <v>-1.993</v>
      </c>
      <c r="U567" t="n">
        <v>894815000000</v>
      </c>
    </row>
    <row r="568">
      <c r="A568" t="inlineStr">
        <is>
          <t>Switzerland</t>
        </is>
      </c>
      <c r="B568" t="inlineStr">
        <is>
          <t>CHE</t>
        </is>
      </c>
      <c r="C568" t="inlineStr">
        <is>
          <t>CSWG.L</t>
        </is>
      </c>
      <c r="D568" t="n">
        <v>2024</v>
      </c>
      <c r="E568" t="n">
        <v>-0.7733335992527901</v>
      </c>
      <c r="F568" t="n">
        <v>1.363</v>
      </c>
      <c r="G568" t="n">
        <v>2.737126</v>
      </c>
      <c r="H568" t="n">
        <v>4.843236</v>
      </c>
      <c r="I568" t="n">
        <v>7.02663363855584</v>
      </c>
      <c r="J568" t="inlineStr">
        <is>
          <t>Switzerland|CSWG.L|2024</t>
        </is>
      </c>
      <c r="K568" t="inlineStr">
        <is>
          <t>Switzerland|2024</t>
        </is>
      </c>
      <c r="L568" t="inlineStr">
        <is>
          <t>GBp</t>
        </is>
      </c>
      <c r="M568" t="n">
        <v>-0.7733335992527901</v>
      </c>
      <c r="N568" t="n">
        <v>-1.421053523664917</v>
      </c>
      <c r="O568" t="n">
        <v>-2.18339763855584</v>
      </c>
      <c r="P568" t="n">
        <v>2.049998749231574</v>
      </c>
      <c r="Q568" t="n">
        <v>-4.148355158915951</v>
      </c>
      <c r="R568" t="n">
        <v>1.06</v>
      </c>
      <c r="S568" t="n">
        <v>2.952</v>
      </c>
      <c r="T568" t="n">
        <v>-1.892</v>
      </c>
      <c r="U568" t="n">
        <v>938153000000</v>
      </c>
    </row>
    <row r="569">
      <c r="A569" t="inlineStr">
        <is>
          <t>Switzerland</t>
        </is>
      </c>
      <c r="B569" t="inlineStr">
        <is>
          <t>CHE</t>
        </is>
      </c>
      <c r="C569" t="inlineStr">
        <is>
          <t>CSWG.L</t>
        </is>
      </c>
      <c r="D569" t="n">
        <v>2025</v>
      </c>
      <c r="E569" t="n">
        <v>22.14977222429994</v>
      </c>
      <c r="F569" t="n">
        <v>0.946</v>
      </c>
      <c r="G569" t="n">
        <v>1.031492</v>
      </c>
      <c r="H569" t="n">
        <v>6.876597</v>
      </c>
      <c r="I569" t="n">
        <v>-24.52226992904705</v>
      </c>
      <c r="J569" t="inlineStr">
        <is>
          <t>Switzerland|CSWG.L|2025</t>
        </is>
      </c>
      <c r="K569" t="inlineStr">
        <is>
          <t>Switzerland|2025</t>
        </is>
      </c>
      <c r="L569" t="inlineStr">
        <is>
          <t>GBp</t>
        </is>
      </c>
      <c r="M569" t="n">
        <v>22.14977222429994</v>
      </c>
      <c r="N569" t="n">
        <v>7.571929555270285</v>
      </c>
      <c r="O569" t="n">
        <v>31.39886692904705</v>
      </c>
      <c r="P569" t="n">
        <v>5.785428671851567</v>
      </c>
      <c r="Q569" t="n">
        <v>24.21263361010604</v>
      </c>
      <c r="R569" t="n">
        <v>0.142</v>
      </c>
      <c r="S569" t="n">
        <v>2.715</v>
      </c>
      <c r="T569" t="n">
        <v>-2.573</v>
      </c>
      <c r="U569" t="n">
        <v>1002666000000</v>
      </c>
    </row>
    <row r="570">
      <c r="A570" t="inlineStr">
        <is>
          <t>Switzerland</t>
        </is>
      </c>
      <c r="B570" t="inlineStr">
        <is>
          <t>CHE</t>
        </is>
      </c>
      <c r="C570" t="inlineStr">
        <is>
          <t>CSWG.L</t>
        </is>
      </c>
      <c r="D570" t="n">
        <v>2026</v>
      </c>
      <c r="E570" t="n">
        <v>2.489366971157514</v>
      </c>
      <c r="F570" t="n">
        <v>1.275</v>
      </c>
      <c r="G570" t="n">
        <v>1.903517</v>
      </c>
      <c r="H570" t="n">
        <v>7.173077</v>
      </c>
      <c r="I570" t="n">
        <v>6.22340268672818</v>
      </c>
      <c r="J570" t="inlineStr">
        <is>
          <t>Switzerland|CSWG.L|2026</t>
        </is>
      </c>
      <c r="K570" t="inlineStr">
        <is>
          <t>Switzerland|2026</t>
        </is>
      </c>
      <c r="L570" t="inlineStr">
        <is>
          <t>GBp</t>
        </is>
      </c>
      <c r="M570" t="n">
        <v>2.489366971157514</v>
      </c>
      <c r="N570" t="n">
        <v>-1.502295021803568</v>
      </c>
      <c r="O570" t="n">
        <v>0.9496743132718199</v>
      </c>
      <c r="P570" t="n">
        <v>5.171126513062774</v>
      </c>
      <c r="Q570" t="n">
        <v>-4.013888925366437</v>
      </c>
      <c r="R570" t="n">
        <v>0.555</v>
      </c>
      <c r="S570" t="n">
        <v>2.435</v>
      </c>
      <c r="T570" t="n">
        <v>-1.88</v>
      </c>
      <c r="U570" t="n">
        <v>1074588000000</v>
      </c>
    </row>
    <row r="571">
      <c r="A571" t="inlineStr">
        <is>
          <t>Switzerland</t>
        </is>
      </c>
      <c r="B571" t="inlineStr">
        <is>
          <t>CHE</t>
        </is>
      </c>
      <c r="C571" t="inlineStr">
        <is>
          <t>CSWG.L</t>
        </is>
      </c>
      <c r="D571" t="n">
        <v>2027</v>
      </c>
      <c r="E571" t="inlineStr"/>
      <c r="F571" t="n">
        <v>1.1</v>
      </c>
      <c r="G571" t="n">
        <v>1.785998</v>
      </c>
      <c r="H571" t="n">
        <v>3.702814</v>
      </c>
      <c r="I571" t="inlineStr"/>
      <c r="J571" t="inlineStr">
        <is>
          <t>Switzerland|CSWG.L|2027</t>
        </is>
      </c>
      <c r="K571" t="inlineStr">
        <is>
          <t>Switzerland|2027</t>
        </is>
      </c>
      <c r="L571" t="inlineStr">
        <is>
          <t>GBp</t>
        </is>
      </c>
      <c r="M571" t="inlineStr"/>
      <c r="N571" t="inlineStr"/>
      <c r="O571" t="inlineStr"/>
      <c r="P571" t="n">
        <v>1.883183097825403</v>
      </c>
      <c r="Q571" t="inlineStr"/>
      <c r="R571" t="n">
        <v>0.656</v>
      </c>
      <c r="S571" t="n">
        <v>2.185</v>
      </c>
      <c r="T571" t="n">
        <v>-1.529</v>
      </c>
      <c r="U571" t="n">
        <v>1114378000000</v>
      </c>
    </row>
    <row r="572">
      <c r="A572" t="inlineStr">
        <is>
          <t>Switzerland</t>
        </is>
      </c>
      <c r="B572" t="inlineStr">
        <is>
          <t>CHE</t>
        </is>
      </c>
      <c r="C572" t="inlineStr">
        <is>
          <t>CSWG.L</t>
        </is>
      </c>
      <c r="D572" t="n">
        <v>2028</v>
      </c>
      <c r="E572" t="inlineStr"/>
      <c r="F572" t="n">
        <v>1.8</v>
      </c>
      <c r="G572" t="n">
        <v>2.508604</v>
      </c>
      <c r="H572" t="n">
        <v>4.374727</v>
      </c>
      <c r="I572" t="inlineStr"/>
      <c r="J572" t="inlineStr">
        <is>
          <t>Switzerland|CSWG.L|2028</t>
        </is>
      </c>
      <c r="K572" t="inlineStr">
        <is>
          <t>Switzerland|2028</t>
        </is>
      </c>
      <c r="L572" t="inlineStr">
        <is>
          <t>GBp</t>
        </is>
      </c>
      <c r="M572" t="inlineStr"/>
      <c r="N572" t="inlineStr"/>
      <c r="O572" t="inlineStr"/>
      <c r="P572" t="n">
        <v>1.820455362070983</v>
      </c>
      <c r="Q572" t="inlineStr"/>
      <c r="R572" t="n">
        <v>0.706</v>
      </c>
      <c r="S572" t="n">
        <v>2.206</v>
      </c>
      <c r="T572" t="n">
        <v>-1.5</v>
      </c>
      <c r="U572" t="n">
        <v>1163129000000</v>
      </c>
    </row>
    <row r="573">
      <c r="A573" t="inlineStr">
        <is>
          <t>Switzerland</t>
        </is>
      </c>
      <c r="B573" t="inlineStr">
        <is>
          <t>CHE</t>
        </is>
      </c>
      <c r="C573" t="inlineStr">
        <is>
          <t>CSWG.L</t>
        </is>
      </c>
      <c r="D573" t="n">
        <v>2029</v>
      </c>
      <c r="E573" t="inlineStr"/>
      <c r="F573" t="n">
        <v>1.2</v>
      </c>
      <c r="G573" t="n">
        <v>1.87232</v>
      </c>
      <c r="H573" t="n">
        <v>3.731744</v>
      </c>
      <c r="I573" t="inlineStr"/>
      <c r="J573" t="inlineStr">
        <is>
          <t>Switzerland|CSWG.L|2029</t>
        </is>
      </c>
      <c r="K573" t="inlineStr">
        <is>
          <t>Switzerland|2029</t>
        </is>
      </c>
      <c r="L573" t="inlineStr">
        <is>
          <t>GBp</t>
        </is>
      </c>
      <c r="M573" t="inlineStr"/>
      <c r="N573" t="inlineStr"/>
      <c r="O573" t="inlineStr"/>
      <c r="P573" t="n">
        <v>1.825249966288545</v>
      </c>
      <c r="Q573" t="inlineStr"/>
      <c r="R573" t="n">
        <v>0.711</v>
      </c>
      <c r="S573" t="n">
        <v>2.203</v>
      </c>
      <c r="T573" t="n">
        <v>-1.492</v>
      </c>
      <c r="U573" t="n">
        <v>1206534000000</v>
      </c>
    </row>
    <row r="574">
      <c r="A574" t="inlineStr">
        <is>
          <t>Taiwan</t>
        </is>
      </c>
      <c r="B574" t="inlineStr">
        <is>
          <t>TWN</t>
        </is>
      </c>
      <c r="C574" t="inlineStr">
        <is>
          <t>XMTW.L</t>
        </is>
      </c>
      <c r="D574" t="n">
        <v>2004</v>
      </c>
      <c r="E574" t="inlineStr"/>
      <c r="F574" t="n">
        <v>6.952</v>
      </c>
      <c r="G574" t="inlineStr"/>
      <c r="H574" t="inlineStr"/>
      <c r="I574" t="inlineStr"/>
      <c r="J574" t="inlineStr">
        <is>
          <t>Taiwan|XMTW.L|2004</t>
        </is>
      </c>
      <c r="K574" t="inlineStr">
        <is>
          <t>Taiwan|2004</t>
        </is>
      </c>
      <c r="L574" t="inlineStr">
        <is>
          <t>GBp</t>
        </is>
      </c>
      <c r="M574" t="inlineStr"/>
      <c r="N574" t="inlineStr"/>
      <c r="O574" t="inlineStr"/>
      <c r="P574" t="inlineStr"/>
      <c r="Q574" t="inlineStr"/>
      <c r="R574" t="n">
        <v>1.608</v>
      </c>
      <c r="S574" t="n">
        <v>2.668</v>
      </c>
      <c r="T574" t="n">
        <v>-1.06</v>
      </c>
      <c r="U574" t="n">
        <v>346924000000</v>
      </c>
    </row>
    <row r="575">
      <c r="A575" t="inlineStr">
        <is>
          <t>Taiwan</t>
        </is>
      </c>
      <c r="B575" t="inlineStr">
        <is>
          <t>TWN</t>
        </is>
      </c>
      <c r="C575" t="inlineStr">
        <is>
          <t>XMTW.L</t>
        </is>
      </c>
      <c r="D575" t="n">
        <v>2005</v>
      </c>
      <c r="E575" t="inlineStr"/>
      <c r="F575" t="n">
        <v>5.383</v>
      </c>
      <c r="G575" t="n">
        <v>3.798076</v>
      </c>
      <c r="H575" t="n">
        <v>7.821886</v>
      </c>
      <c r="I575" t="inlineStr"/>
      <c r="J575" t="inlineStr">
        <is>
          <t>Taiwan|XMTW.L|2005</t>
        </is>
      </c>
      <c r="K575" t="inlineStr">
        <is>
          <t>Taiwan|2005</t>
        </is>
      </c>
      <c r="L575" t="inlineStr">
        <is>
          <t>GBp</t>
        </is>
      </c>
      <c r="M575" t="inlineStr"/>
      <c r="N575" t="inlineStr"/>
      <c r="O575" t="inlineStr"/>
      <c r="P575" t="n">
        <v>3.876575204007837</v>
      </c>
      <c r="Q575" t="inlineStr"/>
      <c r="R575" t="n">
        <v>2.309</v>
      </c>
      <c r="S575" t="n">
        <v>3.366</v>
      </c>
      <c r="T575" t="n">
        <v>-1.057</v>
      </c>
      <c r="U575" t="n">
        <v>374060000000</v>
      </c>
    </row>
    <row r="576">
      <c r="A576" t="inlineStr">
        <is>
          <t>Taiwan</t>
        </is>
      </c>
      <c r="B576" t="inlineStr">
        <is>
          <t>TWN</t>
        </is>
      </c>
      <c r="C576" t="inlineStr">
        <is>
          <t>XMTW.L</t>
        </is>
      </c>
      <c r="D576" t="n">
        <v>2006</v>
      </c>
      <c r="E576" t="inlineStr"/>
      <c r="F576" t="n">
        <v>5.77</v>
      </c>
      <c r="G576" t="n">
        <v>4.452326</v>
      </c>
      <c r="H576" t="n">
        <v>3.312303</v>
      </c>
      <c r="I576" t="inlineStr"/>
      <c r="J576" t="inlineStr">
        <is>
          <t>Taiwan|XMTW.L|2006</t>
        </is>
      </c>
      <c r="K576" t="inlineStr">
        <is>
          <t>Taiwan|2006</t>
        </is>
      </c>
      <c r="L576" t="inlineStr">
        <is>
          <t>GBp</t>
        </is>
      </c>
      <c r="M576" t="inlineStr"/>
      <c r="N576" t="inlineStr"/>
      <c r="O576" t="inlineStr"/>
      <c r="P576" t="n">
        <v>-1.091429092833085</v>
      </c>
      <c r="Q576" t="inlineStr"/>
      <c r="R576" t="n">
        <v>0.6</v>
      </c>
      <c r="S576" t="n">
        <v>3.222</v>
      </c>
      <c r="T576" t="n">
        <v>-2.622</v>
      </c>
      <c r="U576" t="n">
        <v>386450000000</v>
      </c>
    </row>
    <row r="577">
      <c r="A577" t="inlineStr">
        <is>
          <t>Taiwan</t>
        </is>
      </c>
      <c r="B577" t="inlineStr">
        <is>
          <t>TWN</t>
        </is>
      </c>
      <c r="C577" t="inlineStr">
        <is>
          <t>XMTW.L</t>
        </is>
      </c>
      <c r="D577" t="n">
        <v>2007</v>
      </c>
      <c r="E577" t="inlineStr"/>
      <c r="F577" t="n">
        <v>6.85</v>
      </c>
      <c r="G577" t="n">
        <v>6.29409</v>
      </c>
      <c r="H577" t="n">
        <v>5.29357</v>
      </c>
      <c r="I577" t="inlineStr"/>
      <c r="J577" t="inlineStr">
        <is>
          <t>Taiwan|XMTW.L|2007</t>
        </is>
      </c>
      <c r="K577" t="inlineStr">
        <is>
          <t>Taiwan|2007</t>
        </is>
      </c>
      <c r="L577" t="inlineStr">
        <is>
          <t>GBp</t>
        </is>
      </c>
      <c r="M577" t="inlineStr"/>
      <c r="N577" t="inlineStr"/>
      <c r="O577" t="inlineStr"/>
      <c r="P577" t="n">
        <v>-0.9412760308151191</v>
      </c>
      <c r="Q577" t="inlineStr"/>
      <c r="R577" t="n">
        <v>1.796</v>
      </c>
      <c r="S577" t="n">
        <v>2.871</v>
      </c>
      <c r="T577" t="n">
        <v>-1.075</v>
      </c>
      <c r="U577" t="n">
        <v>406907000000</v>
      </c>
    </row>
    <row r="578">
      <c r="A578" t="inlineStr">
        <is>
          <t>Taiwan</t>
        </is>
      </c>
      <c r="B578" t="inlineStr">
        <is>
          <t>TWN</t>
        </is>
      </c>
      <c r="C578" t="inlineStr">
        <is>
          <t>XMTW.L</t>
        </is>
      </c>
      <c r="D578" t="n">
        <v>2008</v>
      </c>
      <c r="E578" t="inlineStr"/>
      <c r="F578" t="n">
        <v>0.799</v>
      </c>
      <c r="G578" t="n">
        <v>-1.861887</v>
      </c>
      <c r="H578" t="n">
        <v>2.210333</v>
      </c>
      <c r="I578" t="inlineStr"/>
      <c r="J578" t="inlineStr">
        <is>
          <t>Taiwan|XMTW.L|2008</t>
        </is>
      </c>
      <c r="K578" t="inlineStr">
        <is>
          <t>Taiwan|2008</t>
        </is>
      </c>
      <c r="L578" t="inlineStr">
        <is>
          <t>GBp</t>
        </is>
      </c>
      <c r="M578" t="inlineStr"/>
      <c r="N578" t="n">
        <v>-26.2666463318202</v>
      </c>
      <c r="O578" t="inlineStr"/>
      <c r="P578" t="n">
        <v>4.149478413167795</v>
      </c>
      <c r="Q578" t="inlineStr"/>
      <c r="R578" t="n">
        <v>3.53</v>
      </c>
      <c r="S578" t="n">
        <v>3.815</v>
      </c>
      <c r="T578" t="n">
        <v>-0.2850000000000001</v>
      </c>
      <c r="U578" t="n">
        <v>415901000000</v>
      </c>
    </row>
    <row r="579">
      <c r="A579" t="inlineStr">
        <is>
          <t>Taiwan</t>
        </is>
      </c>
      <c r="B579" t="inlineStr">
        <is>
          <t>TWN</t>
        </is>
      </c>
      <c r="C579" t="inlineStr">
        <is>
          <t>XMTW.L</t>
        </is>
      </c>
      <c r="D579" t="n">
        <v>2009</v>
      </c>
      <c r="E579" t="n">
        <v>56.18904726181546</v>
      </c>
      <c r="F579" t="n">
        <v>-1.614</v>
      </c>
      <c r="G579" t="n">
        <v>-1.4918</v>
      </c>
      <c r="H579" t="n">
        <v>-6.028358</v>
      </c>
      <c r="I579" t="n">
        <v>-77.48576886613392</v>
      </c>
      <c r="J579" t="inlineStr">
        <is>
          <t>Taiwan|XMTW.L|2009</t>
        </is>
      </c>
      <c r="K579" t="inlineStr">
        <is>
          <t>Taiwan|2009</t>
        </is>
      </c>
      <c r="L579" t="inlineStr">
        <is>
          <t>GBp</t>
        </is>
      </c>
      <c r="M579" t="n">
        <v>56.18904726181546</v>
      </c>
      <c r="N579" t="n">
        <v>9.775566130910907</v>
      </c>
      <c r="O579" t="n">
        <v>71.45741086613393</v>
      </c>
      <c r="P579" t="n">
        <v>-4.605258979056027</v>
      </c>
      <c r="Q579" t="n">
        <v>79.73465731039656</v>
      </c>
      <c r="R579" t="n">
        <v>-0.875</v>
      </c>
      <c r="S579" t="n">
        <v>-0.32</v>
      </c>
      <c r="T579" t="n">
        <v>-0.5549999999999999</v>
      </c>
      <c r="U579" t="n">
        <v>390829000000</v>
      </c>
    </row>
    <row r="580">
      <c r="A580" t="inlineStr">
        <is>
          <t>Taiwan</t>
        </is>
      </c>
      <c r="B580" t="inlineStr">
        <is>
          <t>TWN</t>
        </is>
      </c>
      <c r="C580" t="inlineStr">
        <is>
          <t>XMTW.L</t>
        </is>
      </c>
      <c r="D580" t="n">
        <v>2010</v>
      </c>
      <c r="E580" t="n">
        <v>23.86363636363635</v>
      </c>
      <c r="F580" t="n">
        <v>10.245</v>
      </c>
      <c r="G580" t="n">
        <v>8.830875000000001</v>
      </c>
      <c r="H580" t="n">
        <v>13.67657</v>
      </c>
      <c r="I580" t="n">
        <v>-4.844660340932782</v>
      </c>
      <c r="J580" t="inlineStr">
        <is>
          <t>Taiwan|XMTW.L|2010</t>
        </is>
      </c>
      <c r="K580" t="inlineStr">
        <is>
          <t>Taiwan|2010</t>
        </is>
      </c>
      <c r="L580" t="inlineStr">
        <is>
          <t>GBp</t>
        </is>
      </c>
      <c r="M580" t="n">
        <v>23.86363636363635</v>
      </c>
      <c r="N580" t="n">
        <v>-4.313135137595536</v>
      </c>
      <c r="O580" t="n">
        <v>18.52123034093278</v>
      </c>
      <c r="P580" t="n">
        <v>4.45250013909213</v>
      </c>
      <c r="Q580" t="n">
        <v>13.46902197947037</v>
      </c>
      <c r="R580" t="n">
        <v>0.966</v>
      </c>
      <c r="S580" t="n">
        <v>1.637</v>
      </c>
      <c r="T580" t="n">
        <v>-0.671</v>
      </c>
      <c r="U580" t="n">
        <v>444281000000</v>
      </c>
    </row>
    <row r="581">
      <c r="A581" t="inlineStr">
        <is>
          <t>Taiwan</t>
        </is>
      </c>
      <c r="B581" t="inlineStr">
        <is>
          <t>TWN</t>
        </is>
      </c>
      <c r="C581" t="inlineStr">
        <is>
          <t>XMTW.L</t>
        </is>
      </c>
      <c r="D581" t="n">
        <v>2011</v>
      </c>
      <c r="E581" t="n">
        <v>-21.18398711899778</v>
      </c>
      <c r="F581" t="n">
        <v>3.673</v>
      </c>
      <c r="G581" t="n">
        <v>1.43564</v>
      </c>
      <c r="H581" t="n">
        <v>8.934210999999999</v>
      </c>
      <c r="I581" t="n">
        <v>30.91038788781112</v>
      </c>
      <c r="J581" t="inlineStr">
        <is>
          <t>Taiwan|XMTW.L|2011</t>
        </is>
      </c>
      <c r="K581" t="inlineStr">
        <is>
          <t>Taiwan|2011</t>
        </is>
      </c>
      <c r="L581" t="inlineStr">
        <is>
          <t>GBp</t>
        </is>
      </c>
      <c r="M581" t="n">
        <v>-21.18398711899778</v>
      </c>
      <c r="N581" t="n">
        <v>-1.005112717398426</v>
      </c>
      <c r="O581" t="n">
        <v>-21.97617688781112</v>
      </c>
      <c r="P581" t="n">
        <v>7.392441231128699</v>
      </c>
      <c r="Q581" t="n">
        <v>-27.34700671878111</v>
      </c>
      <c r="R581" t="n">
        <v>1.421</v>
      </c>
      <c r="S581" t="n">
        <v>3.14</v>
      </c>
      <c r="T581" t="n">
        <v>-1.719</v>
      </c>
      <c r="U581" t="n">
        <v>483974000000</v>
      </c>
    </row>
    <row r="582">
      <c r="A582" t="inlineStr">
        <is>
          <t>Taiwan</t>
        </is>
      </c>
      <c r="B582" t="inlineStr">
        <is>
          <t>TWN</t>
        </is>
      </c>
      <c r="C582" t="inlineStr">
        <is>
          <t>XMTW.L</t>
        </is>
      </c>
      <c r="D582" t="n">
        <v>2012</v>
      </c>
      <c r="E582" t="n">
        <v>10.68634816548717</v>
      </c>
      <c r="F582" t="n">
        <v>2.221</v>
      </c>
      <c r="G582" t="n">
        <v>2.913744</v>
      </c>
      <c r="H582" t="n">
        <v>2.404261</v>
      </c>
      <c r="I582" t="n">
        <v>-12.92636275765861</v>
      </c>
      <c r="J582" t="inlineStr">
        <is>
          <t>Taiwan|XMTW.L|2012</t>
        </is>
      </c>
      <c r="K582" t="inlineStr">
        <is>
          <t>Taiwan|2012</t>
        </is>
      </c>
      <c r="L582" t="inlineStr">
        <is>
          <t>GBp</t>
        </is>
      </c>
      <c r="M582" t="n">
        <v>10.68634816548717</v>
      </c>
      <c r="N582" t="n">
        <v>4.195888354025179</v>
      </c>
      <c r="O582" t="n">
        <v>15.33062375765861</v>
      </c>
      <c r="P582" t="n">
        <v>-0.495057718743519</v>
      </c>
      <c r="Q582" t="n">
        <v>15.9044175229708</v>
      </c>
      <c r="R582" t="n">
        <v>1.935</v>
      </c>
      <c r="S582" t="n">
        <v>2.073</v>
      </c>
      <c r="T582" t="n">
        <v>-0.1379999999999999</v>
      </c>
      <c r="U582" t="n">
        <v>495610000000</v>
      </c>
    </row>
    <row r="583">
      <c r="A583" t="inlineStr">
        <is>
          <t>Taiwan</t>
        </is>
      </c>
      <c r="B583" t="inlineStr">
        <is>
          <t>TWN</t>
        </is>
      </c>
      <c r="C583" t="inlineStr">
        <is>
          <t>XMTW.L</t>
        </is>
      </c>
      <c r="D583" t="n">
        <v>2013</v>
      </c>
      <c r="E583" t="n">
        <v>4.082509669101841</v>
      </c>
      <c r="F583" t="n">
        <v>2.483</v>
      </c>
      <c r="G583" t="n">
        <v>4.039873</v>
      </c>
      <c r="H583" t="n">
        <v>3.497306</v>
      </c>
      <c r="I583" t="n">
        <v>-2.243681991291568</v>
      </c>
      <c r="J583" t="inlineStr">
        <is>
          <t>Taiwan|XMTW.L|2013</t>
        </is>
      </c>
      <c r="K583" t="inlineStr">
        <is>
          <t>Taiwan|2013</t>
        </is>
      </c>
      <c r="L583" t="inlineStr">
        <is>
          <t>GBp</t>
        </is>
      </c>
      <c r="M583" t="n">
        <v>4.082509669101841</v>
      </c>
      <c r="N583" t="n">
        <v>1.593426530031161</v>
      </c>
      <c r="O583" t="n">
        <v>5.740987991291568</v>
      </c>
      <c r="P583" t="n">
        <v>-0.5214983375612325</v>
      </c>
      <c r="Q583" t="n">
        <v>6.295316298694709</v>
      </c>
      <c r="R583" t="n">
        <v>0.792</v>
      </c>
      <c r="S583" t="n">
        <v>1.466</v>
      </c>
      <c r="T583" t="n">
        <v>-0.6739999999999999</v>
      </c>
      <c r="U583" t="n">
        <v>512943000000</v>
      </c>
    </row>
    <row r="584">
      <c r="A584" t="inlineStr">
        <is>
          <t>Taiwan</t>
        </is>
      </c>
      <c r="B584" t="inlineStr">
        <is>
          <t>TWN</t>
        </is>
      </c>
      <c r="C584" t="inlineStr">
        <is>
          <t>XMTW.L</t>
        </is>
      </c>
      <c r="D584" t="n">
        <v>2014</v>
      </c>
      <c r="E584" t="n">
        <v>15.55183946488294</v>
      </c>
      <c r="F584" t="n">
        <v>4.719</v>
      </c>
      <c r="G584" t="n">
        <v>6.465435</v>
      </c>
      <c r="H584" t="n">
        <v>4.364033</v>
      </c>
      <c r="I584" t="n">
        <v>-4.247135881237052</v>
      </c>
      <c r="J584" t="inlineStr">
        <is>
          <t>Taiwan|XMTW.L|2014</t>
        </is>
      </c>
      <c r="K584" t="inlineStr">
        <is>
          <t>Taiwan|2014</t>
        </is>
      </c>
      <c r="L584" t="inlineStr">
        <is>
          <t>GBp</t>
        </is>
      </c>
      <c r="M584" t="n">
        <v>15.55183946488294</v>
      </c>
      <c r="N584" t="n">
        <v>-6.006542704804973</v>
      </c>
      <c r="O584" t="n">
        <v>8.611168881237052</v>
      </c>
      <c r="P584" t="n">
        <v>-1.973788389619835</v>
      </c>
      <c r="Q584" t="n">
        <v>10.7980886917556</v>
      </c>
      <c r="R584" t="n">
        <v>1.194</v>
      </c>
      <c r="S584" t="n">
        <v>1.615</v>
      </c>
      <c r="T584" t="n">
        <v>-0.421</v>
      </c>
      <c r="U584" t="n">
        <v>535328000000</v>
      </c>
    </row>
    <row r="585">
      <c r="A585" t="inlineStr">
        <is>
          <t>Taiwan</t>
        </is>
      </c>
      <c r="B585" t="inlineStr">
        <is>
          <t>TWN</t>
        </is>
      </c>
      <c r="C585" t="inlineStr">
        <is>
          <t>XMTW.L</t>
        </is>
      </c>
      <c r="D585" t="n">
        <v>2015</v>
      </c>
      <c r="E585" t="n">
        <v>-7.487702678083441</v>
      </c>
      <c r="F585" t="n">
        <v>1.465</v>
      </c>
      <c r="G585" t="n">
        <v>4.902391</v>
      </c>
      <c r="H585" t="n">
        <v>-0.15187</v>
      </c>
      <c r="I585" t="n">
        <v>11.85862555682295</v>
      </c>
      <c r="J585" t="inlineStr">
        <is>
          <t>Taiwan|XMTW.L|2015</t>
        </is>
      </c>
      <c r="K585" t="inlineStr">
        <is>
          <t>Taiwan|2015</t>
        </is>
      </c>
      <c r="L585" t="inlineStr">
        <is>
          <t>GBp</t>
        </is>
      </c>
      <c r="M585" t="n">
        <v>-7.487702678083441</v>
      </c>
      <c r="N585" t="n">
        <v>-4.888855870697362</v>
      </c>
      <c r="O585" t="n">
        <v>-12.01049555682295</v>
      </c>
      <c r="P585" t="n">
        <v>-4.818060167385907</v>
      </c>
      <c r="Q585" t="n">
        <v>-7.556512718784236</v>
      </c>
      <c r="R585" t="n">
        <v>-0.306</v>
      </c>
      <c r="S585" t="n">
        <v>0.121</v>
      </c>
      <c r="T585" t="n">
        <v>-0.427</v>
      </c>
      <c r="U585" t="n">
        <v>534515000000</v>
      </c>
    </row>
    <row r="586">
      <c r="A586" t="inlineStr">
        <is>
          <t>Taiwan</t>
        </is>
      </c>
      <c r="B586" t="inlineStr">
        <is>
          <t>TWN</t>
        </is>
      </c>
      <c r="C586" t="inlineStr">
        <is>
          <t>XMTW.L</t>
        </is>
      </c>
      <c r="D586" t="n">
        <v>2016</v>
      </c>
      <c r="E586" t="n">
        <v>46.63412649989829</v>
      </c>
      <c r="F586" t="n">
        <v>2.165</v>
      </c>
      <c r="G586" t="n">
        <v>2.93278</v>
      </c>
      <c r="H586" t="n">
        <v>1.602574</v>
      </c>
      <c r="I586" t="n">
        <v>-20.65258990486237</v>
      </c>
      <c r="J586" t="inlineStr">
        <is>
          <t>Taiwan|XMTW.L|2016</t>
        </is>
      </c>
      <c r="K586" t="inlineStr">
        <is>
          <t>Taiwan|2016</t>
        </is>
      </c>
      <c r="L586" t="inlineStr">
        <is>
          <t>GBp</t>
        </is>
      </c>
      <c r="M586" t="n">
        <v>46.63412649989829</v>
      </c>
      <c r="N586" t="n">
        <v>-16.62570861023462</v>
      </c>
      <c r="O586" t="n">
        <v>22.25516390486237</v>
      </c>
      <c r="P586" t="n">
        <v>-1.292305373534508</v>
      </c>
      <c r="Q586" t="n">
        <v>23.85575852774839</v>
      </c>
      <c r="R586" t="n">
        <v>1.393</v>
      </c>
      <c r="S586" t="n">
        <v>1.267</v>
      </c>
      <c r="T586" t="n">
        <v>0.1260000000000001</v>
      </c>
      <c r="U586" t="n">
        <v>543081000000</v>
      </c>
    </row>
    <row r="587">
      <c r="A587" t="inlineStr">
        <is>
          <t>Taiwan</t>
        </is>
      </c>
      <c r="B587" t="inlineStr">
        <is>
          <t>TWN</t>
        </is>
      </c>
      <c r="C587" t="inlineStr">
        <is>
          <t>XMTW.L</t>
        </is>
      </c>
      <c r="D587" t="n">
        <v>2017</v>
      </c>
      <c r="E587" t="n">
        <v>14.66119096509242</v>
      </c>
      <c r="F587" t="n">
        <v>3.662</v>
      </c>
      <c r="G587" t="n">
        <v>2.603885</v>
      </c>
      <c r="H587" t="n">
        <v>8.950046</v>
      </c>
      <c r="I587" t="n">
        <v>-15.84878582580438</v>
      </c>
      <c r="J587" t="inlineStr">
        <is>
          <t>Taiwan|XMTW.L|2017</t>
        </is>
      </c>
      <c r="K587" t="inlineStr">
        <is>
          <t>Taiwan|2017</t>
        </is>
      </c>
      <c r="L587" t="inlineStr">
        <is>
          <t>GBp</t>
        </is>
      </c>
      <c r="M587" t="n">
        <v>14.66119096509242</v>
      </c>
      <c r="N587" t="n">
        <v>8.841388071573641</v>
      </c>
      <c r="O587" t="n">
        <v>24.79883182580438</v>
      </c>
      <c r="P587" t="n">
        <v>6.185107967606229</v>
      </c>
      <c r="Q587" t="n">
        <v>17.52950504497921</v>
      </c>
      <c r="R587" t="n">
        <v>0.622</v>
      </c>
      <c r="S587" t="n">
        <v>2.131</v>
      </c>
      <c r="T587" t="n">
        <v>-1.509</v>
      </c>
      <c r="U587" t="n">
        <v>591687000000</v>
      </c>
    </row>
    <row r="588">
      <c r="A588" t="inlineStr">
        <is>
          <t>Taiwan</t>
        </is>
      </c>
      <c r="B588" t="inlineStr">
        <is>
          <t>TWN</t>
        </is>
      </c>
      <c r="C588" t="inlineStr">
        <is>
          <t>XMTW.L</t>
        </is>
      </c>
      <c r="D588" t="n">
        <v>2018</v>
      </c>
      <c r="E588" t="n">
        <v>-3.19961795606496</v>
      </c>
      <c r="F588" t="n">
        <v>2.905</v>
      </c>
      <c r="G588" t="n">
        <v>2.263176</v>
      </c>
      <c r="H588" t="n">
        <v>3.211664</v>
      </c>
      <c r="I588" t="n">
        <v>12.30187969405226</v>
      </c>
      <c r="J588" t="inlineStr">
        <is>
          <t>Taiwan|XMTW.L|2018</t>
        </is>
      </c>
      <c r="K588" t="inlineStr">
        <is>
          <t>Taiwan|2018</t>
        </is>
      </c>
      <c r="L588" t="inlineStr">
        <is>
          <t>GBp</t>
        </is>
      </c>
      <c r="M588" t="n">
        <v>-3.19961795606496</v>
      </c>
      <c r="N588" t="n">
        <v>-6.085304224640065</v>
      </c>
      <c r="O588" t="n">
        <v>-9.090215694052262</v>
      </c>
      <c r="P588" t="n">
        <v>0.9274974846127604</v>
      </c>
      <c r="Q588" t="n">
        <v>-9.925652996788415</v>
      </c>
      <c r="R588" t="n">
        <v>1.35</v>
      </c>
      <c r="S588" t="n">
        <v>2.439</v>
      </c>
      <c r="T588" t="n">
        <v>-1.089</v>
      </c>
      <c r="U588" t="n">
        <v>610690000000</v>
      </c>
    </row>
    <row r="589">
      <c r="A589" t="inlineStr">
        <is>
          <t>Taiwan</t>
        </is>
      </c>
      <c r="B589" t="inlineStr">
        <is>
          <t>TWN</t>
        </is>
      </c>
      <c r="C589" t="inlineStr">
        <is>
          <t>XMTW.L</t>
        </is>
      </c>
      <c r="D589" t="n">
        <v>2019</v>
      </c>
      <c r="E589" t="n">
        <v>31.44426413681187</v>
      </c>
      <c r="F589" t="n">
        <v>3.055</v>
      </c>
      <c r="G589" t="n">
        <v>3.007909</v>
      </c>
      <c r="H589" t="n">
        <v>0.4621</v>
      </c>
      <c r="I589" t="n">
        <v>-34.85170489512341</v>
      </c>
      <c r="J589" t="inlineStr">
        <is>
          <t>Taiwan|XMTW.L|2019</t>
        </is>
      </c>
      <c r="K589" t="inlineStr">
        <is>
          <t>Taiwan|2019</t>
        </is>
      </c>
      <c r="L589" t="inlineStr">
        <is>
          <t>GBp</t>
        </is>
      </c>
      <c r="M589" t="n">
        <v>31.44426413681187</v>
      </c>
      <c r="N589" t="n">
        <v>2.94386429390634</v>
      </c>
      <c r="O589" t="n">
        <v>35.31380489512341</v>
      </c>
      <c r="P589" t="n">
        <v>-2.471469152051731</v>
      </c>
      <c r="Q589" t="n">
        <v>38.74279015448743</v>
      </c>
      <c r="R589" t="n">
        <v>0.5590000000000001</v>
      </c>
      <c r="S589" t="n">
        <v>1.813</v>
      </c>
      <c r="T589" t="n">
        <v>-1.254</v>
      </c>
      <c r="U589" t="n">
        <v>613512000000</v>
      </c>
    </row>
    <row r="590">
      <c r="A590" t="inlineStr">
        <is>
          <t>Taiwan</t>
        </is>
      </c>
      <c r="B590" t="inlineStr">
        <is>
          <t>TWN</t>
        </is>
      </c>
      <c r="C590" t="inlineStr">
        <is>
          <t>XMTW.L</t>
        </is>
      </c>
      <c r="D590" t="n">
        <v>2020</v>
      </c>
      <c r="E590" t="n">
        <v>30.12880343475828</v>
      </c>
      <c r="F590" t="n">
        <v>3.42</v>
      </c>
      <c r="G590" t="n">
        <v>5.532042</v>
      </c>
      <c r="H590" t="n">
        <v>10.325633</v>
      </c>
      <c r="I590" t="n">
        <v>-23.41450285658255</v>
      </c>
      <c r="J590" t="inlineStr">
        <is>
          <t>Taiwan|XMTW.L|2020</t>
        </is>
      </c>
      <c r="K590" t="inlineStr">
        <is>
          <t>Taiwan|2020</t>
        </is>
      </c>
      <c r="L590" t="inlineStr">
        <is>
          <t>GBp</t>
        </is>
      </c>
      <c r="M590" t="n">
        <v>30.12880343475828</v>
      </c>
      <c r="N590" t="n">
        <v>2.775198362317122</v>
      </c>
      <c r="O590" t="n">
        <v>33.74013585658255</v>
      </c>
      <c r="P590" t="n">
        <v>4.542309042001991</v>
      </c>
      <c r="Q590" t="n">
        <v>27.92919640109513</v>
      </c>
      <c r="R590" t="n">
        <v>-0.238</v>
      </c>
      <c r="S590" t="n">
        <v>1.253</v>
      </c>
      <c r="T590" t="n">
        <v>-1.491</v>
      </c>
      <c r="U590" t="n">
        <v>676861000000</v>
      </c>
    </row>
    <row r="591">
      <c r="A591" t="inlineStr">
        <is>
          <t>Taiwan</t>
        </is>
      </c>
      <c r="B591" t="inlineStr">
        <is>
          <t>TWN</t>
        </is>
      </c>
      <c r="C591" t="inlineStr">
        <is>
          <t>XMTW.L</t>
        </is>
      </c>
      <c r="D591" t="n">
        <v>2021</v>
      </c>
      <c r="E591" t="n">
        <v>26.4060742407199</v>
      </c>
      <c r="F591" t="n">
        <v>6.72</v>
      </c>
      <c r="G591" t="n">
        <v>8.737318999999999</v>
      </c>
      <c r="H591" t="n">
        <v>14.789447</v>
      </c>
      <c r="I591" t="n">
        <v>-10.00214292852304</v>
      </c>
      <c r="J591" t="inlineStr">
        <is>
          <t>Taiwan|XMTW.L|2021</t>
        </is>
      </c>
      <c r="K591" t="inlineStr">
        <is>
          <t>Taiwan|2021</t>
        </is>
      </c>
      <c r="L591" t="inlineStr">
        <is>
          <t>GBp</t>
        </is>
      </c>
      <c r="M591" t="n">
        <v>26.4060742407199</v>
      </c>
      <c r="N591" t="n">
        <v>-1.277220514832489</v>
      </c>
      <c r="O591" t="n">
        <v>24.79158992852304</v>
      </c>
      <c r="P591" t="n">
        <v>5.565824767673844</v>
      </c>
      <c r="Q591" t="n">
        <v>18.21211097735531</v>
      </c>
      <c r="R591" t="n">
        <v>1.971</v>
      </c>
      <c r="S591" t="n">
        <v>4.679</v>
      </c>
      <c r="T591" t="n">
        <v>-2.708</v>
      </c>
      <c r="U591" t="n">
        <v>776965000000</v>
      </c>
    </row>
    <row r="592">
      <c r="A592" t="inlineStr">
        <is>
          <t>Taiwan</t>
        </is>
      </c>
      <c r="B592" t="inlineStr">
        <is>
          <t>TWN</t>
        </is>
      </c>
      <c r="C592" t="inlineStr">
        <is>
          <t>XMTW.L</t>
        </is>
      </c>
      <c r="D592" t="n">
        <v>2022</v>
      </c>
      <c r="E592" t="n">
        <v>-22.55951081022057</v>
      </c>
      <c r="F592" t="n">
        <v>2.684</v>
      </c>
      <c r="G592" t="n">
        <v>4.809282</v>
      </c>
      <c r="H592" t="n">
        <v>-1.459654</v>
      </c>
      <c r="I592" t="n">
        <v>29.49521662599436</v>
      </c>
      <c r="J592" t="inlineStr">
        <is>
          <t>Taiwan|XMTW.L|2022</t>
        </is>
      </c>
      <c r="K592" t="inlineStr">
        <is>
          <t>Taiwan|2022</t>
        </is>
      </c>
      <c r="L592" t="inlineStr">
        <is>
          <t>GBp</t>
        </is>
      </c>
      <c r="M592" t="n">
        <v>-22.55951081022057</v>
      </c>
      <c r="N592" t="n">
        <v>-10.84104698150823</v>
      </c>
      <c r="O592" t="n">
        <v>-30.95487062599436</v>
      </c>
      <c r="P592" t="n">
        <v>-5.981279464785949</v>
      </c>
      <c r="Q592" t="n">
        <v>-26.56236015449149</v>
      </c>
      <c r="R592" t="n">
        <v>2.947</v>
      </c>
      <c r="S592" t="n">
        <v>7.993</v>
      </c>
      <c r="T592" t="n">
        <v>-5.046</v>
      </c>
      <c r="U592" t="n">
        <v>765624000000</v>
      </c>
    </row>
    <row r="593">
      <c r="A593" t="inlineStr">
        <is>
          <t>Taiwan</t>
        </is>
      </c>
      <c r="B593" t="inlineStr">
        <is>
          <t>TWN</t>
        </is>
      </c>
      <c r="C593" t="inlineStr">
        <is>
          <t>XMTW.L</t>
        </is>
      </c>
      <c r="D593" t="n">
        <v>2023</v>
      </c>
      <c r="E593" t="n">
        <v>20.62071857961694</v>
      </c>
      <c r="F593" t="n">
        <v>1.122</v>
      </c>
      <c r="G593" t="n">
        <v>3.401794</v>
      </c>
      <c r="H593" t="n">
        <v>-1.082646</v>
      </c>
      <c r="I593" t="n">
        <v>-27.81042857463886</v>
      </c>
      <c r="J593" t="inlineStr">
        <is>
          <t>Taiwan|XMTW.L|2023</t>
        </is>
      </c>
      <c r="K593" t="inlineStr">
        <is>
          <t>Taiwan|2023</t>
        </is>
      </c>
      <c r="L593" t="inlineStr">
        <is>
          <t>GBp</t>
        </is>
      </c>
      <c r="M593" t="n">
        <v>20.62071857961694</v>
      </c>
      <c r="N593" t="n">
        <v>5.06303068571996</v>
      </c>
      <c r="O593" t="n">
        <v>26.72778257463886</v>
      </c>
      <c r="P593" t="n">
        <v>-4.336907572818738</v>
      </c>
      <c r="Q593" t="n">
        <v>32.47301478478133</v>
      </c>
      <c r="R593" t="n">
        <v>2.492</v>
      </c>
      <c r="S593" t="n">
        <v>4.128</v>
      </c>
      <c r="T593" t="n">
        <v>-1.636</v>
      </c>
      <c r="U593" t="n">
        <v>757335000000</v>
      </c>
    </row>
    <row r="594">
      <c r="A594" t="inlineStr">
        <is>
          <t>Taiwan</t>
        </is>
      </c>
      <c r="B594" t="inlineStr">
        <is>
          <t>TWN</t>
        </is>
      </c>
      <c r="C594" t="inlineStr">
        <is>
          <t>XMTW.L</t>
        </is>
      </c>
      <c r="D594" t="n">
        <v>2024</v>
      </c>
      <c r="E594" t="n">
        <v>27.73207990599296</v>
      </c>
      <c r="F594" t="n">
        <v>4.837</v>
      </c>
      <c r="G594" t="n">
        <v>8.459306</v>
      </c>
      <c r="H594" t="n">
        <v>5.237973</v>
      </c>
      <c r="I594" t="n">
        <v>-20.67896568363836</v>
      </c>
      <c r="J594" t="inlineStr">
        <is>
          <t>Taiwan|XMTW.L|2024</t>
        </is>
      </c>
      <c r="K594" t="inlineStr">
        <is>
          <t>Taiwan|2024</t>
        </is>
      </c>
      <c r="L594" t="inlineStr">
        <is>
          <t>GBp</t>
        </is>
      </c>
      <c r="M594" t="n">
        <v>27.73207990599296</v>
      </c>
      <c r="N594" t="n">
        <v>-1.421053523664917</v>
      </c>
      <c r="O594" t="n">
        <v>25.91693868363836</v>
      </c>
      <c r="P594" t="n">
        <v>-2.970085055963534</v>
      </c>
      <c r="Q594" t="n">
        <v>29.77125534559413</v>
      </c>
      <c r="R594" t="n">
        <v>2.181</v>
      </c>
      <c r="S594" t="n">
        <v>2.952</v>
      </c>
      <c r="T594" t="n">
        <v>-0.7709999999999999</v>
      </c>
      <c r="U594" t="n">
        <v>797004000000</v>
      </c>
    </row>
    <row r="595">
      <c r="A595" t="inlineStr">
        <is>
          <t>Taiwan</t>
        </is>
      </c>
      <c r="B595" t="inlineStr">
        <is>
          <t>TWN</t>
        </is>
      </c>
      <c r="C595" t="inlineStr">
        <is>
          <t>XMTW.L</t>
        </is>
      </c>
      <c r="D595" t="n">
        <v>2025</v>
      </c>
      <c r="E595" t="n">
        <v>23.8012125665993</v>
      </c>
      <c r="F595" t="n">
        <v>3.674</v>
      </c>
      <c r="G595" t="n">
        <v>5.468292</v>
      </c>
      <c r="H595" t="n">
        <v>10.963935</v>
      </c>
      <c r="I595" t="n">
        <v>-22.21141817071263</v>
      </c>
      <c r="J595" t="inlineStr">
        <is>
          <t>Taiwan|XMTW.L|2025</t>
        </is>
      </c>
      <c r="K595" t="inlineStr">
        <is>
          <t>Taiwan|2025</t>
        </is>
      </c>
      <c r="L595" t="inlineStr">
        <is>
          <t>GBp</t>
        </is>
      </c>
      <c r="M595" t="n">
        <v>23.8012125665993</v>
      </c>
      <c r="N595" t="n">
        <v>7.571929555270285</v>
      </c>
      <c r="O595" t="n">
        <v>33.17535317071263</v>
      </c>
      <c r="P595" t="n">
        <v>5.210706253215691</v>
      </c>
      <c r="Q595" t="n">
        <v>26.57965896568841</v>
      </c>
      <c r="R595" t="n">
        <v>1.73</v>
      </c>
      <c r="S595" t="n">
        <v>2.715</v>
      </c>
      <c r="T595" t="n">
        <v>-0.9849999999999999</v>
      </c>
      <c r="U595" t="n">
        <v>884387000000</v>
      </c>
    </row>
    <row r="596">
      <c r="A596" t="inlineStr">
        <is>
          <t>Taiwan</t>
        </is>
      </c>
      <c r="B596" t="inlineStr">
        <is>
          <t>TWN</t>
        </is>
      </c>
      <c r="C596" t="inlineStr">
        <is>
          <t>XMTW.L</t>
        </is>
      </c>
      <c r="D596" t="n">
        <v>2026</v>
      </c>
      <c r="E596" t="n">
        <v>11.11519247722597</v>
      </c>
      <c r="F596" t="n">
        <v>2.113</v>
      </c>
      <c r="G596" t="n">
        <v>3.705991</v>
      </c>
      <c r="H596" t="n">
        <v>9.84422</v>
      </c>
      <c r="I596" t="n">
        <v>0.3983055278268441</v>
      </c>
      <c r="J596" t="inlineStr">
        <is>
          <t>Taiwan|XMTW.L|2026</t>
        </is>
      </c>
      <c r="K596" t="inlineStr">
        <is>
          <t>Taiwan|2026</t>
        </is>
      </c>
      <c r="L596" t="inlineStr">
        <is>
          <t>GBp</t>
        </is>
      </c>
      <c r="M596" t="n">
        <v>11.11519247722597</v>
      </c>
      <c r="N596" t="n">
        <v>-1.502295021803568</v>
      </c>
      <c r="O596" t="n">
        <v>9.445914472173156</v>
      </c>
      <c r="P596" t="n">
        <v>5.918875450485639</v>
      </c>
      <c r="Q596" t="n">
        <v>3.329943795840551</v>
      </c>
      <c r="R596" t="n">
        <v>1.56</v>
      </c>
      <c r="S596" t="n">
        <v>2.435</v>
      </c>
      <c r="T596" t="n">
        <v>-0.875</v>
      </c>
      <c r="U596" t="n">
        <v>971448000000</v>
      </c>
    </row>
    <row r="597">
      <c r="A597" t="inlineStr">
        <is>
          <t>Taiwan</t>
        </is>
      </c>
      <c r="B597" t="inlineStr">
        <is>
          <t>TWN</t>
        </is>
      </c>
      <c r="C597" t="inlineStr">
        <is>
          <t>XMTW.L</t>
        </is>
      </c>
      <c r="D597" t="n">
        <v>2027</v>
      </c>
      <c r="E597" t="inlineStr"/>
      <c r="F597" t="n">
        <v>2.521</v>
      </c>
      <c r="G597" t="n">
        <v>4.103483</v>
      </c>
      <c r="H597" t="n">
        <v>4.841124</v>
      </c>
      <c r="I597" t="inlineStr"/>
      <c r="J597" t="inlineStr">
        <is>
          <t>Taiwan|XMTW.L|2027</t>
        </is>
      </c>
      <c r="K597" t="inlineStr">
        <is>
          <t>Taiwan|2027</t>
        </is>
      </c>
      <c r="L597" t="inlineStr">
        <is>
          <t>GBp</t>
        </is>
      </c>
      <c r="M597" t="inlineStr"/>
      <c r="N597" t="inlineStr"/>
      <c r="O597" t="inlineStr"/>
      <c r="P597" t="n">
        <v>0.7085644581493966</v>
      </c>
      <c r="Q597" t="inlineStr"/>
      <c r="R597" t="n">
        <v>1.544</v>
      </c>
      <c r="S597" t="n">
        <v>2.185</v>
      </c>
      <c r="T597" t="n">
        <v>-0.641</v>
      </c>
      <c r="U597" t="n">
        <v>1018477000000</v>
      </c>
    </row>
    <row r="598">
      <c r="A598" t="inlineStr">
        <is>
          <t>Taiwan</t>
        </is>
      </c>
      <c r="B598" t="inlineStr">
        <is>
          <t>TWN</t>
        </is>
      </c>
      <c r="C598" t="inlineStr">
        <is>
          <t>XMTW.L</t>
        </is>
      </c>
      <c r="D598" t="n">
        <v>2028</v>
      </c>
      <c r="E598" t="inlineStr"/>
      <c r="F598" t="n">
        <v>2.413</v>
      </c>
      <c r="G598" t="n">
        <v>3.957778</v>
      </c>
      <c r="H598" t="n">
        <v>3.583684</v>
      </c>
      <c r="I598" t="inlineStr"/>
      <c r="J598" t="inlineStr">
        <is>
          <t>Taiwan|XMTW.L|2028</t>
        </is>
      </c>
      <c r="K598" t="inlineStr">
        <is>
          <t>Taiwan|2028</t>
        </is>
      </c>
      <c r="L598" t="inlineStr">
        <is>
          <t>GBp</t>
        </is>
      </c>
      <c r="M598" t="inlineStr"/>
      <c r="N598" t="inlineStr"/>
      <c r="O598" t="inlineStr"/>
      <c r="P598" t="n">
        <v>-0.359851155567037</v>
      </c>
      <c r="Q598" t="inlineStr"/>
      <c r="R598" t="n">
        <v>1.508</v>
      </c>
      <c r="S598" t="n">
        <v>2.206</v>
      </c>
      <c r="T598" t="n">
        <v>-0.698</v>
      </c>
      <c r="U598" t="n">
        <v>1054976000000</v>
      </c>
    </row>
    <row r="599">
      <c r="A599" t="inlineStr">
        <is>
          <t>Taiwan</t>
        </is>
      </c>
      <c r="B599" t="inlineStr">
        <is>
          <t>TWN</t>
        </is>
      </c>
      <c r="C599" t="inlineStr">
        <is>
          <t>XMTW.L</t>
        </is>
      </c>
      <c r="D599" t="n">
        <v>2029</v>
      </c>
      <c r="E599" t="inlineStr"/>
      <c r="F599" t="n">
        <v>2.38</v>
      </c>
      <c r="G599" t="n">
        <v>4.010899</v>
      </c>
      <c r="H599" t="n">
        <v>2.632951</v>
      </c>
      <c r="I599" t="inlineStr"/>
      <c r="J599" t="inlineStr">
        <is>
          <t>Taiwan|XMTW.L|2029</t>
        </is>
      </c>
      <c r="K599" t="inlineStr">
        <is>
          <t>Taiwan|2029</t>
        </is>
      </c>
      <c r="L599" t="inlineStr">
        <is>
          <t>GBp</t>
        </is>
      </c>
      <c r="M599" t="inlineStr"/>
      <c r="N599" t="inlineStr"/>
      <c r="O599" t="inlineStr"/>
      <c r="P599" t="n">
        <v>-1.324811204078746</v>
      </c>
      <c r="Q599" t="inlineStr"/>
      <c r="R599" t="n">
        <v>1.593</v>
      </c>
      <c r="S599" t="n">
        <v>2.203</v>
      </c>
      <c r="T599" t="n">
        <v>-0.6099999999999999</v>
      </c>
      <c r="U599" t="n">
        <v>1082753000000</v>
      </c>
    </row>
    <row r="600">
      <c r="A600" t="inlineStr">
        <is>
          <t>Thailand</t>
        </is>
      </c>
      <c r="B600" t="inlineStr">
        <is>
          <t>THA</t>
        </is>
      </c>
      <c r="C600" t="inlineStr">
        <is>
          <t>XCX4.L</t>
        </is>
      </c>
      <c r="D600" t="n">
        <v>2004</v>
      </c>
      <c r="E600" t="inlineStr"/>
      <c r="F600" t="n">
        <v>6.289</v>
      </c>
      <c r="G600" t="inlineStr"/>
      <c r="H600" t="inlineStr"/>
      <c r="I600" t="inlineStr"/>
      <c r="J600" t="inlineStr">
        <is>
          <t>Thailand|XCX4.L|2004</t>
        </is>
      </c>
      <c r="K600" t="inlineStr">
        <is>
          <t>Thailand|2004</t>
        </is>
      </c>
      <c r="L600" t="inlineStr">
        <is>
          <t>GBp</t>
        </is>
      </c>
      <c r="M600" t="inlineStr"/>
      <c r="N600" t="inlineStr"/>
      <c r="O600" t="inlineStr"/>
      <c r="P600" t="inlineStr"/>
      <c r="Q600" t="inlineStr"/>
      <c r="R600" t="n">
        <v>2.809</v>
      </c>
      <c r="S600" t="n">
        <v>2.668</v>
      </c>
      <c r="T600" t="n">
        <v>0.141</v>
      </c>
      <c r="U600" t="n">
        <v>172896000000</v>
      </c>
    </row>
    <row r="601">
      <c r="A601" t="inlineStr">
        <is>
          <t>Thailand</t>
        </is>
      </c>
      <c r="B601" t="inlineStr">
        <is>
          <t>THA</t>
        </is>
      </c>
      <c r="C601" t="inlineStr">
        <is>
          <t>XCX4.L</t>
        </is>
      </c>
      <c r="D601" t="n">
        <v>2005</v>
      </c>
      <c r="E601" t="inlineStr"/>
      <c r="F601" t="n">
        <v>4.188</v>
      </c>
      <c r="G601" t="n">
        <v>9.492411000000001</v>
      </c>
      <c r="H601" t="n">
        <v>9.498195000000001</v>
      </c>
      <c r="I601" t="inlineStr"/>
      <c r="J601" t="inlineStr">
        <is>
          <t>Thailand|XCX4.L|2005</t>
        </is>
      </c>
      <c r="K601" t="inlineStr">
        <is>
          <t>Thailand|2005</t>
        </is>
      </c>
      <c r="L601" t="inlineStr">
        <is>
          <t>GBp</t>
        </is>
      </c>
      <c r="M601" t="inlineStr"/>
      <c r="N601" t="inlineStr"/>
      <c r="O601" t="inlineStr"/>
      <c r="P601" t="n">
        <v>0.005283354073282176</v>
      </c>
      <c r="Q601" t="inlineStr"/>
      <c r="R601" t="n">
        <v>4.467</v>
      </c>
      <c r="S601" t="n">
        <v>3.366</v>
      </c>
      <c r="T601" t="n">
        <v>1.101</v>
      </c>
      <c r="U601" t="n">
        <v>189318000000</v>
      </c>
    </row>
    <row r="602">
      <c r="A602" t="inlineStr">
        <is>
          <t>Thailand</t>
        </is>
      </c>
      <c r="B602" t="inlineStr">
        <is>
          <t>THA</t>
        </is>
      </c>
      <c r="C602" t="inlineStr">
        <is>
          <t>XCX4.L</t>
        </is>
      </c>
      <c r="D602" t="n">
        <v>2006</v>
      </c>
      <c r="E602" t="inlineStr"/>
      <c r="F602" t="n">
        <v>4.968</v>
      </c>
      <c r="G602" t="n">
        <v>10.325592</v>
      </c>
      <c r="H602" t="n">
        <v>17.135191</v>
      </c>
      <c r="I602" t="inlineStr"/>
      <c r="J602" t="inlineStr">
        <is>
          <t>Thailand|XCX4.L|2006</t>
        </is>
      </c>
      <c r="K602" t="inlineStr">
        <is>
          <t>Thailand|2006</t>
        </is>
      </c>
      <c r="L602" t="inlineStr">
        <is>
          <t>GBp</t>
        </is>
      </c>
      <c r="M602" t="inlineStr"/>
      <c r="N602" t="inlineStr"/>
      <c r="O602" t="inlineStr"/>
      <c r="P602" t="n">
        <v>6.172274795625099</v>
      </c>
      <c r="Q602" t="inlineStr"/>
      <c r="R602" t="n">
        <v>4.714</v>
      </c>
      <c r="S602" t="n">
        <v>3.222</v>
      </c>
      <c r="T602" t="n">
        <v>1.492</v>
      </c>
      <c r="U602" t="n">
        <v>221758000000</v>
      </c>
    </row>
    <row r="603">
      <c r="A603" t="inlineStr">
        <is>
          <t>Thailand</t>
        </is>
      </c>
      <c r="B603" t="inlineStr">
        <is>
          <t>THA</t>
        </is>
      </c>
      <c r="C603" t="inlineStr">
        <is>
          <t>XCX4.L</t>
        </is>
      </c>
      <c r="D603" t="n">
        <v>2007</v>
      </c>
      <c r="E603" t="inlineStr"/>
      <c r="F603" t="n">
        <v>5.435</v>
      </c>
      <c r="G603" t="n">
        <v>8.042918999999999</v>
      </c>
      <c r="H603" t="n">
        <v>18.572047</v>
      </c>
      <c r="I603" t="inlineStr"/>
      <c r="J603" t="inlineStr">
        <is>
          <t>Thailand|XCX4.L|2007</t>
        </is>
      </c>
      <c r="K603" t="inlineStr">
        <is>
          <t>Thailand|2007</t>
        </is>
      </c>
      <c r="L603" t="inlineStr">
        <is>
          <t>GBp</t>
        </is>
      </c>
      <c r="M603" t="inlineStr"/>
      <c r="N603" t="inlineStr"/>
      <c r="O603" t="inlineStr"/>
      <c r="P603" t="n">
        <v>9.745319734362923</v>
      </c>
      <c r="Q603" t="inlineStr"/>
      <c r="R603" t="n">
        <v>2.163</v>
      </c>
      <c r="S603" t="n">
        <v>2.871</v>
      </c>
      <c r="T603" t="n">
        <v>-0.7080000000000002</v>
      </c>
      <c r="U603" t="n">
        <v>262943000000</v>
      </c>
    </row>
    <row r="604">
      <c r="A604" t="inlineStr">
        <is>
          <t>Thailand</t>
        </is>
      </c>
      <c r="B604" t="inlineStr">
        <is>
          <t>THA</t>
        </is>
      </c>
      <c r="C604" t="inlineStr">
        <is>
          <t>XCX4.L</t>
        </is>
      </c>
      <c r="D604" t="n">
        <v>2008</v>
      </c>
      <c r="E604" t="inlineStr"/>
      <c r="F604" t="n">
        <v>1.726</v>
      </c>
      <c r="G604" t="n">
        <v>6.948073</v>
      </c>
      <c r="H604" t="n">
        <v>10.816032</v>
      </c>
      <c r="I604" t="inlineStr"/>
      <c r="J604" t="inlineStr">
        <is>
          <t>Thailand|XCX4.L|2008</t>
        </is>
      </c>
      <c r="K604" t="inlineStr">
        <is>
          <t>Thailand|2008</t>
        </is>
      </c>
      <c r="L604" t="inlineStr">
        <is>
          <t>GBp</t>
        </is>
      </c>
      <c r="M604" t="inlineStr"/>
      <c r="N604" t="n">
        <v>-26.2666463318202</v>
      </c>
      <c r="O604" t="inlineStr"/>
      <c r="P604" t="n">
        <v>3.616670672499378</v>
      </c>
      <c r="Q604" t="inlineStr"/>
      <c r="R604" t="n">
        <v>5.486</v>
      </c>
      <c r="S604" t="n">
        <v>3.815</v>
      </c>
      <c r="T604" t="n">
        <v>1.671</v>
      </c>
      <c r="U604" t="n">
        <v>291383000000</v>
      </c>
    </row>
    <row r="605">
      <c r="A605" t="inlineStr">
        <is>
          <t>Thailand</t>
        </is>
      </c>
      <c r="B605" t="inlineStr">
        <is>
          <t>THA</t>
        </is>
      </c>
      <c r="C605" t="inlineStr">
        <is>
          <t>XCX4.L</t>
        </is>
      </c>
      <c r="D605" t="n">
        <v>2009</v>
      </c>
      <c r="E605" t="inlineStr"/>
      <c r="F605" t="n">
        <v>-0.6909999999999999</v>
      </c>
      <c r="G605" t="n">
        <v>-0.497191</v>
      </c>
      <c r="H605" t="n">
        <v>-3.319343</v>
      </c>
      <c r="I605" t="inlineStr"/>
      <c r="J605" t="inlineStr">
        <is>
          <t>Thailand|XCX4.L|2009</t>
        </is>
      </c>
      <c r="K605" t="inlineStr">
        <is>
          <t>Thailand|2009</t>
        </is>
      </c>
      <c r="L605" t="inlineStr">
        <is>
          <t>GBp</t>
        </is>
      </c>
      <c r="M605" t="inlineStr"/>
      <c r="N605" t="n">
        <v>9.775566130910907</v>
      </c>
      <c r="O605" t="inlineStr"/>
      <c r="P605" t="n">
        <v>-2.836252951307383</v>
      </c>
      <c r="Q605" t="inlineStr"/>
      <c r="R605" t="n">
        <v>-0.869</v>
      </c>
      <c r="S605" t="n">
        <v>-0.32</v>
      </c>
      <c r="T605" t="n">
        <v>-0.5489999999999999</v>
      </c>
      <c r="U605" t="n">
        <v>281711000000</v>
      </c>
    </row>
    <row r="606">
      <c r="A606" t="inlineStr">
        <is>
          <t>Thailand</t>
        </is>
      </c>
      <c r="B606" t="inlineStr">
        <is>
          <t>THA</t>
        </is>
      </c>
      <c r="C606" t="inlineStr">
        <is>
          <t>XCX4.L</t>
        </is>
      </c>
      <c r="D606" t="n">
        <v>2010</v>
      </c>
      <c r="E606" t="n">
        <v>-9.381774352355832</v>
      </c>
      <c r="F606" t="n">
        <v>7.513</v>
      </c>
      <c r="G606" t="n">
        <v>11.901</v>
      </c>
      <c r="H606" t="n">
        <v>21.083309</v>
      </c>
      <c r="I606" t="n">
        <v>34.37356988382999</v>
      </c>
      <c r="J606" t="inlineStr">
        <is>
          <t>Thailand|XCX4.L|2010</t>
        </is>
      </c>
      <c r="K606" t="inlineStr">
        <is>
          <t>Thailand|2010</t>
        </is>
      </c>
      <c r="L606" t="inlineStr">
        <is>
          <t>GBp</t>
        </is>
      </c>
      <c r="M606" t="n">
        <v>-9.381774352355832</v>
      </c>
      <c r="N606" t="n">
        <v>-4.313135137595536</v>
      </c>
      <c r="O606" t="n">
        <v>-13.29026088382999</v>
      </c>
      <c r="P606" t="n">
        <v>8.205742870187983</v>
      </c>
      <c r="Q606" t="n">
        <v>-19.86586218423383</v>
      </c>
      <c r="R606" t="n">
        <v>3.3</v>
      </c>
      <c r="S606" t="n">
        <v>1.637</v>
      </c>
      <c r="T606" t="n">
        <v>1.663</v>
      </c>
      <c r="U606" t="n">
        <v>341105000000</v>
      </c>
    </row>
    <row r="607">
      <c r="A607" t="inlineStr">
        <is>
          <t>Thailand</t>
        </is>
      </c>
      <c r="B607" t="inlineStr">
        <is>
          <t>THA</t>
        </is>
      </c>
      <c r="C607" t="inlineStr">
        <is>
          <t>XCX4.L</t>
        </is>
      </c>
      <c r="D607" t="n">
        <v>2011</v>
      </c>
      <c r="E607" t="n">
        <v>-3.173076923076923</v>
      </c>
      <c r="F607" t="n">
        <v>0.84</v>
      </c>
      <c r="G607" t="n">
        <v>4.614677</v>
      </c>
      <c r="H607" t="n">
        <v>8.711100999999999</v>
      </c>
      <c r="I607" t="n">
        <v>12.85739764078867</v>
      </c>
      <c r="J607" t="inlineStr">
        <is>
          <t>Thailand|XCX4.L|2011</t>
        </is>
      </c>
      <c r="K607" t="inlineStr">
        <is>
          <t>Thailand|2011</t>
        </is>
      </c>
      <c r="L607" t="inlineStr">
        <is>
          <t>GBp</t>
        </is>
      </c>
      <c r="M607" t="n">
        <v>-3.173076923076923</v>
      </c>
      <c r="N607" t="n">
        <v>-1.005112717398426</v>
      </c>
      <c r="O607" t="n">
        <v>-4.146296640788671</v>
      </c>
      <c r="P607" t="n">
        <v>3.91572542831724</v>
      </c>
      <c r="Q607" t="n">
        <v>-7.758231043353714</v>
      </c>
      <c r="R607" t="n">
        <v>3.811</v>
      </c>
      <c r="S607" t="n">
        <v>3.14</v>
      </c>
      <c r="T607" t="n">
        <v>0.6709999999999998</v>
      </c>
      <c r="U607" t="n">
        <v>370819000000</v>
      </c>
    </row>
    <row r="608">
      <c r="A608" t="inlineStr">
        <is>
          <t>Thailand</t>
        </is>
      </c>
      <c r="B608" t="inlineStr">
        <is>
          <t>THA</t>
        </is>
      </c>
      <c r="C608" t="inlineStr">
        <is>
          <t>XCX4.L</t>
        </is>
      </c>
      <c r="D608" t="n">
        <v>2012</v>
      </c>
      <c r="E608" t="n">
        <v>24.95107632093931</v>
      </c>
      <c r="F608" t="n">
        <v>7.243</v>
      </c>
      <c r="G608" t="n">
        <v>9.290215999999999</v>
      </c>
      <c r="H608" t="n">
        <v>7.210796</v>
      </c>
      <c r="I608" t="n">
        <v>-22.98308798051872</v>
      </c>
      <c r="J608" t="inlineStr">
        <is>
          <t>Thailand|XCX4.L|2012</t>
        </is>
      </c>
      <c r="K608" t="inlineStr">
        <is>
          <t>Thailand|2012</t>
        </is>
      </c>
      <c r="L608" t="inlineStr">
        <is>
          <t>GBp</t>
        </is>
      </c>
      <c r="M608" t="n">
        <v>24.95107632093931</v>
      </c>
      <c r="N608" t="n">
        <v>4.195888354025179</v>
      </c>
      <c r="O608" t="n">
        <v>30.19388398051872</v>
      </c>
      <c r="P608" t="n">
        <v>-1.902659356693703</v>
      </c>
      <c r="Q608" t="n">
        <v>32.71907589617471</v>
      </c>
      <c r="R608" t="n">
        <v>3.009</v>
      </c>
      <c r="S608" t="n">
        <v>2.073</v>
      </c>
      <c r="T608" t="n">
        <v>0.9359999999999999</v>
      </c>
      <c r="U608" t="n">
        <v>397558000000</v>
      </c>
    </row>
    <row r="609">
      <c r="A609" t="inlineStr">
        <is>
          <t>Thailand</t>
        </is>
      </c>
      <c r="B609" t="inlineStr">
        <is>
          <t>THA</t>
        </is>
      </c>
      <c r="C609" t="inlineStr">
        <is>
          <t>XCX4.L</t>
        </is>
      </c>
      <c r="D609" t="n">
        <v>2013</v>
      </c>
      <c r="E609" t="n">
        <v>-17.66501335368181</v>
      </c>
      <c r="F609" t="n">
        <v>2.687</v>
      </c>
      <c r="G609" t="n">
        <v>4.514045</v>
      </c>
      <c r="H609" t="n">
        <v>5.728975</v>
      </c>
      <c r="I609" t="n">
        <v>22.08204083296177</v>
      </c>
      <c r="J609" t="inlineStr">
        <is>
          <t>Thailand|XCX4.L|2013</t>
        </is>
      </c>
      <c r="K609" t="inlineStr">
        <is>
          <t>Thailand|2013</t>
        </is>
      </c>
      <c r="L609" t="inlineStr">
        <is>
          <t>GBp</t>
        </is>
      </c>
      <c r="M609" t="n">
        <v>-17.66501335368181</v>
      </c>
      <c r="N609" t="n">
        <v>1.593426530031161</v>
      </c>
      <c r="O609" t="n">
        <v>-16.35306583296177</v>
      </c>
      <c r="P609" t="n">
        <v>1.162456414621116</v>
      </c>
      <c r="Q609" t="n">
        <v>-17.31425161899425</v>
      </c>
      <c r="R609" t="n">
        <v>2.186</v>
      </c>
      <c r="S609" t="n">
        <v>1.466</v>
      </c>
      <c r="T609" t="n">
        <v>0.72</v>
      </c>
      <c r="U609" t="n">
        <v>420334000000</v>
      </c>
    </row>
    <row r="610">
      <c r="A610" t="inlineStr">
        <is>
          <t>Thailand</t>
        </is>
      </c>
      <c r="B610" t="inlineStr">
        <is>
          <t>THA</t>
        </is>
      </c>
      <c r="C610" t="inlineStr">
        <is>
          <t>XCX4.L</t>
        </is>
      </c>
      <c r="D610" t="n">
        <v>2014</v>
      </c>
      <c r="E610" t="n">
        <v>32.1024868123587</v>
      </c>
      <c r="F610" t="n">
        <v>0.984</v>
      </c>
      <c r="G610" t="n">
        <v>2.440125</v>
      </c>
      <c r="H610" t="n">
        <v>-3.091589</v>
      </c>
      <c r="I610" t="n">
        <v>-27.25928352786502</v>
      </c>
      <c r="J610" t="inlineStr">
        <is>
          <t>Thailand|XCX4.L|2014</t>
        </is>
      </c>
      <c r="K610" t="inlineStr">
        <is>
          <t>Thailand|2014</t>
        </is>
      </c>
      <c r="L610" t="inlineStr">
        <is>
          <t>GBp</t>
        </is>
      </c>
      <c r="M610" t="n">
        <v>32.1024868123587</v>
      </c>
      <c r="N610" t="n">
        <v>-6.006542704804973</v>
      </c>
      <c r="O610" t="n">
        <v>24.16769452786502</v>
      </c>
      <c r="P610" t="n">
        <v>-5.3999485805869</v>
      </c>
      <c r="Q610" t="n">
        <v>31.25541970094985</v>
      </c>
      <c r="R610" t="n">
        <v>1.895</v>
      </c>
      <c r="S610" t="n">
        <v>1.615</v>
      </c>
      <c r="T610" t="n">
        <v>0.28</v>
      </c>
      <c r="U610" t="n">
        <v>407339000000</v>
      </c>
    </row>
    <row r="611">
      <c r="A611" t="inlineStr">
        <is>
          <t>Thailand</t>
        </is>
      </c>
      <c r="B611" t="inlineStr">
        <is>
          <t>THA</t>
        </is>
      </c>
      <c r="C611" t="inlineStr">
        <is>
          <t>XCX4.L</t>
        </is>
      </c>
      <c r="D611" t="n">
        <v>2015</v>
      </c>
      <c r="E611" t="n">
        <v>-20.82937036332509</v>
      </c>
      <c r="F611" t="n">
        <v>3.134</v>
      </c>
      <c r="G611" t="n">
        <v>3.878792</v>
      </c>
      <c r="H611" t="n">
        <v>-1.483531</v>
      </c>
      <c r="I611" t="n">
        <v>23.21637733818574</v>
      </c>
      <c r="J611" t="inlineStr">
        <is>
          <t>Thailand|XCX4.L|2015</t>
        </is>
      </c>
      <c r="K611" t="inlineStr">
        <is>
          <t>Thailand|2015</t>
        </is>
      </c>
      <c r="L611" t="inlineStr">
        <is>
          <t>GBp</t>
        </is>
      </c>
      <c r="M611" t="n">
        <v>-20.82937036332509</v>
      </c>
      <c r="N611" t="n">
        <v>-4.888855870697362</v>
      </c>
      <c r="O611" t="n">
        <v>-24.69990833818574</v>
      </c>
      <c r="P611" t="n">
        <v>-5.162096137136817</v>
      </c>
      <c r="Q611" t="n">
        <v>-20.6012695401839</v>
      </c>
      <c r="R611" t="n">
        <v>-0.898</v>
      </c>
      <c r="S611" t="n">
        <v>0.121</v>
      </c>
      <c r="T611" t="n">
        <v>-1.019</v>
      </c>
      <c r="U611" t="n">
        <v>401296000000</v>
      </c>
    </row>
    <row r="612">
      <c r="A612" t="inlineStr">
        <is>
          <t>Thailand</t>
        </is>
      </c>
      <c r="B612" t="inlineStr">
        <is>
          <t>THA</t>
        </is>
      </c>
      <c r="C612" t="inlineStr">
        <is>
          <t>XCX4.L</t>
        </is>
      </c>
      <c r="D612" t="n">
        <v>2016</v>
      </c>
      <c r="E612" t="n">
        <v>56.73147920255968</v>
      </c>
      <c r="F612" t="n">
        <v>3.435</v>
      </c>
      <c r="G612" t="n">
        <v>6.161882</v>
      </c>
      <c r="H612" t="n">
        <v>3.007755</v>
      </c>
      <c r="I612" t="n">
        <v>-27.66600516983163</v>
      </c>
      <c r="J612" t="inlineStr">
        <is>
          <t>Thailand|XCX4.L|2016</t>
        </is>
      </c>
      <c r="K612" t="inlineStr">
        <is>
          <t>Thailand|2016</t>
        </is>
      </c>
      <c r="L612" t="inlineStr">
        <is>
          <t>GBp</t>
        </is>
      </c>
      <c r="M612" t="n">
        <v>56.73147920255968</v>
      </c>
      <c r="N612" t="n">
        <v>-16.62570861023462</v>
      </c>
      <c r="O612" t="n">
        <v>30.67376016983163</v>
      </c>
      <c r="P612" t="n">
        <v>-2.971054132706175</v>
      </c>
      <c r="Q612" t="n">
        <v>34.67502815969341</v>
      </c>
      <c r="R612" t="n">
        <v>0.186</v>
      </c>
      <c r="S612" t="n">
        <v>1.267</v>
      </c>
      <c r="T612" t="n">
        <v>-1.081</v>
      </c>
      <c r="U612" t="n">
        <v>413366000000</v>
      </c>
    </row>
    <row r="613">
      <c r="A613" t="inlineStr">
        <is>
          <t>Thailand</t>
        </is>
      </c>
      <c r="B613" t="inlineStr">
        <is>
          <t>THA</t>
        </is>
      </c>
      <c r="C613" t="inlineStr">
        <is>
          <t>XCX4.L</t>
        </is>
      </c>
      <c r="D613" t="n">
        <v>2017</v>
      </c>
      <c r="E613" t="n">
        <v>21.08057464084947</v>
      </c>
      <c r="F613" t="n">
        <v>4.178</v>
      </c>
      <c r="G613" t="n">
        <v>6.157</v>
      </c>
      <c r="H613" t="n">
        <v>10.400226</v>
      </c>
      <c r="I613" t="n">
        <v>-21.38555212413836</v>
      </c>
      <c r="J613" t="inlineStr">
        <is>
          <t>Thailand|XCX4.L|2017</t>
        </is>
      </c>
      <c r="K613" t="inlineStr">
        <is>
          <t>Thailand|2017</t>
        </is>
      </c>
      <c r="L613" t="inlineStr">
        <is>
          <t>GBp</t>
        </is>
      </c>
      <c r="M613" t="n">
        <v>21.08057464084947</v>
      </c>
      <c r="N613" t="n">
        <v>8.841388071573641</v>
      </c>
      <c r="O613" t="n">
        <v>31.78577812413836</v>
      </c>
      <c r="P613" t="n">
        <v>3.997123867122676</v>
      </c>
      <c r="Q613" t="n">
        <v>26.72059882398412</v>
      </c>
      <c r="R613" t="n">
        <v>0.664</v>
      </c>
      <c r="S613" t="n">
        <v>2.131</v>
      </c>
      <c r="T613" t="n">
        <v>-1.467</v>
      </c>
      <c r="U613" t="n">
        <v>456357000000</v>
      </c>
    </row>
    <row r="614">
      <c r="A614" t="inlineStr">
        <is>
          <t>Thailand</t>
        </is>
      </c>
      <c r="B614" t="inlineStr">
        <is>
          <t>THA</t>
        </is>
      </c>
      <c r="C614" t="inlineStr">
        <is>
          <t>XCX4.L</t>
        </is>
      </c>
      <c r="D614" t="n">
        <v>2018</v>
      </c>
      <c r="E614" t="n">
        <v>1.171347325591587</v>
      </c>
      <c r="F614" t="n">
        <v>4.223</v>
      </c>
      <c r="G614" t="n">
        <v>5.711784</v>
      </c>
      <c r="H614" t="n">
        <v>11.043328</v>
      </c>
      <c r="I614" t="n">
        <v>16.02856494733791</v>
      </c>
      <c r="J614" t="inlineStr">
        <is>
          <t>Thailand|XCX4.L|2018</t>
        </is>
      </c>
      <c r="K614" t="inlineStr">
        <is>
          <t>Thailand|2018</t>
        </is>
      </c>
      <c r="L614" t="inlineStr">
        <is>
          <t>GBp</t>
        </is>
      </c>
      <c r="M614" t="n">
        <v>1.171347325591587</v>
      </c>
      <c r="N614" t="n">
        <v>-6.085304224640065</v>
      </c>
      <c r="O614" t="n">
        <v>-4.985236947337912</v>
      </c>
      <c r="P614" t="n">
        <v>5.043471917048414</v>
      </c>
      <c r="Q614" t="n">
        <v>-9.547198584892435</v>
      </c>
      <c r="R614" t="n">
        <v>1.067</v>
      </c>
      <c r="S614" t="n">
        <v>2.439</v>
      </c>
      <c r="T614" t="n">
        <v>-1.372</v>
      </c>
      <c r="U614" t="n">
        <v>506754000000</v>
      </c>
    </row>
    <row r="615">
      <c r="A615" t="inlineStr">
        <is>
          <t>Thailand</t>
        </is>
      </c>
      <c r="B615" t="inlineStr">
        <is>
          <t>THA</t>
        </is>
      </c>
      <c r="C615" t="inlineStr">
        <is>
          <t>XCX4.L</t>
        </is>
      </c>
      <c r="D615" t="n">
        <v>2019</v>
      </c>
      <c r="E615" t="n">
        <v>1.099038341451242</v>
      </c>
      <c r="F615" t="n">
        <v>2.115</v>
      </c>
      <c r="G615" t="n">
        <v>3.150432</v>
      </c>
      <c r="H615" t="n">
        <v>7.345379</v>
      </c>
      <c r="I615" t="n">
        <v>3.270122167332105</v>
      </c>
      <c r="J615" t="inlineStr">
        <is>
          <t>Thailand|XCX4.L|2019</t>
        </is>
      </c>
      <c r="K615" t="inlineStr">
        <is>
          <t>Thailand|2019</t>
        </is>
      </c>
      <c r="L615" t="inlineStr">
        <is>
          <t>GBp</t>
        </is>
      </c>
      <c r="M615" t="n">
        <v>1.099038341451242</v>
      </c>
      <c r="N615" t="n">
        <v>2.94386429390634</v>
      </c>
      <c r="O615" t="n">
        <v>4.075256832667895</v>
      </c>
      <c r="P615" t="n">
        <v>4.066824327857144</v>
      </c>
      <c r="Q615" t="n">
        <v>0.00810297120645842</v>
      </c>
      <c r="R615" t="n">
        <v>0.706</v>
      </c>
      <c r="S615" t="n">
        <v>1.813</v>
      </c>
      <c r="T615" t="n">
        <v>-1.107</v>
      </c>
      <c r="U615" t="n">
        <v>543977000000</v>
      </c>
    </row>
    <row r="616">
      <c r="A616" t="inlineStr">
        <is>
          <t>Thailand</t>
        </is>
      </c>
      <c r="B616" t="inlineStr">
        <is>
          <t>THA</t>
        </is>
      </c>
      <c r="C616" t="inlineStr">
        <is>
          <t>XCX4.L</t>
        </is>
      </c>
      <c r="D616" t="n">
        <v>2020</v>
      </c>
      <c r="E616" t="n">
        <v>-15.33794442422036</v>
      </c>
      <c r="F616" t="n">
        <v>-6.05</v>
      </c>
      <c r="G616" t="n">
        <v>-7.270237</v>
      </c>
      <c r="H616" t="n">
        <v>-7.999419</v>
      </c>
      <c r="I616" t="n">
        <v>4.988985444377311</v>
      </c>
      <c r="J616" t="inlineStr">
        <is>
          <t>Thailand|XCX4.L|2020</t>
        </is>
      </c>
      <c r="K616" t="inlineStr">
        <is>
          <t>Thailand|2020</t>
        </is>
      </c>
      <c r="L616" t="inlineStr">
        <is>
          <t>GBp</t>
        </is>
      </c>
      <c r="M616" t="n">
        <v>-15.33794442422036</v>
      </c>
      <c r="N616" t="n">
        <v>2.775198362317122</v>
      </c>
      <c r="O616" t="n">
        <v>-12.98840444437731</v>
      </c>
      <c r="P616" t="n">
        <v>-0.7863515825140222</v>
      </c>
      <c r="Q616" t="n">
        <v>-12.2987643902759</v>
      </c>
      <c r="R616" t="n">
        <v>-0.846</v>
      </c>
      <c r="S616" t="n">
        <v>1.253</v>
      </c>
      <c r="T616" t="n">
        <v>-2.099</v>
      </c>
      <c r="U616" t="n">
        <v>500462000000</v>
      </c>
    </row>
    <row r="617">
      <c r="A617" t="inlineStr">
        <is>
          <t>Thailand</t>
        </is>
      </c>
      <c r="B617" t="inlineStr">
        <is>
          <t>THA</t>
        </is>
      </c>
      <c r="C617" t="inlineStr">
        <is>
          <t>XCX4.L</t>
        </is>
      </c>
      <c r="D617" t="n">
        <v>2021</v>
      </c>
      <c r="E617" t="n">
        <v>-1.188118811881189</v>
      </c>
      <c r="F617" t="n">
        <v>1.542</v>
      </c>
      <c r="G617" t="n">
        <v>3.354404</v>
      </c>
      <c r="H617" t="n">
        <v>1.145542</v>
      </c>
      <c r="I617" t="n">
        <v>3.595706429507751</v>
      </c>
      <c r="J617" t="inlineStr">
        <is>
          <t>Thailand|XCX4.L|2021</t>
        </is>
      </c>
      <c r="K617" t="inlineStr">
        <is>
          <t>Thailand|2021</t>
        </is>
      </c>
      <c r="L617" t="inlineStr">
        <is>
          <t>GBp</t>
        </is>
      </c>
      <c r="M617" t="n">
        <v>-1.188118811881189</v>
      </c>
      <c r="N617" t="n">
        <v>-1.277220514832489</v>
      </c>
      <c r="O617" t="n">
        <v>-2.450164429507751</v>
      </c>
      <c r="P617" t="n">
        <v>-2.137173232458378</v>
      </c>
      <c r="Q617" t="n">
        <v>-0.3198264421615749</v>
      </c>
      <c r="R617" t="n">
        <v>1.231</v>
      </c>
      <c r="S617" t="n">
        <v>4.679</v>
      </c>
      <c r="T617" t="n">
        <v>-3.448</v>
      </c>
      <c r="U617" t="n">
        <v>506195000000</v>
      </c>
    </row>
    <row r="618">
      <c r="A618" t="inlineStr">
        <is>
          <t>Thailand</t>
        </is>
      </c>
      <c r="B618" t="inlineStr">
        <is>
          <t>THA</t>
        </is>
      </c>
      <c r="C618" t="inlineStr">
        <is>
          <t>XCX4.L</t>
        </is>
      </c>
      <c r="D618" t="n">
        <v>2022</v>
      </c>
      <c r="E618" t="n">
        <v>16.5872672152447</v>
      </c>
      <c r="F618" t="n">
        <v>2.627</v>
      </c>
      <c r="G618" t="n">
        <v>7.360165</v>
      </c>
      <c r="H618" t="n">
        <v>-2.084177</v>
      </c>
      <c r="I618" t="n">
        <v>-6.032163801983494</v>
      </c>
      <c r="J618" t="inlineStr">
        <is>
          <t>Thailand|XCX4.L|2022</t>
        </is>
      </c>
      <c r="K618" t="inlineStr">
        <is>
          <t>Thailand|2022</t>
        </is>
      </c>
      <c r="L618" t="inlineStr">
        <is>
          <t>GBp</t>
        </is>
      </c>
      <c r="M618" t="n">
        <v>16.5872672152447</v>
      </c>
      <c r="N618" t="n">
        <v>-10.84104698150823</v>
      </c>
      <c r="O618" t="n">
        <v>3.947986801983494</v>
      </c>
      <c r="P618" t="n">
        <v>-8.796877513628266</v>
      </c>
      <c r="Q618" t="n">
        <v>13.97415348089228</v>
      </c>
      <c r="R618" t="n">
        <v>6.076</v>
      </c>
      <c r="S618" t="n">
        <v>7.993</v>
      </c>
      <c r="T618" t="n">
        <v>-1.917000000000001</v>
      </c>
      <c r="U618" t="n">
        <v>495645000000</v>
      </c>
    </row>
    <row r="619">
      <c r="A619" t="inlineStr">
        <is>
          <t>Thailand</t>
        </is>
      </c>
      <c r="B619" t="inlineStr">
        <is>
          <t>THA</t>
        </is>
      </c>
      <c r="C619" t="inlineStr">
        <is>
          <t>XCX4.L</t>
        </is>
      </c>
      <c r="D619" t="n">
        <v>2023</v>
      </c>
      <c r="E619" t="n">
        <v>-17.71567436208992</v>
      </c>
      <c r="F619" t="n">
        <v>2.009</v>
      </c>
      <c r="G619" t="n">
        <v>3.318397</v>
      </c>
      <c r="H619" t="n">
        <v>4.087805</v>
      </c>
      <c r="I619" t="n">
        <v>17.63739870550479</v>
      </c>
      <c r="J619" t="inlineStr">
        <is>
          <t>Thailand|XCX4.L|2023</t>
        </is>
      </c>
      <c r="K619" t="inlineStr">
        <is>
          <t>Thailand|2023</t>
        </is>
      </c>
      <c r="L619" t="inlineStr">
        <is>
          <t>GBp</t>
        </is>
      </c>
      <c r="M619" t="n">
        <v>-17.71567436208992</v>
      </c>
      <c r="N619" t="n">
        <v>5.06303068571996</v>
      </c>
      <c r="O619" t="n">
        <v>-13.54959370550479</v>
      </c>
      <c r="P619" t="n">
        <v>0.7446954294563435</v>
      </c>
      <c r="Q619" t="n">
        <v>-14.18862707761156</v>
      </c>
      <c r="R619" t="n">
        <v>1.229</v>
      </c>
      <c r="S619" t="n">
        <v>4.128</v>
      </c>
      <c r="T619" t="n">
        <v>-2.899</v>
      </c>
      <c r="U619" t="n">
        <v>515906000000</v>
      </c>
    </row>
    <row r="620">
      <c r="A620" t="inlineStr">
        <is>
          <t>Thailand</t>
        </is>
      </c>
      <c r="B620" t="inlineStr">
        <is>
          <t>THA</t>
        </is>
      </c>
      <c r="C620" t="inlineStr">
        <is>
          <t>XCX4.L</t>
        </is>
      </c>
      <c r="D620" t="n">
        <v>2024</v>
      </c>
      <c r="E620" t="n">
        <v>0.02910360884749164</v>
      </c>
      <c r="F620" t="n">
        <v>2.54</v>
      </c>
      <c r="G620" t="n">
        <v>3.497714</v>
      </c>
      <c r="H620" t="n">
        <v>2.056964</v>
      </c>
      <c r="I620" t="n">
        <v>3.449327492676463</v>
      </c>
      <c r="J620" t="inlineStr">
        <is>
          <t>Thailand|XCX4.L|2024</t>
        </is>
      </c>
      <c r="K620" t="inlineStr">
        <is>
          <t>Thailand|2024</t>
        </is>
      </c>
      <c r="L620" t="inlineStr">
        <is>
          <t>GBp</t>
        </is>
      </c>
      <c r="M620" t="n">
        <v>0.02910360884749164</v>
      </c>
      <c r="N620" t="n">
        <v>-1.421053523664917</v>
      </c>
      <c r="O620" t="n">
        <v>-1.392363492676463</v>
      </c>
      <c r="P620" t="n">
        <v>-1.392060199890766</v>
      </c>
      <c r="Q620" t="n">
        <v>-0.0003075744065994535</v>
      </c>
      <c r="R620" t="n">
        <v>0.398</v>
      </c>
      <c r="S620" t="n">
        <v>2.952</v>
      </c>
      <c r="T620" t="n">
        <v>-2.554</v>
      </c>
      <c r="U620" t="n">
        <v>526518000000</v>
      </c>
    </row>
    <row r="621">
      <c r="A621" t="inlineStr">
        <is>
          <t>Thailand</t>
        </is>
      </c>
      <c r="B621" t="inlineStr">
        <is>
          <t>THA</t>
        </is>
      </c>
      <c r="C621" t="inlineStr">
        <is>
          <t>XCX4.L</t>
        </is>
      </c>
      <c r="D621" t="n">
        <v>2025</v>
      </c>
      <c r="E621" t="n">
        <v>0.5687618492052016</v>
      </c>
      <c r="F621" t="n">
        <v>2</v>
      </c>
      <c r="G621" t="n">
        <v>2.200039</v>
      </c>
      <c r="H621" t="n">
        <v>6.088111</v>
      </c>
      <c r="I621" t="n">
        <v>-2.095646651034562</v>
      </c>
      <c r="J621" t="inlineStr">
        <is>
          <t>Thailand|XCX4.L|2025</t>
        </is>
      </c>
      <c r="K621" t="inlineStr">
        <is>
          <t>Thailand|2025</t>
        </is>
      </c>
      <c r="L621" t="inlineStr">
        <is>
          <t>GBp</t>
        </is>
      </c>
      <c r="M621" t="n">
        <v>0.5687618492052016</v>
      </c>
      <c r="N621" t="n">
        <v>7.571929555270285</v>
      </c>
      <c r="O621" t="n">
        <v>8.183757651034561</v>
      </c>
      <c r="P621" t="n">
        <v>3.804374281499756</v>
      </c>
      <c r="Q621" t="n">
        <v>4.218881333130198</v>
      </c>
      <c r="R621" t="n">
        <v>0.153</v>
      </c>
      <c r="S621" t="n">
        <v>2.715</v>
      </c>
      <c r="T621" t="n">
        <v>-2.562</v>
      </c>
      <c r="U621" t="n">
        <v>558573000000</v>
      </c>
    </row>
    <row r="622">
      <c r="A622" t="inlineStr">
        <is>
          <t>Thailand</t>
        </is>
      </c>
      <c r="B622" t="inlineStr">
        <is>
          <t>THA</t>
        </is>
      </c>
      <c r="C622" t="inlineStr">
        <is>
          <t>XCX4.L</t>
        </is>
      </c>
      <c r="D622" t="n">
        <v>2026</v>
      </c>
      <c r="E622" t="n">
        <v>15.44117647058822</v>
      </c>
      <c r="F622" t="n">
        <v>1.6</v>
      </c>
      <c r="G622" t="n">
        <v>2.299587</v>
      </c>
      <c r="H622" t="n">
        <v>0.525625</v>
      </c>
      <c r="I622" t="n">
        <v>-13.1812844233591</v>
      </c>
      <c r="J622" t="inlineStr">
        <is>
          <t>Thailand|XCX4.L|2026</t>
        </is>
      </c>
      <c r="K622" t="inlineStr">
        <is>
          <t>Thailand|2026</t>
        </is>
      </c>
      <c r="L622" t="inlineStr">
        <is>
          <t>GBp</t>
        </is>
      </c>
      <c r="M622" t="n">
        <v>15.44117647058822</v>
      </c>
      <c r="N622" t="n">
        <v>-1.502295021803568</v>
      </c>
      <c r="O622" t="n">
        <v>13.7069094233591</v>
      </c>
      <c r="P622" t="n">
        <v>-1.734085104727434</v>
      </c>
      <c r="Q622" t="n">
        <v>15.71347963792213</v>
      </c>
      <c r="R622" t="n">
        <v>0.706</v>
      </c>
      <c r="S622" t="n">
        <v>2.435</v>
      </c>
      <c r="T622" t="n">
        <v>-1.729</v>
      </c>
      <c r="U622" t="n">
        <v>561509000000</v>
      </c>
    </row>
    <row r="623">
      <c r="A623" t="inlineStr">
        <is>
          <t>Thailand</t>
        </is>
      </c>
      <c r="B623" t="inlineStr">
        <is>
          <t>THA</t>
        </is>
      </c>
      <c r="C623" t="inlineStr">
        <is>
          <t>XCX4.L</t>
        </is>
      </c>
      <c r="D623" t="n">
        <v>2027</v>
      </c>
      <c r="E623" t="inlineStr"/>
      <c r="F623" t="n">
        <v>2.19</v>
      </c>
      <c r="G623" t="n">
        <v>3.402221</v>
      </c>
      <c r="H623" t="n">
        <v>3.402261</v>
      </c>
      <c r="I623" t="inlineStr"/>
      <c r="J623" t="inlineStr">
        <is>
          <t>Thailand|XCX4.L|2027</t>
        </is>
      </c>
      <c r="K623" t="inlineStr">
        <is>
          <t>Thailand|2027</t>
        </is>
      </c>
      <c r="L623" t="inlineStr">
        <is>
          <t>GBp</t>
        </is>
      </c>
      <c r="M623" t="inlineStr"/>
      <c r="N623" t="inlineStr"/>
      <c r="O623" t="inlineStr"/>
      <c r="P623" t="n">
        <v>3.880023498048502e-05</v>
      </c>
      <c r="Q623" t="inlineStr"/>
      <c r="R623" t="n">
        <v>1.15</v>
      </c>
      <c r="S623" t="n">
        <v>2.185</v>
      </c>
      <c r="T623" t="n">
        <v>-1.035</v>
      </c>
      <c r="U623" t="n">
        <v>580613000000</v>
      </c>
    </row>
    <row r="624">
      <c r="A624" t="inlineStr">
        <is>
          <t>Thailand</t>
        </is>
      </c>
      <c r="B624" t="inlineStr">
        <is>
          <t>THA</t>
        </is>
      </c>
      <c r="C624" t="inlineStr">
        <is>
          <t>XCX4.L</t>
        </is>
      </c>
      <c r="D624" t="n">
        <v>2028</v>
      </c>
      <c r="E624" t="inlineStr"/>
      <c r="F624" t="n">
        <v>2.307</v>
      </c>
      <c r="G624" t="n">
        <v>3.854227</v>
      </c>
      <c r="H624" t="n">
        <v>3.854202</v>
      </c>
      <c r="I624" t="inlineStr"/>
      <c r="J624" t="inlineStr">
        <is>
          <t>Thailand|XCX4.L|2028</t>
        </is>
      </c>
      <c r="K624" t="inlineStr">
        <is>
          <t>Thailand|2028</t>
        </is>
      </c>
      <c r="L624" t="inlineStr">
        <is>
          <t>GBp</t>
        </is>
      </c>
      <c r="M624" t="inlineStr"/>
      <c r="N624" t="inlineStr"/>
      <c r="O624" t="inlineStr"/>
      <c r="P624" t="n">
        <v>-2.41480287654916e-05</v>
      </c>
      <c r="Q624" t="inlineStr"/>
      <c r="R624" t="n">
        <v>1.6</v>
      </c>
      <c r="S624" t="n">
        <v>2.206</v>
      </c>
      <c r="T624" t="n">
        <v>-0.6059999999999999</v>
      </c>
      <c r="U624" t="n">
        <v>602991000000</v>
      </c>
    </row>
    <row r="625">
      <c r="A625" t="inlineStr">
        <is>
          <t>Thailand</t>
        </is>
      </c>
      <c r="B625" t="inlineStr">
        <is>
          <t>THA</t>
        </is>
      </c>
      <c r="C625" t="inlineStr">
        <is>
          <t>XCX4.L</t>
        </is>
      </c>
      <c r="D625" t="n">
        <v>2029</v>
      </c>
      <c r="E625" t="inlineStr"/>
      <c r="F625" t="n">
        <v>2.454</v>
      </c>
      <c r="G625" t="n">
        <v>4.101575</v>
      </c>
      <c r="H625" t="n">
        <v>4.101554</v>
      </c>
      <c r="I625" t="inlineStr"/>
      <c r="J625" t="inlineStr">
        <is>
          <t>Thailand|XCX4.L|2029</t>
        </is>
      </c>
      <c r="K625" t="inlineStr">
        <is>
          <t>Thailand|2029</t>
        </is>
      </c>
      <c r="L625" t="inlineStr">
        <is>
          <t>GBp</t>
        </is>
      </c>
      <c r="M625" t="inlineStr"/>
      <c r="N625" t="inlineStr"/>
      <c r="O625" t="inlineStr"/>
      <c r="P625" t="n">
        <v>-2.032509415217376e-05</v>
      </c>
      <c r="Q625" t="inlineStr"/>
      <c r="R625" t="n">
        <v>1.7</v>
      </c>
      <c r="S625" t="n">
        <v>2.203</v>
      </c>
      <c r="T625" t="n">
        <v>-0.5029999999999999</v>
      </c>
      <c r="U625" t="n">
        <v>627723000000</v>
      </c>
    </row>
    <row r="626">
      <c r="A626" t="inlineStr">
        <is>
          <t>Turkey</t>
        </is>
      </c>
      <c r="B626" t="inlineStr">
        <is>
          <t>TUR</t>
        </is>
      </c>
      <c r="C626" t="inlineStr">
        <is>
          <t>TURL.L</t>
        </is>
      </c>
      <c r="D626" t="n">
        <v>2004</v>
      </c>
      <c r="E626" t="inlineStr"/>
      <c r="F626" t="n">
        <v>9.925000000000001</v>
      </c>
      <c r="G626" t="inlineStr"/>
      <c r="H626" t="inlineStr"/>
      <c r="I626" t="inlineStr"/>
      <c r="J626" t="inlineStr">
        <is>
          <t>Turkey|TURL.L|2004</t>
        </is>
      </c>
      <c r="K626" t="inlineStr">
        <is>
          <t>Turkey|2004</t>
        </is>
      </c>
      <c r="L626" t="inlineStr">
        <is>
          <t>GBp</t>
        </is>
      </c>
      <c r="M626" t="inlineStr"/>
      <c r="N626" t="inlineStr"/>
      <c r="O626" t="inlineStr"/>
      <c r="P626" t="inlineStr"/>
      <c r="Q626" t="inlineStr"/>
      <c r="R626" t="n">
        <v>8.599</v>
      </c>
      <c r="S626" t="n">
        <v>2.668</v>
      </c>
      <c r="T626" t="n">
        <v>5.931</v>
      </c>
      <c r="U626" t="n">
        <v>408309000000</v>
      </c>
    </row>
    <row r="627">
      <c r="A627" t="inlineStr">
        <is>
          <t>Turkey</t>
        </is>
      </c>
      <c r="B627" t="inlineStr">
        <is>
          <t>TUR</t>
        </is>
      </c>
      <c r="C627" t="inlineStr">
        <is>
          <t>TURL.L</t>
        </is>
      </c>
      <c r="D627" t="n">
        <v>2005</v>
      </c>
      <c r="E627" t="inlineStr"/>
      <c r="F627" t="n">
        <v>9.112</v>
      </c>
      <c r="G627" t="n">
        <v>16.80674</v>
      </c>
      <c r="H627" t="n">
        <v>24.120213</v>
      </c>
      <c r="I627" t="inlineStr"/>
      <c r="J627" t="inlineStr">
        <is>
          <t>Turkey|TURL.L|2005</t>
        </is>
      </c>
      <c r="K627" t="inlineStr">
        <is>
          <t>Turkey|2005</t>
        </is>
      </c>
      <c r="L627" t="inlineStr">
        <is>
          <t>GBp</t>
        </is>
      </c>
      <c r="M627" t="inlineStr"/>
      <c r="N627" t="inlineStr"/>
      <c r="O627" t="inlineStr"/>
      <c r="P627" t="n">
        <v>6.261173752689908</v>
      </c>
      <c r="Q627" t="inlineStr"/>
      <c r="R627" t="n">
        <v>8.179</v>
      </c>
      <c r="S627" t="n">
        <v>3.366</v>
      </c>
      <c r="T627" t="n">
        <v>4.813000000000001</v>
      </c>
      <c r="U627" t="n">
        <v>506794000000</v>
      </c>
    </row>
    <row r="628">
      <c r="A628" t="inlineStr">
        <is>
          <t>Turkey</t>
        </is>
      </c>
      <c r="B628" t="inlineStr">
        <is>
          <t>TUR</t>
        </is>
      </c>
      <c r="C628" t="inlineStr">
        <is>
          <t>TURL.L</t>
        </is>
      </c>
      <c r="D628" t="n">
        <v>2006</v>
      </c>
      <c r="E628" t="inlineStr"/>
      <c r="F628" t="n">
        <v>7.068</v>
      </c>
      <c r="G628" t="n">
        <v>17.057757</v>
      </c>
      <c r="H628" t="n">
        <v>9.492614</v>
      </c>
      <c r="I628" t="inlineStr"/>
      <c r="J628" t="inlineStr">
        <is>
          <t>Turkey|TURL.L|2006</t>
        </is>
      </c>
      <c r="K628" t="inlineStr">
        <is>
          <t>Turkey|2006</t>
        </is>
      </c>
      <c r="L628" t="inlineStr">
        <is>
          <t>GBp</t>
        </is>
      </c>
      <c r="M628" t="inlineStr"/>
      <c r="N628" t="inlineStr"/>
      <c r="O628" t="inlineStr"/>
      <c r="P628" t="n">
        <v>-6.4627437446645</v>
      </c>
      <c r="Q628" t="inlineStr"/>
      <c r="R628" t="n">
        <v>9.597</v>
      </c>
      <c r="S628" t="n">
        <v>3.222</v>
      </c>
      <c r="T628" t="n">
        <v>6.375</v>
      </c>
      <c r="U628" t="n">
        <v>554902000000</v>
      </c>
    </row>
    <row r="629">
      <c r="A629" t="inlineStr">
        <is>
          <t>Turkey</t>
        </is>
      </c>
      <c r="B629" t="inlineStr">
        <is>
          <t>TUR</t>
        </is>
      </c>
      <c r="C629" t="inlineStr">
        <is>
          <t>TURL.L</t>
        </is>
      </c>
      <c r="D629" t="n">
        <v>2007</v>
      </c>
      <c r="E629" t="inlineStr"/>
      <c r="F629" t="n">
        <v>5.108</v>
      </c>
      <c r="G629" t="n">
        <v>11.676006</v>
      </c>
      <c r="H629" t="n">
        <v>23.789246</v>
      </c>
      <c r="I629" t="inlineStr"/>
      <c r="J629" t="inlineStr">
        <is>
          <t>Turkey|TURL.L|2007</t>
        </is>
      </c>
      <c r="K629" t="inlineStr">
        <is>
          <t>Turkey|2007</t>
        </is>
      </c>
      <c r="L629" t="inlineStr">
        <is>
          <t>GBp</t>
        </is>
      </c>
      <c r="M629" t="inlineStr"/>
      <c r="N629" t="inlineStr"/>
      <c r="O629" t="inlineStr"/>
      <c r="P629" t="n">
        <v>10.84676983464763</v>
      </c>
      <c r="Q629" t="inlineStr"/>
      <c r="R629" t="n">
        <v>8.756</v>
      </c>
      <c r="S629" t="n">
        <v>2.871</v>
      </c>
      <c r="T629" t="n">
        <v>5.885</v>
      </c>
      <c r="U629" t="n">
        <v>686909000000</v>
      </c>
    </row>
    <row r="630">
      <c r="A630" t="inlineStr">
        <is>
          <t>Turkey</t>
        </is>
      </c>
      <c r="B630" t="inlineStr">
        <is>
          <t>TUR</t>
        </is>
      </c>
      <c r="C630" t="inlineStr">
        <is>
          <t>TURL.L</t>
        </is>
      </c>
      <c r="D630" t="n">
        <v>2008</v>
      </c>
      <c r="E630" t="n">
        <v>-58.83915022761761</v>
      </c>
      <c r="F630" t="n">
        <v>0.92</v>
      </c>
      <c r="G630" t="n">
        <v>13.039353</v>
      </c>
      <c r="H630" t="n">
        <v>14.701802</v>
      </c>
      <c r="I630" t="n">
        <v>84.35252706450112</v>
      </c>
      <c r="J630" t="inlineStr">
        <is>
          <t>Turkey|TURL.L|2008</t>
        </is>
      </c>
      <c r="K630" t="inlineStr">
        <is>
          <t>Turkey|2008</t>
        </is>
      </c>
      <c r="L630" t="inlineStr">
        <is>
          <t>GBp</t>
        </is>
      </c>
      <c r="M630" t="n">
        <v>-58.83915022761761</v>
      </c>
      <c r="N630" t="n">
        <v>-26.2666463318202</v>
      </c>
      <c r="O630" t="n">
        <v>-69.65072506450112</v>
      </c>
      <c r="P630" t="n">
        <v>1.470681041729116</v>
      </c>
      <c r="Q630" t="n">
        <v>-70.09059698434669</v>
      </c>
      <c r="R630" t="n">
        <v>10.444</v>
      </c>
      <c r="S630" t="n">
        <v>3.815</v>
      </c>
      <c r="T630" t="n">
        <v>6.629000000000001</v>
      </c>
      <c r="U630" t="n">
        <v>787897000000</v>
      </c>
    </row>
    <row r="631">
      <c r="A631" t="inlineStr">
        <is>
          <t>Turkey</t>
        </is>
      </c>
      <c r="B631" t="inlineStr">
        <is>
          <t>TUR</t>
        </is>
      </c>
      <c r="C631" t="inlineStr">
        <is>
          <t>TURL.L</t>
        </is>
      </c>
      <c r="D631" t="n">
        <v>2009</v>
      </c>
      <c r="E631" t="n">
        <v>92.11000912569136</v>
      </c>
      <c r="F631" t="n">
        <v>-4.883</v>
      </c>
      <c r="G631" t="n">
        <v>0.424981</v>
      </c>
      <c r="H631" t="n">
        <v>-16.723379</v>
      </c>
      <c r="I631" t="n">
        <v>-127.6132291118723</v>
      </c>
      <c r="J631" t="inlineStr">
        <is>
          <t>Turkey|TURL.L|2009</t>
        </is>
      </c>
      <c r="K631" t="inlineStr">
        <is>
          <t>Turkey|2009</t>
        </is>
      </c>
      <c r="L631" t="inlineStr">
        <is>
          <t>GBp</t>
        </is>
      </c>
      <c r="M631" t="n">
        <v>92.11000912569136</v>
      </c>
      <c r="N631" t="n">
        <v>9.775566130910907</v>
      </c>
      <c r="O631" t="n">
        <v>110.8898501118723</v>
      </c>
      <c r="P631" t="n">
        <v>-17.07579115485402</v>
      </c>
      <c r="Q631" t="n">
        <v>154.3163848637874</v>
      </c>
      <c r="R631" t="n">
        <v>6.251</v>
      </c>
      <c r="S631" t="n">
        <v>-0.32</v>
      </c>
      <c r="T631" t="n">
        <v>6.571000000000001</v>
      </c>
      <c r="U631" t="n">
        <v>656134000000</v>
      </c>
    </row>
    <row r="632">
      <c r="A632" t="inlineStr">
        <is>
          <t>Turkey</t>
        </is>
      </c>
      <c r="B632" t="inlineStr">
        <is>
          <t>TUR</t>
        </is>
      </c>
      <c r="C632" t="inlineStr">
        <is>
          <t>TURL.L</t>
        </is>
      </c>
      <c r="D632" t="n">
        <v>2010</v>
      </c>
      <c r="E632" t="n">
        <v>24.94134605873788</v>
      </c>
      <c r="F632" t="n">
        <v>8.542</v>
      </c>
      <c r="G632" t="n">
        <v>16.037138</v>
      </c>
      <c r="H632" t="n">
        <v>19.33919</v>
      </c>
      <c r="I632" t="n">
        <v>-0.2132669604936162</v>
      </c>
      <c r="J632" t="inlineStr">
        <is>
          <t>Turkey|TURL.L|2010</t>
        </is>
      </c>
      <c r="K632" t="inlineStr">
        <is>
          <t>Turkey|2010</t>
        </is>
      </c>
      <c r="L632" t="inlineStr">
        <is>
          <t>GBp</t>
        </is>
      </c>
      <c r="M632" t="n">
        <v>24.94134605873788</v>
      </c>
      <c r="N632" t="n">
        <v>-4.313135137595536</v>
      </c>
      <c r="O632" t="n">
        <v>19.55245696049361</v>
      </c>
      <c r="P632" t="n">
        <v>2.845685138382592</v>
      </c>
      <c r="Q632" t="n">
        <v>16.24450437529923</v>
      </c>
      <c r="R632" t="n">
        <v>8.566000000000001</v>
      </c>
      <c r="S632" t="n">
        <v>1.637</v>
      </c>
      <c r="T632" t="n">
        <v>6.929</v>
      </c>
      <c r="U632" t="n">
        <v>783025000000</v>
      </c>
    </row>
    <row r="633">
      <c r="A633" t="inlineStr">
        <is>
          <t>Turkey</t>
        </is>
      </c>
      <c r="B633" t="inlineStr">
        <is>
          <t>TUR</t>
        </is>
      </c>
      <c r="C633" t="inlineStr">
        <is>
          <t>TURL.L</t>
        </is>
      </c>
      <c r="D633" t="n">
        <v>2011</v>
      </c>
      <c r="E633" t="n">
        <v>-37.68012228318158</v>
      </c>
      <c r="F633" t="n">
        <v>10.98</v>
      </c>
      <c r="G633" t="n">
        <v>20.231912</v>
      </c>
      <c r="H633" t="n">
        <v>7.701031</v>
      </c>
      <c r="I633" t="n">
        <v>46.00753829958047</v>
      </c>
      <c r="J633" t="inlineStr">
        <is>
          <t>Turkey|TURL.L|2011</t>
        </is>
      </c>
      <c r="K633" t="inlineStr">
        <is>
          <t>Turkey|2011</t>
        </is>
      </c>
      <c r="L633" t="inlineStr">
        <is>
          <t>GBp</t>
        </is>
      </c>
      <c r="M633" t="n">
        <v>-37.68012228318158</v>
      </c>
      <c r="N633" t="n">
        <v>-1.005112717398426</v>
      </c>
      <c r="O633" t="n">
        <v>-38.30650729958047</v>
      </c>
      <c r="P633" t="n">
        <v>-10.42225878795484</v>
      </c>
      <c r="Q633" t="n">
        <v>-31.12854614810956</v>
      </c>
      <c r="R633" t="n">
        <v>6.472</v>
      </c>
      <c r="S633" t="n">
        <v>3.14</v>
      </c>
      <c r="T633" t="n">
        <v>3.332</v>
      </c>
      <c r="U633" t="n">
        <v>843326000000</v>
      </c>
    </row>
    <row r="634">
      <c r="A634" t="inlineStr">
        <is>
          <t>Turkey</t>
        </is>
      </c>
      <c r="B634" t="inlineStr">
        <is>
          <t>TUR</t>
        </is>
      </c>
      <c r="C634" t="inlineStr">
        <is>
          <t>TURL.L</t>
        </is>
      </c>
      <c r="D634" t="n">
        <v>2012</v>
      </c>
      <c r="E634" t="n">
        <v>56.1496688796306</v>
      </c>
      <c r="F634" t="n">
        <v>4.808</v>
      </c>
      <c r="G634" t="n">
        <v>12.451617</v>
      </c>
      <c r="H634" t="n">
        <v>4.637708</v>
      </c>
      <c r="I634" t="n">
        <v>-58.0638266509999</v>
      </c>
      <c r="J634" t="inlineStr">
        <is>
          <t>Turkey|TURL.L|2012</t>
        </is>
      </c>
      <c r="K634" t="inlineStr">
        <is>
          <t>Turkey|2012</t>
        </is>
      </c>
      <c r="L634" t="inlineStr">
        <is>
          <t>GBp</t>
        </is>
      </c>
      <c r="M634" t="n">
        <v>56.1496688796306</v>
      </c>
      <c r="N634" t="n">
        <v>4.195888354025179</v>
      </c>
      <c r="O634" t="n">
        <v>62.7015346509999</v>
      </c>
      <c r="P634" t="n">
        <v>-6.948685236953156</v>
      </c>
      <c r="Q634" t="n">
        <v>74.85140867199549</v>
      </c>
      <c r="R634" t="n">
        <v>8.891999999999999</v>
      </c>
      <c r="S634" t="n">
        <v>2.073</v>
      </c>
      <c r="T634" t="n">
        <v>6.818999999999999</v>
      </c>
      <c r="U634" t="n">
        <v>882437000000</v>
      </c>
    </row>
    <row r="635">
      <c r="A635" t="inlineStr">
        <is>
          <t>Turkey</t>
        </is>
      </c>
      <c r="B635" t="inlineStr">
        <is>
          <t>TUR</t>
        </is>
      </c>
      <c r="C635" t="inlineStr">
        <is>
          <t>TURL.L</t>
        </is>
      </c>
      <c r="D635" t="n">
        <v>2013</v>
      </c>
      <c r="E635" t="n">
        <v>-32.40348650544207</v>
      </c>
      <c r="F635" t="n">
        <v>8.488</v>
      </c>
      <c r="G635" t="n">
        <v>15.200475</v>
      </c>
      <c r="H635" t="n">
        <v>9.068068999999999</v>
      </c>
      <c r="I635" t="n">
        <v>40.39445472604369</v>
      </c>
      <c r="J635" t="inlineStr">
        <is>
          <t>Turkey|TURL.L|2013</t>
        </is>
      </c>
      <c r="K635" t="inlineStr">
        <is>
          <t>Turkey|2013</t>
        </is>
      </c>
      <c r="L635" t="inlineStr">
        <is>
          <t>GBp</t>
        </is>
      </c>
      <c r="M635" t="n">
        <v>-32.40348650544207</v>
      </c>
      <c r="N635" t="n">
        <v>1.593426530031161</v>
      </c>
      <c r="O635" t="n">
        <v>-31.32638572604369</v>
      </c>
      <c r="P635" t="n">
        <v>-5.323246720801967</v>
      </c>
      <c r="Q635" t="n">
        <v>-27.46517820331195</v>
      </c>
      <c r="R635" t="n">
        <v>7.493</v>
      </c>
      <c r="S635" t="n">
        <v>1.466</v>
      </c>
      <c r="T635" t="n">
        <v>6.027</v>
      </c>
      <c r="U635" t="n">
        <v>962457000000</v>
      </c>
    </row>
    <row r="636">
      <c r="A636" t="inlineStr">
        <is>
          <t>Turkey</t>
        </is>
      </c>
      <c r="B636" t="inlineStr">
        <is>
          <t>TUR</t>
        </is>
      </c>
      <c r="C636" t="inlineStr">
        <is>
          <t>TURL.L</t>
        </is>
      </c>
      <c r="D636" t="n">
        <v>2014</v>
      </c>
      <c r="E636" t="n">
        <v>36.28111712682482</v>
      </c>
      <c r="F636" t="n">
        <v>4.601</v>
      </c>
      <c r="G636" t="n">
        <v>12.58986</v>
      </c>
      <c r="H636" t="n">
        <v>-1.986582</v>
      </c>
      <c r="I636" t="n">
        <v>-30.08191562801682</v>
      </c>
      <c r="J636" t="inlineStr">
        <is>
          <t>Turkey|TURL.L|2014</t>
        </is>
      </c>
      <c r="K636" t="inlineStr">
        <is>
          <t>Turkey|2014</t>
        </is>
      </c>
      <c r="L636" t="inlineStr">
        <is>
          <t>GBp</t>
        </is>
      </c>
      <c r="M636" t="n">
        <v>36.28111712682482</v>
      </c>
      <c r="N636" t="n">
        <v>-6.006542704804973</v>
      </c>
      <c r="O636" t="n">
        <v>28.09533362801682</v>
      </c>
      <c r="P636" t="n">
        <v>-12.94649625867577</v>
      </c>
      <c r="Q636" t="n">
        <v>47.14552329639326</v>
      </c>
      <c r="R636" t="n">
        <v>8.855</v>
      </c>
      <c r="S636" t="n">
        <v>1.615</v>
      </c>
      <c r="T636" t="n">
        <v>7.24</v>
      </c>
      <c r="U636" t="n">
        <v>943337000000</v>
      </c>
    </row>
    <row r="637">
      <c r="A637" t="inlineStr">
        <is>
          <t>Turkey</t>
        </is>
      </c>
      <c r="B637" t="inlineStr">
        <is>
          <t>TUR</t>
        </is>
      </c>
      <c r="C637" t="inlineStr">
        <is>
          <t>TURL.L</t>
        </is>
      </c>
      <c r="D637" t="n">
        <v>2015</v>
      </c>
      <c r="E637" t="n">
        <v>-25.52255900399854</v>
      </c>
      <c r="F637" t="n">
        <v>5.806</v>
      </c>
      <c r="G637" t="n">
        <v>14.144053</v>
      </c>
      <c r="H637" t="n">
        <v>-7.964598</v>
      </c>
      <c r="I637" t="n">
        <v>21.19905575047673</v>
      </c>
      <c r="J637" t="inlineStr">
        <is>
          <t>Turkey|TURL.L|2015</t>
        </is>
      </c>
      <c r="K637" t="inlineStr">
        <is>
          <t>Turkey|2015</t>
        </is>
      </c>
      <c r="L637" t="inlineStr">
        <is>
          <t>GBp</t>
        </is>
      </c>
      <c r="M637" t="n">
        <v>-25.52255900399854</v>
      </c>
      <c r="N637" t="n">
        <v>-4.888855870697362</v>
      </c>
      <c r="O637" t="n">
        <v>-29.16365375047673</v>
      </c>
      <c r="P637" t="n">
        <v>-19.36907802145148</v>
      </c>
      <c r="Q637" t="n">
        <v>-12.14741874293717</v>
      </c>
      <c r="R637" t="n">
        <v>7.671</v>
      </c>
      <c r="S637" t="n">
        <v>0.121</v>
      </c>
      <c r="T637" t="n">
        <v>7.550000000000001</v>
      </c>
      <c r="U637" t="n">
        <v>868204000000</v>
      </c>
    </row>
    <row r="638">
      <c r="A638" t="inlineStr">
        <is>
          <t>Turkey</t>
        </is>
      </c>
      <c r="B638" t="inlineStr">
        <is>
          <t>TUR</t>
        </is>
      </c>
      <c r="C638" t="inlineStr">
        <is>
          <t>TURL.L</t>
        </is>
      </c>
      <c r="D638" t="n">
        <v>2016</v>
      </c>
      <c r="E638" t="n">
        <v>-0.3158486147618378</v>
      </c>
      <c r="F638" t="n">
        <v>3.324</v>
      </c>
      <c r="G638" t="n">
        <v>11.721414</v>
      </c>
      <c r="H638" t="n">
        <v>0.24591</v>
      </c>
      <c r="I638" t="n">
        <v>17.1349551546567</v>
      </c>
      <c r="J638" t="inlineStr">
        <is>
          <t>Turkey|TURL.L|2016</t>
        </is>
      </c>
      <c r="K638" t="inlineStr">
        <is>
          <t>Turkey|2016</t>
        </is>
      </c>
      <c r="L638" t="inlineStr">
        <is>
          <t>GBp</t>
        </is>
      </c>
      <c r="M638" t="n">
        <v>-0.3158486147618378</v>
      </c>
      <c r="N638" t="n">
        <v>-16.62570861023462</v>
      </c>
      <c r="O638" t="n">
        <v>-16.8890451546567</v>
      </c>
      <c r="P638" t="n">
        <v>-10.2715348796492</v>
      </c>
      <c r="Q638" t="n">
        <v>-7.375040090267426</v>
      </c>
      <c r="R638" t="n">
        <v>7.775</v>
      </c>
      <c r="S638" t="n">
        <v>1.267</v>
      </c>
      <c r="T638" t="n">
        <v>6.508000000000001</v>
      </c>
      <c r="U638" t="n">
        <v>870339000000</v>
      </c>
    </row>
    <row r="639">
      <c r="A639" t="inlineStr">
        <is>
          <t>Turkey</t>
        </is>
      </c>
      <c r="B639" t="inlineStr">
        <is>
          <t>TUR</t>
        </is>
      </c>
      <c r="C639" t="inlineStr">
        <is>
          <t>TURL.L</t>
        </is>
      </c>
      <c r="D639" t="n">
        <v>2017</v>
      </c>
      <c r="E639" t="n">
        <v>23.70318302148371</v>
      </c>
      <c r="F639" t="n">
        <v>7.826</v>
      </c>
      <c r="G639" t="n">
        <v>19.830547</v>
      </c>
      <c r="H639" t="n">
        <v>-0.739137</v>
      </c>
      <c r="I639" t="n">
        <v>-35.37939848930208</v>
      </c>
      <c r="J639" t="inlineStr">
        <is>
          <t>Turkey|TURL.L|2017</t>
        </is>
      </c>
      <c r="K639" t="inlineStr">
        <is>
          <t>Turkey|2017</t>
        </is>
      </c>
      <c r="L639" t="inlineStr">
        <is>
          <t>GBp</t>
        </is>
      </c>
      <c r="M639" t="n">
        <v>23.70318302148371</v>
      </c>
      <c r="N639" t="n">
        <v>8.841388071573641</v>
      </c>
      <c r="O639" t="n">
        <v>34.64026148930208</v>
      </c>
      <c r="P639" t="n">
        <v>-17.16564314442739</v>
      </c>
      <c r="Q639" t="n">
        <v>62.54156680911596</v>
      </c>
      <c r="R639" t="n">
        <v>11.144</v>
      </c>
      <c r="S639" t="n">
        <v>2.131</v>
      </c>
      <c r="T639" t="n">
        <v>9.013</v>
      </c>
      <c r="U639" t="n">
        <v>863906000000</v>
      </c>
    </row>
    <row r="640">
      <c r="A640" t="inlineStr">
        <is>
          <t>Turkey</t>
        </is>
      </c>
      <c r="B640" t="inlineStr">
        <is>
          <t>TUR</t>
        </is>
      </c>
      <c r="C640" t="inlineStr">
        <is>
          <t>TURL.L</t>
        </is>
      </c>
      <c r="D640" t="n">
        <v>2018</v>
      </c>
      <c r="E640" t="n">
        <v>-41.33845213022326</v>
      </c>
      <c r="F640" t="n">
        <v>3.468</v>
      </c>
      <c r="G640" t="n">
        <v>20.781976</v>
      </c>
      <c r="H640" t="n">
        <v>-6.55025</v>
      </c>
      <c r="I640" t="n">
        <v>38.35793578098204</v>
      </c>
      <c r="J640" t="inlineStr">
        <is>
          <t>Turkey|TURL.L|2018</t>
        </is>
      </c>
      <c r="K640" t="inlineStr">
        <is>
          <t>Turkey|2018</t>
        </is>
      </c>
      <c r="L640" t="inlineStr">
        <is>
          <t>GBp</t>
        </is>
      </c>
      <c r="M640" t="n">
        <v>-41.33845213022326</v>
      </c>
      <c r="N640" t="n">
        <v>-6.085304224640065</v>
      </c>
      <c r="O640" t="n">
        <v>-44.90818578098204</v>
      </c>
      <c r="P640" t="n">
        <v>-22.62939105235521</v>
      </c>
      <c r="Q640" t="n">
        <v>-28.79490678909152</v>
      </c>
      <c r="R640" t="n">
        <v>16.332</v>
      </c>
      <c r="S640" t="n">
        <v>2.439</v>
      </c>
      <c r="T640" t="n">
        <v>13.893</v>
      </c>
      <c r="U640" t="n">
        <v>807318000000</v>
      </c>
    </row>
    <row r="641">
      <c r="A641" t="inlineStr">
        <is>
          <t>Turkey</t>
        </is>
      </c>
      <c r="B641" t="inlineStr">
        <is>
          <t>TUR</t>
        </is>
      </c>
      <c r="C641" t="inlineStr">
        <is>
          <t>TURL.L</t>
        </is>
      </c>
      <c r="D641" t="n">
        <v>2019</v>
      </c>
      <c r="E641" t="n">
        <v>-0.8868204404142599</v>
      </c>
      <c r="F641" t="n">
        <v>1.302</v>
      </c>
      <c r="G641" t="n">
        <v>15.646244</v>
      </c>
      <c r="H641" t="n">
        <v>-3.975509</v>
      </c>
      <c r="I641" t="n">
        <v>-6.006446063195659</v>
      </c>
      <c r="J641" t="inlineStr">
        <is>
          <t>Turkey|TURL.L|2019</t>
        </is>
      </c>
      <c r="K641" t="inlineStr">
        <is>
          <t>Turkey|2019</t>
        </is>
      </c>
      <c r="L641" t="inlineStr">
        <is>
          <t>GBp</t>
        </is>
      </c>
      <c r="M641" t="n">
        <v>-0.8868204404142599</v>
      </c>
      <c r="N641" t="n">
        <v>2.94386429390634</v>
      </c>
      <c r="O641" t="n">
        <v>2.030937063195659</v>
      </c>
      <c r="P641" t="n">
        <v>-16.9670475440615</v>
      </c>
      <c r="Q641" t="n">
        <v>22.88005429812754</v>
      </c>
      <c r="R641" t="n">
        <v>15.177</v>
      </c>
      <c r="S641" t="n">
        <v>1.813</v>
      </c>
      <c r="T641" t="n">
        <v>13.364</v>
      </c>
      <c r="U641" t="n">
        <v>775223000000</v>
      </c>
    </row>
    <row r="642">
      <c r="A642" t="inlineStr">
        <is>
          <t>Turkey</t>
        </is>
      </c>
      <c r="B642" t="inlineStr">
        <is>
          <t>TUR</t>
        </is>
      </c>
      <c r="C642" t="inlineStr">
        <is>
          <t>TURL.L</t>
        </is>
      </c>
      <c r="D642" t="n">
        <v>2020</v>
      </c>
      <c r="E642" t="n">
        <v>-14.3073700427641</v>
      </c>
      <c r="F642" t="n">
        <v>1.803</v>
      </c>
      <c r="G642" t="n">
        <v>16.802649</v>
      </c>
      <c r="H642" t="n">
        <v>-5.789044</v>
      </c>
      <c r="I642" t="n">
        <v>6.140185579564416</v>
      </c>
      <c r="J642" t="inlineStr">
        <is>
          <t>Turkey|TURL.L|2020</t>
        </is>
      </c>
      <c r="K642" t="inlineStr">
        <is>
          <t>Turkey|2020</t>
        </is>
      </c>
      <c r="L642" t="inlineStr">
        <is>
          <t>GBp</t>
        </is>
      </c>
      <c r="M642" t="n">
        <v>-14.3073700427641</v>
      </c>
      <c r="N642" t="n">
        <v>2.775198362317122</v>
      </c>
      <c r="O642" t="n">
        <v>-11.92922957956442</v>
      </c>
      <c r="P642" t="n">
        <v>-19.34176401933071</v>
      </c>
      <c r="Q642" t="n">
        <v>9.190052757343704</v>
      </c>
      <c r="R642" t="n">
        <v>12.279</v>
      </c>
      <c r="S642" t="n">
        <v>1.253</v>
      </c>
      <c r="T642" t="n">
        <v>11.026</v>
      </c>
      <c r="U642" t="n">
        <v>730345000000</v>
      </c>
    </row>
    <row r="643">
      <c r="A643" t="inlineStr">
        <is>
          <t>Turkey</t>
        </is>
      </c>
      <c r="B643" t="inlineStr">
        <is>
          <t>TUR</t>
        </is>
      </c>
      <c r="C643" t="inlineStr">
        <is>
          <t>TURL.L</t>
        </is>
      </c>
      <c r="D643" t="n">
        <v>2021</v>
      </c>
      <c r="E643" t="n">
        <v>-26.40840105068237</v>
      </c>
      <c r="F643" t="n">
        <v>11.811</v>
      </c>
      <c r="G643" t="n">
        <v>44.578332</v>
      </c>
      <c r="H643" t="n">
        <v>13.326305</v>
      </c>
      <c r="I643" t="n">
        <v>40.67463304965631</v>
      </c>
      <c r="J643" t="inlineStr">
        <is>
          <t>Turkey|TURL.L|2021</t>
        </is>
      </c>
      <c r="K643" t="inlineStr">
        <is>
          <t>Turkey|2021</t>
        </is>
      </c>
      <c r="L643" t="inlineStr">
        <is>
          <t>GBp</t>
        </is>
      </c>
      <c r="M643" t="n">
        <v>-26.40840105068237</v>
      </c>
      <c r="N643" t="n">
        <v>-1.277220514832489</v>
      </c>
      <c r="O643" t="n">
        <v>-27.34832804965631</v>
      </c>
      <c r="P643" t="n">
        <v>-21.61598275145341</v>
      </c>
      <c r="Q643" t="n">
        <v>-7.313155793005988</v>
      </c>
      <c r="R643" t="n">
        <v>19.596</v>
      </c>
      <c r="S643" t="n">
        <v>4.679</v>
      </c>
      <c r="T643" t="n">
        <v>14.917</v>
      </c>
      <c r="U643" t="n">
        <v>827673000000</v>
      </c>
    </row>
    <row r="644">
      <c r="A644" t="inlineStr">
        <is>
          <t>Turkey</t>
        </is>
      </c>
      <c r="B644" t="inlineStr">
        <is>
          <t>TUR</t>
        </is>
      </c>
      <c r="C644" t="inlineStr">
        <is>
          <t>TURL.L</t>
        </is>
      </c>
      <c r="D644" t="n">
        <v>2022</v>
      </c>
      <c r="E644" t="n">
        <v>109.6554391742339</v>
      </c>
      <c r="F644" t="n">
        <v>5.441</v>
      </c>
      <c r="G644" t="n">
        <v>106.164519</v>
      </c>
      <c r="H644" t="n">
        <v>11.729149</v>
      </c>
      <c r="I644" t="n">
        <v>-75.19744551406782</v>
      </c>
      <c r="J644" t="inlineStr">
        <is>
          <t>Turkey|TURL.L|2022</t>
        </is>
      </c>
      <c r="K644" t="inlineStr">
        <is>
          <t>Turkey|2022</t>
        </is>
      </c>
      <c r="L644" t="inlineStr">
        <is>
          <t>GBp</t>
        </is>
      </c>
      <c r="M644" t="n">
        <v>109.6554391742339</v>
      </c>
      <c r="N644" t="n">
        <v>-10.84104698150823</v>
      </c>
      <c r="O644" t="n">
        <v>86.92659451406782</v>
      </c>
      <c r="P644" t="n">
        <v>-45.80583035725595</v>
      </c>
      <c r="Q644" t="n">
        <v>244.9201191683819</v>
      </c>
      <c r="R644" t="n">
        <v>72.309</v>
      </c>
      <c r="S644" t="n">
        <v>7.993</v>
      </c>
      <c r="T644" t="n">
        <v>64.316</v>
      </c>
      <c r="U644" t="n">
        <v>924752000000</v>
      </c>
    </row>
    <row r="645">
      <c r="A645" t="inlineStr">
        <is>
          <t>Turkey</t>
        </is>
      </c>
      <c r="B645" t="inlineStr">
        <is>
          <t>TUR</t>
        </is>
      </c>
      <c r="C645" t="inlineStr">
        <is>
          <t>TURL.L</t>
        </is>
      </c>
      <c r="D645" t="n">
        <v>2023</v>
      </c>
      <c r="E645" t="n">
        <v>-19.83238917593529</v>
      </c>
      <c r="F645" t="n">
        <v>5.045</v>
      </c>
      <c r="G645" t="n">
        <v>76.769673</v>
      </c>
      <c r="H645" t="n">
        <v>24.713977</v>
      </c>
      <c r="I645" t="n">
        <v>40.48745543990434</v>
      </c>
      <c r="J645" t="inlineStr">
        <is>
          <t>Turkey|TURL.L|2023</t>
        </is>
      </c>
      <c r="K645" t="inlineStr">
        <is>
          <t>Turkey|2023</t>
        </is>
      </c>
      <c r="L645" t="inlineStr">
        <is>
          <t>GBp</t>
        </is>
      </c>
      <c r="M645" t="n">
        <v>-19.83238917593529</v>
      </c>
      <c r="N645" t="n">
        <v>5.06303068571996</v>
      </c>
      <c r="O645" t="n">
        <v>-15.77347843990434</v>
      </c>
      <c r="P645" t="n">
        <v>-29.44831792718424</v>
      </c>
      <c r="Q645" t="n">
        <v>19.38272637237226</v>
      </c>
      <c r="R645" t="n">
        <v>53.859</v>
      </c>
      <c r="S645" t="n">
        <v>4.128</v>
      </c>
      <c r="T645" t="n">
        <v>49.731</v>
      </c>
      <c r="U645" t="n">
        <v>1153295000000</v>
      </c>
    </row>
    <row r="646">
      <c r="A646" t="inlineStr">
        <is>
          <t>Turkey</t>
        </is>
      </c>
      <c r="B646" t="inlineStr">
        <is>
          <t>TUR</t>
        </is>
      </c>
      <c r="C646" t="inlineStr">
        <is>
          <t>TURL.L</t>
        </is>
      </c>
      <c r="D646" t="n">
        <v>2024</v>
      </c>
      <c r="E646" t="n">
        <v>0</v>
      </c>
      <c r="F646" t="n">
        <v>3.328</v>
      </c>
      <c r="G646" t="n">
        <v>64.580319</v>
      </c>
      <c r="H646" t="n">
        <v>17.771342</v>
      </c>
      <c r="I646" t="n">
        <v>19.19239552366492</v>
      </c>
      <c r="J646" t="inlineStr">
        <is>
          <t>Turkey|TURL.L|2024</t>
        </is>
      </c>
      <c r="K646" t="inlineStr">
        <is>
          <t>Turkey|2024</t>
        </is>
      </c>
      <c r="L646" t="inlineStr">
        <is>
          <t>GBp</t>
        </is>
      </c>
      <c r="M646" t="n">
        <v>0</v>
      </c>
      <c r="N646" t="n">
        <v>-1.421053523664917</v>
      </c>
      <c r="O646" t="n">
        <v>-1.421053523664917</v>
      </c>
      <c r="P646" t="n">
        <v>-28.44141808932529</v>
      </c>
      <c r="Q646" t="n">
        <v>37.7597820473712</v>
      </c>
      <c r="R646" t="n">
        <v>58.506</v>
      </c>
      <c r="S646" t="n">
        <v>2.952</v>
      </c>
      <c r="T646" t="n">
        <v>55.554</v>
      </c>
      <c r="U646" t="n">
        <v>1358251000000</v>
      </c>
    </row>
    <row r="647">
      <c r="A647" t="inlineStr">
        <is>
          <t>Turkey</t>
        </is>
      </c>
      <c r="B647" t="inlineStr">
        <is>
          <t>TUR</t>
        </is>
      </c>
      <c r="C647" t="inlineStr">
        <is>
          <t>TURL.L</t>
        </is>
      </c>
      <c r="D647" t="n">
        <v>2025</v>
      </c>
      <c r="E647" t="n">
        <v>0</v>
      </c>
      <c r="F647" t="n">
        <v>3.494</v>
      </c>
      <c r="G647" t="n">
        <v>39.453331</v>
      </c>
      <c r="H647" t="n">
        <v>15.256385</v>
      </c>
      <c r="I647" t="n">
        <v>7.684455444729715</v>
      </c>
      <c r="J647" t="inlineStr">
        <is>
          <t>Turkey|TURL.L|2025</t>
        </is>
      </c>
      <c r="K647" t="inlineStr">
        <is>
          <t>Turkey|2025</t>
        </is>
      </c>
      <c r="L647" t="inlineStr">
        <is>
          <t>GBp</t>
        </is>
      </c>
      <c r="M647" t="n">
        <v>0</v>
      </c>
      <c r="N647" t="n">
        <v>7.571929555270285</v>
      </c>
      <c r="O647" t="n">
        <v>7.571929555270285</v>
      </c>
      <c r="P647" t="n">
        <v>-17.35128607190518</v>
      </c>
      <c r="Q647" t="n">
        <v>30.15560006034566</v>
      </c>
      <c r="R647" t="n">
        <v>34.89</v>
      </c>
      <c r="S647" t="n">
        <v>2.715</v>
      </c>
      <c r="T647" t="n">
        <v>32.175</v>
      </c>
      <c r="U647" t="n">
        <v>1565471000000</v>
      </c>
    </row>
    <row r="648">
      <c r="A648" t="inlineStr">
        <is>
          <t>Turkey</t>
        </is>
      </c>
      <c r="B648" t="inlineStr">
        <is>
          <t>TUR</t>
        </is>
      </c>
      <c r="C648" t="inlineStr">
        <is>
          <t>TURL.L</t>
        </is>
      </c>
      <c r="D648" t="n">
        <v>2026</v>
      </c>
      <c r="E648" t="n">
        <v>0</v>
      </c>
      <c r="F648" t="n">
        <v>3.693</v>
      </c>
      <c r="G648" t="n">
        <v>28.538319</v>
      </c>
      <c r="H648" t="n">
        <v>0.679604</v>
      </c>
      <c r="I648" t="n">
        <v>2.181899021803568</v>
      </c>
      <c r="J648" t="inlineStr">
        <is>
          <t>Turkey|TURL.L|2026</t>
        </is>
      </c>
      <c r="K648" t="inlineStr">
        <is>
          <t>Turkey|2026</t>
        </is>
      </c>
      <c r="L648" t="inlineStr">
        <is>
          <t>GBp</t>
        </is>
      </c>
      <c r="M648" t="n">
        <v>0</v>
      </c>
      <c r="N648" t="n">
        <v>-1.502295021803568</v>
      </c>
      <c r="O648" t="n">
        <v>-1.502295021803568</v>
      </c>
      <c r="P648" t="n">
        <v>-21.67347080086092</v>
      </c>
      <c r="Q648" t="n">
        <v>25.75267407518302</v>
      </c>
      <c r="R648" t="n">
        <v>24.744</v>
      </c>
      <c r="S648" t="n">
        <v>2.435</v>
      </c>
      <c r="T648" t="n">
        <v>22.309</v>
      </c>
      <c r="U648" t="n">
        <v>1576110000000</v>
      </c>
    </row>
    <row r="649">
      <c r="A649" t="inlineStr">
        <is>
          <t>Turkey</t>
        </is>
      </c>
      <c r="B649" t="inlineStr">
        <is>
          <t>TUR</t>
        </is>
      </c>
      <c r="C649" t="inlineStr">
        <is>
          <t>TURL.L</t>
        </is>
      </c>
      <c r="D649" t="n">
        <v>2027</v>
      </c>
      <c r="E649" t="inlineStr"/>
      <c r="F649" t="n">
        <v>3.725</v>
      </c>
      <c r="G649" t="n">
        <v>22.873771</v>
      </c>
      <c r="H649" t="n">
        <v>4.108343</v>
      </c>
      <c r="I649" t="inlineStr"/>
      <c r="J649" t="inlineStr">
        <is>
          <t>Turkey|TURL.L|2027</t>
        </is>
      </c>
      <c r="K649" t="inlineStr">
        <is>
          <t>Turkey|2027</t>
        </is>
      </c>
      <c r="L649" t="inlineStr">
        <is>
          <t>GBp</t>
        </is>
      </c>
      <c r="M649" t="inlineStr"/>
      <c r="N649" t="inlineStr"/>
      <c r="O649" t="inlineStr"/>
      <c r="P649" t="n">
        <v>-15.27211901748565</v>
      </c>
      <c r="Q649" t="inlineStr"/>
      <c r="R649" t="n">
        <v>19.47</v>
      </c>
      <c r="S649" t="n">
        <v>2.185</v>
      </c>
      <c r="T649" t="n">
        <v>17.285</v>
      </c>
      <c r="U649" t="n">
        <v>1640862000000</v>
      </c>
    </row>
    <row r="650">
      <c r="A650" t="inlineStr">
        <is>
          <t>Turkey</t>
        </is>
      </c>
      <c r="B650" t="inlineStr">
        <is>
          <t>TUR</t>
        </is>
      </c>
      <c r="C650" t="inlineStr">
        <is>
          <t>TURL.L</t>
        </is>
      </c>
      <c r="D650" t="n">
        <v>2028</v>
      </c>
      <c r="E650" t="inlineStr"/>
      <c r="F650" t="n">
        <v>3.82</v>
      </c>
      <c r="G650" t="n">
        <v>22.204735</v>
      </c>
      <c r="H650" t="n">
        <v>7.287084</v>
      </c>
      <c r="I650" t="inlineStr"/>
      <c r="J650" t="inlineStr">
        <is>
          <t>Turkey|TURL.L|2028</t>
        </is>
      </c>
      <c r="K650" t="inlineStr">
        <is>
          <t>Turkey|2028</t>
        </is>
      </c>
      <c r="L650" t="inlineStr">
        <is>
          <t>GBp</t>
        </is>
      </c>
      <c r="M650" t="inlineStr"/>
      <c r="N650" t="inlineStr"/>
      <c r="O650" t="inlineStr"/>
      <c r="P650" t="n">
        <v>-12.20709699606487</v>
      </c>
      <c r="Q650" t="inlineStr"/>
      <c r="R650" t="n">
        <v>16.218</v>
      </c>
      <c r="S650" t="n">
        <v>2.206</v>
      </c>
      <c r="T650" t="n">
        <v>14.012</v>
      </c>
      <c r="U650" t="n">
        <v>1760433000000</v>
      </c>
    </row>
    <row r="651">
      <c r="A651" t="inlineStr">
        <is>
          <t>Turkey</t>
        </is>
      </c>
      <c r="B651" t="inlineStr">
        <is>
          <t>TUR</t>
        </is>
      </c>
      <c r="C651" t="inlineStr">
        <is>
          <t>TURL.L</t>
        </is>
      </c>
      <c r="D651" t="n">
        <v>2029</v>
      </c>
      <c r="E651" t="inlineStr"/>
      <c r="F651" t="n">
        <v>3.792</v>
      </c>
      <c r="G651" t="n">
        <v>19.429834</v>
      </c>
      <c r="H651" t="n">
        <v>6.013521</v>
      </c>
      <c r="I651" t="inlineStr"/>
      <c r="J651" t="inlineStr">
        <is>
          <t>Turkey|TURL.L|2029</t>
        </is>
      </c>
      <c r="K651" t="inlineStr">
        <is>
          <t>Turkey|2029</t>
        </is>
      </c>
      <c r="L651" t="inlineStr">
        <is>
          <t>GBp</t>
        </is>
      </c>
      <c r="M651" t="inlineStr"/>
      <c r="N651" t="inlineStr"/>
      <c r="O651" t="inlineStr"/>
      <c r="P651" t="n">
        <v>-11.2336367617882</v>
      </c>
      <c r="Q651" t="inlineStr"/>
      <c r="R651" t="n">
        <v>15.004</v>
      </c>
      <c r="S651" t="n">
        <v>2.203</v>
      </c>
      <c r="T651" t="n">
        <v>12.801</v>
      </c>
      <c r="U651" t="n">
        <v>1866297000000</v>
      </c>
    </row>
    <row r="652">
      <c r="A652" t="inlineStr">
        <is>
          <t>United Kingdom</t>
        </is>
      </c>
      <c r="B652" t="inlineStr">
        <is>
          <t>GBR</t>
        </is>
      </c>
      <c r="C652" t="inlineStr">
        <is>
          <t>CSUK.L</t>
        </is>
      </c>
      <c r="D652" t="n">
        <v>2004</v>
      </c>
      <c r="E652" t="inlineStr"/>
      <c r="F652" t="n">
        <v>2.458</v>
      </c>
      <c r="G652" t="inlineStr"/>
      <c r="H652" t="inlineStr"/>
      <c r="I652" t="inlineStr"/>
      <c r="J652" t="inlineStr">
        <is>
          <t>United Kingdom|CSUK.L|2004</t>
        </is>
      </c>
      <c r="K652" t="inlineStr">
        <is>
          <t>United Kingdom|2004</t>
        </is>
      </c>
      <c r="L652" t="inlineStr">
        <is>
          <t>GBp</t>
        </is>
      </c>
      <c r="M652" t="inlineStr"/>
      <c r="N652" t="inlineStr"/>
      <c r="O652" t="inlineStr"/>
      <c r="P652" t="inlineStr"/>
      <c r="Q652" t="inlineStr"/>
      <c r="R652" t="n">
        <v>1.344</v>
      </c>
      <c r="S652" t="n">
        <v>2.668</v>
      </c>
      <c r="T652" t="n">
        <v>-1.324</v>
      </c>
      <c r="U652" t="n">
        <v>2422619000000</v>
      </c>
    </row>
    <row r="653">
      <c r="A653" t="inlineStr">
        <is>
          <t>United Kingdom</t>
        </is>
      </c>
      <c r="B653" t="inlineStr">
        <is>
          <t>GBR</t>
        </is>
      </c>
      <c r="C653" t="inlineStr">
        <is>
          <t>CSUK.L</t>
        </is>
      </c>
      <c r="D653" t="n">
        <v>2005</v>
      </c>
      <c r="E653" t="inlineStr"/>
      <c r="F653" t="n">
        <v>2.733</v>
      </c>
      <c r="G653" t="n">
        <v>5.754565</v>
      </c>
      <c r="H653" t="n">
        <v>5.094445</v>
      </c>
      <c r="I653" t="inlineStr"/>
      <c r="J653" t="inlineStr">
        <is>
          <t>United Kingdom|CSUK.L|2005</t>
        </is>
      </c>
      <c r="K653" t="inlineStr">
        <is>
          <t>United Kingdom|2005</t>
        </is>
      </c>
      <c r="L653" t="inlineStr">
        <is>
          <t>GBp</t>
        </is>
      </c>
      <c r="M653" t="inlineStr"/>
      <c r="N653" t="inlineStr"/>
      <c r="O653" t="inlineStr"/>
      <c r="P653" t="n">
        <v>-0.6241992951303899</v>
      </c>
      <c r="Q653" t="inlineStr"/>
      <c r="R653" t="n">
        <v>2.057</v>
      </c>
      <c r="S653" t="n">
        <v>3.366</v>
      </c>
      <c r="T653" t="n">
        <v>-1.309</v>
      </c>
      <c r="U653" t="n">
        <v>2546038000000</v>
      </c>
    </row>
    <row r="654">
      <c r="A654" t="inlineStr">
        <is>
          <t>United Kingdom</t>
        </is>
      </c>
      <c r="B654" t="inlineStr">
        <is>
          <t>GBR</t>
        </is>
      </c>
      <c r="C654" t="inlineStr">
        <is>
          <t>CSUK.L</t>
        </is>
      </c>
      <c r="D654" t="n">
        <v>2006</v>
      </c>
      <c r="E654" t="inlineStr"/>
      <c r="F654" t="n">
        <v>2.381</v>
      </c>
      <c r="G654" t="n">
        <v>5.239611</v>
      </c>
      <c r="H654" t="n">
        <v>6.528536</v>
      </c>
      <c r="I654" t="inlineStr"/>
      <c r="J654" t="inlineStr">
        <is>
          <t>United Kingdom|CSUK.L|2006</t>
        </is>
      </c>
      <c r="K654" t="inlineStr">
        <is>
          <t>United Kingdom|2006</t>
        </is>
      </c>
      <c r="L654" t="inlineStr">
        <is>
          <t>GBp</t>
        </is>
      </c>
      <c r="M654" t="inlineStr"/>
      <c r="N654" t="inlineStr"/>
      <c r="O654" t="inlineStr"/>
      <c r="P654" t="n">
        <v>1.22475289001962</v>
      </c>
      <c r="Q654" t="inlineStr"/>
      <c r="R654" t="n">
        <v>2.329</v>
      </c>
      <c r="S654" t="n">
        <v>3.222</v>
      </c>
      <c r="T654" t="n">
        <v>-0.8929999999999998</v>
      </c>
      <c r="U654" t="n">
        <v>2712257000000</v>
      </c>
    </row>
    <row r="655">
      <c r="A655" t="inlineStr">
        <is>
          <t>United Kingdom</t>
        </is>
      </c>
      <c r="B655" t="inlineStr">
        <is>
          <t>GBR</t>
        </is>
      </c>
      <c r="C655" t="inlineStr">
        <is>
          <t>CSUK.L</t>
        </is>
      </c>
      <c r="D655" t="n">
        <v>2007</v>
      </c>
      <c r="E655" t="inlineStr"/>
      <c r="F655" t="n">
        <v>2.625</v>
      </c>
      <c r="G655" t="n">
        <v>4.93187</v>
      </c>
      <c r="H655" t="n">
        <v>13.989751</v>
      </c>
      <c r="I655" t="inlineStr"/>
      <c r="J655" t="inlineStr">
        <is>
          <t>United Kingdom|CSUK.L|2007</t>
        </is>
      </c>
      <c r="K655" t="inlineStr">
        <is>
          <t>United Kingdom|2007</t>
        </is>
      </c>
      <c r="L655" t="inlineStr">
        <is>
          <t>GBp</t>
        </is>
      </c>
      <c r="M655" t="inlineStr"/>
      <c r="N655" t="inlineStr"/>
      <c r="O655" t="inlineStr"/>
      <c r="P655" t="n">
        <v>8.632154376854118</v>
      </c>
      <c r="Q655" t="inlineStr"/>
      <c r="R655" t="n">
        <v>2.323</v>
      </c>
      <c r="S655" t="n">
        <v>2.871</v>
      </c>
      <c r="T655" t="n">
        <v>-0.548</v>
      </c>
      <c r="U655" t="n">
        <v>3091695000000</v>
      </c>
    </row>
    <row r="656">
      <c r="A656" t="inlineStr">
        <is>
          <t>United Kingdom</t>
        </is>
      </c>
      <c r="B656" t="inlineStr">
        <is>
          <t>GBR</t>
        </is>
      </c>
      <c r="C656" t="inlineStr">
        <is>
          <t>CSUK.L</t>
        </is>
      </c>
      <c r="D656" t="n">
        <v>2008</v>
      </c>
      <c r="E656" t="inlineStr"/>
      <c r="F656" t="n">
        <v>-0.249</v>
      </c>
      <c r="G656" t="n">
        <v>3.169871</v>
      </c>
      <c r="H656" t="n">
        <v>-4.247023</v>
      </c>
      <c r="I656" t="inlineStr"/>
      <c r="J656" t="inlineStr">
        <is>
          <t>United Kingdom|CSUK.L|2008</t>
        </is>
      </c>
      <c r="K656" t="inlineStr">
        <is>
          <t>United Kingdom|2008</t>
        </is>
      </c>
      <c r="L656" t="inlineStr">
        <is>
          <t>GBp</t>
        </is>
      </c>
      <c r="M656" t="inlineStr"/>
      <c r="N656" t="n">
        <v>-26.2666463318202</v>
      </c>
      <c r="O656" t="inlineStr"/>
      <c r="P656" t="n">
        <v>-7.189011658239219</v>
      </c>
      <c r="Q656" t="inlineStr"/>
      <c r="R656" t="n">
        <v>3.602</v>
      </c>
      <c r="S656" t="n">
        <v>3.815</v>
      </c>
      <c r="T656" t="n">
        <v>-0.2130000000000001</v>
      </c>
      <c r="U656" t="n">
        <v>2960390000000</v>
      </c>
    </row>
    <row r="657">
      <c r="A657" t="inlineStr">
        <is>
          <t>United Kingdom</t>
        </is>
      </c>
      <c r="B657" t="inlineStr">
        <is>
          <t>GBR</t>
        </is>
      </c>
      <c r="C657" t="inlineStr">
        <is>
          <t>CSUK.L</t>
        </is>
      </c>
      <c r="D657" t="n">
        <v>2009</v>
      </c>
      <c r="E657" t="inlineStr"/>
      <c r="F657" t="n">
        <v>-4.621</v>
      </c>
      <c r="G657" t="n">
        <v>-2.811119</v>
      </c>
      <c r="H657" t="n">
        <v>-18.204156</v>
      </c>
      <c r="I657" t="inlineStr"/>
      <c r="J657" t="inlineStr">
        <is>
          <t>United Kingdom|CSUK.L|2009</t>
        </is>
      </c>
      <c r="K657" t="inlineStr">
        <is>
          <t>United Kingdom|2009</t>
        </is>
      </c>
      <c r="L657" t="inlineStr">
        <is>
          <t>GBp</t>
        </is>
      </c>
      <c r="M657" t="inlineStr"/>
      <c r="N657" t="n">
        <v>9.775566130910907</v>
      </c>
      <c r="O657" t="inlineStr"/>
      <c r="P657" t="n">
        <v>-15.83826871238773</v>
      </c>
      <c r="Q657" t="inlineStr"/>
      <c r="R657" t="n">
        <v>2.165</v>
      </c>
      <c r="S657" t="n">
        <v>-0.32</v>
      </c>
      <c r="T657" t="n">
        <v>2.485</v>
      </c>
      <c r="U657" t="n">
        <v>2421476000000</v>
      </c>
    </row>
    <row r="658">
      <c r="A658" t="inlineStr">
        <is>
          <t>United Kingdom</t>
        </is>
      </c>
      <c r="B658" t="inlineStr">
        <is>
          <t>GBR</t>
        </is>
      </c>
      <c r="C658" t="inlineStr">
        <is>
          <t>CSUK.L</t>
        </is>
      </c>
      <c r="D658" t="n">
        <v>2010</v>
      </c>
      <c r="E658" t="n">
        <v>6.115914185078442</v>
      </c>
      <c r="F658" t="n">
        <v>2.233</v>
      </c>
      <c r="G658" t="n">
        <v>3.857885</v>
      </c>
      <c r="H658" t="n">
        <v>2.744111</v>
      </c>
      <c r="I658" t="n">
        <v>1.205119596218913</v>
      </c>
      <c r="J658" t="inlineStr">
        <is>
          <t>United Kingdom|CSUK.L|2010</t>
        </is>
      </c>
      <c r="K658" t="inlineStr">
        <is>
          <t>United Kingdom|2010</t>
        </is>
      </c>
      <c r="L658" t="inlineStr">
        <is>
          <t>GBp</t>
        </is>
      </c>
      <c r="M658" t="n">
        <v>6.115914185078442</v>
      </c>
      <c r="N658" t="n">
        <v>-4.313135137595536</v>
      </c>
      <c r="O658" t="n">
        <v>1.538991403781087</v>
      </c>
      <c r="P658" t="n">
        <v>-1.072401536791401</v>
      </c>
      <c r="Q658" t="n">
        <v>2.639701136122974</v>
      </c>
      <c r="R658" t="n">
        <v>3.298</v>
      </c>
      <c r="S658" t="n">
        <v>1.637</v>
      </c>
      <c r="T658" t="n">
        <v>1.661</v>
      </c>
      <c r="U658" t="n">
        <v>2487924000000</v>
      </c>
    </row>
    <row r="659">
      <c r="A659" t="inlineStr">
        <is>
          <t>United Kingdom</t>
        </is>
      </c>
      <c r="B659" t="inlineStr">
        <is>
          <t>GBR</t>
        </is>
      </c>
      <c r="C659" t="inlineStr">
        <is>
          <t>CSUK.L</t>
        </is>
      </c>
      <c r="D659" t="n">
        <v>2011</v>
      </c>
      <c r="E659" t="n">
        <v>-1.554013277006638</v>
      </c>
      <c r="F659" t="n">
        <v>1.138</v>
      </c>
      <c r="G659" t="n">
        <v>3.359355</v>
      </c>
      <c r="H659" t="n">
        <v>7.106125</v>
      </c>
      <c r="I659" t="n">
        <v>9.64963140932781</v>
      </c>
      <c r="J659" t="inlineStr">
        <is>
          <t>United Kingdom|CSUK.L|2011</t>
        </is>
      </c>
      <c r="K659" t="inlineStr">
        <is>
          <t>United Kingdom|2011</t>
        </is>
      </c>
      <c r="L659" t="inlineStr">
        <is>
          <t>GBp</t>
        </is>
      </c>
      <c r="M659" t="n">
        <v>-1.554013277006638</v>
      </c>
      <c r="N659" t="n">
        <v>-1.005112717398426</v>
      </c>
      <c r="O659" t="n">
        <v>-2.543506409327811</v>
      </c>
      <c r="P659" t="n">
        <v>3.624994361819756</v>
      </c>
      <c r="Q659" t="n">
        <v>-5.952715181445001</v>
      </c>
      <c r="R659" t="n">
        <v>4.464</v>
      </c>
      <c r="S659" t="n">
        <v>3.14</v>
      </c>
      <c r="T659" t="n">
        <v>1.324</v>
      </c>
      <c r="U659" t="n">
        <v>2664719000000</v>
      </c>
    </row>
    <row r="660">
      <c r="A660" t="inlineStr">
        <is>
          <t>United Kingdom</t>
        </is>
      </c>
      <c r="B660" t="inlineStr">
        <is>
          <t>GBR</t>
        </is>
      </c>
      <c r="C660" t="inlineStr">
        <is>
          <t>CSUK.L</t>
        </is>
      </c>
      <c r="D660" t="n">
        <v>2012</v>
      </c>
      <c r="E660" t="n">
        <v>6.82606728013273</v>
      </c>
      <c r="F660" t="n">
        <v>1.509</v>
      </c>
      <c r="G660" t="n">
        <v>3.075022</v>
      </c>
      <c r="H660" t="n">
        <v>1.608125</v>
      </c>
      <c r="I660" t="n">
        <v>-9.700244796202933</v>
      </c>
      <c r="J660" t="inlineStr">
        <is>
          <t>United Kingdom|CSUK.L|2012</t>
        </is>
      </c>
      <c r="K660" t="inlineStr">
        <is>
          <t>United Kingdom|2012</t>
        </is>
      </c>
      <c r="L660" t="inlineStr">
        <is>
          <t>GBp</t>
        </is>
      </c>
      <c r="M660" t="n">
        <v>6.82606728013273</v>
      </c>
      <c r="N660" t="n">
        <v>4.195888354025179</v>
      </c>
      <c r="O660" t="n">
        <v>11.30836979620293</v>
      </c>
      <c r="P660" t="n">
        <v>-1.423135253580243</v>
      </c>
      <c r="Q660" t="n">
        <v>12.91530734167072</v>
      </c>
      <c r="R660" t="n">
        <v>2.828</v>
      </c>
      <c r="S660" t="n">
        <v>2.073</v>
      </c>
      <c r="T660" t="n">
        <v>0.7549999999999999</v>
      </c>
      <c r="U660" t="n">
        <v>2707571000000</v>
      </c>
    </row>
    <row r="661">
      <c r="A661" t="inlineStr">
        <is>
          <t>United Kingdom</t>
        </is>
      </c>
      <c r="B661" t="inlineStr">
        <is>
          <t>GBR</t>
        </is>
      </c>
      <c r="C661" t="inlineStr">
        <is>
          <t>CSUK.L</t>
        </is>
      </c>
      <c r="D661" t="n">
        <v>2013</v>
      </c>
      <c r="E661" t="n">
        <v>15.81270257223639</v>
      </c>
      <c r="F661" t="n">
        <v>1.8</v>
      </c>
      <c r="G661" t="n">
        <v>3.947331</v>
      </c>
      <c r="H661" t="n">
        <v>2.921216</v>
      </c>
      <c r="I661" t="n">
        <v>-14.73687690016849</v>
      </c>
      <c r="J661" t="inlineStr">
        <is>
          <t>United Kingdom|CSUK.L|2013</t>
        </is>
      </c>
      <c r="K661" t="inlineStr">
        <is>
          <t>United Kingdom|2013</t>
        </is>
      </c>
      <c r="L661" t="inlineStr">
        <is>
          <t>GBp</t>
        </is>
      </c>
      <c r="M661" t="n">
        <v>15.81270257223639</v>
      </c>
      <c r="N661" t="n">
        <v>1.593426530031161</v>
      </c>
      <c r="O661" t="n">
        <v>17.65809290016849</v>
      </c>
      <c r="P661" t="n">
        <v>-0.9871486741590441</v>
      </c>
      <c r="Q661" t="n">
        <v>18.83113285261122</v>
      </c>
      <c r="R661" t="n">
        <v>2.565</v>
      </c>
      <c r="S661" t="n">
        <v>1.466</v>
      </c>
      <c r="T661" t="n">
        <v>1.099</v>
      </c>
      <c r="U661" t="n">
        <v>2786665000000</v>
      </c>
    </row>
    <row r="662">
      <c r="A662" t="inlineStr">
        <is>
          <t>United Kingdom</t>
        </is>
      </c>
      <c r="B662" t="inlineStr">
        <is>
          <t>GBR</t>
        </is>
      </c>
      <c r="C662" t="inlineStr">
        <is>
          <t>CSUK.L</t>
        </is>
      </c>
      <c r="D662" t="n">
        <v>2014</v>
      </c>
      <c r="E662" t="n">
        <v>0.4123095309232161</v>
      </c>
      <c r="F662" t="n">
        <v>3.195</v>
      </c>
      <c r="G662" t="n">
        <v>4.555674</v>
      </c>
      <c r="H662" t="n">
        <v>10.034898</v>
      </c>
      <c r="I662" t="n">
        <v>15.65389672193264</v>
      </c>
      <c r="J662" t="inlineStr">
        <is>
          <t>United Kingdom|CSUK.L|2014</t>
        </is>
      </c>
      <c r="K662" t="inlineStr">
        <is>
          <t>United Kingdom|2014</t>
        </is>
      </c>
      <c r="L662" t="inlineStr">
        <is>
          <t>GBp</t>
        </is>
      </c>
      <c r="M662" t="n">
        <v>0.4123095309232161</v>
      </c>
      <c r="N662" t="n">
        <v>-6.006542704804973</v>
      </c>
      <c r="O662" t="n">
        <v>-5.618998721932645</v>
      </c>
      <c r="P662" t="n">
        <v>5.240484932161871</v>
      </c>
      <c r="Q662" t="n">
        <v>-10.3187320555341</v>
      </c>
      <c r="R662" t="n">
        <v>1.461</v>
      </c>
      <c r="S662" t="n">
        <v>1.615</v>
      </c>
      <c r="T662" t="n">
        <v>-0.1539999999999999</v>
      </c>
      <c r="U662" t="n">
        <v>3066304000000</v>
      </c>
    </row>
    <row r="663">
      <c r="A663" t="inlineStr">
        <is>
          <t>United Kingdom</t>
        </is>
      </c>
      <c r="B663" t="inlineStr">
        <is>
          <t>GBR</t>
        </is>
      </c>
      <c r="C663" t="inlineStr">
        <is>
          <t>CSUK.L</t>
        </is>
      </c>
      <c r="D663" t="n">
        <v>2015</v>
      </c>
      <c r="E663" t="n">
        <v>-2.0339794209141</v>
      </c>
      <c r="F663" t="n">
        <v>2.223</v>
      </c>
      <c r="G663" t="n">
        <v>2.895925</v>
      </c>
      <c r="H663" t="n">
        <v>-4.492249</v>
      </c>
      <c r="I663" t="n">
        <v>2.331147969283324</v>
      </c>
      <c r="J663" t="inlineStr">
        <is>
          <t>United Kingdom|CSUK.L|2015</t>
        </is>
      </c>
      <c r="K663" t="inlineStr">
        <is>
          <t>United Kingdom|2015</t>
        </is>
      </c>
      <c r="L663" t="inlineStr">
        <is>
          <t>GBp</t>
        </is>
      </c>
      <c r="M663" t="n">
        <v>-2.0339794209141</v>
      </c>
      <c r="N663" t="n">
        <v>-4.888855870697362</v>
      </c>
      <c r="O663" t="n">
        <v>-6.823396969283325</v>
      </c>
      <c r="P663" t="n">
        <v>-7.180238889164936</v>
      </c>
      <c r="Q663" t="n">
        <v>0.3844460658065207</v>
      </c>
      <c r="R663" t="n">
        <v>0.04</v>
      </c>
      <c r="S663" t="n">
        <v>0.121</v>
      </c>
      <c r="T663" t="n">
        <v>-0.08099999999999999</v>
      </c>
      <c r="U663" t="n">
        <v>2928558000000</v>
      </c>
    </row>
    <row r="664">
      <c r="A664" t="inlineStr">
        <is>
          <t>United Kingdom</t>
        </is>
      </c>
      <c r="B664" t="inlineStr">
        <is>
          <t>GBR</t>
        </is>
      </c>
      <c r="C664" t="inlineStr">
        <is>
          <t>CSUK.L</t>
        </is>
      </c>
      <c r="D664" t="n">
        <v>2016</v>
      </c>
      <c r="E664" t="n">
        <v>21.43933685003767</v>
      </c>
      <c r="F664" t="n">
        <v>1.922</v>
      </c>
      <c r="G664" t="n">
        <v>3.923607</v>
      </c>
      <c r="H664" t="n">
        <v>-7.835665</v>
      </c>
      <c r="I664" t="n">
        <v>-9.084851567149119</v>
      </c>
      <c r="J664" t="inlineStr">
        <is>
          <t>United Kingdom|CSUK.L|2016</t>
        </is>
      </c>
      <c r="K664" t="inlineStr">
        <is>
          <t>United Kingdom|2016</t>
        </is>
      </c>
      <c r="L664" t="inlineStr">
        <is>
          <t>GBp</t>
        </is>
      </c>
      <c r="M664" t="n">
        <v>21.43933685003767</v>
      </c>
      <c r="N664" t="n">
        <v>-16.62570861023462</v>
      </c>
      <c r="O664" t="n">
        <v>1.249186567149119</v>
      </c>
      <c r="P664" t="n">
        <v>-11.31530388385849</v>
      </c>
      <c r="Q664" t="n">
        <v>14.16759711794371</v>
      </c>
      <c r="R664" t="n">
        <v>0.66</v>
      </c>
      <c r="S664" t="n">
        <v>1.267</v>
      </c>
      <c r="T664" t="n">
        <v>-0.6069999999999999</v>
      </c>
      <c r="U664" t="n">
        <v>2699086000000</v>
      </c>
    </row>
    <row r="665">
      <c r="A665" t="inlineStr">
        <is>
          <t>United Kingdom</t>
        </is>
      </c>
      <c r="B665" t="inlineStr">
        <is>
          <t>GBR</t>
        </is>
      </c>
      <c r="C665" t="inlineStr">
        <is>
          <t>CSUK.L</t>
        </is>
      </c>
      <c r="D665" t="n">
        <v>2017</v>
      </c>
      <c r="E665" t="n">
        <v>10.78797808611951</v>
      </c>
      <c r="F665" t="n">
        <v>2.657</v>
      </c>
      <c r="G665" t="n">
        <v>4.560903</v>
      </c>
      <c r="H665" t="n">
        <v>-0.618802</v>
      </c>
      <c r="I665" t="n">
        <v>-21.20197516536329</v>
      </c>
      <c r="J665" t="inlineStr">
        <is>
          <t>United Kingdom|CSUK.L|2017</t>
        </is>
      </c>
      <c r="K665" t="inlineStr">
        <is>
          <t>United Kingdom|2017</t>
        </is>
      </c>
      <c r="L665" t="inlineStr">
        <is>
          <t>GBp</t>
        </is>
      </c>
      <c r="M665" t="n">
        <v>10.78797808611951</v>
      </c>
      <c r="N665" t="n">
        <v>8.841388071573641</v>
      </c>
      <c r="O665" t="n">
        <v>20.58317316536329</v>
      </c>
      <c r="P665" t="n">
        <v>-4.953768650015422</v>
      </c>
      <c r="Q665" t="n">
        <v>26.86791622631006</v>
      </c>
      <c r="R665" t="n">
        <v>2.683</v>
      </c>
      <c r="S665" t="n">
        <v>2.131</v>
      </c>
      <c r="T665" t="n">
        <v>0.552</v>
      </c>
      <c r="U665" t="n">
        <v>2682384000000</v>
      </c>
    </row>
    <row r="666">
      <c r="A666" t="inlineStr">
        <is>
          <t>United Kingdom</t>
        </is>
      </c>
      <c r="B666" t="inlineStr">
        <is>
          <t>GBR</t>
        </is>
      </c>
      <c r="C666" t="inlineStr">
        <is>
          <t>CSUK.L</t>
        </is>
      </c>
      <c r="D666" t="n">
        <v>2018</v>
      </c>
      <c r="E666" t="n">
        <v>-8.762214983713356</v>
      </c>
      <c r="F666" t="n">
        <v>1.405</v>
      </c>
      <c r="G666" t="n">
        <v>3.352826</v>
      </c>
      <c r="H666" t="n">
        <v>7.181671</v>
      </c>
      <c r="I666" t="n">
        <v>21.49598276977746</v>
      </c>
      <c r="J666" t="inlineStr">
        <is>
          <t>United Kingdom|CSUK.L|2018</t>
        </is>
      </c>
      <c r="K666" t="inlineStr">
        <is>
          <t>United Kingdom|2018</t>
        </is>
      </c>
      <c r="L666" t="inlineStr">
        <is>
          <t>GBp</t>
        </is>
      </c>
      <c r="M666" t="n">
        <v>-8.762214983713356</v>
      </c>
      <c r="N666" t="n">
        <v>-6.085304224640065</v>
      </c>
      <c r="O666" t="n">
        <v>-14.31431176977746</v>
      </c>
      <c r="P666" t="n">
        <v>3.704635156519487</v>
      </c>
      <c r="Q666" t="n">
        <v>-17.37525704526253</v>
      </c>
      <c r="R666" t="n">
        <v>2.478</v>
      </c>
      <c r="S666" t="n">
        <v>2.439</v>
      </c>
      <c r="T666" t="n">
        <v>0.03900000000000015</v>
      </c>
      <c r="U666" t="n">
        <v>2875024000000</v>
      </c>
    </row>
    <row r="667">
      <c r="A667" t="inlineStr">
        <is>
          <t>United Kingdom</t>
        </is>
      </c>
      <c r="B667" t="inlineStr">
        <is>
          <t>GBR</t>
        </is>
      </c>
      <c r="C667" t="inlineStr">
        <is>
          <t>CSUK.L</t>
        </is>
      </c>
      <c r="D667" t="n">
        <v>2019</v>
      </c>
      <c r="E667" t="n">
        <v>16.07315706352846</v>
      </c>
      <c r="F667" t="n">
        <v>1.624</v>
      </c>
      <c r="G667" t="n">
        <v>3.792076</v>
      </c>
      <c r="H667" t="n">
        <v>-0.763472</v>
      </c>
      <c r="I667" t="n">
        <v>-20.25366528913149</v>
      </c>
      <c r="J667" t="inlineStr">
        <is>
          <t>United Kingdom|CSUK.L|2019</t>
        </is>
      </c>
      <c r="K667" t="inlineStr">
        <is>
          <t>United Kingdom|2019</t>
        </is>
      </c>
      <c r="L667" t="inlineStr">
        <is>
          <t>GBp</t>
        </is>
      </c>
      <c r="M667" t="n">
        <v>16.07315706352846</v>
      </c>
      <c r="N667" t="n">
        <v>2.94386429390634</v>
      </c>
      <c r="O667" t="n">
        <v>19.49019328913149</v>
      </c>
      <c r="P667" t="n">
        <v>-4.389109372013511</v>
      </c>
      <c r="Q667" t="n">
        <v>24.97550488684104</v>
      </c>
      <c r="R667" t="n">
        <v>1.791</v>
      </c>
      <c r="S667" t="n">
        <v>1.813</v>
      </c>
      <c r="T667" t="n">
        <v>-0.02200000000000002</v>
      </c>
      <c r="U667" t="n">
        <v>2853074000000</v>
      </c>
    </row>
    <row r="668">
      <c r="A668" t="inlineStr">
        <is>
          <t>United Kingdom</t>
        </is>
      </c>
      <c r="B668" t="inlineStr">
        <is>
          <t>GBR</t>
        </is>
      </c>
      <c r="C668" t="inlineStr">
        <is>
          <t>CSUK.L</t>
        </is>
      </c>
      <c r="D668" t="n">
        <v>2020</v>
      </c>
      <c r="E668" t="n">
        <v>-13.76937815711548</v>
      </c>
      <c r="F668" t="n">
        <v>-10.297</v>
      </c>
      <c r="G668" t="n">
        <v>-5.838837</v>
      </c>
      <c r="H668" t="n">
        <v>-5.41062</v>
      </c>
      <c r="I668" t="n">
        <v>5.965687351915872</v>
      </c>
      <c r="J668" t="inlineStr">
        <is>
          <t>United Kingdom|CSUK.L|2020</t>
        </is>
      </c>
      <c r="K668" t="inlineStr">
        <is>
          <t>United Kingdom|2020</t>
        </is>
      </c>
      <c r="L668" t="inlineStr">
        <is>
          <t>GBp</t>
        </is>
      </c>
      <c r="M668" t="n">
        <v>-13.76937815711548</v>
      </c>
      <c r="N668" t="n">
        <v>2.775198362317122</v>
      </c>
      <c r="O668" t="n">
        <v>-11.37630735191587</v>
      </c>
      <c r="P668" t="n">
        <v>0.4547697339148282</v>
      </c>
      <c r="Q668" t="n">
        <v>-11.77751650535751</v>
      </c>
      <c r="R668" t="n">
        <v>0.851</v>
      </c>
      <c r="S668" t="n">
        <v>1.253</v>
      </c>
      <c r="T668" t="n">
        <v>-0.4019999999999999</v>
      </c>
      <c r="U668" t="n">
        <v>2698705000000</v>
      </c>
    </row>
    <row r="669">
      <c r="A669" t="inlineStr">
        <is>
          <t>United Kingdom</t>
        </is>
      </c>
      <c r="B669" t="inlineStr">
        <is>
          <t>GBR</t>
        </is>
      </c>
      <c r="C669" t="inlineStr">
        <is>
          <t>CSUK.L</t>
        </is>
      </c>
      <c r="D669" t="n">
        <v>2021</v>
      </c>
      <c r="E669" t="n">
        <v>16.31212723658053</v>
      </c>
      <c r="F669" t="n">
        <v>8.576000000000001</v>
      </c>
      <c r="G669" t="n">
        <v>8.648215</v>
      </c>
      <c r="H669" t="n">
        <v>16.503249</v>
      </c>
      <c r="I669" t="n">
        <v>1.676684113723152</v>
      </c>
      <c r="J669" t="inlineStr">
        <is>
          <t>United Kingdom|CSUK.L|2021</t>
        </is>
      </c>
      <c r="K669" t="inlineStr">
        <is>
          <t>United Kingdom|2021</t>
        </is>
      </c>
      <c r="L669" t="inlineStr">
        <is>
          <t>GBp</t>
        </is>
      </c>
      <c r="M669" t="n">
        <v>16.31212723658053</v>
      </c>
      <c r="N669" t="n">
        <v>-1.277220514832489</v>
      </c>
      <c r="O669" t="n">
        <v>14.82656488627685</v>
      </c>
      <c r="P669" t="n">
        <v>7.229785929884969</v>
      </c>
      <c r="Q669" t="n">
        <v>7.084579056568518</v>
      </c>
      <c r="R669" t="n">
        <v>2.588</v>
      </c>
      <c r="S669" t="n">
        <v>4.679</v>
      </c>
      <c r="T669" t="n">
        <v>-2.091</v>
      </c>
      <c r="U669" t="n">
        <v>3144079000000</v>
      </c>
    </row>
    <row r="670">
      <c r="A670" t="inlineStr">
        <is>
          <t>United Kingdom</t>
        </is>
      </c>
      <c r="B670" t="inlineStr">
        <is>
          <t>GBR</t>
        </is>
      </c>
      <c r="C670" t="inlineStr">
        <is>
          <t>CSUK.L</t>
        </is>
      </c>
      <c r="D670" t="n">
        <v>2022</v>
      </c>
      <c r="E670" t="n">
        <v>5.392692146157074</v>
      </c>
      <c r="F670" t="n">
        <v>4.839</v>
      </c>
      <c r="G670" t="n">
        <v>10.546425</v>
      </c>
      <c r="H670" t="n">
        <v>-0.593974</v>
      </c>
      <c r="I670" t="n">
        <v>5.43900512448415</v>
      </c>
      <c r="J670" t="inlineStr">
        <is>
          <t>United Kingdom|CSUK.L|2022</t>
        </is>
      </c>
      <c r="K670" t="inlineStr">
        <is>
          <t>United Kingdom|2022</t>
        </is>
      </c>
      <c r="L670" t="inlineStr">
        <is>
          <t>GBp</t>
        </is>
      </c>
      <c r="M670" t="n">
        <v>5.392692146157074</v>
      </c>
      <c r="N670" t="n">
        <v>-10.84104698150823</v>
      </c>
      <c r="O670" t="n">
        <v>-6.03297912448415</v>
      </c>
      <c r="P670" t="n">
        <v>-10.07757486930515</v>
      </c>
      <c r="Q670" t="n">
        <v>4.497872181430296</v>
      </c>
      <c r="R670" t="n">
        <v>9.067</v>
      </c>
      <c r="S670" t="n">
        <v>7.993</v>
      </c>
      <c r="T670" t="n">
        <v>1.074</v>
      </c>
      <c r="U670" t="n">
        <v>3125404000000</v>
      </c>
    </row>
    <row r="671">
      <c r="A671" t="inlineStr">
        <is>
          <t>United Kingdom</t>
        </is>
      </c>
      <c r="B671" t="inlineStr">
        <is>
          <t>GBR</t>
        </is>
      </c>
      <c r="C671" t="inlineStr">
        <is>
          <t>CSUK.L</t>
        </is>
      </c>
      <c r="D671" t="n">
        <v>2023</v>
      </c>
      <c r="E671" t="n">
        <v>5.633026077365488</v>
      </c>
      <c r="F671" t="n">
        <v>0.397</v>
      </c>
      <c r="G671" t="n">
        <v>7.312973</v>
      </c>
      <c r="H671" t="n">
        <v>7.861832</v>
      </c>
      <c r="I671" t="n">
        <v>-3.119426601917077</v>
      </c>
      <c r="J671" t="inlineStr">
        <is>
          <t>United Kingdom|CSUK.L|2023</t>
        </is>
      </c>
      <c r="K671" t="inlineStr">
        <is>
          <t>United Kingdom|2023</t>
        </is>
      </c>
      <c r="L671" t="inlineStr">
        <is>
          <t>GBp</t>
        </is>
      </c>
      <c r="M671" t="n">
        <v>5.633026077365488</v>
      </c>
      <c r="N671" t="n">
        <v>5.06303068571996</v>
      </c>
      <c r="O671" t="n">
        <v>10.98125860191708</v>
      </c>
      <c r="P671" t="n">
        <v>0.5114558918467793</v>
      </c>
      <c r="Q671" t="n">
        <v>10.41652677017841</v>
      </c>
      <c r="R671" t="n">
        <v>7.303</v>
      </c>
      <c r="S671" t="n">
        <v>4.128</v>
      </c>
      <c r="T671" t="n">
        <v>3.175</v>
      </c>
      <c r="U671" t="n">
        <v>3371118000000</v>
      </c>
    </row>
    <row r="672">
      <c r="A672" t="inlineStr">
        <is>
          <t>United Kingdom</t>
        </is>
      </c>
      <c r="B672" t="inlineStr">
        <is>
          <t>GBR</t>
        </is>
      </c>
      <c r="C672" t="inlineStr">
        <is>
          <t>CSUK.L</t>
        </is>
      </c>
      <c r="D672" t="n">
        <v>2024</v>
      </c>
      <c r="E672" t="n">
        <v>8.961349052380241</v>
      </c>
      <c r="F672" t="n">
        <v>1.101</v>
      </c>
      <c r="G672" t="n">
        <v>5.156564</v>
      </c>
      <c r="H672" t="n">
        <v>8.113569</v>
      </c>
      <c r="I672" t="n">
        <v>0.7006190377614425</v>
      </c>
      <c r="J672" t="inlineStr">
        <is>
          <t>United Kingdom|CSUK.L|2024</t>
        </is>
      </c>
      <c r="K672" t="inlineStr">
        <is>
          <t>United Kingdom|2024</t>
        </is>
      </c>
      <c r="L672" t="inlineStr">
        <is>
          <t>GBp</t>
        </is>
      </c>
      <c r="M672" t="n">
        <v>8.961349052380241</v>
      </c>
      <c r="N672" t="n">
        <v>-1.421053523664917</v>
      </c>
      <c r="O672" t="n">
        <v>7.412949962238558</v>
      </c>
      <c r="P672" t="n">
        <v>2.812002352695675</v>
      </c>
      <c r="Q672" t="n">
        <v>4.475107481867124</v>
      </c>
      <c r="R672" t="n">
        <v>2.53</v>
      </c>
      <c r="S672" t="n">
        <v>2.952</v>
      </c>
      <c r="T672" t="n">
        <v>-0.4220000000000002</v>
      </c>
      <c r="U672" t="n">
        <v>3644636000000</v>
      </c>
    </row>
    <row r="673">
      <c r="A673" t="inlineStr">
        <is>
          <t>United Kingdom</t>
        </is>
      </c>
      <c r="B673" t="inlineStr">
        <is>
          <t>GBR</t>
        </is>
      </c>
      <c r="C673" t="inlineStr">
        <is>
          <t>CSUK.L</t>
        </is>
      </c>
      <c r="D673" t="n">
        <v>2025</v>
      </c>
      <c r="E673" t="n">
        <v>23.79534380075798</v>
      </c>
      <c r="F673" t="n">
        <v>1.308</v>
      </c>
      <c r="G673" t="n">
        <v>4.886901</v>
      </c>
      <c r="H673" t="n">
        <v>8.619351999999999</v>
      </c>
      <c r="I673" t="n">
        <v>-24.54968802605603</v>
      </c>
      <c r="J673" t="inlineStr">
        <is>
          <t>United Kingdom|CSUK.L|2025</t>
        </is>
      </c>
      <c r="K673" t="inlineStr">
        <is>
          <t>United Kingdom|2025</t>
        </is>
      </c>
      <c r="L673" t="inlineStr">
        <is>
          <t>GBp</t>
        </is>
      </c>
      <c r="M673" t="n">
        <v>23.79534380075798</v>
      </c>
      <c r="N673" t="n">
        <v>7.571929555270285</v>
      </c>
      <c r="O673" t="n">
        <v>33.16904002605603</v>
      </c>
      <c r="P673" t="n">
        <v>3.558548457791244</v>
      </c>
      <c r="Q673" t="n">
        <v>28.59299595178619</v>
      </c>
      <c r="R673" t="n">
        <v>3.402</v>
      </c>
      <c r="S673" t="n">
        <v>2.715</v>
      </c>
      <c r="T673" t="n">
        <v>0.6870000000000003</v>
      </c>
      <c r="U673" t="n">
        <v>3958780000000</v>
      </c>
    </row>
    <row r="674">
      <c r="A674" t="inlineStr">
        <is>
          <t>United Kingdom</t>
        </is>
      </c>
      <c r="B674" t="inlineStr">
        <is>
          <t>GBR</t>
        </is>
      </c>
      <c r="C674" t="inlineStr">
        <is>
          <t>CSUK.L</t>
        </is>
      </c>
      <c r="D674" t="n">
        <v>2026</v>
      </c>
      <c r="E674" t="n">
        <v>5.058070118311098</v>
      </c>
      <c r="F674" t="n">
        <v>1.264</v>
      </c>
      <c r="G674" t="n">
        <v>3.62701</v>
      </c>
      <c r="H674" t="n">
        <v>6.74094</v>
      </c>
      <c r="I674" t="n">
        <v>3.26115203907919</v>
      </c>
      <c r="J674" t="inlineStr">
        <is>
          <t>United Kingdom|CSUK.L|2026</t>
        </is>
      </c>
      <c r="K674" t="inlineStr">
        <is>
          <t>United Kingdom|2026</t>
        </is>
      </c>
      <c r="L674" t="inlineStr">
        <is>
          <t>GBp</t>
        </is>
      </c>
      <c r="M674" t="n">
        <v>5.058070118311098</v>
      </c>
      <c r="N674" t="n">
        <v>-1.502295021803568</v>
      </c>
      <c r="O674" t="n">
        <v>3.47978796092081</v>
      </c>
      <c r="P674" t="n">
        <v>3.004940479200879</v>
      </c>
      <c r="Q674" t="n">
        <v>0.4609948605482694</v>
      </c>
      <c r="R674" t="n">
        <v>2.546</v>
      </c>
      <c r="S674" t="n">
        <v>2.435</v>
      </c>
      <c r="T674" t="n">
        <v>0.1109999999999998</v>
      </c>
      <c r="U674" t="n">
        <v>4225639000000</v>
      </c>
    </row>
    <row r="675">
      <c r="A675" t="inlineStr">
        <is>
          <t>United Kingdom</t>
        </is>
      </c>
      <c r="B675" t="inlineStr">
        <is>
          <t>GBR</t>
        </is>
      </c>
      <c r="C675" t="inlineStr">
        <is>
          <t>CSUK.L</t>
        </is>
      </c>
      <c r="D675" t="n">
        <v>2027</v>
      </c>
      <c r="E675" t="inlineStr"/>
      <c r="F675" t="n">
        <v>1.54</v>
      </c>
      <c r="G675" t="n">
        <v>3.68662</v>
      </c>
      <c r="H675" t="n">
        <v>5.117143</v>
      </c>
      <c r="I675" t="inlineStr"/>
      <c r="J675" t="inlineStr">
        <is>
          <t>United Kingdom|CSUK.L|2027</t>
        </is>
      </c>
      <c r="K675" t="inlineStr">
        <is>
          <t>United Kingdom|2027</t>
        </is>
      </c>
      <c r="L675" t="inlineStr">
        <is>
          <t>GBp</t>
        </is>
      </c>
      <c r="M675" t="inlineStr"/>
      <c r="N675" t="inlineStr"/>
      <c r="O675" t="inlineStr"/>
      <c r="P675" t="n">
        <v>1.3796599258461</v>
      </c>
      <c r="Q675" t="inlineStr"/>
      <c r="R675" t="n">
        <v>2</v>
      </c>
      <c r="S675" t="n">
        <v>2.185</v>
      </c>
      <c r="T675" t="n">
        <v>-0.1850000000000001</v>
      </c>
      <c r="U675" t="n">
        <v>4441871000000</v>
      </c>
    </row>
    <row r="676">
      <c r="A676" t="inlineStr">
        <is>
          <t>United Kingdom</t>
        </is>
      </c>
      <c r="B676" t="inlineStr">
        <is>
          <t>GBR</t>
        </is>
      </c>
      <c r="C676" t="inlineStr">
        <is>
          <t>CSUK.L</t>
        </is>
      </c>
      <c r="D676" t="n">
        <v>2028</v>
      </c>
      <c r="E676" t="inlineStr"/>
      <c r="F676" t="n">
        <v>1.439</v>
      </c>
      <c r="G676" t="n">
        <v>3.540633</v>
      </c>
      <c r="H676" t="n">
        <v>5.211498</v>
      </c>
      <c r="I676" t="inlineStr"/>
      <c r="J676" t="inlineStr">
        <is>
          <t>United Kingdom|CSUK.L|2028</t>
        </is>
      </c>
      <c r="K676" t="inlineStr">
        <is>
          <t>United Kingdom|2028</t>
        </is>
      </c>
      <c r="L676" t="inlineStr">
        <is>
          <t>GBp</t>
        </is>
      </c>
      <c r="M676" t="inlineStr"/>
      <c r="N676" t="inlineStr"/>
      <c r="O676" t="inlineStr"/>
      <c r="P676" t="n">
        <v>1.613728343961585</v>
      </c>
      <c r="Q676" t="inlineStr"/>
      <c r="R676" t="n">
        <v>2</v>
      </c>
      <c r="S676" t="n">
        <v>2.206</v>
      </c>
      <c r="T676" t="n">
        <v>-0.206</v>
      </c>
      <c r="U676" t="n">
        <v>4673359000000</v>
      </c>
    </row>
    <row r="677">
      <c r="A677" t="inlineStr">
        <is>
          <t>United Kingdom</t>
        </is>
      </c>
      <c r="B677" t="inlineStr">
        <is>
          <t>GBR</t>
        </is>
      </c>
      <c r="C677" t="inlineStr">
        <is>
          <t>CSUK.L</t>
        </is>
      </c>
      <c r="D677" t="n">
        <v>2029</v>
      </c>
      <c r="E677" t="inlineStr"/>
      <c r="F677" t="n">
        <v>1.432</v>
      </c>
      <c r="G677" t="n">
        <v>3.653419</v>
      </c>
      <c r="H677" t="n">
        <v>5.462345</v>
      </c>
      <c r="I677" t="inlineStr"/>
      <c r="J677" t="inlineStr">
        <is>
          <t>United Kingdom|CSUK.L|2029</t>
        </is>
      </c>
      <c r="K677" t="inlineStr">
        <is>
          <t>United Kingdom|2029</t>
        </is>
      </c>
      <c r="L677" t="inlineStr">
        <is>
          <t>GBp</t>
        </is>
      </c>
      <c r="M677" t="inlineStr"/>
      <c r="N677" t="inlineStr"/>
      <c r="O677" t="inlineStr"/>
      <c r="P677" t="n">
        <v>1.745167688599203</v>
      </c>
      <c r="Q677" t="inlineStr"/>
      <c r="R677" t="n">
        <v>2</v>
      </c>
      <c r="S677" t="n">
        <v>2.203</v>
      </c>
      <c r="T677" t="n">
        <v>-0.2029999999999998</v>
      </c>
      <c r="U677" t="n">
        <v>4928634000000</v>
      </c>
    </row>
    <row r="678">
      <c r="A678" t="inlineStr">
        <is>
          <t>United Kingdom</t>
        </is>
      </c>
      <c r="B678" t="inlineStr">
        <is>
          <t>GBR</t>
        </is>
      </c>
      <c r="C678" t="inlineStr">
        <is>
          <t>CUKX.L</t>
        </is>
      </c>
      <c r="D678" t="n">
        <v>2004</v>
      </c>
      <c r="E678" t="inlineStr"/>
      <c r="F678" t="n">
        <v>2.458</v>
      </c>
      <c r="G678" t="inlineStr"/>
      <c r="H678" t="inlineStr"/>
      <c r="I678" t="inlineStr"/>
      <c r="J678" t="inlineStr">
        <is>
          <t>United Kingdom|CUKX.L|2004</t>
        </is>
      </c>
      <c r="K678" t="inlineStr">
        <is>
          <t>United Kingdom|2004</t>
        </is>
      </c>
      <c r="L678" t="inlineStr">
        <is>
          <t>GBp</t>
        </is>
      </c>
      <c r="M678" t="inlineStr"/>
      <c r="N678" t="inlineStr"/>
      <c r="O678" t="inlineStr"/>
      <c r="P678" t="inlineStr"/>
      <c r="Q678" t="inlineStr"/>
      <c r="R678" t="n">
        <v>1.344</v>
      </c>
      <c r="S678" t="n">
        <v>2.668</v>
      </c>
      <c r="T678" t="n">
        <v>-1.324</v>
      </c>
      <c r="U678" t="n">
        <v>2422619000000</v>
      </c>
    </row>
    <row r="679">
      <c r="A679" t="inlineStr">
        <is>
          <t>United Kingdom</t>
        </is>
      </c>
      <c r="B679" t="inlineStr">
        <is>
          <t>GBR</t>
        </is>
      </c>
      <c r="C679" t="inlineStr">
        <is>
          <t>CUKX.L</t>
        </is>
      </c>
      <c r="D679" t="n">
        <v>2005</v>
      </c>
      <c r="E679" t="inlineStr"/>
      <c r="F679" t="n">
        <v>2.733</v>
      </c>
      <c r="G679" t="n">
        <v>5.754565</v>
      </c>
      <c r="H679" t="n">
        <v>5.094445</v>
      </c>
      <c r="I679" t="inlineStr"/>
      <c r="J679" t="inlineStr">
        <is>
          <t>United Kingdom|CUKX.L|2005</t>
        </is>
      </c>
      <c r="K679" t="inlineStr">
        <is>
          <t>United Kingdom|2005</t>
        </is>
      </c>
      <c r="L679" t="inlineStr">
        <is>
          <t>GBp</t>
        </is>
      </c>
      <c r="M679" t="inlineStr"/>
      <c r="N679" t="inlineStr"/>
      <c r="O679" t="inlineStr"/>
      <c r="P679" t="n">
        <v>-0.6241992951303899</v>
      </c>
      <c r="Q679" t="inlineStr"/>
      <c r="R679" t="n">
        <v>2.057</v>
      </c>
      <c r="S679" t="n">
        <v>3.366</v>
      </c>
      <c r="T679" t="n">
        <v>-1.309</v>
      </c>
      <c r="U679" t="n">
        <v>2546038000000</v>
      </c>
    </row>
    <row r="680">
      <c r="A680" t="inlineStr">
        <is>
          <t>United Kingdom</t>
        </is>
      </c>
      <c r="B680" t="inlineStr">
        <is>
          <t>GBR</t>
        </is>
      </c>
      <c r="C680" t="inlineStr">
        <is>
          <t>CUKX.L</t>
        </is>
      </c>
      <c r="D680" t="n">
        <v>2006</v>
      </c>
      <c r="E680" t="inlineStr"/>
      <c r="F680" t="n">
        <v>2.381</v>
      </c>
      <c r="G680" t="n">
        <v>5.239611</v>
      </c>
      <c r="H680" t="n">
        <v>6.528536</v>
      </c>
      <c r="I680" t="inlineStr"/>
      <c r="J680" t="inlineStr">
        <is>
          <t>United Kingdom|CUKX.L|2006</t>
        </is>
      </c>
      <c r="K680" t="inlineStr">
        <is>
          <t>United Kingdom|2006</t>
        </is>
      </c>
      <c r="L680" t="inlineStr">
        <is>
          <t>GBp</t>
        </is>
      </c>
      <c r="M680" t="inlineStr"/>
      <c r="N680" t="inlineStr"/>
      <c r="O680" t="inlineStr"/>
      <c r="P680" t="n">
        <v>1.22475289001962</v>
      </c>
      <c r="Q680" t="inlineStr"/>
      <c r="R680" t="n">
        <v>2.329</v>
      </c>
      <c r="S680" t="n">
        <v>3.222</v>
      </c>
      <c r="T680" t="n">
        <v>-0.8929999999999998</v>
      </c>
      <c r="U680" t="n">
        <v>2712257000000</v>
      </c>
    </row>
    <row r="681">
      <c r="A681" t="inlineStr">
        <is>
          <t>United Kingdom</t>
        </is>
      </c>
      <c r="B681" t="inlineStr">
        <is>
          <t>GBR</t>
        </is>
      </c>
      <c r="C681" t="inlineStr">
        <is>
          <t>CUKX.L</t>
        </is>
      </c>
      <c r="D681" t="n">
        <v>2007</v>
      </c>
      <c r="E681" t="inlineStr"/>
      <c r="F681" t="n">
        <v>2.625</v>
      </c>
      <c r="G681" t="n">
        <v>4.93187</v>
      </c>
      <c r="H681" t="n">
        <v>13.989751</v>
      </c>
      <c r="I681" t="inlineStr"/>
      <c r="J681" t="inlineStr">
        <is>
          <t>United Kingdom|CUKX.L|2007</t>
        </is>
      </c>
      <c r="K681" t="inlineStr">
        <is>
          <t>United Kingdom|2007</t>
        </is>
      </c>
      <c r="L681" t="inlineStr">
        <is>
          <t>GBp</t>
        </is>
      </c>
      <c r="M681" t="inlineStr"/>
      <c r="N681" t="inlineStr"/>
      <c r="O681" t="inlineStr"/>
      <c r="P681" t="n">
        <v>8.632154376854118</v>
      </c>
      <c r="Q681" t="inlineStr"/>
      <c r="R681" t="n">
        <v>2.323</v>
      </c>
      <c r="S681" t="n">
        <v>2.871</v>
      </c>
      <c r="T681" t="n">
        <v>-0.548</v>
      </c>
      <c r="U681" t="n">
        <v>3091695000000</v>
      </c>
    </row>
    <row r="682">
      <c r="A682" t="inlineStr">
        <is>
          <t>United Kingdom</t>
        </is>
      </c>
      <c r="B682" t="inlineStr">
        <is>
          <t>GBR</t>
        </is>
      </c>
      <c r="C682" t="inlineStr">
        <is>
          <t>CUKX.L</t>
        </is>
      </c>
      <c r="D682" t="n">
        <v>2008</v>
      </c>
      <c r="E682" t="inlineStr"/>
      <c r="F682" t="n">
        <v>-0.249</v>
      </c>
      <c r="G682" t="n">
        <v>3.169871</v>
      </c>
      <c r="H682" t="n">
        <v>-4.247023</v>
      </c>
      <c r="I682" t="inlineStr"/>
      <c r="J682" t="inlineStr">
        <is>
          <t>United Kingdom|CUKX.L|2008</t>
        </is>
      </c>
      <c r="K682" t="inlineStr">
        <is>
          <t>United Kingdom|2008</t>
        </is>
      </c>
      <c r="L682" t="inlineStr">
        <is>
          <t>GBp</t>
        </is>
      </c>
      <c r="M682" t="inlineStr"/>
      <c r="N682" t="n">
        <v>-26.2666463318202</v>
      </c>
      <c r="O682" t="inlineStr"/>
      <c r="P682" t="n">
        <v>-7.189011658239219</v>
      </c>
      <c r="Q682" t="inlineStr"/>
      <c r="R682" t="n">
        <v>3.602</v>
      </c>
      <c r="S682" t="n">
        <v>3.815</v>
      </c>
      <c r="T682" t="n">
        <v>-0.2130000000000001</v>
      </c>
      <c r="U682" t="n">
        <v>2960390000000</v>
      </c>
    </row>
    <row r="683">
      <c r="A683" t="inlineStr">
        <is>
          <t>United Kingdom</t>
        </is>
      </c>
      <c r="B683" t="inlineStr">
        <is>
          <t>GBR</t>
        </is>
      </c>
      <c r="C683" t="inlineStr">
        <is>
          <t>CUKX.L</t>
        </is>
      </c>
      <c r="D683" t="n">
        <v>2009</v>
      </c>
      <c r="E683" t="inlineStr"/>
      <c r="F683" t="n">
        <v>-4.621</v>
      </c>
      <c r="G683" t="n">
        <v>-2.811119</v>
      </c>
      <c r="H683" t="n">
        <v>-18.204156</v>
      </c>
      <c r="I683" t="inlineStr"/>
      <c r="J683" t="inlineStr">
        <is>
          <t>United Kingdom|CUKX.L|2009</t>
        </is>
      </c>
      <c r="K683" t="inlineStr">
        <is>
          <t>United Kingdom|2009</t>
        </is>
      </c>
      <c r="L683" t="inlineStr">
        <is>
          <t>GBp</t>
        </is>
      </c>
      <c r="M683" t="inlineStr"/>
      <c r="N683" t="n">
        <v>9.775566130910907</v>
      </c>
      <c r="O683" t="inlineStr"/>
      <c r="P683" t="n">
        <v>-15.83826871238773</v>
      </c>
      <c r="Q683" t="inlineStr"/>
      <c r="R683" t="n">
        <v>2.165</v>
      </c>
      <c r="S683" t="n">
        <v>-0.32</v>
      </c>
      <c r="T683" t="n">
        <v>2.485</v>
      </c>
      <c r="U683" t="n">
        <v>2421476000000</v>
      </c>
    </row>
    <row r="684">
      <c r="A684" t="inlineStr">
        <is>
          <t>United Kingdom</t>
        </is>
      </c>
      <c r="B684" t="inlineStr">
        <is>
          <t>GBR</t>
        </is>
      </c>
      <c r="C684" t="inlineStr">
        <is>
          <t>CUKX.L</t>
        </is>
      </c>
      <c r="D684" t="n">
        <v>2010</v>
      </c>
      <c r="E684" t="n">
        <v>7.495373226403457</v>
      </c>
      <c r="F684" t="n">
        <v>2.233</v>
      </c>
      <c r="G684" t="n">
        <v>3.857885</v>
      </c>
      <c r="H684" t="n">
        <v>2.744111</v>
      </c>
      <c r="I684" t="n">
        <v>-0.1148415124859792</v>
      </c>
      <c r="J684" t="inlineStr">
        <is>
          <t>United Kingdom|CUKX.L|2010</t>
        </is>
      </c>
      <c r="K684" t="inlineStr">
        <is>
          <t>United Kingdom|2010</t>
        </is>
      </c>
      <c r="L684" t="inlineStr">
        <is>
          <t>GBp</t>
        </is>
      </c>
      <c r="M684" t="n">
        <v>7.495373226403457</v>
      </c>
      <c r="N684" t="n">
        <v>-4.313135137595536</v>
      </c>
      <c r="O684" t="n">
        <v>2.858952512485979</v>
      </c>
      <c r="P684" t="n">
        <v>-1.072401536791401</v>
      </c>
      <c r="Q684" t="n">
        <v>3.97397097508585</v>
      </c>
      <c r="R684" t="n">
        <v>3.298</v>
      </c>
      <c r="S684" t="n">
        <v>1.637</v>
      </c>
      <c r="T684" t="n">
        <v>1.661</v>
      </c>
      <c r="U684" t="n">
        <v>2487924000000</v>
      </c>
    </row>
    <row r="685">
      <c r="A685" t="inlineStr">
        <is>
          <t>United Kingdom</t>
        </is>
      </c>
      <c r="B685" t="inlineStr">
        <is>
          <t>GBR</t>
        </is>
      </c>
      <c r="C685" t="inlineStr">
        <is>
          <t>CUKX.L</t>
        </is>
      </c>
      <c r="D685" t="n">
        <v>2011</v>
      </c>
      <c r="E685" t="n">
        <v>-4.339836019225318</v>
      </c>
      <c r="F685" t="n">
        <v>1.138</v>
      </c>
      <c r="G685" t="n">
        <v>3.359355</v>
      </c>
      <c r="H685" t="n">
        <v>7.106125</v>
      </c>
      <c r="I685" t="n">
        <v>12.40745349288028</v>
      </c>
      <c r="J685" t="inlineStr">
        <is>
          <t>United Kingdom|CUKX.L|2011</t>
        </is>
      </c>
      <c r="K685" t="inlineStr">
        <is>
          <t>United Kingdom|2011</t>
        </is>
      </c>
      <c r="L685" t="inlineStr">
        <is>
          <t>GBp</t>
        </is>
      </c>
      <c r="M685" t="n">
        <v>-4.339836019225318</v>
      </c>
      <c r="N685" t="n">
        <v>-1.005112717398426</v>
      </c>
      <c r="O685" t="n">
        <v>-5.301328492880275</v>
      </c>
      <c r="P685" t="n">
        <v>3.624994361819756</v>
      </c>
      <c r="Q685" t="n">
        <v>-8.614063537154603</v>
      </c>
      <c r="R685" t="n">
        <v>4.464</v>
      </c>
      <c r="S685" t="n">
        <v>3.14</v>
      </c>
      <c r="T685" t="n">
        <v>1.324</v>
      </c>
      <c r="U685" t="n">
        <v>2664719000000</v>
      </c>
    </row>
    <row r="686">
      <c r="A686" t="inlineStr">
        <is>
          <t>United Kingdom</t>
        </is>
      </c>
      <c r="B686" t="inlineStr">
        <is>
          <t>GBR</t>
        </is>
      </c>
      <c r="C686" t="inlineStr">
        <is>
          <t>CUKX.L</t>
        </is>
      </c>
      <c r="D686" t="n">
        <v>2012</v>
      </c>
      <c r="E686" t="n">
        <v>7.190586868099946</v>
      </c>
      <c r="F686" t="n">
        <v>1.509</v>
      </c>
      <c r="G686" t="n">
        <v>3.075022</v>
      </c>
      <c r="H686" t="n">
        <v>1.608125</v>
      </c>
      <c r="I686" t="n">
        <v>-10.0800592191098</v>
      </c>
      <c r="J686" t="inlineStr">
        <is>
          <t>United Kingdom|CUKX.L|2012</t>
        </is>
      </c>
      <c r="K686" t="inlineStr">
        <is>
          <t>United Kingdom|2012</t>
        </is>
      </c>
      <c r="L686" t="inlineStr">
        <is>
          <t>GBp</t>
        </is>
      </c>
      <c r="M686" t="n">
        <v>7.190586868099946</v>
      </c>
      <c r="N686" t="n">
        <v>4.195888354025179</v>
      </c>
      <c r="O686" t="n">
        <v>11.6881842191098</v>
      </c>
      <c r="P686" t="n">
        <v>-1.423135253580243</v>
      </c>
      <c r="Q686" t="n">
        <v>13.30060507241506</v>
      </c>
      <c r="R686" t="n">
        <v>2.828</v>
      </c>
      <c r="S686" t="n">
        <v>2.073</v>
      </c>
      <c r="T686" t="n">
        <v>0.7549999999999999</v>
      </c>
      <c r="U686" t="n">
        <v>2707571000000</v>
      </c>
    </row>
    <row r="687">
      <c r="A687" t="inlineStr">
        <is>
          <t>United Kingdom</t>
        </is>
      </c>
      <c r="B687" t="inlineStr">
        <is>
          <t>GBR</t>
        </is>
      </c>
      <c r="C687" t="inlineStr">
        <is>
          <t>CUKX.L</t>
        </is>
      </c>
      <c r="D687" t="n">
        <v>2013</v>
      </c>
      <c r="E687" t="n">
        <v>15.7327158451869</v>
      </c>
      <c r="F687" t="n">
        <v>1.8</v>
      </c>
      <c r="G687" t="n">
        <v>3.947331</v>
      </c>
      <c r="H687" t="n">
        <v>2.921216</v>
      </c>
      <c r="I687" t="n">
        <v>-14.65561564338968</v>
      </c>
      <c r="J687" t="inlineStr">
        <is>
          <t>United Kingdom|CUKX.L|2013</t>
        </is>
      </c>
      <c r="K687" t="inlineStr">
        <is>
          <t>United Kingdom|2013</t>
        </is>
      </c>
      <c r="L687" t="inlineStr">
        <is>
          <t>GBp</t>
        </is>
      </c>
      <c r="M687" t="n">
        <v>15.7327158451869</v>
      </c>
      <c r="N687" t="n">
        <v>1.593426530031161</v>
      </c>
      <c r="O687" t="n">
        <v>17.57683164338968</v>
      </c>
      <c r="P687" t="n">
        <v>-0.9871486741590441</v>
      </c>
      <c r="Q687" t="n">
        <v>18.74906142886099</v>
      </c>
      <c r="R687" t="n">
        <v>2.565</v>
      </c>
      <c r="S687" t="n">
        <v>1.466</v>
      </c>
      <c r="T687" t="n">
        <v>1.099</v>
      </c>
      <c r="U687" t="n">
        <v>2786665000000</v>
      </c>
    </row>
    <row r="688">
      <c r="A688" t="inlineStr">
        <is>
          <t>United Kingdom</t>
        </is>
      </c>
      <c r="B688" t="inlineStr">
        <is>
          <t>GBR</t>
        </is>
      </c>
      <c r="C688" t="inlineStr">
        <is>
          <t>CUKX.L</t>
        </is>
      </c>
      <c r="D688" t="n">
        <v>2014</v>
      </c>
      <c r="E688" t="n">
        <v>1.1021181332874</v>
      </c>
      <c r="F688" t="n">
        <v>3.195</v>
      </c>
      <c r="G688" t="n">
        <v>4.555674</v>
      </c>
      <c r="H688" t="n">
        <v>10.034898</v>
      </c>
      <c r="I688" t="n">
        <v>15.00552176785088</v>
      </c>
      <c r="J688" t="inlineStr">
        <is>
          <t>United Kingdom|CUKX.L|2014</t>
        </is>
      </c>
      <c r="K688" t="inlineStr">
        <is>
          <t>United Kingdom|2014</t>
        </is>
      </c>
      <c r="L688" t="inlineStr">
        <is>
          <t>GBp</t>
        </is>
      </c>
      <c r="M688" t="n">
        <v>1.1021181332874</v>
      </c>
      <c r="N688" t="n">
        <v>-6.006542704804973</v>
      </c>
      <c r="O688" t="n">
        <v>-4.97062376785088</v>
      </c>
      <c r="P688" t="n">
        <v>5.240484932161871</v>
      </c>
      <c r="Q688" t="n">
        <v>-9.702643147829315</v>
      </c>
      <c r="R688" t="n">
        <v>1.461</v>
      </c>
      <c r="S688" t="n">
        <v>1.615</v>
      </c>
      <c r="T688" t="n">
        <v>-0.1539999999999999</v>
      </c>
      <c r="U688" t="n">
        <v>3066304000000</v>
      </c>
    </row>
    <row r="689">
      <c r="A689" t="inlineStr">
        <is>
          <t>United Kingdom</t>
        </is>
      </c>
      <c r="B689" t="inlineStr">
        <is>
          <t>GBR</t>
        </is>
      </c>
      <c r="C689" t="inlineStr">
        <is>
          <t>CUKX.L</t>
        </is>
      </c>
      <c r="D689" t="n">
        <v>2015</v>
      </c>
      <c r="E689" t="n">
        <v>-1.165381319622971</v>
      </c>
      <c r="F689" t="n">
        <v>2.223</v>
      </c>
      <c r="G689" t="n">
        <v>2.895925</v>
      </c>
      <c r="H689" t="n">
        <v>-4.492249</v>
      </c>
      <c r="I689" t="n">
        <v>1.505014377259932</v>
      </c>
      <c r="J689" t="inlineStr">
        <is>
          <t>United Kingdom|CUKX.L|2015</t>
        </is>
      </c>
      <c r="K689" t="inlineStr">
        <is>
          <t>United Kingdom|2015</t>
        </is>
      </c>
      <c r="L689" t="inlineStr">
        <is>
          <t>GBp</t>
        </is>
      </c>
      <c r="M689" t="n">
        <v>-1.165381319622971</v>
      </c>
      <c r="N689" t="n">
        <v>-4.888855870697362</v>
      </c>
      <c r="O689" t="n">
        <v>-5.997263377259932</v>
      </c>
      <c r="P689" t="n">
        <v>-7.180238889164936</v>
      </c>
      <c r="Q689" t="n">
        <v>1.274486701697519</v>
      </c>
      <c r="R689" t="n">
        <v>0.04</v>
      </c>
      <c r="S689" t="n">
        <v>0.121</v>
      </c>
      <c r="T689" t="n">
        <v>-0.08099999999999999</v>
      </c>
      <c r="U689" t="n">
        <v>2928558000000</v>
      </c>
    </row>
    <row r="690">
      <c r="A690" t="inlineStr">
        <is>
          <t>United Kingdom</t>
        </is>
      </c>
      <c r="B690" t="inlineStr">
        <is>
          <t>GBR</t>
        </is>
      </c>
      <c r="C690" t="inlineStr">
        <is>
          <t>CUKX.L</t>
        </is>
      </c>
      <c r="D690" t="n">
        <v>2016</v>
      </c>
      <c r="E690" t="n">
        <v>22.1086413883276</v>
      </c>
      <c r="F690" t="n">
        <v>1.922</v>
      </c>
      <c r="G690" t="n">
        <v>3.923607</v>
      </c>
      <c r="H690" t="n">
        <v>-7.835665</v>
      </c>
      <c r="I690" t="n">
        <v>-9.642879483187901</v>
      </c>
      <c r="J690" t="inlineStr">
        <is>
          <t>United Kingdom|CUKX.L|2016</t>
        </is>
      </c>
      <c r="K690" t="inlineStr">
        <is>
          <t>United Kingdom|2016</t>
        </is>
      </c>
      <c r="L690" t="inlineStr">
        <is>
          <t>GBp</t>
        </is>
      </c>
      <c r="M690" t="n">
        <v>22.1086413883276</v>
      </c>
      <c r="N690" t="n">
        <v>-16.62570861023462</v>
      </c>
      <c r="O690" t="n">
        <v>1.807214483187902</v>
      </c>
      <c r="P690" t="n">
        <v>-11.31530388385849</v>
      </c>
      <c r="Q690" t="n">
        <v>14.79682396369846</v>
      </c>
      <c r="R690" t="n">
        <v>0.66</v>
      </c>
      <c r="S690" t="n">
        <v>1.267</v>
      </c>
      <c r="T690" t="n">
        <v>-0.6069999999999999</v>
      </c>
      <c r="U690" t="n">
        <v>2699086000000</v>
      </c>
    </row>
    <row r="691">
      <c r="A691" t="inlineStr">
        <is>
          <t>United Kingdom</t>
        </is>
      </c>
      <c r="B691" t="inlineStr">
        <is>
          <t>GBR</t>
        </is>
      </c>
      <c r="C691" t="inlineStr">
        <is>
          <t>CUKX.L</t>
        </is>
      </c>
      <c r="D691" t="n">
        <v>2017</v>
      </c>
      <c r="E691" t="n">
        <v>11.49447473821359</v>
      </c>
      <c r="F691" t="n">
        <v>2.657</v>
      </c>
      <c r="G691" t="n">
        <v>4.560903</v>
      </c>
      <c r="H691" t="n">
        <v>-0.618802</v>
      </c>
      <c r="I691" t="n">
        <v>-21.97093592818169</v>
      </c>
      <c r="J691" t="inlineStr">
        <is>
          <t>United Kingdom|CUKX.L|2017</t>
        </is>
      </c>
      <c r="K691" t="inlineStr">
        <is>
          <t>United Kingdom|2017</t>
        </is>
      </c>
      <c r="L691" t="inlineStr">
        <is>
          <t>GBp</t>
        </is>
      </c>
      <c r="M691" t="n">
        <v>11.49447473821359</v>
      </c>
      <c r="N691" t="n">
        <v>8.841388071573641</v>
      </c>
      <c r="O691" t="n">
        <v>21.35213392818169</v>
      </c>
      <c r="P691" t="n">
        <v>-4.953768650015422</v>
      </c>
      <c r="Q691" t="n">
        <v>27.67695489296367</v>
      </c>
      <c r="R691" t="n">
        <v>2.683</v>
      </c>
      <c r="S691" t="n">
        <v>2.131</v>
      </c>
      <c r="T691" t="n">
        <v>0.552</v>
      </c>
      <c r="U691" t="n">
        <v>2682384000000</v>
      </c>
    </row>
    <row r="692">
      <c r="A692" t="inlineStr">
        <is>
          <t>United Kingdom</t>
        </is>
      </c>
      <c r="B692" t="inlineStr">
        <is>
          <t>GBR</t>
        </is>
      </c>
      <c r="C692" t="inlineStr">
        <is>
          <t>CUKX.L</t>
        </is>
      </c>
      <c r="D692" t="n">
        <v>2018</v>
      </c>
      <c r="E692" t="n">
        <v>-8.379839553540302</v>
      </c>
      <c r="F692" t="n">
        <v>1.405</v>
      </c>
      <c r="G692" t="n">
        <v>3.352826</v>
      </c>
      <c r="H692" t="n">
        <v>7.181671</v>
      </c>
      <c r="I692" t="n">
        <v>21.13687604781072</v>
      </c>
      <c r="J692" t="inlineStr">
        <is>
          <t>United Kingdom|CUKX.L|2018</t>
        </is>
      </c>
      <c r="K692" t="inlineStr">
        <is>
          <t>United Kingdom|2018</t>
        </is>
      </c>
      <c r="L692" t="inlineStr">
        <is>
          <t>GBp</t>
        </is>
      </c>
      <c r="M692" t="n">
        <v>-8.379839553540302</v>
      </c>
      <c r="N692" t="n">
        <v>-6.085304224640065</v>
      </c>
      <c r="O692" t="n">
        <v>-13.95520504781071</v>
      </c>
      <c r="P692" t="n">
        <v>3.704635156519487</v>
      </c>
      <c r="Q692" t="n">
        <v>-17.0289786735921</v>
      </c>
      <c r="R692" t="n">
        <v>2.478</v>
      </c>
      <c r="S692" t="n">
        <v>2.439</v>
      </c>
      <c r="T692" t="n">
        <v>0.03900000000000015</v>
      </c>
      <c r="U692" t="n">
        <v>2875024000000</v>
      </c>
    </row>
    <row r="693">
      <c r="A693" t="inlineStr">
        <is>
          <t>United Kingdom</t>
        </is>
      </c>
      <c r="B693" t="inlineStr">
        <is>
          <t>GBR</t>
        </is>
      </c>
      <c r="C693" t="inlineStr">
        <is>
          <t>CUKX.L</t>
        </is>
      </c>
      <c r="D693" t="n">
        <v>2019</v>
      </c>
      <c r="E693" t="n">
        <v>17.23776889396536</v>
      </c>
      <c r="F693" t="n">
        <v>1.624</v>
      </c>
      <c r="G693" t="n">
        <v>3.792076</v>
      </c>
      <c r="H693" t="n">
        <v>-0.763472</v>
      </c>
      <c r="I693" t="n">
        <v>-21.45256171140724</v>
      </c>
      <c r="J693" t="inlineStr">
        <is>
          <t>United Kingdom|CUKX.L|2019</t>
        </is>
      </c>
      <c r="K693" t="inlineStr">
        <is>
          <t>United Kingdom|2019</t>
        </is>
      </c>
      <c r="L693" t="inlineStr">
        <is>
          <t>GBp</t>
        </is>
      </c>
      <c r="M693" t="n">
        <v>17.23776889396536</v>
      </c>
      <c r="N693" t="n">
        <v>2.94386429390634</v>
      </c>
      <c r="O693" t="n">
        <v>20.68908971140724</v>
      </c>
      <c r="P693" t="n">
        <v>-4.389109372013511</v>
      </c>
      <c r="Q693" t="n">
        <v>26.22943779594922</v>
      </c>
      <c r="R693" t="n">
        <v>1.791</v>
      </c>
      <c r="S693" t="n">
        <v>1.813</v>
      </c>
      <c r="T693" t="n">
        <v>-0.02200000000000002</v>
      </c>
      <c r="U693" t="n">
        <v>2853074000000</v>
      </c>
    </row>
    <row r="694">
      <c r="A694" t="inlineStr">
        <is>
          <t>United Kingdom</t>
        </is>
      </c>
      <c r="B694" t="inlineStr">
        <is>
          <t>GBR</t>
        </is>
      </c>
      <c r="C694" t="inlineStr">
        <is>
          <t>CUKX.L</t>
        </is>
      </c>
      <c r="D694" t="n">
        <v>2020</v>
      </c>
      <c r="E694" t="n">
        <v>-12.13315108145051</v>
      </c>
      <c r="F694" t="n">
        <v>-10.297</v>
      </c>
      <c r="G694" t="n">
        <v>-5.838837</v>
      </c>
      <c r="H694" t="n">
        <v>-5.41062</v>
      </c>
      <c r="I694" t="n">
        <v>4.284051729243265</v>
      </c>
      <c r="J694" t="inlineStr">
        <is>
          <t>United Kingdom|CUKX.L|2020</t>
        </is>
      </c>
      <c r="K694" t="inlineStr">
        <is>
          <t>United Kingdom|2020</t>
        </is>
      </c>
      <c r="L694" t="inlineStr">
        <is>
          <t>GBp</t>
        </is>
      </c>
      <c r="M694" t="n">
        <v>-12.13315108145051</v>
      </c>
      <c r="N694" t="n">
        <v>2.775198362317122</v>
      </c>
      <c r="O694" t="n">
        <v>-9.694671729243264</v>
      </c>
      <c r="P694" t="n">
        <v>0.4547697339148282</v>
      </c>
      <c r="Q694" t="n">
        <v>-10.10349383114609</v>
      </c>
      <c r="R694" t="n">
        <v>0.851</v>
      </c>
      <c r="S694" t="n">
        <v>1.253</v>
      </c>
      <c r="T694" t="n">
        <v>-0.4019999999999999</v>
      </c>
      <c r="U694" t="n">
        <v>2698705000000</v>
      </c>
    </row>
    <row r="695">
      <c r="A695" t="inlineStr">
        <is>
          <t>United Kingdom</t>
        </is>
      </c>
      <c r="B695" t="inlineStr">
        <is>
          <t>GBR</t>
        </is>
      </c>
      <c r="C695" t="inlineStr">
        <is>
          <t>CUKX.L</t>
        </is>
      </c>
      <c r="D695" t="n">
        <v>2021</v>
      </c>
      <c r="E695" t="n">
        <v>15.65765765765765</v>
      </c>
      <c r="F695" t="n">
        <v>8.576000000000001</v>
      </c>
      <c r="G695" t="n">
        <v>8.648215</v>
      </c>
      <c r="H695" t="n">
        <v>16.503249</v>
      </c>
      <c r="I695" t="n">
        <v>2.322794672920672</v>
      </c>
      <c r="J695" t="inlineStr">
        <is>
          <t>United Kingdom|CUKX.L|2021</t>
        </is>
      </c>
      <c r="K695" t="inlineStr">
        <is>
          <t>United Kingdom|2021</t>
        </is>
      </c>
      <c r="L695" t="inlineStr">
        <is>
          <t>GBp</t>
        </is>
      </c>
      <c r="M695" t="n">
        <v>15.65765765765765</v>
      </c>
      <c r="N695" t="n">
        <v>-1.277220514832489</v>
      </c>
      <c r="O695" t="n">
        <v>14.18045432707933</v>
      </c>
      <c r="P695" t="n">
        <v>7.229785929884969</v>
      </c>
      <c r="Q695" t="n">
        <v>6.482031402859678</v>
      </c>
      <c r="R695" t="n">
        <v>2.588</v>
      </c>
      <c r="S695" t="n">
        <v>4.679</v>
      </c>
      <c r="T695" t="n">
        <v>-2.091</v>
      </c>
      <c r="U695" t="n">
        <v>3144079000000</v>
      </c>
    </row>
    <row r="696">
      <c r="A696" t="inlineStr">
        <is>
          <t>United Kingdom</t>
        </is>
      </c>
      <c r="B696" t="inlineStr">
        <is>
          <t>GBR</t>
        </is>
      </c>
      <c r="C696" t="inlineStr">
        <is>
          <t>CUKX.L</t>
        </is>
      </c>
      <c r="D696" t="n">
        <v>2022</v>
      </c>
      <c r="E696" t="n">
        <v>3.343558282208581</v>
      </c>
      <c r="F696" t="n">
        <v>4.839</v>
      </c>
      <c r="G696" t="n">
        <v>10.546425</v>
      </c>
      <c r="H696" t="n">
        <v>-0.593974</v>
      </c>
      <c r="I696" t="n">
        <v>7.265991423527992</v>
      </c>
      <c r="J696" t="inlineStr">
        <is>
          <t>United Kingdom|CUKX.L|2022</t>
        </is>
      </c>
      <c r="K696" t="inlineStr">
        <is>
          <t>United Kingdom|2022</t>
        </is>
      </c>
      <c r="L696" t="inlineStr">
        <is>
          <t>GBp</t>
        </is>
      </c>
      <c r="M696" t="n">
        <v>3.343558282208581</v>
      </c>
      <c r="N696" t="n">
        <v>-10.84104698150823</v>
      </c>
      <c r="O696" t="n">
        <v>-7.859965423527992</v>
      </c>
      <c r="P696" t="n">
        <v>-10.07757486930515</v>
      </c>
      <c r="Q696" t="n">
        <v>2.466136164092592</v>
      </c>
      <c r="R696" t="n">
        <v>9.067</v>
      </c>
      <c r="S696" t="n">
        <v>7.993</v>
      </c>
      <c r="T696" t="n">
        <v>1.074</v>
      </c>
      <c r="U696" t="n">
        <v>3125404000000</v>
      </c>
    </row>
    <row r="697">
      <c r="A697" t="inlineStr">
        <is>
          <t>United Kingdom</t>
        </is>
      </c>
      <c r="B697" t="inlineStr">
        <is>
          <t>GBR</t>
        </is>
      </c>
      <c r="C697" t="inlineStr">
        <is>
          <t>CUKX.L</t>
        </is>
      </c>
      <c r="D697" t="n">
        <v>2023</v>
      </c>
      <c r="E697" t="n">
        <v>6.578560939794431</v>
      </c>
      <c r="F697" t="n">
        <v>0.397</v>
      </c>
      <c r="G697" t="n">
        <v>7.312973</v>
      </c>
      <c r="H697" t="n">
        <v>7.861832</v>
      </c>
      <c r="I697" t="n">
        <v>-4.112834184574968</v>
      </c>
      <c r="J697" t="inlineStr">
        <is>
          <t>United Kingdom|CUKX.L|2023</t>
        </is>
      </c>
      <c r="K697" t="inlineStr">
        <is>
          <t>United Kingdom|2023</t>
        </is>
      </c>
      <c r="L697" t="inlineStr">
        <is>
          <t>GBp</t>
        </is>
      </c>
      <c r="M697" t="n">
        <v>6.578560939794431</v>
      </c>
      <c r="N697" t="n">
        <v>5.06303068571996</v>
      </c>
      <c r="O697" t="n">
        <v>11.97466618457497</v>
      </c>
      <c r="P697" t="n">
        <v>0.5114558918467793</v>
      </c>
      <c r="Q697" t="n">
        <v>11.40487936525656</v>
      </c>
      <c r="R697" t="n">
        <v>7.303</v>
      </c>
      <c r="S697" t="n">
        <v>4.128</v>
      </c>
      <c r="T697" t="n">
        <v>3.175</v>
      </c>
      <c r="U697" t="n">
        <v>3371118000000</v>
      </c>
    </row>
    <row r="698">
      <c r="A698" t="inlineStr">
        <is>
          <t>United Kingdom</t>
        </is>
      </c>
      <c r="B698" t="inlineStr">
        <is>
          <t>GBR</t>
        </is>
      </c>
      <c r="C698" t="inlineStr">
        <is>
          <t>CUKX.L</t>
        </is>
      </c>
      <c r="D698" t="n">
        <v>2024</v>
      </c>
      <c r="E698" t="n">
        <v>9.390512961941532</v>
      </c>
      <c r="F698" t="n">
        <v>1.101</v>
      </c>
      <c r="G698" t="n">
        <v>5.156564</v>
      </c>
      <c r="H698" t="n">
        <v>8.113569</v>
      </c>
      <c r="I698" t="n">
        <v>0.2775537770592713</v>
      </c>
      <c r="J698" t="inlineStr">
        <is>
          <t>United Kingdom|CUKX.L|2024</t>
        </is>
      </c>
      <c r="K698" t="inlineStr">
        <is>
          <t>United Kingdom|2024</t>
        </is>
      </c>
      <c r="L698" t="inlineStr">
        <is>
          <t>GBp</t>
        </is>
      </c>
      <c r="M698" t="n">
        <v>9.390512961941532</v>
      </c>
      <c r="N698" t="n">
        <v>-1.421053523664917</v>
      </c>
      <c r="O698" t="n">
        <v>7.836015222940729</v>
      </c>
      <c r="P698" t="n">
        <v>2.812002352695675</v>
      </c>
      <c r="Q698" t="n">
        <v>4.886601520521139</v>
      </c>
      <c r="R698" t="n">
        <v>2.53</v>
      </c>
      <c r="S698" t="n">
        <v>2.952</v>
      </c>
      <c r="T698" t="n">
        <v>-0.4220000000000002</v>
      </c>
      <c r="U698" t="n">
        <v>3644636000000</v>
      </c>
    </row>
    <row r="699">
      <c r="A699" t="inlineStr">
        <is>
          <t>United Kingdom</t>
        </is>
      </c>
      <c r="B699" t="inlineStr">
        <is>
          <t>GBR</t>
        </is>
      </c>
      <c r="C699" t="inlineStr">
        <is>
          <t>CUKX.L</t>
        </is>
      </c>
      <c r="D699" t="n">
        <v>2025</v>
      </c>
      <c r="E699" t="n">
        <v>24.46052139204191</v>
      </c>
      <c r="F699" t="n">
        <v>1.308</v>
      </c>
      <c r="G699" t="n">
        <v>4.886901</v>
      </c>
      <c r="H699" t="n">
        <v>8.619351999999999</v>
      </c>
      <c r="I699" t="n">
        <v>-25.26523239596942</v>
      </c>
      <c r="J699" t="inlineStr">
        <is>
          <t>United Kingdom|CUKX.L|2025</t>
        </is>
      </c>
      <c r="K699" t="inlineStr">
        <is>
          <t>United Kingdom|2025</t>
        </is>
      </c>
      <c r="L699" t="inlineStr">
        <is>
          <t>GBp</t>
        </is>
      </c>
      <c r="M699" t="n">
        <v>24.46052139204191</v>
      </c>
      <c r="N699" t="n">
        <v>7.571929555270285</v>
      </c>
      <c r="O699" t="n">
        <v>33.88458439596942</v>
      </c>
      <c r="P699" t="n">
        <v>3.558548457791244</v>
      </c>
      <c r="Q699" t="n">
        <v>29.28395230504661</v>
      </c>
      <c r="R699" t="n">
        <v>3.402</v>
      </c>
      <c r="S699" t="n">
        <v>2.715</v>
      </c>
      <c r="T699" t="n">
        <v>0.6870000000000003</v>
      </c>
      <c r="U699" t="n">
        <v>3958780000000</v>
      </c>
    </row>
    <row r="700">
      <c r="A700" t="inlineStr">
        <is>
          <t>United Kingdom</t>
        </is>
      </c>
      <c r="B700" t="inlineStr">
        <is>
          <t>GBR</t>
        </is>
      </c>
      <c r="C700" t="inlineStr">
        <is>
          <t>CUKX.L</t>
        </is>
      </c>
      <c r="D700" t="n">
        <v>2026</v>
      </c>
      <c r="E700" t="n">
        <v>4.811767638992759</v>
      </c>
      <c r="F700" t="n">
        <v>1.264</v>
      </c>
      <c r="G700" t="n">
        <v>3.62701</v>
      </c>
      <c r="H700" t="n">
        <v>6.74094</v>
      </c>
      <c r="I700" t="n">
        <v>3.503754328512148</v>
      </c>
      <c r="J700" t="inlineStr">
        <is>
          <t>United Kingdom|CUKX.L|2026</t>
        </is>
      </c>
      <c r="K700" t="inlineStr">
        <is>
          <t>United Kingdom|2026</t>
        </is>
      </c>
      <c r="L700" t="inlineStr">
        <is>
          <t>GBp</t>
        </is>
      </c>
      <c r="M700" t="n">
        <v>4.811767638992759</v>
      </c>
      <c r="N700" t="n">
        <v>-1.502295021803568</v>
      </c>
      <c r="O700" t="n">
        <v>3.237185671487852</v>
      </c>
      <c r="P700" t="n">
        <v>3.004940479200879</v>
      </c>
      <c r="Q700" t="n">
        <v>0.2254699543599692</v>
      </c>
      <c r="R700" t="n">
        <v>2.546</v>
      </c>
      <c r="S700" t="n">
        <v>2.435</v>
      </c>
      <c r="T700" t="n">
        <v>0.1109999999999998</v>
      </c>
      <c r="U700" t="n">
        <v>4225639000000</v>
      </c>
    </row>
    <row r="701">
      <c r="A701" t="inlineStr">
        <is>
          <t>United Kingdom</t>
        </is>
      </c>
      <c r="B701" t="inlineStr">
        <is>
          <t>GBR</t>
        </is>
      </c>
      <c r="C701" t="inlineStr">
        <is>
          <t>CUKX.L</t>
        </is>
      </c>
      <c r="D701" t="n">
        <v>2027</v>
      </c>
      <c r="E701" t="inlineStr"/>
      <c r="F701" t="n">
        <v>1.54</v>
      </c>
      <c r="G701" t="n">
        <v>3.68662</v>
      </c>
      <c r="H701" t="n">
        <v>5.117143</v>
      </c>
      <c r="I701" t="inlineStr"/>
      <c r="J701" t="inlineStr">
        <is>
          <t>United Kingdom|CUKX.L|2027</t>
        </is>
      </c>
      <c r="K701" t="inlineStr">
        <is>
          <t>United Kingdom|2027</t>
        </is>
      </c>
      <c r="L701" t="inlineStr">
        <is>
          <t>GBp</t>
        </is>
      </c>
      <c r="M701" t="inlineStr"/>
      <c r="N701" t="inlineStr"/>
      <c r="O701" t="inlineStr"/>
      <c r="P701" t="n">
        <v>1.3796599258461</v>
      </c>
      <c r="Q701" t="inlineStr"/>
      <c r="R701" t="n">
        <v>2</v>
      </c>
      <c r="S701" t="n">
        <v>2.185</v>
      </c>
      <c r="T701" t="n">
        <v>-0.1850000000000001</v>
      </c>
      <c r="U701" t="n">
        <v>4441871000000</v>
      </c>
    </row>
    <row r="702">
      <c r="A702" t="inlineStr">
        <is>
          <t>United Kingdom</t>
        </is>
      </c>
      <c r="B702" t="inlineStr">
        <is>
          <t>GBR</t>
        </is>
      </c>
      <c r="C702" t="inlineStr">
        <is>
          <t>CUKX.L</t>
        </is>
      </c>
      <c r="D702" t="n">
        <v>2028</v>
      </c>
      <c r="E702" t="inlineStr"/>
      <c r="F702" t="n">
        <v>1.439</v>
      </c>
      <c r="G702" t="n">
        <v>3.540633</v>
      </c>
      <c r="H702" t="n">
        <v>5.211498</v>
      </c>
      <c r="I702" t="inlineStr"/>
      <c r="J702" t="inlineStr">
        <is>
          <t>United Kingdom|CUKX.L|2028</t>
        </is>
      </c>
      <c r="K702" t="inlineStr">
        <is>
          <t>United Kingdom|2028</t>
        </is>
      </c>
      <c r="L702" t="inlineStr">
        <is>
          <t>GBp</t>
        </is>
      </c>
      <c r="M702" t="inlineStr"/>
      <c r="N702" t="inlineStr"/>
      <c r="O702" t="inlineStr"/>
      <c r="P702" t="n">
        <v>1.613728343961585</v>
      </c>
      <c r="Q702" t="inlineStr"/>
      <c r="R702" t="n">
        <v>2</v>
      </c>
      <c r="S702" t="n">
        <v>2.206</v>
      </c>
      <c r="T702" t="n">
        <v>-0.206</v>
      </c>
      <c r="U702" t="n">
        <v>4673359000000</v>
      </c>
    </row>
    <row r="703">
      <c r="A703" t="inlineStr">
        <is>
          <t>United Kingdom</t>
        </is>
      </c>
      <c r="B703" t="inlineStr">
        <is>
          <t>GBR</t>
        </is>
      </c>
      <c r="C703" t="inlineStr">
        <is>
          <t>CUKX.L</t>
        </is>
      </c>
      <c r="D703" t="n">
        <v>2029</v>
      </c>
      <c r="E703" t="inlineStr"/>
      <c r="F703" t="n">
        <v>1.432</v>
      </c>
      <c r="G703" t="n">
        <v>3.653419</v>
      </c>
      <c r="H703" t="n">
        <v>5.462345</v>
      </c>
      <c r="I703" t="inlineStr"/>
      <c r="J703" t="inlineStr">
        <is>
          <t>United Kingdom|CUKX.L|2029</t>
        </is>
      </c>
      <c r="K703" t="inlineStr">
        <is>
          <t>United Kingdom|2029</t>
        </is>
      </c>
      <c r="L703" t="inlineStr">
        <is>
          <t>GBp</t>
        </is>
      </c>
      <c r="M703" t="inlineStr"/>
      <c r="N703" t="inlineStr"/>
      <c r="O703" t="inlineStr"/>
      <c r="P703" t="n">
        <v>1.745167688599203</v>
      </c>
      <c r="Q703" t="inlineStr"/>
      <c r="R703" t="n">
        <v>2</v>
      </c>
      <c r="S703" t="n">
        <v>2.203</v>
      </c>
      <c r="T703" t="n">
        <v>-0.2029999999999998</v>
      </c>
      <c r="U703" t="n">
        <v>4928634000000</v>
      </c>
    </row>
    <row r="704">
      <c r="A704" t="inlineStr">
        <is>
          <t>United States</t>
        </is>
      </c>
      <c r="B704" t="inlineStr">
        <is>
          <t>USA</t>
        </is>
      </c>
      <c r="C704" t="inlineStr">
        <is>
          <t>CSPX.L</t>
        </is>
      </c>
      <c r="D704" t="n">
        <v>2004</v>
      </c>
      <c r="E704" t="inlineStr"/>
      <c r="F704" t="n">
        <v>3.848</v>
      </c>
      <c r="G704" t="inlineStr"/>
      <c r="H704" t="inlineStr"/>
      <c r="I704" t="inlineStr"/>
      <c r="J704" t="inlineStr">
        <is>
          <t>United States|CSPX.L|2004</t>
        </is>
      </c>
      <c r="K704" t="inlineStr">
        <is>
          <t>United States|2004</t>
        </is>
      </c>
      <c r="L704" t="inlineStr">
        <is>
          <t>USD</t>
        </is>
      </c>
      <c r="M704" t="inlineStr"/>
      <c r="N704" t="inlineStr"/>
      <c r="O704" t="inlineStr"/>
      <c r="P704" t="inlineStr"/>
      <c r="Q704" t="inlineStr"/>
      <c r="R704" t="n">
        <v>2.668</v>
      </c>
      <c r="S704" t="n">
        <v>2.668</v>
      </c>
      <c r="T704" t="n">
        <v>0</v>
      </c>
      <c r="U704" t="n">
        <v>12217175000000</v>
      </c>
    </row>
    <row r="705">
      <c r="A705" t="inlineStr">
        <is>
          <t>United States</t>
        </is>
      </c>
      <c r="B705" t="inlineStr">
        <is>
          <t>USA</t>
        </is>
      </c>
      <c r="C705" t="inlineStr">
        <is>
          <t>CSPX.L</t>
        </is>
      </c>
      <c r="D705" t="n">
        <v>2005</v>
      </c>
      <c r="E705" t="inlineStr"/>
      <c r="F705" t="n">
        <v>3.483</v>
      </c>
      <c r="G705" t="n">
        <v>6.728438</v>
      </c>
      <c r="H705" t="n">
        <v>6.728438</v>
      </c>
      <c r="I705" t="inlineStr"/>
      <c r="J705" t="inlineStr">
        <is>
          <t>United States|CSPX.L|2005</t>
        </is>
      </c>
      <c r="K705" t="inlineStr">
        <is>
          <t>United States|2005</t>
        </is>
      </c>
      <c r="L705" t="inlineStr">
        <is>
          <t>USD</t>
        </is>
      </c>
      <c r="M705" t="inlineStr"/>
      <c r="N705" t="inlineStr"/>
      <c r="O705" t="inlineStr"/>
      <c r="P705" t="n">
        <v>0</v>
      </c>
      <c r="Q705" t="inlineStr"/>
      <c r="R705" t="n">
        <v>3.366</v>
      </c>
      <c r="S705" t="n">
        <v>3.366</v>
      </c>
      <c r="T705" t="n">
        <v>0</v>
      </c>
      <c r="U705" t="n">
        <v>13039200000000</v>
      </c>
    </row>
    <row r="706">
      <c r="A706" t="inlineStr">
        <is>
          <t>United States</t>
        </is>
      </c>
      <c r="B706" t="inlineStr">
        <is>
          <t>USA</t>
        </is>
      </c>
      <c r="C706" t="inlineStr">
        <is>
          <t>CSPX.L</t>
        </is>
      </c>
      <c r="D706" t="n">
        <v>2006</v>
      </c>
      <c r="E706" t="inlineStr"/>
      <c r="F706" t="n">
        <v>2.785</v>
      </c>
      <c r="G706" t="n">
        <v>5.954353</v>
      </c>
      <c r="H706" t="n">
        <v>5.954353</v>
      </c>
      <c r="I706" t="inlineStr"/>
      <c r="J706" t="inlineStr">
        <is>
          <t>United States|CSPX.L|2006</t>
        </is>
      </c>
      <c r="K706" t="inlineStr">
        <is>
          <t>United States|2006</t>
        </is>
      </c>
      <c r="L706" t="inlineStr">
        <is>
          <t>USD</t>
        </is>
      </c>
      <c r="M706" t="inlineStr"/>
      <c r="N706" t="inlineStr"/>
      <c r="O706" t="inlineStr"/>
      <c r="P706" t="n">
        <v>0</v>
      </c>
      <c r="Q706" t="inlineStr"/>
      <c r="R706" t="n">
        <v>3.222</v>
      </c>
      <c r="S706" t="n">
        <v>3.222</v>
      </c>
      <c r="T706" t="n">
        <v>0</v>
      </c>
      <c r="U706" t="n">
        <v>13815600000000</v>
      </c>
    </row>
    <row r="707">
      <c r="A707" t="inlineStr">
        <is>
          <t>United States</t>
        </is>
      </c>
      <c r="B707" t="inlineStr">
        <is>
          <t>USA</t>
        </is>
      </c>
      <c r="C707" t="inlineStr">
        <is>
          <t>CSPX.L</t>
        </is>
      </c>
      <c r="D707" t="n">
        <v>2007</v>
      </c>
      <c r="E707" t="inlineStr"/>
      <c r="F707" t="n">
        <v>2.004</v>
      </c>
      <c r="G707" t="n">
        <v>4.767437</v>
      </c>
      <c r="H707" t="n">
        <v>4.767437</v>
      </c>
      <c r="I707" t="inlineStr"/>
      <c r="J707" t="inlineStr">
        <is>
          <t>United States|CSPX.L|2007</t>
        </is>
      </c>
      <c r="K707" t="inlineStr">
        <is>
          <t>United States|2007</t>
        </is>
      </c>
      <c r="L707" t="inlineStr">
        <is>
          <t>USD</t>
        </is>
      </c>
      <c r="M707" t="inlineStr"/>
      <c r="N707" t="inlineStr"/>
      <c r="O707" t="inlineStr"/>
      <c r="P707" t="n">
        <v>0</v>
      </c>
      <c r="Q707" t="inlineStr"/>
      <c r="R707" t="n">
        <v>2.871</v>
      </c>
      <c r="S707" t="n">
        <v>2.871</v>
      </c>
      <c r="T707" t="n">
        <v>0</v>
      </c>
      <c r="U707" t="n">
        <v>14474250000000</v>
      </c>
    </row>
    <row r="708">
      <c r="A708" t="inlineStr">
        <is>
          <t>United States</t>
        </is>
      </c>
      <c r="B708" t="inlineStr">
        <is>
          <t>USA</t>
        </is>
      </c>
      <c r="C708" t="inlineStr">
        <is>
          <t>CSPX.L</t>
        </is>
      </c>
      <c r="D708" t="n">
        <v>2008</v>
      </c>
      <c r="E708" t="inlineStr"/>
      <c r="F708" t="n">
        <v>0.114</v>
      </c>
      <c r="G708" t="n">
        <v>2.042247</v>
      </c>
      <c r="H708" t="n">
        <v>2.042247</v>
      </c>
      <c r="I708" t="inlineStr"/>
      <c r="J708" t="inlineStr">
        <is>
          <t>United States|CSPX.L|2008</t>
        </is>
      </c>
      <c r="K708" t="inlineStr">
        <is>
          <t>United States|2008</t>
        </is>
      </c>
      <c r="L708" t="inlineStr">
        <is>
          <t>USD</t>
        </is>
      </c>
      <c r="M708" t="inlineStr"/>
      <c r="N708" t="n">
        <v>0</v>
      </c>
      <c r="O708" t="inlineStr"/>
      <c r="P708" t="n">
        <v>0</v>
      </c>
      <c r="Q708" t="inlineStr"/>
      <c r="R708" t="n">
        <v>3.815</v>
      </c>
      <c r="S708" t="n">
        <v>3.815</v>
      </c>
      <c r="T708" t="n">
        <v>0</v>
      </c>
      <c r="U708" t="n">
        <v>14769850000000</v>
      </c>
    </row>
    <row r="709">
      <c r="A709" t="inlineStr">
        <is>
          <t>United States</t>
        </is>
      </c>
      <c r="B709" t="inlineStr">
        <is>
          <t>USA</t>
        </is>
      </c>
      <c r="C709" t="inlineStr">
        <is>
          <t>CSPX.L</t>
        </is>
      </c>
      <c r="D709" t="n">
        <v>2009</v>
      </c>
      <c r="E709" t="inlineStr"/>
      <c r="F709" t="n">
        <v>-2.576</v>
      </c>
      <c r="G709" t="n">
        <v>-1.975646</v>
      </c>
      <c r="H709" t="n">
        <v>-1.975646</v>
      </c>
      <c r="I709" t="inlineStr"/>
      <c r="J709" t="inlineStr">
        <is>
          <t>United States|CSPX.L|2009</t>
        </is>
      </c>
      <c r="K709" t="inlineStr">
        <is>
          <t>United States|2009</t>
        </is>
      </c>
      <c r="L709" t="inlineStr">
        <is>
          <t>USD</t>
        </is>
      </c>
      <c r="M709" t="inlineStr"/>
      <c r="N709" t="n">
        <v>0</v>
      </c>
      <c r="O709" t="inlineStr"/>
      <c r="P709" t="n">
        <v>0</v>
      </c>
      <c r="Q709" t="inlineStr"/>
      <c r="R709" t="n">
        <v>-0.32</v>
      </c>
      <c r="S709" t="n">
        <v>-0.32</v>
      </c>
      <c r="T709" t="n">
        <v>0</v>
      </c>
      <c r="U709" t="n">
        <v>14478050000000</v>
      </c>
    </row>
    <row r="710">
      <c r="A710" t="inlineStr">
        <is>
          <t>United States</t>
        </is>
      </c>
      <c r="B710" t="inlineStr">
        <is>
          <t>USA</t>
        </is>
      </c>
      <c r="C710" t="inlineStr">
        <is>
          <t>CSPX.L</t>
        </is>
      </c>
      <c r="D710" t="n">
        <v>2010</v>
      </c>
      <c r="E710" t="n">
        <v>12.52878491312401</v>
      </c>
      <c r="F710" t="n">
        <v>2.695</v>
      </c>
      <c r="G710" t="n">
        <v>3.943383</v>
      </c>
      <c r="H710" t="n">
        <v>3.943383</v>
      </c>
      <c r="I710" t="n">
        <v>-8.585401913124013</v>
      </c>
      <c r="J710" t="inlineStr">
        <is>
          <t>United States|CSPX.L|2010</t>
        </is>
      </c>
      <c r="K710" t="inlineStr">
        <is>
          <t>United States|2010</t>
        </is>
      </c>
      <c r="L710" t="inlineStr">
        <is>
          <t>USD</t>
        </is>
      </c>
      <c r="M710" t="n">
        <v>12.52878491312401</v>
      </c>
      <c r="N710" t="n">
        <v>0</v>
      </c>
      <c r="O710" t="n">
        <v>12.52878491312401</v>
      </c>
      <c r="P710" t="n">
        <v>0</v>
      </c>
      <c r="Q710" t="n">
        <v>12.52878491312401</v>
      </c>
      <c r="R710" t="n">
        <v>1.637</v>
      </c>
      <c r="S710" t="n">
        <v>1.637</v>
      </c>
      <c r="T710" t="n">
        <v>0</v>
      </c>
      <c r="U710" t="n">
        <v>15048975000000</v>
      </c>
    </row>
    <row r="711">
      <c r="A711" t="inlineStr">
        <is>
          <t>United States</t>
        </is>
      </c>
      <c r="B711" t="inlineStr">
        <is>
          <t>USA</t>
        </is>
      </c>
      <c r="C711" t="inlineStr">
        <is>
          <t>CSPX.L</t>
        </is>
      </c>
      <c r="D711" t="n">
        <v>2011</v>
      </c>
      <c r="E711" t="n">
        <v>1.424486614407949</v>
      </c>
      <c r="F711" t="n">
        <v>1.564</v>
      </c>
      <c r="G711" t="n">
        <v>3.659718</v>
      </c>
      <c r="H711" t="n">
        <v>3.659718</v>
      </c>
      <c r="I711" t="n">
        <v>2.23523138559205</v>
      </c>
      <c r="J711" t="inlineStr">
        <is>
          <t>United States|CSPX.L|2011</t>
        </is>
      </c>
      <c r="K711" t="inlineStr">
        <is>
          <t>United States|2011</t>
        </is>
      </c>
      <c r="L711" t="inlineStr">
        <is>
          <t>USD</t>
        </is>
      </c>
      <c r="M711" t="n">
        <v>1.424486614407949</v>
      </c>
      <c r="N711" t="n">
        <v>0</v>
      </c>
      <c r="O711" t="n">
        <v>1.424486614407949</v>
      </c>
      <c r="P711" t="n">
        <v>0</v>
      </c>
      <c r="Q711" t="n">
        <v>1.424486614407949</v>
      </c>
      <c r="R711" t="n">
        <v>3.14</v>
      </c>
      <c r="S711" t="n">
        <v>3.14</v>
      </c>
      <c r="T711" t="n">
        <v>0</v>
      </c>
      <c r="U711" t="n">
        <v>15599725000000</v>
      </c>
    </row>
    <row r="712">
      <c r="A712" t="inlineStr">
        <is>
          <t>United States</t>
        </is>
      </c>
      <c r="B712" t="inlineStr">
        <is>
          <t>USA</t>
        </is>
      </c>
      <c r="C712" t="inlineStr">
        <is>
          <t>CSPX.L</t>
        </is>
      </c>
      <c r="D712" t="n">
        <v>2012</v>
      </c>
      <c r="E712" t="n">
        <v>10.21221234610645</v>
      </c>
      <c r="F712" t="n">
        <v>2.289</v>
      </c>
      <c r="G712" t="n">
        <v>4.193824</v>
      </c>
      <c r="H712" t="n">
        <v>4.193824</v>
      </c>
      <c r="I712" t="n">
        <v>-6.018388346106453</v>
      </c>
      <c r="J712" t="inlineStr">
        <is>
          <t>United States|CSPX.L|2012</t>
        </is>
      </c>
      <c r="K712" t="inlineStr">
        <is>
          <t>United States|2012</t>
        </is>
      </c>
      <c r="L712" t="inlineStr">
        <is>
          <t>USD</t>
        </is>
      </c>
      <c r="M712" t="n">
        <v>10.21221234610645</v>
      </c>
      <c r="N712" t="n">
        <v>0</v>
      </c>
      <c r="O712" t="n">
        <v>10.21221234610645</v>
      </c>
      <c r="P712" t="n">
        <v>0</v>
      </c>
      <c r="Q712" t="n">
        <v>10.21221234610645</v>
      </c>
      <c r="R712" t="n">
        <v>2.073</v>
      </c>
      <c r="S712" t="n">
        <v>2.073</v>
      </c>
      <c r="T712" t="n">
        <v>0</v>
      </c>
      <c r="U712" t="n">
        <v>16253950000000</v>
      </c>
    </row>
    <row r="713">
      <c r="A713" t="inlineStr">
        <is>
          <t>United States</t>
        </is>
      </c>
      <c r="B713" t="inlineStr">
        <is>
          <t>USA</t>
        </is>
      </c>
      <c r="C713" t="inlineStr">
        <is>
          <t>CSPX.L</t>
        </is>
      </c>
      <c r="D713" t="n">
        <v>2013</v>
      </c>
      <c r="E713" t="n">
        <v>28.91294612383146</v>
      </c>
      <c r="F713" t="n">
        <v>2.118</v>
      </c>
      <c r="G713" t="n">
        <v>3.855832</v>
      </c>
      <c r="H713" t="n">
        <v>3.855832</v>
      </c>
      <c r="I713" t="n">
        <v>-25.05711412383146</v>
      </c>
      <c r="J713" t="inlineStr">
        <is>
          <t>United States|CSPX.L|2013</t>
        </is>
      </c>
      <c r="K713" t="inlineStr">
        <is>
          <t>United States|2013</t>
        </is>
      </c>
      <c r="L713" t="inlineStr">
        <is>
          <t>USD</t>
        </is>
      </c>
      <c r="M713" t="n">
        <v>28.91294612383146</v>
      </c>
      <c r="N713" t="n">
        <v>0</v>
      </c>
      <c r="O713" t="n">
        <v>28.91294612383146</v>
      </c>
      <c r="P713" t="n">
        <v>0</v>
      </c>
      <c r="Q713" t="n">
        <v>28.91294612383146</v>
      </c>
      <c r="R713" t="n">
        <v>1.466</v>
      </c>
      <c r="S713" t="n">
        <v>1.466</v>
      </c>
      <c r="T713" t="n">
        <v>0</v>
      </c>
      <c r="U713" t="n">
        <v>16880675000000</v>
      </c>
    </row>
    <row r="714">
      <c r="A714" t="inlineStr">
        <is>
          <t>United States</t>
        </is>
      </c>
      <c r="B714" t="inlineStr">
        <is>
          <t>USA</t>
        </is>
      </c>
      <c r="C714" t="inlineStr">
        <is>
          <t>CSPX.L</t>
        </is>
      </c>
      <c r="D714" t="n">
        <v>2014</v>
      </c>
      <c r="E714" t="n">
        <v>15.36551485097934</v>
      </c>
      <c r="F714" t="n">
        <v>2.524</v>
      </c>
      <c r="G714" t="n">
        <v>4.309366</v>
      </c>
      <c r="H714" t="n">
        <v>4.309366</v>
      </c>
      <c r="I714" t="n">
        <v>-11.05614885097934</v>
      </c>
      <c r="J714" t="inlineStr">
        <is>
          <t>United States|CSPX.L|2014</t>
        </is>
      </c>
      <c r="K714" t="inlineStr">
        <is>
          <t>United States|2014</t>
        </is>
      </c>
      <c r="L714" t="inlineStr">
        <is>
          <t>USD</t>
        </is>
      </c>
      <c r="M714" t="n">
        <v>15.36551485097934</v>
      </c>
      <c r="N714" t="n">
        <v>0</v>
      </c>
      <c r="O714" t="n">
        <v>15.36551485097934</v>
      </c>
      <c r="P714" t="n">
        <v>0</v>
      </c>
      <c r="Q714" t="n">
        <v>15.36551485097934</v>
      </c>
      <c r="R714" t="n">
        <v>1.615</v>
      </c>
      <c r="S714" t="n">
        <v>1.615</v>
      </c>
      <c r="T714" t="n">
        <v>0</v>
      </c>
      <c r="U714" t="n">
        <v>17608125000000</v>
      </c>
    </row>
    <row r="715">
      <c r="A715" t="inlineStr">
        <is>
          <t>United States</t>
        </is>
      </c>
      <c r="B715" t="inlineStr">
        <is>
          <t>USA</t>
        </is>
      </c>
      <c r="C715" t="inlineStr">
        <is>
          <t>CSPX.L</t>
        </is>
      </c>
      <c r="D715" t="n">
        <v>2015</v>
      </c>
      <c r="E715" t="n">
        <v>2.070451140200924</v>
      </c>
      <c r="F715" t="n">
        <v>2.946</v>
      </c>
      <c r="G715" t="n">
        <v>3.900898</v>
      </c>
      <c r="H715" t="n">
        <v>3.900898</v>
      </c>
      <c r="I715" t="n">
        <v>1.830446859799076</v>
      </c>
      <c r="J715" t="inlineStr">
        <is>
          <t>United States|CSPX.L|2015</t>
        </is>
      </c>
      <c r="K715" t="inlineStr">
        <is>
          <t>United States|2015</t>
        </is>
      </c>
      <c r="L715" t="inlineStr">
        <is>
          <t>USD</t>
        </is>
      </c>
      <c r="M715" t="n">
        <v>2.070451140200924</v>
      </c>
      <c r="N715" t="n">
        <v>0</v>
      </c>
      <c r="O715" t="n">
        <v>2.070451140200924</v>
      </c>
      <c r="P715" t="n">
        <v>0</v>
      </c>
      <c r="Q715" t="n">
        <v>2.070451140200924</v>
      </c>
      <c r="R715" t="n">
        <v>0.121</v>
      </c>
      <c r="S715" t="n">
        <v>0.121</v>
      </c>
      <c r="T715" t="n">
        <v>0</v>
      </c>
      <c r="U715" t="n">
        <v>18295000000000</v>
      </c>
    </row>
    <row r="716">
      <c r="A716" t="inlineStr">
        <is>
          <t>United States</t>
        </is>
      </c>
      <c r="B716" t="inlineStr">
        <is>
          <t>USA</t>
        </is>
      </c>
      <c r="C716" t="inlineStr">
        <is>
          <t>CSPX.L</t>
        </is>
      </c>
      <c r="D716" t="n">
        <v>2016</v>
      </c>
      <c r="E716" t="n">
        <v>15.09546206966357</v>
      </c>
      <c r="F716" t="n">
        <v>1.82</v>
      </c>
      <c r="G716" t="n">
        <v>2.7871</v>
      </c>
      <c r="H716" t="n">
        <v>2.7871</v>
      </c>
      <c r="I716" t="n">
        <v>-12.30836206966357</v>
      </c>
      <c r="J716" t="inlineStr">
        <is>
          <t>United States|CSPX.L|2016</t>
        </is>
      </c>
      <c r="K716" t="inlineStr">
        <is>
          <t>United States|2016</t>
        </is>
      </c>
      <c r="L716" t="inlineStr">
        <is>
          <t>USD</t>
        </is>
      </c>
      <c r="M716" t="n">
        <v>15.09546206966357</v>
      </c>
      <c r="N716" t="n">
        <v>0</v>
      </c>
      <c r="O716" t="n">
        <v>15.09546206966357</v>
      </c>
      <c r="P716" t="n">
        <v>0</v>
      </c>
      <c r="Q716" t="n">
        <v>15.09546206966357</v>
      </c>
      <c r="R716" t="n">
        <v>1.267</v>
      </c>
      <c r="S716" t="n">
        <v>1.267</v>
      </c>
      <c r="T716" t="n">
        <v>0</v>
      </c>
      <c r="U716" t="n">
        <v>18804900000000</v>
      </c>
    </row>
    <row r="717">
      <c r="A717" t="inlineStr">
        <is>
          <t>United States</t>
        </is>
      </c>
      <c r="B717" t="inlineStr">
        <is>
          <t>USA</t>
        </is>
      </c>
      <c r="C717" t="inlineStr">
        <is>
          <t>CSPX.L</t>
        </is>
      </c>
      <c r="D717" t="n">
        <v>2017</v>
      </c>
      <c r="E717" t="n">
        <v>21.75331032463907</v>
      </c>
      <c r="F717" t="n">
        <v>2.458</v>
      </c>
      <c r="G717" t="n">
        <v>4.292498</v>
      </c>
      <c r="H717" t="n">
        <v>4.292498</v>
      </c>
      <c r="I717" t="n">
        <v>-17.46081232463907</v>
      </c>
      <c r="J717" t="inlineStr">
        <is>
          <t>United States|CSPX.L|2017</t>
        </is>
      </c>
      <c r="K717" t="inlineStr">
        <is>
          <t>United States|2017</t>
        </is>
      </c>
      <c r="L717" t="inlineStr">
        <is>
          <t>USD</t>
        </is>
      </c>
      <c r="M717" t="n">
        <v>21.75331032463907</v>
      </c>
      <c r="N717" t="n">
        <v>0</v>
      </c>
      <c r="O717" t="n">
        <v>21.75331032463907</v>
      </c>
      <c r="P717" t="n">
        <v>0</v>
      </c>
      <c r="Q717" t="n">
        <v>21.75331032463907</v>
      </c>
      <c r="R717" t="n">
        <v>2.131</v>
      </c>
      <c r="S717" t="n">
        <v>2.131</v>
      </c>
      <c r="T717" t="n">
        <v>0</v>
      </c>
      <c r="U717" t="n">
        <v>19612100000000</v>
      </c>
    </row>
    <row r="718">
      <c r="A718" t="inlineStr">
        <is>
          <t>United States</t>
        </is>
      </c>
      <c r="B718" t="inlineStr">
        <is>
          <t>USA</t>
        </is>
      </c>
      <c r="C718" t="inlineStr">
        <is>
          <t>CSPX.L</t>
        </is>
      </c>
      <c r="D718" t="n">
        <v>2018</v>
      </c>
      <c r="E718" t="n">
        <v>-5.182610110960129</v>
      </c>
      <c r="F718" t="n">
        <v>2.967</v>
      </c>
      <c r="G718" t="n">
        <v>5.325411</v>
      </c>
      <c r="H718" t="n">
        <v>5.325411</v>
      </c>
      <c r="I718" t="n">
        <v>10.50802111096013</v>
      </c>
      <c r="J718" t="inlineStr">
        <is>
          <t>United States|CSPX.L|2018</t>
        </is>
      </c>
      <c r="K718" t="inlineStr">
        <is>
          <t>United States|2018</t>
        </is>
      </c>
      <c r="L718" t="inlineStr">
        <is>
          <t>USD</t>
        </is>
      </c>
      <c r="M718" t="n">
        <v>-5.182610110960129</v>
      </c>
      <c r="N718" t="n">
        <v>0</v>
      </c>
      <c r="O718" t="n">
        <v>-5.182610110960129</v>
      </c>
      <c r="P718" t="n">
        <v>0</v>
      </c>
      <c r="Q718" t="n">
        <v>-5.182610110960129</v>
      </c>
      <c r="R718" t="n">
        <v>2.439</v>
      </c>
      <c r="S718" t="n">
        <v>2.439</v>
      </c>
      <c r="T718" t="n">
        <v>0</v>
      </c>
      <c r="U718" t="n">
        <v>20656525000000</v>
      </c>
    </row>
    <row r="719">
      <c r="A719" t="inlineStr">
        <is>
          <t>United States</t>
        </is>
      </c>
      <c r="B719" t="inlineStr">
        <is>
          <t>USA</t>
        </is>
      </c>
      <c r="C719" t="inlineStr">
        <is>
          <t>CSPX.L</t>
        </is>
      </c>
      <c r="D719" t="n">
        <v>2019</v>
      </c>
      <c r="E719" t="n">
        <v>30.78807504109404</v>
      </c>
      <c r="F719" t="n">
        <v>2.584</v>
      </c>
      <c r="G719" t="n">
        <v>4.276857</v>
      </c>
      <c r="H719" t="n">
        <v>4.276857</v>
      </c>
      <c r="I719" t="n">
        <v>-26.51121804109404</v>
      </c>
      <c r="J719" t="inlineStr">
        <is>
          <t>United States|CSPX.L|2019</t>
        </is>
      </c>
      <c r="K719" t="inlineStr">
        <is>
          <t>United States|2019</t>
        </is>
      </c>
      <c r="L719" t="inlineStr">
        <is>
          <t>USD</t>
        </is>
      </c>
      <c r="M719" t="n">
        <v>30.78807504109404</v>
      </c>
      <c r="N719" t="n">
        <v>0</v>
      </c>
      <c r="O719" t="n">
        <v>30.78807504109404</v>
      </c>
      <c r="P719" t="n">
        <v>0</v>
      </c>
      <c r="Q719" t="n">
        <v>30.78807504109404</v>
      </c>
      <c r="R719" t="n">
        <v>1.813</v>
      </c>
      <c r="S719" t="n">
        <v>1.813</v>
      </c>
      <c r="T719" t="n">
        <v>0</v>
      </c>
      <c r="U719" t="n">
        <v>21539975000000</v>
      </c>
    </row>
    <row r="720">
      <c r="A720" t="inlineStr">
        <is>
          <t>United States</t>
        </is>
      </c>
      <c r="B720" t="inlineStr">
        <is>
          <t>USA</t>
        </is>
      </c>
      <c r="C720" t="inlineStr">
        <is>
          <t>CSPX.L</t>
        </is>
      </c>
      <c r="D720" t="n">
        <v>2020</v>
      </c>
      <c r="E720" t="n">
        <v>17.10129211912717</v>
      </c>
      <c r="F720" t="n">
        <v>-2.081</v>
      </c>
      <c r="G720" t="n">
        <v>-0.764625</v>
      </c>
      <c r="H720" t="n">
        <v>-0.764625</v>
      </c>
      <c r="I720" t="n">
        <v>-17.86591711912716</v>
      </c>
      <c r="J720" t="inlineStr">
        <is>
          <t>United States|CSPX.L|2020</t>
        </is>
      </c>
      <c r="K720" t="inlineStr">
        <is>
          <t>United States|2020</t>
        </is>
      </c>
      <c r="L720" t="inlineStr">
        <is>
          <t>USD</t>
        </is>
      </c>
      <c r="M720" t="n">
        <v>17.10129211912717</v>
      </c>
      <c r="N720" t="n">
        <v>0</v>
      </c>
      <c r="O720" t="n">
        <v>17.10129211912717</v>
      </c>
      <c r="P720" t="n">
        <v>0</v>
      </c>
      <c r="Q720" t="n">
        <v>17.10129211912717</v>
      </c>
      <c r="R720" t="n">
        <v>1.253</v>
      </c>
      <c r="S720" t="n">
        <v>1.253</v>
      </c>
      <c r="T720" t="n">
        <v>0</v>
      </c>
      <c r="U720" t="n">
        <v>21375275000000</v>
      </c>
    </row>
    <row r="721">
      <c r="A721" t="inlineStr">
        <is>
          <t>United States</t>
        </is>
      </c>
      <c r="B721" t="inlineStr">
        <is>
          <t>USA</t>
        </is>
      </c>
      <c r="C721" t="inlineStr">
        <is>
          <t>CSPX.L</t>
        </is>
      </c>
      <c r="D721" t="n">
        <v>2021</v>
      </c>
      <c r="E721" t="n">
        <v>30.40325324854079</v>
      </c>
      <c r="F721" t="n">
        <v>6.152</v>
      </c>
      <c r="G721" t="n">
        <v>10.995765</v>
      </c>
      <c r="H721" t="n">
        <v>10.995765</v>
      </c>
      <c r="I721" t="n">
        <v>-19.40748824854079</v>
      </c>
      <c r="J721" t="inlineStr">
        <is>
          <t>United States|CSPX.L|2021</t>
        </is>
      </c>
      <c r="K721" t="inlineStr">
        <is>
          <t>United States|2021</t>
        </is>
      </c>
      <c r="L721" t="inlineStr">
        <is>
          <t>USD</t>
        </is>
      </c>
      <c r="M721" t="n">
        <v>30.40325324854079</v>
      </c>
      <c r="N721" t="n">
        <v>0</v>
      </c>
      <c r="O721" t="n">
        <v>30.40325324854079</v>
      </c>
      <c r="P721" t="n">
        <v>0</v>
      </c>
      <c r="Q721" t="n">
        <v>30.40325324854079</v>
      </c>
      <c r="R721" t="n">
        <v>4.679</v>
      </c>
      <c r="S721" t="n">
        <v>4.679</v>
      </c>
      <c r="T721" t="n">
        <v>0</v>
      </c>
      <c r="U721" t="n">
        <v>23725650000000</v>
      </c>
    </row>
    <row r="722">
      <c r="A722" t="inlineStr">
        <is>
          <t>United States</t>
        </is>
      </c>
      <c r="B722" t="inlineStr">
        <is>
          <t>USA</t>
        </is>
      </c>
      <c r="C722" t="inlineStr">
        <is>
          <t>CSPX.L</t>
        </is>
      </c>
      <c r="D722" t="n">
        <v>2022</v>
      </c>
      <c r="E722" t="n">
        <v>-19.03146132154795</v>
      </c>
      <c r="F722" t="n">
        <v>2.524</v>
      </c>
      <c r="G722" t="n">
        <v>9.816169</v>
      </c>
      <c r="H722" t="n">
        <v>9.816169</v>
      </c>
      <c r="I722" t="n">
        <v>28.84763032154795</v>
      </c>
      <c r="J722" t="inlineStr">
        <is>
          <t>United States|CSPX.L|2022</t>
        </is>
      </c>
      <c r="K722" t="inlineStr">
        <is>
          <t>United States|2022</t>
        </is>
      </c>
      <c r="L722" t="inlineStr">
        <is>
          <t>USD</t>
        </is>
      </c>
      <c r="M722" t="n">
        <v>-19.03146132154795</v>
      </c>
      <c r="N722" t="n">
        <v>0</v>
      </c>
      <c r="O722" t="n">
        <v>-19.03146132154795</v>
      </c>
      <c r="P722" t="n">
        <v>0</v>
      </c>
      <c r="Q722" t="n">
        <v>-19.03146132154795</v>
      </c>
      <c r="R722" t="n">
        <v>7.993</v>
      </c>
      <c r="S722" t="n">
        <v>7.993</v>
      </c>
      <c r="T722" t="n">
        <v>0</v>
      </c>
      <c r="U722" t="n">
        <v>26054600000000</v>
      </c>
    </row>
    <row r="723">
      <c r="A723" t="inlineStr">
        <is>
          <t>United States</t>
        </is>
      </c>
      <c r="B723" t="inlineStr">
        <is>
          <t>USA</t>
        </is>
      </c>
      <c r="C723" t="inlineStr">
        <is>
          <t>CSPX.L</t>
        </is>
      </c>
      <c r="D723" t="n">
        <v>2023</v>
      </c>
      <c r="E723" t="n">
        <v>27.32068620122947</v>
      </c>
      <c r="F723" t="n">
        <v>2.935</v>
      </c>
      <c r="G723" t="n">
        <v>6.743147</v>
      </c>
      <c r="H723" t="n">
        <v>6.743147</v>
      </c>
      <c r="I723" t="n">
        <v>-20.57753920122947</v>
      </c>
      <c r="J723" t="inlineStr">
        <is>
          <t>United States|CSPX.L|2023</t>
        </is>
      </c>
      <c r="K723" t="inlineStr">
        <is>
          <t>United States|2023</t>
        </is>
      </c>
      <c r="L723" t="inlineStr">
        <is>
          <t>USD</t>
        </is>
      </c>
      <c r="M723" t="n">
        <v>27.32068620122947</v>
      </c>
      <c r="N723" t="n">
        <v>0</v>
      </c>
      <c r="O723" t="n">
        <v>27.32068620122947</v>
      </c>
      <c r="P723" t="n">
        <v>0</v>
      </c>
      <c r="Q723" t="n">
        <v>27.32068620122947</v>
      </c>
      <c r="R723" t="n">
        <v>4.128</v>
      </c>
      <c r="S723" t="n">
        <v>4.128</v>
      </c>
      <c r="T723" t="n">
        <v>0</v>
      </c>
      <c r="U723" t="n">
        <v>27811500000000</v>
      </c>
    </row>
    <row r="724">
      <c r="A724" t="inlineStr">
        <is>
          <t>United States</t>
        </is>
      </c>
      <c r="B724" t="inlineStr">
        <is>
          <t>USA</t>
        </is>
      </c>
      <c r="C724" t="inlineStr">
        <is>
          <t>CSPX.L</t>
        </is>
      </c>
      <c r="D724" t="n">
        <v>2024</v>
      </c>
      <c r="E724" t="n">
        <v>26.3650865018394</v>
      </c>
      <c r="F724" t="n">
        <v>2.793</v>
      </c>
      <c r="G724" t="n">
        <v>5.345001</v>
      </c>
      <c r="H724" t="n">
        <v>5.345001</v>
      </c>
      <c r="I724" t="n">
        <v>-21.0200855018394</v>
      </c>
      <c r="J724" t="inlineStr">
        <is>
          <t>United States|CSPX.L|2024</t>
        </is>
      </c>
      <c r="K724" t="inlineStr">
        <is>
          <t>United States|2024</t>
        </is>
      </c>
      <c r="L724" t="inlineStr">
        <is>
          <t>USD</t>
        </is>
      </c>
      <c r="M724" t="n">
        <v>26.3650865018394</v>
      </c>
      <c r="N724" t="n">
        <v>0</v>
      </c>
      <c r="O724" t="n">
        <v>26.3650865018394</v>
      </c>
      <c r="P724" t="n">
        <v>0</v>
      </c>
      <c r="Q724" t="n">
        <v>26.3650865018394</v>
      </c>
      <c r="R724" t="n">
        <v>2.952</v>
      </c>
      <c r="S724" t="n">
        <v>2.952</v>
      </c>
      <c r="T724" t="n">
        <v>0</v>
      </c>
      <c r="U724" t="n">
        <v>29298025000000</v>
      </c>
    </row>
    <row r="725">
      <c r="A725" t="inlineStr">
        <is>
          <t>United States</t>
        </is>
      </c>
      <c r="B725" t="inlineStr">
        <is>
          <t>USA</t>
        </is>
      </c>
      <c r="C725" t="inlineStr">
        <is>
          <t>CSPX.L</t>
        </is>
      </c>
      <c r="D725" t="n">
        <v>2025</v>
      </c>
      <c r="E725" t="n">
        <v>18.0137493932327</v>
      </c>
      <c r="F725" t="n">
        <v>2.017</v>
      </c>
      <c r="G725" t="n">
        <v>4.497634</v>
      </c>
      <c r="H725" t="n">
        <v>4.497634</v>
      </c>
      <c r="I725" t="n">
        <v>-13.5161153932327</v>
      </c>
      <c r="J725" t="inlineStr">
        <is>
          <t>United States|CSPX.L|2025</t>
        </is>
      </c>
      <c r="K725" t="inlineStr">
        <is>
          <t>United States|2025</t>
        </is>
      </c>
      <c r="L725" t="inlineStr">
        <is>
          <t>USD</t>
        </is>
      </c>
      <c r="M725" t="n">
        <v>18.0137493932327</v>
      </c>
      <c r="N725" t="n">
        <v>0</v>
      </c>
      <c r="O725" t="n">
        <v>18.0137493932327</v>
      </c>
      <c r="P725" t="n">
        <v>0</v>
      </c>
      <c r="Q725" t="n">
        <v>18.0137493932327</v>
      </c>
      <c r="R725" t="n">
        <v>2.715</v>
      </c>
      <c r="S725" t="n">
        <v>2.715</v>
      </c>
      <c r="T725" t="n">
        <v>0</v>
      </c>
      <c r="U725" t="n">
        <v>30615743000000</v>
      </c>
    </row>
    <row r="726">
      <c r="A726" t="inlineStr">
        <is>
          <t>United States</t>
        </is>
      </c>
      <c r="B726" t="inlineStr">
        <is>
          <t>USA</t>
        </is>
      </c>
      <c r="C726" t="inlineStr">
        <is>
          <t>CSPX.L</t>
        </is>
      </c>
      <c r="D726" t="n">
        <v>2026</v>
      </c>
      <c r="E726" t="n">
        <v>-0.2562990556159495</v>
      </c>
      <c r="F726" t="n">
        <v>2.102</v>
      </c>
      <c r="G726" t="n">
        <v>3.93768</v>
      </c>
      <c r="H726" t="n">
        <v>3.93768</v>
      </c>
      <c r="I726" t="n">
        <v>4.19397905561595</v>
      </c>
      <c r="J726" t="inlineStr">
        <is>
          <t>United States|CSPX.L|2026</t>
        </is>
      </c>
      <c r="K726" t="inlineStr">
        <is>
          <t>United States|2026</t>
        </is>
      </c>
      <c r="L726" t="inlineStr">
        <is>
          <t>USD</t>
        </is>
      </c>
      <c r="M726" t="n">
        <v>-0.2562990556159495</v>
      </c>
      <c r="N726" t="n">
        <v>0</v>
      </c>
      <c r="O726" t="n">
        <v>-0.2562990556159495</v>
      </c>
      <c r="P726" t="n">
        <v>0</v>
      </c>
      <c r="Q726" t="n">
        <v>-0.2562990556159495</v>
      </c>
      <c r="R726" t="n">
        <v>2.435</v>
      </c>
      <c r="S726" t="n">
        <v>2.435</v>
      </c>
      <c r="T726" t="n">
        <v>0</v>
      </c>
      <c r="U726" t="n">
        <v>31821293000000</v>
      </c>
    </row>
    <row r="727">
      <c r="A727" t="inlineStr">
        <is>
          <t>United States</t>
        </is>
      </c>
      <c r="B727" t="inlineStr">
        <is>
          <t>USA</t>
        </is>
      </c>
      <c r="C727" t="inlineStr">
        <is>
          <t>CSPX.L</t>
        </is>
      </c>
      <c r="D727" t="n">
        <v>2027</v>
      </c>
      <c r="E727" t="inlineStr"/>
      <c r="F727" t="n">
        <v>2.055</v>
      </c>
      <c r="G727" t="n">
        <v>3.766927</v>
      </c>
      <c r="H727" t="n">
        <v>3.766927</v>
      </c>
      <c r="I727" t="inlineStr"/>
      <c r="J727" t="inlineStr">
        <is>
          <t>United States|CSPX.L|2027</t>
        </is>
      </c>
      <c r="K727" t="inlineStr">
        <is>
          <t>United States|2027</t>
        </is>
      </c>
      <c r="L727" t="inlineStr">
        <is>
          <t>USD</t>
        </is>
      </c>
      <c r="M727" t="inlineStr"/>
      <c r="N727" t="inlineStr"/>
      <c r="O727" t="inlineStr"/>
      <c r="P727" t="n">
        <v>0</v>
      </c>
      <c r="Q727" t="inlineStr"/>
      <c r="R727" t="n">
        <v>2.185</v>
      </c>
      <c r="S727" t="n">
        <v>2.185</v>
      </c>
      <c r="T727" t="n">
        <v>0</v>
      </c>
      <c r="U727" t="n">
        <v>33019978000000</v>
      </c>
    </row>
    <row r="728">
      <c r="A728" t="inlineStr">
        <is>
          <t>United States</t>
        </is>
      </c>
      <c r="B728" t="inlineStr">
        <is>
          <t>USA</t>
        </is>
      </c>
      <c r="C728" t="inlineStr">
        <is>
          <t>CSPX.L</t>
        </is>
      </c>
      <c r="D728" t="n">
        <v>2028</v>
      </c>
      <c r="E728" t="inlineStr"/>
      <c r="F728" t="n">
        <v>2.093</v>
      </c>
      <c r="G728" t="n">
        <v>3.750526</v>
      </c>
      <c r="H728" t="n">
        <v>3.750526</v>
      </c>
      <c r="I728" t="inlineStr"/>
      <c r="J728" t="inlineStr">
        <is>
          <t>United States|CSPX.L|2028</t>
        </is>
      </c>
      <c r="K728" t="inlineStr">
        <is>
          <t>United States|2028</t>
        </is>
      </c>
      <c r="L728" t="inlineStr">
        <is>
          <t>USD</t>
        </is>
      </c>
      <c r="M728" t="inlineStr"/>
      <c r="N728" t="inlineStr"/>
      <c r="O728" t="inlineStr"/>
      <c r="P728" t="n">
        <v>0</v>
      </c>
      <c r="Q728" t="inlineStr"/>
      <c r="R728" t="n">
        <v>2.206</v>
      </c>
      <c r="S728" t="n">
        <v>2.206</v>
      </c>
      <c r="T728" t="n">
        <v>0</v>
      </c>
      <c r="U728" t="n">
        <v>34258401000000</v>
      </c>
    </row>
    <row r="729">
      <c r="A729" t="inlineStr">
        <is>
          <t>United States</t>
        </is>
      </c>
      <c r="B729" t="inlineStr">
        <is>
          <t>USA</t>
        </is>
      </c>
      <c r="C729" t="inlineStr">
        <is>
          <t>CSPX.L</t>
        </is>
      </c>
      <c r="D729" t="n">
        <v>2029</v>
      </c>
      <c r="E729" t="inlineStr"/>
      <c r="F729" t="n">
        <v>1.881</v>
      </c>
      <c r="G729" t="n">
        <v>3.66459</v>
      </c>
      <c r="H729" t="n">
        <v>3.66459</v>
      </c>
      <c r="I729" t="inlineStr"/>
      <c r="J729" t="inlineStr">
        <is>
          <t>United States|CSPX.L|2029</t>
        </is>
      </c>
      <c r="K729" t="inlineStr">
        <is>
          <t>United States|2029</t>
        </is>
      </c>
      <c r="L729" t="inlineStr">
        <is>
          <t>USD</t>
        </is>
      </c>
      <c r="M729" t="inlineStr"/>
      <c r="N729" t="inlineStr"/>
      <c r="O729" t="inlineStr"/>
      <c r="P729" t="n">
        <v>0</v>
      </c>
      <c r="Q729" t="inlineStr"/>
      <c r="R729" t="n">
        <v>2.203</v>
      </c>
      <c r="S729" t="n">
        <v>2.203</v>
      </c>
      <c r="T729" t="n">
        <v>0</v>
      </c>
      <c r="U729" t="n">
        <v>35513831000000</v>
      </c>
    </row>
    <row r="730">
      <c r="A730" t="inlineStr">
        <is>
          <t>United States</t>
        </is>
      </c>
      <c r="B730" t="inlineStr">
        <is>
          <t>USA</t>
        </is>
      </c>
      <c r="C730" t="inlineStr">
        <is>
          <t>CSUS.L</t>
        </is>
      </c>
      <c r="D730" t="n">
        <v>2004</v>
      </c>
      <c r="E730" t="inlineStr"/>
      <c r="F730" t="n">
        <v>3.848</v>
      </c>
      <c r="G730" t="inlineStr"/>
      <c r="H730" t="inlineStr"/>
      <c r="I730" t="inlineStr"/>
      <c r="J730" t="inlineStr">
        <is>
          <t>United States|CSUS.L|2004</t>
        </is>
      </c>
      <c r="K730" t="inlineStr">
        <is>
          <t>United States|2004</t>
        </is>
      </c>
      <c r="L730" t="inlineStr">
        <is>
          <t>USD</t>
        </is>
      </c>
      <c r="M730" t="inlineStr"/>
      <c r="N730" t="inlineStr"/>
      <c r="O730" t="inlineStr"/>
      <c r="P730" t="inlineStr"/>
      <c r="Q730" t="inlineStr"/>
      <c r="R730" t="n">
        <v>2.668</v>
      </c>
      <c r="S730" t="n">
        <v>2.668</v>
      </c>
      <c r="T730" t="n">
        <v>0</v>
      </c>
      <c r="U730" t="n">
        <v>12217175000000</v>
      </c>
    </row>
    <row r="731">
      <c r="A731" t="inlineStr">
        <is>
          <t>United States</t>
        </is>
      </c>
      <c r="B731" t="inlineStr">
        <is>
          <t>USA</t>
        </is>
      </c>
      <c r="C731" t="inlineStr">
        <is>
          <t>CSUS.L</t>
        </is>
      </c>
      <c r="D731" t="n">
        <v>2005</v>
      </c>
      <c r="E731" t="inlineStr"/>
      <c r="F731" t="n">
        <v>3.483</v>
      </c>
      <c r="G731" t="n">
        <v>6.728438</v>
      </c>
      <c r="H731" t="n">
        <v>6.728438</v>
      </c>
      <c r="I731" t="inlineStr"/>
      <c r="J731" t="inlineStr">
        <is>
          <t>United States|CSUS.L|2005</t>
        </is>
      </c>
      <c r="K731" t="inlineStr">
        <is>
          <t>United States|2005</t>
        </is>
      </c>
      <c r="L731" t="inlineStr">
        <is>
          <t>USD</t>
        </is>
      </c>
      <c r="M731" t="inlineStr"/>
      <c r="N731" t="inlineStr"/>
      <c r="O731" t="inlineStr"/>
      <c r="P731" t="n">
        <v>0</v>
      </c>
      <c r="Q731" t="inlineStr"/>
      <c r="R731" t="n">
        <v>3.366</v>
      </c>
      <c r="S731" t="n">
        <v>3.366</v>
      </c>
      <c r="T731" t="n">
        <v>0</v>
      </c>
      <c r="U731" t="n">
        <v>13039200000000</v>
      </c>
    </row>
    <row r="732">
      <c r="A732" t="inlineStr">
        <is>
          <t>United States</t>
        </is>
      </c>
      <c r="B732" t="inlineStr">
        <is>
          <t>USA</t>
        </is>
      </c>
      <c r="C732" t="inlineStr">
        <is>
          <t>CSUS.L</t>
        </is>
      </c>
      <c r="D732" t="n">
        <v>2006</v>
      </c>
      <c r="E732" t="inlineStr"/>
      <c r="F732" t="n">
        <v>2.785</v>
      </c>
      <c r="G732" t="n">
        <v>5.954353</v>
      </c>
      <c r="H732" t="n">
        <v>5.954353</v>
      </c>
      <c r="I732" t="inlineStr"/>
      <c r="J732" t="inlineStr">
        <is>
          <t>United States|CSUS.L|2006</t>
        </is>
      </c>
      <c r="K732" t="inlineStr">
        <is>
          <t>United States|2006</t>
        </is>
      </c>
      <c r="L732" t="inlineStr">
        <is>
          <t>USD</t>
        </is>
      </c>
      <c r="M732" t="inlineStr"/>
      <c r="N732" t="inlineStr"/>
      <c r="O732" t="inlineStr"/>
      <c r="P732" t="n">
        <v>0</v>
      </c>
      <c r="Q732" t="inlineStr"/>
      <c r="R732" t="n">
        <v>3.222</v>
      </c>
      <c r="S732" t="n">
        <v>3.222</v>
      </c>
      <c r="T732" t="n">
        <v>0</v>
      </c>
      <c r="U732" t="n">
        <v>13815600000000</v>
      </c>
    </row>
    <row r="733">
      <c r="A733" t="inlineStr">
        <is>
          <t>United States</t>
        </is>
      </c>
      <c r="B733" t="inlineStr">
        <is>
          <t>USA</t>
        </is>
      </c>
      <c r="C733" t="inlineStr">
        <is>
          <t>CSUS.L</t>
        </is>
      </c>
      <c r="D733" t="n">
        <v>2007</v>
      </c>
      <c r="E733" t="inlineStr"/>
      <c r="F733" t="n">
        <v>2.004</v>
      </c>
      <c r="G733" t="n">
        <v>4.767437</v>
      </c>
      <c r="H733" t="n">
        <v>4.767437</v>
      </c>
      <c r="I733" t="inlineStr"/>
      <c r="J733" t="inlineStr">
        <is>
          <t>United States|CSUS.L|2007</t>
        </is>
      </c>
      <c r="K733" t="inlineStr">
        <is>
          <t>United States|2007</t>
        </is>
      </c>
      <c r="L733" t="inlineStr">
        <is>
          <t>USD</t>
        </is>
      </c>
      <c r="M733" t="inlineStr"/>
      <c r="N733" t="inlineStr"/>
      <c r="O733" t="inlineStr"/>
      <c r="P733" t="n">
        <v>0</v>
      </c>
      <c r="Q733" t="inlineStr"/>
      <c r="R733" t="n">
        <v>2.871</v>
      </c>
      <c r="S733" t="n">
        <v>2.871</v>
      </c>
      <c r="T733" t="n">
        <v>0</v>
      </c>
      <c r="U733" t="n">
        <v>14474250000000</v>
      </c>
    </row>
    <row r="734">
      <c r="A734" t="inlineStr">
        <is>
          <t>United States</t>
        </is>
      </c>
      <c r="B734" t="inlineStr">
        <is>
          <t>USA</t>
        </is>
      </c>
      <c r="C734" t="inlineStr">
        <is>
          <t>CSUS.L</t>
        </is>
      </c>
      <c r="D734" t="n">
        <v>2008</v>
      </c>
      <c r="E734" t="inlineStr"/>
      <c r="F734" t="n">
        <v>0.114</v>
      </c>
      <c r="G734" t="n">
        <v>2.042247</v>
      </c>
      <c r="H734" t="n">
        <v>2.042247</v>
      </c>
      <c r="I734" t="inlineStr"/>
      <c r="J734" t="inlineStr">
        <is>
          <t>United States|CSUS.L|2008</t>
        </is>
      </c>
      <c r="K734" t="inlineStr">
        <is>
          <t>United States|2008</t>
        </is>
      </c>
      <c r="L734" t="inlineStr">
        <is>
          <t>USD</t>
        </is>
      </c>
      <c r="M734" t="inlineStr"/>
      <c r="N734" t="n">
        <v>0</v>
      </c>
      <c r="O734" t="inlineStr"/>
      <c r="P734" t="n">
        <v>0</v>
      </c>
      <c r="Q734" t="inlineStr"/>
      <c r="R734" t="n">
        <v>3.815</v>
      </c>
      <c r="S734" t="n">
        <v>3.815</v>
      </c>
      <c r="T734" t="n">
        <v>0</v>
      </c>
      <c r="U734" t="n">
        <v>14769850000000</v>
      </c>
    </row>
    <row r="735">
      <c r="A735" t="inlineStr">
        <is>
          <t>United States</t>
        </is>
      </c>
      <c r="B735" t="inlineStr">
        <is>
          <t>USA</t>
        </is>
      </c>
      <c r="C735" t="inlineStr">
        <is>
          <t>CSUS.L</t>
        </is>
      </c>
      <c r="D735" t="n">
        <v>2009</v>
      </c>
      <c r="E735" t="inlineStr"/>
      <c r="F735" t="n">
        <v>-2.576</v>
      </c>
      <c r="G735" t="n">
        <v>-1.975646</v>
      </c>
      <c r="H735" t="n">
        <v>-1.975646</v>
      </c>
      <c r="I735" t="inlineStr"/>
      <c r="J735" t="inlineStr">
        <is>
          <t>United States|CSUS.L|2009</t>
        </is>
      </c>
      <c r="K735" t="inlineStr">
        <is>
          <t>United States|2009</t>
        </is>
      </c>
      <c r="L735" t="inlineStr">
        <is>
          <t>USD</t>
        </is>
      </c>
      <c r="M735" t="inlineStr"/>
      <c r="N735" t="n">
        <v>0</v>
      </c>
      <c r="O735" t="inlineStr"/>
      <c r="P735" t="n">
        <v>0</v>
      </c>
      <c r="Q735" t="inlineStr"/>
      <c r="R735" t="n">
        <v>-0.32</v>
      </c>
      <c r="S735" t="n">
        <v>-0.32</v>
      </c>
      <c r="T735" t="n">
        <v>0</v>
      </c>
      <c r="U735" t="n">
        <v>14478050000000</v>
      </c>
    </row>
    <row r="736">
      <c r="A736" t="inlineStr">
        <is>
          <t>United States</t>
        </is>
      </c>
      <c r="B736" t="inlineStr">
        <is>
          <t>USA</t>
        </is>
      </c>
      <c r="C736" t="inlineStr">
        <is>
          <t>CSUS.L</t>
        </is>
      </c>
      <c r="D736" t="n">
        <v>2010</v>
      </c>
      <c r="E736" t="n">
        <v>13.25084507487713</v>
      </c>
      <c r="F736" t="n">
        <v>2.695</v>
      </c>
      <c r="G736" t="n">
        <v>3.943383</v>
      </c>
      <c r="H736" t="n">
        <v>3.943383</v>
      </c>
      <c r="I736" t="n">
        <v>-9.307462074877126</v>
      </c>
      <c r="J736" t="inlineStr">
        <is>
          <t>United States|CSUS.L|2010</t>
        </is>
      </c>
      <c r="K736" t="inlineStr">
        <is>
          <t>United States|2010</t>
        </is>
      </c>
      <c r="L736" t="inlineStr">
        <is>
          <t>USD</t>
        </is>
      </c>
      <c r="M736" t="n">
        <v>13.25084507487713</v>
      </c>
      <c r="N736" t="n">
        <v>0</v>
      </c>
      <c r="O736" t="n">
        <v>13.25084507487713</v>
      </c>
      <c r="P736" t="n">
        <v>0</v>
      </c>
      <c r="Q736" t="n">
        <v>13.25084507487713</v>
      </c>
      <c r="R736" t="n">
        <v>1.637</v>
      </c>
      <c r="S736" t="n">
        <v>1.637</v>
      </c>
      <c r="T736" t="n">
        <v>0</v>
      </c>
      <c r="U736" t="n">
        <v>15048975000000</v>
      </c>
    </row>
    <row r="737">
      <c r="A737" t="inlineStr">
        <is>
          <t>United States</t>
        </is>
      </c>
      <c r="B737" t="inlineStr">
        <is>
          <t>USA</t>
        </is>
      </c>
      <c r="C737" t="inlineStr">
        <is>
          <t>CSUS.L</t>
        </is>
      </c>
      <c r="D737" t="n">
        <v>2011</v>
      </c>
      <c r="E737" t="n">
        <v>1.788216435721135</v>
      </c>
      <c r="F737" t="n">
        <v>1.564</v>
      </c>
      <c r="G737" t="n">
        <v>3.659718</v>
      </c>
      <c r="H737" t="n">
        <v>3.659718</v>
      </c>
      <c r="I737" t="n">
        <v>1.871501564278865</v>
      </c>
      <c r="J737" t="inlineStr">
        <is>
          <t>United States|CSUS.L|2011</t>
        </is>
      </c>
      <c r="K737" t="inlineStr">
        <is>
          <t>United States|2011</t>
        </is>
      </c>
      <c r="L737" t="inlineStr">
        <is>
          <t>USD</t>
        </is>
      </c>
      <c r="M737" t="n">
        <v>1.788216435721135</v>
      </c>
      <c r="N737" t="n">
        <v>0</v>
      </c>
      <c r="O737" t="n">
        <v>1.788216435721135</v>
      </c>
      <c r="P737" t="n">
        <v>0</v>
      </c>
      <c r="Q737" t="n">
        <v>1.788216435721135</v>
      </c>
      <c r="R737" t="n">
        <v>3.14</v>
      </c>
      <c r="S737" t="n">
        <v>3.14</v>
      </c>
      <c r="T737" t="n">
        <v>0</v>
      </c>
      <c r="U737" t="n">
        <v>15599725000000</v>
      </c>
    </row>
    <row r="738">
      <c r="A738" t="inlineStr">
        <is>
          <t>United States</t>
        </is>
      </c>
      <c r="B738" t="inlineStr">
        <is>
          <t>USA</t>
        </is>
      </c>
      <c r="C738" t="inlineStr">
        <is>
          <t>CSUS.L</t>
        </is>
      </c>
      <c r="D738" t="n">
        <v>2012</v>
      </c>
      <c r="E738" t="n">
        <v>10.24771632033772</v>
      </c>
      <c r="F738" t="n">
        <v>2.289</v>
      </c>
      <c r="G738" t="n">
        <v>4.193824</v>
      </c>
      <c r="H738" t="n">
        <v>4.193824</v>
      </c>
      <c r="I738" t="n">
        <v>-6.053892320337719</v>
      </c>
      <c r="J738" t="inlineStr">
        <is>
          <t>United States|CSUS.L|2012</t>
        </is>
      </c>
      <c r="K738" t="inlineStr">
        <is>
          <t>United States|2012</t>
        </is>
      </c>
      <c r="L738" t="inlineStr">
        <is>
          <t>USD</t>
        </is>
      </c>
      <c r="M738" t="n">
        <v>10.24771632033772</v>
      </c>
      <c r="N738" t="n">
        <v>0</v>
      </c>
      <c r="O738" t="n">
        <v>10.24771632033772</v>
      </c>
      <c r="P738" t="n">
        <v>0</v>
      </c>
      <c r="Q738" t="n">
        <v>10.24771632033772</v>
      </c>
      <c r="R738" t="n">
        <v>2.073</v>
      </c>
      <c r="S738" t="n">
        <v>2.073</v>
      </c>
      <c r="T738" t="n">
        <v>0</v>
      </c>
      <c r="U738" t="n">
        <v>16253950000000</v>
      </c>
    </row>
    <row r="739">
      <c r="A739" t="inlineStr">
        <is>
          <t>United States</t>
        </is>
      </c>
      <c r="B739" t="inlineStr">
        <is>
          <t>USA</t>
        </is>
      </c>
      <c r="C739" t="inlineStr">
        <is>
          <t>CSUS.L</t>
        </is>
      </c>
      <c r="D739" t="n">
        <v>2013</v>
      </c>
      <c r="E739" t="n">
        <v>28.88521864125249</v>
      </c>
      <c r="F739" t="n">
        <v>2.118</v>
      </c>
      <c r="G739" t="n">
        <v>3.855832</v>
      </c>
      <c r="H739" t="n">
        <v>3.855832</v>
      </c>
      <c r="I739" t="n">
        <v>-25.02938664125249</v>
      </c>
      <c r="J739" t="inlineStr">
        <is>
          <t>United States|CSUS.L|2013</t>
        </is>
      </c>
      <c r="K739" t="inlineStr">
        <is>
          <t>United States|2013</t>
        </is>
      </c>
      <c r="L739" t="inlineStr">
        <is>
          <t>USD</t>
        </is>
      </c>
      <c r="M739" t="n">
        <v>28.88521864125249</v>
      </c>
      <c r="N739" t="n">
        <v>0</v>
      </c>
      <c r="O739" t="n">
        <v>28.88521864125249</v>
      </c>
      <c r="P739" t="n">
        <v>0</v>
      </c>
      <c r="Q739" t="n">
        <v>28.88521864125249</v>
      </c>
      <c r="R739" t="n">
        <v>1.466</v>
      </c>
      <c r="S739" t="n">
        <v>1.466</v>
      </c>
      <c r="T739" t="n">
        <v>0</v>
      </c>
      <c r="U739" t="n">
        <v>16880675000000</v>
      </c>
    </row>
    <row r="740">
      <c r="A740" t="inlineStr">
        <is>
          <t>United States</t>
        </is>
      </c>
      <c r="B740" t="inlineStr">
        <is>
          <t>USA</t>
        </is>
      </c>
      <c r="C740" t="inlineStr">
        <is>
          <t>CSUS.L</t>
        </is>
      </c>
      <c r="D740" t="n">
        <v>2014</v>
      </c>
      <c r="E740" t="n">
        <v>14.81526108275426</v>
      </c>
      <c r="F740" t="n">
        <v>2.524</v>
      </c>
      <c r="G740" t="n">
        <v>4.309366</v>
      </c>
      <c r="H740" t="n">
        <v>4.309366</v>
      </c>
      <c r="I740" t="n">
        <v>-10.50589508275426</v>
      </c>
      <c r="J740" t="inlineStr">
        <is>
          <t>United States|CSUS.L|2014</t>
        </is>
      </c>
      <c r="K740" t="inlineStr">
        <is>
          <t>United States|2014</t>
        </is>
      </c>
      <c r="L740" t="inlineStr">
        <is>
          <t>USD</t>
        </is>
      </c>
      <c r="M740" t="n">
        <v>14.81526108275426</v>
      </c>
      <c r="N740" t="n">
        <v>0</v>
      </c>
      <c r="O740" t="n">
        <v>14.81526108275426</v>
      </c>
      <c r="P740" t="n">
        <v>0</v>
      </c>
      <c r="Q740" t="n">
        <v>14.81526108275426</v>
      </c>
      <c r="R740" t="n">
        <v>1.615</v>
      </c>
      <c r="S740" t="n">
        <v>1.615</v>
      </c>
      <c r="T740" t="n">
        <v>0</v>
      </c>
      <c r="U740" t="n">
        <v>17608125000000</v>
      </c>
    </row>
    <row r="741">
      <c r="A741" t="inlineStr">
        <is>
          <t>United States</t>
        </is>
      </c>
      <c r="B741" t="inlineStr">
        <is>
          <t>USA</t>
        </is>
      </c>
      <c r="C741" t="inlineStr">
        <is>
          <t>CSUS.L</t>
        </is>
      </c>
      <c r="D741" t="n">
        <v>2015</v>
      </c>
      <c r="E741" t="n">
        <v>1.605275913034609</v>
      </c>
      <c r="F741" t="n">
        <v>2.946</v>
      </c>
      <c r="G741" t="n">
        <v>3.900898</v>
      </c>
      <c r="H741" t="n">
        <v>3.900898</v>
      </c>
      <c r="I741" t="n">
        <v>2.295622086965391</v>
      </c>
      <c r="J741" t="inlineStr">
        <is>
          <t>United States|CSUS.L|2015</t>
        </is>
      </c>
      <c r="K741" t="inlineStr">
        <is>
          <t>United States|2015</t>
        </is>
      </c>
      <c r="L741" t="inlineStr">
        <is>
          <t>USD</t>
        </is>
      </c>
      <c r="M741" t="n">
        <v>1.605275913034609</v>
      </c>
      <c r="N741" t="n">
        <v>0</v>
      </c>
      <c r="O741" t="n">
        <v>1.605275913034609</v>
      </c>
      <c r="P741" t="n">
        <v>0</v>
      </c>
      <c r="Q741" t="n">
        <v>1.605275913034609</v>
      </c>
      <c r="R741" t="n">
        <v>0.121</v>
      </c>
      <c r="S741" t="n">
        <v>0.121</v>
      </c>
      <c r="T741" t="n">
        <v>0</v>
      </c>
      <c r="U741" t="n">
        <v>18295000000000</v>
      </c>
    </row>
    <row r="742">
      <c r="A742" t="inlineStr">
        <is>
          <t>United States</t>
        </is>
      </c>
      <c r="B742" t="inlineStr">
        <is>
          <t>USA</t>
        </is>
      </c>
      <c r="C742" t="inlineStr">
        <is>
          <t>CSUS.L</t>
        </is>
      </c>
      <c r="D742" t="n">
        <v>2016</v>
      </c>
      <c r="E742" t="n">
        <v>14.42537406556417</v>
      </c>
      <c r="F742" t="n">
        <v>1.82</v>
      </c>
      <c r="G742" t="n">
        <v>2.7871</v>
      </c>
      <c r="H742" t="n">
        <v>2.7871</v>
      </c>
      <c r="I742" t="n">
        <v>-11.63827406556417</v>
      </c>
      <c r="J742" t="inlineStr">
        <is>
          <t>United States|CSUS.L|2016</t>
        </is>
      </c>
      <c r="K742" t="inlineStr">
        <is>
          <t>United States|2016</t>
        </is>
      </c>
      <c r="L742" t="inlineStr">
        <is>
          <t>USD</t>
        </is>
      </c>
      <c r="M742" t="n">
        <v>14.42537406556417</v>
      </c>
      <c r="N742" t="n">
        <v>0</v>
      </c>
      <c r="O742" t="n">
        <v>14.42537406556417</v>
      </c>
      <c r="P742" t="n">
        <v>0</v>
      </c>
      <c r="Q742" t="n">
        <v>14.42537406556417</v>
      </c>
      <c r="R742" t="n">
        <v>1.267</v>
      </c>
      <c r="S742" t="n">
        <v>1.267</v>
      </c>
      <c r="T742" t="n">
        <v>0</v>
      </c>
      <c r="U742" t="n">
        <v>18804900000000</v>
      </c>
    </row>
    <row r="743">
      <c r="A743" t="inlineStr">
        <is>
          <t>United States</t>
        </is>
      </c>
      <c r="B743" t="inlineStr">
        <is>
          <t>USA</t>
        </is>
      </c>
      <c r="C743" t="inlineStr">
        <is>
          <t>CSUS.L</t>
        </is>
      </c>
      <c r="D743" t="n">
        <v>2017</v>
      </c>
      <c r="E743" t="n">
        <v>21.5970017467853</v>
      </c>
      <c r="F743" t="n">
        <v>2.458</v>
      </c>
      <c r="G743" t="n">
        <v>4.292498</v>
      </c>
      <c r="H743" t="n">
        <v>4.292498</v>
      </c>
      <c r="I743" t="n">
        <v>-17.30450374678529</v>
      </c>
      <c r="J743" t="inlineStr">
        <is>
          <t>United States|CSUS.L|2017</t>
        </is>
      </c>
      <c r="K743" t="inlineStr">
        <is>
          <t>United States|2017</t>
        </is>
      </c>
      <c r="L743" t="inlineStr">
        <is>
          <t>USD</t>
        </is>
      </c>
      <c r="M743" t="n">
        <v>21.5970017467853</v>
      </c>
      <c r="N743" t="n">
        <v>0</v>
      </c>
      <c r="O743" t="n">
        <v>21.5970017467853</v>
      </c>
      <c r="P743" t="n">
        <v>0</v>
      </c>
      <c r="Q743" t="n">
        <v>21.5970017467853</v>
      </c>
      <c r="R743" t="n">
        <v>2.131</v>
      </c>
      <c r="S743" t="n">
        <v>2.131</v>
      </c>
      <c r="T743" t="n">
        <v>0</v>
      </c>
      <c r="U743" t="n">
        <v>19612100000000</v>
      </c>
    </row>
    <row r="744">
      <c r="A744" t="inlineStr">
        <is>
          <t>United States</t>
        </is>
      </c>
      <c r="B744" t="inlineStr">
        <is>
          <t>USA</t>
        </is>
      </c>
      <c r="C744" t="inlineStr">
        <is>
          <t>CSUS.L</t>
        </is>
      </c>
      <c r="D744" t="n">
        <v>2018</v>
      </c>
      <c r="E744" t="n">
        <v>-5.524486620253488</v>
      </c>
      <c r="F744" t="n">
        <v>2.967</v>
      </c>
      <c r="G744" t="n">
        <v>5.325411</v>
      </c>
      <c r="H744" t="n">
        <v>5.325411</v>
      </c>
      <c r="I744" t="n">
        <v>10.84989762025349</v>
      </c>
      <c r="J744" t="inlineStr">
        <is>
          <t>United States|CSUS.L|2018</t>
        </is>
      </c>
      <c r="K744" t="inlineStr">
        <is>
          <t>United States|2018</t>
        </is>
      </c>
      <c r="L744" t="inlineStr">
        <is>
          <t>USD</t>
        </is>
      </c>
      <c r="M744" t="n">
        <v>-5.524486620253488</v>
      </c>
      <c r="N744" t="n">
        <v>0</v>
      </c>
      <c r="O744" t="n">
        <v>-5.524486620253488</v>
      </c>
      <c r="P744" t="n">
        <v>0</v>
      </c>
      <c r="Q744" t="n">
        <v>-5.524486620253488</v>
      </c>
      <c r="R744" t="n">
        <v>2.439</v>
      </c>
      <c r="S744" t="n">
        <v>2.439</v>
      </c>
      <c r="T744" t="n">
        <v>0</v>
      </c>
      <c r="U744" t="n">
        <v>20656525000000</v>
      </c>
    </row>
    <row r="745">
      <c r="A745" t="inlineStr">
        <is>
          <t>United States</t>
        </is>
      </c>
      <c r="B745" t="inlineStr">
        <is>
          <t>USA</t>
        </is>
      </c>
      <c r="C745" t="inlineStr">
        <is>
          <t>CSUS.L</t>
        </is>
      </c>
      <c r="D745" t="n">
        <v>2019</v>
      </c>
      <c r="E745" t="n">
        <v>30.75400503868304</v>
      </c>
      <c r="F745" t="n">
        <v>2.584</v>
      </c>
      <c r="G745" t="n">
        <v>4.276857</v>
      </c>
      <c r="H745" t="n">
        <v>4.276857</v>
      </c>
      <c r="I745" t="n">
        <v>-26.47714803868304</v>
      </c>
      <c r="J745" t="inlineStr">
        <is>
          <t>United States|CSUS.L|2019</t>
        </is>
      </c>
      <c r="K745" t="inlineStr">
        <is>
          <t>United States|2019</t>
        </is>
      </c>
      <c r="L745" t="inlineStr">
        <is>
          <t>USD</t>
        </is>
      </c>
      <c r="M745" t="n">
        <v>30.75400503868304</v>
      </c>
      <c r="N745" t="n">
        <v>0</v>
      </c>
      <c r="O745" t="n">
        <v>30.75400503868304</v>
      </c>
      <c r="P745" t="n">
        <v>0</v>
      </c>
      <c r="Q745" t="n">
        <v>30.75400503868304</v>
      </c>
      <c r="R745" t="n">
        <v>1.813</v>
      </c>
      <c r="S745" t="n">
        <v>1.813</v>
      </c>
      <c r="T745" t="n">
        <v>0</v>
      </c>
      <c r="U745" t="n">
        <v>21539975000000</v>
      </c>
    </row>
    <row r="746">
      <c r="A746" t="inlineStr">
        <is>
          <t>United States</t>
        </is>
      </c>
      <c r="B746" t="inlineStr">
        <is>
          <t>USA</t>
        </is>
      </c>
      <c r="C746" t="inlineStr">
        <is>
          <t>CSUS.L</t>
        </is>
      </c>
      <c r="D746" t="n">
        <v>2020</v>
      </c>
      <c r="E746" t="n">
        <v>19.75704880856335</v>
      </c>
      <c r="F746" t="n">
        <v>-2.081</v>
      </c>
      <c r="G746" t="n">
        <v>-0.764625</v>
      </c>
      <c r="H746" t="n">
        <v>-0.764625</v>
      </c>
      <c r="I746" t="n">
        <v>-20.52167380856335</v>
      </c>
      <c r="J746" t="inlineStr">
        <is>
          <t>United States|CSUS.L|2020</t>
        </is>
      </c>
      <c r="K746" t="inlineStr">
        <is>
          <t>United States|2020</t>
        </is>
      </c>
      <c r="L746" t="inlineStr">
        <is>
          <t>USD</t>
        </is>
      </c>
      <c r="M746" t="n">
        <v>19.75704880856335</v>
      </c>
      <c r="N746" t="n">
        <v>0</v>
      </c>
      <c r="O746" t="n">
        <v>19.75704880856335</v>
      </c>
      <c r="P746" t="n">
        <v>0</v>
      </c>
      <c r="Q746" t="n">
        <v>19.75704880856335</v>
      </c>
      <c r="R746" t="n">
        <v>1.253</v>
      </c>
      <c r="S746" t="n">
        <v>1.253</v>
      </c>
      <c r="T746" t="n">
        <v>0</v>
      </c>
      <c r="U746" t="n">
        <v>21375275000000</v>
      </c>
    </row>
    <row r="747">
      <c r="A747" t="inlineStr">
        <is>
          <t>United States</t>
        </is>
      </c>
      <c r="B747" t="inlineStr">
        <is>
          <t>USA</t>
        </is>
      </c>
      <c r="C747" t="inlineStr">
        <is>
          <t>CSUS.L</t>
        </is>
      </c>
      <c r="D747" t="n">
        <v>2021</v>
      </c>
      <c r="E747" t="n">
        <v>28.30945813978041</v>
      </c>
      <c r="F747" t="n">
        <v>6.152</v>
      </c>
      <c r="G747" t="n">
        <v>10.995765</v>
      </c>
      <c r="H747" t="n">
        <v>10.995765</v>
      </c>
      <c r="I747" t="n">
        <v>-17.3136931397804</v>
      </c>
      <c r="J747" t="inlineStr">
        <is>
          <t>United States|CSUS.L|2021</t>
        </is>
      </c>
      <c r="K747" t="inlineStr">
        <is>
          <t>United States|2021</t>
        </is>
      </c>
      <c r="L747" t="inlineStr">
        <is>
          <t>USD</t>
        </is>
      </c>
      <c r="M747" t="n">
        <v>28.30945813978041</v>
      </c>
      <c r="N747" t="n">
        <v>0</v>
      </c>
      <c r="O747" t="n">
        <v>28.30945813978041</v>
      </c>
      <c r="P747" t="n">
        <v>0</v>
      </c>
      <c r="Q747" t="n">
        <v>28.30945813978041</v>
      </c>
      <c r="R747" t="n">
        <v>4.679</v>
      </c>
      <c r="S747" t="n">
        <v>4.679</v>
      </c>
      <c r="T747" t="n">
        <v>0</v>
      </c>
      <c r="U747" t="n">
        <v>23725650000000</v>
      </c>
    </row>
    <row r="748">
      <c r="A748" t="inlineStr">
        <is>
          <t>United States</t>
        </is>
      </c>
      <c r="B748" t="inlineStr">
        <is>
          <t>USA</t>
        </is>
      </c>
      <c r="C748" t="inlineStr">
        <is>
          <t>CSUS.L</t>
        </is>
      </c>
      <c r="D748" t="n">
        <v>2022</v>
      </c>
      <c r="E748" t="n">
        <v>-20.35076946152596</v>
      </c>
      <c r="F748" t="n">
        <v>2.524</v>
      </c>
      <c r="G748" t="n">
        <v>9.816169</v>
      </c>
      <c r="H748" t="n">
        <v>9.816169</v>
      </c>
      <c r="I748" t="n">
        <v>30.16693846152597</v>
      </c>
      <c r="J748" t="inlineStr">
        <is>
          <t>United States|CSUS.L|2022</t>
        </is>
      </c>
      <c r="K748" t="inlineStr">
        <is>
          <t>United States|2022</t>
        </is>
      </c>
      <c r="L748" t="inlineStr">
        <is>
          <t>USD</t>
        </is>
      </c>
      <c r="M748" t="n">
        <v>-20.35076946152596</v>
      </c>
      <c r="N748" t="n">
        <v>0</v>
      </c>
      <c r="O748" t="n">
        <v>-20.35076946152596</v>
      </c>
      <c r="P748" t="n">
        <v>0</v>
      </c>
      <c r="Q748" t="n">
        <v>-20.35076946152596</v>
      </c>
      <c r="R748" t="n">
        <v>7.993</v>
      </c>
      <c r="S748" t="n">
        <v>7.993</v>
      </c>
      <c r="T748" t="n">
        <v>0</v>
      </c>
      <c r="U748" t="n">
        <v>26054600000000</v>
      </c>
    </row>
    <row r="749">
      <c r="A749" t="inlineStr">
        <is>
          <t>United States</t>
        </is>
      </c>
      <c r="B749" t="inlineStr">
        <is>
          <t>USA</t>
        </is>
      </c>
      <c r="C749" t="inlineStr">
        <is>
          <t>CSUS.L</t>
        </is>
      </c>
      <c r="D749" t="n">
        <v>2023</v>
      </c>
      <c r="E749" t="n">
        <v>28.12120170617412</v>
      </c>
      <c r="F749" t="n">
        <v>2.935</v>
      </c>
      <c r="G749" t="n">
        <v>6.743147</v>
      </c>
      <c r="H749" t="n">
        <v>6.743147</v>
      </c>
      <c r="I749" t="n">
        <v>-21.37805470617412</v>
      </c>
      <c r="J749" t="inlineStr">
        <is>
          <t>United States|CSUS.L|2023</t>
        </is>
      </c>
      <c r="K749" t="inlineStr">
        <is>
          <t>United States|2023</t>
        </is>
      </c>
      <c r="L749" t="inlineStr">
        <is>
          <t>USD</t>
        </is>
      </c>
      <c r="M749" t="n">
        <v>28.12120170617412</v>
      </c>
      <c r="N749" t="n">
        <v>0</v>
      </c>
      <c r="O749" t="n">
        <v>28.12120170617412</v>
      </c>
      <c r="P749" t="n">
        <v>0</v>
      </c>
      <c r="Q749" t="n">
        <v>28.12120170617412</v>
      </c>
      <c r="R749" t="n">
        <v>4.128</v>
      </c>
      <c r="S749" t="n">
        <v>4.128</v>
      </c>
      <c r="T749" t="n">
        <v>0</v>
      </c>
      <c r="U749" t="n">
        <v>27811500000000</v>
      </c>
    </row>
    <row r="750">
      <c r="A750" t="inlineStr">
        <is>
          <t>United States</t>
        </is>
      </c>
      <c r="B750" t="inlineStr">
        <is>
          <t>USA</t>
        </is>
      </c>
      <c r="C750" t="inlineStr">
        <is>
          <t>CSUS.L</t>
        </is>
      </c>
      <c r="D750" t="n">
        <v>2024</v>
      </c>
      <c r="E750" t="n">
        <v>26.52359231096537</v>
      </c>
      <c r="F750" t="n">
        <v>2.793</v>
      </c>
      <c r="G750" t="n">
        <v>5.345001</v>
      </c>
      <c r="H750" t="n">
        <v>5.345001</v>
      </c>
      <c r="I750" t="n">
        <v>-21.17859131096537</v>
      </c>
      <c r="J750" t="inlineStr">
        <is>
          <t>United States|CSUS.L|2024</t>
        </is>
      </c>
      <c r="K750" t="inlineStr">
        <is>
          <t>United States|2024</t>
        </is>
      </c>
      <c r="L750" t="inlineStr">
        <is>
          <t>USD</t>
        </is>
      </c>
      <c r="M750" t="n">
        <v>26.52359231096537</v>
      </c>
      <c r="N750" t="n">
        <v>0</v>
      </c>
      <c r="O750" t="n">
        <v>26.52359231096537</v>
      </c>
      <c r="P750" t="n">
        <v>0</v>
      </c>
      <c r="Q750" t="n">
        <v>26.52359231096537</v>
      </c>
      <c r="R750" t="n">
        <v>2.952</v>
      </c>
      <c r="S750" t="n">
        <v>2.952</v>
      </c>
      <c r="T750" t="n">
        <v>0</v>
      </c>
      <c r="U750" t="n">
        <v>29298025000000</v>
      </c>
    </row>
    <row r="751">
      <c r="A751" t="inlineStr">
        <is>
          <t>United States</t>
        </is>
      </c>
      <c r="B751" t="inlineStr">
        <is>
          <t>USA</t>
        </is>
      </c>
      <c r="C751" t="inlineStr">
        <is>
          <t>CSUS.L</t>
        </is>
      </c>
      <c r="D751" t="n">
        <v>2025</v>
      </c>
      <c r="E751" t="n">
        <v>17.75908204481222</v>
      </c>
      <c r="F751" t="n">
        <v>2.017</v>
      </c>
      <c r="G751" t="n">
        <v>4.497634</v>
      </c>
      <c r="H751" t="n">
        <v>4.497634</v>
      </c>
      <c r="I751" t="n">
        <v>-13.26144804481222</v>
      </c>
      <c r="J751" t="inlineStr">
        <is>
          <t>United States|CSUS.L|2025</t>
        </is>
      </c>
      <c r="K751" t="inlineStr">
        <is>
          <t>United States|2025</t>
        </is>
      </c>
      <c r="L751" t="inlineStr">
        <is>
          <t>USD</t>
        </is>
      </c>
      <c r="M751" t="n">
        <v>17.75908204481222</v>
      </c>
      <c r="N751" t="n">
        <v>0</v>
      </c>
      <c r="O751" t="n">
        <v>17.75908204481222</v>
      </c>
      <c r="P751" t="n">
        <v>0</v>
      </c>
      <c r="Q751" t="n">
        <v>17.75908204481222</v>
      </c>
      <c r="R751" t="n">
        <v>2.715</v>
      </c>
      <c r="S751" t="n">
        <v>2.715</v>
      </c>
      <c r="T751" t="n">
        <v>0</v>
      </c>
      <c r="U751" t="n">
        <v>30615743000000</v>
      </c>
    </row>
    <row r="752">
      <c r="A752" t="inlineStr">
        <is>
          <t>United States</t>
        </is>
      </c>
      <c r="B752" t="inlineStr">
        <is>
          <t>USA</t>
        </is>
      </c>
      <c r="C752" t="inlineStr">
        <is>
          <t>CSUS.L</t>
        </is>
      </c>
      <c r="D752" t="n">
        <v>2026</v>
      </c>
      <c r="E752" t="n">
        <v>-0.6220788144837508</v>
      </c>
      <c r="F752" t="n">
        <v>2.102</v>
      </c>
      <c r="G752" t="n">
        <v>3.93768</v>
      </c>
      <c r="H752" t="n">
        <v>3.93768</v>
      </c>
      <c r="I752" t="n">
        <v>4.55975881448375</v>
      </c>
      <c r="J752" t="inlineStr">
        <is>
          <t>United States|CSUS.L|2026</t>
        </is>
      </c>
      <c r="K752" t="inlineStr">
        <is>
          <t>United States|2026</t>
        </is>
      </c>
      <c r="L752" t="inlineStr">
        <is>
          <t>USD</t>
        </is>
      </c>
      <c r="M752" t="n">
        <v>-0.6220788144837508</v>
      </c>
      <c r="N752" t="n">
        <v>0</v>
      </c>
      <c r="O752" t="n">
        <v>-0.6220788144837508</v>
      </c>
      <c r="P752" t="n">
        <v>0</v>
      </c>
      <c r="Q752" t="n">
        <v>-0.6220788144837508</v>
      </c>
      <c r="R752" t="n">
        <v>2.435</v>
      </c>
      <c r="S752" t="n">
        <v>2.435</v>
      </c>
      <c r="T752" t="n">
        <v>0</v>
      </c>
      <c r="U752" t="n">
        <v>31821293000000</v>
      </c>
    </row>
    <row r="753">
      <c r="A753" t="inlineStr">
        <is>
          <t>United States</t>
        </is>
      </c>
      <c r="B753" t="inlineStr">
        <is>
          <t>USA</t>
        </is>
      </c>
      <c r="C753" t="inlineStr">
        <is>
          <t>CSUS.L</t>
        </is>
      </c>
      <c r="D753" t="n">
        <v>2027</v>
      </c>
      <c r="E753" t="inlineStr"/>
      <c r="F753" t="n">
        <v>2.055</v>
      </c>
      <c r="G753" t="n">
        <v>3.766927</v>
      </c>
      <c r="H753" t="n">
        <v>3.766927</v>
      </c>
      <c r="I753" t="inlineStr"/>
      <c r="J753" t="inlineStr">
        <is>
          <t>United States|CSUS.L|2027</t>
        </is>
      </c>
      <c r="K753" t="inlineStr">
        <is>
          <t>United States|2027</t>
        </is>
      </c>
      <c r="L753" t="inlineStr">
        <is>
          <t>USD</t>
        </is>
      </c>
      <c r="M753" t="inlineStr"/>
      <c r="N753" t="inlineStr"/>
      <c r="O753" t="inlineStr"/>
      <c r="P753" t="n">
        <v>0</v>
      </c>
      <c r="Q753" t="inlineStr"/>
      <c r="R753" t="n">
        <v>2.185</v>
      </c>
      <c r="S753" t="n">
        <v>2.185</v>
      </c>
      <c r="T753" t="n">
        <v>0</v>
      </c>
      <c r="U753" t="n">
        <v>33019978000000</v>
      </c>
    </row>
    <row r="754">
      <c r="A754" t="inlineStr">
        <is>
          <t>United States</t>
        </is>
      </c>
      <c r="B754" t="inlineStr">
        <is>
          <t>USA</t>
        </is>
      </c>
      <c r="C754" t="inlineStr">
        <is>
          <t>CSUS.L</t>
        </is>
      </c>
      <c r="D754" t="n">
        <v>2028</v>
      </c>
      <c r="E754" t="inlineStr"/>
      <c r="F754" t="n">
        <v>2.093</v>
      </c>
      <c r="G754" t="n">
        <v>3.750526</v>
      </c>
      <c r="H754" t="n">
        <v>3.750526</v>
      </c>
      <c r="I754" t="inlineStr"/>
      <c r="J754" t="inlineStr">
        <is>
          <t>United States|CSUS.L|2028</t>
        </is>
      </c>
      <c r="K754" t="inlineStr">
        <is>
          <t>United States|2028</t>
        </is>
      </c>
      <c r="L754" t="inlineStr">
        <is>
          <t>USD</t>
        </is>
      </c>
      <c r="M754" t="inlineStr"/>
      <c r="N754" t="inlineStr"/>
      <c r="O754" t="inlineStr"/>
      <c r="P754" t="n">
        <v>0</v>
      </c>
      <c r="Q754" t="inlineStr"/>
      <c r="R754" t="n">
        <v>2.206</v>
      </c>
      <c r="S754" t="n">
        <v>2.206</v>
      </c>
      <c r="T754" t="n">
        <v>0</v>
      </c>
      <c r="U754" t="n">
        <v>34258401000000</v>
      </c>
    </row>
    <row r="755">
      <c r="A755" t="inlineStr">
        <is>
          <t>United States</t>
        </is>
      </c>
      <c r="B755" t="inlineStr">
        <is>
          <t>USA</t>
        </is>
      </c>
      <c r="C755" t="inlineStr">
        <is>
          <t>CSUS.L</t>
        </is>
      </c>
      <c r="D755" t="n">
        <v>2029</v>
      </c>
      <c r="E755" t="inlineStr"/>
      <c r="F755" t="n">
        <v>1.881</v>
      </c>
      <c r="G755" t="n">
        <v>3.66459</v>
      </c>
      <c r="H755" t="n">
        <v>3.66459</v>
      </c>
      <c r="I755" t="inlineStr"/>
      <c r="J755" t="inlineStr">
        <is>
          <t>United States|CSUS.L|2029</t>
        </is>
      </c>
      <c r="K755" t="inlineStr">
        <is>
          <t>United States|2029</t>
        </is>
      </c>
      <c r="L755" t="inlineStr">
        <is>
          <t>USD</t>
        </is>
      </c>
      <c r="M755" t="inlineStr"/>
      <c r="N755" t="inlineStr"/>
      <c r="O755" t="inlineStr"/>
      <c r="P755" t="n">
        <v>0</v>
      </c>
      <c r="Q755" t="inlineStr"/>
      <c r="R755" t="n">
        <v>2.203</v>
      </c>
      <c r="S755" t="n">
        <v>2.203</v>
      </c>
      <c r="T755" t="n">
        <v>0</v>
      </c>
      <c r="U755" t="n">
        <v>35513831000000</v>
      </c>
    </row>
    <row r="756">
      <c r="A756" t="inlineStr">
        <is>
          <t>Vietnam</t>
        </is>
      </c>
      <c r="B756" t="inlineStr">
        <is>
          <t>VNM</t>
        </is>
      </c>
      <c r="C756" t="inlineStr">
        <is>
          <t>XFVT.L</t>
        </is>
      </c>
      <c r="D756" t="n">
        <v>2004</v>
      </c>
      <c r="E756" t="inlineStr"/>
      <c r="F756" t="n">
        <v>7.789</v>
      </c>
      <c r="G756" t="inlineStr"/>
      <c r="H756" t="inlineStr"/>
      <c r="I756" t="inlineStr"/>
      <c r="J756" t="inlineStr">
        <is>
          <t>Vietnam|XFVT.L|2004</t>
        </is>
      </c>
      <c r="K756" t="inlineStr">
        <is>
          <t>Vietnam|2004</t>
        </is>
      </c>
      <c r="L756" t="inlineStr">
        <is>
          <t>GBp</t>
        </is>
      </c>
      <c r="M756" t="inlineStr"/>
      <c r="N756" t="inlineStr"/>
      <c r="O756" t="inlineStr"/>
      <c r="P756" t="inlineStr"/>
      <c r="Q756" t="inlineStr"/>
      <c r="R756" t="n">
        <v>7.812</v>
      </c>
      <c r="S756" t="n">
        <v>2.668</v>
      </c>
      <c r="T756" t="n">
        <v>5.144</v>
      </c>
      <c r="U756" t="n">
        <v>62877000000</v>
      </c>
    </row>
    <row r="757">
      <c r="A757" t="inlineStr">
        <is>
          <t>Vietnam</t>
        </is>
      </c>
      <c r="B757" t="inlineStr">
        <is>
          <t>VNM</t>
        </is>
      </c>
      <c r="C757" t="inlineStr">
        <is>
          <t>XFVT.L</t>
        </is>
      </c>
      <c r="D757" t="n">
        <v>2005</v>
      </c>
      <c r="E757" t="inlineStr"/>
      <c r="F757" t="n">
        <v>7.547</v>
      </c>
      <c r="G757" t="n">
        <v>17.279181</v>
      </c>
      <c r="H757" t="n">
        <v>16.412997</v>
      </c>
      <c r="I757" t="inlineStr"/>
      <c r="J757" t="inlineStr">
        <is>
          <t>Vietnam|XFVT.L|2005</t>
        </is>
      </c>
      <c r="K757" t="inlineStr">
        <is>
          <t>Vietnam|2005</t>
        </is>
      </c>
      <c r="L757" t="inlineStr">
        <is>
          <t>GBp</t>
        </is>
      </c>
      <c r="M757" t="inlineStr"/>
      <c r="N757" t="inlineStr"/>
      <c r="O757" t="inlineStr"/>
      <c r="P757" t="n">
        <v>-0.7385661388602305</v>
      </c>
      <c r="Q757" t="inlineStr"/>
      <c r="R757" t="n">
        <v>8.300000000000001</v>
      </c>
      <c r="S757" t="n">
        <v>3.366</v>
      </c>
      <c r="T757" t="n">
        <v>4.934000000000001</v>
      </c>
      <c r="U757" t="n">
        <v>73197000000</v>
      </c>
    </row>
    <row r="758">
      <c r="A758" t="inlineStr">
        <is>
          <t>Vietnam</t>
        </is>
      </c>
      <c r="B758" t="inlineStr">
        <is>
          <t>VNM</t>
        </is>
      </c>
      <c r="C758" t="inlineStr">
        <is>
          <t>XFVT.L</t>
        </is>
      </c>
      <c r="D758" t="n">
        <v>2006</v>
      </c>
      <c r="E758" t="inlineStr"/>
      <c r="F758" t="n">
        <v>6.978</v>
      </c>
      <c r="G758" t="n">
        <v>16.144808</v>
      </c>
      <c r="H758" t="n">
        <v>15.170021</v>
      </c>
      <c r="I758" t="inlineStr"/>
      <c r="J758" t="inlineStr">
        <is>
          <t>Vietnam|XFVT.L|2006</t>
        </is>
      </c>
      <c r="K758" t="inlineStr">
        <is>
          <t>Vietnam|2006</t>
        </is>
      </c>
      <c r="L758" t="inlineStr">
        <is>
          <t>GBp</t>
        </is>
      </c>
      <c r="M758" t="inlineStr"/>
      <c r="N758" t="inlineStr"/>
      <c r="O758" t="inlineStr"/>
      <c r="P758" t="n">
        <v>-0.8392862199670725</v>
      </c>
      <c r="Q758" t="inlineStr"/>
      <c r="R758" t="n">
        <v>7.664</v>
      </c>
      <c r="S758" t="n">
        <v>3.222</v>
      </c>
      <c r="T758" t="n">
        <v>4.442</v>
      </c>
      <c r="U758" t="n">
        <v>84301000000</v>
      </c>
    </row>
    <row r="759">
      <c r="A759" t="inlineStr">
        <is>
          <t>Vietnam</t>
        </is>
      </c>
      <c r="B759" t="inlineStr">
        <is>
          <t>VNM</t>
        </is>
      </c>
      <c r="C759" t="inlineStr">
        <is>
          <t>XFVT.L</t>
        </is>
      </c>
      <c r="D759" t="n">
        <v>2007</v>
      </c>
      <c r="E759" t="inlineStr"/>
      <c r="F759" t="n">
        <v>7.129</v>
      </c>
      <c r="G759" t="n">
        <v>17.446398</v>
      </c>
      <c r="H759" t="n">
        <v>16.755436</v>
      </c>
      <c r="I759" t="inlineStr"/>
      <c r="J759" t="inlineStr">
        <is>
          <t>Vietnam|XFVT.L|2007</t>
        </is>
      </c>
      <c r="K759" t="inlineStr">
        <is>
          <t>Vietnam|2007</t>
        </is>
      </c>
      <c r="L759" t="inlineStr">
        <is>
          <t>GBp</t>
        </is>
      </c>
      <c r="M759" t="inlineStr"/>
      <c r="N759" t="inlineStr"/>
      <c r="O759" t="inlineStr"/>
      <c r="P759" t="n">
        <v>-0.5883211488282303</v>
      </c>
      <c r="Q759" t="inlineStr"/>
      <c r="R759" t="n">
        <v>8.377000000000001</v>
      </c>
      <c r="S759" t="n">
        <v>2.871</v>
      </c>
      <c r="T759" t="n">
        <v>5.506</v>
      </c>
      <c r="U759" t="n">
        <v>98426000000</v>
      </c>
    </row>
    <row r="760">
      <c r="A760" t="inlineStr">
        <is>
          <t>Vietnam</t>
        </is>
      </c>
      <c r="B760" t="inlineStr">
        <is>
          <t>VNM</t>
        </is>
      </c>
      <c r="C760" t="inlineStr">
        <is>
          <t>XFVT.L</t>
        </is>
      </c>
      <c r="D760" t="n">
        <v>2008</v>
      </c>
      <c r="E760" t="inlineStr"/>
      <c r="F760" t="n">
        <v>5.662</v>
      </c>
      <c r="G760" t="n">
        <v>29.618779</v>
      </c>
      <c r="H760" t="n">
        <v>26.751062</v>
      </c>
      <c r="I760" t="inlineStr"/>
      <c r="J760" t="inlineStr">
        <is>
          <t>Vietnam|XFVT.L|2008</t>
        </is>
      </c>
      <c r="K760" t="inlineStr">
        <is>
          <t>Vietnam|2008</t>
        </is>
      </c>
      <c r="L760" t="inlineStr">
        <is>
          <t>GBp</t>
        </is>
      </c>
      <c r="M760" t="inlineStr"/>
      <c r="N760" t="n">
        <v>-26.2666463318202</v>
      </c>
      <c r="O760" t="inlineStr"/>
      <c r="P760" t="n">
        <v>-2.212424229021415</v>
      </c>
      <c r="Q760" t="inlineStr"/>
      <c r="R760" t="n">
        <v>23.311</v>
      </c>
      <c r="S760" t="n">
        <v>3.815</v>
      </c>
      <c r="T760" t="n">
        <v>19.496</v>
      </c>
      <c r="U760" t="n">
        <v>124756000000</v>
      </c>
    </row>
    <row r="761">
      <c r="A761" t="inlineStr">
        <is>
          <t>Vietnam</t>
        </is>
      </c>
      <c r="B761" t="inlineStr">
        <is>
          <t>VNM</t>
        </is>
      </c>
      <c r="C761" t="inlineStr">
        <is>
          <t>XFVT.L</t>
        </is>
      </c>
      <c r="D761" t="n">
        <v>2009</v>
      </c>
      <c r="E761" t="n">
        <v>14.66666666666667</v>
      </c>
      <c r="F761" t="n">
        <v>5.398</v>
      </c>
      <c r="G761" t="n">
        <v>11.949022</v>
      </c>
      <c r="H761" t="n">
        <v>3.419475</v>
      </c>
      <c r="I761" t="n">
        <v>-22.45650749677785</v>
      </c>
      <c r="J761" t="inlineStr">
        <is>
          <t>Vietnam|XFVT.L|2009</t>
        </is>
      </c>
      <c r="K761" t="inlineStr">
        <is>
          <t>Vietnam|2009</t>
        </is>
      </c>
      <c r="L761" t="inlineStr">
        <is>
          <t>GBp</t>
        </is>
      </c>
      <c r="M761" t="n">
        <v>14.66666666666667</v>
      </c>
      <c r="N761" t="n">
        <v>9.775566130910907</v>
      </c>
      <c r="O761" t="n">
        <v>25.87598249677785</v>
      </c>
      <c r="P761" t="n">
        <v>-7.619134760712642</v>
      </c>
      <c r="Q761" t="n">
        <v>36.25763535633766</v>
      </c>
      <c r="R761" t="n">
        <v>6.693</v>
      </c>
      <c r="S761" t="n">
        <v>-0.32</v>
      </c>
      <c r="T761" t="n">
        <v>7.013</v>
      </c>
      <c r="U761" t="n">
        <v>129022000000</v>
      </c>
    </row>
    <row r="762">
      <c r="A762" t="inlineStr">
        <is>
          <t>Vietnam</t>
        </is>
      </c>
      <c r="B762" t="inlineStr">
        <is>
          <t>VNM</t>
        </is>
      </c>
      <c r="C762" t="inlineStr">
        <is>
          <t>XFVT.L</t>
        </is>
      </c>
      <c r="D762" t="n">
        <v>2010</v>
      </c>
      <c r="E762" t="n">
        <v>-20.3224722875378</v>
      </c>
      <c r="F762" t="n">
        <v>6.423</v>
      </c>
      <c r="G762" t="n">
        <v>19.273125</v>
      </c>
      <c r="H762" t="n">
        <v>10.998124</v>
      </c>
      <c r="I762" t="n">
        <v>34.75719573207142</v>
      </c>
      <c r="J762" t="inlineStr">
        <is>
          <t>Vietnam|XFVT.L|2010</t>
        </is>
      </c>
      <c r="K762" t="inlineStr">
        <is>
          <t>Vietnam|2010</t>
        </is>
      </c>
      <c r="L762" t="inlineStr">
        <is>
          <t>GBp</t>
        </is>
      </c>
      <c r="M762" t="n">
        <v>-20.3224722875378</v>
      </c>
      <c r="N762" t="n">
        <v>-4.313135137595536</v>
      </c>
      <c r="O762" t="n">
        <v>-23.75907173207142</v>
      </c>
      <c r="P762" t="n">
        <v>-6.93785887217534</v>
      </c>
      <c r="Q762" t="n">
        <v>-18.07524806117609</v>
      </c>
      <c r="R762" t="n">
        <v>9.140000000000001</v>
      </c>
      <c r="S762" t="n">
        <v>1.637</v>
      </c>
      <c r="T762" t="n">
        <v>7.503</v>
      </c>
      <c r="U762" t="n">
        <v>143212000000</v>
      </c>
    </row>
    <row r="763">
      <c r="A763" t="inlineStr">
        <is>
          <t>Vietnam</t>
        </is>
      </c>
      <c r="B763" t="inlineStr">
        <is>
          <t>VNM</t>
        </is>
      </c>
      <c r="C763" t="inlineStr">
        <is>
          <t>XFVT.L</t>
        </is>
      </c>
      <c r="D763" t="n">
        <v>2011</v>
      </c>
      <c r="E763" t="n">
        <v>-50.93419632282122</v>
      </c>
      <c r="F763" t="n">
        <v>6.413</v>
      </c>
      <c r="G763" t="n">
        <v>29.200144</v>
      </c>
      <c r="H763" t="n">
        <v>19.621261</v>
      </c>
      <c r="I763" t="n">
        <v>71.0486239554743</v>
      </c>
      <c r="J763" t="inlineStr">
        <is>
          <t>Vietnam|XFVT.L|2011</t>
        </is>
      </c>
      <c r="K763" t="inlineStr">
        <is>
          <t>Vietnam|2011</t>
        </is>
      </c>
      <c r="L763" t="inlineStr">
        <is>
          <t>GBp</t>
        </is>
      </c>
      <c r="M763" t="n">
        <v>-50.93419632282122</v>
      </c>
      <c r="N763" t="n">
        <v>-1.005112717398426</v>
      </c>
      <c r="O763" t="n">
        <v>-51.4273629554743</v>
      </c>
      <c r="P763" t="n">
        <v>-7.413987742616046</v>
      </c>
      <c r="Q763" t="n">
        <v>-47.53782362988431</v>
      </c>
      <c r="R763" t="n">
        <v>18.685</v>
      </c>
      <c r="S763" t="n">
        <v>3.14</v>
      </c>
      <c r="T763" t="n">
        <v>15.545</v>
      </c>
      <c r="U763" t="n">
        <v>171312000000</v>
      </c>
    </row>
    <row r="764">
      <c r="A764" t="inlineStr">
        <is>
          <t>Vietnam</t>
        </is>
      </c>
      <c r="B764" t="inlineStr">
        <is>
          <t>VNM</t>
        </is>
      </c>
      <c r="C764" t="inlineStr">
        <is>
          <t>XFVT.L</t>
        </is>
      </c>
      <c r="D764" t="n">
        <v>2012</v>
      </c>
      <c r="E764" t="n">
        <v>15.98385433782967</v>
      </c>
      <c r="F764" t="n">
        <v>5.505</v>
      </c>
      <c r="G764" t="n">
        <v>15.081889</v>
      </c>
      <c r="H764" t="n">
        <v>13.926053</v>
      </c>
      <c r="I764" t="n">
        <v>-6.924354374540204</v>
      </c>
      <c r="J764" t="inlineStr">
        <is>
          <t>Vietnam|XFVT.L|2012</t>
        </is>
      </c>
      <c r="K764" t="inlineStr">
        <is>
          <t>Vietnam|2012</t>
        </is>
      </c>
      <c r="L764" t="inlineStr">
        <is>
          <t>GBp</t>
        </is>
      </c>
      <c r="M764" t="n">
        <v>15.98385433782967</v>
      </c>
      <c r="N764" t="n">
        <v>4.195888354025179</v>
      </c>
      <c r="O764" t="n">
        <v>20.8504073745402</v>
      </c>
      <c r="P764" t="n">
        <v>-1.004359802332955</v>
      </c>
      <c r="Q764" t="n">
        <v>22.07649461454586</v>
      </c>
      <c r="R764" t="n">
        <v>9.121</v>
      </c>
      <c r="S764" t="n">
        <v>2.073</v>
      </c>
      <c r="T764" t="n">
        <v>7.048</v>
      </c>
      <c r="U764" t="n">
        <v>195169000000</v>
      </c>
    </row>
    <row r="765">
      <c r="A765" t="inlineStr">
        <is>
          <t>Vietnam</t>
        </is>
      </c>
      <c r="B765" t="inlineStr">
        <is>
          <t>VNM</t>
        </is>
      </c>
      <c r="C765" t="inlineStr">
        <is>
          <t>XFVT.L</t>
        </is>
      </c>
      <c r="D765" t="n">
        <v>2013</v>
      </c>
      <c r="E765" t="n">
        <v>4.93432729854455</v>
      </c>
      <c r="F765" t="n">
        <v>5.554</v>
      </c>
      <c r="G765" t="n">
        <v>9.816314</v>
      </c>
      <c r="H765" t="n">
        <v>8.996817999999999</v>
      </c>
      <c r="I765" t="n">
        <v>2.390439291170702</v>
      </c>
      <c r="J765" t="inlineStr">
        <is>
          <t>Vietnam|XFVT.L|2013</t>
        </is>
      </c>
      <c r="K765" t="inlineStr">
        <is>
          <t>Vietnam|2013</t>
        </is>
      </c>
      <c r="L765" t="inlineStr">
        <is>
          <t>GBp</t>
        </is>
      </c>
      <c r="M765" t="n">
        <v>4.93432729854455</v>
      </c>
      <c r="N765" t="n">
        <v>1.593426530031161</v>
      </c>
      <c r="O765" t="n">
        <v>6.606378708829297</v>
      </c>
      <c r="P765" t="n">
        <v>-0.7462426303477931</v>
      </c>
      <c r="Q765" t="n">
        <v>7.407902263884703</v>
      </c>
      <c r="R765" t="n">
        <v>6.592</v>
      </c>
      <c r="S765" t="n">
        <v>1.466</v>
      </c>
      <c r="T765" t="n">
        <v>5.125999999999999</v>
      </c>
      <c r="U765" t="n">
        <v>212728000000</v>
      </c>
    </row>
    <row r="766">
      <c r="A766" t="inlineStr">
        <is>
          <t>Vietnam</t>
        </is>
      </c>
      <c r="B766" t="inlineStr">
        <is>
          <t>VNM</t>
        </is>
      </c>
      <c r="C766" t="inlineStr">
        <is>
          <t>XFVT.L</t>
        </is>
      </c>
      <c r="D766" t="n">
        <v>2014</v>
      </c>
      <c r="E766" t="n">
        <v>15.73886639676112</v>
      </c>
      <c r="F766" t="n">
        <v>6.422</v>
      </c>
      <c r="G766" t="n">
        <v>10.357885</v>
      </c>
      <c r="H766" t="n">
        <v>9.476891</v>
      </c>
      <c r="I766" t="n">
        <v>0.6899290394175157</v>
      </c>
      <c r="J766" t="inlineStr">
        <is>
          <t>Vietnam|XFVT.L|2014</t>
        </is>
      </c>
      <c r="K766" t="inlineStr">
        <is>
          <t>Vietnam|2014</t>
        </is>
      </c>
      <c r="L766" t="inlineStr">
        <is>
          <t>GBp</t>
        </is>
      </c>
      <c r="M766" t="n">
        <v>15.73886639676112</v>
      </c>
      <c r="N766" t="n">
        <v>-6.006542704804973</v>
      </c>
      <c r="O766" t="n">
        <v>8.786961960582484</v>
      </c>
      <c r="P766" t="n">
        <v>-0.7983061901120303</v>
      </c>
      <c r="Q766" t="n">
        <v>9.662403717686431</v>
      </c>
      <c r="R766" t="n">
        <v>4.087</v>
      </c>
      <c r="S766" t="n">
        <v>1.615</v>
      </c>
      <c r="T766" t="n">
        <v>2.472</v>
      </c>
      <c r="U766" t="n">
        <v>232888000000</v>
      </c>
    </row>
    <row r="767">
      <c r="A767" t="inlineStr">
        <is>
          <t>Vietnam</t>
        </is>
      </c>
      <c r="B767" t="inlineStr">
        <is>
          <t>VNM</t>
        </is>
      </c>
      <c r="C767" t="inlineStr">
        <is>
          <t>XFVT.L</t>
        </is>
      </c>
      <c r="D767" t="n">
        <v>2015</v>
      </c>
      <c r="E767" t="n">
        <v>-13.48618627171746</v>
      </c>
      <c r="F767" t="n">
        <v>6.987</v>
      </c>
      <c r="G767" t="n">
        <v>5.150707</v>
      </c>
      <c r="H767" t="n">
        <v>1.67763</v>
      </c>
      <c r="I767" t="n">
        <v>19.39335193313678</v>
      </c>
      <c r="J767" t="inlineStr">
        <is>
          <t>Vietnam|XFVT.L|2015</t>
        </is>
      </c>
      <c r="K767" t="inlineStr">
        <is>
          <t>Vietnam|2015</t>
        </is>
      </c>
      <c r="L767" t="inlineStr">
        <is>
          <t>GBp</t>
        </is>
      </c>
      <c r="M767" t="n">
        <v>-13.48618627171746</v>
      </c>
      <c r="N767" t="n">
        <v>-4.888855870697362</v>
      </c>
      <c r="O767" t="n">
        <v>-17.71572193313678</v>
      </c>
      <c r="P767" t="n">
        <v>-3.302951466310633</v>
      </c>
      <c r="Q767" t="n">
        <v>-14.90507795778764</v>
      </c>
      <c r="R767" t="n">
        <v>0.647</v>
      </c>
      <c r="S767" t="n">
        <v>0.121</v>
      </c>
      <c r="T767" t="n">
        <v>0.526</v>
      </c>
      <c r="U767" t="n">
        <v>236795000000</v>
      </c>
    </row>
    <row r="768">
      <c r="A768" t="inlineStr">
        <is>
          <t>Vietnam</t>
        </is>
      </c>
      <c r="B768" t="inlineStr">
        <is>
          <t>VNM</t>
        </is>
      </c>
      <c r="C768" t="inlineStr">
        <is>
          <t>XFVT.L</t>
        </is>
      </c>
      <c r="D768" t="n">
        <v>2016</v>
      </c>
      <c r="E768" t="n">
        <v>16.79276315789475</v>
      </c>
      <c r="F768" t="n">
        <v>6.69</v>
      </c>
      <c r="G768" t="n">
        <v>8.631271999999999</v>
      </c>
      <c r="H768" t="n">
        <v>6.482823</v>
      </c>
      <c r="I768" t="n">
        <v>9.107684322578287</v>
      </c>
      <c r="J768" t="inlineStr">
        <is>
          <t>Vietnam|XFVT.L|2016</t>
        </is>
      </c>
      <c r="K768" t="inlineStr">
        <is>
          <t>Vietnam|2016</t>
        </is>
      </c>
      <c r="L768" t="inlineStr">
        <is>
          <t>GBp</t>
        </is>
      </c>
      <c r="M768" t="n">
        <v>16.79276315789475</v>
      </c>
      <c r="N768" t="n">
        <v>-16.62570861023462</v>
      </c>
      <c r="O768" t="n">
        <v>-2.624861322578287</v>
      </c>
      <c r="P768" t="n">
        <v>-1.977744747613219</v>
      </c>
      <c r="Q768" t="n">
        <v>-0.6601731140534084</v>
      </c>
      <c r="R768" t="n">
        <v>2.675</v>
      </c>
      <c r="S768" t="n">
        <v>1.267</v>
      </c>
      <c r="T768" t="n">
        <v>1.408</v>
      </c>
      <c r="U768" t="n">
        <v>252146000000</v>
      </c>
    </row>
    <row r="769">
      <c r="A769" t="inlineStr">
        <is>
          <t>Vietnam</t>
        </is>
      </c>
      <c r="B769" t="inlineStr">
        <is>
          <t>VNM</t>
        </is>
      </c>
      <c r="C769" t="inlineStr">
        <is>
          <t>XFVT.L</t>
        </is>
      </c>
      <c r="D769" t="n">
        <v>2017</v>
      </c>
      <c r="E769" t="n">
        <v>33.44334433443345</v>
      </c>
      <c r="F769" t="n">
        <v>6.94</v>
      </c>
      <c r="G769" t="n">
        <v>11.605905</v>
      </c>
      <c r="H769" t="n">
        <v>9.885146000000001</v>
      </c>
      <c r="I769" t="n">
        <v>-35.35644226272699</v>
      </c>
      <c r="J769" t="inlineStr">
        <is>
          <t>Vietnam|XFVT.L|2017</t>
        </is>
      </c>
      <c r="K769" t="inlineStr">
        <is>
          <t>Vietnam|2017</t>
        </is>
      </c>
      <c r="L769" t="inlineStr">
        <is>
          <t>GBp</t>
        </is>
      </c>
      <c r="M769" t="n">
        <v>33.44334433443345</v>
      </c>
      <c r="N769" t="n">
        <v>8.841388071573641</v>
      </c>
      <c r="O769" t="n">
        <v>45.24158826272699</v>
      </c>
      <c r="P769" t="n">
        <v>-1.541817675632007</v>
      </c>
      <c r="Q769" t="n">
        <v>47.51601627605946</v>
      </c>
      <c r="R769" t="n">
        <v>3.521</v>
      </c>
      <c r="S769" t="n">
        <v>2.131</v>
      </c>
      <c r="T769" t="n">
        <v>1.39</v>
      </c>
      <c r="U769" t="n">
        <v>277071000000</v>
      </c>
    </row>
    <row r="770">
      <c r="A770" t="inlineStr">
        <is>
          <t>Vietnam</t>
        </is>
      </c>
      <c r="B770" t="inlineStr">
        <is>
          <t>VNM</t>
        </is>
      </c>
      <c r="C770" t="inlineStr">
        <is>
          <t>XFVT.L</t>
        </is>
      </c>
      <c r="D770" t="n">
        <v>2018</v>
      </c>
      <c r="E770" t="n">
        <v>-7.244752394538412</v>
      </c>
      <c r="F770" t="n">
        <v>7.465</v>
      </c>
      <c r="G770" t="n">
        <v>11.362384</v>
      </c>
      <c r="H770" t="n">
        <v>9.888801000000001</v>
      </c>
      <c r="I770" t="n">
        <v>22.77799239564892</v>
      </c>
      <c r="J770" t="inlineStr">
        <is>
          <t>Vietnam|XFVT.L|2018</t>
        </is>
      </c>
      <c r="K770" t="inlineStr">
        <is>
          <t>Vietnam|2018</t>
        </is>
      </c>
      <c r="L770" t="inlineStr">
        <is>
          <t>GBp</t>
        </is>
      </c>
      <c r="M770" t="n">
        <v>-7.244752394538412</v>
      </c>
      <c r="N770" t="n">
        <v>-6.085304224640065</v>
      </c>
      <c r="O770" t="n">
        <v>-12.88919139564891</v>
      </c>
      <c r="P770" t="n">
        <v>-1.32323187793989</v>
      </c>
      <c r="Q770" t="n">
        <v>-11.72105627071439</v>
      </c>
      <c r="R770" t="n">
        <v>3.54</v>
      </c>
      <c r="S770" t="n">
        <v>2.439</v>
      </c>
      <c r="T770" t="n">
        <v>1.101</v>
      </c>
      <c r="U770" t="n">
        <v>304470000000</v>
      </c>
    </row>
    <row r="771">
      <c r="A771" t="inlineStr">
        <is>
          <t>Vietnam</t>
        </is>
      </c>
      <c r="B771" t="inlineStr">
        <is>
          <t>VNM</t>
        </is>
      </c>
      <c r="C771" t="inlineStr">
        <is>
          <t>XFVT.L</t>
        </is>
      </c>
      <c r="D771" t="n">
        <v>2019</v>
      </c>
      <c r="E771" t="n">
        <v>-1.198186528497414</v>
      </c>
      <c r="F771" t="n">
        <v>7.359</v>
      </c>
      <c r="G771" t="n">
        <v>9.960820999999999</v>
      </c>
      <c r="H771" t="n">
        <v>8.982165999999999</v>
      </c>
      <c r="I771" t="n">
        <v>7.271761219977909</v>
      </c>
      <c r="J771" t="inlineStr">
        <is>
          <t>Vietnam|XFVT.L|2019</t>
        </is>
      </c>
      <c r="K771" t="inlineStr">
        <is>
          <t>Vietnam|2019</t>
        </is>
      </c>
      <c r="L771" t="inlineStr">
        <is>
          <t>GBp</t>
        </is>
      </c>
      <c r="M771" t="n">
        <v>-1.198186528497414</v>
      </c>
      <c r="N771" t="n">
        <v>2.94386429390634</v>
      </c>
      <c r="O771" t="n">
        <v>1.71040478002209</v>
      </c>
      <c r="P771" t="n">
        <v>-0.8900038557951184</v>
      </c>
      <c r="Q771" t="n">
        <v>2.62376020278885</v>
      </c>
      <c r="R771" t="n">
        <v>2.795</v>
      </c>
      <c r="S771" t="n">
        <v>1.813</v>
      </c>
      <c r="T771" t="n">
        <v>0.982</v>
      </c>
      <c r="U771" t="n">
        <v>331818000000</v>
      </c>
    </row>
    <row r="772">
      <c r="A772" t="inlineStr">
        <is>
          <t>Vietnam</t>
        </is>
      </c>
      <c r="B772" t="inlineStr">
        <is>
          <t>VNM</t>
        </is>
      </c>
      <c r="C772" t="inlineStr">
        <is>
          <t>XFVT.L</t>
        </is>
      </c>
      <c r="D772" t="n">
        <v>2020</v>
      </c>
      <c r="E772" t="n">
        <v>12.24511813572122</v>
      </c>
      <c r="F772" t="n">
        <v>2.865</v>
      </c>
      <c r="G772" t="n">
        <v>4.374941</v>
      </c>
      <c r="H772" t="n">
        <v>4.367454</v>
      </c>
      <c r="I772" t="n">
        <v>-10.99268881600469</v>
      </c>
      <c r="J772" t="inlineStr">
        <is>
          <t>Vietnam|XFVT.L|2020</t>
        </is>
      </c>
      <c r="K772" t="inlineStr">
        <is>
          <t>Vietnam|2020</t>
        </is>
      </c>
      <c r="L772" t="inlineStr">
        <is>
          <t>GBp</t>
        </is>
      </c>
      <c r="M772" t="n">
        <v>12.24511813572122</v>
      </c>
      <c r="N772" t="n">
        <v>2.775198362317122</v>
      </c>
      <c r="O772" t="n">
        <v>15.36014281600469</v>
      </c>
      <c r="P772" t="n">
        <v>-0.007172432347701818</v>
      </c>
      <c r="Q772" t="n">
        <v>15.36841753770319</v>
      </c>
      <c r="R772" t="n">
        <v>3.22</v>
      </c>
      <c r="S772" t="n">
        <v>1.253</v>
      </c>
      <c r="T772" t="n">
        <v>1.967</v>
      </c>
      <c r="U772" t="n">
        <v>346310000000</v>
      </c>
    </row>
    <row r="773">
      <c r="A773" t="inlineStr">
        <is>
          <t>Vietnam</t>
        </is>
      </c>
      <c r="B773" t="inlineStr">
        <is>
          <t>VNM</t>
        </is>
      </c>
      <c r="C773" t="inlineStr">
        <is>
          <t>XFVT.L</t>
        </is>
      </c>
      <c r="D773" t="n">
        <v>2021</v>
      </c>
      <c r="E773" t="n">
        <v>31.4366729678639</v>
      </c>
      <c r="F773" t="n">
        <v>2.554</v>
      </c>
      <c r="G773" t="n">
        <v>5.508063</v>
      </c>
      <c r="H773" t="n">
        <v>6.862638</v>
      </c>
      <c r="I773" t="n">
        <v>-22.89529881670504</v>
      </c>
      <c r="J773" t="inlineStr">
        <is>
          <t>Vietnam|XFVT.L|2021</t>
        </is>
      </c>
      <c r="K773" t="inlineStr">
        <is>
          <t>Vietnam|2021</t>
        </is>
      </c>
      <c r="L773" t="inlineStr">
        <is>
          <t>GBp</t>
        </is>
      </c>
      <c r="M773" t="n">
        <v>31.4366729678639</v>
      </c>
      <c r="N773" t="n">
        <v>-1.277220514832489</v>
      </c>
      <c r="O773" t="n">
        <v>29.75793681670504</v>
      </c>
      <c r="P773" t="n">
        <v>1.283858341398436</v>
      </c>
      <c r="Q773" t="n">
        <v>28.11314551162612</v>
      </c>
      <c r="R773" t="n">
        <v>1.837</v>
      </c>
      <c r="S773" t="n">
        <v>4.679</v>
      </c>
      <c r="T773" t="n">
        <v>-2.842000000000001</v>
      </c>
      <c r="U773" t="n">
        <v>370076000000</v>
      </c>
    </row>
    <row r="774">
      <c r="A774" t="inlineStr">
        <is>
          <t>Vietnam</t>
        </is>
      </c>
      <c r="B774" t="inlineStr">
        <is>
          <t>VNM</t>
        </is>
      </c>
      <c r="C774" t="inlineStr">
        <is>
          <t>XFVT.L</t>
        </is>
      </c>
      <c r="D774" t="n">
        <v>2022</v>
      </c>
      <c r="E774" t="n">
        <v>-39.70095025153717</v>
      </c>
      <c r="F774" t="n">
        <v>8.538</v>
      </c>
      <c r="G774" t="n">
        <v>13.35964</v>
      </c>
      <c r="H774" t="n">
        <v>11.076644</v>
      </c>
      <c r="I774" t="n">
        <v>57.31464256417105</v>
      </c>
      <c r="J774" t="inlineStr">
        <is>
          <t>Vietnam|XFVT.L|2022</t>
        </is>
      </c>
      <c r="K774" t="inlineStr">
        <is>
          <t>Vietnam|2022</t>
        </is>
      </c>
      <c r="L774" t="inlineStr">
        <is>
          <t>GBp</t>
        </is>
      </c>
      <c r="M774" t="n">
        <v>-39.70095025153717</v>
      </c>
      <c r="N774" t="n">
        <v>-10.84104698150823</v>
      </c>
      <c r="O774" t="n">
        <v>-46.23799856417104</v>
      </c>
      <c r="P774" t="n">
        <v>-2.01394136818035</v>
      </c>
      <c r="Q774" t="n">
        <v>-45.13300954594119</v>
      </c>
      <c r="R774" t="n">
        <v>3.157</v>
      </c>
      <c r="S774" t="n">
        <v>7.993</v>
      </c>
      <c r="T774" t="n">
        <v>-4.836</v>
      </c>
      <c r="U774" t="n">
        <v>411068000000</v>
      </c>
    </row>
    <row r="775">
      <c r="A775" t="inlineStr">
        <is>
          <t>Vietnam</t>
        </is>
      </c>
      <c r="B775" t="inlineStr">
        <is>
          <t>VNM</t>
        </is>
      </c>
      <c r="C775" t="inlineStr">
        <is>
          <t>XFVT.L</t>
        </is>
      </c>
      <c r="D775" t="n">
        <v>2023</v>
      </c>
      <c r="E775" t="n">
        <v>-5.490410958904112</v>
      </c>
      <c r="F775" t="n">
        <v>5.065</v>
      </c>
      <c r="G775" t="n">
        <v>7.264446</v>
      </c>
      <c r="H775" t="n">
        <v>5.337316</v>
      </c>
      <c r="I775" t="n">
        <v>6.042677464805599</v>
      </c>
      <c r="J775" t="inlineStr">
        <is>
          <t>Vietnam|XFVT.L|2023</t>
        </is>
      </c>
      <c r="K775" t="inlineStr">
        <is>
          <t>Vietnam|2023</t>
        </is>
      </c>
      <c r="L775" t="inlineStr">
        <is>
          <t>GBp</t>
        </is>
      </c>
      <c r="M775" t="n">
        <v>-5.490410958904112</v>
      </c>
      <c r="N775" t="n">
        <v>5.06303068571996</v>
      </c>
      <c r="O775" t="n">
        <v>-0.7053614648055984</v>
      </c>
      <c r="P775" t="n">
        <v>-1.796615007646363</v>
      </c>
      <c r="Q775" t="n">
        <v>1.111217849492396</v>
      </c>
      <c r="R775" t="n">
        <v>3.253</v>
      </c>
      <c r="S775" t="n">
        <v>4.128</v>
      </c>
      <c r="T775" t="n">
        <v>-0.875</v>
      </c>
      <c r="U775" t="n">
        <v>433008000000</v>
      </c>
    </row>
    <row r="776">
      <c r="A776" t="inlineStr">
        <is>
          <t>Vietnam</t>
        </is>
      </c>
      <c r="B776" t="inlineStr">
        <is>
          <t>VNM</t>
        </is>
      </c>
      <c r="C776" t="inlineStr">
        <is>
          <t>XFVT.L</t>
        </is>
      </c>
      <c r="D776" t="n">
        <v>2024</v>
      </c>
      <c r="E776" t="n">
        <v>-8.879860708067334</v>
      </c>
      <c r="F776" t="n">
        <v>7.091</v>
      </c>
      <c r="G776" t="n">
        <v>11.545738</v>
      </c>
      <c r="H776" t="n">
        <v>6.111665</v>
      </c>
      <c r="I776" t="n">
        <v>16.28639165824373</v>
      </c>
      <c r="J776" t="inlineStr">
        <is>
          <t>Vietnam|XFVT.L|2024</t>
        </is>
      </c>
      <c r="K776" t="inlineStr">
        <is>
          <t>Vietnam|2024</t>
        </is>
      </c>
      <c r="L776" t="inlineStr">
        <is>
          <t>GBp</t>
        </is>
      </c>
      <c r="M776" t="n">
        <v>-8.879860708067334</v>
      </c>
      <c r="N776" t="n">
        <v>-1.421053523664917</v>
      </c>
      <c r="O776" t="n">
        <v>-10.17472665824373</v>
      </c>
      <c r="P776" t="n">
        <v>-4.871609165459379</v>
      </c>
      <c r="Q776" t="n">
        <v>-5.574694837431027</v>
      </c>
      <c r="R776" t="n">
        <v>3.624</v>
      </c>
      <c r="S776" t="n">
        <v>2.952</v>
      </c>
      <c r="T776" t="n">
        <v>0.6720000000000002</v>
      </c>
      <c r="U776" t="n">
        <v>459472000000</v>
      </c>
    </row>
    <row r="777">
      <c r="A777" t="inlineStr">
        <is>
          <t>Vietnam</t>
        </is>
      </c>
      <c r="B777" t="inlineStr">
        <is>
          <t>VNM</t>
        </is>
      </c>
      <c r="C777" t="inlineStr">
        <is>
          <t>XFVT.L</t>
        </is>
      </c>
      <c r="D777" t="n">
        <v>2025</v>
      </c>
      <c r="E777" t="n">
        <v>55.06464164679304</v>
      </c>
      <c r="F777" t="n">
        <v>6.457</v>
      </c>
      <c r="G777" t="n">
        <v>9.991490000000001</v>
      </c>
      <c r="H777" t="n">
        <v>5.496309</v>
      </c>
      <c r="I777" t="n">
        <v>-61.30971807742051</v>
      </c>
      <c r="J777" t="inlineStr">
        <is>
          <t>Vietnam|XFVT.L|2025</t>
        </is>
      </c>
      <c r="K777" t="inlineStr">
        <is>
          <t>Vietnam|2025</t>
        </is>
      </c>
      <c r="L777" t="inlineStr">
        <is>
          <t>GBp</t>
        </is>
      </c>
      <c r="M777" t="n">
        <v>55.06464164679304</v>
      </c>
      <c r="N777" t="n">
        <v>7.571929555270285</v>
      </c>
      <c r="O777" t="n">
        <v>66.80602707742051</v>
      </c>
      <c r="P777" t="n">
        <v>-4.086844476972007</v>
      </c>
      <c r="Q777" t="n">
        <v>73.9136056652538</v>
      </c>
      <c r="R777" t="n">
        <v>3.402</v>
      </c>
      <c r="S777" t="n">
        <v>2.715</v>
      </c>
      <c r="T777" t="n">
        <v>0.6870000000000003</v>
      </c>
      <c r="U777" t="n">
        <v>484726000000</v>
      </c>
    </row>
    <row r="778">
      <c r="A778" t="inlineStr">
        <is>
          <t>Vietnam</t>
        </is>
      </c>
      <c r="B778" t="inlineStr">
        <is>
          <t>VNM</t>
        </is>
      </c>
      <c r="C778" t="inlineStr">
        <is>
          <t>XFVT.L</t>
        </is>
      </c>
      <c r="D778" t="n">
        <v>2026</v>
      </c>
      <c r="E778" t="n">
        <v>-2.685319183148405</v>
      </c>
      <c r="F778" t="n">
        <v>5.595</v>
      </c>
      <c r="G778" t="n">
        <v>9.35421</v>
      </c>
      <c r="H778" t="n">
        <v>5.432554</v>
      </c>
      <c r="I778" t="n">
        <v>9.579826788543999</v>
      </c>
      <c r="J778" t="inlineStr">
        <is>
          <t>Vietnam|XFVT.L|2026</t>
        </is>
      </c>
      <c r="K778" t="inlineStr">
        <is>
          <t>Vietnam|2026</t>
        </is>
      </c>
      <c r="L778" t="inlineStr">
        <is>
          <t>GBp</t>
        </is>
      </c>
      <c r="M778" t="n">
        <v>-2.685319183148405</v>
      </c>
      <c r="N778" t="n">
        <v>-1.502295021803568</v>
      </c>
      <c r="O778" t="n">
        <v>-4.147272788543999</v>
      </c>
      <c r="P778" t="n">
        <v>-3.586195770893719</v>
      </c>
      <c r="Q778" t="n">
        <v>-0.5819467680343804</v>
      </c>
      <c r="R778" t="n">
        <v>3.161</v>
      </c>
      <c r="S778" t="n">
        <v>2.435</v>
      </c>
      <c r="T778" t="n">
        <v>0.726</v>
      </c>
      <c r="U778" t="n">
        <v>511059000000</v>
      </c>
    </row>
    <row r="779">
      <c r="A779" t="inlineStr">
        <is>
          <t>Vietnam</t>
        </is>
      </c>
      <c r="B779" t="inlineStr">
        <is>
          <t>VNM</t>
        </is>
      </c>
      <c r="C779" t="inlineStr">
        <is>
          <t>XFVT.L</t>
        </is>
      </c>
      <c r="D779" t="n">
        <v>2027</v>
      </c>
      <c r="E779" t="inlineStr"/>
      <c r="F779" t="n">
        <v>5.76</v>
      </c>
      <c r="G779" t="n">
        <v>8.918058</v>
      </c>
      <c r="H779" t="n">
        <v>6.682986</v>
      </c>
      <c r="I779" t="inlineStr"/>
      <c r="J779" t="inlineStr">
        <is>
          <t>Vietnam|XFVT.L|2027</t>
        </is>
      </c>
      <c r="K779" t="inlineStr">
        <is>
          <t>Vietnam|2027</t>
        </is>
      </c>
      <c r="L779" t="inlineStr">
        <is>
          <t>GBp</t>
        </is>
      </c>
      <c r="M779" t="inlineStr"/>
      <c r="N779" t="inlineStr"/>
      <c r="O779" t="inlineStr"/>
      <c r="P779" t="n">
        <v>-2.052067714226302</v>
      </c>
      <c r="Q779" t="inlineStr"/>
      <c r="R779" t="n">
        <v>3.3</v>
      </c>
      <c r="S779" t="n">
        <v>2.185</v>
      </c>
      <c r="T779" t="n">
        <v>1.115</v>
      </c>
      <c r="U779" t="n">
        <v>545213000000</v>
      </c>
    </row>
    <row r="780">
      <c r="A780" t="inlineStr">
        <is>
          <t>Vietnam</t>
        </is>
      </c>
      <c r="B780" t="inlineStr">
        <is>
          <t>VNM</t>
        </is>
      </c>
      <c r="C780" t="inlineStr">
        <is>
          <t>XFVT.L</t>
        </is>
      </c>
      <c r="D780" t="n">
        <v>2028</v>
      </c>
      <c r="E780" t="inlineStr"/>
      <c r="F780" t="n">
        <v>5.6</v>
      </c>
      <c r="G780" t="n">
        <v>8.569962</v>
      </c>
      <c r="H780" t="n">
        <v>7.064762</v>
      </c>
      <c r="I780" t="inlineStr"/>
      <c r="J780" t="inlineStr">
        <is>
          <t>Vietnam|XFVT.L|2028</t>
        </is>
      </c>
      <c r="K780" t="inlineStr">
        <is>
          <t>Vietnam|2028</t>
        </is>
      </c>
      <c r="L780" t="inlineStr">
        <is>
          <t>GBp</t>
        </is>
      </c>
      <c r="M780" t="inlineStr"/>
      <c r="N780" t="inlineStr"/>
      <c r="O780" t="inlineStr"/>
      <c r="P780" t="n">
        <v>-1.386387438553505</v>
      </c>
      <c r="Q780" t="inlineStr"/>
      <c r="R780" t="n">
        <v>3.3</v>
      </c>
      <c r="S780" t="n">
        <v>2.206</v>
      </c>
      <c r="T780" t="n">
        <v>1.094</v>
      </c>
      <c r="U780" t="n">
        <v>583731000000</v>
      </c>
    </row>
    <row r="781">
      <c r="A781" t="inlineStr">
        <is>
          <t>Vietnam</t>
        </is>
      </c>
      <c r="B781" t="inlineStr">
        <is>
          <t>VNM</t>
        </is>
      </c>
      <c r="C781" t="inlineStr">
        <is>
          <t>XFVT.L</t>
        </is>
      </c>
      <c r="D781" t="n">
        <v>2029</v>
      </c>
      <c r="E781" t="inlineStr"/>
      <c r="F781" t="n">
        <v>5.3</v>
      </c>
      <c r="G781" t="n">
        <v>8.106811</v>
      </c>
      <c r="H781" t="n">
        <v>6.916199</v>
      </c>
      <c r="I781" t="inlineStr"/>
      <c r="J781" t="inlineStr">
        <is>
          <t>Vietnam|XFVT.L|2029</t>
        </is>
      </c>
      <c r="K781" t="inlineStr">
        <is>
          <t>Vietnam|2029</t>
        </is>
      </c>
      <c r="L781" t="inlineStr">
        <is>
          <t>GBp</t>
        </is>
      </c>
      <c r="M781" t="inlineStr"/>
      <c r="N781" t="inlineStr"/>
      <c r="O781" t="inlineStr"/>
      <c r="P781" t="n">
        <v>-1.101329128657602</v>
      </c>
      <c r="Q781" t="inlineStr"/>
      <c r="R781" t="n">
        <v>3.3</v>
      </c>
      <c r="S781" t="n">
        <v>2.203</v>
      </c>
      <c r="T781" t="n">
        <v>1.097</v>
      </c>
      <c r="U781" t="n">
        <v>624103000000</v>
      </c>
    </row>
  </sheetData>
  <autoFilter ref="A1:U78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19" customWidth="1" min="4" max="4"/>
    <col width="15" customWidth="1" min="5" max="5"/>
    <col width="25" customWidth="1" min="6" max="6"/>
    <col width="26" customWidth="1" min="7" max="7"/>
    <col width="32" customWidth="1" min="8" max="8"/>
    <col width="32" customWidth="1" min="9" max="9"/>
    <col width="29" customWidth="1" min="10" max="10"/>
    <col width="32" customWidth="1" min="11" max="11"/>
    <col width="30" customWidth="1" min="12" max="12"/>
    <col width="31" customWidth="1" min="13" max="13"/>
    <col width="42" customWidth="1" min="14" max="14"/>
    <col width="31" customWidth="1" min="15" max="15"/>
    <col width="27" customWidth="1" min="16" max="16"/>
    <col width="20" customWidth="1" min="17" max="17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fx_cagr_pct</t>
        </is>
      </c>
      <c r="K1" t="inlineStr">
        <is>
          <t>inflation_local_cagr_pct</t>
        </is>
      </c>
      <c r="L1" t="inlineStr">
        <is>
          <t>inflation_usa_cagr_pct</t>
        </is>
      </c>
      <c r="M1" t="inlineStr">
        <is>
          <t>inflation_diff_cagr_pct</t>
        </is>
      </c>
      <c r="N1" t="inlineStr">
        <is>
          <t>gdp_nominal_usd_minus_etf_cagr_pct</t>
        </is>
      </c>
      <c r="O1" t="inlineStr">
        <is>
          <t>lookup_key</t>
        </is>
      </c>
      <c r="P1" t="inlineStr">
        <is>
          <t>country_horizon_key</t>
        </is>
      </c>
      <c r="Q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2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n">
        <v>-2.775891376567952</v>
      </c>
      <c r="K2" t="n">
        <v>2.576000000000001</v>
      </c>
      <c r="L2" t="n">
        <v>2.715000000000001</v>
      </c>
      <c r="M2" t="n">
        <v>-0.1390000000000002</v>
      </c>
      <c r="N2" t="inlineStr"/>
      <c r="O2" t="inlineStr">
        <is>
          <t>Australia||1Y</t>
        </is>
      </c>
      <c r="P2" t="inlineStr">
        <is>
          <t>Australia|1Y</t>
        </is>
      </c>
      <c r="Q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2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n">
        <v>-2.619249013720248</v>
      </c>
      <c r="K3" t="n">
        <v>3.780882125437479</v>
      </c>
      <c r="L3" t="n">
        <v>3.263156230678832</v>
      </c>
      <c r="M3" t="n">
        <v>0.5177258947586472</v>
      </c>
      <c r="N3" t="inlineStr"/>
      <c r="O3" t="inlineStr">
        <is>
          <t>Australia||3Y</t>
        </is>
      </c>
      <c r="P3" t="inlineStr">
        <is>
          <t>Australia|3Y</t>
        </is>
      </c>
      <c r="Q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2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n">
        <v>-1.450993823686542</v>
      </c>
      <c r="K4" t="n">
        <v>4.155883551559447</v>
      </c>
      <c r="L4" t="n">
        <v>4.476417270751631</v>
      </c>
      <c r="M4" t="n">
        <v>-0.3205337191921842</v>
      </c>
      <c r="N4" t="inlineStr"/>
      <c r="O4" t="inlineStr">
        <is>
          <t>Australia||5Y</t>
        </is>
      </c>
      <c r="P4" t="inlineStr">
        <is>
          <t>Australia|5Y</t>
        </is>
      </c>
      <c r="Q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2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n">
        <v>-1.580650676854467</v>
      </c>
      <c r="K5" t="n">
        <v>2.835248638763499</v>
      </c>
      <c r="L5" t="n">
        <v>3.119152472830278</v>
      </c>
      <c r="M5" t="n">
        <v>-0.2839038340667788</v>
      </c>
      <c r="N5" t="inlineStr"/>
      <c r="O5" t="inlineStr">
        <is>
          <t>Australia||10Y</t>
        </is>
      </c>
      <c r="P5" t="inlineStr">
        <is>
          <t>Australia|10Y</t>
        </is>
      </c>
      <c r="Q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2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-2.775891376567952</v>
      </c>
      <c r="K6" t="n">
        <v>2.576000000000001</v>
      </c>
      <c r="L6" t="n">
        <v>2.715000000000001</v>
      </c>
      <c r="M6" t="n">
        <v>-0.1390000000000002</v>
      </c>
      <c r="N6" t="n">
        <v>-10.21405453949156</v>
      </c>
      <c r="O6" t="inlineStr">
        <is>
          <t>Australia|SAUS.L|1Y</t>
        </is>
      </c>
      <c r="P6" t="inlineStr">
        <is>
          <t>Australia|1Y</t>
        </is>
      </c>
      <c r="Q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2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-2.619249013720248</v>
      </c>
      <c r="K7" t="n">
        <v>3.780882125437479</v>
      </c>
      <c r="L7" t="n">
        <v>3.263156230678832</v>
      </c>
      <c r="M7" t="n">
        <v>0.5177258947586472</v>
      </c>
      <c r="N7" t="n">
        <v>-1.446753674767076</v>
      </c>
      <c r="O7" t="inlineStr">
        <is>
          <t>Australia|SAUS.L|3Y</t>
        </is>
      </c>
      <c r="P7" t="inlineStr">
        <is>
          <t>Australia|3Y</t>
        </is>
      </c>
      <c r="Q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2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-1.450993823686542</v>
      </c>
      <c r="K8" t="n">
        <v>4.155883551559447</v>
      </c>
      <c r="L8" t="n">
        <v>4.476417270751631</v>
      </c>
      <c r="M8" t="n">
        <v>-0.3205337191921842</v>
      </c>
      <c r="N8" t="n">
        <v>0.1550306660641043</v>
      </c>
      <c r="O8" t="inlineStr">
        <is>
          <t>Australia|SAUS.L|5Y</t>
        </is>
      </c>
      <c r="P8" t="inlineStr">
        <is>
          <t>Australia|5Y</t>
        </is>
      </c>
      <c r="Q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2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-1.580650676854467</v>
      </c>
      <c r="K9" t="n">
        <v>2.835248638763499</v>
      </c>
      <c r="L9" t="n">
        <v>3.119152472830278</v>
      </c>
      <c r="M9" t="n">
        <v>-0.2839038340667788</v>
      </c>
      <c r="N9" t="n">
        <v>-3.585202958240652</v>
      </c>
      <c r="O9" t="inlineStr">
        <is>
          <t>Australia|SAUS.L|10Y</t>
        </is>
      </c>
      <c r="P9" t="inlineStr">
        <is>
          <t>Australia|10Y</t>
        </is>
      </c>
      <c r="Q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2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n">
        <v>-4.008811479073304</v>
      </c>
      <c r="K10" t="n">
        <v>5.187000000000008</v>
      </c>
      <c r="L10" t="n">
        <v>2.715000000000001</v>
      </c>
      <c r="M10" t="n">
        <v>2.472000000000008</v>
      </c>
      <c r="N10" t="inlineStr"/>
      <c r="O10" t="inlineStr">
        <is>
          <t>Brazil||1Y</t>
        </is>
      </c>
      <c r="P10" t="inlineStr">
        <is>
          <t>Brazil|1Y</t>
        </is>
      </c>
      <c r="Q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2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n">
        <v>-2.745508583083134</v>
      </c>
      <c r="K11" t="n">
        <v>4.715429974203089</v>
      </c>
      <c r="L11" t="n">
        <v>3.263156230678832</v>
      </c>
      <c r="M11" t="n">
        <v>1.452273743524257</v>
      </c>
      <c r="N11" t="inlineStr"/>
      <c r="O11" t="inlineStr">
        <is>
          <t>Brazil||3Y</t>
        </is>
      </c>
      <c r="P11" t="inlineStr">
        <is>
          <t>Brazil|3Y</t>
        </is>
      </c>
      <c r="Q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2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n">
        <v>-1.690525362648276</v>
      </c>
      <c r="K12" t="n">
        <v>6.326578977105179</v>
      </c>
      <c r="L12" t="n">
        <v>4.476417270751631</v>
      </c>
      <c r="M12" t="n">
        <v>1.850161706353548</v>
      </c>
      <c r="N12" t="inlineStr"/>
      <c r="O12" t="inlineStr">
        <is>
          <t>Brazil||5Y</t>
        </is>
      </c>
      <c r="P12" t="inlineStr">
        <is>
          <t>Brazil|5Y</t>
        </is>
      </c>
      <c r="Q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2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n">
        <v>-5.086251906712747</v>
      </c>
      <c r="K13" t="n">
        <v>5.428772935012116</v>
      </c>
      <c r="L13" t="n">
        <v>3.119152472830278</v>
      </c>
      <c r="M13" t="n">
        <v>2.309620462181838</v>
      </c>
      <c r="N13" t="inlineStr"/>
      <c r="O13" t="inlineStr">
        <is>
          <t>Brazil||10Y</t>
        </is>
      </c>
      <c r="P13" t="inlineStr">
        <is>
          <t>Brazil|10Y</t>
        </is>
      </c>
      <c r="Q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2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-4.008811479073304</v>
      </c>
      <c r="K14" t="n">
        <v>5.187000000000008</v>
      </c>
      <c r="L14" t="n">
        <v>2.715000000000001</v>
      </c>
      <c r="M14" t="n">
        <v>2.472000000000008</v>
      </c>
      <c r="N14" t="n">
        <v>-42.70081138405067</v>
      </c>
      <c r="O14" t="inlineStr">
        <is>
          <t>Brazil|XMBR.L|1Y</t>
        </is>
      </c>
      <c r="P14" t="inlineStr">
        <is>
          <t>Brazil|1Y</t>
        </is>
      </c>
      <c r="Q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2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-2.745508583083134</v>
      </c>
      <c r="K15" t="n">
        <v>4.715429974203089</v>
      </c>
      <c r="L15" t="n">
        <v>3.263156230678832</v>
      </c>
      <c r="M15" t="n">
        <v>1.452273743524257</v>
      </c>
      <c r="N15" t="n">
        <v>-8.27067416330436</v>
      </c>
      <c r="O15" t="inlineStr">
        <is>
          <t>Brazil|XMBR.L|3Y</t>
        </is>
      </c>
      <c r="P15" t="inlineStr">
        <is>
          <t>Brazil|3Y</t>
        </is>
      </c>
      <c r="Q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2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-1.690525362648276</v>
      </c>
      <c r="K16" t="n">
        <v>6.326578977105179</v>
      </c>
      <c r="L16" t="n">
        <v>4.476417270751631</v>
      </c>
      <c r="M16" t="n">
        <v>1.850161706353548</v>
      </c>
      <c r="N16" t="n">
        <v>3.944550442896256</v>
      </c>
      <c r="O16" t="inlineStr">
        <is>
          <t>Brazil|XMBR.L|5Y</t>
        </is>
      </c>
      <c r="P16" t="inlineStr">
        <is>
          <t>Brazil|5Y</t>
        </is>
      </c>
      <c r="Q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2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-5.086251906712747</v>
      </c>
      <c r="K17" t="n">
        <v>5.428772935012116</v>
      </c>
      <c r="L17" t="n">
        <v>3.119152472830278</v>
      </c>
      <c r="M17" t="n">
        <v>2.309620462181838</v>
      </c>
      <c r="N17" t="n">
        <v>-7.750381766604563</v>
      </c>
      <c r="O17" t="inlineStr">
        <is>
          <t>Brazil|XMBR.L|10Y</t>
        </is>
      </c>
      <c r="P17" t="inlineStr">
        <is>
          <t>Brazil|10Y</t>
        </is>
      </c>
      <c r="Q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2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n">
        <v>-1.733983311730536</v>
      </c>
      <c r="K18" t="n">
        <v>1.963000000000004</v>
      </c>
      <c r="L18" t="n">
        <v>2.715000000000001</v>
      </c>
      <c r="M18" t="n">
        <v>-0.7519999999999971</v>
      </c>
      <c r="N18" t="inlineStr"/>
      <c r="O18" t="inlineStr">
        <is>
          <t>Canada||1Y</t>
        </is>
      </c>
      <c r="P18" t="inlineStr">
        <is>
          <t>Canada|1Y</t>
        </is>
      </c>
      <c r="Q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2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n">
        <v>-2.250150851035193</v>
      </c>
      <c r="K19" t="n">
        <v>2.745381200556363</v>
      </c>
      <c r="L19" t="n">
        <v>3.263156230678832</v>
      </c>
      <c r="M19" t="n">
        <v>-0.5177750301224693</v>
      </c>
      <c r="N19" t="inlineStr"/>
      <c r="O19" t="inlineStr">
        <is>
          <t>Canada||3Y</t>
        </is>
      </c>
      <c r="P19" t="inlineStr">
        <is>
          <t>Canada|3Y</t>
        </is>
      </c>
      <c r="Q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2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n">
        <v>-0.7631813379923247</v>
      </c>
      <c r="K20" t="n">
        <v>3.670325481783587</v>
      </c>
      <c r="L20" t="n">
        <v>4.476417270751631</v>
      </c>
      <c r="M20" t="n">
        <v>-0.8060917889680441</v>
      </c>
      <c r="N20" t="inlineStr"/>
      <c r="O20" t="inlineStr">
        <is>
          <t>Canada||5Y</t>
        </is>
      </c>
      <c r="P20" t="inlineStr">
        <is>
          <t>Canada|5Y</t>
        </is>
      </c>
      <c r="Q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2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n">
        <v>-0.8555569663309726</v>
      </c>
      <c r="K21" t="n">
        <v>2.62521624045553</v>
      </c>
      <c r="L21" t="n">
        <v>3.119152472830278</v>
      </c>
      <c r="M21" t="n">
        <v>-0.4939362323747476</v>
      </c>
      <c r="N21" t="inlineStr"/>
      <c r="O21" t="inlineStr">
        <is>
          <t>Canada||10Y</t>
        </is>
      </c>
      <c r="P21" t="inlineStr">
        <is>
          <t>Canada|10Y</t>
        </is>
      </c>
      <c r="Q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2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-1.733983311730536</v>
      </c>
      <c r="K22" t="n">
        <v>1.963000000000004</v>
      </c>
      <c r="L22" t="n">
        <v>2.715000000000001</v>
      </c>
      <c r="M22" t="n">
        <v>-0.7519999999999971</v>
      </c>
      <c r="N22" t="n">
        <v>-32.60386023616874</v>
      </c>
      <c r="O22" t="inlineStr">
        <is>
          <t>Canada|CSCA.L|1Y</t>
        </is>
      </c>
      <c r="P22" t="inlineStr">
        <is>
          <t>Canada|1Y</t>
        </is>
      </c>
      <c r="Q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2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-2.250150851035193</v>
      </c>
      <c r="K23" t="n">
        <v>2.745381200556363</v>
      </c>
      <c r="L23" t="n">
        <v>3.263156230678832</v>
      </c>
      <c r="M23" t="n">
        <v>-0.5177750301224693</v>
      </c>
      <c r="N23" t="n">
        <v>-18.97128823314065</v>
      </c>
      <c r="O23" t="inlineStr">
        <is>
          <t>Canada|CSCA.L|3Y</t>
        </is>
      </c>
      <c r="P23" t="inlineStr">
        <is>
          <t>Canada|3Y</t>
        </is>
      </c>
      <c r="Q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2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-0.7631813379923247</v>
      </c>
      <c r="K24" t="n">
        <v>3.670325481783587</v>
      </c>
      <c r="L24" t="n">
        <v>4.476417270751631</v>
      </c>
      <c r="M24" t="n">
        <v>-0.8060917889680441</v>
      </c>
      <c r="N24" t="n">
        <v>-6.942853721483243</v>
      </c>
      <c r="O24" t="inlineStr">
        <is>
          <t>Canada|CSCA.L|5Y</t>
        </is>
      </c>
      <c r="P24" t="inlineStr">
        <is>
          <t>Canada|5Y</t>
        </is>
      </c>
      <c r="Q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2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-0.8555569663309726</v>
      </c>
      <c r="K25" t="n">
        <v>2.62521624045553</v>
      </c>
      <c r="L25" t="n">
        <v>3.119152472830278</v>
      </c>
      <c r="M25" t="n">
        <v>-0.4939362323747476</v>
      </c>
      <c r="N25" t="n">
        <v>-7.698836232745987</v>
      </c>
      <c r="O25" t="inlineStr">
        <is>
          <t>Canada|CSCA.L|10Y</t>
        </is>
      </c>
      <c r="P25" t="inlineStr">
        <is>
          <t>Canada|10Y</t>
        </is>
      </c>
      <c r="Q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2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n">
        <v>-0.1777842601448754</v>
      </c>
      <c r="K26" t="n">
        <v>0.01299999999999635</v>
      </c>
      <c r="L26" t="n">
        <v>2.715000000000001</v>
      </c>
      <c r="M26" t="n">
        <v>-2.702000000000004</v>
      </c>
      <c r="N26" t="inlineStr"/>
      <c r="O26" t="inlineStr">
        <is>
          <t>China||1Y</t>
        </is>
      </c>
      <c r="P26" t="inlineStr">
        <is>
          <t>China|1Y</t>
        </is>
      </c>
      <c r="Q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2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n">
        <v>-2.23012168032457</v>
      </c>
      <c r="K27" t="n">
        <v>0.1509522272071351</v>
      </c>
      <c r="L27" t="n">
        <v>3.263156230678832</v>
      </c>
      <c r="M27" t="n">
        <v>-3.112204003471697</v>
      </c>
      <c r="N27" t="inlineStr"/>
      <c r="O27" t="inlineStr">
        <is>
          <t>China||3Y</t>
        </is>
      </c>
      <c r="P27" t="inlineStr">
        <is>
          <t>China|3Y</t>
        </is>
      </c>
      <c r="Q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2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n">
        <v>-0.8693576098023126</v>
      </c>
      <c r="K28" t="n">
        <v>0.6666275636938446</v>
      </c>
      <c r="L28" t="n">
        <v>4.476417270751631</v>
      </c>
      <c r="M28" t="n">
        <v>-3.809789707057787</v>
      </c>
      <c r="N28" t="inlineStr"/>
      <c r="O28" t="inlineStr">
        <is>
          <t>China||5Y</t>
        </is>
      </c>
      <c r="P28" t="inlineStr">
        <is>
          <t>China|5Y</t>
        </is>
      </c>
      <c r="Q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2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n">
        <v>-1.45247878383683</v>
      </c>
      <c r="K29" t="n">
        <v>1.435778522322106</v>
      </c>
      <c r="L29" t="n">
        <v>3.119152472830278</v>
      </c>
      <c r="M29" t="n">
        <v>-1.683373950508171</v>
      </c>
      <c r="N29" t="inlineStr"/>
      <c r="O29" t="inlineStr">
        <is>
          <t>China||10Y</t>
        </is>
      </c>
      <c r="P29" t="inlineStr">
        <is>
          <t>China|10Y</t>
        </is>
      </c>
      <c r="Q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2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-0.1777842601448754</v>
      </c>
      <c r="K30" t="n">
        <v>0.01299999999999635</v>
      </c>
      <c r="L30" t="n">
        <v>2.715000000000001</v>
      </c>
      <c r="M30" t="n">
        <v>-2.702000000000004</v>
      </c>
      <c r="N30" t="n">
        <v>-25.0803239338599</v>
      </c>
      <c r="O30" t="inlineStr">
        <is>
          <t>China|IASH.L|1Y</t>
        </is>
      </c>
      <c r="P30" t="inlineStr">
        <is>
          <t>China|1Y</t>
        </is>
      </c>
      <c r="Q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2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-2.23012168032457</v>
      </c>
      <c r="K31" t="n">
        <v>0.1509522272071351</v>
      </c>
      <c r="L31" t="n">
        <v>3.263156230678832</v>
      </c>
      <c r="M31" t="n">
        <v>-3.112204003471697</v>
      </c>
      <c r="N31" t="n">
        <v>-3.965700965308039</v>
      </c>
      <c r="O31" t="inlineStr">
        <is>
          <t>China|IASH.L|3Y</t>
        </is>
      </c>
      <c r="P31" t="inlineStr">
        <is>
          <t>China|3Y</t>
        </is>
      </c>
      <c r="Q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2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-0.8693576098023126</v>
      </c>
      <c r="K32" t="n">
        <v>0.6666275636938446</v>
      </c>
      <c r="L32" t="n">
        <v>4.476417270751631</v>
      </c>
      <c r="M32" t="n">
        <v>-3.809789707057787</v>
      </c>
      <c r="N32" t="n">
        <v>7.462546810132142</v>
      </c>
      <c r="O32" t="inlineStr">
        <is>
          <t>China|IASH.L|5Y</t>
        </is>
      </c>
      <c r="P32" t="inlineStr">
        <is>
          <t>China|5Y</t>
        </is>
      </c>
      <c r="Q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2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-1.45247878383683</v>
      </c>
      <c r="K33" t="n">
        <v>1.435778522322106</v>
      </c>
      <c r="L33" t="n">
        <v>3.119152472830278</v>
      </c>
      <c r="M33" t="n">
        <v>-1.683373950508171</v>
      </c>
      <c r="N33" t="n">
        <v>1.645072552235893</v>
      </c>
      <c r="O33" t="inlineStr">
        <is>
          <t>China|IASH.L|10Y</t>
        </is>
      </c>
      <c r="P33" t="inlineStr">
        <is>
          <t>China|10Y</t>
        </is>
      </c>
      <c r="Q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2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n">
        <v>4.389145762039726</v>
      </c>
      <c r="K34" t="n">
        <v>1.143000000000005</v>
      </c>
      <c r="L34" t="n">
        <v>2.715000000000001</v>
      </c>
      <c r="M34" t="n">
        <v>-1.571999999999996</v>
      </c>
      <c r="N34" t="inlineStr"/>
      <c r="O34" t="inlineStr">
        <is>
          <t>France||1Y</t>
        </is>
      </c>
      <c r="P34" t="inlineStr">
        <is>
          <t>France|1Y</t>
        </is>
      </c>
      <c r="Q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2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n">
        <v>2.338290018735889</v>
      </c>
      <c r="K35" t="n">
        <v>3.023315443187302</v>
      </c>
      <c r="L35" t="n">
        <v>3.263156230678832</v>
      </c>
      <c r="M35" t="n">
        <v>-0.2398407874915298</v>
      </c>
      <c r="N35" t="inlineStr"/>
      <c r="O35" t="inlineStr">
        <is>
          <t>France||3Y</t>
        </is>
      </c>
      <c r="P35" t="inlineStr">
        <is>
          <t>France|3Y</t>
        </is>
      </c>
      <c r="Q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2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n">
        <v>-0.206483582656003</v>
      </c>
      <c r="K36" t="n">
        <v>3.399872906558121</v>
      </c>
      <c r="L36" t="n">
        <v>4.476417270751631</v>
      </c>
      <c r="M36" t="n">
        <v>-1.07654436419351</v>
      </c>
      <c r="N36" t="inlineStr"/>
      <c r="O36" t="inlineStr">
        <is>
          <t>France||5Y</t>
        </is>
      </c>
      <c r="P36" t="inlineStr">
        <is>
          <t>France|5Y</t>
        </is>
      </c>
      <c r="Q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2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n">
        <v>0.1781068274081088</v>
      </c>
      <c r="K37" t="n">
        <v>2.232055444835557</v>
      </c>
      <c r="L37" t="n">
        <v>3.119152472830278</v>
      </c>
      <c r="M37" t="n">
        <v>-0.887097027994721</v>
      </c>
      <c r="N37" t="inlineStr"/>
      <c r="O37" t="inlineStr">
        <is>
          <t>France||10Y</t>
        </is>
      </c>
      <c r="P37" t="inlineStr">
        <is>
          <t>France|10Y</t>
        </is>
      </c>
      <c r="Q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2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4.389145762039726</v>
      </c>
      <c r="K38" t="n">
        <v>1.143000000000005</v>
      </c>
      <c r="L38" t="n">
        <v>2.715000000000001</v>
      </c>
      <c r="M38" t="n">
        <v>-1.571999999999996</v>
      </c>
      <c r="N38" t="n">
        <v>-22.04942742593079</v>
      </c>
      <c r="O38" t="inlineStr">
        <is>
          <t>France|ISFR.L|1Y</t>
        </is>
      </c>
      <c r="P38" t="inlineStr">
        <is>
          <t>France|1Y</t>
        </is>
      </c>
      <c r="Q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2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2.338290018735889</v>
      </c>
      <c r="K39" t="n">
        <v>3.023315443187302</v>
      </c>
      <c r="L39" t="n">
        <v>3.263156230678832</v>
      </c>
      <c r="M39" t="n">
        <v>-0.2398407874915298</v>
      </c>
      <c r="N39" t="n">
        <v>-7.209325492986228</v>
      </c>
      <c r="O39" t="inlineStr">
        <is>
          <t>France|ISFR.L|3Y</t>
        </is>
      </c>
      <c r="P39" t="inlineStr">
        <is>
          <t>France|3Y</t>
        </is>
      </c>
      <c r="Q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2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-0.206483582656003</v>
      </c>
      <c r="K40" t="n">
        <v>3.399872906558121</v>
      </c>
      <c r="L40" t="n">
        <v>4.476417270751631</v>
      </c>
      <c r="M40" t="n">
        <v>-1.07654436419351</v>
      </c>
      <c r="N40" t="n">
        <v>-3.988198454134028</v>
      </c>
      <c r="O40" t="inlineStr">
        <is>
          <t>France|ISFR.L|5Y</t>
        </is>
      </c>
      <c r="P40" t="inlineStr">
        <is>
          <t>France|5Y</t>
        </is>
      </c>
      <c r="Q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2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0.1781068274081088</v>
      </c>
      <c r="K41" t="n">
        <v>2.232055444835557</v>
      </c>
      <c r="L41" t="n">
        <v>3.119152472830278</v>
      </c>
      <c r="M41" t="n">
        <v>-0.887097027994721</v>
      </c>
      <c r="N41" t="n">
        <v>-6.248670334828276</v>
      </c>
      <c r="O41" t="inlineStr">
        <is>
          <t>France|ISFR.L|10Y</t>
        </is>
      </c>
      <c r="P41" t="inlineStr">
        <is>
          <t>France|10Y</t>
        </is>
      </c>
      <c r="Q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2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n">
        <v>4.389151360533838</v>
      </c>
      <c r="K42" t="n">
        <v>2.113999999999994</v>
      </c>
      <c r="L42" t="n">
        <v>2.715000000000001</v>
      </c>
      <c r="M42" t="n">
        <v>-0.6010000000000071</v>
      </c>
      <c r="N42" t="inlineStr"/>
      <c r="O42" t="inlineStr">
        <is>
          <t>Germany||1Y</t>
        </is>
      </c>
      <c r="P42" t="inlineStr">
        <is>
          <t>Germany|1Y</t>
        </is>
      </c>
      <c r="Q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2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n">
        <v>2.338297209914808</v>
      </c>
      <c r="K43" t="n">
        <v>3.529417044594219</v>
      </c>
      <c r="L43" t="n">
        <v>3.263156230678832</v>
      </c>
      <c r="M43" t="n">
        <v>0.2662608139153866</v>
      </c>
      <c r="N43" t="inlineStr"/>
      <c r="O43" t="inlineStr">
        <is>
          <t>Germany||3Y</t>
        </is>
      </c>
      <c r="P43" t="inlineStr">
        <is>
          <t>Germany|3Y</t>
        </is>
      </c>
      <c r="Q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2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n">
        <v>-0.2064825636815981</v>
      </c>
      <c r="K44" t="n">
        <v>4.472752272190572</v>
      </c>
      <c r="L44" t="n">
        <v>4.476417270751631</v>
      </c>
      <c r="M44" t="n">
        <v>-0.003664998561059285</v>
      </c>
      <c r="N44" t="inlineStr"/>
      <c r="O44" t="inlineStr">
        <is>
          <t>Germany||5Y</t>
        </is>
      </c>
      <c r="P44" t="inlineStr">
        <is>
          <t>Germany|5Y</t>
        </is>
      </c>
      <c r="Q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2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n">
        <v>0.1781085607296173</v>
      </c>
      <c r="K45" t="n">
        <v>2.794720222422908</v>
      </c>
      <c r="L45" t="n">
        <v>3.119152472830278</v>
      </c>
      <c r="M45" t="n">
        <v>-0.3244322504073693</v>
      </c>
      <c r="N45" t="inlineStr"/>
      <c r="O45" t="inlineStr">
        <is>
          <t>Germany||10Y</t>
        </is>
      </c>
      <c r="P45" t="inlineStr">
        <is>
          <t>Germany|10Y</t>
        </is>
      </c>
      <c r="Q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EXS1.DE</t>
        </is>
      </c>
      <c r="D46" s="2" t="n">
        <v>46021</v>
      </c>
      <c r="E46" t="inlineStr">
        <is>
          <t>1Y</t>
        </is>
      </c>
      <c r="F46" t="n">
        <v>38.27482183556737</v>
      </c>
      <c r="G46" t="n">
        <v>0.1910000000000078</v>
      </c>
      <c r="H46" t="n">
        <v>2.531733999999997</v>
      </c>
      <c r="I46" t="n">
        <v>7.032006999999996</v>
      </c>
      <c r="J46" t="n">
        <v>4.389151360533838</v>
      </c>
      <c r="K46" t="n">
        <v>2.113999999999994</v>
      </c>
      <c r="L46" t="n">
        <v>2.715000000000001</v>
      </c>
      <c r="M46" t="n">
        <v>-0.6010000000000071</v>
      </c>
      <c r="N46" t="n">
        <v>-31.24281483556737</v>
      </c>
      <c r="O46" t="inlineStr">
        <is>
          <t>Germany|EXS1.DE|1Y</t>
        </is>
      </c>
      <c r="P46" t="inlineStr">
        <is>
          <t>Germany|1Y</t>
        </is>
      </c>
      <c r="Q46" t="inlineStr">
        <is>
          <t>EUR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s="2" t="n">
        <v>46021</v>
      </c>
      <c r="E47" t="inlineStr">
        <is>
          <t>3Y</t>
        </is>
      </c>
      <c r="F47" t="n">
        <v>23.6568139787698</v>
      </c>
      <c r="G47" t="n">
        <v>-0.3933046908136117</v>
      </c>
      <c r="H47" t="n">
        <v>3.620446854152237</v>
      </c>
      <c r="I47" t="n">
        <v>6.043401004617355</v>
      </c>
      <c r="J47" t="n">
        <v>2.338297209914808</v>
      </c>
      <c r="K47" t="n">
        <v>3.529417044594219</v>
      </c>
      <c r="L47" t="n">
        <v>3.263156230678832</v>
      </c>
      <c r="M47" t="n">
        <v>0.2662608139153866</v>
      </c>
      <c r="N47" t="n">
        <v>-17.61341297415244</v>
      </c>
      <c r="O47" t="inlineStr">
        <is>
          <t>Germany|EXS1.DE|3Y</t>
        </is>
      </c>
      <c r="P47" t="inlineStr">
        <is>
          <t>Germany|3Y</t>
        </is>
      </c>
      <c r="Q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s="2" t="n">
        <v>46021</v>
      </c>
      <c r="E48" t="inlineStr">
        <is>
          <t>5Y</t>
        </is>
      </c>
      <c r="F48" t="n">
        <v>10.8486240411046</v>
      </c>
      <c r="G48" t="n">
        <v>0.8933688833018039</v>
      </c>
      <c r="H48" t="n">
        <v>5.163887293903424</v>
      </c>
      <c r="I48" t="n">
        <v>4.946742344302257</v>
      </c>
      <c r="J48" t="n">
        <v>-0.2064825636815981</v>
      </c>
      <c r="K48" t="n">
        <v>4.472752272190572</v>
      </c>
      <c r="L48" t="n">
        <v>4.476417270751631</v>
      </c>
      <c r="M48" t="n">
        <v>-0.003664998561059285</v>
      </c>
      <c r="N48" t="n">
        <v>-5.901881696802346</v>
      </c>
      <c r="O48" t="inlineStr">
        <is>
          <t>Germany|EXS1.DE|5Y</t>
        </is>
      </c>
      <c r="P48" t="inlineStr">
        <is>
          <t>Germany|5Y</t>
        </is>
      </c>
      <c r="Q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s="2" t="n">
        <v>46021</v>
      </c>
      <c r="E49" t="inlineStr">
        <is>
          <t>10Y</t>
        </is>
      </c>
      <c r="F49" t="n">
        <v>9.236820009792535</v>
      </c>
      <c r="G49" t="n">
        <v>0.7314110874349522</v>
      </c>
      <c r="H49" t="n">
        <v>3.697957495850335</v>
      </c>
      <c r="I49" t="n">
        <v>3.882652564606848</v>
      </c>
      <c r="J49" t="n">
        <v>0.1781085607296173</v>
      </c>
      <c r="K49" t="n">
        <v>2.794720222422908</v>
      </c>
      <c r="L49" t="n">
        <v>3.119152472830278</v>
      </c>
      <c r="M49" t="n">
        <v>-0.3244322504073693</v>
      </c>
      <c r="N49" t="n">
        <v>-5.354167445185687</v>
      </c>
      <c r="O49" t="inlineStr">
        <is>
          <t>Germany|EXS1.DE|10Y</t>
        </is>
      </c>
      <c r="P49" t="inlineStr">
        <is>
          <t>Germany|10Y</t>
        </is>
      </c>
      <c r="Q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2" t="n">
        <v>46022</v>
      </c>
      <c r="E50" t="inlineStr">
        <is>
          <t>1Y</t>
        </is>
      </c>
      <c r="F50" t="n">
        <v>38.3865538218239</v>
      </c>
      <c r="G50" t="n">
        <v>0.1910000000000078</v>
      </c>
      <c r="H50" t="n">
        <v>2.531733999999997</v>
      </c>
      <c r="I50" t="n">
        <v>7.032006999999996</v>
      </c>
      <c r="J50" t="n">
        <v>4.389151360533838</v>
      </c>
      <c r="K50" t="n">
        <v>2.113999999999994</v>
      </c>
      <c r="L50" t="n">
        <v>2.715000000000001</v>
      </c>
      <c r="M50" t="n">
        <v>-0.6010000000000071</v>
      </c>
      <c r="N50" t="n">
        <v>-31.3545468218239</v>
      </c>
      <c r="O50" t="inlineStr">
        <is>
          <t>Germany|XDAX.L|1Y</t>
        </is>
      </c>
      <c r="P50" t="inlineStr">
        <is>
          <t>Germany|1Y</t>
        </is>
      </c>
      <c r="Q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2" t="n">
        <v>46022</v>
      </c>
      <c r="E51" t="inlineStr">
        <is>
          <t>3Y</t>
        </is>
      </c>
      <c r="F51" t="n">
        <v>23.42652709426989</v>
      </c>
      <c r="G51" t="n">
        <v>-0.3933046908136117</v>
      </c>
      <c r="H51" t="n">
        <v>3.620446854152237</v>
      </c>
      <c r="I51" t="n">
        <v>6.043401004617355</v>
      </c>
      <c r="J51" t="n">
        <v>2.338297209914808</v>
      </c>
      <c r="K51" t="n">
        <v>3.529417044594219</v>
      </c>
      <c r="L51" t="n">
        <v>3.263156230678832</v>
      </c>
      <c r="M51" t="n">
        <v>0.2662608139153866</v>
      </c>
      <c r="N51" t="n">
        <v>-17.38312608965254</v>
      </c>
      <c r="O51" t="inlineStr">
        <is>
          <t>Germany|XDAX.L|3Y</t>
        </is>
      </c>
      <c r="P51" t="inlineStr">
        <is>
          <t>Germany|3Y</t>
        </is>
      </c>
      <c r="Q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2" t="n">
        <v>46022</v>
      </c>
      <c r="E52" t="inlineStr">
        <is>
          <t>5Y</t>
        </is>
      </c>
      <c r="F52" t="n">
        <v>10.5719038125536</v>
      </c>
      <c r="G52" t="n">
        <v>0.8933688833018039</v>
      </c>
      <c r="H52" t="n">
        <v>5.163887293903424</v>
      </c>
      <c r="I52" t="n">
        <v>4.946742344302257</v>
      </c>
      <c r="J52" t="n">
        <v>-0.2064825636815981</v>
      </c>
      <c r="K52" t="n">
        <v>4.472752272190572</v>
      </c>
      <c r="L52" t="n">
        <v>4.476417270751631</v>
      </c>
      <c r="M52" t="n">
        <v>-0.003664998561059285</v>
      </c>
      <c r="N52" t="n">
        <v>-5.625161468251339</v>
      </c>
      <c r="O52" t="inlineStr">
        <is>
          <t>Germany|XDAX.L|5Y</t>
        </is>
      </c>
      <c r="P52" t="inlineStr">
        <is>
          <t>Germany|5Y</t>
        </is>
      </c>
      <c r="Q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s="2" t="n">
        <v>46022</v>
      </c>
      <c r="E53" t="inlineStr">
        <is>
          <t>10Y</t>
        </is>
      </c>
      <c r="F53" t="n">
        <v>5.794499553093835</v>
      </c>
      <c r="G53" t="n">
        <v>0.7314110874349522</v>
      </c>
      <c r="H53" t="n">
        <v>3.697957495850335</v>
      </c>
      <c r="I53" t="n">
        <v>3.882652564606848</v>
      </c>
      <c r="J53" t="n">
        <v>0.1781085607296173</v>
      </c>
      <c r="K53" t="n">
        <v>2.794720222422908</v>
      </c>
      <c r="L53" t="n">
        <v>3.119152472830278</v>
      </c>
      <c r="M53" t="n">
        <v>-0.3244322504073693</v>
      </c>
      <c r="N53" t="n">
        <v>-1.911846988486987</v>
      </c>
      <c r="O53" t="inlineStr">
        <is>
          <t>Germany|XDAX.L|10Y</t>
        </is>
      </c>
      <c r="P53" t="inlineStr">
        <is>
          <t>Germany|10Y</t>
        </is>
      </c>
      <c r="Q53" t="inlineStr">
        <is>
          <t>GBp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2" t="n">
        <v>46022</v>
      </c>
      <c r="E54" t="inlineStr">
        <is>
          <t>1Y</t>
        </is>
      </c>
      <c r="F54" t="inlineStr"/>
      <c r="G54" t="n">
        <v>6.645999999999996</v>
      </c>
      <c r="H54" t="n">
        <v>8.515731000000004</v>
      </c>
      <c r="I54" t="n">
        <v>5.507083000000002</v>
      </c>
      <c r="J54" t="n">
        <v>-2.772545698409046</v>
      </c>
      <c r="K54" t="n">
        <v>2.821999999999991</v>
      </c>
      <c r="L54" t="n">
        <v>2.715000000000001</v>
      </c>
      <c r="M54" t="n">
        <v>0.1069999999999904</v>
      </c>
      <c r="N54" t="inlineStr"/>
      <c r="O54" t="inlineStr">
        <is>
          <t>India||1Y</t>
        </is>
      </c>
      <c r="P54" t="inlineStr">
        <is>
          <t>India|1Y</t>
        </is>
      </c>
      <c r="Q54" t="inlineStr"/>
    </row>
    <row r="55">
      <c r="A55" t="inlineStr">
        <is>
          <t>India</t>
        </is>
      </c>
      <c r="B55" t="inlineStr">
        <is>
          <t>IND</t>
        </is>
      </c>
      <c r="C55" t="inlineStr"/>
      <c r="D55" s="2" t="n">
        <v>46022</v>
      </c>
      <c r="E55" t="inlineStr">
        <is>
          <t>3Y</t>
        </is>
      </c>
      <c r="F55" t="inlineStr"/>
      <c r="G55" t="n">
        <v>7.436918655360047</v>
      </c>
      <c r="H55" t="n">
        <v>10.09511970244343</v>
      </c>
      <c r="I55" t="n">
        <v>7.226513221012598</v>
      </c>
      <c r="J55" t="n">
        <v>-2.605571116379835</v>
      </c>
      <c r="K55" t="n">
        <v>4.264192561485403</v>
      </c>
      <c r="L55" t="n">
        <v>3.263156230678832</v>
      </c>
      <c r="M55" t="n">
        <v>1.001036330806571</v>
      </c>
      <c r="N55" t="inlineStr"/>
      <c r="O55" t="inlineStr">
        <is>
          <t>India||3Y</t>
        </is>
      </c>
      <c r="P55" t="inlineStr">
        <is>
          <t>India|3Y</t>
        </is>
      </c>
      <c r="Q55" t="inlineStr"/>
    </row>
    <row r="56">
      <c r="A56" t="inlineStr">
        <is>
          <t>India</t>
        </is>
      </c>
      <c r="B56" t="inlineStr">
        <is>
          <t>IND</t>
        </is>
      </c>
      <c r="C56" t="inlineStr"/>
      <c r="D56" s="2" t="n">
        <v>46022</v>
      </c>
      <c r="E56" t="inlineStr">
        <is>
          <t>5Y</t>
        </is>
      </c>
      <c r="F56" t="inlineStr"/>
      <c r="G56" t="n">
        <v>7.918339116520134</v>
      </c>
      <c r="H56" t="n">
        <v>12.56684095269041</v>
      </c>
      <c r="I56" t="n">
        <v>9.050917372360324</v>
      </c>
      <c r="J56" t="n">
        <v>-3.123409673669764</v>
      </c>
      <c r="K56" t="n">
        <v>4.985943955445027</v>
      </c>
      <c r="L56" t="n">
        <v>4.476417270751631</v>
      </c>
      <c r="M56" t="n">
        <v>0.5095266846933955</v>
      </c>
      <c r="N56" t="inlineStr"/>
      <c r="O56" t="inlineStr">
        <is>
          <t>India||5Y</t>
        </is>
      </c>
      <c r="P56" t="inlineStr">
        <is>
          <t>India|5Y</t>
        </is>
      </c>
      <c r="Q56" t="inlineStr"/>
    </row>
    <row r="57">
      <c r="A57" t="inlineStr">
        <is>
          <t>India</t>
        </is>
      </c>
      <c r="B57" t="inlineStr">
        <is>
          <t>IND</t>
        </is>
      </c>
      <c r="C57" t="inlineStr"/>
      <c r="D57" s="2" t="n">
        <v>46022</v>
      </c>
      <c r="E57" t="inlineStr">
        <is>
          <t>10Y</t>
        </is>
      </c>
      <c r="F57" t="inlineStr"/>
      <c r="G57" t="n">
        <v>5.834869256968189</v>
      </c>
      <c r="H57" t="n">
        <v>10.05023339700217</v>
      </c>
      <c r="I57" t="n">
        <v>6.966692846003397</v>
      </c>
      <c r="J57" t="n">
        <v>-2.80193913135095</v>
      </c>
      <c r="K57" t="n">
        <v>4.736358905460736</v>
      </c>
      <c r="L57" t="n">
        <v>3.119152472830278</v>
      </c>
      <c r="M57" t="n">
        <v>1.617206432630458</v>
      </c>
      <c r="N57" t="inlineStr"/>
      <c r="O57" t="inlineStr">
        <is>
          <t>India||10Y</t>
        </is>
      </c>
      <c r="P57" t="inlineStr">
        <is>
          <t>India|10Y</t>
        </is>
      </c>
      <c r="Q57" t="inlineStr"/>
    </row>
    <row r="58">
      <c r="A58" t="inlineStr">
        <is>
          <t>India</t>
        </is>
      </c>
      <c r="B58" t="inlineStr">
        <is>
          <t>IND</t>
        </is>
      </c>
      <c r="C58" t="inlineStr">
        <is>
          <t>LYINR.SW</t>
        </is>
      </c>
      <c r="D58" s="2" t="n">
        <v>46021</v>
      </c>
      <c r="E58" t="inlineStr">
        <is>
          <t>1Y</t>
        </is>
      </c>
      <c r="F58" t="n">
        <v>-0.8894369562915561</v>
      </c>
      <c r="G58" t="n">
        <v>6.645999999999996</v>
      </c>
      <c r="H58" t="n">
        <v>8.515731000000004</v>
      </c>
      <c r="I58" t="n">
        <v>5.507083000000002</v>
      </c>
      <c r="J58" t="n">
        <v>-2.772545698409046</v>
      </c>
      <c r="K58" t="n">
        <v>2.821999999999991</v>
      </c>
      <c r="L58" t="n">
        <v>2.715000000000001</v>
      </c>
      <c r="M58" t="n">
        <v>0.1069999999999904</v>
      </c>
      <c r="N58" t="n">
        <v>6.396519956291558</v>
      </c>
      <c r="O58" t="inlineStr">
        <is>
          <t>India|LYINR.SW|1Y</t>
        </is>
      </c>
      <c r="P58" t="inlineStr">
        <is>
          <t>India|1Y</t>
        </is>
      </c>
      <c r="Q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LYINR.SW</t>
        </is>
      </c>
      <c r="D59" s="2" t="n">
        <v>46021</v>
      </c>
      <c r="E59" t="inlineStr">
        <is>
          <t>3Y</t>
        </is>
      </c>
      <c r="F59" t="n">
        <v>9.585913605245278</v>
      </c>
      <c r="G59" t="n">
        <v>7.436918655360047</v>
      </c>
      <c r="H59" t="n">
        <v>10.09511970244343</v>
      </c>
      <c r="I59" t="n">
        <v>7.226513221012598</v>
      </c>
      <c r="J59" t="n">
        <v>-2.605571116379835</v>
      </c>
      <c r="K59" t="n">
        <v>4.264192561485403</v>
      </c>
      <c r="L59" t="n">
        <v>3.263156230678832</v>
      </c>
      <c r="M59" t="n">
        <v>1.001036330806571</v>
      </c>
      <c r="N59" t="n">
        <v>-2.359400384232679</v>
      </c>
      <c r="O59" t="inlineStr">
        <is>
          <t>India|LYINR.SW|3Y</t>
        </is>
      </c>
      <c r="P59" t="inlineStr">
        <is>
          <t>India|3Y</t>
        </is>
      </c>
      <c r="Q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LYINR.SW</t>
        </is>
      </c>
      <c r="D60" s="2" t="n">
        <v>46021</v>
      </c>
      <c r="E60" t="inlineStr">
        <is>
          <t>5Y</t>
        </is>
      </c>
      <c r="F60" t="n">
        <v>7.895261547213517</v>
      </c>
      <c r="G60" t="n">
        <v>7.918339116520134</v>
      </c>
      <c r="H60" t="n">
        <v>12.56684095269041</v>
      </c>
      <c r="I60" t="n">
        <v>9.050917372360324</v>
      </c>
      <c r="J60" t="n">
        <v>-3.123409673669764</v>
      </c>
      <c r="K60" t="n">
        <v>4.985943955445027</v>
      </c>
      <c r="L60" t="n">
        <v>4.476417270751631</v>
      </c>
      <c r="M60" t="n">
        <v>0.5095266846933955</v>
      </c>
      <c r="N60" t="n">
        <v>1.155655825146807</v>
      </c>
      <c r="O60" t="inlineStr">
        <is>
          <t>India|LYINR.SW|5Y</t>
        </is>
      </c>
      <c r="P60" t="inlineStr">
        <is>
          <t>India|5Y</t>
        </is>
      </c>
      <c r="Q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LYINR.SW</t>
        </is>
      </c>
      <c r="D61" s="2" t="n">
        <v>46021</v>
      </c>
      <c r="E61" t="inlineStr">
        <is>
          <t>10Y</t>
        </is>
      </c>
      <c r="F61" t="n">
        <v>8.291522572806208</v>
      </c>
      <c r="G61" t="n">
        <v>5.834869256968189</v>
      </c>
      <c r="H61" t="n">
        <v>10.05023339700217</v>
      </c>
      <c r="I61" t="n">
        <v>6.966692846003397</v>
      </c>
      <c r="J61" t="n">
        <v>-2.80193913135095</v>
      </c>
      <c r="K61" t="n">
        <v>4.736358905460736</v>
      </c>
      <c r="L61" t="n">
        <v>3.119152472830278</v>
      </c>
      <c r="M61" t="n">
        <v>1.617206432630458</v>
      </c>
      <c r="N61" t="n">
        <v>-1.324829726802811</v>
      </c>
      <c r="O61" t="inlineStr">
        <is>
          <t>India|LYINR.SW|10Y</t>
        </is>
      </c>
      <c r="P61" t="inlineStr">
        <is>
          <t>India|10Y</t>
        </is>
      </c>
      <c r="Q61" t="inlineStr">
        <is>
          <t>USD</t>
        </is>
      </c>
    </row>
    <row r="62">
      <c r="A62" t="inlineStr">
        <is>
          <t>Indonesia</t>
        </is>
      </c>
      <c r="B62" t="inlineStr">
        <is>
          <t>IDN</t>
        </is>
      </c>
      <c r="C62" t="inlineStr"/>
      <c r="D62" s="2" t="n">
        <v>46022</v>
      </c>
      <c r="E62" t="inlineStr">
        <is>
          <t>1Y</t>
        </is>
      </c>
      <c r="F62" t="inlineStr"/>
      <c r="G62" t="n">
        <v>4.861000000000004</v>
      </c>
      <c r="H62" t="n">
        <v>7.022755999999997</v>
      </c>
      <c r="I62" t="n">
        <v>3.362887999999997</v>
      </c>
      <c r="J62" t="n">
        <v>-3.419710718214619</v>
      </c>
      <c r="K62" t="n">
        <v>1.838999999999991</v>
      </c>
      <c r="L62" t="n">
        <v>2.715000000000001</v>
      </c>
      <c r="M62" t="n">
        <v>-0.8760000000000101</v>
      </c>
      <c r="N62" t="inlineStr"/>
      <c r="O62" t="inlineStr">
        <is>
          <t>Indonesia||1Y</t>
        </is>
      </c>
      <c r="P62" t="inlineStr">
        <is>
          <t>Indonesia|1Y</t>
        </is>
      </c>
      <c r="Q62" t="inlineStr"/>
    </row>
    <row r="63">
      <c r="A63" t="inlineStr">
        <is>
          <t>Indonesia</t>
        </is>
      </c>
      <c r="B63" t="inlineStr">
        <is>
          <t>IDN</t>
        </is>
      </c>
      <c r="C63" t="inlineStr"/>
      <c r="D63" s="2" t="n">
        <v>46022</v>
      </c>
      <c r="E63" t="inlineStr">
        <is>
          <t>3Y</t>
        </is>
      </c>
      <c r="F63" t="inlineStr"/>
      <c r="G63" t="n">
        <v>4.979965977918921</v>
      </c>
      <c r="H63" t="n">
        <v>6.547773211466579</v>
      </c>
      <c r="I63" t="n">
        <v>3.043778494210758</v>
      </c>
      <c r="J63" t="n">
        <v>-3.288661051716169</v>
      </c>
      <c r="K63" t="n">
        <v>2.614244557626</v>
      </c>
      <c r="L63" t="n">
        <v>3.263156230678832</v>
      </c>
      <c r="M63" t="n">
        <v>-0.6489116730528321</v>
      </c>
      <c r="N63" t="inlineStr"/>
      <c r="O63" t="inlineStr">
        <is>
          <t>Indonesia||3Y</t>
        </is>
      </c>
      <c r="P63" t="inlineStr">
        <is>
          <t>Indonesia|3Y</t>
        </is>
      </c>
      <c r="Q63" t="inlineStr"/>
    </row>
    <row r="64">
      <c r="A64" t="inlineStr">
        <is>
          <t>Indonesia</t>
        </is>
      </c>
      <c r="B64" t="inlineStr">
        <is>
          <t>IDN</t>
        </is>
      </c>
      <c r="C64" t="inlineStr"/>
      <c r="D64" s="2" t="n">
        <v>46022</v>
      </c>
      <c r="E64" t="inlineStr">
        <is>
          <t>5Y</t>
        </is>
      </c>
      <c r="F64" t="inlineStr"/>
      <c r="G64" t="n">
        <v>4.788486756951071</v>
      </c>
      <c r="H64" t="n">
        <v>8.937740731042876</v>
      </c>
      <c r="I64" t="n">
        <v>6.386120523687699</v>
      </c>
      <c r="J64" t="n">
        <v>-2.342274074121986</v>
      </c>
      <c r="K64" t="n">
        <v>2.70525509984787</v>
      </c>
      <c r="L64" t="n">
        <v>4.476417270751631</v>
      </c>
      <c r="M64" t="n">
        <v>-1.771162170903762</v>
      </c>
      <c r="N64" t="inlineStr"/>
      <c r="O64" t="inlineStr">
        <is>
          <t>Indonesia||5Y</t>
        </is>
      </c>
      <c r="P64" t="inlineStr">
        <is>
          <t>Indonesia|5Y</t>
        </is>
      </c>
      <c r="Q64" t="inlineStr"/>
    </row>
    <row r="65">
      <c r="A65" t="inlineStr">
        <is>
          <t>Indonesia</t>
        </is>
      </c>
      <c r="B65" t="inlineStr">
        <is>
          <t>IDN</t>
        </is>
      </c>
      <c r="C65" t="inlineStr"/>
      <c r="D65" s="2" t="n">
        <v>46022</v>
      </c>
      <c r="E65" t="inlineStr">
        <is>
          <t>10Y</t>
        </is>
      </c>
      <c r="F65" t="inlineStr"/>
      <c r="G65" t="n">
        <v>4.195319559416921</v>
      </c>
      <c r="H65" t="n">
        <v>7.471726843455895</v>
      </c>
      <c r="I65" t="n">
        <v>5.303156012516141</v>
      </c>
      <c r="J65" t="n">
        <v>-2.017805997005151</v>
      </c>
      <c r="K65" t="n">
        <v>2.899599745488812</v>
      </c>
      <c r="L65" t="n">
        <v>3.119152472830278</v>
      </c>
      <c r="M65" t="n">
        <v>-0.2195527273414655</v>
      </c>
      <c r="N65" t="inlineStr"/>
      <c r="O65" t="inlineStr">
        <is>
          <t>Indonesia||10Y</t>
        </is>
      </c>
      <c r="P65" t="inlineStr">
        <is>
          <t>Indonesia|10Y</t>
        </is>
      </c>
      <c r="Q65" t="inlineStr"/>
    </row>
    <row r="66">
      <c r="A66" t="inlineStr">
        <is>
          <t>Indonesia</t>
        </is>
      </c>
      <c r="B66" t="inlineStr">
        <is>
          <t>IDN</t>
        </is>
      </c>
      <c r="C66" t="inlineStr">
        <is>
          <t>INDO.PA</t>
        </is>
      </c>
      <c r="D66" s="2" t="n">
        <v>46022</v>
      </c>
      <c r="E66" t="inlineStr">
        <is>
          <t>1Y</t>
        </is>
      </c>
      <c r="F66" t="n">
        <v>-3.36933792862526</v>
      </c>
      <c r="G66" t="n">
        <v>4.861000000000004</v>
      </c>
      <c r="H66" t="n">
        <v>7.022755999999997</v>
      </c>
      <c r="I66" t="n">
        <v>3.362887999999997</v>
      </c>
      <c r="J66" t="n">
        <v>-3.419710718214619</v>
      </c>
      <c r="K66" t="n">
        <v>1.838999999999991</v>
      </c>
      <c r="L66" t="n">
        <v>2.715000000000001</v>
      </c>
      <c r="M66" t="n">
        <v>-0.8760000000000101</v>
      </c>
      <c r="N66" t="n">
        <v>6.732225928625257</v>
      </c>
      <c r="O66" t="inlineStr">
        <is>
          <t>Indonesia|INDO.PA|1Y</t>
        </is>
      </c>
      <c r="P66" t="inlineStr">
        <is>
          <t>Indonesia|1Y</t>
        </is>
      </c>
      <c r="Q66" t="inlineStr">
        <is>
          <t>EUR</t>
        </is>
      </c>
    </row>
    <row r="67">
      <c r="A67" t="inlineStr">
        <is>
          <t>Indonesia</t>
        </is>
      </c>
      <c r="B67" t="inlineStr">
        <is>
          <t>IDN</t>
        </is>
      </c>
      <c r="C67" t="inlineStr">
        <is>
          <t>INDO.PA</t>
        </is>
      </c>
      <c r="D67" s="2" t="n">
        <v>46022</v>
      </c>
      <c r="E67" t="inlineStr">
        <is>
          <t>3Y</t>
        </is>
      </c>
      <c r="F67" t="n">
        <v>-3.544826922592437</v>
      </c>
      <c r="G67" t="n">
        <v>4.979965977918921</v>
      </c>
      <c r="H67" t="n">
        <v>6.547773211466579</v>
      </c>
      <c r="I67" t="n">
        <v>3.043778494210758</v>
      </c>
      <c r="J67" t="n">
        <v>-3.288661051716169</v>
      </c>
      <c r="K67" t="n">
        <v>2.614244557626</v>
      </c>
      <c r="L67" t="n">
        <v>3.263156230678832</v>
      </c>
      <c r="M67" t="n">
        <v>-0.6489116730528321</v>
      </c>
      <c r="N67" t="n">
        <v>6.588605416803195</v>
      </c>
      <c r="O67" t="inlineStr">
        <is>
          <t>Indonesia|INDO.PA|3Y</t>
        </is>
      </c>
      <c r="P67" t="inlineStr">
        <is>
          <t>Indonesia|3Y</t>
        </is>
      </c>
      <c r="Q67" t="inlineStr">
        <is>
          <t>EUR</t>
        </is>
      </c>
    </row>
    <row r="68">
      <c r="A68" t="inlineStr">
        <is>
          <t>Indonesia</t>
        </is>
      </c>
      <c r="B68" t="inlineStr">
        <is>
          <t>IDN</t>
        </is>
      </c>
      <c r="C68" t="inlineStr">
        <is>
          <t>INDO.PA</t>
        </is>
      </c>
      <c r="D68" s="2" t="n">
        <v>46022</v>
      </c>
      <c r="E68" t="inlineStr">
        <is>
          <t>5Y</t>
        </is>
      </c>
      <c r="F68" t="n">
        <v>-1.518212236355088</v>
      </c>
      <c r="G68" t="n">
        <v>4.788486756951071</v>
      </c>
      <c r="H68" t="n">
        <v>8.937740731042876</v>
      </c>
      <c r="I68" t="n">
        <v>6.386120523687699</v>
      </c>
      <c r="J68" t="n">
        <v>-2.342274074121986</v>
      </c>
      <c r="K68" t="n">
        <v>2.70525509984787</v>
      </c>
      <c r="L68" t="n">
        <v>4.476417270751631</v>
      </c>
      <c r="M68" t="n">
        <v>-1.771162170903762</v>
      </c>
      <c r="N68" t="n">
        <v>7.904332760042787</v>
      </c>
      <c r="O68" t="inlineStr">
        <is>
          <t>Indonesia|INDO.PA|5Y</t>
        </is>
      </c>
      <c r="P68" t="inlineStr">
        <is>
          <t>Indonesia|5Y</t>
        </is>
      </c>
      <c r="Q68" t="inlineStr">
        <is>
          <t>EUR</t>
        </is>
      </c>
    </row>
    <row r="69">
      <c r="A69" t="inlineStr">
        <is>
          <t>Indonesia</t>
        </is>
      </c>
      <c r="B69" t="inlineStr">
        <is>
          <t>IDN</t>
        </is>
      </c>
      <c r="C69" t="inlineStr">
        <is>
          <t>INDO.PA</t>
        </is>
      </c>
      <c r="D69" s="2" t="n">
        <v>46022</v>
      </c>
      <c r="E69" t="inlineStr">
        <is>
          <t>10Y</t>
        </is>
      </c>
      <c r="F69" t="n">
        <v>2.173985650103605</v>
      </c>
      <c r="G69" t="n">
        <v>4.195319559416921</v>
      </c>
      <c r="H69" t="n">
        <v>7.471726843455895</v>
      </c>
      <c r="I69" t="n">
        <v>5.303156012516141</v>
      </c>
      <c r="J69" t="n">
        <v>-2.017805997005151</v>
      </c>
      <c r="K69" t="n">
        <v>2.899599745488812</v>
      </c>
      <c r="L69" t="n">
        <v>3.119152472830278</v>
      </c>
      <c r="M69" t="n">
        <v>-0.2195527273414655</v>
      </c>
      <c r="N69" t="n">
        <v>3.129170362412537</v>
      </c>
      <c r="O69" t="inlineStr">
        <is>
          <t>Indonesia|INDO.PA|10Y</t>
        </is>
      </c>
      <c r="P69" t="inlineStr">
        <is>
          <t>Indonesia|10Y</t>
        </is>
      </c>
      <c r="Q69" t="inlineStr">
        <is>
          <t>EUR</t>
        </is>
      </c>
    </row>
    <row r="70">
      <c r="A70" t="inlineStr">
        <is>
          <t>Japan</t>
        </is>
      </c>
      <c r="B70" t="inlineStr">
        <is>
          <t>JPN</t>
        </is>
      </c>
      <c r="C70" t="inlineStr"/>
      <c r="D70" s="2" t="n">
        <v>46022</v>
      </c>
      <c r="E70" t="inlineStr">
        <is>
          <t>1Y</t>
        </is>
      </c>
      <c r="F70" t="inlineStr"/>
      <c r="G70" t="n">
        <v>1.07600000000001</v>
      </c>
      <c r="H70" t="n">
        <v>3.887970000000007</v>
      </c>
      <c r="I70" t="n">
        <v>6.479751999999994</v>
      </c>
      <c r="J70" t="n">
        <v>2.494785464134441</v>
      </c>
      <c r="K70" t="n">
        <v>3.286999999999995</v>
      </c>
      <c r="L70" t="n">
        <v>2.715000000000001</v>
      </c>
      <c r="M70" t="n">
        <v>0.5719999999999947</v>
      </c>
      <c r="N70" t="inlineStr"/>
      <c r="O70" t="inlineStr">
        <is>
          <t>Japan||1Y</t>
        </is>
      </c>
      <c r="P70" t="inlineStr">
        <is>
          <t>Japan|1Y</t>
        </is>
      </c>
      <c r="Q70" t="inlineStr"/>
    </row>
    <row r="71">
      <c r="A71" t="inlineStr">
        <is>
          <t>Japan</t>
        </is>
      </c>
      <c r="B71" t="inlineStr">
        <is>
          <t>JPN</t>
        </is>
      </c>
      <c r="C71" t="inlineStr"/>
      <c r="D71" s="2" t="n">
        <v>46022</v>
      </c>
      <c r="E71" t="inlineStr">
        <is>
          <t>3Y</t>
        </is>
      </c>
      <c r="F71" t="inlineStr"/>
      <c r="G71" t="n">
        <v>0.8070767384687372</v>
      </c>
      <c r="H71" t="n">
        <v>4.079471863645368</v>
      </c>
      <c r="I71" t="n">
        <v>0.1296002875132762</v>
      </c>
      <c r="J71" t="n">
        <v>-3.79505348620458</v>
      </c>
      <c r="K71" t="n">
        <v>3.097686824914558</v>
      </c>
      <c r="L71" t="n">
        <v>3.263156230678832</v>
      </c>
      <c r="M71" t="n">
        <v>-0.1654694057642736</v>
      </c>
      <c r="N71" t="inlineStr"/>
      <c r="O71" t="inlineStr">
        <is>
          <t>Japan||3Y</t>
        </is>
      </c>
      <c r="P71" t="inlineStr">
        <is>
          <t>Japan|3Y</t>
        </is>
      </c>
      <c r="Q71" t="inlineStr"/>
    </row>
    <row r="72">
      <c r="A72" t="inlineStr">
        <is>
          <t>Japan</t>
        </is>
      </c>
      <c r="B72" t="inlineStr">
        <is>
          <t>JPN</t>
        </is>
      </c>
      <c r="C72" t="inlineStr"/>
      <c r="D72" s="2" t="n">
        <v>46022</v>
      </c>
      <c r="E72" t="inlineStr">
        <is>
          <t>5Y</t>
        </is>
      </c>
      <c r="F72" t="inlineStr"/>
      <c r="G72" t="n">
        <v>1.212938163621247</v>
      </c>
      <c r="H72" t="n">
        <v>3.211698957264009</v>
      </c>
      <c r="I72" t="n">
        <v>-3.270926251822071</v>
      </c>
      <c r="J72" t="n">
        <v>-6.280901590702559</v>
      </c>
      <c r="K72" t="n">
        <v>2.302530783405965</v>
      </c>
      <c r="L72" t="n">
        <v>4.476417270751631</v>
      </c>
      <c r="M72" t="n">
        <v>-2.173886487345666</v>
      </c>
      <c r="N72" t="inlineStr"/>
      <c r="O72" t="inlineStr">
        <is>
          <t>Japan||5Y</t>
        </is>
      </c>
      <c r="P72" t="inlineStr">
        <is>
          <t>Japan|5Y</t>
        </is>
      </c>
      <c r="Q72" t="inlineStr"/>
    </row>
    <row r="73">
      <c r="A73" t="inlineStr">
        <is>
          <t>Japan</t>
        </is>
      </c>
      <c r="B73" t="inlineStr">
        <is>
          <t>JPN</t>
        </is>
      </c>
      <c r="C73" t="inlineStr"/>
      <c r="D73" s="2" t="n">
        <v>46022</v>
      </c>
      <c r="E73" t="inlineStr">
        <is>
          <t>10Y</t>
        </is>
      </c>
      <c r="F73" t="inlineStr"/>
      <c r="G73" t="n">
        <v>0.4430022080747165</v>
      </c>
      <c r="H73" t="n">
        <v>1.623588192451919</v>
      </c>
      <c r="I73" t="n">
        <v>-0.3777999050532999</v>
      </c>
      <c r="J73" t="n">
        <v>-1.969412821691119</v>
      </c>
      <c r="K73" t="n">
        <v>1.325699028823402</v>
      </c>
      <c r="L73" t="n">
        <v>3.119152472830278</v>
      </c>
      <c r="M73" t="n">
        <v>-1.793453444006876</v>
      </c>
      <c r="N73" t="inlineStr"/>
      <c r="O73" t="inlineStr">
        <is>
          <t>Japan||10Y</t>
        </is>
      </c>
      <c r="P73" t="inlineStr">
        <is>
          <t>Japan|10Y</t>
        </is>
      </c>
      <c r="Q73" t="inlineStr"/>
    </row>
    <row r="74">
      <c r="A74" t="inlineStr">
        <is>
          <t>Japan</t>
        </is>
      </c>
      <c r="B74" t="inlineStr">
        <is>
          <t>JPN</t>
        </is>
      </c>
      <c r="C74" t="inlineStr">
        <is>
          <t>CJPU.L</t>
        </is>
      </c>
      <c r="D74" s="2" t="n">
        <v>46022</v>
      </c>
      <c r="E74" t="inlineStr">
        <is>
          <t>1Y</t>
        </is>
      </c>
      <c r="F74" t="n">
        <v>25.89693520558538</v>
      </c>
      <c r="G74" t="n">
        <v>1.07600000000001</v>
      </c>
      <c r="H74" t="n">
        <v>3.887970000000007</v>
      </c>
      <c r="I74" t="n">
        <v>6.479751999999994</v>
      </c>
      <c r="J74" t="n">
        <v>2.494785464134441</v>
      </c>
      <c r="K74" t="n">
        <v>3.286999999999995</v>
      </c>
      <c r="L74" t="n">
        <v>2.715000000000001</v>
      </c>
      <c r="M74" t="n">
        <v>0.5719999999999947</v>
      </c>
      <c r="N74" t="n">
        <v>-19.41718320558538</v>
      </c>
      <c r="O74" t="inlineStr">
        <is>
          <t>Japan|CJPU.L|1Y</t>
        </is>
      </c>
      <c r="P74" t="inlineStr">
        <is>
          <t>Japan|1Y</t>
        </is>
      </c>
      <c r="Q74" t="inlineStr">
        <is>
          <t>USD</t>
        </is>
      </c>
    </row>
    <row r="75">
      <c r="A75" t="inlineStr">
        <is>
          <t>Japan</t>
        </is>
      </c>
      <c r="B75" t="inlineStr">
        <is>
          <t>JPN</t>
        </is>
      </c>
      <c r="C75" t="inlineStr">
        <is>
          <t>CJPU.L</t>
        </is>
      </c>
      <c r="D75" s="2" t="n">
        <v>46022</v>
      </c>
      <c r="E75" t="inlineStr">
        <is>
          <t>3Y</t>
        </is>
      </c>
      <c r="F75" t="n">
        <v>17.49741225724488</v>
      </c>
      <c r="G75" t="n">
        <v>0.8070767384687372</v>
      </c>
      <c r="H75" t="n">
        <v>4.079471863645368</v>
      </c>
      <c r="I75" t="n">
        <v>0.1296002875132762</v>
      </c>
      <c r="J75" t="n">
        <v>-3.79505348620458</v>
      </c>
      <c r="K75" t="n">
        <v>3.097686824914558</v>
      </c>
      <c r="L75" t="n">
        <v>3.263156230678832</v>
      </c>
      <c r="M75" t="n">
        <v>-0.1654694057642736</v>
      </c>
      <c r="N75" t="n">
        <v>-17.3678119697316</v>
      </c>
      <c r="O75" t="inlineStr">
        <is>
          <t>Japan|CJPU.L|3Y</t>
        </is>
      </c>
      <c r="P75" t="inlineStr">
        <is>
          <t>Japan|3Y</t>
        </is>
      </c>
      <c r="Q75" t="inlineStr">
        <is>
          <t>USD</t>
        </is>
      </c>
    </row>
    <row r="76">
      <c r="A76" t="inlineStr">
        <is>
          <t>Japan</t>
        </is>
      </c>
      <c r="B76" t="inlineStr">
        <is>
          <t>JPN</t>
        </is>
      </c>
      <c r="C76" t="inlineStr">
        <is>
          <t>CJPU.L</t>
        </is>
      </c>
      <c r="D76" s="2" t="n">
        <v>46022</v>
      </c>
      <c r="E76" t="inlineStr">
        <is>
          <t>5Y</t>
        </is>
      </c>
      <c r="F76" t="n">
        <v>6.394042577849657</v>
      </c>
      <c r="G76" t="n">
        <v>1.212938163621247</v>
      </c>
      <c r="H76" t="n">
        <v>3.211698957264009</v>
      </c>
      <c r="I76" t="n">
        <v>-3.270926251822071</v>
      </c>
      <c r="J76" t="n">
        <v>-6.280901590702559</v>
      </c>
      <c r="K76" t="n">
        <v>2.302530783405965</v>
      </c>
      <c r="L76" t="n">
        <v>4.476417270751631</v>
      </c>
      <c r="M76" t="n">
        <v>-2.173886487345666</v>
      </c>
      <c r="N76" t="n">
        <v>-9.664968829671727</v>
      </c>
      <c r="O76" t="inlineStr">
        <is>
          <t>Japan|CJPU.L|5Y</t>
        </is>
      </c>
      <c r="P76" t="inlineStr">
        <is>
          <t>Japan|5Y</t>
        </is>
      </c>
      <c r="Q76" t="inlineStr">
        <is>
          <t>USD</t>
        </is>
      </c>
    </row>
    <row r="77">
      <c r="A77" t="inlineStr">
        <is>
          <t>Japan</t>
        </is>
      </c>
      <c r="B77" t="inlineStr">
        <is>
          <t>JPN</t>
        </is>
      </c>
      <c r="C77" t="inlineStr">
        <is>
          <t>CJPU.L</t>
        </is>
      </c>
      <c r="D77" s="2" t="n">
        <v>46022</v>
      </c>
      <c r="E77" t="inlineStr">
        <is>
          <t>10Y</t>
        </is>
      </c>
      <c r="F77" t="n">
        <v>7.647721372879213</v>
      </c>
      <c r="G77" t="n">
        <v>0.4430022080747165</v>
      </c>
      <c r="H77" t="n">
        <v>1.623588192451919</v>
      </c>
      <c r="I77" t="n">
        <v>-0.3777999050532999</v>
      </c>
      <c r="J77" t="n">
        <v>-1.969412821691119</v>
      </c>
      <c r="K77" t="n">
        <v>1.325699028823402</v>
      </c>
      <c r="L77" t="n">
        <v>3.119152472830278</v>
      </c>
      <c r="M77" t="n">
        <v>-1.793453444006876</v>
      </c>
      <c r="N77" t="n">
        <v>-8.025521277932512</v>
      </c>
      <c r="O77" t="inlineStr">
        <is>
          <t>Japan|CJPU.L|10Y</t>
        </is>
      </c>
      <c r="P77" t="inlineStr">
        <is>
          <t>Japan|10Y</t>
        </is>
      </c>
      <c r="Q77" t="inlineStr">
        <is>
          <t>USD</t>
        </is>
      </c>
    </row>
    <row r="78">
      <c r="A78" t="inlineStr">
        <is>
          <t>Malaysia</t>
        </is>
      </c>
      <c r="B78" t="inlineStr">
        <is>
          <t>MYS</t>
        </is>
      </c>
      <c r="C78" t="inlineStr"/>
      <c r="D78" s="2" t="n">
        <v>46022</v>
      </c>
      <c r="E78" t="inlineStr">
        <is>
          <t>1Y</t>
        </is>
      </c>
      <c r="F78" t="inlineStr"/>
      <c r="G78" t="n">
        <v>4.499999999999993</v>
      </c>
      <c r="H78" t="n">
        <v>5.607851000000008</v>
      </c>
      <c r="I78" t="n">
        <v>11.45000199999999</v>
      </c>
      <c r="J78" t="n">
        <v>5.531928703126043</v>
      </c>
      <c r="K78" t="n">
        <v>1.587000000000005</v>
      </c>
      <c r="L78" t="n">
        <v>2.715000000000001</v>
      </c>
      <c r="M78" t="n">
        <v>-1.127999999999996</v>
      </c>
      <c r="N78" t="inlineStr"/>
      <c r="O78" t="inlineStr">
        <is>
          <t>Malaysia||1Y</t>
        </is>
      </c>
      <c r="P78" t="inlineStr">
        <is>
          <t>Malaysia|1Y</t>
        </is>
      </c>
      <c r="Q78" t="inlineStr"/>
    </row>
    <row r="79">
      <c r="A79" t="inlineStr">
        <is>
          <t>Malaysia</t>
        </is>
      </c>
      <c r="B79" t="inlineStr">
        <is>
          <t>MYS</t>
        </is>
      </c>
      <c r="C79" t="inlineStr"/>
      <c r="D79" s="2" t="n">
        <v>46022</v>
      </c>
      <c r="E79" t="inlineStr">
        <is>
          <t>3Y</t>
        </is>
      </c>
      <c r="F79" t="inlineStr"/>
      <c r="G79" t="n">
        <v>4.378667423638438</v>
      </c>
      <c r="H79" t="n">
        <v>4.370250040512258</v>
      </c>
      <c r="I79" t="n">
        <v>4.885544483325233</v>
      </c>
      <c r="J79" t="n">
        <v>0.4937178110189233</v>
      </c>
      <c r="K79" t="n">
        <v>1.969290610324204</v>
      </c>
      <c r="L79" t="n">
        <v>3.263156230678832</v>
      </c>
      <c r="M79" t="n">
        <v>-1.293865620354628</v>
      </c>
      <c r="N79" t="inlineStr"/>
      <c r="O79" t="inlineStr">
        <is>
          <t>Malaysia||3Y</t>
        </is>
      </c>
      <c r="P79" t="inlineStr">
        <is>
          <t>Malaysia|3Y</t>
        </is>
      </c>
      <c r="Q79" t="inlineStr"/>
    </row>
    <row r="80">
      <c r="A80" t="inlineStr">
        <is>
          <t>Malaysia</t>
        </is>
      </c>
      <c r="B80" t="inlineStr">
        <is>
          <t>MYS</t>
        </is>
      </c>
      <c r="C80" t="inlineStr"/>
      <c r="D80" s="2" t="n">
        <v>46022</v>
      </c>
      <c r="E80" t="inlineStr">
        <is>
          <t>5Y</t>
        </is>
      </c>
      <c r="F80" t="inlineStr"/>
      <c r="G80" t="n">
        <v>5.077690900653709</v>
      </c>
      <c r="H80" t="n">
        <v>7.544555745421189</v>
      </c>
      <c r="I80" t="n">
        <v>6.876392291377909</v>
      </c>
      <c r="J80" t="n">
        <v>-0.6212899528280635</v>
      </c>
      <c r="K80" t="n">
        <v>2.351305089633104</v>
      </c>
      <c r="L80" t="n">
        <v>4.476417270751631</v>
      </c>
      <c r="M80" t="n">
        <v>-2.125112181118527</v>
      </c>
      <c r="N80" t="inlineStr"/>
      <c r="O80" t="inlineStr">
        <is>
          <t>Malaysia||5Y</t>
        </is>
      </c>
      <c r="P80" t="inlineStr">
        <is>
          <t>Malaysia|5Y</t>
        </is>
      </c>
      <c r="Q80" t="inlineStr"/>
    </row>
    <row r="81">
      <c r="A81" t="inlineStr">
        <is>
          <t>Malaysia</t>
        </is>
      </c>
      <c r="B81" t="inlineStr">
        <is>
          <t>MYS</t>
        </is>
      </c>
      <c r="C81" t="inlineStr"/>
      <c r="D81" s="2" t="n">
        <v>46022</v>
      </c>
      <c r="E81" t="inlineStr">
        <is>
          <t>10Y</t>
        </is>
      </c>
      <c r="F81" t="inlineStr"/>
      <c r="G81" t="n">
        <v>3.89444961245704</v>
      </c>
      <c r="H81" t="n">
        <v>5.657761217890767</v>
      </c>
      <c r="I81" t="n">
        <v>4.557398172221427</v>
      </c>
      <c r="J81" t="n">
        <v>-1.041440765586232</v>
      </c>
      <c r="K81" t="n">
        <v>1.80442750253671</v>
      </c>
      <c r="L81" t="n">
        <v>3.119152472830278</v>
      </c>
      <c r="M81" t="n">
        <v>-1.314724970293568</v>
      </c>
      <c r="N81" t="inlineStr"/>
      <c r="O81" t="inlineStr">
        <is>
          <t>Malaysia||10Y</t>
        </is>
      </c>
      <c r="P81" t="inlineStr">
        <is>
          <t>Malaysia|10Y</t>
        </is>
      </c>
      <c r="Q81" t="inlineStr"/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s="2" t="n">
        <v>46022</v>
      </c>
      <c r="E82" t="inlineStr">
        <is>
          <t>1Y</t>
        </is>
      </c>
      <c r="F82" t="n">
        <v>15.10072133742288</v>
      </c>
      <c r="G82" t="n">
        <v>4.499999999999993</v>
      </c>
      <c r="H82" t="n">
        <v>5.607851000000008</v>
      </c>
      <c r="I82" t="n">
        <v>11.45000199999999</v>
      </c>
      <c r="J82" t="n">
        <v>5.531928703126043</v>
      </c>
      <c r="K82" t="n">
        <v>1.587000000000005</v>
      </c>
      <c r="L82" t="n">
        <v>2.715000000000001</v>
      </c>
      <c r="M82" t="n">
        <v>-1.127999999999996</v>
      </c>
      <c r="N82" t="n">
        <v>-3.650719337422892</v>
      </c>
      <c r="O82" t="inlineStr">
        <is>
          <t>Malaysia|XCX3.L|1Y</t>
        </is>
      </c>
      <c r="P82" t="inlineStr">
        <is>
          <t>Malaysia|1Y</t>
        </is>
      </c>
      <c r="Q82" t="inlineStr">
        <is>
          <t>GBp</t>
        </is>
      </c>
    </row>
    <row r="83">
      <c r="A83" t="inlineStr">
        <is>
          <t>Malaysia</t>
        </is>
      </c>
      <c r="B83" t="inlineStr">
        <is>
          <t>MYS</t>
        </is>
      </c>
      <c r="C83" t="inlineStr">
        <is>
          <t>XCX3.L</t>
        </is>
      </c>
      <c r="D83" s="2" t="n">
        <v>46022</v>
      </c>
      <c r="E83" t="inlineStr">
        <is>
          <t>3Y</t>
        </is>
      </c>
      <c r="F83" t="n">
        <v>10.2501129643682</v>
      </c>
      <c r="G83" t="n">
        <v>4.378667423638438</v>
      </c>
      <c r="H83" t="n">
        <v>4.370250040512258</v>
      </c>
      <c r="I83" t="n">
        <v>4.885544483325233</v>
      </c>
      <c r="J83" t="n">
        <v>0.4937178110189233</v>
      </c>
      <c r="K83" t="n">
        <v>1.969290610324204</v>
      </c>
      <c r="L83" t="n">
        <v>3.263156230678832</v>
      </c>
      <c r="M83" t="n">
        <v>-1.293865620354628</v>
      </c>
      <c r="N83" t="n">
        <v>-5.364568481042963</v>
      </c>
      <c r="O83" t="inlineStr">
        <is>
          <t>Malaysia|XCX3.L|3Y</t>
        </is>
      </c>
      <c r="P83" t="inlineStr">
        <is>
          <t>Malaysia|3Y</t>
        </is>
      </c>
      <c r="Q83" t="inlineStr">
        <is>
          <t>GBp</t>
        </is>
      </c>
    </row>
    <row r="84">
      <c r="A84" t="inlineStr">
        <is>
          <t>Malaysia</t>
        </is>
      </c>
      <c r="B84" t="inlineStr">
        <is>
          <t>MYS</t>
        </is>
      </c>
      <c r="C84" t="inlineStr">
        <is>
          <t>XCX3.L</t>
        </is>
      </c>
      <c r="D84" s="2" t="n">
        <v>46022</v>
      </c>
      <c r="E84" t="inlineStr">
        <is>
          <t>5Y</t>
        </is>
      </c>
      <c r="F84" t="n">
        <v>3.015219573951078</v>
      </c>
      <c r="G84" t="n">
        <v>5.077690900653709</v>
      </c>
      <c r="H84" t="n">
        <v>7.544555745421189</v>
      </c>
      <c r="I84" t="n">
        <v>6.876392291377909</v>
      </c>
      <c r="J84" t="n">
        <v>-0.6212899528280635</v>
      </c>
      <c r="K84" t="n">
        <v>2.351305089633104</v>
      </c>
      <c r="L84" t="n">
        <v>4.476417270751631</v>
      </c>
      <c r="M84" t="n">
        <v>-2.125112181118527</v>
      </c>
      <c r="N84" t="n">
        <v>3.861172717426831</v>
      </c>
      <c r="O84" t="inlineStr">
        <is>
          <t>Malaysia|XCX3.L|5Y</t>
        </is>
      </c>
      <c r="P84" t="inlineStr">
        <is>
          <t>Malaysia|5Y</t>
        </is>
      </c>
      <c r="Q84" t="inlineStr">
        <is>
          <t>GBp</t>
        </is>
      </c>
    </row>
    <row r="85">
      <c r="A85" t="inlineStr">
        <is>
          <t>Malaysia</t>
        </is>
      </c>
      <c r="B85" t="inlineStr">
        <is>
          <t>MYS</t>
        </is>
      </c>
      <c r="C85" t="inlineStr">
        <is>
          <t>XCX3.L</t>
        </is>
      </c>
      <c r="D85" s="2" t="n">
        <v>46022</v>
      </c>
      <c r="E85" t="inlineStr">
        <is>
          <t>10Y</t>
        </is>
      </c>
      <c r="F85" t="n">
        <v>2.707796542307261</v>
      </c>
      <c r="G85" t="n">
        <v>3.89444961245704</v>
      </c>
      <c r="H85" t="n">
        <v>5.657761217890767</v>
      </c>
      <c r="I85" t="n">
        <v>4.557398172221427</v>
      </c>
      <c r="J85" t="n">
        <v>-1.041440765586232</v>
      </c>
      <c r="K85" t="n">
        <v>1.80442750253671</v>
      </c>
      <c r="L85" t="n">
        <v>3.119152472830278</v>
      </c>
      <c r="M85" t="n">
        <v>-1.314724970293568</v>
      </c>
      <c r="N85" t="n">
        <v>1.849601629914166</v>
      </c>
      <c r="O85" t="inlineStr">
        <is>
          <t>Malaysia|XCX3.L|10Y</t>
        </is>
      </c>
      <c r="P85" t="inlineStr">
        <is>
          <t>Malaysia|10Y</t>
        </is>
      </c>
      <c r="Q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/>
      <c r="D86" s="2" t="n">
        <v>46022</v>
      </c>
      <c r="E86" t="inlineStr">
        <is>
          <t>1Y</t>
        </is>
      </c>
      <c r="F86" t="inlineStr"/>
      <c r="G86" t="n">
        <v>0.990000000000002</v>
      </c>
      <c r="H86" t="n">
        <v>6.194170999999993</v>
      </c>
      <c r="I86" t="n">
        <v>0.3433589999999986</v>
      </c>
      <c r="J86" t="n">
        <v>-5.509541994452317</v>
      </c>
      <c r="K86" t="n">
        <v>3.916000000000008</v>
      </c>
      <c r="L86" t="n">
        <v>2.715000000000001</v>
      </c>
      <c r="M86" t="n">
        <v>1.201000000000008</v>
      </c>
      <c r="N86" t="inlineStr"/>
      <c r="O86" t="inlineStr">
        <is>
          <t>Mexico||1Y</t>
        </is>
      </c>
      <c r="P86" t="inlineStr">
        <is>
          <t>Mexico|1Y</t>
        </is>
      </c>
      <c r="Q86" t="inlineStr"/>
    </row>
    <row r="87">
      <c r="A87" t="inlineStr">
        <is>
          <t>Mexico</t>
        </is>
      </c>
      <c r="B87" t="inlineStr">
        <is>
          <t>MEX</t>
        </is>
      </c>
      <c r="C87" t="inlineStr"/>
      <c r="D87" s="2" t="n">
        <v>46022</v>
      </c>
      <c r="E87" t="inlineStr">
        <is>
          <t>3Y</t>
        </is>
      </c>
      <c r="F87" t="inlineStr"/>
      <c r="G87" t="n">
        <v>1.918513449306825</v>
      </c>
      <c r="H87" t="n">
        <v>6.916414971568341</v>
      </c>
      <c r="I87" t="n">
        <v>8.288030696523553</v>
      </c>
      <c r="J87" t="n">
        <v>1.282885908921338</v>
      </c>
      <c r="K87" t="n">
        <v>4.719603905541292</v>
      </c>
      <c r="L87" t="n">
        <v>3.263156230678832</v>
      </c>
      <c r="M87" t="n">
        <v>1.45644767486246</v>
      </c>
      <c r="N87" t="inlineStr"/>
      <c r="O87" t="inlineStr">
        <is>
          <t>Mexico||3Y</t>
        </is>
      </c>
      <c r="P87" t="inlineStr">
        <is>
          <t>Mexico|3Y</t>
        </is>
      </c>
      <c r="Q87" t="inlineStr"/>
    </row>
    <row r="88">
      <c r="A88" t="inlineStr">
        <is>
          <t>Mexico</t>
        </is>
      </c>
      <c r="B88" t="inlineStr">
        <is>
          <t>MEX</t>
        </is>
      </c>
      <c r="C88" t="inlineStr"/>
      <c r="D88" s="2" t="n">
        <v>46022</v>
      </c>
      <c r="E88" t="inlineStr">
        <is>
          <t>5Y</t>
        </is>
      </c>
      <c r="F88" t="inlineStr"/>
      <c r="G88" t="n">
        <v>3.089983868865098</v>
      </c>
      <c r="H88" t="n">
        <v>8.420259177260391</v>
      </c>
      <c r="I88" t="n">
        <v>10.68895551720954</v>
      </c>
      <c r="J88" t="n">
        <v>2.092501933658664</v>
      </c>
      <c r="K88" t="n">
        <v>5.542630332855913</v>
      </c>
      <c r="L88" t="n">
        <v>4.476417270751631</v>
      </c>
      <c r="M88" t="n">
        <v>1.066213062104282</v>
      </c>
      <c r="N88" t="inlineStr"/>
      <c r="O88" t="inlineStr">
        <is>
          <t>Mexico||5Y</t>
        </is>
      </c>
      <c r="P88" t="inlineStr">
        <is>
          <t>Mexico|5Y</t>
        </is>
      </c>
      <c r="Q88" t="inlineStr"/>
    </row>
    <row r="89">
      <c r="A89" t="inlineStr">
        <is>
          <t>Mexico</t>
        </is>
      </c>
      <c r="B89" t="inlineStr">
        <is>
          <t>MEX</t>
        </is>
      </c>
      <c r="C89" t="inlineStr"/>
      <c r="D89" s="2" t="n">
        <v>46022</v>
      </c>
      <c r="E89" t="inlineStr">
        <is>
          <t>10Y</t>
        </is>
      </c>
      <c r="F89" t="inlineStr"/>
      <c r="G89" t="n">
        <v>1.173082287112415</v>
      </c>
      <c r="H89" t="n">
        <v>6.497216116328164</v>
      </c>
      <c r="I89" t="n">
        <v>4.380318769606451</v>
      </c>
      <c r="J89" t="n">
        <v>-1.987749038090125</v>
      </c>
      <c r="K89" t="n">
        <v>4.845087747789112</v>
      </c>
      <c r="L89" t="n">
        <v>3.119152472830278</v>
      </c>
      <c r="M89" t="n">
        <v>1.725935274958834</v>
      </c>
      <c r="N89" t="inlineStr"/>
      <c r="O89" t="inlineStr">
        <is>
          <t>Mexico||10Y</t>
        </is>
      </c>
      <c r="P89" t="inlineStr">
        <is>
          <t>Mexico|10Y</t>
        </is>
      </c>
      <c r="Q89" t="inlineStr"/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s="2" t="n">
        <v>46022</v>
      </c>
      <c r="E90" t="inlineStr">
        <is>
          <t>1Y</t>
        </is>
      </c>
      <c r="F90" t="n">
        <v>51.79014314508883</v>
      </c>
      <c r="G90" t="n">
        <v>0.990000000000002</v>
      </c>
      <c r="H90" t="n">
        <v>6.194170999999993</v>
      </c>
      <c r="I90" t="n">
        <v>0.3433589999999986</v>
      </c>
      <c r="J90" t="n">
        <v>-5.509541994452317</v>
      </c>
      <c r="K90" t="n">
        <v>3.916000000000008</v>
      </c>
      <c r="L90" t="n">
        <v>2.715000000000001</v>
      </c>
      <c r="M90" t="n">
        <v>1.201000000000008</v>
      </c>
      <c r="N90" t="n">
        <v>-51.44678414508883</v>
      </c>
      <c r="O90" t="inlineStr">
        <is>
          <t>Mexico|XMEX.L|1Y</t>
        </is>
      </c>
      <c r="P90" t="inlineStr">
        <is>
          <t>Mexico|1Y</t>
        </is>
      </c>
      <c r="Q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s="2" t="n">
        <v>46022</v>
      </c>
      <c r="E91" t="inlineStr">
        <is>
          <t>3Y</t>
        </is>
      </c>
      <c r="F91" t="n">
        <v>15.56375051222438</v>
      </c>
      <c r="G91" t="n">
        <v>1.918513449306825</v>
      </c>
      <c r="H91" t="n">
        <v>6.916414971568341</v>
      </c>
      <c r="I91" t="n">
        <v>8.288030696523553</v>
      </c>
      <c r="J91" t="n">
        <v>1.282885908921338</v>
      </c>
      <c r="K91" t="n">
        <v>4.719603905541292</v>
      </c>
      <c r="L91" t="n">
        <v>3.263156230678832</v>
      </c>
      <c r="M91" t="n">
        <v>1.45644767486246</v>
      </c>
      <c r="N91" t="n">
        <v>-7.275719815700832</v>
      </c>
      <c r="O91" t="inlineStr">
        <is>
          <t>Mexico|XMEX.L|3Y</t>
        </is>
      </c>
      <c r="P91" t="inlineStr">
        <is>
          <t>Mexico|3Y</t>
        </is>
      </c>
      <c r="Q91" t="inlineStr">
        <is>
          <t>GBp</t>
        </is>
      </c>
    </row>
    <row r="92">
      <c r="A92" t="inlineStr">
        <is>
          <t>Mexico</t>
        </is>
      </c>
      <c r="B92" t="inlineStr">
        <is>
          <t>MEX</t>
        </is>
      </c>
      <c r="C92" t="inlineStr">
        <is>
          <t>XMEX.L</t>
        </is>
      </c>
      <c r="D92" s="2" t="n">
        <v>46022</v>
      </c>
      <c r="E92" t="inlineStr">
        <is>
          <t>5Y</t>
        </is>
      </c>
      <c r="F92" t="n">
        <v>12.65706447900565</v>
      </c>
      <c r="G92" t="n">
        <v>3.089983868865098</v>
      </c>
      <c r="H92" t="n">
        <v>8.420259177260391</v>
      </c>
      <c r="I92" t="n">
        <v>10.68895551720954</v>
      </c>
      <c r="J92" t="n">
        <v>2.092501933658664</v>
      </c>
      <c r="K92" t="n">
        <v>5.542630332855913</v>
      </c>
      <c r="L92" t="n">
        <v>4.476417270751631</v>
      </c>
      <c r="M92" t="n">
        <v>1.066213062104282</v>
      </c>
      <c r="N92" t="n">
        <v>-1.96810896179611</v>
      </c>
      <c r="O92" t="inlineStr">
        <is>
          <t>Mexico|XMEX.L|5Y</t>
        </is>
      </c>
      <c r="P92" t="inlineStr">
        <is>
          <t>Mexico|5Y</t>
        </is>
      </c>
      <c r="Q92" t="inlineStr">
        <is>
          <t>GBp</t>
        </is>
      </c>
    </row>
    <row r="93">
      <c r="A93" t="inlineStr">
        <is>
          <t>Mexico</t>
        </is>
      </c>
      <c r="B93" t="inlineStr">
        <is>
          <t>MEX</t>
        </is>
      </c>
      <c r="C93" t="inlineStr">
        <is>
          <t>XMEX.L</t>
        </is>
      </c>
      <c r="D93" s="2" t="n">
        <v>46022</v>
      </c>
      <c r="E93" t="inlineStr">
        <is>
          <t>10Y</t>
        </is>
      </c>
      <c r="F93" t="n">
        <v>5.904962493780075</v>
      </c>
      <c r="G93" t="n">
        <v>1.173082287112415</v>
      </c>
      <c r="H93" t="n">
        <v>6.497216116328164</v>
      </c>
      <c r="I93" t="n">
        <v>4.380318769606451</v>
      </c>
      <c r="J93" t="n">
        <v>-1.987749038090125</v>
      </c>
      <c r="K93" t="n">
        <v>4.845087747789112</v>
      </c>
      <c r="L93" t="n">
        <v>3.119152472830278</v>
      </c>
      <c r="M93" t="n">
        <v>1.725935274958834</v>
      </c>
      <c r="N93" t="n">
        <v>-1.524643724173624</v>
      </c>
      <c r="O93" t="inlineStr">
        <is>
          <t>Mexico|XMEX.L|10Y</t>
        </is>
      </c>
      <c r="P93" t="inlineStr">
        <is>
          <t>Mexico|10Y</t>
        </is>
      </c>
      <c r="Q93" t="inlineStr">
        <is>
          <t>GBp</t>
        </is>
      </c>
    </row>
    <row r="94">
      <c r="A94" t="inlineStr">
        <is>
          <t>Pakistan</t>
        </is>
      </c>
      <c r="B94" t="inlineStr">
        <is>
          <t>PAK</t>
        </is>
      </c>
      <c r="C94" t="inlineStr"/>
      <c r="D94" s="2" t="n">
        <v>46022</v>
      </c>
      <c r="E94" t="inlineStr">
        <is>
          <t>1Y</t>
        </is>
      </c>
      <c r="F94" t="inlineStr"/>
      <c r="G94" t="n">
        <v>2.675999999999989</v>
      </c>
      <c r="H94" t="n">
        <v>9.082017999999991</v>
      </c>
      <c r="I94" t="n">
        <v>10.52400600000001</v>
      </c>
      <c r="J94" t="n">
        <v>1.321929806024724</v>
      </c>
      <c r="K94" t="n">
        <v>4.495000000000005</v>
      </c>
      <c r="L94" t="n">
        <v>2.715000000000001</v>
      </c>
      <c r="M94" t="n">
        <v>1.780000000000004</v>
      </c>
      <c r="N94" t="inlineStr"/>
      <c r="O94" t="inlineStr">
        <is>
          <t>Pakistan||1Y</t>
        </is>
      </c>
      <c r="P94" t="inlineStr">
        <is>
          <t>Pakistan|1Y</t>
        </is>
      </c>
      <c r="Q94" t="inlineStr"/>
    </row>
    <row r="95">
      <c r="A95" t="inlineStr">
        <is>
          <t>Pakistan</t>
        </is>
      </c>
      <c r="B95" t="inlineStr">
        <is>
          <t>PAK</t>
        </is>
      </c>
      <c r="C95" t="inlineStr"/>
      <c r="D95" s="2" t="n">
        <v>46022</v>
      </c>
      <c r="E95" t="inlineStr">
        <is>
          <t>3Y</t>
        </is>
      </c>
      <c r="F95" t="inlineStr"/>
      <c r="G95" t="n">
        <v>1.649324688558096</v>
      </c>
      <c r="H95" t="n">
        <v>19.82855796166916</v>
      </c>
      <c r="I95" t="n">
        <v>3.074234820321298</v>
      </c>
      <c r="J95" t="n">
        <v>-13.98191181376186</v>
      </c>
      <c r="K95" t="n">
        <v>18.54484540197672</v>
      </c>
      <c r="L95" t="n">
        <v>3.263156230678832</v>
      </c>
      <c r="M95" t="n">
        <v>15.28168917129788</v>
      </c>
      <c r="N95" t="inlineStr"/>
      <c r="O95" t="inlineStr">
        <is>
          <t>Pakistan||3Y</t>
        </is>
      </c>
      <c r="P95" t="inlineStr">
        <is>
          <t>Pakistan|3Y</t>
        </is>
      </c>
      <c r="Q95" t="inlineStr"/>
    </row>
    <row r="96">
      <c r="A96" t="inlineStr">
        <is>
          <t>Pakistan</t>
        </is>
      </c>
      <c r="B96" t="inlineStr">
        <is>
          <t>PAK</t>
        </is>
      </c>
      <c r="C96" t="inlineStr"/>
      <c r="D96" s="2" t="n">
        <v>46022</v>
      </c>
      <c r="E96" t="inlineStr">
        <is>
          <t>5Y</t>
        </is>
      </c>
      <c r="F96" t="inlineStr"/>
      <c r="G96" t="n">
        <v>3.357915911123643</v>
      </c>
      <c r="H96" t="n">
        <v>19.25975167337741</v>
      </c>
      <c r="I96" t="n">
        <v>6.443390111721992</v>
      </c>
      <c r="J96" t="n">
        <v>-10.74659436916681</v>
      </c>
      <c r="K96" t="n">
        <v>15.26412804989936</v>
      </c>
      <c r="L96" t="n">
        <v>4.476417270751631</v>
      </c>
      <c r="M96" t="n">
        <v>10.78771077914773</v>
      </c>
      <c r="N96" t="inlineStr"/>
      <c r="O96" t="inlineStr">
        <is>
          <t>Pakistan||5Y</t>
        </is>
      </c>
      <c r="P96" t="inlineStr">
        <is>
          <t>Pakistan|5Y</t>
        </is>
      </c>
      <c r="Q96" t="inlineStr"/>
    </row>
    <row r="97">
      <c r="A97" t="inlineStr">
        <is>
          <t>Pakistan</t>
        </is>
      </c>
      <c r="B97" t="inlineStr">
        <is>
          <t>PAK</t>
        </is>
      </c>
      <c r="C97" t="inlineStr"/>
      <c r="D97" s="2" t="n">
        <v>46022</v>
      </c>
      <c r="E97" t="inlineStr">
        <is>
          <t>10Y</t>
        </is>
      </c>
      <c r="F97" t="inlineStr"/>
      <c r="G97" t="n">
        <v>3.360565219461842</v>
      </c>
      <c r="H97" t="n">
        <v>14.19022457351622</v>
      </c>
      <c r="I97" t="n">
        <v>3.187905469920072</v>
      </c>
      <c r="J97" t="n">
        <v>-9.6350797975423</v>
      </c>
      <c r="K97" t="n">
        <v>10.50498218210567</v>
      </c>
      <c r="L97" t="n">
        <v>3.119152472830278</v>
      </c>
      <c r="M97" t="n">
        <v>7.385829709275393</v>
      </c>
      <c r="N97" t="inlineStr"/>
      <c r="O97" t="inlineStr">
        <is>
          <t>Pakistan||10Y</t>
        </is>
      </c>
      <c r="P97" t="inlineStr">
        <is>
          <t>Pakistan|10Y</t>
        </is>
      </c>
      <c r="Q97" t="inlineStr"/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s="2" t="n">
        <v>46022</v>
      </c>
      <c r="E98" t="inlineStr">
        <is>
          <t>1Y</t>
        </is>
      </c>
      <c r="F98" t="n">
        <v>34.99065889359694</v>
      </c>
      <c r="G98" t="n">
        <v>2.675999999999989</v>
      </c>
      <c r="H98" t="n">
        <v>9.082017999999991</v>
      </c>
      <c r="I98" t="n">
        <v>10.52400600000001</v>
      </c>
      <c r="J98" t="n">
        <v>1.321929806024724</v>
      </c>
      <c r="K98" t="n">
        <v>4.495000000000005</v>
      </c>
      <c r="L98" t="n">
        <v>2.715000000000001</v>
      </c>
      <c r="M98" t="n">
        <v>1.780000000000004</v>
      </c>
      <c r="N98" t="n">
        <v>-24.46665289359693</v>
      </c>
      <c r="O98" t="inlineStr">
        <is>
          <t>Pakistan|XBAK.L|1Y</t>
        </is>
      </c>
      <c r="P98" t="inlineStr">
        <is>
          <t>Pakistan|1Y</t>
        </is>
      </c>
      <c r="Q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s="2" t="n">
        <v>46022</v>
      </c>
      <c r="E99" t="inlineStr">
        <is>
          <t>3Y</t>
        </is>
      </c>
      <c r="F99" t="n">
        <v>38.47228569219119</v>
      </c>
      <c r="G99" t="n">
        <v>1.649324688558096</v>
      </c>
      <c r="H99" t="n">
        <v>19.82855796166916</v>
      </c>
      <c r="I99" t="n">
        <v>3.074234820321298</v>
      </c>
      <c r="J99" t="n">
        <v>-13.98191181376186</v>
      </c>
      <c r="K99" t="n">
        <v>18.54484540197672</v>
      </c>
      <c r="L99" t="n">
        <v>3.263156230678832</v>
      </c>
      <c r="M99" t="n">
        <v>15.28168917129788</v>
      </c>
      <c r="N99" t="n">
        <v>-35.39805087186988</v>
      </c>
      <c r="O99" t="inlineStr">
        <is>
          <t>Pakistan|XBAK.L|3Y</t>
        </is>
      </c>
      <c r="P99" t="inlineStr">
        <is>
          <t>Pakistan|3Y</t>
        </is>
      </c>
      <c r="Q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s="2" t="n">
        <v>46022</v>
      </c>
      <c r="E100" t="inlineStr">
        <is>
          <t>5Y</t>
        </is>
      </c>
      <c r="F100" t="n">
        <v>9.251624829567318</v>
      </c>
      <c r="G100" t="n">
        <v>3.357915911123643</v>
      </c>
      <c r="H100" t="n">
        <v>19.25975167337741</v>
      </c>
      <c r="I100" t="n">
        <v>6.443390111721992</v>
      </c>
      <c r="J100" t="n">
        <v>-10.74659436916681</v>
      </c>
      <c r="K100" t="n">
        <v>15.26412804989936</v>
      </c>
      <c r="L100" t="n">
        <v>4.476417270751631</v>
      </c>
      <c r="M100" t="n">
        <v>10.78771077914773</v>
      </c>
      <c r="N100" t="n">
        <v>-2.808234717845326</v>
      </c>
      <c r="O100" t="inlineStr">
        <is>
          <t>Pakistan|XBAK.L|5Y</t>
        </is>
      </c>
      <c r="P100" t="inlineStr">
        <is>
          <t>Pakistan|5Y</t>
        </is>
      </c>
      <c r="Q100" t="inlineStr">
        <is>
          <t>USD</t>
        </is>
      </c>
    </row>
    <row r="101">
      <c r="A101" t="inlineStr">
        <is>
          <t>Pakistan</t>
        </is>
      </c>
      <c r="B101" t="inlineStr">
        <is>
          <t>PAK</t>
        </is>
      </c>
      <c r="C101" t="inlineStr">
        <is>
          <t>XBAK.L</t>
        </is>
      </c>
      <c r="D101" s="2" t="n">
        <v>46022</v>
      </c>
      <c r="E101" t="inlineStr">
        <is>
          <t>10Y</t>
        </is>
      </c>
      <c r="F101" t="n">
        <v>0.1423435164196407</v>
      </c>
      <c r="G101" t="n">
        <v>3.360565219461842</v>
      </c>
      <c r="H101" t="n">
        <v>14.19022457351622</v>
      </c>
      <c r="I101" t="n">
        <v>3.187905469920072</v>
      </c>
      <c r="J101" t="n">
        <v>-9.6350797975423</v>
      </c>
      <c r="K101" t="n">
        <v>10.50498218210567</v>
      </c>
      <c r="L101" t="n">
        <v>3.119152472830278</v>
      </c>
      <c r="M101" t="n">
        <v>7.385829709275393</v>
      </c>
      <c r="N101" t="n">
        <v>3.045561953500431</v>
      </c>
      <c r="O101" t="inlineStr">
        <is>
          <t>Pakistan|XBAK.L|10Y</t>
        </is>
      </c>
      <c r="P101" t="inlineStr">
        <is>
          <t>Pakistan|10Y</t>
        </is>
      </c>
      <c r="Q101" t="inlineStr">
        <is>
          <t>USD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/>
      <c r="D102" s="2" t="n">
        <v>46022</v>
      </c>
      <c r="E102" t="inlineStr">
        <is>
          <t>1Y</t>
        </is>
      </c>
      <c r="F102" t="inlineStr"/>
      <c r="G102" t="n">
        <v>5.43499999999999</v>
      </c>
      <c r="H102" t="n">
        <v>7.04919799999999</v>
      </c>
      <c r="I102" t="n">
        <v>7.049349999999999</v>
      </c>
      <c r="J102" t="n">
        <v>0.000142096061339636</v>
      </c>
      <c r="K102" t="n">
        <v>1.608000000000009</v>
      </c>
      <c r="L102" t="n">
        <v>2.715000000000001</v>
      </c>
      <c r="M102" t="n">
        <v>-1.106999999999991</v>
      </c>
      <c r="N102" t="inlineStr"/>
      <c r="O102" t="inlineStr">
        <is>
          <t>Philippines||1Y</t>
        </is>
      </c>
      <c r="P102" t="inlineStr">
        <is>
          <t>Philippines|1Y</t>
        </is>
      </c>
      <c r="Q102" t="inlineStr"/>
    </row>
    <row r="103">
      <c r="A103" t="inlineStr">
        <is>
          <t>Philippines</t>
        </is>
      </c>
      <c r="B103" t="inlineStr">
        <is>
          <t>PHL</t>
        </is>
      </c>
      <c r="C103" t="inlineStr"/>
      <c r="D103" s="2" t="n">
        <v>46022</v>
      </c>
      <c r="E103" t="inlineStr">
        <is>
          <t>3Y</t>
        </is>
      </c>
      <c r="F103" t="inlineStr"/>
      <c r="G103" t="n">
        <v>5.5486124491402</v>
      </c>
      <c r="H103" t="n">
        <v>8.723390614114468</v>
      </c>
      <c r="I103" t="n">
        <v>6.914117046183832</v>
      </c>
      <c r="J103" t="n">
        <v>-1.664107021612693</v>
      </c>
      <c r="K103" t="n">
        <v>3.583999256893966</v>
      </c>
      <c r="L103" t="n">
        <v>3.263156230678832</v>
      </c>
      <c r="M103" t="n">
        <v>0.3208430262151341</v>
      </c>
      <c r="N103" t="inlineStr"/>
      <c r="O103" t="inlineStr">
        <is>
          <t>Philippines||3Y</t>
        </is>
      </c>
      <c r="P103" t="inlineStr">
        <is>
          <t>Philippines|3Y</t>
        </is>
      </c>
      <c r="Q103" t="inlineStr"/>
    </row>
    <row r="104">
      <c r="A104" t="inlineStr">
        <is>
          <t>Philippines</t>
        </is>
      </c>
      <c r="B104" t="inlineStr">
        <is>
          <t>PHL</t>
        </is>
      </c>
      <c r="C104" t="inlineStr"/>
      <c r="D104" s="2" t="n">
        <v>46022</v>
      </c>
      <c r="E104" t="inlineStr">
        <is>
          <t>5Y</t>
        </is>
      </c>
      <c r="F104" t="inlineStr"/>
      <c r="G104" t="n">
        <v>5.98537852939689</v>
      </c>
      <c r="H104" t="n">
        <v>9.539154091663882</v>
      </c>
      <c r="I104" t="n">
        <v>6.43665521117589</v>
      </c>
      <c r="J104" t="n">
        <v>-2.832319642658998</v>
      </c>
      <c r="K104" t="n">
        <v>4.096386765177096</v>
      </c>
      <c r="L104" t="n">
        <v>4.476417270751631</v>
      </c>
      <c r="M104" t="n">
        <v>-0.3800305055745357</v>
      </c>
      <c r="N104" t="inlineStr"/>
      <c r="O104" t="inlineStr">
        <is>
          <t>Philippines||5Y</t>
        </is>
      </c>
      <c r="P104" t="inlineStr">
        <is>
          <t>Philippines|5Y</t>
        </is>
      </c>
      <c r="Q104" t="inlineStr"/>
    </row>
    <row r="105">
      <c r="A105" t="inlineStr">
        <is>
          <t>Philippines</t>
        </is>
      </c>
      <c r="B105" t="inlineStr">
        <is>
          <t>PHL</t>
        </is>
      </c>
      <c r="C105" t="inlineStr"/>
      <c r="D105" s="2" t="n">
        <v>46022</v>
      </c>
      <c r="E105" t="inlineStr">
        <is>
          <t>10Y</t>
        </is>
      </c>
      <c r="F105" t="inlineStr"/>
      <c r="G105" t="n">
        <v>4.577380856389279</v>
      </c>
      <c r="H105" t="n">
        <v>7.338547585198718</v>
      </c>
      <c r="I105" t="n">
        <v>4.894130513115047</v>
      </c>
      <c r="J105" t="n">
        <v>-2.277296610669788</v>
      </c>
      <c r="K105" t="n">
        <v>3.460066762879266</v>
      </c>
      <c r="L105" t="n">
        <v>3.119152472830278</v>
      </c>
      <c r="M105" t="n">
        <v>0.3409142900489881</v>
      </c>
      <c r="N105" t="inlineStr"/>
      <c r="O105" t="inlineStr">
        <is>
          <t>Philippines||10Y</t>
        </is>
      </c>
      <c r="P105" t="inlineStr">
        <is>
          <t>Philippines|10Y</t>
        </is>
      </c>
      <c r="Q105" t="inlineStr"/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s="2" t="n">
        <v>46022</v>
      </c>
      <c r="E106" t="inlineStr">
        <is>
          <t>1Y</t>
        </is>
      </c>
      <c r="F106" t="n">
        <v>-0.8685311923225081</v>
      </c>
      <c r="G106" t="n">
        <v>5.43499999999999</v>
      </c>
      <c r="H106" t="n">
        <v>7.04919799999999</v>
      </c>
      <c r="I106" t="n">
        <v>7.049349999999999</v>
      </c>
      <c r="J106" t="n">
        <v>0.000142096061339636</v>
      </c>
      <c r="K106" t="n">
        <v>1.608000000000009</v>
      </c>
      <c r="L106" t="n">
        <v>2.715000000000001</v>
      </c>
      <c r="M106" t="n">
        <v>-1.106999999999991</v>
      </c>
      <c r="N106" t="n">
        <v>7.917881192322507</v>
      </c>
      <c r="O106" t="inlineStr">
        <is>
          <t>Philippines|XPHG.L|1Y</t>
        </is>
      </c>
      <c r="P106" t="inlineStr">
        <is>
          <t>Philippines|1Y</t>
        </is>
      </c>
      <c r="Q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s="2" t="n">
        <v>46022</v>
      </c>
      <c r="E107" t="inlineStr">
        <is>
          <t>3Y</t>
        </is>
      </c>
      <c r="F107" t="n">
        <v>-0.4816288963851667</v>
      </c>
      <c r="G107" t="n">
        <v>5.5486124491402</v>
      </c>
      <c r="H107" t="n">
        <v>8.723390614114468</v>
      </c>
      <c r="I107" t="n">
        <v>6.914117046183832</v>
      </c>
      <c r="J107" t="n">
        <v>-1.664107021612693</v>
      </c>
      <c r="K107" t="n">
        <v>3.583999256893966</v>
      </c>
      <c r="L107" t="n">
        <v>3.263156230678832</v>
      </c>
      <c r="M107" t="n">
        <v>0.3208430262151341</v>
      </c>
      <c r="N107" t="n">
        <v>7.395745942568999</v>
      </c>
      <c r="O107" t="inlineStr">
        <is>
          <t>Philippines|XPHG.L|3Y</t>
        </is>
      </c>
      <c r="P107" t="inlineStr">
        <is>
          <t>Philippines|3Y</t>
        </is>
      </c>
      <c r="Q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s="2" t="n">
        <v>46022</v>
      </c>
      <c r="E108" t="inlineStr">
        <is>
          <t>5Y</t>
        </is>
      </c>
      <c r="F108" t="n">
        <v>-4.09809922309603</v>
      </c>
      <c r="G108" t="n">
        <v>5.98537852939689</v>
      </c>
      <c r="H108" t="n">
        <v>9.539154091663882</v>
      </c>
      <c r="I108" t="n">
        <v>6.43665521117589</v>
      </c>
      <c r="J108" t="n">
        <v>-2.832319642658998</v>
      </c>
      <c r="K108" t="n">
        <v>4.096386765177096</v>
      </c>
      <c r="L108" t="n">
        <v>4.476417270751631</v>
      </c>
      <c r="M108" t="n">
        <v>-0.3800305055745357</v>
      </c>
      <c r="N108" t="n">
        <v>10.53475443427192</v>
      </c>
      <c r="O108" t="inlineStr">
        <is>
          <t>Philippines|XPHG.L|5Y</t>
        </is>
      </c>
      <c r="P108" t="inlineStr">
        <is>
          <t>Philippines|5Y</t>
        </is>
      </c>
      <c r="Q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s="2" t="n">
        <v>46022</v>
      </c>
      <c r="E109" t="inlineStr">
        <is>
          <t>10Y</t>
        </is>
      </c>
      <c r="F109" t="n">
        <v>-2.106436791246491</v>
      </c>
      <c r="G109" t="n">
        <v>4.577380856389279</v>
      </c>
      <c r="H109" t="n">
        <v>7.338547585198718</v>
      </c>
      <c r="I109" t="n">
        <v>4.894130513115047</v>
      </c>
      <c r="J109" t="n">
        <v>-2.277296610669788</v>
      </c>
      <c r="K109" t="n">
        <v>3.460066762879266</v>
      </c>
      <c r="L109" t="n">
        <v>3.119152472830278</v>
      </c>
      <c r="M109" t="n">
        <v>0.3409142900489881</v>
      </c>
      <c r="N109" t="n">
        <v>7.000567304361538</v>
      </c>
      <c r="O109" t="inlineStr">
        <is>
          <t>Philippines|XPHG.L|10Y</t>
        </is>
      </c>
      <c r="P109" t="inlineStr">
        <is>
          <t>Philippines|10Y</t>
        </is>
      </c>
      <c r="Q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/>
      <c r="D110" s="2" t="n">
        <v>46022</v>
      </c>
      <c r="E110" t="inlineStr">
        <is>
          <t>1Y</t>
        </is>
      </c>
      <c r="F110" t="inlineStr"/>
      <c r="G110" t="n">
        <v>3.242999999999996</v>
      </c>
      <c r="H110" t="n">
        <v>6.963458</v>
      </c>
      <c r="I110" t="n">
        <v>13.67509600000001</v>
      </c>
      <c r="J110" t="n">
        <v>6.274701424363371</v>
      </c>
      <c r="K110" t="n">
        <v>3.803000000000001</v>
      </c>
      <c r="L110" t="n">
        <v>2.715000000000001</v>
      </c>
      <c r="M110" t="n">
        <v>1.088</v>
      </c>
      <c r="N110" t="inlineStr"/>
      <c r="O110" t="inlineStr">
        <is>
          <t>Poland||1Y</t>
        </is>
      </c>
      <c r="P110" t="inlineStr">
        <is>
          <t>Poland|1Y</t>
        </is>
      </c>
      <c r="Q110" t="inlineStr"/>
    </row>
    <row r="111">
      <c r="A111" t="inlineStr">
        <is>
          <t>Poland</t>
        </is>
      </c>
      <c r="B111" t="inlineStr">
        <is>
          <t>POL</t>
        </is>
      </c>
      <c r="C111" t="inlineStr"/>
      <c r="D111" s="2" t="n">
        <v>46022</v>
      </c>
      <c r="E111" t="inlineStr">
        <is>
          <t>3Y</t>
        </is>
      </c>
      <c r="F111" t="inlineStr"/>
      <c r="G111" t="n">
        <v>2.129799151051381</v>
      </c>
      <c r="H111" t="n">
        <v>7.894685758453091</v>
      </c>
      <c r="I111" t="n">
        <v>14.3256449842778</v>
      </c>
      <c r="J111" t="n">
        <v>5.960403857299346</v>
      </c>
      <c r="K111" t="n">
        <v>6.27184519205366</v>
      </c>
      <c r="L111" t="n">
        <v>3.263156230678832</v>
      </c>
      <c r="M111" t="n">
        <v>3.008688961374828</v>
      </c>
      <c r="N111" t="inlineStr"/>
      <c r="O111" t="inlineStr">
        <is>
          <t>Poland||3Y</t>
        </is>
      </c>
      <c r="P111" t="inlineStr">
        <is>
          <t>Poland|3Y</t>
        </is>
      </c>
      <c r="Q111" t="inlineStr"/>
    </row>
    <row r="112">
      <c r="A112" t="inlineStr">
        <is>
          <t>Poland</t>
        </is>
      </c>
      <c r="B112" t="inlineStr">
        <is>
          <t>POL</t>
        </is>
      </c>
      <c r="C112" t="inlineStr"/>
      <c r="D112" s="2" t="n">
        <v>46022</v>
      </c>
      <c r="E112" t="inlineStr">
        <is>
          <t>5Y</t>
        </is>
      </c>
      <c r="F112" t="inlineStr"/>
      <c r="G112" t="n">
        <v>3.694927012118776</v>
      </c>
      <c r="H112" t="n">
        <v>10.5113249209076</v>
      </c>
      <c r="I112" t="n">
        <v>11.40132337014548</v>
      </c>
      <c r="J112" t="n">
        <v>0.8053460977281768</v>
      </c>
      <c r="K112" t="n">
        <v>7.581170644241508</v>
      </c>
      <c r="L112" t="n">
        <v>4.476417270751631</v>
      </c>
      <c r="M112" t="n">
        <v>3.104753373489877</v>
      </c>
      <c r="N112" t="inlineStr"/>
      <c r="O112" t="inlineStr">
        <is>
          <t>Poland||5Y</t>
        </is>
      </c>
      <c r="P112" t="inlineStr">
        <is>
          <t>Poland|5Y</t>
        </is>
      </c>
      <c r="Q112" t="inlineStr"/>
    </row>
    <row r="113">
      <c r="A113" t="inlineStr">
        <is>
          <t>Poland</t>
        </is>
      </c>
      <c r="B113" t="inlineStr">
        <is>
          <t>POL</t>
        </is>
      </c>
      <c r="C113" t="inlineStr"/>
      <c r="D113" s="2" t="n">
        <v>46022</v>
      </c>
      <c r="E113" t="inlineStr">
        <is>
          <t>10Y</t>
        </is>
      </c>
      <c r="F113" t="inlineStr"/>
      <c r="G113" t="n">
        <v>3.523867731974173</v>
      </c>
      <c r="H113" t="n">
        <v>7.966916383506151</v>
      </c>
      <c r="I113" t="n">
        <v>8.040807864819421</v>
      </c>
      <c r="J113" t="n">
        <v>0.06843917427599155</v>
      </c>
      <c r="K113" t="n">
        <v>4.621396462790495</v>
      </c>
      <c r="L113" t="n">
        <v>3.119152472830278</v>
      </c>
      <c r="M113" t="n">
        <v>1.502243989960217</v>
      </c>
      <c r="N113" t="inlineStr"/>
      <c r="O113" t="inlineStr">
        <is>
          <t>Poland||10Y</t>
        </is>
      </c>
      <c r="P113" t="inlineStr">
        <is>
          <t>Poland|10Y</t>
        </is>
      </c>
      <c r="Q113" t="inlineStr"/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s="2" t="n">
        <v>46022</v>
      </c>
      <c r="E114" t="inlineStr">
        <is>
          <t>1Y</t>
        </is>
      </c>
      <c r="F114" t="n">
        <v>74.00603656381143</v>
      </c>
      <c r="G114" t="n">
        <v>3.242999999999996</v>
      </c>
      <c r="H114" t="n">
        <v>6.963458</v>
      </c>
      <c r="I114" t="n">
        <v>13.67509600000001</v>
      </c>
      <c r="J114" t="n">
        <v>6.274701424363371</v>
      </c>
      <c r="K114" t="n">
        <v>3.803000000000001</v>
      </c>
      <c r="L114" t="n">
        <v>2.715000000000001</v>
      </c>
      <c r="M114" t="n">
        <v>1.088</v>
      </c>
      <c r="N114" t="n">
        <v>-60.33094056381142</v>
      </c>
      <c r="O114" t="inlineStr">
        <is>
          <t>Poland|IPOL.L|1Y</t>
        </is>
      </c>
      <c r="P114" t="inlineStr">
        <is>
          <t>Poland|1Y</t>
        </is>
      </c>
      <c r="Q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s="2" t="n">
        <v>46022</v>
      </c>
      <c r="E115" t="inlineStr">
        <is>
          <t>3Y</t>
        </is>
      </c>
      <c r="F115" t="n">
        <v>34.03398693830753</v>
      </c>
      <c r="G115" t="n">
        <v>2.129799151051381</v>
      </c>
      <c r="H115" t="n">
        <v>7.894685758453091</v>
      </c>
      <c r="I115" t="n">
        <v>14.3256449842778</v>
      </c>
      <c r="J115" t="n">
        <v>5.960403857299346</v>
      </c>
      <c r="K115" t="n">
        <v>6.27184519205366</v>
      </c>
      <c r="L115" t="n">
        <v>3.263156230678832</v>
      </c>
      <c r="M115" t="n">
        <v>3.008688961374828</v>
      </c>
      <c r="N115" t="n">
        <v>-19.70834195402973</v>
      </c>
      <c r="O115" t="inlineStr">
        <is>
          <t>Poland|IPOL.L|3Y</t>
        </is>
      </c>
      <c r="P115" t="inlineStr">
        <is>
          <t>Poland|3Y</t>
        </is>
      </c>
      <c r="Q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s="2" t="n">
        <v>46022</v>
      </c>
      <c r="E116" t="inlineStr">
        <is>
          <t>5Y</t>
        </is>
      </c>
      <c r="F116" t="n">
        <v>13.39536914262358</v>
      </c>
      <c r="G116" t="n">
        <v>3.694927012118776</v>
      </c>
      <c r="H116" t="n">
        <v>10.5113249209076</v>
      </c>
      <c r="I116" t="n">
        <v>11.40132337014548</v>
      </c>
      <c r="J116" t="n">
        <v>0.8053460977281768</v>
      </c>
      <c r="K116" t="n">
        <v>7.581170644241508</v>
      </c>
      <c r="L116" t="n">
        <v>4.476417270751631</v>
      </c>
      <c r="M116" t="n">
        <v>3.104753373489877</v>
      </c>
      <c r="N116" t="n">
        <v>-1.994045772478104</v>
      </c>
      <c r="O116" t="inlineStr">
        <is>
          <t>Poland|IPOL.L|5Y</t>
        </is>
      </c>
      <c r="P116" t="inlineStr">
        <is>
          <t>Poland|5Y</t>
        </is>
      </c>
      <c r="Q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s="2" t="n">
        <v>46022</v>
      </c>
      <c r="E117" t="inlineStr">
        <is>
          <t>10Y</t>
        </is>
      </c>
      <c r="F117" t="n">
        <v>8.188975465575288</v>
      </c>
      <c r="G117" t="n">
        <v>3.523867731974173</v>
      </c>
      <c r="H117" t="n">
        <v>7.966916383506151</v>
      </c>
      <c r="I117" t="n">
        <v>8.040807864819421</v>
      </c>
      <c r="J117" t="n">
        <v>0.06843917427599155</v>
      </c>
      <c r="K117" t="n">
        <v>4.621396462790495</v>
      </c>
      <c r="L117" t="n">
        <v>3.119152472830278</v>
      </c>
      <c r="M117" t="n">
        <v>1.502243989960217</v>
      </c>
      <c r="N117" t="n">
        <v>-0.1481676007558672</v>
      </c>
      <c r="O117" t="inlineStr">
        <is>
          <t>Poland|IPOL.L|10Y</t>
        </is>
      </c>
      <c r="P117" t="inlineStr">
        <is>
          <t>Poland|10Y</t>
        </is>
      </c>
      <c r="Q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SPOL.L</t>
        </is>
      </c>
      <c r="D118" s="2" t="n">
        <v>46022</v>
      </c>
      <c r="E118" t="inlineStr">
        <is>
          <t>1Y</t>
        </is>
      </c>
      <c r="F118" t="n">
        <v>72.13124049861612</v>
      </c>
      <c r="G118" t="n">
        <v>3.242999999999996</v>
      </c>
      <c r="H118" t="n">
        <v>6.963458</v>
      </c>
      <c r="I118" t="n">
        <v>13.67509600000001</v>
      </c>
      <c r="J118" t="n">
        <v>6.274701424363371</v>
      </c>
      <c r="K118" t="n">
        <v>3.803000000000001</v>
      </c>
      <c r="L118" t="n">
        <v>2.715000000000001</v>
      </c>
      <c r="M118" t="n">
        <v>1.088</v>
      </c>
      <c r="N118" t="n">
        <v>-58.45614449861611</v>
      </c>
      <c r="O118" t="inlineStr">
        <is>
          <t>Poland|SPOL.L|1Y</t>
        </is>
      </c>
      <c r="P118" t="inlineStr">
        <is>
          <t>Poland|1Y</t>
        </is>
      </c>
      <c r="Q118" t="inlineStr">
        <is>
          <t>GBp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s="2" t="n">
        <v>46022</v>
      </c>
      <c r="E119" t="inlineStr">
        <is>
          <t>3Y</t>
        </is>
      </c>
      <c r="F119" t="n">
        <v>33.71629776031089</v>
      </c>
      <c r="G119" t="n">
        <v>2.129799151051381</v>
      </c>
      <c r="H119" t="n">
        <v>7.894685758453091</v>
      </c>
      <c r="I119" t="n">
        <v>14.3256449842778</v>
      </c>
      <c r="J119" t="n">
        <v>5.960403857299346</v>
      </c>
      <c r="K119" t="n">
        <v>6.27184519205366</v>
      </c>
      <c r="L119" t="n">
        <v>3.263156230678832</v>
      </c>
      <c r="M119" t="n">
        <v>3.008688961374828</v>
      </c>
      <c r="N119" t="n">
        <v>-19.39065277603309</v>
      </c>
      <c r="O119" t="inlineStr">
        <is>
          <t>Poland|SPOL.L|3Y</t>
        </is>
      </c>
      <c r="P119" t="inlineStr">
        <is>
          <t>Poland|3Y</t>
        </is>
      </c>
      <c r="Q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s="2" t="n">
        <v>46022</v>
      </c>
      <c r="E120" t="inlineStr">
        <is>
          <t>5Y</t>
        </is>
      </c>
      <c r="F120" t="n">
        <v>13.20488786726455</v>
      </c>
      <c r="G120" t="n">
        <v>3.694927012118776</v>
      </c>
      <c r="H120" t="n">
        <v>10.5113249209076</v>
      </c>
      <c r="I120" t="n">
        <v>11.40132337014548</v>
      </c>
      <c r="J120" t="n">
        <v>0.8053460977281768</v>
      </c>
      <c r="K120" t="n">
        <v>7.581170644241508</v>
      </c>
      <c r="L120" t="n">
        <v>4.476417270751631</v>
      </c>
      <c r="M120" t="n">
        <v>3.104753373489877</v>
      </c>
      <c r="N120" t="n">
        <v>-1.803564497119071</v>
      </c>
      <c r="O120" t="inlineStr">
        <is>
          <t>Poland|SPOL.L|5Y</t>
        </is>
      </c>
      <c r="P120" t="inlineStr">
        <is>
          <t>Poland|5Y</t>
        </is>
      </c>
      <c r="Q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s="2" t="n">
        <v>46022</v>
      </c>
      <c r="E121" t="inlineStr">
        <is>
          <t>10Y</t>
        </is>
      </c>
      <c r="F121" t="n">
        <v>7.804696961693369</v>
      </c>
      <c r="G121" t="n">
        <v>3.523867731974173</v>
      </c>
      <c r="H121" t="n">
        <v>7.966916383506151</v>
      </c>
      <c r="I121" t="n">
        <v>8.040807864819421</v>
      </c>
      <c r="J121" t="n">
        <v>0.06843917427599155</v>
      </c>
      <c r="K121" t="n">
        <v>4.621396462790495</v>
      </c>
      <c r="L121" t="n">
        <v>3.119152472830278</v>
      </c>
      <c r="M121" t="n">
        <v>1.502243989960217</v>
      </c>
      <c r="N121" t="n">
        <v>0.2361109031260513</v>
      </c>
      <c r="O121" t="inlineStr">
        <is>
          <t>Poland|SPOL.L|10Y</t>
        </is>
      </c>
      <c r="P121" t="inlineStr">
        <is>
          <t>Poland|10Y</t>
        </is>
      </c>
      <c r="Q121" t="inlineStr">
        <is>
          <t>GBp</t>
        </is>
      </c>
    </row>
    <row r="122">
      <c r="A122" t="inlineStr">
        <is>
          <t>Saudi Arabia</t>
        </is>
      </c>
      <c r="B122" t="inlineStr">
        <is>
          <t>SAU</t>
        </is>
      </c>
      <c r="C122" t="inlineStr"/>
      <c r="D122" s="2" t="n">
        <v>46022</v>
      </c>
      <c r="E122" t="inlineStr">
        <is>
          <t>1Y</t>
        </is>
      </c>
      <c r="F122" t="inlineStr"/>
      <c r="G122" t="n">
        <v>4.021000000000008</v>
      </c>
      <c r="H122" t="n">
        <v>2.317311000000011</v>
      </c>
      <c r="I122" t="n">
        <v>2.317299999999989</v>
      </c>
      <c r="J122" t="n">
        <v>-1.087616346984177e-05</v>
      </c>
      <c r="K122" t="n">
        <v>2.099999999999991</v>
      </c>
      <c r="L122" t="n">
        <v>2.715000000000001</v>
      </c>
      <c r="M122" t="n">
        <v>-0.61500000000001</v>
      </c>
      <c r="N122" t="inlineStr"/>
      <c r="O122" t="inlineStr">
        <is>
          <t>Saudi Arabia||1Y</t>
        </is>
      </c>
      <c r="P122" t="inlineStr">
        <is>
          <t>Saudi Arabia|1Y</t>
        </is>
      </c>
      <c r="Q122" t="inlineStr"/>
    </row>
    <row r="123">
      <c r="A123" t="inlineStr">
        <is>
          <t>Saudi Arabia</t>
        </is>
      </c>
      <c r="B123" t="inlineStr">
        <is>
          <t>SAU</t>
        </is>
      </c>
      <c r="C123" t="inlineStr"/>
      <c r="D123" s="2" t="n">
        <v>46022</v>
      </c>
      <c r="E123" t="inlineStr">
        <is>
          <t>3Y</t>
        </is>
      </c>
      <c r="F123" t="inlineStr"/>
      <c r="G123" t="n">
        <v>2.177064339348544</v>
      </c>
      <c r="H123" t="n">
        <v>0.7863129775983468</v>
      </c>
      <c r="I123" t="n">
        <v>0.7863273913572888</v>
      </c>
      <c r="J123" t="n">
        <v>1.430596863194467e-05</v>
      </c>
      <c r="K123" t="n">
        <v>2.037990345228513</v>
      </c>
      <c r="L123" t="n">
        <v>3.263156230678832</v>
      </c>
      <c r="M123" t="n">
        <v>-1.225165885450319</v>
      </c>
      <c r="N123" t="inlineStr"/>
      <c r="O123" t="inlineStr">
        <is>
          <t>Saudi Arabia||3Y</t>
        </is>
      </c>
      <c r="P123" t="inlineStr">
        <is>
          <t>Saudi Arabia|3Y</t>
        </is>
      </c>
      <c r="Q123" t="inlineStr"/>
    </row>
    <row r="124">
      <c r="A124" t="inlineStr">
        <is>
          <t>Saudi Arabia</t>
        </is>
      </c>
      <c r="B124" t="inlineStr">
        <is>
          <t>SAU</t>
        </is>
      </c>
      <c r="C124" t="inlineStr"/>
      <c r="D124" s="2" t="n">
        <v>46022</v>
      </c>
      <c r="E124" t="inlineStr">
        <is>
          <t>5Y</t>
        </is>
      </c>
      <c r="F124" t="inlineStr"/>
      <c r="G124" t="n">
        <v>4.94038762998803</v>
      </c>
      <c r="H124" t="n">
        <v>10.57758849202786</v>
      </c>
      <c r="I124" t="n">
        <v>10.57758768652199</v>
      </c>
      <c r="J124" t="n">
        <v>-6.866069601763058e-07</v>
      </c>
      <c r="K124" t="n">
        <v>2.32940094189702</v>
      </c>
      <c r="L124" t="n">
        <v>4.476417270751631</v>
      </c>
      <c r="M124" t="n">
        <v>-2.147016328854612</v>
      </c>
      <c r="N124" t="inlineStr"/>
      <c r="O124" t="inlineStr">
        <is>
          <t>Saudi Arabia||5Y</t>
        </is>
      </c>
      <c r="P124" t="inlineStr">
        <is>
          <t>Saudi Arabia|5Y</t>
        </is>
      </c>
      <c r="Q124" t="inlineStr"/>
    </row>
    <row r="125">
      <c r="A125" t="inlineStr">
        <is>
          <t>Saudi Arabia</t>
        </is>
      </c>
      <c r="B125" t="inlineStr">
        <is>
          <t>SAU</t>
        </is>
      </c>
      <c r="C125" t="inlineStr"/>
      <c r="D125" s="2" t="n">
        <v>46022</v>
      </c>
      <c r="E125" t="inlineStr">
        <is>
          <t>10Y</t>
        </is>
      </c>
      <c r="F125" t="inlineStr"/>
      <c r="G125" t="n">
        <v>2.830425925653413</v>
      </c>
      <c r="H125" t="n">
        <v>6.226023496121247</v>
      </c>
      <c r="I125" t="n">
        <v>6.226023085343857</v>
      </c>
      <c r="J125" t="n">
        <v>-4.35884628391392e-07</v>
      </c>
      <c r="K125" t="n">
        <v>1.655537665134199</v>
      </c>
      <c r="L125" t="n">
        <v>3.119152472830278</v>
      </c>
      <c r="M125" t="n">
        <v>-1.463614807696079</v>
      </c>
      <c r="N125" t="inlineStr"/>
      <c r="O125" t="inlineStr">
        <is>
          <t>Saudi Arabia||10Y</t>
        </is>
      </c>
      <c r="P125" t="inlineStr">
        <is>
          <t>Saudi Arabia|10Y</t>
        </is>
      </c>
      <c r="Q125" t="inlineStr"/>
    </row>
    <row r="126">
      <c r="A126" t="inlineStr">
        <is>
          <t>Saudi Arabia</t>
        </is>
      </c>
      <c r="B126" t="inlineStr">
        <is>
          <t>SAU</t>
        </is>
      </c>
      <c r="C126" t="inlineStr">
        <is>
          <t>IKSA.L</t>
        </is>
      </c>
      <c r="D126" s="2" t="n">
        <v>46022</v>
      </c>
      <c r="E126" t="inlineStr">
        <is>
          <t>1Y</t>
        </is>
      </c>
      <c r="F126" t="n">
        <v>-6.082555514391419</v>
      </c>
      <c r="G126" t="n">
        <v>4.021000000000008</v>
      </c>
      <c r="H126" t="n">
        <v>2.317311000000011</v>
      </c>
      <c r="I126" t="n">
        <v>2.317299999999989</v>
      </c>
      <c r="J126" t="n">
        <v>-1.087616346984177e-05</v>
      </c>
      <c r="K126" t="n">
        <v>2.099999999999991</v>
      </c>
      <c r="L126" t="n">
        <v>2.715000000000001</v>
      </c>
      <c r="M126" t="n">
        <v>-0.61500000000001</v>
      </c>
      <c r="N126" t="n">
        <v>8.399855514391408</v>
      </c>
      <c r="O126" t="inlineStr">
        <is>
          <t>Saudi Arabia|IKSA.L|1Y</t>
        </is>
      </c>
      <c r="P126" t="inlineStr">
        <is>
          <t>Saudi Arabia|1Y</t>
        </is>
      </c>
      <c r="Q126" t="inlineStr">
        <is>
          <t>USD</t>
        </is>
      </c>
    </row>
    <row r="127">
      <c r="A127" t="inlineStr">
        <is>
          <t>Saudi Arabia</t>
        </is>
      </c>
      <c r="B127" t="inlineStr">
        <is>
          <t>SAU</t>
        </is>
      </c>
      <c r="C127" t="inlineStr">
        <is>
          <t>IKSA.L</t>
        </is>
      </c>
      <c r="D127" s="2" t="n">
        <v>46022</v>
      </c>
      <c r="E127" t="inlineStr">
        <is>
          <t>3Y</t>
        </is>
      </c>
      <c r="F127" t="n">
        <v>0.8890605203422997</v>
      </c>
      <c r="G127" t="n">
        <v>2.177064339348544</v>
      </c>
      <c r="H127" t="n">
        <v>0.7863129775983468</v>
      </c>
      <c r="I127" t="n">
        <v>0.7863273913572888</v>
      </c>
      <c r="J127" t="n">
        <v>1.430596863194467e-05</v>
      </c>
      <c r="K127" t="n">
        <v>2.037990345228513</v>
      </c>
      <c r="L127" t="n">
        <v>3.263156230678832</v>
      </c>
      <c r="M127" t="n">
        <v>-1.225165885450319</v>
      </c>
      <c r="N127" t="n">
        <v>-0.1027331289850109</v>
      </c>
      <c r="O127" t="inlineStr">
        <is>
          <t>Saudi Arabia|IKSA.L|3Y</t>
        </is>
      </c>
      <c r="P127" t="inlineStr">
        <is>
          <t>Saudi Arabia|3Y</t>
        </is>
      </c>
      <c r="Q127" t="inlineStr">
        <is>
          <t>USD</t>
        </is>
      </c>
    </row>
    <row r="128">
      <c r="A128" t="inlineStr">
        <is>
          <t>Saudi Arabia</t>
        </is>
      </c>
      <c r="B128" t="inlineStr">
        <is>
          <t>SAU</t>
        </is>
      </c>
      <c r="C128" t="inlineStr">
        <is>
          <t>IKSA.L</t>
        </is>
      </c>
      <c r="D128" s="2" t="n">
        <v>46022</v>
      </c>
      <c r="E128" t="inlineStr">
        <is>
          <t>5Y</t>
        </is>
      </c>
      <c r="F128" t="n">
        <v>6.113729096202603</v>
      </c>
      <c r="G128" t="n">
        <v>4.94038762998803</v>
      </c>
      <c r="H128" t="n">
        <v>10.57758849202786</v>
      </c>
      <c r="I128" t="n">
        <v>10.57758768652199</v>
      </c>
      <c r="J128" t="n">
        <v>-6.866069601763058e-07</v>
      </c>
      <c r="K128" t="n">
        <v>2.32940094189702</v>
      </c>
      <c r="L128" t="n">
        <v>4.476417270751631</v>
      </c>
      <c r="M128" t="n">
        <v>-2.147016328854612</v>
      </c>
      <c r="N128" t="n">
        <v>4.463858590319392</v>
      </c>
      <c r="O128" t="inlineStr">
        <is>
          <t>Saudi Arabia|IKSA.L|5Y</t>
        </is>
      </c>
      <c r="P128" t="inlineStr">
        <is>
          <t>Saudi Arabia|5Y</t>
        </is>
      </c>
      <c r="Q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/>
      <c r="D129" s="2" t="n">
        <v>46022</v>
      </c>
      <c r="E129" t="inlineStr">
        <is>
          <t>1Y</t>
        </is>
      </c>
      <c r="F129" t="inlineStr"/>
      <c r="G129" t="n">
        <v>1.149</v>
      </c>
      <c r="H129" t="n">
        <v>4.70545200000001</v>
      </c>
      <c r="I129" t="n">
        <v>6.309776999999994</v>
      </c>
      <c r="J129" t="n">
        <v>1.532226590883012</v>
      </c>
      <c r="K129" t="n">
        <v>3.359000000000001</v>
      </c>
      <c r="L129" t="n">
        <v>2.715000000000001</v>
      </c>
      <c r="M129" t="n">
        <v>0.6440000000000001</v>
      </c>
      <c r="N129" t="inlineStr"/>
      <c r="O129" t="inlineStr">
        <is>
          <t>South Africa||1Y</t>
        </is>
      </c>
      <c r="P129" t="inlineStr">
        <is>
          <t>South Africa|1Y</t>
        </is>
      </c>
      <c r="Q129" t="inlineStr"/>
    </row>
    <row r="130">
      <c r="A130" t="inlineStr">
        <is>
          <t>South Africa</t>
        </is>
      </c>
      <c r="B130" t="inlineStr">
        <is>
          <t>ZAF</t>
        </is>
      </c>
      <c r="C130" t="inlineStr"/>
      <c r="D130" s="2" t="n">
        <v>46022</v>
      </c>
      <c r="E130" t="inlineStr">
        <is>
          <t>3Y</t>
        </is>
      </c>
      <c r="F130" t="inlineStr"/>
      <c r="G130" t="n">
        <v>0.829687067689866</v>
      </c>
      <c r="H130" t="n">
        <v>4.913829447217033</v>
      </c>
      <c r="I130" t="n">
        <v>1.527172730413695</v>
      </c>
      <c r="J130" t="n">
        <v>-3.228036281880897</v>
      </c>
      <c r="K130" t="n">
        <v>4.557470533314567</v>
      </c>
      <c r="L130" t="n">
        <v>3.263156230678832</v>
      </c>
      <c r="M130" t="n">
        <v>1.294314302635735</v>
      </c>
      <c r="N130" t="inlineStr"/>
      <c r="O130" t="inlineStr">
        <is>
          <t>South Africa||3Y</t>
        </is>
      </c>
      <c r="P130" t="inlineStr">
        <is>
          <t>South Africa|3Y</t>
        </is>
      </c>
      <c r="Q130" t="inlineStr"/>
    </row>
    <row r="131">
      <c r="A131" t="inlineStr">
        <is>
          <t>South Africa</t>
        </is>
      </c>
      <c r="B131" t="inlineStr">
        <is>
          <t>ZAF</t>
        </is>
      </c>
      <c r="C131" t="inlineStr"/>
      <c r="D131" s="2" t="n">
        <v>46022</v>
      </c>
      <c r="E131" t="inlineStr">
        <is>
          <t>5Y</t>
        </is>
      </c>
      <c r="F131" t="inlineStr"/>
      <c r="G131" t="n">
        <v>1.869366313573084</v>
      </c>
      <c r="H131" t="n">
        <v>6.71419962014479</v>
      </c>
      <c r="I131" t="n">
        <v>4.763139999836619</v>
      </c>
      <c r="J131" t="n">
        <v>-1.828303311229729</v>
      </c>
      <c r="K131" t="n">
        <v>5.013860905021472</v>
      </c>
      <c r="L131" t="n">
        <v>4.476417270751631</v>
      </c>
      <c r="M131" t="n">
        <v>0.5374436342698408</v>
      </c>
      <c r="N131" t="inlineStr"/>
      <c r="O131" t="inlineStr">
        <is>
          <t>South Africa||5Y</t>
        </is>
      </c>
      <c r="P131" t="inlineStr">
        <is>
          <t>South Africa|5Y</t>
        </is>
      </c>
      <c r="Q131" t="inlineStr"/>
    </row>
    <row r="132">
      <c r="A132" t="inlineStr">
        <is>
          <t>South Africa</t>
        </is>
      </c>
      <c r="B132" t="inlineStr">
        <is>
          <t>ZAF</t>
        </is>
      </c>
      <c r="C132" t="inlineStr"/>
      <c r="D132" s="2" t="n">
        <v>46022</v>
      </c>
      <c r="E132" t="inlineStr">
        <is>
          <t>10Y</t>
        </is>
      </c>
      <c r="F132" t="inlineStr"/>
      <c r="G132" t="n">
        <v>0.6533111721663376</v>
      </c>
      <c r="H132" t="n">
        <v>5.703683055668485</v>
      </c>
      <c r="I132" t="n">
        <v>2.091418501604658</v>
      </c>
      <c r="J132" t="n">
        <v>-3.417349512146095</v>
      </c>
      <c r="K132" t="n">
        <v>4.865588149374522</v>
      </c>
      <c r="L132" t="n">
        <v>3.119152472830278</v>
      </c>
      <c r="M132" t="n">
        <v>1.746435676544245</v>
      </c>
      <c r="N132" t="inlineStr"/>
      <c r="O132" t="inlineStr">
        <is>
          <t>South Africa||10Y</t>
        </is>
      </c>
      <c r="P132" t="inlineStr">
        <is>
          <t>South Africa|10Y</t>
        </is>
      </c>
      <c r="Q132" t="inlineStr"/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IRSA.L</t>
        </is>
      </c>
      <c r="D133" s="2" t="n">
        <v>46022</v>
      </c>
      <c r="E133" t="inlineStr">
        <is>
          <t>1Y</t>
        </is>
      </c>
      <c r="F133" t="n">
        <v>75.04335635161455</v>
      </c>
      <c r="G133" t="n">
        <v>1.149</v>
      </c>
      <c r="H133" t="n">
        <v>4.70545200000001</v>
      </c>
      <c r="I133" t="n">
        <v>6.309776999999994</v>
      </c>
      <c r="J133" t="n">
        <v>1.532226590883012</v>
      </c>
      <c r="K133" t="n">
        <v>3.359000000000001</v>
      </c>
      <c r="L133" t="n">
        <v>2.715000000000001</v>
      </c>
      <c r="M133" t="n">
        <v>0.6440000000000001</v>
      </c>
      <c r="N133" t="n">
        <v>-68.73357935161455</v>
      </c>
      <c r="O133" t="inlineStr">
        <is>
          <t>South Africa|IRSA.L|1Y</t>
        </is>
      </c>
      <c r="P133" t="inlineStr">
        <is>
          <t>South Africa|1Y</t>
        </is>
      </c>
      <c r="Q133" t="inlineStr">
        <is>
          <t>USD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IRSA.L</t>
        </is>
      </c>
      <c r="D134" s="2" t="n">
        <v>46022</v>
      </c>
      <c r="E134" t="inlineStr">
        <is>
          <t>3Y</t>
        </is>
      </c>
      <c r="F134" t="n">
        <v>23.45899194037075</v>
      </c>
      <c r="G134" t="n">
        <v>0.829687067689866</v>
      </c>
      <c r="H134" t="n">
        <v>4.913829447217033</v>
      </c>
      <c r="I134" t="n">
        <v>1.527172730413695</v>
      </c>
      <c r="J134" t="n">
        <v>-3.228036281880897</v>
      </c>
      <c r="K134" t="n">
        <v>4.557470533314567</v>
      </c>
      <c r="L134" t="n">
        <v>3.263156230678832</v>
      </c>
      <c r="M134" t="n">
        <v>1.294314302635735</v>
      </c>
      <c r="N134" t="n">
        <v>-21.93181920995706</v>
      </c>
      <c r="O134" t="inlineStr">
        <is>
          <t>South Africa|IRSA.L|3Y</t>
        </is>
      </c>
      <c r="P134" t="inlineStr">
        <is>
          <t>South Africa|3Y</t>
        </is>
      </c>
      <c r="Q134" t="inlineStr">
        <is>
          <t>USD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IRSA.L</t>
        </is>
      </c>
      <c r="D135" s="2" t="n">
        <v>46022</v>
      </c>
      <c r="E135" t="inlineStr">
        <is>
          <t>5Y</t>
        </is>
      </c>
      <c r="F135" t="n">
        <v>13.78060611988323</v>
      </c>
      <c r="G135" t="n">
        <v>1.869366313573084</v>
      </c>
      <c r="H135" t="n">
        <v>6.71419962014479</v>
      </c>
      <c r="I135" t="n">
        <v>4.763139999836619</v>
      </c>
      <c r="J135" t="n">
        <v>-1.828303311229729</v>
      </c>
      <c r="K135" t="n">
        <v>5.013860905021472</v>
      </c>
      <c r="L135" t="n">
        <v>4.476417270751631</v>
      </c>
      <c r="M135" t="n">
        <v>0.5374436342698408</v>
      </c>
      <c r="N135" t="n">
        <v>-9.017466120046613</v>
      </c>
      <c r="O135" t="inlineStr">
        <is>
          <t>South Africa|IRSA.L|5Y</t>
        </is>
      </c>
      <c r="P135" t="inlineStr">
        <is>
          <t>South Africa|5Y</t>
        </is>
      </c>
      <c r="Q135" t="inlineStr">
        <is>
          <t>USD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IRSA.L</t>
        </is>
      </c>
      <c r="D136" s="2" t="n">
        <v>46022</v>
      </c>
      <c r="E136" t="inlineStr">
        <is>
          <t>10Y</t>
        </is>
      </c>
      <c r="F136" t="n">
        <v>9.687170171223691</v>
      </c>
      <c r="G136" t="n">
        <v>0.6533111721663376</v>
      </c>
      <c r="H136" t="n">
        <v>5.703683055668485</v>
      </c>
      <c r="I136" t="n">
        <v>2.091418501604658</v>
      </c>
      <c r="J136" t="n">
        <v>-3.417349512146095</v>
      </c>
      <c r="K136" t="n">
        <v>4.865588149374522</v>
      </c>
      <c r="L136" t="n">
        <v>3.119152472830278</v>
      </c>
      <c r="M136" t="n">
        <v>1.746435676544245</v>
      </c>
      <c r="N136" t="n">
        <v>-7.595751669619033</v>
      </c>
      <c r="O136" t="inlineStr">
        <is>
          <t>South Africa|IRSA.L|10Y</t>
        </is>
      </c>
      <c r="P136" t="inlineStr">
        <is>
          <t>South Africa|10Y</t>
        </is>
      </c>
      <c r="Q136" t="inlineStr">
        <is>
          <t>USD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s="2" t="n">
        <v>46022</v>
      </c>
      <c r="E137" t="inlineStr">
        <is>
          <t>1Y</t>
        </is>
      </c>
      <c r="F137" t="n">
        <v>73.25046185797825</v>
      </c>
      <c r="G137" t="n">
        <v>1.149</v>
      </c>
      <c r="H137" t="n">
        <v>4.70545200000001</v>
      </c>
      <c r="I137" t="n">
        <v>6.309776999999994</v>
      </c>
      <c r="J137" t="n">
        <v>1.532226590883012</v>
      </c>
      <c r="K137" t="n">
        <v>3.359000000000001</v>
      </c>
      <c r="L137" t="n">
        <v>2.715000000000001</v>
      </c>
      <c r="M137" t="n">
        <v>0.6440000000000001</v>
      </c>
      <c r="N137" t="n">
        <v>-66.94068485797825</v>
      </c>
      <c r="O137" t="inlineStr">
        <is>
          <t>South Africa|SRSA.L|1Y</t>
        </is>
      </c>
      <c r="P137" t="inlineStr">
        <is>
          <t>South Africa|1Y</t>
        </is>
      </c>
      <c r="Q137" t="inlineStr">
        <is>
          <t>GBp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s="2" t="n">
        <v>46022</v>
      </c>
      <c r="E138" t="inlineStr">
        <is>
          <t>3Y</t>
        </is>
      </c>
      <c r="F138" t="n">
        <v>23.15404289151002</v>
      </c>
      <c r="G138" t="n">
        <v>0.829687067689866</v>
      </c>
      <c r="H138" t="n">
        <v>4.913829447217033</v>
      </c>
      <c r="I138" t="n">
        <v>1.527172730413695</v>
      </c>
      <c r="J138" t="n">
        <v>-3.228036281880897</v>
      </c>
      <c r="K138" t="n">
        <v>4.557470533314567</v>
      </c>
      <c r="L138" t="n">
        <v>3.263156230678832</v>
      </c>
      <c r="M138" t="n">
        <v>1.294314302635735</v>
      </c>
      <c r="N138" t="n">
        <v>-21.62687016109632</v>
      </c>
      <c r="O138" t="inlineStr">
        <is>
          <t>South Africa|SRSA.L|3Y</t>
        </is>
      </c>
      <c r="P138" t="inlineStr">
        <is>
          <t>South Africa|3Y</t>
        </is>
      </c>
      <c r="Q138" t="inlineStr">
        <is>
          <t>GBp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s="2" t="n">
        <v>46022</v>
      </c>
      <c r="E139" t="inlineStr">
        <is>
          <t>5Y</t>
        </is>
      </c>
      <c r="F139" t="n">
        <v>13.56941057534642</v>
      </c>
      <c r="G139" t="n">
        <v>1.869366313573084</v>
      </c>
      <c r="H139" t="n">
        <v>6.71419962014479</v>
      </c>
      <c r="I139" t="n">
        <v>4.763139999836619</v>
      </c>
      <c r="J139" t="n">
        <v>-1.828303311229729</v>
      </c>
      <c r="K139" t="n">
        <v>5.013860905021472</v>
      </c>
      <c r="L139" t="n">
        <v>4.476417270751631</v>
      </c>
      <c r="M139" t="n">
        <v>0.5374436342698408</v>
      </c>
      <c r="N139" t="n">
        <v>-8.806270575509799</v>
      </c>
      <c r="O139" t="inlineStr">
        <is>
          <t>South Africa|SRSA.L|5Y</t>
        </is>
      </c>
      <c r="P139" t="inlineStr">
        <is>
          <t>South Africa|5Y</t>
        </is>
      </c>
      <c r="Q139" t="inlineStr">
        <is>
          <t>GBp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s="2" t="n">
        <v>46022</v>
      </c>
      <c r="E140" t="inlineStr">
        <is>
          <t>10Y</t>
        </is>
      </c>
      <c r="F140" t="n">
        <v>9.285044159321387</v>
      </c>
      <c r="G140" t="n">
        <v>0.6533111721663376</v>
      </c>
      <c r="H140" t="n">
        <v>5.703683055668485</v>
      </c>
      <c r="I140" t="n">
        <v>2.091418501604658</v>
      </c>
      <c r="J140" t="n">
        <v>-3.417349512146095</v>
      </c>
      <c r="K140" t="n">
        <v>4.865588149374522</v>
      </c>
      <c r="L140" t="n">
        <v>3.119152472830278</v>
      </c>
      <c r="M140" t="n">
        <v>1.746435676544245</v>
      </c>
      <c r="N140" t="n">
        <v>-7.193625657716729</v>
      </c>
      <c r="O140" t="inlineStr">
        <is>
          <t>South Africa|SRSA.L|10Y</t>
        </is>
      </c>
      <c r="P140" t="inlineStr">
        <is>
          <t>South Africa|10Y</t>
        </is>
      </c>
      <c r="Q140" t="inlineStr">
        <is>
          <t>GBp</t>
        </is>
      </c>
    </row>
    <row r="141">
      <c r="A141" t="inlineStr">
        <is>
          <t>South Korea</t>
        </is>
      </c>
      <c r="B141" t="inlineStr">
        <is>
          <t>KOR</t>
        </is>
      </c>
      <c r="C141" t="inlineStr"/>
      <c r="D141" s="2" t="n">
        <v>46022</v>
      </c>
      <c r="E141" t="inlineStr">
        <is>
          <t>1Y</t>
        </is>
      </c>
      <c r="F141" t="inlineStr"/>
      <c r="G141" t="n">
        <v>0.8960000000000079</v>
      </c>
      <c r="H141" t="n">
        <v>2.117764000000011</v>
      </c>
      <c r="I141" t="n">
        <v>-0.8966680000000005</v>
      </c>
      <c r="J141" t="n">
        <v>-2.951916938055843</v>
      </c>
      <c r="K141" t="n">
        <v>1.991999999999994</v>
      </c>
      <c r="L141" t="n">
        <v>2.715000000000001</v>
      </c>
      <c r="M141" t="n">
        <v>-0.723000000000007</v>
      </c>
      <c r="N141" t="inlineStr"/>
      <c r="O141" t="inlineStr">
        <is>
          <t>South Korea||1Y</t>
        </is>
      </c>
      <c r="P141" t="inlineStr">
        <is>
          <t>South Korea|1Y</t>
        </is>
      </c>
      <c r="Q141" t="inlineStr"/>
    </row>
    <row r="142">
      <c r="A142" t="inlineStr">
        <is>
          <t>South Korea</t>
        </is>
      </c>
      <c r="B142" t="inlineStr">
        <is>
          <t>KOR</t>
        </is>
      </c>
      <c r="C142" t="inlineStr"/>
      <c r="D142" s="2" t="n">
        <v>46022</v>
      </c>
      <c r="E142" t="inlineStr">
        <is>
          <t>3Y</t>
        </is>
      </c>
      <c r="F142" t="inlineStr"/>
      <c r="G142" t="n">
        <v>1.493305092303054</v>
      </c>
      <c r="H142" t="n">
        <v>3.961092019769596</v>
      </c>
      <c r="I142" t="n">
        <v>1.085035519760158</v>
      </c>
      <c r="J142" t="n">
        <v>-2.766473655849044</v>
      </c>
      <c r="K142" t="n">
        <v>2.634672896132972</v>
      </c>
      <c r="L142" t="n">
        <v>3.263156230678832</v>
      </c>
      <c r="M142" t="n">
        <v>-0.6284833345458596</v>
      </c>
      <c r="N142" t="inlineStr"/>
      <c r="O142" t="inlineStr">
        <is>
          <t>South Korea||3Y</t>
        </is>
      </c>
      <c r="P142" t="inlineStr">
        <is>
          <t>South Korea|3Y</t>
        </is>
      </c>
      <c r="Q142" t="inlineStr"/>
    </row>
    <row r="143">
      <c r="A143" t="inlineStr">
        <is>
          <t>South Korea</t>
        </is>
      </c>
      <c r="B143" t="inlineStr">
        <is>
          <t>KOR</t>
        </is>
      </c>
      <c r="C143" t="inlineStr"/>
      <c r="D143" s="2" t="n">
        <v>46022</v>
      </c>
      <c r="E143" t="inlineStr">
        <is>
          <t>5Y</t>
        </is>
      </c>
      <c r="F143" t="inlineStr"/>
      <c r="G143" t="n">
        <v>2.356949693623722</v>
      </c>
      <c r="H143" t="n">
        <v>4.870370138951352</v>
      </c>
      <c r="I143" t="n">
        <v>1.275389793357129</v>
      </c>
      <c r="J143" t="n">
        <v>-3.42802263872809</v>
      </c>
      <c r="K143" t="n">
        <v>3.093626787360804</v>
      </c>
      <c r="L143" t="n">
        <v>4.476417270751631</v>
      </c>
      <c r="M143" t="n">
        <v>-1.382790483390828</v>
      </c>
      <c r="N143" t="inlineStr"/>
      <c r="O143" t="inlineStr">
        <is>
          <t>South Korea||5Y</t>
        </is>
      </c>
      <c r="P143" t="inlineStr">
        <is>
          <t>South Korea|5Y</t>
        </is>
      </c>
      <c r="Q143" t="inlineStr"/>
    </row>
    <row r="144">
      <c r="A144" t="inlineStr">
        <is>
          <t>South Korea</t>
        </is>
      </c>
      <c r="B144" t="inlineStr">
        <is>
          <t>KOR</t>
        </is>
      </c>
      <c r="C144" t="inlineStr"/>
      <c r="D144" s="2" t="n">
        <v>46022</v>
      </c>
      <c r="E144" t="inlineStr">
        <is>
          <t>10Y</t>
        </is>
      </c>
      <c r="F144" t="inlineStr"/>
      <c r="G144" t="n">
        <v>2.312115483549904</v>
      </c>
      <c r="H144" t="n">
        <v>4.137342685457113</v>
      </c>
      <c r="I144" t="n">
        <v>1.903263894932894</v>
      </c>
      <c r="J144" t="n">
        <v>-2.145319413731539</v>
      </c>
      <c r="K144" t="n">
        <v>2.072115344123593</v>
      </c>
      <c r="L144" t="n">
        <v>3.119152472830278</v>
      </c>
      <c r="M144" t="n">
        <v>-1.047037128706685</v>
      </c>
      <c r="N144" t="inlineStr"/>
      <c r="O144" t="inlineStr">
        <is>
          <t>South Korea||10Y</t>
        </is>
      </c>
      <c r="P144" t="inlineStr">
        <is>
          <t>South Korea|10Y</t>
        </is>
      </c>
      <c r="Q144" t="inlineStr"/>
    </row>
    <row r="145">
      <c r="A145" t="inlineStr">
        <is>
          <t>South Korea</t>
        </is>
      </c>
      <c r="B145" t="inlineStr">
        <is>
          <t>KOR</t>
        </is>
      </c>
      <c r="C145" t="inlineStr">
        <is>
          <t>CSKR.L</t>
        </is>
      </c>
      <c r="D145" s="2" t="n">
        <v>46022</v>
      </c>
      <c r="E145" t="inlineStr">
        <is>
          <t>1Y</t>
        </is>
      </c>
      <c r="F145" t="n">
        <v>99.25350103748991</v>
      </c>
      <c r="G145" t="n">
        <v>0.8960000000000079</v>
      </c>
      <c r="H145" t="n">
        <v>2.117764000000011</v>
      </c>
      <c r="I145" t="n">
        <v>-0.8966680000000005</v>
      </c>
      <c r="J145" t="n">
        <v>-2.951916938055843</v>
      </c>
      <c r="K145" t="n">
        <v>1.991999999999994</v>
      </c>
      <c r="L145" t="n">
        <v>2.715000000000001</v>
      </c>
      <c r="M145" t="n">
        <v>-0.723000000000007</v>
      </c>
      <c r="N145" t="n">
        <v>-100.1501690374899</v>
      </c>
      <c r="O145" t="inlineStr">
        <is>
          <t>South Korea|CSKR.L|1Y</t>
        </is>
      </c>
      <c r="P145" t="inlineStr">
        <is>
          <t>South Korea|1Y</t>
        </is>
      </c>
      <c r="Q145" t="inlineStr">
        <is>
          <t>USD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CSKR.L</t>
        </is>
      </c>
      <c r="D146" s="2" t="n">
        <v>46022</v>
      </c>
      <c r="E146" t="inlineStr">
        <is>
          <t>3Y</t>
        </is>
      </c>
      <c r="F146" t="n">
        <v>23.80187708799604</v>
      </c>
      <c r="G146" t="n">
        <v>1.493305092303054</v>
      </c>
      <c r="H146" t="n">
        <v>3.961092019769596</v>
      </c>
      <c r="I146" t="n">
        <v>1.085035519760158</v>
      </c>
      <c r="J146" t="n">
        <v>-2.766473655849044</v>
      </c>
      <c r="K146" t="n">
        <v>2.634672896132972</v>
      </c>
      <c r="L146" t="n">
        <v>3.263156230678832</v>
      </c>
      <c r="M146" t="n">
        <v>-0.6284833345458596</v>
      </c>
      <c r="N146" t="n">
        <v>-22.71684156823588</v>
      </c>
      <c r="O146" t="inlineStr">
        <is>
          <t>South Korea|CSKR.L|3Y</t>
        </is>
      </c>
      <c r="P146" t="inlineStr">
        <is>
          <t>South Korea|3Y</t>
        </is>
      </c>
      <c r="Q146" t="inlineStr">
        <is>
          <t>USD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CSKR.L</t>
        </is>
      </c>
      <c r="D147" s="2" t="n">
        <v>46022</v>
      </c>
      <c r="E147" t="inlineStr">
        <is>
          <t>5Y</t>
        </is>
      </c>
      <c r="F147" t="n">
        <v>3.410536753221516</v>
      </c>
      <c r="G147" t="n">
        <v>2.356949693623722</v>
      </c>
      <c r="H147" t="n">
        <v>4.870370138951352</v>
      </c>
      <c r="I147" t="n">
        <v>1.275389793357129</v>
      </c>
      <c r="J147" t="n">
        <v>-3.42802263872809</v>
      </c>
      <c r="K147" t="n">
        <v>3.093626787360804</v>
      </c>
      <c r="L147" t="n">
        <v>4.476417270751631</v>
      </c>
      <c r="M147" t="n">
        <v>-1.382790483390828</v>
      </c>
      <c r="N147" t="n">
        <v>-2.135146959864387</v>
      </c>
      <c r="O147" t="inlineStr">
        <is>
          <t>South Korea|CSKR.L|5Y</t>
        </is>
      </c>
      <c r="P147" t="inlineStr">
        <is>
          <t>South Korea|5Y</t>
        </is>
      </c>
      <c r="Q147" t="inlineStr">
        <is>
          <t>USD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CSKR.L</t>
        </is>
      </c>
      <c r="D148" s="2" t="n">
        <v>46022</v>
      </c>
      <c r="E148" t="inlineStr">
        <is>
          <t>10Y</t>
        </is>
      </c>
      <c r="F148" t="n">
        <v>9.786754183672386</v>
      </c>
      <c r="G148" t="n">
        <v>2.312115483549904</v>
      </c>
      <c r="H148" t="n">
        <v>4.137342685457113</v>
      </c>
      <c r="I148" t="n">
        <v>1.903263894932894</v>
      </c>
      <c r="J148" t="n">
        <v>-2.145319413731539</v>
      </c>
      <c r="K148" t="n">
        <v>2.072115344123593</v>
      </c>
      <c r="L148" t="n">
        <v>3.119152472830278</v>
      </c>
      <c r="M148" t="n">
        <v>-1.047037128706685</v>
      </c>
      <c r="N148" t="n">
        <v>-7.883490288739492</v>
      </c>
      <c r="O148" t="inlineStr">
        <is>
          <t>South Korea|CSKR.L|10Y</t>
        </is>
      </c>
      <c r="P148" t="inlineStr">
        <is>
          <t>South Korea|10Y</t>
        </is>
      </c>
      <c r="Q148" t="inlineStr">
        <is>
          <t>USD</t>
        </is>
      </c>
    </row>
    <row r="149">
      <c r="A149" t="inlineStr">
        <is>
          <t>Switzerland</t>
        </is>
      </c>
      <c r="B149" t="inlineStr">
        <is>
          <t>CHE</t>
        </is>
      </c>
      <c r="C149" t="inlineStr"/>
      <c r="D149" s="2" t="n">
        <v>46022</v>
      </c>
      <c r="E149" t="inlineStr">
        <is>
          <t>1Y</t>
        </is>
      </c>
      <c r="F149" t="inlineStr"/>
      <c r="G149" t="n">
        <v>0.9460000000000024</v>
      </c>
      <c r="H149" t="n">
        <v>1.031491999999989</v>
      </c>
      <c r="I149" t="n">
        <v>6.876597000000007</v>
      </c>
      <c r="J149" t="n">
        <v>5.785428671851567</v>
      </c>
      <c r="K149" t="n">
        <v>0.1419999999999977</v>
      </c>
      <c r="L149" t="n">
        <v>2.715000000000001</v>
      </c>
      <c r="M149" t="n">
        <v>-2.573000000000003</v>
      </c>
      <c r="N149" t="inlineStr"/>
      <c r="O149" t="inlineStr">
        <is>
          <t>Switzerland||1Y</t>
        </is>
      </c>
      <c r="P149" t="inlineStr">
        <is>
          <t>Switzerland|1Y</t>
        </is>
      </c>
      <c r="Q149" t="inlineStr"/>
    </row>
    <row r="150">
      <c r="A150" t="inlineStr">
        <is>
          <t>Switzerland</t>
        </is>
      </c>
      <c r="B150" t="inlineStr">
        <is>
          <t>CHE</t>
        </is>
      </c>
      <c r="C150" t="inlineStr"/>
      <c r="D150" s="2" t="n">
        <v>46022</v>
      </c>
      <c r="E150" t="inlineStr">
        <is>
          <t>3Y</t>
        </is>
      </c>
      <c r="F150" t="inlineStr"/>
      <c r="G150" t="n">
        <v>1.014998373451514</v>
      </c>
      <c r="H150" t="n">
        <v>1.79693154984033</v>
      </c>
      <c r="I150" t="n">
        <v>6.566079289818028</v>
      </c>
      <c r="J150" t="n">
        <v>4.684962106572099</v>
      </c>
      <c r="K150" t="n">
        <v>1.109054521385811</v>
      </c>
      <c r="L150" t="n">
        <v>3.263156230678832</v>
      </c>
      <c r="M150" t="n">
        <v>-2.154101709293021</v>
      </c>
      <c r="N150" t="inlineStr"/>
      <c r="O150" t="inlineStr">
        <is>
          <t>Switzerland||3Y</t>
        </is>
      </c>
      <c r="P150" t="inlineStr">
        <is>
          <t>Switzerland|3Y</t>
        </is>
      </c>
      <c r="Q150" t="inlineStr"/>
    </row>
    <row r="151">
      <c r="A151" t="inlineStr">
        <is>
          <t>Switzerland</t>
        </is>
      </c>
      <c r="B151" t="inlineStr">
        <is>
          <t>CHE</t>
        </is>
      </c>
      <c r="C151" t="inlineStr"/>
      <c r="D151" s="2" t="n">
        <v>46022</v>
      </c>
      <c r="E151" t="inlineStr">
        <is>
          <t>5Y</t>
        </is>
      </c>
      <c r="F151" t="inlineStr"/>
      <c r="G151" t="n">
        <v>2.332607250104335</v>
      </c>
      <c r="H151" t="n">
        <v>3.695225959222448</v>
      </c>
      <c r="I151" t="n">
        <v>6.226742610230285</v>
      </c>
      <c r="J151" t="n">
        <v>2.441304850727843</v>
      </c>
      <c r="K151" t="n">
        <v>1.345925338791432</v>
      </c>
      <c r="L151" t="n">
        <v>4.476417270751631</v>
      </c>
      <c r="M151" t="n">
        <v>-3.1304919319602</v>
      </c>
      <c r="N151" t="inlineStr"/>
      <c r="O151" t="inlineStr">
        <is>
          <t>Switzerland||5Y</t>
        </is>
      </c>
      <c r="P151" t="inlineStr">
        <is>
          <t>Switzerland|5Y</t>
        </is>
      </c>
      <c r="Q151" t="inlineStr"/>
    </row>
    <row r="152">
      <c r="A152" t="inlineStr">
        <is>
          <t>Switzerland</t>
        </is>
      </c>
      <c r="B152" t="inlineStr">
        <is>
          <t>CHE</t>
        </is>
      </c>
      <c r="C152" t="inlineStr"/>
      <c r="D152" s="2" t="n">
        <v>46022</v>
      </c>
      <c r="E152" t="inlineStr">
        <is>
          <t>10Y</t>
        </is>
      </c>
      <c r="F152" t="inlineStr"/>
      <c r="G152" t="n">
        <v>1.682160098409158</v>
      </c>
      <c r="H152" t="n">
        <v>2.25487036017904</v>
      </c>
      <c r="I152" t="n">
        <v>3.750768791677905</v>
      </c>
      <c r="J152" t="n">
        <v>1.46291159328249</v>
      </c>
      <c r="K152" t="n">
        <v>0.7376811243145376</v>
      </c>
      <c r="L152" t="n">
        <v>3.119152472830278</v>
      </c>
      <c r="M152" t="n">
        <v>-2.38147134851574</v>
      </c>
      <c r="N152" t="inlineStr"/>
      <c r="O152" t="inlineStr">
        <is>
          <t>Switzerland||10Y</t>
        </is>
      </c>
      <c r="P152" t="inlineStr">
        <is>
          <t>Switzerland|10Y</t>
        </is>
      </c>
      <c r="Q152" t="inlineStr"/>
    </row>
    <row r="153">
      <c r="A153" t="inlineStr">
        <is>
          <t>Switzerland</t>
        </is>
      </c>
      <c r="B153" t="inlineStr">
        <is>
          <t>CHE</t>
        </is>
      </c>
      <c r="C153" t="inlineStr">
        <is>
          <t>CSW.PA</t>
        </is>
      </c>
      <c r="D153" s="2" t="n">
        <v>46022</v>
      </c>
      <c r="E153" t="inlineStr">
        <is>
          <t>1Y</t>
        </is>
      </c>
      <c r="F153" t="n">
        <v>31.5387609207751</v>
      </c>
      <c r="G153" t="n">
        <v>0.9460000000000024</v>
      </c>
      <c r="H153" t="n">
        <v>1.031491999999989</v>
      </c>
      <c r="I153" t="n">
        <v>6.876597000000007</v>
      </c>
      <c r="J153" t="n">
        <v>5.785428671851567</v>
      </c>
      <c r="K153" t="n">
        <v>0.1419999999999977</v>
      </c>
      <c r="L153" t="n">
        <v>2.715000000000001</v>
      </c>
      <c r="M153" t="n">
        <v>-2.573000000000003</v>
      </c>
      <c r="N153" t="n">
        <v>-24.66216392077509</v>
      </c>
      <c r="O153" t="inlineStr">
        <is>
          <t>Switzerland|CSW.PA|1Y</t>
        </is>
      </c>
      <c r="P153" t="inlineStr">
        <is>
          <t>Switzerland|1Y</t>
        </is>
      </c>
      <c r="Q153" t="inlineStr">
        <is>
          <t>EUR</t>
        </is>
      </c>
    </row>
    <row r="154">
      <c r="A154" t="inlineStr">
        <is>
          <t>Switzerland</t>
        </is>
      </c>
      <c r="B154" t="inlineStr">
        <is>
          <t>CHE</t>
        </is>
      </c>
      <c r="C154" t="inlineStr">
        <is>
          <t>CSW.PA</t>
        </is>
      </c>
      <c r="D154" s="2" t="n">
        <v>46022</v>
      </c>
      <c r="E154" t="inlineStr">
        <is>
          <t>3Y</t>
        </is>
      </c>
      <c r="F154" t="n">
        <v>14.01231945924497</v>
      </c>
      <c r="G154" t="n">
        <v>1.014998373451514</v>
      </c>
      <c r="H154" t="n">
        <v>1.79693154984033</v>
      </c>
      <c r="I154" t="n">
        <v>6.566079289818028</v>
      </c>
      <c r="J154" t="n">
        <v>4.684962106572099</v>
      </c>
      <c r="K154" t="n">
        <v>1.109054521385811</v>
      </c>
      <c r="L154" t="n">
        <v>3.263156230678832</v>
      </c>
      <c r="M154" t="n">
        <v>-2.154101709293021</v>
      </c>
      <c r="N154" t="n">
        <v>-7.446240169426943</v>
      </c>
      <c r="O154" t="inlineStr">
        <is>
          <t>Switzerland|CSW.PA|3Y</t>
        </is>
      </c>
      <c r="P154" t="inlineStr">
        <is>
          <t>Switzerland|3Y</t>
        </is>
      </c>
      <c r="Q154" t="inlineStr">
        <is>
          <t>EUR</t>
        </is>
      </c>
    </row>
    <row r="155">
      <c r="A155" t="inlineStr">
        <is>
          <t>Switzerland</t>
        </is>
      </c>
      <c r="B155" t="inlineStr">
        <is>
          <t>CHE</t>
        </is>
      </c>
      <c r="C155" t="inlineStr">
        <is>
          <t>CSW.PA</t>
        </is>
      </c>
      <c r="D155" s="2" t="n">
        <v>46022</v>
      </c>
      <c r="E155" t="inlineStr">
        <is>
          <t>5Y</t>
        </is>
      </c>
      <c r="F155" t="n">
        <v>7.769296224234834</v>
      </c>
      <c r="G155" t="n">
        <v>2.332607250104335</v>
      </c>
      <c r="H155" t="n">
        <v>3.695225959222448</v>
      </c>
      <c r="I155" t="n">
        <v>6.226742610230285</v>
      </c>
      <c r="J155" t="n">
        <v>2.441304850727843</v>
      </c>
      <c r="K155" t="n">
        <v>1.345925338791432</v>
      </c>
      <c r="L155" t="n">
        <v>4.476417270751631</v>
      </c>
      <c r="M155" t="n">
        <v>-3.1304919319602</v>
      </c>
      <c r="N155" t="n">
        <v>-1.542553614004549</v>
      </c>
      <c r="O155" t="inlineStr">
        <is>
          <t>Switzerland|CSW.PA|5Y</t>
        </is>
      </c>
      <c r="P155" t="inlineStr">
        <is>
          <t>Switzerland|5Y</t>
        </is>
      </c>
      <c r="Q155" t="inlineStr">
        <is>
          <t>EUR</t>
        </is>
      </c>
    </row>
    <row r="156">
      <c r="A156" t="inlineStr">
        <is>
          <t>Switzerland</t>
        </is>
      </c>
      <c r="B156" t="inlineStr">
        <is>
          <t>CHE</t>
        </is>
      </c>
      <c r="C156" t="inlineStr">
        <is>
          <t>CSW.PA</t>
        </is>
      </c>
      <c r="D156" s="2" t="n">
        <v>46022</v>
      </c>
      <c r="E156" t="inlineStr">
        <is>
          <t>10Y</t>
        </is>
      </c>
      <c r="F156" t="n">
        <v>-24.87107245594601</v>
      </c>
      <c r="G156" t="n">
        <v>1.682160098409158</v>
      </c>
      <c r="H156" t="n">
        <v>2.25487036017904</v>
      </c>
      <c r="I156" t="n">
        <v>3.750768791677905</v>
      </c>
      <c r="J156" t="n">
        <v>1.46291159328249</v>
      </c>
      <c r="K156" t="n">
        <v>0.7376811243145376</v>
      </c>
      <c r="L156" t="n">
        <v>3.119152472830278</v>
      </c>
      <c r="M156" t="n">
        <v>-2.38147134851574</v>
      </c>
      <c r="N156" t="n">
        <v>28.62184124762392</v>
      </c>
      <c r="O156" t="inlineStr">
        <is>
          <t>Switzerland|CSW.PA|10Y</t>
        </is>
      </c>
      <c r="P156" t="inlineStr">
        <is>
          <t>Switzerland|10Y</t>
        </is>
      </c>
      <c r="Q156" t="inlineStr">
        <is>
          <t>EUR</t>
        </is>
      </c>
    </row>
    <row r="157">
      <c r="A157" t="inlineStr">
        <is>
          <t>Switzerland</t>
        </is>
      </c>
      <c r="B157" t="inlineStr">
        <is>
          <t>CHE</t>
        </is>
      </c>
      <c r="C157" t="inlineStr">
        <is>
          <t>CSWG.L</t>
        </is>
      </c>
      <c r="D157" s="2" t="n">
        <v>46022</v>
      </c>
      <c r="E157" t="inlineStr">
        <is>
          <t>1Y</t>
        </is>
      </c>
      <c r="F157" t="n">
        <v>31.39886692904705</v>
      </c>
      <c r="G157" t="n">
        <v>0.9460000000000024</v>
      </c>
      <c r="H157" t="n">
        <v>1.031491999999989</v>
      </c>
      <c r="I157" t="n">
        <v>6.876597000000007</v>
      </c>
      <c r="J157" t="n">
        <v>5.785428671851567</v>
      </c>
      <c r="K157" t="n">
        <v>0.1419999999999977</v>
      </c>
      <c r="L157" t="n">
        <v>2.715000000000001</v>
      </c>
      <c r="M157" t="n">
        <v>-2.573000000000003</v>
      </c>
      <c r="N157" t="n">
        <v>-24.52226992904705</v>
      </c>
      <c r="O157" t="inlineStr">
        <is>
          <t>Switzerland|CSWG.L|1Y</t>
        </is>
      </c>
      <c r="P157" t="inlineStr">
        <is>
          <t>Switzerland|1Y</t>
        </is>
      </c>
      <c r="Q157" t="inlineStr">
        <is>
          <t>GBp</t>
        </is>
      </c>
    </row>
    <row r="158">
      <c r="A158" t="inlineStr">
        <is>
          <t>Switzerland</t>
        </is>
      </c>
      <c r="B158" t="inlineStr">
        <is>
          <t>CHE</t>
        </is>
      </c>
      <c r="C158" t="inlineStr">
        <is>
          <t>CSWG.L</t>
        </is>
      </c>
      <c r="D158" s="2" t="n">
        <v>46022</v>
      </c>
      <c r="E158" t="inlineStr">
        <is>
          <t>3Y</t>
        </is>
      </c>
      <c r="F158" t="n">
        <v>13.85756586806508</v>
      </c>
      <c r="G158" t="n">
        <v>1.014998373451514</v>
      </c>
      <c r="H158" t="n">
        <v>1.79693154984033</v>
      </c>
      <c r="I158" t="n">
        <v>6.566079289818028</v>
      </c>
      <c r="J158" t="n">
        <v>4.684962106572099</v>
      </c>
      <c r="K158" t="n">
        <v>1.109054521385811</v>
      </c>
      <c r="L158" t="n">
        <v>3.263156230678832</v>
      </c>
      <c r="M158" t="n">
        <v>-2.154101709293021</v>
      </c>
      <c r="N158" t="n">
        <v>-7.291486578247053</v>
      </c>
      <c r="O158" t="inlineStr">
        <is>
          <t>Switzerland|CSWG.L|3Y</t>
        </is>
      </c>
      <c r="P158" t="inlineStr">
        <is>
          <t>Switzerland|3Y</t>
        </is>
      </c>
      <c r="Q158" t="inlineStr">
        <is>
          <t>GBp</t>
        </is>
      </c>
    </row>
    <row r="159">
      <c r="A159" t="inlineStr">
        <is>
          <t>Switzerland</t>
        </is>
      </c>
      <c r="B159" t="inlineStr">
        <is>
          <t>CHE</t>
        </is>
      </c>
      <c r="C159" t="inlineStr">
        <is>
          <t>CSWG.L</t>
        </is>
      </c>
      <c r="D159" s="2" t="n">
        <v>46022</v>
      </c>
      <c r="E159" t="inlineStr">
        <is>
          <t>5Y</t>
        </is>
      </c>
      <c r="F159" t="n">
        <v>-48.62324429668489</v>
      </c>
      <c r="G159" t="n">
        <v>2.332607250104335</v>
      </c>
      <c r="H159" t="n">
        <v>3.695225959222448</v>
      </c>
      <c r="I159" t="n">
        <v>6.226742610230285</v>
      </c>
      <c r="J159" t="n">
        <v>2.441304850727843</v>
      </c>
      <c r="K159" t="n">
        <v>1.345925338791432</v>
      </c>
      <c r="L159" t="n">
        <v>4.476417270751631</v>
      </c>
      <c r="M159" t="n">
        <v>-3.1304919319602</v>
      </c>
      <c r="N159" t="n">
        <v>54.84998690691517</v>
      </c>
      <c r="O159" t="inlineStr">
        <is>
          <t>Switzerland|CSWG.L|5Y</t>
        </is>
      </c>
      <c r="P159" t="inlineStr">
        <is>
          <t>Switzerland|5Y</t>
        </is>
      </c>
      <c r="Q159" t="inlineStr">
        <is>
          <t>GBp</t>
        </is>
      </c>
    </row>
    <row r="160">
      <c r="A160" t="inlineStr">
        <is>
          <t>Switzerland</t>
        </is>
      </c>
      <c r="B160" t="inlineStr">
        <is>
          <t>CHE</t>
        </is>
      </c>
      <c r="C160" t="inlineStr">
        <is>
          <t>CSWG.L</t>
        </is>
      </c>
      <c r="D160" s="2" t="n">
        <v>46022</v>
      </c>
      <c r="E160" t="inlineStr">
        <is>
          <t>10Y</t>
        </is>
      </c>
      <c r="F160" t="n">
        <v>4.169748920164595</v>
      </c>
      <c r="G160" t="n">
        <v>1.682160098409158</v>
      </c>
      <c r="H160" t="n">
        <v>2.25487036017904</v>
      </c>
      <c r="I160" t="n">
        <v>3.750768791677905</v>
      </c>
      <c r="J160" t="n">
        <v>1.46291159328249</v>
      </c>
      <c r="K160" t="n">
        <v>0.7376811243145376</v>
      </c>
      <c r="L160" t="n">
        <v>3.119152472830278</v>
      </c>
      <c r="M160" t="n">
        <v>-2.38147134851574</v>
      </c>
      <c r="N160" t="n">
        <v>-0.4189801284866901</v>
      </c>
      <c r="O160" t="inlineStr">
        <is>
          <t>Switzerland|CSWG.L|10Y</t>
        </is>
      </c>
      <c r="P160" t="inlineStr">
        <is>
          <t>Switzerland|10Y</t>
        </is>
      </c>
      <c r="Q160" t="inlineStr">
        <is>
          <t>GBp</t>
        </is>
      </c>
    </row>
    <row r="161">
      <c r="A161" t="inlineStr">
        <is>
          <t>Taiwan</t>
        </is>
      </c>
      <c r="B161" t="inlineStr">
        <is>
          <t>TWN</t>
        </is>
      </c>
      <c r="C161" t="inlineStr"/>
      <c r="D161" s="2" t="n">
        <v>46022</v>
      </c>
      <c r="E161" t="inlineStr">
        <is>
          <t>1Y</t>
        </is>
      </c>
      <c r="F161" t="inlineStr"/>
      <c r="G161" t="n">
        <v>3.673999999999999</v>
      </c>
      <c r="H161" t="n">
        <v>5.468292000000008</v>
      </c>
      <c r="I161" t="n">
        <v>10.96393499999999</v>
      </c>
      <c r="J161" t="n">
        <v>5.210706253215691</v>
      </c>
      <c r="K161" t="n">
        <v>1.730000000000009</v>
      </c>
      <c r="L161" t="n">
        <v>2.715000000000001</v>
      </c>
      <c r="M161" t="n">
        <v>-0.9849999999999914</v>
      </c>
      <c r="N161" t="inlineStr"/>
      <c r="O161" t="inlineStr">
        <is>
          <t>Taiwan||1Y</t>
        </is>
      </c>
      <c r="P161" t="inlineStr">
        <is>
          <t>Taiwan|1Y</t>
        </is>
      </c>
      <c r="Q161" t="inlineStr"/>
    </row>
    <row r="162">
      <c r="A162" t="inlineStr">
        <is>
          <t>Taiwan</t>
        </is>
      </c>
      <c r="B162" t="inlineStr">
        <is>
          <t>TWN</t>
        </is>
      </c>
      <c r="C162" t="inlineStr"/>
      <c r="D162" s="2" t="n">
        <v>46022</v>
      </c>
      <c r="E162" t="inlineStr">
        <is>
          <t>3Y</t>
        </is>
      </c>
      <c r="F162" t="inlineStr"/>
      <c r="G162" t="n">
        <v>3.199286997583917</v>
      </c>
      <c r="H162" t="n">
        <v>5.756142806055453</v>
      </c>
      <c r="I162" t="n">
        <v>4.924185071867271</v>
      </c>
      <c r="J162" t="n">
        <v>-0.7866758783641514</v>
      </c>
      <c r="K162" t="n">
        <v>2.133854026342386</v>
      </c>
      <c r="L162" t="n">
        <v>3.263156230678832</v>
      </c>
      <c r="M162" t="n">
        <v>-1.129302204336446</v>
      </c>
      <c r="N162" t="inlineStr"/>
      <c r="O162" t="inlineStr">
        <is>
          <t>Taiwan||3Y</t>
        </is>
      </c>
      <c r="P162" t="inlineStr">
        <is>
          <t>Taiwan|3Y</t>
        </is>
      </c>
      <c r="Q162" t="inlineStr"/>
    </row>
    <row r="163">
      <c r="A163" t="inlineStr">
        <is>
          <t>Taiwan</t>
        </is>
      </c>
      <c r="B163" t="inlineStr">
        <is>
          <t>TWN</t>
        </is>
      </c>
      <c r="C163" t="inlineStr"/>
      <c r="D163" s="2" t="n">
        <v>46022</v>
      </c>
      <c r="E163" t="inlineStr">
        <is>
          <t>5Y</t>
        </is>
      </c>
      <c r="F163" t="inlineStr"/>
      <c r="G163" t="n">
        <v>3.790053779043401</v>
      </c>
      <c r="H163" t="n">
        <v>6.154652973093233</v>
      </c>
      <c r="I163" t="n">
        <v>5.494197356395891</v>
      </c>
      <c r="J163" t="n">
        <v>-0.6221636968846589</v>
      </c>
      <c r="K163" t="n">
        <v>2.263324437219949</v>
      </c>
      <c r="L163" t="n">
        <v>4.476417270751631</v>
      </c>
      <c r="M163" t="n">
        <v>-2.213092833531682</v>
      </c>
      <c r="N163" t="inlineStr"/>
      <c r="O163" t="inlineStr">
        <is>
          <t>Taiwan||5Y</t>
        </is>
      </c>
      <c r="P163" t="inlineStr">
        <is>
          <t>Taiwan|5Y</t>
        </is>
      </c>
      <c r="Q163" t="inlineStr"/>
    </row>
    <row r="164">
      <c r="A164" t="inlineStr">
        <is>
          <t>Taiwan</t>
        </is>
      </c>
      <c r="B164" t="inlineStr">
        <is>
          <t>TWN</t>
        </is>
      </c>
      <c r="C164" t="inlineStr"/>
      <c r="D164" s="2" t="n">
        <v>46022</v>
      </c>
      <c r="E164" t="inlineStr">
        <is>
          <t>10Y</t>
        </is>
      </c>
      <c r="F164" t="inlineStr"/>
      <c r="G164" t="n">
        <v>3.414407627179994</v>
      </c>
      <c r="H164" t="n">
        <v>4.698072696184274</v>
      </c>
      <c r="I164" t="n">
        <v>5.164278093211339</v>
      </c>
      <c r="J164" t="n">
        <v>0.4452856452293874</v>
      </c>
      <c r="K164" t="n">
        <v>1.496491490317919</v>
      </c>
      <c r="L164" t="n">
        <v>3.119152472830278</v>
      </c>
      <c r="M164" t="n">
        <v>-1.622660982512358</v>
      </c>
      <c r="N164" t="inlineStr"/>
      <c r="O164" t="inlineStr">
        <is>
          <t>Taiwan||10Y</t>
        </is>
      </c>
      <c r="P164" t="inlineStr">
        <is>
          <t>Taiwan|10Y</t>
        </is>
      </c>
      <c r="Q164" t="inlineStr"/>
    </row>
    <row r="165">
      <c r="A165" t="inlineStr">
        <is>
          <t>Taiwan</t>
        </is>
      </c>
      <c r="B165" t="inlineStr">
        <is>
          <t>TWN</t>
        </is>
      </c>
      <c r="C165" t="inlineStr">
        <is>
          <t>XMTW.L</t>
        </is>
      </c>
      <c r="D165" s="2" t="n">
        <v>46022</v>
      </c>
      <c r="E165" t="inlineStr">
        <is>
          <t>1Y</t>
        </is>
      </c>
      <c r="F165" t="n">
        <v>33.17535317071263</v>
      </c>
      <c r="G165" t="n">
        <v>3.673999999999999</v>
      </c>
      <c r="H165" t="n">
        <v>5.468292000000008</v>
      </c>
      <c r="I165" t="n">
        <v>10.96393499999999</v>
      </c>
      <c r="J165" t="n">
        <v>5.210706253215691</v>
      </c>
      <c r="K165" t="n">
        <v>1.730000000000009</v>
      </c>
      <c r="L165" t="n">
        <v>2.715000000000001</v>
      </c>
      <c r="M165" t="n">
        <v>-0.9849999999999914</v>
      </c>
      <c r="N165" t="n">
        <v>-22.21141817071263</v>
      </c>
      <c r="O165" t="inlineStr">
        <is>
          <t>Taiwan|XMTW.L|1Y</t>
        </is>
      </c>
      <c r="P165" t="inlineStr">
        <is>
          <t>Taiwan|1Y</t>
        </is>
      </c>
      <c r="Q165" t="inlineStr">
        <is>
          <t>GBp</t>
        </is>
      </c>
    </row>
    <row r="166">
      <c r="A166" t="inlineStr">
        <is>
          <t>Taiwan</t>
        </is>
      </c>
      <c r="B166" t="inlineStr">
        <is>
          <t>TWN</t>
        </is>
      </c>
      <c r="C166" t="inlineStr">
        <is>
          <t>XMTW.L</t>
        </is>
      </c>
      <c r="D166" s="2" t="n">
        <v>46022</v>
      </c>
      <c r="E166" t="inlineStr">
        <is>
          <t>3Y</t>
        </is>
      </c>
      <c r="F166" t="n">
        <v>28.04010443105349</v>
      </c>
      <c r="G166" t="n">
        <v>3.199286997583917</v>
      </c>
      <c r="H166" t="n">
        <v>5.756142806055453</v>
      </c>
      <c r="I166" t="n">
        <v>4.924185071867271</v>
      </c>
      <c r="J166" t="n">
        <v>-0.7866758783641514</v>
      </c>
      <c r="K166" t="n">
        <v>2.133854026342386</v>
      </c>
      <c r="L166" t="n">
        <v>3.263156230678832</v>
      </c>
      <c r="M166" t="n">
        <v>-1.129302204336446</v>
      </c>
      <c r="N166" t="n">
        <v>-23.11591935918622</v>
      </c>
      <c r="O166" t="inlineStr">
        <is>
          <t>Taiwan|XMTW.L|3Y</t>
        </is>
      </c>
      <c r="P166" t="inlineStr">
        <is>
          <t>Taiwan|3Y</t>
        </is>
      </c>
      <c r="Q166" t="inlineStr">
        <is>
          <t>GBp</t>
        </is>
      </c>
    </row>
    <row r="167">
      <c r="A167" t="inlineStr">
        <is>
          <t>Taiwan</t>
        </is>
      </c>
      <c r="B167" t="inlineStr">
        <is>
          <t>TWN</t>
        </is>
      </c>
      <c r="C167" t="inlineStr">
        <is>
          <t>XMTW.L</t>
        </is>
      </c>
      <c r="D167" s="2" t="n">
        <v>46022</v>
      </c>
      <c r="E167" t="inlineStr">
        <is>
          <t>5Y</t>
        </is>
      </c>
      <c r="F167" t="n">
        <v>13.19399138875445</v>
      </c>
      <c r="G167" t="n">
        <v>3.790053779043401</v>
      </c>
      <c r="H167" t="n">
        <v>6.154652973093233</v>
      </c>
      <c r="I167" t="n">
        <v>5.494197356395891</v>
      </c>
      <c r="J167" t="n">
        <v>-0.6221636968846589</v>
      </c>
      <c r="K167" t="n">
        <v>2.263324437219949</v>
      </c>
      <c r="L167" t="n">
        <v>4.476417270751631</v>
      </c>
      <c r="M167" t="n">
        <v>-2.213092833531682</v>
      </c>
      <c r="N167" t="n">
        <v>-7.699794032358564</v>
      </c>
      <c r="O167" t="inlineStr">
        <is>
          <t>Taiwan|XMTW.L|5Y</t>
        </is>
      </c>
      <c r="P167" t="inlineStr">
        <is>
          <t>Taiwan|5Y</t>
        </is>
      </c>
      <c r="Q167" t="inlineStr">
        <is>
          <t>GBp</t>
        </is>
      </c>
    </row>
    <row r="168">
      <c r="A168" t="inlineStr">
        <is>
          <t>Taiwan</t>
        </is>
      </c>
      <c r="B168" t="inlineStr">
        <is>
          <t>TWN</t>
        </is>
      </c>
      <c r="C168" t="inlineStr">
        <is>
          <t>XMTW.L</t>
        </is>
      </c>
      <c r="D168" s="2" t="n">
        <v>46022</v>
      </c>
      <c r="E168" t="inlineStr">
        <is>
          <t>10Y</t>
        </is>
      </c>
      <c r="F168" t="n">
        <v>17.0977898112201</v>
      </c>
      <c r="G168" t="n">
        <v>3.414407627179994</v>
      </c>
      <c r="H168" t="n">
        <v>4.698072696184274</v>
      </c>
      <c r="I168" t="n">
        <v>5.164278093211339</v>
      </c>
      <c r="J168" t="n">
        <v>0.4452856452293874</v>
      </c>
      <c r="K168" t="n">
        <v>1.496491490317919</v>
      </c>
      <c r="L168" t="n">
        <v>3.119152472830278</v>
      </c>
      <c r="M168" t="n">
        <v>-1.622660982512358</v>
      </c>
      <c r="N168" t="n">
        <v>-11.93351171800876</v>
      </c>
      <c r="O168" t="inlineStr">
        <is>
          <t>Taiwan|XMTW.L|10Y</t>
        </is>
      </c>
      <c r="P168" t="inlineStr">
        <is>
          <t>Taiwan|10Y</t>
        </is>
      </c>
      <c r="Q168" t="inlineStr">
        <is>
          <t>GBp</t>
        </is>
      </c>
    </row>
    <row r="169">
      <c r="A169" t="inlineStr">
        <is>
          <t>Thailand</t>
        </is>
      </c>
      <c r="B169" t="inlineStr">
        <is>
          <t>THA</t>
        </is>
      </c>
      <c r="C169" t="inlineStr"/>
      <c r="D169" s="2" t="n">
        <v>46022</v>
      </c>
      <c r="E169" t="inlineStr">
        <is>
          <t>1Y</t>
        </is>
      </c>
      <c r="F169" t="inlineStr"/>
      <c r="G169" t="n">
        <v>2.000000000000002</v>
      </c>
      <c r="H169" t="n">
        <v>2.200039000000009</v>
      </c>
      <c r="I169" t="n">
        <v>6.088110999999996</v>
      </c>
      <c r="J169" t="n">
        <v>3.804374281499756</v>
      </c>
      <c r="K169" t="n">
        <v>0.1530000000000031</v>
      </c>
      <c r="L169" t="n">
        <v>2.715000000000001</v>
      </c>
      <c r="M169" t="n">
        <v>-2.561999999999998</v>
      </c>
      <c r="N169" t="inlineStr"/>
      <c r="O169" t="inlineStr">
        <is>
          <t>Thailand||1Y</t>
        </is>
      </c>
      <c r="P169" t="inlineStr">
        <is>
          <t>Thailand|1Y</t>
        </is>
      </c>
      <c r="Q169" t="inlineStr"/>
    </row>
    <row r="170">
      <c r="A170" t="inlineStr">
        <is>
          <t>Thailand</t>
        </is>
      </c>
      <c r="B170" t="inlineStr">
        <is>
          <t>THA</t>
        </is>
      </c>
      <c r="C170" t="inlineStr"/>
      <c r="D170" s="2" t="n">
        <v>46022</v>
      </c>
      <c r="E170" t="inlineStr">
        <is>
          <t>3Y</t>
        </is>
      </c>
      <c r="F170" t="inlineStr"/>
      <c r="G170" t="n">
        <v>2.182688480328676</v>
      </c>
      <c r="H170" t="n">
        <v>3.003779255805794</v>
      </c>
      <c r="I170" t="n">
        <v>4.06461227936048</v>
      </c>
      <c r="J170" t="n">
        <v>1.02989682499437</v>
      </c>
      <c r="K170" t="n">
        <v>0.592281175698206</v>
      </c>
      <c r="L170" t="n">
        <v>3.263156230678832</v>
      </c>
      <c r="M170" t="n">
        <v>-2.670875054980626</v>
      </c>
      <c r="N170" t="inlineStr"/>
      <c r="O170" t="inlineStr">
        <is>
          <t>Thailand||3Y</t>
        </is>
      </c>
      <c r="P170" t="inlineStr">
        <is>
          <t>Thailand|3Y</t>
        </is>
      </c>
      <c r="Q170" t="inlineStr"/>
    </row>
    <row r="171">
      <c r="A171" t="inlineStr">
        <is>
          <t>Thailand</t>
        </is>
      </c>
      <c r="B171" t="inlineStr">
        <is>
          <t>THA</t>
        </is>
      </c>
      <c r="C171" t="inlineStr"/>
      <c r="D171" s="2" t="n">
        <v>46022</v>
      </c>
      <c r="E171" t="inlineStr">
        <is>
          <t>5Y</t>
        </is>
      </c>
      <c r="F171" t="inlineStr"/>
      <c r="G171" t="n">
        <v>2.142824827726608</v>
      </c>
      <c r="H171" t="n">
        <v>3.93129222977171</v>
      </c>
      <c r="I171" t="n">
        <v>2.221386476761178</v>
      </c>
      <c r="J171" t="n">
        <v>-1.645227450314057</v>
      </c>
      <c r="K171" t="n">
        <v>1.794643676338215</v>
      </c>
      <c r="L171" t="n">
        <v>4.476417270751631</v>
      </c>
      <c r="M171" t="n">
        <v>-2.681773594413417</v>
      </c>
      <c r="N171" t="inlineStr"/>
      <c r="O171" t="inlineStr">
        <is>
          <t>Thailand||5Y</t>
        </is>
      </c>
      <c r="P171" t="inlineStr">
        <is>
          <t>Thailand|5Y</t>
        </is>
      </c>
      <c r="Q171" t="inlineStr"/>
    </row>
    <row r="172">
      <c r="A172" t="inlineStr">
        <is>
          <t>Thailand</t>
        </is>
      </c>
      <c r="B172" t="inlineStr">
        <is>
          <t>THA</t>
        </is>
      </c>
      <c r="C172" t="inlineStr"/>
      <c r="D172" s="2" t="n">
        <v>46022</v>
      </c>
      <c r="E172" t="inlineStr">
        <is>
          <t>10Y</t>
        </is>
      </c>
      <c r="F172" t="inlineStr"/>
      <c r="G172" t="n">
        <v>1.822387316345764</v>
      </c>
      <c r="H172" t="n">
        <v>3.287139139093043</v>
      </c>
      <c r="I172" t="n">
        <v>3.362144523071686</v>
      </c>
      <c r="J172" t="n">
        <v>0.07261820181074796</v>
      </c>
      <c r="K172" t="n">
        <v>1.071353436101807</v>
      </c>
      <c r="L172" t="n">
        <v>3.119152472830278</v>
      </c>
      <c r="M172" t="n">
        <v>-2.04779903672847</v>
      </c>
      <c r="N172" t="inlineStr"/>
      <c r="O172" t="inlineStr">
        <is>
          <t>Thailand||10Y</t>
        </is>
      </c>
      <c r="P172" t="inlineStr">
        <is>
          <t>Thailand|10Y</t>
        </is>
      </c>
      <c r="Q172" t="inlineStr"/>
    </row>
    <row r="173">
      <c r="A173" t="inlineStr">
        <is>
          <t>Thailand</t>
        </is>
      </c>
      <c r="B173" t="inlineStr">
        <is>
          <t>THA</t>
        </is>
      </c>
      <c r="C173" t="inlineStr">
        <is>
          <t>XCX4.L</t>
        </is>
      </c>
      <c r="D173" s="2" t="n">
        <v>46022</v>
      </c>
      <c r="E173" t="inlineStr">
        <is>
          <t>1Y</t>
        </is>
      </c>
      <c r="F173" t="n">
        <v>8.183757651034561</v>
      </c>
      <c r="G173" t="n">
        <v>2.000000000000002</v>
      </c>
      <c r="H173" t="n">
        <v>2.200039000000009</v>
      </c>
      <c r="I173" t="n">
        <v>6.088110999999996</v>
      </c>
      <c r="J173" t="n">
        <v>3.804374281499756</v>
      </c>
      <c r="K173" t="n">
        <v>0.1530000000000031</v>
      </c>
      <c r="L173" t="n">
        <v>2.715000000000001</v>
      </c>
      <c r="M173" t="n">
        <v>-2.561999999999998</v>
      </c>
      <c r="N173" t="n">
        <v>-2.095646651034565</v>
      </c>
      <c r="O173" t="inlineStr">
        <is>
          <t>Thailand|XCX4.L|1Y</t>
        </is>
      </c>
      <c r="P173" t="inlineStr">
        <is>
          <t>Thailand|1Y</t>
        </is>
      </c>
      <c r="Q173" t="inlineStr">
        <is>
          <t>GBp</t>
        </is>
      </c>
    </row>
    <row r="174">
      <c r="A174" t="inlineStr">
        <is>
          <t>Thailand</t>
        </is>
      </c>
      <c r="B174" t="inlineStr">
        <is>
          <t>THA</t>
        </is>
      </c>
      <c r="C174" t="inlineStr">
        <is>
          <t>XCX4.L</t>
        </is>
      </c>
      <c r="D174" s="2" t="n">
        <v>46022</v>
      </c>
      <c r="E174" t="inlineStr">
        <is>
          <t>3Y</t>
        </is>
      </c>
      <c r="F174" t="n">
        <v>-2.266491166089812</v>
      </c>
      <c r="G174" t="n">
        <v>2.182688480328676</v>
      </c>
      <c r="H174" t="n">
        <v>3.003779255805794</v>
      </c>
      <c r="I174" t="n">
        <v>4.06461227936048</v>
      </c>
      <c r="J174" t="n">
        <v>1.02989682499437</v>
      </c>
      <c r="K174" t="n">
        <v>0.592281175698206</v>
      </c>
      <c r="L174" t="n">
        <v>3.263156230678832</v>
      </c>
      <c r="M174" t="n">
        <v>-2.670875054980626</v>
      </c>
      <c r="N174" t="n">
        <v>6.331103445450292</v>
      </c>
      <c r="O174" t="inlineStr">
        <is>
          <t>Thailand|XCX4.L|3Y</t>
        </is>
      </c>
      <c r="P174" t="inlineStr">
        <is>
          <t>Thailand|3Y</t>
        </is>
      </c>
      <c r="Q174" t="inlineStr">
        <is>
          <t>GBp</t>
        </is>
      </c>
    </row>
    <row r="175">
      <c r="A175" t="inlineStr">
        <is>
          <t>Thailand</t>
        </is>
      </c>
      <c r="B175" t="inlineStr">
        <is>
          <t>THA</t>
        </is>
      </c>
      <c r="C175" t="inlineStr">
        <is>
          <t>XCX4.L</t>
        </is>
      </c>
      <c r="D175" s="2" t="n">
        <v>46022</v>
      </c>
      <c r="E175" t="inlineStr">
        <is>
          <t>5Y</t>
        </is>
      </c>
      <c r="F175" t="n">
        <v>-0.8851687739693581</v>
      </c>
      <c r="G175" t="n">
        <v>2.142824827726608</v>
      </c>
      <c r="H175" t="n">
        <v>3.93129222977171</v>
      </c>
      <c r="I175" t="n">
        <v>2.221386476761178</v>
      </c>
      <c r="J175" t="n">
        <v>-1.645227450314057</v>
      </c>
      <c r="K175" t="n">
        <v>1.794643676338215</v>
      </c>
      <c r="L175" t="n">
        <v>4.476417270751631</v>
      </c>
      <c r="M175" t="n">
        <v>-2.681773594413417</v>
      </c>
      <c r="N175" t="n">
        <v>3.106555250730536</v>
      </c>
      <c r="O175" t="inlineStr">
        <is>
          <t>Thailand|XCX4.L|5Y</t>
        </is>
      </c>
      <c r="P175" t="inlineStr">
        <is>
          <t>Thailand|5Y</t>
        </is>
      </c>
      <c r="Q175" t="inlineStr">
        <is>
          <t>GBp</t>
        </is>
      </c>
    </row>
    <row r="176">
      <c r="A176" t="inlineStr">
        <is>
          <t>Thailand</t>
        </is>
      </c>
      <c r="B176" t="inlineStr">
        <is>
          <t>THA</t>
        </is>
      </c>
      <c r="C176" t="inlineStr">
        <is>
          <t>XCX4.L</t>
        </is>
      </c>
      <c r="D176" s="2" t="n">
        <v>46022</v>
      </c>
      <c r="E176" t="inlineStr">
        <is>
          <t>10Y</t>
        </is>
      </c>
      <c r="F176" t="n">
        <v>4.143325020858679</v>
      </c>
      <c r="G176" t="n">
        <v>1.822387316345764</v>
      </c>
      <c r="H176" t="n">
        <v>3.287139139093043</v>
      </c>
      <c r="I176" t="n">
        <v>3.362144523071686</v>
      </c>
      <c r="J176" t="n">
        <v>0.07261820181074796</v>
      </c>
      <c r="K176" t="n">
        <v>1.071353436101807</v>
      </c>
      <c r="L176" t="n">
        <v>3.119152472830278</v>
      </c>
      <c r="M176" t="n">
        <v>-2.04779903672847</v>
      </c>
      <c r="N176" t="n">
        <v>-0.7811804977869929</v>
      </c>
      <c r="O176" t="inlineStr">
        <is>
          <t>Thailand|XCX4.L|10Y</t>
        </is>
      </c>
      <c r="P176" t="inlineStr">
        <is>
          <t>Thailand|10Y</t>
        </is>
      </c>
      <c r="Q176" t="inlineStr">
        <is>
          <t>GBp</t>
        </is>
      </c>
    </row>
    <row r="177">
      <c r="A177" t="inlineStr">
        <is>
          <t>Turkey</t>
        </is>
      </c>
      <c r="B177" t="inlineStr">
        <is>
          <t>TUR</t>
        </is>
      </c>
      <c r="C177" t="inlineStr"/>
      <c r="D177" s="2" t="n">
        <v>46022</v>
      </c>
      <c r="E177" t="inlineStr">
        <is>
          <t>1Y</t>
        </is>
      </c>
      <c r="F177" t="inlineStr"/>
      <c r="G177" t="n">
        <v>3.493999999999997</v>
      </c>
      <c r="H177" t="n">
        <v>39.45333099999999</v>
      </c>
      <c r="I177" t="n">
        <v>15.25638499999999</v>
      </c>
      <c r="J177" t="n">
        <v>-17.35128607190518</v>
      </c>
      <c r="K177" t="n">
        <v>34.89</v>
      </c>
      <c r="L177" t="n">
        <v>2.715000000000001</v>
      </c>
      <c r="M177" t="n">
        <v>32.175</v>
      </c>
      <c r="N177" t="inlineStr"/>
      <c r="O177" t="inlineStr">
        <is>
          <t>Turkey||1Y</t>
        </is>
      </c>
      <c r="P177" t="inlineStr">
        <is>
          <t>Turkey|1Y</t>
        </is>
      </c>
      <c r="Q177" t="inlineStr"/>
    </row>
    <row r="178">
      <c r="A178" t="inlineStr">
        <is>
          <t>Turkey</t>
        </is>
      </c>
      <c r="B178" t="inlineStr">
        <is>
          <t>TUR</t>
        </is>
      </c>
      <c r="C178" t="inlineStr"/>
      <c r="D178" s="2" t="n">
        <v>46022</v>
      </c>
      <c r="E178" t="inlineStr">
        <is>
          <t>3Y</t>
        </is>
      </c>
      <c r="F178" t="inlineStr"/>
      <c r="G178" t="n">
        <v>3.95280050096356</v>
      </c>
      <c r="H178" t="n">
        <v>59.49173539936783</v>
      </c>
      <c r="I178" t="n">
        <v>19.18087843836862</v>
      </c>
      <c r="J178" t="n">
        <v>-25.27457403819189</v>
      </c>
      <c r="K178" t="n">
        <v>48.72459290774773</v>
      </c>
      <c r="L178" t="n">
        <v>3.263156230678832</v>
      </c>
      <c r="M178" t="n">
        <v>45.4614366770689</v>
      </c>
      <c r="N178" t="inlineStr"/>
      <c r="O178" t="inlineStr">
        <is>
          <t>Turkey||3Y</t>
        </is>
      </c>
      <c r="P178" t="inlineStr">
        <is>
          <t>Turkey|3Y</t>
        </is>
      </c>
      <c r="Q178" t="inlineStr"/>
    </row>
    <row r="179">
      <c r="A179" t="inlineStr">
        <is>
          <t>Turkey</t>
        </is>
      </c>
      <c r="B179" t="inlineStr">
        <is>
          <t>TUR</t>
        </is>
      </c>
      <c r="C179" t="inlineStr"/>
      <c r="D179" s="2" t="n">
        <v>46022</v>
      </c>
      <c r="E179" t="inlineStr">
        <is>
          <t>5Y</t>
        </is>
      </c>
      <c r="F179" t="inlineStr"/>
      <c r="G179" t="n">
        <v>5.77926032137992</v>
      </c>
      <c r="H179" t="n">
        <v>64.62899885264861</v>
      </c>
      <c r="I179" t="n">
        <v>16.47249888199764</v>
      </c>
      <c r="J179" t="n">
        <v>-29.25152932308978</v>
      </c>
      <c r="K179" t="n">
        <v>46.63397124601288</v>
      </c>
      <c r="L179" t="n">
        <v>4.476417270751631</v>
      </c>
      <c r="M179" t="n">
        <v>42.15755397526124</v>
      </c>
      <c r="N179" t="inlineStr"/>
      <c r="O179" t="inlineStr">
        <is>
          <t>Turkey||5Y</t>
        </is>
      </c>
      <c r="P179" t="inlineStr">
        <is>
          <t>Turkey|5Y</t>
        </is>
      </c>
      <c r="Q179" t="inlineStr"/>
    </row>
    <row r="180">
      <c r="A180" t="inlineStr">
        <is>
          <t>Turkey</t>
        </is>
      </c>
      <c r="B180" t="inlineStr">
        <is>
          <t>TUR</t>
        </is>
      </c>
      <c r="C180" t="inlineStr"/>
      <c r="D180" s="2" t="n">
        <v>46022</v>
      </c>
      <c r="E180" t="inlineStr">
        <is>
          <t>10Y</t>
        </is>
      </c>
      <c r="F180" t="inlineStr"/>
      <c r="G180" t="n">
        <v>4.643244943240665</v>
      </c>
      <c r="H180" t="n">
        <v>38.7337739966562</v>
      </c>
      <c r="I180" t="n">
        <v>6.072382672649201</v>
      </c>
      <c r="J180" t="n">
        <v>-23.5424945946352</v>
      </c>
      <c r="K180" t="n">
        <v>28.43815342456906</v>
      </c>
      <c r="L180" t="n">
        <v>3.119152472830278</v>
      </c>
      <c r="M180" t="n">
        <v>25.31900095173878</v>
      </c>
      <c r="N180" t="inlineStr"/>
      <c r="O180" t="inlineStr">
        <is>
          <t>Turkey||10Y</t>
        </is>
      </c>
      <c r="P180" t="inlineStr">
        <is>
          <t>Turkey|10Y</t>
        </is>
      </c>
      <c r="Q180" t="inlineStr"/>
    </row>
    <row r="181">
      <c r="A181" t="inlineStr">
        <is>
          <t>Turkey</t>
        </is>
      </c>
      <c r="B181" t="inlineStr">
        <is>
          <t>TUR</t>
        </is>
      </c>
      <c r="C181" t="inlineStr">
        <is>
          <t>TURL.L</t>
        </is>
      </c>
      <c r="D181" s="2" t="n">
        <v>46022</v>
      </c>
      <c r="E181" t="inlineStr">
        <is>
          <t>1Y</t>
        </is>
      </c>
      <c r="F181" t="n">
        <v>7.571929555270285</v>
      </c>
      <c r="G181" t="n">
        <v>3.493999999999997</v>
      </c>
      <c r="H181" t="n">
        <v>39.45333099999999</v>
      </c>
      <c r="I181" t="n">
        <v>15.25638499999999</v>
      </c>
      <c r="J181" t="n">
        <v>-17.35128607190518</v>
      </c>
      <c r="K181" t="n">
        <v>34.89</v>
      </c>
      <c r="L181" t="n">
        <v>2.715000000000001</v>
      </c>
      <c r="M181" t="n">
        <v>32.175</v>
      </c>
      <c r="N181" t="n">
        <v>7.68445544472971</v>
      </c>
      <c r="O181" t="inlineStr">
        <is>
          <t>Turkey|TURL.L|1Y</t>
        </is>
      </c>
      <c r="P181" t="inlineStr">
        <is>
          <t>Turkey|1Y</t>
        </is>
      </c>
      <c r="Q181" t="inlineStr">
        <is>
          <t>GBp</t>
        </is>
      </c>
    </row>
    <row r="182">
      <c r="A182" t="inlineStr">
        <is>
          <t>Turkey</t>
        </is>
      </c>
      <c r="B182" t="inlineStr">
        <is>
          <t>TUR</t>
        </is>
      </c>
      <c r="C182" t="inlineStr">
        <is>
          <t>TURL.L</t>
        </is>
      </c>
      <c r="D182" s="2" t="n">
        <v>46022</v>
      </c>
      <c r="E182" t="inlineStr">
        <is>
          <t>3Y</t>
        </is>
      </c>
      <c r="F182" t="n">
        <v>-3.696072538823703</v>
      </c>
      <c r="G182" t="n">
        <v>3.95280050096356</v>
      </c>
      <c r="H182" t="n">
        <v>59.49173539936783</v>
      </c>
      <c r="I182" t="n">
        <v>19.18087843836862</v>
      </c>
      <c r="J182" t="n">
        <v>-25.27457403819189</v>
      </c>
      <c r="K182" t="n">
        <v>48.72459290774773</v>
      </c>
      <c r="L182" t="n">
        <v>3.263156230678832</v>
      </c>
      <c r="M182" t="n">
        <v>45.4614366770689</v>
      </c>
      <c r="N182" t="n">
        <v>22.87695097719232</v>
      </c>
      <c r="O182" t="inlineStr">
        <is>
          <t>Turkey|TURL.L|3Y</t>
        </is>
      </c>
      <c r="P182" t="inlineStr">
        <is>
          <t>Turkey|3Y</t>
        </is>
      </c>
      <c r="Q182" t="inlineStr">
        <is>
          <t>GBp</t>
        </is>
      </c>
    </row>
    <row r="183">
      <c r="A183" t="inlineStr">
        <is>
          <t>Turkey</t>
        </is>
      </c>
      <c r="B183" t="inlineStr">
        <is>
          <t>TUR</t>
        </is>
      </c>
      <c r="C183" t="inlineStr">
        <is>
          <t>TURL.L</t>
        </is>
      </c>
      <c r="D183" s="2" t="n">
        <v>46022</v>
      </c>
      <c r="E183" t="inlineStr">
        <is>
          <t>5Y</t>
        </is>
      </c>
      <c r="F183" t="n">
        <v>4.603693326194813</v>
      </c>
      <c r="G183" t="n">
        <v>5.77926032137992</v>
      </c>
      <c r="H183" t="n">
        <v>64.62899885264861</v>
      </c>
      <c r="I183" t="n">
        <v>16.47249888199764</v>
      </c>
      <c r="J183" t="n">
        <v>-29.25152932308978</v>
      </c>
      <c r="K183" t="n">
        <v>46.63397124601288</v>
      </c>
      <c r="L183" t="n">
        <v>4.476417270751631</v>
      </c>
      <c r="M183" t="n">
        <v>42.15755397526124</v>
      </c>
      <c r="N183" t="n">
        <v>11.86880555580283</v>
      </c>
      <c r="O183" t="inlineStr">
        <is>
          <t>Turkey|TURL.L|5Y</t>
        </is>
      </c>
      <c r="P183" t="inlineStr">
        <is>
          <t>Turkey|5Y</t>
        </is>
      </c>
      <c r="Q183" t="inlineStr">
        <is>
          <t>GBp</t>
        </is>
      </c>
    </row>
    <row r="184">
      <c r="A184" t="inlineStr">
        <is>
          <t>Turkey</t>
        </is>
      </c>
      <c r="B184" t="inlineStr">
        <is>
          <t>TUR</t>
        </is>
      </c>
      <c r="C184" t="inlineStr">
        <is>
          <t>TURL.L</t>
        </is>
      </c>
      <c r="D184" s="2" t="n">
        <v>46022</v>
      </c>
      <c r="E184" t="inlineStr">
        <is>
          <t>10Y</t>
        </is>
      </c>
      <c r="F184" t="n">
        <v>-3.692303541049458</v>
      </c>
      <c r="G184" t="n">
        <v>4.643244943240665</v>
      </c>
      <c r="H184" t="n">
        <v>38.7337739966562</v>
      </c>
      <c r="I184" t="n">
        <v>6.072382672649201</v>
      </c>
      <c r="J184" t="n">
        <v>-23.5424945946352</v>
      </c>
      <c r="K184" t="n">
        <v>28.43815342456906</v>
      </c>
      <c r="L184" t="n">
        <v>3.119152472830278</v>
      </c>
      <c r="M184" t="n">
        <v>25.31900095173878</v>
      </c>
      <c r="N184" t="n">
        <v>9.76468621369866</v>
      </c>
      <c r="O184" t="inlineStr">
        <is>
          <t>Turkey|TURL.L|10Y</t>
        </is>
      </c>
      <c r="P184" t="inlineStr">
        <is>
          <t>Turkey|10Y</t>
        </is>
      </c>
      <c r="Q184" t="inlineStr">
        <is>
          <t>GBp</t>
        </is>
      </c>
    </row>
    <row r="185">
      <c r="A185" t="inlineStr">
        <is>
          <t>United Kingdom</t>
        </is>
      </c>
      <c r="B185" t="inlineStr">
        <is>
          <t>GBR</t>
        </is>
      </c>
      <c r="C185" t="inlineStr"/>
      <c r="D185" s="2" t="n">
        <v>46022</v>
      </c>
      <c r="E185" t="inlineStr">
        <is>
          <t>1Y</t>
        </is>
      </c>
      <c r="F185" t="inlineStr"/>
      <c r="G185" t="n">
        <v>1.307999999999998</v>
      </c>
      <c r="H185" t="n">
        <v>4.886900999999999</v>
      </c>
      <c r="I185" t="n">
        <v>8.619351999999992</v>
      </c>
      <c r="J185" t="n">
        <v>3.558548457791244</v>
      </c>
      <c r="K185" t="n">
        <v>3.401999999999994</v>
      </c>
      <c r="L185" t="n">
        <v>2.715000000000001</v>
      </c>
      <c r="M185" t="n">
        <v>0.6869999999999932</v>
      </c>
      <c r="N185" t="inlineStr"/>
      <c r="O185" t="inlineStr">
        <is>
          <t>United Kingdom||1Y</t>
        </is>
      </c>
      <c r="P185" t="inlineStr">
        <is>
          <t>United Kingdom|1Y</t>
        </is>
      </c>
      <c r="Q185" t="inlineStr"/>
    </row>
    <row r="186">
      <c r="A186" t="inlineStr">
        <is>
          <t>United Kingdom</t>
        </is>
      </c>
      <c r="B186" t="inlineStr">
        <is>
          <t>GBR</t>
        </is>
      </c>
      <c r="C186" t="inlineStr"/>
      <c r="D186" s="2" t="n">
        <v>46022</v>
      </c>
      <c r="E186" t="inlineStr">
        <is>
          <t>3Y</t>
        </is>
      </c>
      <c r="F186" t="inlineStr"/>
      <c r="G186" t="n">
        <v>0.934579070475805</v>
      </c>
      <c r="H186" t="n">
        <v>5.779933394896974</v>
      </c>
      <c r="I186" t="n">
        <v>8.197792806603864</v>
      </c>
      <c r="J186" t="n">
        <v>2.285744808393497</v>
      </c>
      <c r="K186" t="n">
        <v>4.391207274119235</v>
      </c>
      <c r="L186" t="n">
        <v>3.263156230678832</v>
      </c>
      <c r="M186" t="n">
        <v>1.128051043440403</v>
      </c>
      <c r="N186" t="inlineStr"/>
      <c r="O186" t="inlineStr">
        <is>
          <t>United Kingdom||3Y</t>
        </is>
      </c>
      <c r="P186" t="inlineStr">
        <is>
          <t>United Kingdom|3Y</t>
        </is>
      </c>
      <c r="Q186" t="inlineStr"/>
    </row>
    <row r="187">
      <c r="A187" t="inlineStr">
        <is>
          <t>United Kingdom</t>
        </is>
      </c>
      <c r="B187" t="inlineStr">
        <is>
          <t>GBR</t>
        </is>
      </c>
      <c r="C187" t="inlineStr"/>
      <c r="D187" s="2" t="n">
        <v>46022</v>
      </c>
      <c r="E187" t="inlineStr">
        <is>
          <t>5Y</t>
        </is>
      </c>
      <c r="F187" t="inlineStr"/>
      <c r="G187" t="n">
        <v>3.198961574222303</v>
      </c>
      <c r="H187" t="n">
        <v>7.289058230505674</v>
      </c>
      <c r="I187" t="n">
        <v>7.964552917353718</v>
      </c>
      <c r="J187" t="n">
        <v>0.6296024866336847</v>
      </c>
      <c r="K187" t="n">
        <v>4.943691833111097</v>
      </c>
      <c r="L187" t="n">
        <v>4.476417270751631</v>
      </c>
      <c r="M187" t="n">
        <v>0.4672745623594654</v>
      </c>
      <c r="N187" t="inlineStr"/>
      <c r="O187" t="inlineStr">
        <is>
          <t>United Kingdom||5Y</t>
        </is>
      </c>
      <c r="P187" t="inlineStr">
        <is>
          <t>United Kingdom|5Y</t>
        </is>
      </c>
      <c r="Q187" t="inlineStr"/>
    </row>
    <row r="188">
      <c r="A188" t="inlineStr">
        <is>
          <t>United Kingdom</t>
        </is>
      </c>
      <c r="B188" t="inlineStr">
        <is>
          <t>GBR</t>
        </is>
      </c>
      <c r="C188" t="inlineStr"/>
      <c r="D188" s="2" t="n">
        <v>46022</v>
      </c>
      <c r="E188" t="inlineStr">
        <is>
          <t>10Y</t>
        </is>
      </c>
      <c r="F188" t="inlineStr"/>
      <c r="G188" t="n">
        <v>1.248728139241617</v>
      </c>
      <c r="H188" t="n">
        <v>4.549487231423588</v>
      </c>
      <c r="I188" t="n">
        <v>3.060146113533135</v>
      </c>
      <c r="J188" t="n">
        <v>-1.424532290257197</v>
      </c>
      <c r="K188" t="n">
        <v>3.303667380071795</v>
      </c>
      <c r="L188" t="n">
        <v>3.119152472830278</v>
      </c>
      <c r="M188" t="n">
        <v>0.1845149072415175</v>
      </c>
      <c r="N188" t="inlineStr"/>
      <c r="O188" t="inlineStr">
        <is>
          <t>United Kingdom||10Y</t>
        </is>
      </c>
      <c r="P188" t="inlineStr">
        <is>
          <t>United Kingdom|10Y</t>
        </is>
      </c>
      <c r="Q188" t="inlineStr"/>
    </row>
    <row r="189">
      <c r="A189" t="inlineStr">
        <is>
          <t>United Kingdom</t>
        </is>
      </c>
      <c r="B189" t="inlineStr">
        <is>
          <t>GBR</t>
        </is>
      </c>
      <c r="C189" t="inlineStr">
        <is>
          <t>CSUK.L</t>
        </is>
      </c>
      <c r="D189" s="2" t="n">
        <v>46022</v>
      </c>
      <c r="E189" t="inlineStr">
        <is>
          <t>1Y</t>
        </is>
      </c>
      <c r="F189" t="n">
        <v>33.16904002605603</v>
      </c>
      <c r="G189" t="n">
        <v>1.307999999999998</v>
      </c>
      <c r="H189" t="n">
        <v>4.886900999999999</v>
      </c>
      <c r="I189" t="n">
        <v>8.619351999999992</v>
      </c>
      <c r="J189" t="n">
        <v>3.558548457791244</v>
      </c>
      <c r="K189" t="n">
        <v>3.401999999999994</v>
      </c>
      <c r="L189" t="n">
        <v>2.715000000000001</v>
      </c>
      <c r="M189" t="n">
        <v>0.6869999999999932</v>
      </c>
      <c r="N189" t="n">
        <v>-24.54968802605604</v>
      </c>
      <c r="O189" t="inlineStr">
        <is>
          <t>United Kingdom|CSUK.L|1Y</t>
        </is>
      </c>
      <c r="P189" t="inlineStr">
        <is>
          <t>United Kingdom|1Y</t>
        </is>
      </c>
      <c r="Q189" t="inlineStr">
        <is>
          <t>GBp</t>
        </is>
      </c>
    </row>
    <row r="190">
      <c r="A190" t="inlineStr">
        <is>
          <t>United Kingdom</t>
        </is>
      </c>
      <c r="B190" t="inlineStr">
        <is>
          <t>GBR</t>
        </is>
      </c>
      <c r="C190" t="inlineStr">
        <is>
          <t>CSUK.L</t>
        </is>
      </c>
      <c r="D190" s="2" t="n">
        <v>46022</v>
      </c>
      <c r="E190" t="inlineStr">
        <is>
          <t>3Y</t>
        </is>
      </c>
      <c r="F190" t="n">
        <v>17.09634052839633</v>
      </c>
      <c r="G190" t="n">
        <v>0.934579070475805</v>
      </c>
      <c r="H190" t="n">
        <v>5.779933394896974</v>
      </c>
      <c r="I190" t="n">
        <v>8.197792806603864</v>
      </c>
      <c r="J190" t="n">
        <v>2.285744808393497</v>
      </c>
      <c r="K190" t="n">
        <v>4.391207274119235</v>
      </c>
      <c r="L190" t="n">
        <v>3.263156230678832</v>
      </c>
      <c r="M190" t="n">
        <v>1.128051043440403</v>
      </c>
      <c r="N190" t="n">
        <v>-8.898547721792461</v>
      </c>
      <c r="O190" t="inlineStr">
        <is>
          <t>United Kingdom|CSUK.L|3Y</t>
        </is>
      </c>
      <c r="P190" t="inlineStr">
        <is>
          <t>United Kingdom|3Y</t>
        </is>
      </c>
      <c r="Q190" t="inlineStr">
        <is>
          <t>GBp</t>
        </is>
      </c>
    </row>
    <row r="191">
      <c r="A191" t="inlineStr">
        <is>
          <t>United Kingdom</t>
        </is>
      </c>
      <c r="B191" t="inlineStr">
        <is>
          <t>GBR</t>
        </is>
      </c>
      <c r="C191" t="inlineStr">
        <is>
          <t>CSUK.L</t>
        </is>
      </c>
      <c r="D191" s="2" t="n">
        <v>46022</v>
      </c>
      <c r="E191" t="inlineStr">
        <is>
          <t>5Y</t>
        </is>
      </c>
      <c r="F191" t="n">
        <v>12.26276133262585</v>
      </c>
      <c r="G191" t="n">
        <v>3.198961574222303</v>
      </c>
      <c r="H191" t="n">
        <v>7.289058230505674</v>
      </c>
      <c r="I191" t="n">
        <v>7.964552917353718</v>
      </c>
      <c r="J191" t="n">
        <v>0.6296024866336847</v>
      </c>
      <c r="K191" t="n">
        <v>4.943691833111097</v>
      </c>
      <c r="L191" t="n">
        <v>4.476417270751631</v>
      </c>
      <c r="M191" t="n">
        <v>0.4672745623594654</v>
      </c>
      <c r="N191" t="n">
        <v>-4.298208415272132</v>
      </c>
      <c r="O191" t="inlineStr">
        <is>
          <t>United Kingdom|CSUK.L|5Y</t>
        </is>
      </c>
      <c r="P191" t="inlineStr">
        <is>
          <t>United Kingdom|5Y</t>
        </is>
      </c>
      <c r="Q191" t="inlineStr">
        <is>
          <t>GBp</t>
        </is>
      </c>
    </row>
    <row r="192">
      <c r="A192" t="inlineStr">
        <is>
          <t>United Kingdom</t>
        </is>
      </c>
      <c r="B192" t="inlineStr">
        <is>
          <t>GBR</t>
        </is>
      </c>
      <c r="C192" t="inlineStr">
        <is>
          <t>CSUK.L</t>
        </is>
      </c>
      <c r="D192" s="2" t="n">
        <v>46022</v>
      </c>
      <c r="E192" t="inlineStr">
        <is>
          <t>10Y</t>
        </is>
      </c>
      <c r="F192" t="n">
        <v>7.344623806201511</v>
      </c>
      <c r="G192" t="n">
        <v>1.248728139241617</v>
      </c>
      <c r="H192" t="n">
        <v>4.549487231423588</v>
      </c>
      <c r="I192" t="n">
        <v>3.060146113533135</v>
      </c>
      <c r="J192" t="n">
        <v>-1.424532290257197</v>
      </c>
      <c r="K192" t="n">
        <v>3.303667380071795</v>
      </c>
      <c r="L192" t="n">
        <v>3.119152472830278</v>
      </c>
      <c r="M192" t="n">
        <v>0.1845149072415175</v>
      </c>
      <c r="N192" t="n">
        <v>-4.284477692668376</v>
      </c>
      <c r="O192" t="inlineStr">
        <is>
          <t>United Kingdom|CSUK.L|10Y</t>
        </is>
      </c>
      <c r="P192" t="inlineStr">
        <is>
          <t>United Kingdom|10Y</t>
        </is>
      </c>
      <c r="Q192" t="inlineStr">
        <is>
          <t>GBp</t>
        </is>
      </c>
    </row>
    <row r="193">
      <c r="A193" t="inlineStr">
        <is>
          <t>United Kingdom</t>
        </is>
      </c>
      <c r="B193" t="inlineStr">
        <is>
          <t>GBR</t>
        </is>
      </c>
      <c r="C193" t="inlineStr">
        <is>
          <t>CUKX.L</t>
        </is>
      </c>
      <c r="D193" s="2" t="n">
        <v>46022</v>
      </c>
      <c r="E193" t="inlineStr">
        <is>
          <t>1Y</t>
        </is>
      </c>
      <c r="F193" t="n">
        <v>33.88458439596942</v>
      </c>
      <c r="G193" t="n">
        <v>1.307999999999998</v>
      </c>
      <c r="H193" t="n">
        <v>4.886900999999999</v>
      </c>
      <c r="I193" t="n">
        <v>8.619351999999992</v>
      </c>
      <c r="J193" t="n">
        <v>3.558548457791244</v>
      </c>
      <c r="K193" t="n">
        <v>3.401999999999994</v>
      </c>
      <c r="L193" t="n">
        <v>2.715000000000001</v>
      </c>
      <c r="M193" t="n">
        <v>0.6869999999999932</v>
      </c>
      <c r="N193" t="n">
        <v>-25.26523239596943</v>
      </c>
      <c r="O193" t="inlineStr">
        <is>
          <t>United Kingdom|CUKX.L|1Y</t>
        </is>
      </c>
      <c r="P193" t="inlineStr">
        <is>
          <t>United Kingdom|1Y</t>
        </is>
      </c>
      <c r="Q193" t="inlineStr">
        <is>
          <t>GBp</t>
        </is>
      </c>
    </row>
    <row r="194">
      <c r="A194" t="inlineStr">
        <is>
          <t>United Kingdom</t>
        </is>
      </c>
      <c r="B194" t="inlineStr">
        <is>
          <t>GBR</t>
        </is>
      </c>
      <c r="C194" t="inlineStr">
        <is>
          <t>CUKX.L</t>
        </is>
      </c>
      <c r="D194" s="2" t="n">
        <v>46022</v>
      </c>
      <c r="E194" t="inlineStr">
        <is>
          <t>3Y</t>
        </is>
      </c>
      <c r="F194" t="n">
        <v>17.74518267401215</v>
      </c>
      <c r="G194" t="n">
        <v>0.934579070475805</v>
      </c>
      <c r="H194" t="n">
        <v>5.779933394896974</v>
      </c>
      <c r="I194" t="n">
        <v>8.197792806603864</v>
      </c>
      <c r="J194" t="n">
        <v>2.285744808393497</v>
      </c>
      <c r="K194" t="n">
        <v>4.391207274119235</v>
      </c>
      <c r="L194" t="n">
        <v>3.263156230678832</v>
      </c>
      <c r="M194" t="n">
        <v>1.128051043440403</v>
      </c>
      <c r="N194" t="n">
        <v>-9.547389867408285</v>
      </c>
      <c r="O194" t="inlineStr">
        <is>
          <t>United Kingdom|CUKX.L|3Y</t>
        </is>
      </c>
      <c r="P194" t="inlineStr">
        <is>
          <t>United Kingdom|3Y</t>
        </is>
      </c>
      <c r="Q194" t="inlineStr">
        <is>
          <t>GBp</t>
        </is>
      </c>
    </row>
    <row r="195">
      <c r="A195" t="inlineStr">
        <is>
          <t>United Kingdom</t>
        </is>
      </c>
      <c r="B195" t="inlineStr">
        <is>
          <t>GBR</t>
        </is>
      </c>
      <c r="C195" t="inlineStr">
        <is>
          <t>CUKX.L</t>
        </is>
      </c>
      <c r="D195" s="2" t="n">
        <v>46022</v>
      </c>
      <c r="E195" t="inlineStr">
        <is>
          <t>5Y</t>
        </is>
      </c>
      <c r="F195" t="n">
        <v>12.00906740336205</v>
      </c>
      <c r="G195" t="n">
        <v>3.198961574222303</v>
      </c>
      <c r="H195" t="n">
        <v>7.289058230505674</v>
      </c>
      <c r="I195" t="n">
        <v>7.964552917353718</v>
      </c>
      <c r="J195" t="n">
        <v>0.6296024866336847</v>
      </c>
      <c r="K195" t="n">
        <v>4.943691833111097</v>
      </c>
      <c r="L195" t="n">
        <v>4.476417270751631</v>
      </c>
      <c r="M195" t="n">
        <v>0.4672745623594654</v>
      </c>
      <c r="N195" t="n">
        <v>-4.044514486008332</v>
      </c>
      <c r="O195" t="inlineStr">
        <is>
          <t>United Kingdom|CUKX.L|5Y</t>
        </is>
      </c>
      <c r="P195" t="inlineStr">
        <is>
          <t>United Kingdom|5Y</t>
        </is>
      </c>
      <c r="Q195" t="inlineStr">
        <is>
          <t>GBp</t>
        </is>
      </c>
    </row>
    <row r="196">
      <c r="A196" t="inlineStr">
        <is>
          <t>United Kingdom</t>
        </is>
      </c>
      <c r="B196" t="inlineStr">
        <is>
          <t>GBR</t>
        </is>
      </c>
      <c r="C196" t="inlineStr">
        <is>
          <t>CUKX.L</t>
        </is>
      </c>
      <c r="D196" s="2" t="n">
        <v>46022</v>
      </c>
      <c r="E196" t="inlineStr">
        <is>
          <t>10Y</t>
        </is>
      </c>
      <c r="F196" t="n">
        <v>7.688333700279237</v>
      </c>
      <c r="G196" t="n">
        <v>1.248728139241617</v>
      </c>
      <c r="H196" t="n">
        <v>4.549487231423588</v>
      </c>
      <c r="I196" t="n">
        <v>3.060146113533135</v>
      </c>
      <c r="J196" t="n">
        <v>-1.424532290257197</v>
      </c>
      <c r="K196" t="n">
        <v>3.303667380071795</v>
      </c>
      <c r="L196" t="n">
        <v>3.119152472830278</v>
      </c>
      <c r="M196" t="n">
        <v>0.1845149072415175</v>
      </c>
      <c r="N196" t="n">
        <v>-4.628187586746102</v>
      </c>
      <c r="O196" t="inlineStr">
        <is>
          <t>United Kingdom|CUKX.L|10Y</t>
        </is>
      </c>
      <c r="P196" t="inlineStr">
        <is>
          <t>United Kingdom|10Y</t>
        </is>
      </c>
      <c r="Q196" t="inlineStr">
        <is>
          <t>GBp</t>
        </is>
      </c>
    </row>
    <row r="197">
      <c r="A197" t="inlineStr">
        <is>
          <t>United States</t>
        </is>
      </c>
      <c r="B197" t="inlineStr">
        <is>
          <t>USA</t>
        </is>
      </c>
      <c r="C197" t="inlineStr"/>
      <c r="D197" s="2" t="n">
        <v>46022</v>
      </c>
      <c r="E197" t="inlineStr">
        <is>
          <t>1Y</t>
        </is>
      </c>
      <c r="F197" t="inlineStr"/>
      <c r="G197" t="n">
        <v>2.017000000000002</v>
      </c>
      <c r="H197" t="n">
        <v>4.497634000000006</v>
      </c>
      <c r="I197" t="n">
        <v>4.497634000000006</v>
      </c>
      <c r="J197" t="n">
        <v>0</v>
      </c>
      <c r="K197" t="n">
        <v>2.715000000000001</v>
      </c>
      <c r="L197" t="n">
        <v>2.715000000000001</v>
      </c>
      <c r="M197" t="n">
        <v>0</v>
      </c>
      <c r="N197" t="inlineStr"/>
      <c r="O197" t="inlineStr">
        <is>
          <t>United States||1Y</t>
        </is>
      </c>
      <c r="P197" t="inlineStr">
        <is>
          <t>United States|1Y</t>
        </is>
      </c>
      <c r="Q197" t="inlineStr"/>
    </row>
    <row r="198">
      <c r="A198" t="inlineStr">
        <is>
          <t>United States</t>
        </is>
      </c>
      <c r="B198" t="inlineStr">
        <is>
          <t>USA</t>
        </is>
      </c>
      <c r="C198" t="inlineStr"/>
      <c r="D198" s="2" t="n">
        <v>46022</v>
      </c>
      <c r="E198" t="inlineStr">
        <is>
          <t>3Y</t>
        </is>
      </c>
      <c r="F198" t="inlineStr"/>
      <c r="G198" t="n">
        <v>2.580871884428859</v>
      </c>
      <c r="H198" t="n">
        <v>5.524539071077084</v>
      </c>
      <c r="I198" t="n">
        <v>5.524539071077084</v>
      </c>
      <c r="J198" t="n">
        <v>0</v>
      </c>
      <c r="K198" t="n">
        <v>3.263156230678832</v>
      </c>
      <c r="L198" t="n">
        <v>3.263156230678832</v>
      </c>
      <c r="M198" t="n">
        <v>0</v>
      </c>
      <c r="N198" t="inlineStr"/>
      <c r="O198" t="inlineStr">
        <is>
          <t>United States||3Y</t>
        </is>
      </c>
      <c r="P198" t="inlineStr">
        <is>
          <t>United States|3Y</t>
        </is>
      </c>
      <c r="Q198" t="inlineStr"/>
    </row>
    <row r="199">
      <c r="A199" t="inlineStr">
        <is>
          <t>United States</t>
        </is>
      </c>
      <c r="B199" t="inlineStr">
        <is>
          <t>USA</t>
        </is>
      </c>
      <c r="C199" t="inlineStr"/>
      <c r="D199" s="2" t="n">
        <v>46022</v>
      </c>
      <c r="E199" t="inlineStr">
        <is>
          <t>5Y</t>
        </is>
      </c>
      <c r="F199" t="inlineStr"/>
      <c r="G199" t="n">
        <v>3.273899606073449</v>
      </c>
      <c r="H199" t="n">
        <v>7.450048996640191</v>
      </c>
      <c r="I199" t="n">
        <v>7.450048996640191</v>
      </c>
      <c r="J199" t="n">
        <v>0</v>
      </c>
      <c r="K199" t="n">
        <v>4.476417270751631</v>
      </c>
      <c r="L199" t="n">
        <v>4.476417270751631</v>
      </c>
      <c r="M199" t="n">
        <v>0</v>
      </c>
      <c r="N199" t="inlineStr"/>
      <c r="O199" t="inlineStr">
        <is>
          <t>United States||5Y</t>
        </is>
      </c>
      <c r="P199" t="inlineStr">
        <is>
          <t>United States|5Y</t>
        </is>
      </c>
      <c r="Q199" t="inlineStr"/>
    </row>
    <row r="200">
      <c r="A200" t="inlineStr">
        <is>
          <t>United States</t>
        </is>
      </c>
      <c r="B200" t="inlineStr">
        <is>
          <t>USA</t>
        </is>
      </c>
      <c r="C200" t="inlineStr"/>
      <c r="D200" s="2" t="n">
        <v>46022</v>
      </c>
      <c r="E200" t="inlineStr">
        <is>
          <t>10Y</t>
        </is>
      </c>
      <c r="F200" t="inlineStr"/>
      <c r="G200" t="n">
        <v>2.399456279066103</v>
      </c>
      <c r="H200" t="n">
        <v>5.283724060684203</v>
      </c>
      <c r="I200" t="n">
        <v>5.283724060684203</v>
      </c>
      <c r="J200" t="n">
        <v>0</v>
      </c>
      <c r="K200" t="n">
        <v>3.119152472830278</v>
      </c>
      <c r="L200" t="n">
        <v>3.119152472830278</v>
      </c>
      <c r="M200" t="n">
        <v>0</v>
      </c>
      <c r="N200" t="inlineStr"/>
      <c r="O200" t="inlineStr">
        <is>
          <t>United States||10Y</t>
        </is>
      </c>
      <c r="P200" t="inlineStr">
        <is>
          <t>United States|10Y</t>
        </is>
      </c>
      <c r="Q200" t="inlineStr"/>
    </row>
    <row r="201">
      <c r="A201" t="inlineStr">
        <is>
          <t>United States</t>
        </is>
      </c>
      <c r="B201" t="inlineStr">
        <is>
          <t>USA</t>
        </is>
      </c>
      <c r="C201" t="inlineStr">
        <is>
          <t>CSPX.L</t>
        </is>
      </c>
      <c r="D201" s="2" t="n">
        <v>46022</v>
      </c>
      <c r="E201" t="inlineStr">
        <is>
          <t>1Y</t>
        </is>
      </c>
      <c r="F201" t="n">
        <v>18.0137493932327</v>
      </c>
      <c r="G201" t="n">
        <v>2.017000000000002</v>
      </c>
      <c r="H201" t="n">
        <v>4.497634000000006</v>
      </c>
      <c r="I201" t="n">
        <v>4.497634000000006</v>
      </c>
      <c r="J201" t="n">
        <v>0</v>
      </c>
      <c r="K201" t="n">
        <v>2.715000000000001</v>
      </c>
      <c r="L201" t="n">
        <v>2.715000000000001</v>
      </c>
      <c r="M201" t="n">
        <v>0</v>
      </c>
      <c r="N201" t="n">
        <v>-13.5161153932327</v>
      </c>
      <c r="O201" t="inlineStr">
        <is>
          <t>United States|CSPX.L|1Y</t>
        </is>
      </c>
      <c r="P201" t="inlineStr">
        <is>
          <t>United States|1Y</t>
        </is>
      </c>
      <c r="Q201" t="inlineStr">
        <is>
          <t>USD</t>
        </is>
      </c>
    </row>
    <row r="202">
      <c r="A202" t="inlineStr">
        <is>
          <t>United States</t>
        </is>
      </c>
      <c r="B202" t="inlineStr">
        <is>
          <t>USA</t>
        </is>
      </c>
      <c r="C202" t="inlineStr">
        <is>
          <t>CSPX.L</t>
        </is>
      </c>
      <c r="D202" s="2" t="n">
        <v>46022</v>
      </c>
      <c r="E202" t="inlineStr">
        <is>
          <t>3Y</t>
        </is>
      </c>
      <c r="F202" t="n">
        <v>23.26916970836443</v>
      </c>
      <c r="G202" t="n">
        <v>2.580871884428859</v>
      </c>
      <c r="H202" t="n">
        <v>5.524539071077084</v>
      </c>
      <c r="I202" t="n">
        <v>5.524539071077084</v>
      </c>
      <c r="J202" t="n">
        <v>0</v>
      </c>
      <c r="K202" t="n">
        <v>3.263156230678832</v>
      </c>
      <c r="L202" t="n">
        <v>3.263156230678832</v>
      </c>
      <c r="M202" t="n">
        <v>0</v>
      </c>
      <c r="N202" t="n">
        <v>-17.74463063728735</v>
      </c>
      <c r="O202" t="inlineStr">
        <is>
          <t>United States|CSPX.L|3Y</t>
        </is>
      </c>
      <c r="P202" t="inlineStr">
        <is>
          <t>United States|3Y</t>
        </is>
      </c>
      <c r="Q202" t="inlineStr">
        <is>
          <t>USD</t>
        </is>
      </c>
    </row>
    <row r="203">
      <c r="A203" t="inlineStr">
        <is>
          <t>United States</t>
        </is>
      </c>
      <c r="B203" t="inlineStr">
        <is>
          <t>USA</t>
        </is>
      </c>
      <c r="C203" t="inlineStr">
        <is>
          <t>CSPX.L</t>
        </is>
      </c>
      <c r="D203" s="2" t="n">
        <v>46022</v>
      </c>
      <c r="E203" t="inlineStr">
        <is>
          <t>5Y</t>
        </is>
      </c>
      <c r="F203" t="n">
        <v>14.59526939900584</v>
      </c>
      <c r="G203" t="n">
        <v>3.273899606073449</v>
      </c>
      <c r="H203" t="n">
        <v>7.450048996640191</v>
      </c>
      <c r="I203" t="n">
        <v>7.450048996640191</v>
      </c>
      <c r="J203" t="n">
        <v>0</v>
      </c>
      <c r="K203" t="n">
        <v>4.476417270751631</v>
      </c>
      <c r="L203" t="n">
        <v>4.476417270751631</v>
      </c>
      <c r="M203" t="n">
        <v>0</v>
      </c>
      <c r="N203" t="n">
        <v>-7.145220402365649</v>
      </c>
      <c r="O203" t="inlineStr">
        <is>
          <t>United States|CSPX.L|5Y</t>
        </is>
      </c>
      <c r="P203" t="inlineStr">
        <is>
          <t>United States|5Y</t>
        </is>
      </c>
      <c r="Q203" t="inlineStr">
        <is>
          <t>USD</t>
        </is>
      </c>
    </row>
    <row r="204">
      <c r="A204" t="inlineStr">
        <is>
          <t>United States</t>
        </is>
      </c>
      <c r="B204" t="inlineStr">
        <is>
          <t>USA</t>
        </is>
      </c>
      <c r="C204" t="inlineStr">
        <is>
          <t>CSPX.L</t>
        </is>
      </c>
      <c r="D204" s="2" t="n">
        <v>46022</v>
      </c>
      <c r="E204" t="inlineStr">
        <is>
          <t>10Y</t>
        </is>
      </c>
      <c r="F204" t="n">
        <v>14.82095603987432</v>
      </c>
      <c r="G204" t="n">
        <v>2.399456279066103</v>
      </c>
      <c r="H204" t="n">
        <v>5.283724060684203</v>
      </c>
      <c r="I204" t="n">
        <v>5.283724060684203</v>
      </c>
      <c r="J204" t="n">
        <v>0</v>
      </c>
      <c r="K204" t="n">
        <v>3.119152472830278</v>
      </c>
      <c r="L204" t="n">
        <v>3.119152472830278</v>
      </c>
      <c r="M204" t="n">
        <v>0</v>
      </c>
      <c r="N204" t="n">
        <v>-9.537231979190118</v>
      </c>
      <c r="O204" t="inlineStr">
        <is>
          <t>United States|CSPX.L|10Y</t>
        </is>
      </c>
      <c r="P204" t="inlineStr">
        <is>
          <t>United States|10Y</t>
        </is>
      </c>
      <c r="Q204" t="inlineStr">
        <is>
          <t>USD</t>
        </is>
      </c>
    </row>
    <row r="205">
      <c r="A205" t="inlineStr">
        <is>
          <t>United States</t>
        </is>
      </c>
      <c r="B205" t="inlineStr">
        <is>
          <t>USA</t>
        </is>
      </c>
      <c r="C205" t="inlineStr">
        <is>
          <t>CSUS.L</t>
        </is>
      </c>
      <c r="D205" s="2" t="n">
        <v>46022</v>
      </c>
      <c r="E205" t="inlineStr">
        <is>
          <t>1Y</t>
        </is>
      </c>
      <c r="F205" t="n">
        <v>17.75908204481222</v>
      </c>
      <c r="G205" t="n">
        <v>2.017000000000002</v>
      </c>
      <c r="H205" t="n">
        <v>4.497634000000006</v>
      </c>
      <c r="I205" t="n">
        <v>4.497634000000006</v>
      </c>
      <c r="J205" t="n">
        <v>0</v>
      </c>
      <c r="K205" t="n">
        <v>2.715000000000001</v>
      </c>
      <c r="L205" t="n">
        <v>2.715000000000001</v>
      </c>
      <c r="M205" t="n">
        <v>0</v>
      </c>
      <c r="N205" t="n">
        <v>-13.26144804481222</v>
      </c>
      <c r="O205" t="inlineStr">
        <is>
          <t>United States|CSUS.L|1Y</t>
        </is>
      </c>
      <c r="P205" t="inlineStr">
        <is>
          <t>United States|1Y</t>
        </is>
      </c>
      <c r="Q205" t="inlineStr">
        <is>
          <t>USD</t>
        </is>
      </c>
    </row>
    <row r="206">
      <c r="A206" t="inlineStr">
        <is>
          <t>United States</t>
        </is>
      </c>
      <c r="B206" t="inlineStr">
        <is>
          <t>USA</t>
        </is>
      </c>
      <c r="C206" t="inlineStr">
        <is>
          <t>CSUS.L</t>
        </is>
      </c>
      <c r="D206" s="2" t="n">
        <v>46022</v>
      </c>
      <c r="E206" t="inlineStr">
        <is>
          <t>3Y</t>
        </is>
      </c>
      <c r="F206" t="n">
        <v>23.45762734462473</v>
      </c>
      <c r="G206" t="n">
        <v>2.580871884428859</v>
      </c>
      <c r="H206" t="n">
        <v>5.524539071077084</v>
      </c>
      <c r="I206" t="n">
        <v>5.524539071077084</v>
      </c>
      <c r="J206" t="n">
        <v>0</v>
      </c>
      <c r="K206" t="n">
        <v>3.263156230678832</v>
      </c>
      <c r="L206" t="n">
        <v>3.263156230678832</v>
      </c>
      <c r="M206" t="n">
        <v>0</v>
      </c>
      <c r="N206" t="n">
        <v>-17.93308827354765</v>
      </c>
      <c r="O206" t="inlineStr">
        <is>
          <t>United States|CSUS.L|3Y</t>
        </is>
      </c>
      <c r="P206" t="inlineStr">
        <is>
          <t>United States|3Y</t>
        </is>
      </c>
      <c r="Q206" t="inlineStr">
        <is>
          <t>USD</t>
        </is>
      </c>
    </row>
    <row r="207">
      <c r="A207" t="inlineStr">
        <is>
          <t>United States</t>
        </is>
      </c>
      <c r="B207" t="inlineStr">
        <is>
          <t>USA</t>
        </is>
      </c>
      <c r="C207" t="inlineStr">
        <is>
          <t>CSUS.L</t>
        </is>
      </c>
      <c r="D207" s="2" t="n">
        <v>46022</v>
      </c>
      <c r="E207" t="inlineStr">
        <is>
          <t>5Y</t>
        </is>
      </c>
      <c r="F207" t="n">
        <v>13.9582543446956</v>
      </c>
      <c r="G207" t="n">
        <v>3.273899606073449</v>
      </c>
      <c r="H207" t="n">
        <v>7.450048996640191</v>
      </c>
      <c r="I207" t="n">
        <v>7.450048996640191</v>
      </c>
      <c r="J207" t="n">
        <v>0</v>
      </c>
      <c r="K207" t="n">
        <v>4.476417270751631</v>
      </c>
      <c r="L207" t="n">
        <v>4.476417270751631</v>
      </c>
      <c r="M207" t="n">
        <v>0</v>
      </c>
      <c r="N207" t="n">
        <v>-6.508205348055406</v>
      </c>
      <c r="O207" t="inlineStr">
        <is>
          <t>United States|CSUS.L|5Y</t>
        </is>
      </c>
      <c r="P207" t="inlineStr">
        <is>
          <t>United States|5Y</t>
        </is>
      </c>
      <c r="Q207" t="inlineStr">
        <is>
          <t>USD</t>
        </is>
      </c>
    </row>
    <row r="208">
      <c r="A208" t="inlineStr">
        <is>
          <t>United States</t>
        </is>
      </c>
      <c r="B208" t="inlineStr">
        <is>
          <t>USA</t>
        </is>
      </c>
      <c r="C208" t="inlineStr">
        <is>
          <t>CSUS.L</t>
        </is>
      </c>
      <c r="D208" s="2" t="n">
        <v>46022</v>
      </c>
      <c r="E208" t="inlineStr">
        <is>
          <t>10Y</t>
        </is>
      </c>
      <c r="F208" t="n">
        <v>14.59562438379896</v>
      </c>
      <c r="G208" t="n">
        <v>2.399456279066103</v>
      </c>
      <c r="H208" t="n">
        <v>5.283724060684203</v>
      </c>
      <c r="I208" t="n">
        <v>5.283724060684203</v>
      </c>
      <c r="J208" t="n">
        <v>0</v>
      </c>
      <c r="K208" t="n">
        <v>3.119152472830278</v>
      </c>
      <c r="L208" t="n">
        <v>3.119152472830278</v>
      </c>
      <c r="M208" t="n">
        <v>0</v>
      </c>
      <c r="N208" t="n">
        <v>-9.311900323114752</v>
      </c>
      <c r="O208" t="inlineStr">
        <is>
          <t>United States|CSUS.L|10Y</t>
        </is>
      </c>
      <c r="P208" t="inlineStr">
        <is>
          <t>United States|10Y</t>
        </is>
      </c>
      <c r="Q208" t="inlineStr">
        <is>
          <t>USD</t>
        </is>
      </c>
    </row>
    <row r="209">
      <c r="A209" t="inlineStr">
        <is>
          <t>Vietnam</t>
        </is>
      </c>
      <c r="B209" t="inlineStr">
        <is>
          <t>VNM</t>
        </is>
      </c>
      <c r="C209" t="inlineStr"/>
      <c r="D209" s="2" t="n">
        <v>46022</v>
      </c>
      <c r="E209" t="inlineStr">
        <is>
          <t>1Y</t>
        </is>
      </c>
      <c r="F209" t="inlineStr"/>
      <c r="G209" t="n">
        <v>6.457000000000002</v>
      </c>
      <c r="H209" t="n">
        <v>9.991489999999992</v>
      </c>
      <c r="I209" t="n">
        <v>5.496308999999999</v>
      </c>
      <c r="J209" t="n">
        <v>-4.086844476972007</v>
      </c>
      <c r="K209" t="n">
        <v>3.401999999999994</v>
      </c>
      <c r="L209" t="n">
        <v>2.715000000000001</v>
      </c>
      <c r="M209" t="n">
        <v>0.6869999999999932</v>
      </c>
      <c r="N209" t="inlineStr"/>
      <c r="O209" t="inlineStr">
        <is>
          <t>Vietnam||1Y</t>
        </is>
      </c>
      <c r="P209" t="inlineStr">
        <is>
          <t>Vietnam|1Y</t>
        </is>
      </c>
      <c r="Q209" t="inlineStr"/>
    </row>
    <row r="210">
      <c r="A210" t="inlineStr">
        <is>
          <t>Vietnam</t>
        </is>
      </c>
      <c r="B210" t="inlineStr">
        <is>
          <t>VNM</t>
        </is>
      </c>
      <c r="C210" t="inlineStr"/>
      <c r="D210" s="2" t="n">
        <v>46022</v>
      </c>
      <c r="E210" t="inlineStr">
        <is>
          <t>3Y</t>
        </is>
      </c>
      <c r="F210" t="inlineStr"/>
      <c r="G210" t="n">
        <v>6.200954667276259</v>
      </c>
      <c r="H210" t="n">
        <v>9.586221664232486</v>
      </c>
      <c r="I210" t="n">
        <v>5.647902927923876</v>
      </c>
      <c r="J210" t="n">
        <v>-3.593807899927282</v>
      </c>
      <c r="K210" t="n">
        <v>3.426221026956733</v>
      </c>
      <c r="L210" t="n">
        <v>3.263156230678832</v>
      </c>
      <c r="M210" t="n">
        <v>0.1630647962779008</v>
      </c>
      <c r="N210" t="inlineStr"/>
      <c r="O210" t="inlineStr">
        <is>
          <t>Vietnam||3Y</t>
        </is>
      </c>
      <c r="P210" t="inlineStr">
        <is>
          <t>Vietnam|3Y</t>
        </is>
      </c>
      <c r="Q210" t="inlineStr"/>
    </row>
    <row r="211">
      <c r="A211" t="inlineStr">
        <is>
          <t>Vietnam</t>
        </is>
      </c>
      <c r="B211" t="inlineStr">
        <is>
          <t>VNM</t>
        </is>
      </c>
      <c r="C211" t="inlineStr"/>
      <c r="D211" s="2" t="n">
        <v>46022</v>
      </c>
      <c r="E211" t="inlineStr">
        <is>
          <t>5Y</t>
        </is>
      </c>
      <c r="F211" t="inlineStr"/>
      <c r="G211" t="n">
        <v>5.92145460004414</v>
      </c>
      <c r="H211" t="n">
        <v>9.497043660655734</v>
      </c>
      <c r="I211" t="n">
        <v>6.956271913500278</v>
      </c>
      <c r="J211" t="n">
        <v>-2.320402186641246</v>
      </c>
      <c r="K211" t="n">
        <v>3.052671364630988</v>
      </c>
      <c r="L211" t="n">
        <v>4.476417270751631</v>
      </c>
      <c r="M211" t="n">
        <v>-1.423745906120644</v>
      </c>
      <c r="N211" t="inlineStr"/>
      <c r="O211" t="inlineStr">
        <is>
          <t>Vietnam||5Y</t>
        </is>
      </c>
      <c r="P211" t="inlineStr">
        <is>
          <t>Vietnam|5Y</t>
        </is>
      </c>
      <c r="Q211" t="inlineStr"/>
    </row>
    <row r="212">
      <c r="A212" t="inlineStr">
        <is>
          <t>Vietnam</t>
        </is>
      </c>
      <c r="B212" t="inlineStr">
        <is>
          <t>VNM</t>
        </is>
      </c>
      <c r="C212" t="inlineStr"/>
      <c r="D212" s="2" t="n">
        <v>46022</v>
      </c>
      <c r="E212" t="inlineStr">
        <is>
          <t>10Y</t>
        </is>
      </c>
      <c r="F212" t="inlineStr"/>
      <c r="G212" t="n">
        <v>6.085412813467572</v>
      </c>
      <c r="H212" t="n">
        <v>9.325802594010124</v>
      </c>
      <c r="I212" t="n">
        <v>7.426735577916199</v>
      </c>
      <c r="J212" t="n">
        <v>-1.7370712221633</v>
      </c>
      <c r="K212" t="n">
        <v>3.101110889575409</v>
      </c>
      <c r="L212" t="n">
        <v>3.119152472830278</v>
      </c>
      <c r="M212" t="n">
        <v>-0.0180415832548686</v>
      </c>
      <c r="N212" t="inlineStr"/>
      <c r="O212" t="inlineStr">
        <is>
          <t>Vietnam||10Y</t>
        </is>
      </c>
      <c r="P212" t="inlineStr">
        <is>
          <t>Vietnam|10Y</t>
        </is>
      </c>
      <c r="Q212" t="inlineStr"/>
    </row>
    <row r="213">
      <c r="A213" t="inlineStr">
        <is>
          <t>Vietnam</t>
        </is>
      </c>
      <c r="B213" t="inlineStr">
        <is>
          <t>VNM</t>
        </is>
      </c>
      <c r="C213" t="inlineStr">
        <is>
          <t>XFVT.L</t>
        </is>
      </c>
      <c r="D213" s="2" t="n">
        <v>46022</v>
      </c>
      <c r="E213" t="inlineStr">
        <is>
          <t>1Y</t>
        </is>
      </c>
      <c r="F213" t="n">
        <v>66.8060270774205</v>
      </c>
      <c r="G213" t="n">
        <v>6.457000000000002</v>
      </c>
      <c r="H213" t="n">
        <v>9.991489999999992</v>
      </c>
      <c r="I213" t="n">
        <v>5.496308999999999</v>
      </c>
      <c r="J213" t="n">
        <v>-4.086844476972007</v>
      </c>
      <c r="K213" t="n">
        <v>3.401999999999994</v>
      </c>
      <c r="L213" t="n">
        <v>2.715000000000001</v>
      </c>
      <c r="M213" t="n">
        <v>0.6869999999999932</v>
      </c>
      <c r="N213" t="n">
        <v>-61.3097180774205</v>
      </c>
      <c r="O213" t="inlineStr">
        <is>
          <t>Vietnam|XFVT.L|1Y</t>
        </is>
      </c>
      <c r="P213" t="inlineStr">
        <is>
          <t>Vietnam|1Y</t>
        </is>
      </c>
      <c r="Q213" t="inlineStr">
        <is>
          <t>GBp</t>
        </is>
      </c>
    </row>
    <row r="214">
      <c r="A214" t="inlineStr">
        <is>
          <t>Vietnam</t>
        </is>
      </c>
      <c r="B214" t="inlineStr">
        <is>
          <t>VNM</t>
        </is>
      </c>
      <c r="C214" t="inlineStr">
        <is>
          <t>XFVT.L</t>
        </is>
      </c>
      <c r="D214" s="2" t="n">
        <v>46022</v>
      </c>
      <c r="E214" t="inlineStr">
        <is>
          <t>3Y</t>
        </is>
      </c>
      <c r="F214" t="n">
        <v>14.68393692650922</v>
      </c>
      <c r="G214" t="n">
        <v>6.200954667276259</v>
      </c>
      <c r="H214" t="n">
        <v>9.586221664232486</v>
      </c>
      <c r="I214" t="n">
        <v>5.647902927923876</v>
      </c>
      <c r="J214" t="n">
        <v>-3.593807899927282</v>
      </c>
      <c r="K214" t="n">
        <v>3.426221026956733</v>
      </c>
      <c r="L214" t="n">
        <v>3.263156230678832</v>
      </c>
      <c r="M214" t="n">
        <v>0.1630647962779008</v>
      </c>
      <c r="N214" t="n">
        <v>-9.036033998585346</v>
      </c>
      <c r="O214" t="inlineStr">
        <is>
          <t>Vietnam|XFVT.L|3Y</t>
        </is>
      </c>
      <c r="P214" t="inlineStr">
        <is>
          <t>Vietnam|3Y</t>
        </is>
      </c>
      <c r="Q214" t="inlineStr">
        <is>
          <t>GBp</t>
        </is>
      </c>
    </row>
    <row r="215">
      <c r="A215" t="inlineStr">
        <is>
          <t>Vietnam</t>
        </is>
      </c>
      <c r="B215" t="inlineStr">
        <is>
          <t>VNM</t>
        </is>
      </c>
      <c r="C215" t="inlineStr">
        <is>
          <t>XFVT.L</t>
        </is>
      </c>
      <c r="D215" s="2" t="n">
        <v>46022</v>
      </c>
      <c r="E215" t="inlineStr">
        <is>
          <t>5Y</t>
        </is>
      </c>
      <c r="F215" t="n">
        <v>2.746601027955986</v>
      </c>
      <c r="G215" t="n">
        <v>5.92145460004414</v>
      </c>
      <c r="H215" t="n">
        <v>9.497043660655734</v>
      </c>
      <c r="I215" t="n">
        <v>6.956271913500278</v>
      </c>
      <c r="J215" t="n">
        <v>-2.320402186641246</v>
      </c>
      <c r="K215" t="n">
        <v>3.052671364630988</v>
      </c>
      <c r="L215" t="n">
        <v>4.476417270751631</v>
      </c>
      <c r="M215" t="n">
        <v>-1.423745906120644</v>
      </c>
      <c r="N215" t="n">
        <v>4.209670885544292</v>
      </c>
      <c r="O215" t="inlineStr">
        <is>
          <t>Vietnam|XFVT.L|5Y</t>
        </is>
      </c>
      <c r="P215" t="inlineStr">
        <is>
          <t>Vietnam|5Y</t>
        </is>
      </c>
      <c r="Q215" t="inlineStr">
        <is>
          <t>GBp</t>
        </is>
      </c>
    </row>
    <row r="216">
      <c r="A216" t="inlineStr">
        <is>
          <t>Vietnam</t>
        </is>
      </c>
      <c r="B216" t="inlineStr">
        <is>
          <t>VNM</t>
        </is>
      </c>
      <c r="C216" t="inlineStr">
        <is>
          <t>XFVT.L</t>
        </is>
      </c>
      <c r="D216" s="2" t="n">
        <v>46022</v>
      </c>
      <c r="E216" t="inlineStr">
        <is>
          <t>10Y</t>
        </is>
      </c>
      <c r="F216" t="n">
        <v>6.034403639833208</v>
      </c>
      <c r="G216" t="n">
        <v>6.085412813467572</v>
      </c>
      <c r="H216" t="n">
        <v>9.325802594010124</v>
      </c>
      <c r="I216" t="n">
        <v>7.426735577916199</v>
      </c>
      <c r="J216" t="n">
        <v>-1.7370712221633</v>
      </c>
      <c r="K216" t="n">
        <v>3.101110889575409</v>
      </c>
      <c r="L216" t="n">
        <v>3.119152472830278</v>
      </c>
      <c r="M216" t="n">
        <v>-0.0180415832548686</v>
      </c>
      <c r="N216" t="n">
        <v>1.392331938082991</v>
      </c>
      <c r="O216" t="inlineStr">
        <is>
          <t>Vietnam|XFVT.L|10Y</t>
        </is>
      </c>
      <c r="P216" t="inlineStr">
        <is>
          <t>Vietnam|10Y</t>
        </is>
      </c>
      <c r="Q216" t="inlineStr">
        <is>
          <t>GBp</t>
        </is>
      </c>
    </row>
  </sheetData>
  <autoFilter ref="A1:Q2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bis_code</t>
        </is>
      </c>
      <c r="C1" t="inlineStr">
        <is>
          <t>current_reer</t>
        </is>
      </c>
      <c r="D1" t="inlineStr">
        <is>
          <t>avg_10y_reer</t>
        </is>
      </c>
      <c r="E1" t="inlineStr">
        <is>
          <t>reer_pct_diff</t>
        </is>
      </c>
    </row>
    <row r="2">
      <c r="A2" t="inlineStr">
        <is>
          <t>Austria</t>
        </is>
      </c>
      <c r="B2" t="inlineStr">
        <is>
          <t>AT</t>
        </is>
      </c>
      <c r="C2" t="n">
        <v>107.49</v>
      </c>
      <c r="D2" t="n">
        <v>100.415041322314</v>
      </c>
      <c r="E2" t="n">
        <v>7.045716044647757</v>
      </c>
    </row>
    <row r="3">
      <c r="A3" t="inlineStr">
        <is>
          <t>Australia</t>
        </is>
      </c>
      <c r="B3" t="inlineStr">
        <is>
          <t>AU</t>
        </is>
      </c>
      <c r="C3" t="n">
        <v>110.52</v>
      </c>
      <c r="D3" t="n">
        <v>105.8846280991736</v>
      </c>
      <c r="E3" t="n">
        <v>4.377757172159933</v>
      </c>
    </row>
    <row r="4">
      <c r="A4" t="inlineStr">
        <is>
          <t>Belgium</t>
        </is>
      </c>
      <c r="B4" t="inlineStr">
        <is>
          <t>BE</t>
        </is>
      </c>
      <c r="C4" t="n">
        <v>104.96</v>
      </c>
      <c r="D4" t="n">
        <v>99.95107438016528</v>
      </c>
      <c r="E4" t="n">
        <v>5.011377467322873</v>
      </c>
    </row>
    <row r="5">
      <c r="A5" t="inlineStr">
        <is>
          <t>Bulgaria</t>
        </is>
      </c>
      <c r="B5" t="inlineStr">
        <is>
          <t>BG</t>
        </is>
      </c>
      <c r="C5" t="n">
        <v>116.21</v>
      </c>
      <c r="D5" t="n">
        <v>102.4822314049587</v>
      </c>
      <c r="E5" t="n">
        <v>13.39526706907467</v>
      </c>
    </row>
    <row r="6">
      <c r="A6" t="inlineStr">
        <is>
          <t>Brazil</t>
        </is>
      </c>
      <c r="B6" t="inlineStr">
        <is>
          <t>BR</t>
        </is>
      </c>
      <c r="C6" t="n">
        <v>109.71</v>
      </c>
      <c r="D6" t="n">
        <v>116.377520661157</v>
      </c>
      <c r="E6" t="n">
        <v>-5.729216968429894</v>
      </c>
    </row>
    <row r="7">
      <c r="A7" t="inlineStr">
        <is>
          <t>Canada</t>
        </is>
      </c>
      <c r="B7" t="inlineStr">
        <is>
          <t>CA</t>
        </is>
      </c>
      <c r="C7" t="n">
        <v>96.52</v>
      </c>
      <c r="D7" t="n">
        <v>101.1932231404959</v>
      </c>
      <c r="E7" t="n">
        <v>-4.618118679753497</v>
      </c>
    </row>
    <row r="8">
      <c r="A8" t="inlineStr">
        <is>
          <t>Switzerland</t>
        </is>
      </c>
      <c r="B8" t="inlineStr">
        <is>
          <t>CH</t>
        </is>
      </c>
      <c r="C8" t="n">
        <v>103.82</v>
      </c>
      <c r="D8" t="n">
        <v>98.92528925619834</v>
      </c>
      <c r="E8" t="n">
        <v>4.947886208475217</v>
      </c>
    </row>
    <row r="9">
      <c r="A9" t="inlineStr">
        <is>
          <t>China</t>
        </is>
      </c>
      <c r="B9" t="inlineStr">
        <is>
          <t>CN</t>
        </is>
      </c>
      <c r="C9" t="n">
        <v>89.84999999999999</v>
      </c>
      <c r="D9" t="n">
        <v>97.15685950413224</v>
      </c>
      <c r="E9" t="n">
        <v>-7.52068309064835</v>
      </c>
    </row>
    <row r="10">
      <c r="A10" t="inlineStr">
        <is>
          <t>Germany</t>
        </is>
      </c>
      <c r="B10" t="inlineStr">
        <is>
          <t>DE</t>
        </is>
      </c>
      <c r="C10" t="n">
        <v>102.04</v>
      </c>
      <c r="D10" t="n">
        <v>99.61355371900828</v>
      </c>
      <c r="E10" t="n">
        <v>2.435859569709048</v>
      </c>
    </row>
    <row r="11">
      <c r="A11" t="inlineStr">
        <is>
          <t>Spain</t>
        </is>
      </c>
      <c r="B11" t="inlineStr">
        <is>
          <t>ES</t>
        </is>
      </c>
      <c r="C11" t="n">
        <v>103.63</v>
      </c>
      <c r="D11" t="n">
        <v>100.4239669421488</v>
      </c>
      <c r="E11" t="n">
        <v>3.192497922033038</v>
      </c>
    </row>
    <row r="12">
      <c r="A12" t="inlineStr">
        <is>
          <t>France</t>
        </is>
      </c>
      <c r="B12" t="inlineStr">
        <is>
          <t>FR</t>
        </is>
      </c>
      <c r="C12" t="n">
        <v>96.52</v>
      </c>
      <c r="D12" t="n">
        <v>98.14719008264464</v>
      </c>
      <c r="E12" t="n">
        <v>-1.657907965856662</v>
      </c>
    </row>
    <row r="13">
      <c r="A13" t="inlineStr">
        <is>
          <t>United Kingdom</t>
        </is>
      </c>
      <c r="B13" t="inlineStr">
        <is>
          <t>GB</t>
        </is>
      </c>
      <c r="C13" t="n">
        <v>111.8</v>
      </c>
      <c r="D13" t="n">
        <v>103.8205785123967</v>
      </c>
      <c r="E13" t="n">
        <v>7.685780220007656</v>
      </c>
    </row>
    <row r="14">
      <c r="A14" t="inlineStr">
        <is>
          <t>Greece</t>
        </is>
      </c>
      <c r="B14" t="inlineStr">
        <is>
          <t>GR</t>
        </is>
      </c>
      <c r="C14" t="n">
        <v>101.05</v>
      </c>
      <c r="D14" t="n">
        <v>100.574214876033</v>
      </c>
      <c r="E14" t="n">
        <v>0.4730686931569809</v>
      </c>
    </row>
    <row r="15">
      <c r="A15" t="inlineStr">
        <is>
          <t>Hong Kong</t>
        </is>
      </c>
      <c r="B15" t="inlineStr">
        <is>
          <t>HK</t>
        </is>
      </c>
      <c r="C15" t="n">
        <v>97.38</v>
      </c>
      <c r="D15" t="n">
        <v>98.34752066115702</v>
      </c>
      <c r="E15" t="n">
        <v>-0.9837773790866424</v>
      </c>
    </row>
    <row r="16">
      <c r="A16" t="inlineStr">
        <is>
          <t>Indonesia</t>
        </is>
      </c>
      <c r="B16" t="inlineStr">
        <is>
          <t>ID</t>
        </is>
      </c>
      <c r="C16" t="n">
        <v>92.06</v>
      </c>
      <c r="D16" t="n">
        <v>100.190826446281</v>
      </c>
      <c r="E16" t="n">
        <v>-8.115340230914725</v>
      </c>
    </row>
    <row r="17">
      <c r="A17" t="inlineStr">
        <is>
          <t>India</t>
        </is>
      </c>
      <c r="B17" t="inlineStr">
        <is>
          <t>IN</t>
        </is>
      </c>
      <c r="C17" t="n">
        <v>90.65000000000001</v>
      </c>
      <c r="D17" t="n">
        <v>99.4577685950413</v>
      </c>
      <c r="E17" t="n">
        <v>-8.855787455782943</v>
      </c>
    </row>
    <row r="18">
      <c r="A18" t="inlineStr">
        <is>
          <t>Italy</t>
        </is>
      </c>
      <c r="B18" t="inlineStr">
        <is>
          <t>IT</t>
        </is>
      </c>
      <c r="C18" t="n">
        <v>99.77</v>
      </c>
      <c r="D18" t="n">
        <v>99.84876033057851</v>
      </c>
      <c r="E18" t="n">
        <v>-0.07887962786694511</v>
      </c>
    </row>
    <row r="19">
      <c r="A19" t="inlineStr">
        <is>
          <t>Japan</t>
        </is>
      </c>
      <c r="B19" t="inlineStr">
        <is>
          <t>JP</t>
        </is>
      </c>
      <c r="C19" t="n">
        <v>67.73</v>
      </c>
      <c r="D19" t="n">
        <v>88.08413223140495</v>
      </c>
      <c r="E19" t="n">
        <v>-23.10760373722342</v>
      </c>
    </row>
    <row r="20">
      <c r="A20" t="inlineStr">
        <is>
          <t>South Korea</t>
        </is>
      </c>
      <c r="B20" t="inlineStr">
        <is>
          <t>KR</t>
        </is>
      </c>
      <c r="C20" t="n">
        <v>86.86</v>
      </c>
      <c r="D20" t="n">
        <v>99.2311570247934</v>
      </c>
      <c r="E20" t="n">
        <v>-12.46700874575352</v>
      </c>
    </row>
    <row r="21">
      <c r="A21" t="inlineStr">
        <is>
          <t>Mexico</t>
        </is>
      </c>
      <c r="B21" t="inlineStr">
        <is>
          <t>MX</t>
        </is>
      </c>
      <c r="C21" t="n">
        <v>136.8</v>
      </c>
      <c r="D21" t="n">
        <v>112.7354545454545</v>
      </c>
      <c r="E21" t="n">
        <v>21.34603133643527</v>
      </c>
    </row>
    <row r="22">
      <c r="A22" t="inlineStr">
        <is>
          <t>Malaysia</t>
        </is>
      </c>
      <c r="B22" t="inlineStr">
        <is>
          <t>MY</t>
        </is>
      </c>
      <c r="C22" t="n">
        <v>106.47</v>
      </c>
      <c r="D22" t="n">
        <v>100.2585123966942</v>
      </c>
      <c r="E22" t="n">
        <v>6.195471541337764</v>
      </c>
    </row>
    <row r="23">
      <c r="A23" t="inlineStr">
        <is>
          <t>Netherlands</t>
        </is>
      </c>
      <c r="B23" t="inlineStr">
        <is>
          <t>NL</t>
        </is>
      </c>
      <c r="C23" t="n">
        <v>105.38</v>
      </c>
      <c r="D23" t="n">
        <v>100.0323140495868</v>
      </c>
      <c r="E23" t="n">
        <v>5.345958454747281</v>
      </c>
    </row>
    <row r="24">
      <c r="A24" t="inlineStr">
        <is>
          <t>Philippines</t>
        </is>
      </c>
      <c r="B24" t="inlineStr">
        <is>
          <t>PH</t>
        </is>
      </c>
      <c r="C24" t="n">
        <v>97.47</v>
      </c>
      <c r="D24" t="n">
        <v>97.66801652892562</v>
      </c>
      <c r="E24" t="n">
        <v>-0.2027444970861833</v>
      </c>
    </row>
    <row r="25">
      <c r="A25" t="inlineStr">
        <is>
          <t>Poland</t>
        </is>
      </c>
      <c r="B25" t="inlineStr">
        <is>
          <t>PL</t>
        </is>
      </c>
      <c r="C25" t="n">
        <v>128.8</v>
      </c>
      <c r="D25" t="n">
        <v>105.8085123966942</v>
      </c>
      <c r="E25" t="n">
        <v>21.72933640452933</v>
      </c>
    </row>
    <row r="26">
      <c r="A26" t="inlineStr">
        <is>
          <t>Saudi Arabia</t>
        </is>
      </c>
      <c r="B26" t="inlineStr">
        <is>
          <t>SA</t>
        </is>
      </c>
      <c r="C26" t="n">
        <v>100.08</v>
      </c>
      <c r="D26" t="n">
        <v>100.3194214876033</v>
      </c>
      <c r="E26" t="n">
        <v>-0.2386591589674336</v>
      </c>
    </row>
    <row r="27">
      <c r="A27" t="inlineStr">
        <is>
          <t>Sweden</t>
        </is>
      </c>
      <c r="B27" t="inlineStr">
        <is>
          <t>SE</t>
        </is>
      </c>
      <c r="C27" t="n">
        <v>101.8</v>
      </c>
      <c r="D27" t="n">
        <v>100.115041322314</v>
      </c>
      <c r="E27" t="n">
        <v>1.683022506339819</v>
      </c>
    </row>
    <row r="28">
      <c r="A28" t="inlineStr">
        <is>
          <t>Singapore</t>
        </is>
      </c>
      <c r="B28" t="inlineStr">
        <is>
          <t>SG</t>
        </is>
      </c>
      <c r="C28" t="n">
        <v>115.62</v>
      </c>
      <c r="D28" t="n">
        <v>106.2247107438017</v>
      </c>
      <c r="E28" t="n">
        <v>8.844730374327298</v>
      </c>
    </row>
    <row r="29">
      <c r="A29" t="inlineStr">
        <is>
          <t>Thailand</t>
        </is>
      </c>
      <c r="B29" t="inlineStr">
        <is>
          <t>TH</t>
        </is>
      </c>
      <c r="C29" t="n">
        <v>100.98</v>
      </c>
      <c r="D29" t="n">
        <v>96.20280991735538</v>
      </c>
      <c r="E29" t="n">
        <v>4.965749011643784</v>
      </c>
    </row>
    <row r="30">
      <c r="A30" t="inlineStr">
        <is>
          <t>Turkey</t>
        </is>
      </c>
      <c r="B30" t="inlineStr">
        <is>
          <t>TR</t>
        </is>
      </c>
      <c r="C30" t="n">
        <v>103.63</v>
      </c>
      <c r="D30" t="n">
        <v>105.5743801652892</v>
      </c>
      <c r="E30" t="n">
        <v>-1.84171591843124</v>
      </c>
    </row>
    <row r="31">
      <c r="A31" t="inlineStr">
        <is>
          <t>Taiwan</t>
        </is>
      </c>
      <c r="B31" t="inlineStr">
        <is>
          <t>TW</t>
        </is>
      </c>
      <c r="C31" t="n">
        <v>98.05</v>
      </c>
      <c r="D31" t="n">
        <v>98.81578512396692</v>
      </c>
      <c r="E31" t="n">
        <v>-0.7749623433201877</v>
      </c>
    </row>
    <row r="32">
      <c r="A32" t="inlineStr">
        <is>
          <t>United States</t>
        </is>
      </c>
      <c r="B32" t="inlineStr">
        <is>
          <t>US</t>
        </is>
      </c>
      <c r="C32" t="n">
        <v>106.94</v>
      </c>
      <c r="D32" t="n">
        <v>102.0623966942149</v>
      </c>
      <c r="E32" t="n">
        <v>4.779040531841233</v>
      </c>
    </row>
    <row r="33">
      <c r="A33" t="inlineStr">
        <is>
          <t>South Africa</t>
        </is>
      </c>
      <c r="B33" t="inlineStr">
        <is>
          <t>ZA</t>
        </is>
      </c>
      <c r="C33" t="n">
        <v>112.14</v>
      </c>
      <c r="D33" t="n">
        <v>106.081652892562</v>
      </c>
      <c r="E33" t="n">
        <v>5.711022539942716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27" customWidth="1" min="3" max="3"/>
    <col width="22" customWidth="1" min="4" max="4"/>
    <col width="19" customWidth="1" min="5" max="5"/>
    <col width="20" customWidth="1" min="6" max="6"/>
    <col width="15" customWidth="1" min="7" max="7"/>
    <col width="12" customWidth="1" min="8" max="8"/>
    <col width="15" customWidth="1" min="9" max="9"/>
    <col width="30" customWidth="1" min="10" max="10"/>
    <col width="23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EXS1.DE</t>
        </is>
      </c>
      <c r="E7" t="inlineStr">
        <is>
          <t>Europe</t>
        </is>
      </c>
      <c r="F7" t="inlineStr">
        <is>
          <t>Germany</t>
        </is>
      </c>
      <c r="G7" t="inlineStr">
        <is>
          <t>EXS1.DE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CSW.PA</t>
        </is>
      </c>
      <c r="C8" t="inlineStr">
        <is>
          <t>India</t>
        </is>
      </c>
      <c r="D8" t="inlineStr">
        <is>
          <t>LYINR.SW</t>
        </is>
      </c>
      <c r="E8" t="inlineStr">
        <is>
          <t>Asia</t>
        </is>
      </c>
      <c r="F8" t="inlineStr">
        <is>
          <t>Germany</t>
        </is>
      </c>
      <c r="G8" t="inlineStr">
        <is>
          <t>XDAX.L</t>
        </is>
      </c>
      <c r="I8" t="inlineStr">
        <is>
          <t>CSW.PA</t>
        </is>
      </c>
      <c r="J8" t="inlineStr">
        <is>
          <t>PAR</t>
        </is>
      </c>
      <c r="K8" t="inlineStr">
        <is>
          <t>EUR</t>
        </is>
      </c>
    </row>
    <row r="9">
      <c r="A9" t="inlineStr">
        <is>
          <t>Indonesia</t>
        </is>
      </c>
      <c r="B9" t="inlineStr">
        <is>
          <t>CSWG.L</t>
        </is>
      </c>
      <c r="C9" t="inlineStr">
        <is>
          <t>Indonesia</t>
        </is>
      </c>
      <c r="D9" t="inlineStr">
        <is>
          <t>INDO.PA</t>
        </is>
      </c>
      <c r="E9" t="inlineStr">
        <is>
          <t>Asia</t>
        </is>
      </c>
      <c r="F9" t="inlineStr">
        <is>
          <t>India</t>
        </is>
      </c>
      <c r="G9" t="inlineStr">
        <is>
          <t>LYINR.SW</t>
        </is>
      </c>
      <c r="I9" t="inlineStr">
        <is>
          <t>CSWG.L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Japan</t>
        </is>
      </c>
      <c r="B10" t="inlineStr">
        <is>
          <t>CUKX.L</t>
        </is>
      </c>
      <c r="C10" t="inlineStr">
        <is>
          <t>Japan</t>
        </is>
      </c>
      <c r="D10" t="inlineStr">
        <is>
          <t>CJPU.L</t>
        </is>
      </c>
      <c r="E10" t="inlineStr">
        <is>
          <t>Asia</t>
        </is>
      </c>
      <c r="F10" t="inlineStr">
        <is>
          <t>Indonesia</t>
        </is>
      </c>
      <c r="G10" t="inlineStr">
        <is>
          <t>INDO.PA</t>
        </is>
      </c>
      <c r="I10" t="inlineStr">
        <is>
          <t>CUKX.L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Malaysia</t>
        </is>
      </c>
      <c r="B11" t="inlineStr">
        <is>
          <t>EXS1.DE</t>
        </is>
      </c>
      <c r="C11" t="inlineStr">
        <is>
          <t>Malaysia</t>
        </is>
      </c>
      <c r="D11" t="inlineStr">
        <is>
          <t>XCX3.L</t>
        </is>
      </c>
      <c r="E11" t="inlineStr">
        <is>
          <t>Asia</t>
        </is>
      </c>
      <c r="F11" t="inlineStr">
        <is>
          <t>Japan</t>
        </is>
      </c>
      <c r="G11" t="inlineStr">
        <is>
          <t>CJPU.L</t>
        </is>
      </c>
      <c r="I11" t="inlineStr">
        <is>
          <t>EXS1.DE</t>
        </is>
      </c>
      <c r="J11" t="inlineStr">
        <is>
          <t>GER</t>
        </is>
      </c>
      <c r="K11" t="inlineStr">
        <is>
          <t>EUR</t>
        </is>
      </c>
    </row>
    <row r="12">
      <c r="A12" t="inlineStr">
        <is>
          <t>Mexico</t>
        </is>
      </c>
      <c r="B12" t="inlineStr">
        <is>
          <t>IASH.L</t>
        </is>
      </c>
      <c r="C12" t="inlineStr">
        <is>
          <t>Mexico</t>
        </is>
      </c>
      <c r="D12" t="inlineStr">
        <is>
          <t>XMEX.L</t>
        </is>
      </c>
      <c r="E12" t="inlineStr">
        <is>
          <t>Latin America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IASH.L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Pakistan</t>
        </is>
      </c>
      <c r="B13" t="inlineStr">
        <is>
          <t>IKSA.L</t>
        </is>
      </c>
      <c r="C13" t="inlineStr">
        <is>
          <t>Pakistan</t>
        </is>
      </c>
      <c r="D13" t="inlineStr">
        <is>
          <t>XBAK.L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IKSA.L</t>
        </is>
      </c>
      <c r="J13" t="inlineStr">
        <is>
          <t>London Stock Exchange</t>
        </is>
      </c>
      <c r="K13" t="inlineStr">
        <is>
          <t>USD</t>
        </is>
      </c>
    </row>
    <row r="14">
      <c r="A14" t="inlineStr">
        <is>
          <t>Philippines</t>
        </is>
      </c>
      <c r="B14" t="inlineStr">
        <is>
          <t>INDO.PA</t>
        </is>
      </c>
      <c r="C14" t="inlineStr">
        <is>
          <t>Philippines</t>
        </is>
      </c>
      <c r="D14" t="inlineStr">
        <is>
          <t>XPHG.L</t>
        </is>
      </c>
      <c r="E14" t="inlineStr">
        <is>
          <t>Asia</t>
        </is>
      </c>
      <c r="F14" t="inlineStr">
        <is>
          <t>Pakistan</t>
        </is>
      </c>
      <c r="G14" t="inlineStr">
        <is>
          <t>XBAK.L</t>
        </is>
      </c>
      <c r="I14" t="inlineStr">
        <is>
          <t>INDO.PA</t>
        </is>
      </c>
      <c r="J14" t="inlineStr">
        <is>
          <t>PAR</t>
        </is>
      </c>
      <c r="K14" t="inlineStr">
        <is>
          <t>EUR</t>
        </is>
      </c>
    </row>
    <row r="15">
      <c r="A15" t="inlineStr">
        <is>
          <t>Poland</t>
        </is>
      </c>
      <c r="B15" t="inlineStr">
        <is>
          <t>IPOL.L</t>
        </is>
      </c>
      <c r="C15" t="inlineStr">
        <is>
          <t>Poland</t>
        </is>
      </c>
      <c r="D15" t="inlineStr">
        <is>
          <t>IPOL.L</t>
        </is>
      </c>
      <c r="E15" t="inlineStr">
        <is>
          <t>Europe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IPOL.L</t>
        </is>
      </c>
      <c r="J15" t="inlineStr">
        <is>
          <t>London Stock Exchange</t>
        </is>
      </c>
      <c r="K15" t="inlineStr">
        <is>
          <t>USD</t>
        </is>
      </c>
    </row>
    <row r="16">
      <c r="A16" t="inlineStr">
        <is>
          <t>Saudi Arabia</t>
        </is>
      </c>
      <c r="B16" t="inlineStr">
        <is>
          <t>IRSA.L</t>
        </is>
      </c>
      <c r="C16" t="inlineStr">
        <is>
          <t>Saudi Arabia</t>
        </is>
      </c>
      <c r="D16" t="inlineStr">
        <is>
          <t>IKSA.L</t>
        </is>
      </c>
      <c r="E16" t="inlineStr">
        <is>
          <t>Middle East</t>
        </is>
      </c>
      <c r="F16" t="inlineStr">
        <is>
          <t>Poland</t>
        </is>
      </c>
      <c r="G16" t="inlineStr">
        <is>
          <t>IPOL.L</t>
        </is>
      </c>
      <c r="I16" t="inlineStr">
        <is>
          <t>IRSA.L</t>
        </is>
      </c>
      <c r="J16" t="inlineStr">
        <is>
          <t>London Stock Exchange</t>
        </is>
      </c>
      <c r="K16" t="inlineStr">
        <is>
          <t>USD</t>
        </is>
      </c>
    </row>
    <row r="17">
      <c r="A17" t="inlineStr">
        <is>
          <t>South Africa</t>
        </is>
      </c>
      <c r="B17" t="inlineStr">
        <is>
          <t>ISFR.L</t>
        </is>
      </c>
      <c r="C17" t="inlineStr">
        <is>
          <t>South Africa</t>
        </is>
      </c>
      <c r="D17" t="inlineStr">
        <is>
          <t>IRSA.L</t>
        </is>
      </c>
      <c r="E17" t="inlineStr">
        <is>
          <t>Africa</t>
        </is>
      </c>
      <c r="F17" t="inlineStr">
        <is>
          <t>Poland</t>
        </is>
      </c>
      <c r="G17" t="inlineStr">
        <is>
          <t>SPOL.L</t>
        </is>
      </c>
      <c r="I17" t="inlineStr">
        <is>
          <t>ISFR.L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South Korea</t>
        </is>
      </c>
      <c r="B18" t="inlineStr">
        <is>
          <t>LYINR.SW</t>
        </is>
      </c>
      <c r="C18" t="inlineStr">
        <is>
          <t>South Korea</t>
        </is>
      </c>
      <c r="D18" t="inlineStr">
        <is>
          <t>CSKR.L</t>
        </is>
      </c>
      <c r="E18" t="inlineStr">
        <is>
          <t>Asia</t>
        </is>
      </c>
      <c r="F18" t="inlineStr">
        <is>
          <t>Saudi Arabia</t>
        </is>
      </c>
      <c r="G18" t="inlineStr">
        <is>
          <t>IKSA.L</t>
        </is>
      </c>
      <c r="I18" t="inlineStr">
        <is>
          <t>LYINR.SW</t>
        </is>
      </c>
      <c r="J18" t="inlineStr">
        <is>
          <t>EBS</t>
        </is>
      </c>
      <c r="K18" t="inlineStr">
        <is>
          <t>USD</t>
        </is>
      </c>
    </row>
    <row r="19">
      <c r="A19" t="inlineStr">
        <is>
          <t>Switzerland</t>
        </is>
      </c>
      <c r="B19" t="inlineStr">
        <is>
          <t>SAUS.L</t>
        </is>
      </c>
      <c r="C19" t="inlineStr">
        <is>
          <t>Switzerland</t>
        </is>
      </c>
      <c r="D19" t="inlineStr">
        <is>
          <t>CSW.PA</t>
        </is>
      </c>
      <c r="E19" t="inlineStr">
        <is>
          <t>Europe</t>
        </is>
      </c>
      <c r="F19" t="inlineStr">
        <is>
          <t>South Africa</t>
        </is>
      </c>
      <c r="G19" t="inlineStr">
        <is>
          <t>IRSA.L</t>
        </is>
      </c>
      <c r="I19" t="inlineStr">
        <is>
          <t>SAUS.L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Taiwan</t>
        </is>
      </c>
      <c r="B20" t="inlineStr">
        <is>
          <t>SPOL.L</t>
        </is>
      </c>
      <c r="C20" t="inlineStr">
        <is>
          <t>Taiwan</t>
        </is>
      </c>
      <c r="D20" t="inlineStr">
        <is>
          <t>XMTW.L</t>
        </is>
      </c>
      <c r="E20" t="inlineStr">
        <is>
          <t>Asia</t>
        </is>
      </c>
      <c r="F20" t="inlineStr">
        <is>
          <t>South Africa</t>
        </is>
      </c>
      <c r="G20" t="inlineStr">
        <is>
          <t>SRSA.L</t>
        </is>
      </c>
      <c r="I20" t="inlineStr">
        <is>
          <t>SPOL.L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Thailand</t>
        </is>
      </c>
      <c r="B21" t="inlineStr">
        <is>
          <t>SRSA.L</t>
        </is>
      </c>
      <c r="C21" t="inlineStr">
        <is>
          <t>Thailand</t>
        </is>
      </c>
      <c r="D21" t="inlineStr">
        <is>
          <t>XCX4.L</t>
        </is>
      </c>
      <c r="E21" t="inlineStr">
        <is>
          <t>Asia</t>
        </is>
      </c>
      <c r="F21" t="inlineStr">
        <is>
          <t>South Korea</t>
        </is>
      </c>
      <c r="G21" t="inlineStr">
        <is>
          <t>CSKR.L</t>
        </is>
      </c>
      <c r="I21" t="inlineStr">
        <is>
          <t>SRSA.L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Turkey</t>
        </is>
      </c>
      <c r="B22" t="inlineStr">
        <is>
          <t>TURL.L</t>
        </is>
      </c>
      <c r="C22" t="inlineStr">
        <is>
          <t>Turkey</t>
        </is>
      </c>
      <c r="D22" t="inlineStr">
        <is>
          <t>TURL.L</t>
        </is>
      </c>
      <c r="E22" t="inlineStr">
        <is>
          <t>Europe</t>
        </is>
      </c>
      <c r="F22" t="inlineStr">
        <is>
          <t>Switzerland</t>
        </is>
      </c>
      <c r="G22" t="inlineStr">
        <is>
          <t>CSW.PA</t>
        </is>
      </c>
      <c r="I22" t="inlineStr">
        <is>
          <t>TURL.L</t>
        </is>
      </c>
      <c r="J22" t="inlineStr">
        <is>
          <t>London Stock Exchange</t>
        </is>
      </c>
      <c r="K22" t="inlineStr">
        <is>
          <t>GBp</t>
        </is>
      </c>
    </row>
    <row r="23">
      <c r="A23" t="inlineStr">
        <is>
          <t>United Kingdom</t>
        </is>
      </c>
      <c r="B23" t="inlineStr">
        <is>
          <t>XBAK.L</t>
        </is>
      </c>
      <c r="C23" t="inlineStr">
        <is>
          <t>United Kingdom</t>
        </is>
      </c>
      <c r="D23" t="inlineStr">
        <is>
          <t>CUKX.L</t>
        </is>
      </c>
      <c r="E23" t="inlineStr">
        <is>
          <t>Europe</t>
        </is>
      </c>
      <c r="F23" t="inlineStr">
        <is>
          <t>Switzerland</t>
        </is>
      </c>
      <c r="G23" t="inlineStr">
        <is>
          <t>CSWG.L</t>
        </is>
      </c>
      <c r="I23" t="inlineStr">
        <is>
          <t>XBAK.L</t>
        </is>
      </c>
      <c r="J23" t="inlineStr">
        <is>
          <t>London Stock Exchange</t>
        </is>
      </c>
      <c r="K23" t="inlineStr">
        <is>
          <t>USD</t>
        </is>
      </c>
    </row>
    <row r="24">
      <c r="A24" t="inlineStr">
        <is>
          <t>United States</t>
        </is>
      </c>
      <c r="B24" t="inlineStr">
        <is>
          <t>XCX3.L</t>
        </is>
      </c>
      <c r="C24" t="inlineStr">
        <is>
          <t>United States</t>
        </is>
      </c>
      <c r="D24" t="inlineStr">
        <is>
          <t>CSUS.L</t>
        </is>
      </c>
      <c r="E24" t="inlineStr">
        <is>
          <t>North America</t>
        </is>
      </c>
      <c r="F24" t="inlineStr">
        <is>
          <t>Taiwan</t>
        </is>
      </c>
      <c r="G24" t="inlineStr">
        <is>
          <t>XMTW.L</t>
        </is>
      </c>
      <c r="I24" t="inlineStr">
        <is>
          <t>XCX3.L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>
        <is>
          <t>Vietnam</t>
        </is>
      </c>
      <c r="B25" t="inlineStr">
        <is>
          <t>XCX4.L</t>
        </is>
      </c>
      <c r="C25" t="inlineStr">
        <is>
          <t>Vietnam</t>
        </is>
      </c>
      <c r="D25" t="inlineStr">
        <is>
          <t>XFVT.L</t>
        </is>
      </c>
      <c r="E25" t="inlineStr">
        <is>
          <t>Asia</t>
        </is>
      </c>
      <c r="F25" t="inlineStr">
        <is>
          <t>Thailand</t>
        </is>
      </c>
      <c r="G25" t="inlineStr">
        <is>
          <t>XCX4.L</t>
        </is>
      </c>
      <c r="I25" t="inlineStr">
        <is>
          <t>XCX4.L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/>
      <c r="B26" t="inlineStr">
        <is>
          <t>XDAX.L</t>
        </is>
      </c>
      <c r="C26" t="inlineStr"/>
      <c r="D26" t="inlineStr"/>
      <c r="E26" t="inlineStr">
        <is>
          <t>Other</t>
        </is>
      </c>
      <c r="F26" t="inlineStr">
        <is>
          <t>Turkey</t>
        </is>
      </c>
      <c r="G26" t="inlineStr">
        <is>
          <t>TURL.L</t>
        </is>
      </c>
      <c r="I26" t="inlineStr">
        <is>
          <t>XDAX.L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XFVT.L</t>
        </is>
      </c>
      <c r="C27" t="inlineStr"/>
      <c r="D27" t="inlineStr"/>
      <c r="E27" t="inlineStr">
        <is>
          <t>Other</t>
        </is>
      </c>
      <c r="F27" t="inlineStr">
        <is>
          <t>United Kingdom</t>
        </is>
      </c>
      <c r="G27" t="inlineStr">
        <is>
          <t>CSUK.L</t>
        </is>
      </c>
      <c r="I27" t="inlineStr">
        <is>
          <t>XFVT.L</t>
        </is>
      </c>
      <c r="J27" t="inlineStr">
        <is>
          <t>London Stock Exchange</t>
        </is>
      </c>
      <c r="K27" t="inlineStr">
        <is>
          <t>GBp</t>
        </is>
      </c>
    </row>
    <row r="28">
      <c r="A28" t="inlineStr"/>
      <c r="B28" t="inlineStr">
        <is>
          <t>XMBR.L</t>
        </is>
      </c>
      <c r="C28" t="inlineStr"/>
      <c r="D28" t="inlineStr"/>
      <c r="E28" t="inlineStr">
        <is>
          <t>Other</t>
        </is>
      </c>
      <c r="F28" t="inlineStr">
        <is>
          <t>United Kingdom</t>
        </is>
      </c>
      <c r="G28" t="inlineStr">
        <is>
          <t>CUKX.L</t>
        </is>
      </c>
      <c r="I28" t="inlineStr">
        <is>
          <t>XMBR.L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XMEX.L</t>
        </is>
      </c>
      <c r="C29" t="inlineStr"/>
      <c r="D29" t="inlineStr"/>
      <c r="E29" t="inlineStr">
        <is>
          <t>Other</t>
        </is>
      </c>
      <c r="F29" t="inlineStr">
        <is>
          <t>United States</t>
        </is>
      </c>
      <c r="G29" t="inlineStr">
        <is>
          <t>CSPX.L</t>
        </is>
      </c>
      <c r="I29" t="inlineStr">
        <is>
          <t>XMEX.L</t>
        </is>
      </c>
      <c r="J29" t="inlineStr">
        <is>
          <t>London Stock Exchange</t>
        </is>
      </c>
      <c r="K29" t="inlineStr">
        <is>
          <t>GBp</t>
        </is>
      </c>
    </row>
    <row r="30">
      <c r="A30" t="inlineStr"/>
      <c r="B30" t="inlineStr">
        <is>
          <t>XMTW.L</t>
        </is>
      </c>
      <c r="C30" t="inlineStr"/>
      <c r="D30" t="inlineStr"/>
      <c r="E30" t="inlineStr">
        <is>
          <t>Other</t>
        </is>
      </c>
      <c r="F30" t="inlineStr">
        <is>
          <t>United States</t>
        </is>
      </c>
      <c r="G30" t="inlineStr">
        <is>
          <t>CSUS.L</t>
        </is>
      </c>
      <c r="I30" t="inlineStr">
        <is>
          <t>XMTW.L</t>
        </is>
      </c>
      <c r="J30" t="inlineStr">
        <is>
          <t>London Stock Exchange</t>
        </is>
      </c>
      <c r="K30" t="inlineStr">
        <is>
          <t>GBp</t>
        </is>
      </c>
    </row>
    <row r="31">
      <c r="A31" t="inlineStr"/>
      <c r="B31" t="inlineStr">
        <is>
          <t>XPHG.L</t>
        </is>
      </c>
      <c r="C31" t="inlineStr"/>
      <c r="D31" t="inlineStr"/>
      <c r="E31" t="inlineStr">
        <is>
          <t>Other</t>
        </is>
      </c>
      <c r="F31" t="inlineStr">
        <is>
          <t>Vietnam</t>
        </is>
      </c>
      <c r="G31" t="inlineStr">
        <is>
          <t>XFVT.L</t>
        </is>
      </c>
      <c r="I31" t="inlineStr">
        <is>
          <t>XPHG.L</t>
        </is>
      </c>
      <c r="J31" t="inlineStr">
        <is>
          <t>London Stock Exchange</t>
        </is>
      </c>
      <c r="K31" t="inlineStr">
        <is>
          <t>GBp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3"/>
  <sheetViews>
    <sheetView workbookViewId="0">
      <selection activeCell="A1" sqref="A1"/>
    </sheetView>
  </sheetViews>
  <sheetFormatPr baseColWidth="8" defaultRowHeight="15"/>
  <cols>
    <col width="31" customWidth="1" min="1" max="1"/>
    <col width="34" customWidth="1" min="2" max="2"/>
    <col width="26" customWidth="1" min="3" max="3"/>
    <col width="26" customWidth="1" min="4" max="4"/>
    <col width="20" customWidth="1" min="5" max="5"/>
    <col width="25" customWidth="1" min="6" max="6"/>
    <col width="34" customWidth="1" min="7" max="7"/>
    <col width="23" customWidth="1" min="8" max="8"/>
    <col width="21" customWidth="1" min="9" max="9"/>
    <col width="31" customWidth="1" min="10" max="10"/>
    <col width="12" customWidth="1" min="11" max="11"/>
    <col width="20" customWidth="1" min="12" max="12"/>
    <col width="18" customWidth="1" min="13" max="13"/>
    <col width="19" customWidth="1" min="14" max="14"/>
    <col width="15" customWidth="1" min="15" max="15"/>
    <col width="17" customWidth="1" min="16" max="16"/>
    <col width="17" customWidth="1" min="17" max="17"/>
    <col width="22" customWidth="1" min="18" max="18"/>
    <col width="21" customWidth="1" min="19" max="19"/>
  </cols>
  <sheetData>
    <row r="1">
      <c r="A1" s="3" t="inlineStr">
        <is>
          <t>Country CAGR Disconnect Screener</t>
        </is>
      </c>
    </row>
    <row r="2">
      <c r="A2" s="4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4" t="inlineStr">
        <is>
          <t>Country</t>
        </is>
      </c>
      <c r="B5" s="4" t="inlineStr">
        <is>
          <t>Ticker</t>
        </is>
      </c>
      <c r="C5" s="4" t="inlineStr">
        <is>
          <t>GDP CAGR (USD)</t>
        </is>
      </c>
      <c r="D5" s="4" t="inlineStr">
        <is>
          <t>ETF CAGR (USD)</t>
        </is>
      </c>
      <c r="E5" s="4" t="inlineStr">
        <is>
          <t>Macro Gap %</t>
        </is>
      </c>
      <c r="F5" s="4" t="inlineStr">
        <is>
          <t>FX CAGR %</t>
        </is>
      </c>
      <c r="G5" s="4" t="inlineStr">
        <is>
          <t>Inf. Diff CAGR %</t>
        </is>
      </c>
      <c r="H5" s="4" t="inlineStr">
        <is>
          <t>Currency Gap %</t>
        </is>
      </c>
      <c r="I5" s="4" t="inlineStr">
        <is>
          <t>Oil Impact %</t>
        </is>
      </c>
      <c r="J5" s="4" t="inlineStr">
        <is>
          <t>Proj. 3Y (26-28)</t>
        </is>
      </c>
      <c r="K5" t="inlineStr"/>
      <c r="L5" s="4" t="inlineStr">
        <is>
          <t>REER vs 10Y</t>
        </is>
      </c>
      <c r="M5" s="4" t="inlineStr">
        <is>
          <t>Valuation</t>
        </is>
      </c>
      <c r="N5" s="4" t="inlineStr">
        <is>
          <t>REER Index</t>
        </is>
      </c>
      <c r="O5" s="4" t="inlineStr">
        <is>
          <t>Region</t>
        </is>
      </c>
      <c r="P5" s="4" t="inlineStr">
        <is>
          <t>Exchange</t>
        </is>
      </c>
      <c r="Q5" s="4" t="inlineStr">
        <is>
          <t>Currency</t>
        </is>
      </c>
      <c r="R5" s="4" t="inlineStr">
        <is>
          <t>GDP Real CAGR</t>
        </is>
      </c>
      <c r="S5" s="4" t="inlineStr">
        <is>
          <t>GDP LCU CAGR</t>
        </is>
      </c>
    </row>
    <row r="6">
      <c r="A6" t="inlineStr">
        <is>
          <t>United States</t>
        </is>
      </c>
      <c r="B6" t="inlineStr">
        <is>
          <t>CSUS.L</t>
        </is>
      </c>
      <c r="C6" s="5">
        <f>IFERROR(1*INDEX(CAGR!$I:$I, MATCH($A6&amp;"|"&amp;$B$2, CAGR!$P:$P, 0)), NA())</f>
        <v/>
      </c>
      <c r="D6" s="5">
        <f>IFERROR(1*INDEX(CAGR!$F:$F, MATCH($A6&amp;"|"&amp;$B6&amp;"|"&amp;$B$2, CAGR!$O:$O, 0)), NA())</f>
        <v/>
      </c>
      <c r="E6" s="5">
        <f>IF(AND(ISNUMBER(C6),ISNUMBER(D6)),C6-D6,NA())</f>
        <v/>
      </c>
      <c r="F6" s="5">
        <f>IFERROR(1*INDEX(CAGR!$J:$J, MATCH($A6&amp;"|"&amp;$B$2, CAGR!$P:$P, 0)), NA())</f>
        <v/>
      </c>
      <c r="G6" s="5">
        <f>IFERROR(1*INDEX(CAGR!$M:$M, MATCH($A6&amp;"|"&amp;$B$2, CAGR!$P:$P, 0)), NA())</f>
        <v/>
      </c>
      <c r="H6" s="5">
        <f>IF(AND(ISNUMBER(F6),ISNUMBER(G6)),F6+G6,NA())</f>
        <v/>
      </c>
      <c r="I6" s="1">
        <f>IFERROR(INDEX(Crude_Oil_Impact!$I:$I, MATCH($A6, Crude_Oil_Impact!$A:$A, 0)), NA())</f>
        <v/>
      </c>
      <c r="J6" s="5">
        <f>IFERROR((( (1+INDEX(Annual!$H:$H, MATCH($A6&amp;"|2026", Annual!$K:$K, 0))/100)*(1+INDEX(Annual!$H:$H, MATCH($A6&amp;"|2027", Annual!$K:$K, 0))/100)*(1+INDEX(Annual!$H:$H, MATCH($A6&amp;"|2028", Annual!$K:$K, 0))/100) )^(1/3)-1)*100, NA())</f>
        <v/>
      </c>
      <c r="K6" t="inlineStr"/>
      <c r="L6" s="6">
        <f>IFERROR(INDEX(REER_Data!$E:$E, MATCH($A6, REER_Data!$A:$A, 0)) / 100, NA())</f>
        <v/>
      </c>
      <c r="M6">
        <f>IF(ISNA($L6), "", IF(ABS($L6)&lt;=0.03, "near neutral", IF(ABS($L6)&lt;=0.07, "mild " &amp; IF($L6&gt;0, "over", "under") &amp; "valuation", "meaningful " &amp; IF($L6&gt;0, "over", "under") &amp; "valuation")))</f>
        <v/>
      </c>
      <c r="N6" s="5">
        <f>IFERROR(INDEX(REER_Data!$C:$C, MATCH($A6, REER_Data!$A:$A, 0)), NA())</f>
        <v/>
      </c>
      <c r="O6">
        <f>IFERROR(INDEX(Lists!$E$2:$E$31, MATCH($A6, Lists!$A$2:$A$31, 0)), "")</f>
        <v/>
      </c>
      <c r="P6">
        <f>IFERROR(INDEX(Lists!$J$2:$J$31, MATCH($B6, Lists!$I$2:$I$31, 0)),"")</f>
        <v/>
      </c>
      <c r="Q6">
        <f>IFERROR(INDEX(Lists!$K$2:$K$31, MATCH($B6, Lists!$I$2:$I$31, 0)),"")</f>
        <v/>
      </c>
      <c r="R6" s="5">
        <f>IFERROR(1*INDEX(CAGR!$G:$G, MATCH($A6&amp;"|"&amp;$B$2, CAGR!$P:$P, 0)), NA())</f>
        <v/>
      </c>
      <c r="S6" s="5">
        <f>IFERROR(1*INDEX(CAGR!$H:$H, MATCH($A6&amp;"|"&amp;$B$2, CAGR!$P:$P, 0)), NA())</f>
        <v/>
      </c>
    </row>
    <row r="7">
      <c r="A7" t="inlineStr">
        <is>
          <t>China</t>
        </is>
      </c>
      <c r="B7" t="inlineStr">
        <is>
          <t>IASH.L</t>
        </is>
      </c>
      <c r="C7" s="5">
        <f>IFERROR(1*INDEX(CAGR!$I:$I, MATCH($A7&amp;"|"&amp;$B$2, CAGR!$P:$P, 0)), NA())</f>
        <v/>
      </c>
      <c r="D7" s="5">
        <f>IFERROR(1*INDEX(CAGR!$F:$F, MATCH($A7&amp;"|"&amp;$B7&amp;"|"&amp;$B$2, CAGR!$O:$O, 0)), NA())</f>
        <v/>
      </c>
      <c r="E7" s="5">
        <f>IF(AND(ISNUMBER(C7),ISNUMBER(D7)),C7-D7,NA())</f>
        <v/>
      </c>
      <c r="F7" s="5">
        <f>IFERROR(1*INDEX(CAGR!$J:$J, MATCH($A7&amp;"|"&amp;$B$2, CAGR!$P:$P, 0)), NA())</f>
        <v/>
      </c>
      <c r="G7" s="5">
        <f>IFERROR(1*INDEX(CAGR!$M:$M, MATCH($A7&amp;"|"&amp;$B$2, CAGR!$P:$P, 0)), NA())</f>
        <v/>
      </c>
      <c r="H7" s="5">
        <f>IF(AND(ISNUMBER(F7),ISNUMBER(G7)),F7+G7,NA())</f>
        <v/>
      </c>
      <c r="I7" s="1">
        <f>IFERROR(INDEX(Crude_Oil_Impact!$I:$I, MATCH($A7, Crude_Oil_Impact!$A:$A, 0)), NA())</f>
        <v/>
      </c>
      <c r="J7" s="5">
        <f>IFERROR((( (1+INDEX(Annual!$H:$H, MATCH($A7&amp;"|2026", Annual!$K:$K, 0))/100)*(1+INDEX(Annual!$H:$H, MATCH($A7&amp;"|2027", Annual!$K:$K, 0))/100)*(1+INDEX(Annual!$H:$H, MATCH($A7&amp;"|2028", Annual!$K:$K, 0))/100) )^(1/3)-1)*100, NA())</f>
        <v/>
      </c>
      <c r="K7" t="inlineStr"/>
      <c r="L7" s="6">
        <f>IFERROR(INDEX(REER_Data!$E:$E, MATCH($A7, REER_Data!$A:$A, 0)) / 100, NA())</f>
        <v/>
      </c>
      <c r="M7">
        <f>IF(ISNA($L7), "", IF(ABS($L7)&lt;=0.03, "near neutral", IF(ABS($L7)&lt;=0.07, "mild " &amp; IF($L7&gt;0, "over", "under") &amp; "valuation", "meaningful " &amp; IF($L7&gt;0, "over", "under") &amp; "valuation")))</f>
        <v/>
      </c>
      <c r="N7" s="5">
        <f>IFERROR(INDEX(REER_Data!$C:$C, MATCH($A7, REER_Data!$A:$A, 0)), NA())</f>
        <v/>
      </c>
      <c r="O7">
        <f>IFERROR(INDEX(Lists!$E$2:$E$31, MATCH($A7, Lists!$A$2:$A$31, 0)), "")</f>
        <v/>
      </c>
      <c r="P7">
        <f>IFERROR(INDEX(Lists!$J$2:$J$31, MATCH($B7, Lists!$I$2:$I$31, 0)),"")</f>
        <v/>
      </c>
      <c r="Q7">
        <f>IFERROR(INDEX(Lists!$K$2:$K$31, MATCH($B7, Lists!$I$2:$I$31, 0)),"")</f>
        <v/>
      </c>
      <c r="R7" s="5">
        <f>IFERROR(1*INDEX(CAGR!$G:$G, MATCH($A7&amp;"|"&amp;$B$2, CAGR!$P:$P, 0)), NA())</f>
        <v/>
      </c>
      <c r="S7" s="5">
        <f>IFERROR(1*INDEX(CAGR!$H:$H, MATCH($A7&amp;"|"&amp;$B$2, CAGR!$P:$P, 0)), NA())</f>
        <v/>
      </c>
    </row>
    <row r="8">
      <c r="A8" t="inlineStr">
        <is>
          <t>India</t>
        </is>
      </c>
      <c r="B8" t="inlineStr">
        <is>
          <t>LYINR.SW</t>
        </is>
      </c>
      <c r="C8" s="5">
        <f>IFERROR(1*INDEX(CAGR!$I:$I, MATCH($A8&amp;"|"&amp;$B$2, CAGR!$P:$P, 0)), NA())</f>
        <v/>
      </c>
      <c r="D8" s="5">
        <f>IFERROR(1*INDEX(CAGR!$F:$F, MATCH($A8&amp;"|"&amp;$B8&amp;"|"&amp;$B$2, CAGR!$O:$O, 0)), NA())</f>
        <v/>
      </c>
      <c r="E8" s="5">
        <f>IF(AND(ISNUMBER(C8),ISNUMBER(D8)),C8-D8,NA())</f>
        <v/>
      </c>
      <c r="F8" s="5">
        <f>IFERROR(1*INDEX(CAGR!$J:$J, MATCH($A8&amp;"|"&amp;$B$2, CAGR!$P:$P, 0)), NA())</f>
        <v/>
      </c>
      <c r="G8" s="5">
        <f>IFERROR(1*INDEX(CAGR!$M:$M, MATCH($A8&amp;"|"&amp;$B$2, CAGR!$P:$P, 0)), NA())</f>
        <v/>
      </c>
      <c r="H8" s="5">
        <f>IF(AND(ISNUMBER(F8),ISNUMBER(G8)),F8+G8,NA())</f>
        <v/>
      </c>
      <c r="I8" s="1">
        <f>IFERROR(INDEX(Crude_Oil_Impact!$I:$I, MATCH($A8, Crude_Oil_Impact!$A:$A, 0)), NA())</f>
        <v/>
      </c>
      <c r="J8" s="5">
        <f>IFERROR((( (1+INDEX(Annual!$H:$H, MATCH($A8&amp;"|2026", Annual!$K:$K, 0))/100)*(1+INDEX(Annual!$H:$H, MATCH($A8&amp;"|2027", Annual!$K:$K, 0))/100)*(1+INDEX(Annual!$H:$H, MATCH($A8&amp;"|2028", Annual!$K:$K, 0))/100) )^(1/3)-1)*100, NA())</f>
        <v/>
      </c>
      <c r="K8" t="inlineStr"/>
      <c r="L8" s="6">
        <f>IFERROR(INDEX(REER_Data!$E:$E, MATCH($A8, REER_Data!$A:$A, 0)) / 100, NA())</f>
        <v/>
      </c>
      <c r="M8">
        <f>IF(ISNA($L8), "", IF(ABS($L8)&lt;=0.03, "near neutral", IF(ABS($L8)&lt;=0.07, "mild " &amp; IF($L8&gt;0, "over", "under") &amp; "valuation", "meaningful " &amp; IF($L8&gt;0, "over", "under") &amp; "valuation")))</f>
        <v/>
      </c>
      <c r="N8" s="5">
        <f>IFERROR(INDEX(REER_Data!$C:$C, MATCH($A8, REER_Data!$A:$A, 0)), NA())</f>
        <v/>
      </c>
      <c r="O8">
        <f>IFERROR(INDEX(Lists!$E$2:$E$31, MATCH($A8, Lists!$A$2:$A$31, 0)), "")</f>
        <v/>
      </c>
      <c r="P8">
        <f>IFERROR(INDEX(Lists!$J$2:$J$31, MATCH($B8, Lists!$I$2:$I$31, 0)),"")</f>
        <v/>
      </c>
      <c r="Q8">
        <f>IFERROR(INDEX(Lists!$K$2:$K$31, MATCH($B8, Lists!$I$2:$I$31, 0)),"")</f>
        <v/>
      </c>
      <c r="R8" s="5">
        <f>IFERROR(1*INDEX(CAGR!$G:$G, MATCH($A8&amp;"|"&amp;$B$2, CAGR!$P:$P, 0)), NA())</f>
        <v/>
      </c>
      <c r="S8" s="5">
        <f>IFERROR(1*INDEX(CAGR!$H:$H, MATCH($A8&amp;"|"&amp;$B$2, CAGR!$P:$P, 0)), NA())</f>
        <v/>
      </c>
    </row>
    <row r="9">
      <c r="A9" t="inlineStr">
        <is>
          <t>Germany</t>
        </is>
      </c>
      <c r="B9" t="inlineStr">
        <is>
          <t>EXS1.DE</t>
        </is>
      </c>
      <c r="C9" s="5">
        <f>IFERROR(1*INDEX(CAGR!$I:$I, MATCH($A9&amp;"|"&amp;$B$2, CAGR!$P:$P, 0)), NA())</f>
        <v/>
      </c>
      <c r="D9" s="5">
        <f>IFERROR(1*INDEX(CAGR!$F:$F, MATCH($A9&amp;"|"&amp;$B9&amp;"|"&amp;$B$2, CAGR!$O:$O, 0)), NA())</f>
        <v/>
      </c>
      <c r="E9" s="5">
        <f>IF(AND(ISNUMBER(C9),ISNUMBER(D9)),C9-D9,NA())</f>
        <v/>
      </c>
      <c r="F9" s="5">
        <f>IFERROR(1*INDEX(CAGR!$J:$J, MATCH($A9&amp;"|"&amp;$B$2, CAGR!$P:$P, 0)), NA())</f>
        <v/>
      </c>
      <c r="G9" s="5">
        <f>IFERROR(1*INDEX(CAGR!$M:$M, MATCH($A9&amp;"|"&amp;$B$2, CAGR!$P:$P, 0)), NA())</f>
        <v/>
      </c>
      <c r="H9" s="5">
        <f>IF(AND(ISNUMBER(F9),ISNUMBER(G9)),F9+G9,NA())</f>
        <v/>
      </c>
      <c r="I9" s="1">
        <f>IFERROR(INDEX(Crude_Oil_Impact!$I:$I, MATCH($A9, Crude_Oil_Impact!$A:$A, 0)), NA())</f>
        <v/>
      </c>
      <c r="J9" s="5">
        <f>IFERROR((( (1+INDEX(Annual!$H:$H, MATCH($A9&amp;"|2026", Annual!$K:$K, 0))/100)*(1+INDEX(Annual!$H:$H, MATCH($A9&amp;"|2027", Annual!$K:$K, 0))/100)*(1+INDEX(Annual!$H:$H, MATCH($A9&amp;"|2028", Annual!$K:$K, 0))/100) )^(1/3)-1)*100, NA())</f>
        <v/>
      </c>
      <c r="K9" t="inlineStr"/>
      <c r="L9" s="6">
        <f>IFERROR(INDEX(REER_Data!$E:$E, MATCH($A9, REER_Data!$A:$A, 0)) / 100, NA())</f>
        <v/>
      </c>
      <c r="M9">
        <f>IF(ISNA($L9), "", IF(ABS($L9)&lt;=0.03, "near neutral", IF(ABS($L9)&lt;=0.07, "mild " &amp; IF($L9&gt;0, "over", "under") &amp; "valuation", "meaningful " &amp; IF($L9&gt;0, "over", "under") &amp; "valuation")))</f>
        <v/>
      </c>
      <c r="N9" s="5">
        <f>IFERROR(INDEX(REER_Data!$C:$C, MATCH($A9, REER_Data!$A:$A, 0)), NA())</f>
        <v/>
      </c>
      <c r="O9">
        <f>IFERROR(INDEX(Lists!$E$2:$E$31, MATCH($A9, Lists!$A$2:$A$31, 0)), "")</f>
        <v/>
      </c>
      <c r="P9">
        <f>IFERROR(INDEX(Lists!$J$2:$J$31, MATCH($B9, Lists!$I$2:$I$31, 0)),"")</f>
        <v/>
      </c>
      <c r="Q9">
        <f>IFERROR(INDEX(Lists!$K$2:$K$31, MATCH($B9, Lists!$I$2:$I$31, 0)),"")</f>
        <v/>
      </c>
      <c r="R9" s="5">
        <f>IFERROR(1*INDEX(CAGR!$G:$G, MATCH($A9&amp;"|"&amp;$B$2, CAGR!$P:$P, 0)), NA())</f>
        <v/>
      </c>
      <c r="S9" s="5">
        <f>IFERROR(1*INDEX(CAGR!$H:$H, MATCH($A9&amp;"|"&amp;$B$2, CAGR!$P:$P, 0)), NA())</f>
        <v/>
      </c>
    </row>
    <row r="10">
      <c r="A10" t="inlineStr">
        <is>
          <t>Japan</t>
        </is>
      </c>
      <c r="B10" t="inlineStr">
        <is>
          <t>CJPU.L</t>
        </is>
      </c>
      <c r="C10" s="5">
        <f>IFERROR(1*INDEX(CAGR!$I:$I, MATCH($A10&amp;"|"&amp;$B$2, CAGR!$P:$P, 0)), NA())</f>
        <v/>
      </c>
      <c r="D10" s="5">
        <f>IFERROR(1*INDEX(CAGR!$F:$F, MATCH($A10&amp;"|"&amp;$B10&amp;"|"&amp;$B$2, CAGR!$O:$O, 0)), NA())</f>
        <v/>
      </c>
      <c r="E10" s="5">
        <f>IF(AND(ISNUMBER(C10),ISNUMBER(D10)),C10-D10,NA())</f>
        <v/>
      </c>
      <c r="F10" s="5">
        <f>IFERROR(1*INDEX(CAGR!$J:$J, MATCH($A10&amp;"|"&amp;$B$2, CAGR!$P:$P, 0)), NA())</f>
        <v/>
      </c>
      <c r="G10" s="5">
        <f>IFERROR(1*INDEX(CAGR!$M:$M, MATCH($A10&amp;"|"&amp;$B$2, CAGR!$P:$P, 0)), NA())</f>
        <v/>
      </c>
      <c r="H10" s="5">
        <f>IF(AND(ISNUMBER(F10),ISNUMBER(G10)),F10+G10,NA())</f>
        <v/>
      </c>
      <c r="I10" s="1">
        <f>IFERROR(INDEX(Crude_Oil_Impact!$I:$I, MATCH($A10, Crude_Oil_Impact!$A:$A, 0)), NA())</f>
        <v/>
      </c>
      <c r="J10" s="5">
        <f>IFERROR((( (1+INDEX(Annual!$H:$H, MATCH($A10&amp;"|2026", Annual!$K:$K, 0))/100)*(1+INDEX(Annual!$H:$H, MATCH($A10&amp;"|2027", Annual!$K:$K, 0))/100)*(1+INDEX(Annual!$H:$H, MATCH($A10&amp;"|2028", Annual!$K:$K, 0))/100) )^(1/3)-1)*100, NA())</f>
        <v/>
      </c>
      <c r="K10" t="inlineStr"/>
      <c r="L10" s="6">
        <f>IFERROR(INDEX(REER_Data!$E:$E, MATCH($A10, REER_Data!$A:$A, 0)) / 100, NA())</f>
        <v/>
      </c>
      <c r="M10">
        <f>IF(ISNA($L10), "", IF(ABS($L10)&lt;=0.03, "near neutral", IF(ABS($L10)&lt;=0.07, "mild " &amp; IF($L10&gt;0, "over", "under") &amp; "valuation", "meaningful " &amp; IF($L10&gt;0, "over", "under") &amp; "valuation")))</f>
        <v/>
      </c>
      <c r="N10" s="5">
        <f>IFERROR(INDEX(REER_Data!$C:$C, MATCH($A10, REER_Data!$A:$A, 0)), NA())</f>
        <v/>
      </c>
      <c r="O10">
        <f>IFERROR(INDEX(Lists!$E$2:$E$31, MATCH($A10, Lists!$A$2:$A$31, 0)), "")</f>
        <v/>
      </c>
      <c r="P10">
        <f>IFERROR(INDEX(Lists!$J$2:$J$31, MATCH($B10, Lists!$I$2:$I$31, 0)),"")</f>
        <v/>
      </c>
      <c r="Q10">
        <f>IFERROR(INDEX(Lists!$K$2:$K$31, MATCH($B10, Lists!$I$2:$I$31, 0)),"")</f>
        <v/>
      </c>
      <c r="R10" s="5">
        <f>IFERROR(1*INDEX(CAGR!$G:$G, MATCH($A10&amp;"|"&amp;$B$2, CAGR!$P:$P, 0)), NA())</f>
        <v/>
      </c>
      <c r="S10" s="5">
        <f>IFERROR(1*INDEX(CAGR!$H:$H, MATCH($A10&amp;"|"&amp;$B$2, CAGR!$P:$P,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5">
        <f>IFERROR(1*INDEX(CAGR!$I:$I, MATCH($A11&amp;"|"&amp;$B$2, CAGR!$P:$P, 0)), NA())</f>
        <v/>
      </c>
      <c r="D11" s="5">
        <f>IFERROR(1*INDEX(CAGR!$F:$F, MATCH($A11&amp;"|"&amp;$B11&amp;"|"&amp;$B$2, CAGR!$O:$O, 0)), NA())</f>
        <v/>
      </c>
      <c r="E11" s="5">
        <f>IF(AND(ISNUMBER(C11),ISNUMBER(D11)),C11-D11,NA())</f>
        <v/>
      </c>
      <c r="F11" s="5">
        <f>IFERROR(1*INDEX(CAGR!$J:$J, MATCH($A11&amp;"|"&amp;$B$2, CAGR!$P:$P, 0)), NA())</f>
        <v/>
      </c>
      <c r="G11" s="5">
        <f>IFERROR(1*INDEX(CAGR!$M:$M, MATCH($A11&amp;"|"&amp;$B$2, CAGR!$P:$P, 0)), NA())</f>
        <v/>
      </c>
      <c r="H11" s="5">
        <f>IF(AND(ISNUMBER(F11),ISNUMBER(G11)),F11+G11,NA())</f>
        <v/>
      </c>
      <c r="I11" s="1">
        <f>IFERROR(INDEX(Crude_Oil_Impact!$I:$I, MATCH($A11, Crude_Oil_Impact!$A:$A, 0)), NA())</f>
        <v/>
      </c>
      <c r="J11" s="5">
        <f>IFERROR((( (1+INDEX(Annual!$H:$H, MATCH($A11&amp;"|2026", Annual!$K:$K, 0))/100)*(1+INDEX(Annual!$H:$H, MATCH($A11&amp;"|2027", Annual!$K:$K, 0))/100)*(1+INDEX(Annual!$H:$H, MATCH($A11&amp;"|2028", Annual!$K:$K, 0))/100) )^(1/3)-1)*100, NA())</f>
        <v/>
      </c>
      <c r="K11" t="inlineStr"/>
      <c r="L11" s="6">
        <f>IFERROR(INDEX(REER_Data!$E:$E, MATCH($A11, REER_Data!$A:$A, 0)) / 100, NA())</f>
        <v/>
      </c>
      <c r="M11">
        <f>IF(ISNA($L11), "", IF(ABS($L11)&lt;=0.03, "near neutral", IF(ABS($L11)&lt;=0.07, "mild " &amp; IF($L11&gt;0, "over", "under") &amp; "valuation", "meaningful " &amp; IF($L11&gt;0, "over", "under") &amp; "valuation")))</f>
        <v/>
      </c>
      <c r="N11" s="5">
        <f>IFERROR(INDEX(REER_Data!$C:$C, MATCH($A11, REER_Data!$A:$A, 0)), NA())</f>
        <v/>
      </c>
      <c r="O11">
        <f>IFERROR(INDEX(Lists!$E$2:$E$31, MATCH($A11, Lists!$A$2:$A$31, 0)), "")</f>
        <v/>
      </c>
      <c r="P11">
        <f>IFERROR(INDEX(Lists!$J$2:$J$31, MATCH($B11, Lists!$I$2:$I$31, 0)),"")</f>
        <v/>
      </c>
      <c r="Q11">
        <f>IFERROR(INDEX(Lists!$K$2:$K$31, MATCH($B11, Lists!$I$2:$I$31, 0)),"")</f>
        <v/>
      </c>
      <c r="R11" s="5">
        <f>IFERROR(1*INDEX(CAGR!$G:$G, MATCH($A11&amp;"|"&amp;$B$2, CAGR!$P:$P, 0)), NA())</f>
        <v/>
      </c>
      <c r="S11" s="5">
        <f>IFERROR(1*INDEX(CAGR!$H:$H, MATCH($A11&amp;"|"&amp;$B$2, CAGR!$P:$P, 0)), NA())</f>
        <v/>
      </c>
    </row>
    <row r="12">
      <c r="A12" t="inlineStr">
        <is>
          <t>France</t>
        </is>
      </c>
      <c r="B12" t="inlineStr">
        <is>
          <t>ISFR.L</t>
        </is>
      </c>
      <c r="C12" s="5">
        <f>IFERROR(1*INDEX(CAGR!$I:$I, MATCH($A12&amp;"|"&amp;$B$2, CAGR!$P:$P, 0)), NA())</f>
        <v/>
      </c>
      <c r="D12" s="5">
        <f>IFERROR(1*INDEX(CAGR!$F:$F, MATCH($A12&amp;"|"&amp;$B12&amp;"|"&amp;$B$2, CAGR!$O:$O, 0)), NA())</f>
        <v/>
      </c>
      <c r="E12" s="5">
        <f>IF(AND(ISNUMBER(C12),ISNUMBER(D12)),C12-D12,NA())</f>
        <v/>
      </c>
      <c r="F12" s="5">
        <f>IFERROR(1*INDEX(CAGR!$J:$J, MATCH($A12&amp;"|"&amp;$B$2, CAGR!$P:$P, 0)), NA())</f>
        <v/>
      </c>
      <c r="G12" s="5">
        <f>IFERROR(1*INDEX(CAGR!$M:$M, MATCH($A12&amp;"|"&amp;$B$2, CAGR!$P:$P, 0)), NA())</f>
        <v/>
      </c>
      <c r="H12" s="5">
        <f>IF(AND(ISNUMBER(F12),ISNUMBER(G12)),F12+G12,NA())</f>
        <v/>
      </c>
      <c r="I12" s="1">
        <f>IFERROR(INDEX(Crude_Oil_Impact!$I:$I, MATCH($A12, Crude_Oil_Impact!$A:$A, 0)), NA())</f>
        <v/>
      </c>
      <c r="J12" s="5">
        <f>IFERROR((( (1+INDEX(Annual!$H:$H, MATCH($A12&amp;"|2026", Annual!$K:$K, 0))/100)*(1+INDEX(Annual!$H:$H, MATCH($A12&amp;"|2027", Annual!$K:$K, 0))/100)*(1+INDEX(Annual!$H:$H, MATCH($A12&amp;"|2028", Annual!$K:$K, 0))/100) )^(1/3)-1)*100, NA())</f>
        <v/>
      </c>
      <c r="K12" t="inlineStr"/>
      <c r="L12" s="6">
        <f>IFERROR(INDEX(REER_Data!$E:$E, MATCH($A12, REER_Data!$A:$A, 0)) / 100, NA())</f>
        <v/>
      </c>
      <c r="M12">
        <f>IF(ISNA($L12), "", IF(ABS($L12)&lt;=0.03, "near neutral", IF(ABS($L12)&lt;=0.07, "mild " &amp; IF($L12&gt;0, "over", "under") &amp; "valuation", "meaningful " &amp; IF($L12&gt;0, "over", "under") &amp; "valuation")))</f>
        <v/>
      </c>
      <c r="N12" s="5">
        <f>IFERROR(INDEX(REER_Data!$C:$C, MATCH($A12, REER_Data!$A:$A, 0)), NA())</f>
        <v/>
      </c>
      <c r="O12">
        <f>IFERROR(INDEX(Lists!$E$2:$E$31, MATCH($A12, Lists!$A$2:$A$31, 0)), "")</f>
        <v/>
      </c>
      <c r="P12">
        <f>IFERROR(INDEX(Lists!$J$2:$J$31, MATCH($B12, Lists!$I$2:$I$31, 0)),"")</f>
        <v/>
      </c>
      <c r="Q12">
        <f>IFERROR(INDEX(Lists!$K$2:$K$31, MATCH($B12, Lists!$I$2:$I$31, 0)),"")</f>
        <v/>
      </c>
      <c r="R12" s="5">
        <f>IFERROR(1*INDEX(CAGR!$G:$G, MATCH($A12&amp;"|"&amp;$B$2, CAGR!$P:$P, 0)), NA())</f>
        <v/>
      </c>
      <c r="S12" s="5">
        <f>IFERROR(1*INDEX(CAGR!$H:$H, MATCH($A12&amp;"|"&amp;$B$2, CAGR!$P:$P, 0)), NA())</f>
        <v/>
      </c>
    </row>
    <row r="13">
      <c r="A13" t="inlineStr">
        <is>
          <t>Canada</t>
        </is>
      </c>
      <c r="B13" t="inlineStr">
        <is>
          <t>CSCA.L</t>
        </is>
      </c>
      <c r="C13" s="5">
        <f>IFERROR(1*INDEX(CAGR!$I:$I, MATCH($A13&amp;"|"&amp;$B$2, CAGR!$P:$P, 0)), NA())</f>
        <v/>
      </c>
      <c r="D13" s="5">
        <f>IFERROR(1*INDEX(CAGR!$F:$F, MATCH($A13&amp;"|"&amp;$B13&amp;"|"&amp;$B$2, CAGR!$O:$O, 0)), NA())</f>
        <v/>
      </c>
      <c r="E13" s="5">
        <f>IF(AND(ISNUMBER(C13),ISNUMBER(D13)),C13-D13,NA())</f>
        <v/>
      </c>
      <c r="F13" s="5">
        <f>IFERROR(1*INDEX(CAGR!$J:$J, MATCH($A13&amp;"|"&amp;$B$2, CAGR!$P:$P, 0)), NA())</f>
        <v/>
      </c>
      <c r="G13" s="5">
        <f>IFERROR(1*INDEX(CAGR!$M:$M, MATCH($A13&amp;"|"&amp;$B$2, CAGR!$P:$P, 0)), NA())</f>
        <v/>
      </c>
      <c r="H13" s="5">
        <f>IF(AND(ISNUMBER(F13),ISNUMBER(G13)),F13+G13,NA())</f>
        <v/>
      </c>
      <c r="I13" s="1">
        <f>IFERROR(INDEX(Crude_Oil_Impact!$I:$I, MATCH($A13, Crude_Oil_Impact!$A:$A, 0)), NA())</f>
        <v/>
      </c>
      <c r="J13" s="5">
        <f>IFERROR((( (1+INDEX(Annual!$H:$H, MATCH($A13&amp;"|2026", Annual!$K:$K, 0))/100)*(1+INDEX(Annual!$H:$H, MATCH($A13&amp;"|2027", Annual!$K:$K, 0))/100)*(1+INDEX(Annual!$H:$H, MATCH($A13&amp;"|2028", Annual!$K:$K, 0))/100) )^(1/3)-1)*100, NA())</f>
        <v/>
      </c>
      <c r="K13" t="inlineStr"/>
      <c r="L13" s="6">
        <f>IFERROR(INDEX(REER_Data!$E:$E, MATCH($A13, REER_Data!$A:$A, 0)) / 100, NA())</f>
        <v/>
      </c>
      <c r="M13">
        <f>IF(ISNA($L13), "", IF(ABS($L13)&lt;=0.03, "near neutral", IF(ABS($L13)&lt;=0.07, "mild " &amp; IF($L13&gt;0, "over", "under") &amp; "valuation", "meaningful " &amp; IF($L13&gt;0, "over", "under") &amp; "valuation")))</f>
        <v/>
      </c>
      <c r="N13" s="5">
        <f>IFERROR(INDEX(REER_Data!$C:$C, MATCH($A13, REER_Data!$A:$A, 0)), NA())</f>
        <v/>
      </c>
      <c r="O13">
        <f>IFERROR(INDEX(Lists!$E$2:$E$31, MATCH($A13, Lists!$A$2:$A$31, 0)), "")</f>
        <v/>
      </c>
      <c r="P13">
        <f>IFERROR(INDEX(Lists!$J$2:$J$31, MATCH($B13, Lists!$I$2:$I$31, 0)),"")</f>
        <v/>
      </c>
      <c r="Q13">
        <f>IFERROR(INDEX(Lists!$K$2:$K$31, MATCH($B13, Lists!$I$2:$I$31, 0)),"")</f>
        <v/>
      </c>
      <c r="R13" s="5">
        <f>IFERROR(1*INDEX(CAGR!$G:$G, MATCH($A13&amp;"|"&amp;$B$2, CAGR!$P:$P, 0)), NA())</f>
        <v/>
      </c>
      <c r="S13" s="5">
        <f>IFERROR(1*INDEX(CAGR!$H:$H, MATCH($A13&amp;"|"&amp;$B$2, CAGR!$P:$P, 0)), NA())</f>
        <v/>
      </c>
    </row>
    <row r="14">
      <c r="A14" t="inlineStr">
        <is>
          <t>Brazil</t>
        </is>
      </c>
      <c r="B14" t="inlineStr">
        <is>
          <t>XMBR.L</t>
        </is>
      </c>
      <c r="C14" s="5">
        <f>IFERROR(1*INDEX(CAGR!$I:$I, MATCH($A14&amp;"|"&amp;$B$2, CAGR!$P:$P, 0)), NA())</f>
        <v/>
      </c>
      <c r="D14" s="5">
        <f>IFERROR(1*INDEX(CAGR!$F:$F, MATCH($A14&amp;"|"&amp;$B14&amp;"|"&amp;$B$2, CAGR!$O:$O, 0)), NA())</f>
        <v/>
      </c>
      <c r="E14" s="5">
        <f>IF(AND(ISNUMBER(C14),ISNUMBER(D14)),C14-D14,NA())</f>
        <v/>
      </c>
      <c r="F14" s="5">
        <f>IFERROR(1*INDEX(CAGR!$J:$J, MATCH($A14&amp;"|"&amp;$B$2, CAGR!$P:$P, 0)), NA())</f>
        <v/>
      </c>
      <c r="G14" s="5">
        <f>IFERROR(1*INDEX(CAGR!$M:$M, MATCH($A14&amp;"|"&amp;$B$2, CAGR!$P:$P, 0)), NA())</f>
        <v/>
      </c>
      <c r="H14" s="5">
        <f>IF(AND(ISNUMBER(F14),ISNUMBER(G14)),F14+G14,NA())</f>
        <v/>
      </c>
      <c r="I14" s="1">
        <f>IFERROR(INDEX(Crude_Oil_Impact!$I:$I, MATCH($A14, Crude_Oil_Impact!$A:$A, 0)), NA())</f>
        <v/>
      </c>
      <c r="J14" s="5">
        <f>IFERROR((( (1+INDEX(Annual!$H:$H, MATCH($A14&amp;"|2026", Annual!$K:$K, 0))/100)*(1+INDEX(Annual!$H:$H, MATCH($A14&amp;"|2027", Annual!$K:$K, 0))/100)*(1+INDEX(Annual!$H:$H, MATCH($A14&amp;"|2028", Annual!$K:$K, 0))/100) )^(1/3)-1)*100, NA())</f>
        <v/>
      </c>
      <c r="K14" t="inlineStr"/>
      <c r="L14" s="6">
        <f>IFERROR(INDEX(REER_Data!$E:$E, MATCH($A14, REER_Data!$A:$A, 0)) / 100, NA())</f>
        <v/>
      </c>
      <c r="M14">
        <f>IF(ISNA($L14), "", IF(ABS($L14)&lt;=0.03, "near neutral", IF(ABS($L14)&lt;=0.07, "mild " &amp; IF($L14&gt;0, "over", "under") &amp; "valuation", "meaningful " &amp; IF($L14&gt;0, "over", "under") &amp; "valuation")))</f>
        <v/>
      </c>
      <c r="N14" s="5">
        <f>IFERROR(INDEX(REER_Data!$C:$C, MATCH($A14, REER_Data!$A:$A, 0)), NA())</f>
        <v/>
      </c>
      <c r="O14">
        <f>IFERROR(INDEX(Lists!$E$2:$E$31, MATCH($A14, Lists!$A$2:$A$31, 0)), "")</f>
        <v/>
      </c>
      <c r="P14">
        <f>IFERROR(INDEX(Lists!$J$2:$J$31, MATCH($B14, Lists!$I$2:$I$31, 0)),"")</f>
        <v/>
      </c>
      <c r="Q14">
        <f>IFERROR(INDEX(Lists!$K$2:$K$31, MATCH($B14, Lists!$I$2:$I$31, 0)),"")</f>
        <v/>
      </c>
      <c r="R14" s="5">
        <f>IFERROR(1*INDEX(CAGR!$G:$G, MATCH($A14&amp;"|"&amp;$B$2, CAGR!$P:$P, 0)), NA())</f>
        <v/>
      </c>
      <c r="S14" s="5">
        <f>IFERROR(1*INDEX(CAGR!$H:$H, MATCH($A14&amp;"|"&amp;$B$2, CAGR!$P:$P, 0)), NA())</f>
        <v/>
      </c>
    </row>
    <row r="15">
      <c r="A15" t="inlineStr">
        <is>
          <t>Mexico</t>
        </is>
      </c>
      <c r="B15" t="inlineStr">
        <is>
          <t>XMEX.L</t>
        </is>
      </c>
      <c r="C15" s="5">
        <f>IFERROR(1*INDEX(CAGR!$I:$I, MATCH($A15&amp;"|"&amp;$B$2, CAGR!$P:$P, 0)), NA())</f>
        <v/>
      </c>
      <c r="D15" s="5">
        <f>IFERROR(1*INDEX(CAGR!$F:$F, MATCH($A15&amp;"|"&amp;$B15&amp;"|"&amp;$B$2, CAGR!$O:$O, 0)), NA())</f>
        <v/>
      </c>
      <c r="E15" s="5">
        <f>IF(AND(ISNUMBER(C15),ISNUMBER(D15)),C15-D15,NA())</f>
        <v/>
      </c>
      <c r="F15" s="5">
        <f>IFERROR(1*INDEX(CAGR!$J:$J, MATCH($A15&amp;"|"&amp;$B$2, CAGR!$P:$P, 0)), NA())</f>
        <v/>
      </c>
      <c r="G15" s="5">
        <f>IFERROR(1*INDEX(CAGR!$M:$M, MATCH($A15&amp;"|"&amp;$B$2, CAGR!$P:$P, 0)), NA())</f>
        <v/>
      </c>
      <c r="H15" s="5">
        <f>IF(AND(ISNUMBER(F15),ISNUMBER(G15)),F15+G15,NA())</f>
        <v/>
      </c>
      <c r="I15" s="1">
        <f>IFERROR(INDEX(Crude_Oil_Impact!$I:$I, MATCH($A15, Crude_Oil_Impact!$A:$A, 0)), NA())</f>
        <v/>
      </c>
      <c r="J15" s="5">
        <f>IFERROR((( (1+INDEX(Annual!$H:$H, MATCH($A15&amp;"|2026", Annual!$K:$K, 0))/100)*(1+INDEX(Annual!$H:$H, MATCH($A15&amp;"|2027", Annual!$K:$K, 0))/100)*(1+INDEX(Annual!$H:$H, MATCH($A15&amp;"|2028", Annual!$K:$K, 0))/100) )^(1/3)-1)*100, NA())</f>
        <v/>
      </c>
      <c r="K15" t="inlineStr"/>
      <c r="L15" s="6">
        <f>IFERROR(INDEX(REER_Data!$E:$E, MATCH($A15, REER_Data!$A:$A, 0)) / 100, NA())</f>
        <v/>
      </c>
      <c r="M15">
        <f>IF(ISNA($L15), "", IF(ABS($L15)&lt;=0.03, "near neutral", IF(ABS($L15)&lt;=0.07, "mild " &amp; IF($L15&gt;0, "over", "under") &amp; "valuation", "meaningful " &amp; IF($L15&gt;0, "over", "under") &amp; "valuation")))</f>
        <v/>
      </c>
      <c r="N15" s="5">
        <f>IFERROR(INDEX(REER_Data!$C:$C, MATCH($A15, REER_Data!$A:$A, 0)), NA())</f>
        <v/>
      </c>
      <c r="O15">
        <f>IFERROR(INDEX(Lists!$E$2:$E$31, MATCH($A15, Lists!$A$2:$A$31, 0)), "")</f>
        <v/>
      </c>
      <c r="P15">
        <f>IFERROR(INDEX(Lists!$J$2:$J$31, MATCH($B15, Lists!$I$2:$I$31, 0)),"")</f>
        <v/>
      </c>
      <c r="Q15">
        <f>IFERROR(INDEX(Lists!$K$2:$K$31, MATCH($B15, Lists!$I$2:$I$31, 0)),"")</f>
        <v/>
      </c>
      <c r="R15" s="5">
        <f>IFERROR(1*INDEX(CAGR!$G:$G, MATCH($A15&amp;"|"&amp;$B$2, CAGR!$P:$P, 0)), NA())</f>
        <v/>
      </c>
      <c r="S15" s="5">
        <f>IFERROR(1*INDEX(CAGR!$H:$H, MATCH($A15&amp;"|"&amp;$B$2, CAGR!$P:$P, 0)), NA())</f>
        <v/>
      </c>
    </row>
    <row r="16">
      <c r="A16" t="inlineStr">
        <is>
          <t>Australia</t>
        </is>
      </c>
      <c r="B16" t="inlineStr">
        <is>
          <t>SAUS.L</t>
        </is>
      </c>
      <c r="C16" s="5">
        <f>IFERROR(1*INDEX(CAGR!$I:$I, MATCH($A16&amp;"|"&amp;$B$2, CAGR!$P:$P, 0)), NA())</f>
        <v/>
      </c>
      <c r="D16" s="5">
        <f>IFERROR(1*INDEX(CAGR!$F:$F, MATCH($A16&amp;"|"&amp;$B16&amp;"|"&amp;$B$2, CAGR!$O:$O, 0)), NA())</f>
        <v/>
      </c>
      <c r="E16" s="5">
        <f>IF(AND(ISNUMBER(C16),ISNUMBER(D16)),C16-D16,NA())</f>
        <v/>
      </c>
      <c r="F16" s="5">
        <f>IFERROR(1*INDEX(CAGR!$J:$J, MATCH($A16&amp;"|"&amp;$B$2, CAGR!$P:$P, 0)), NA())</f>
        <v/>
      </c>
      <c r="G16" s="5">
        <f>IFERROR(1*INDEX(CAGR!$M:$M, MATCH($A16&amp;"|"&amp;$B$2, CAGR!$P:$P, 0)), NA())</f>
        <v/>
      </c>
      <c r="H16" s="5">
        <f>IF(AND(ISNUMBER(F16),ISNUMBER(G16)),F16+G16,NA())</f>
        <v/>
      </c>
      <c r="I16" s="1">
        <f>IFERROR(INDEX(Crude_Oil_Impact!$I:$I, MATCH($A16, Crude_Oil_Impact!$A:$A, 0)), NA())</f>
        <v/>
      </c>
      <c r="J16" s="5">
        <f>IFERROR((( (1+INDEX(Annual!$H:$H, MATCH($A16&amp;"|2026", Annual!$K:$K, 0))/100)*(1+INDEX(Annual!$H:$H, MATCH($A16&amp;"|2027", Annual!$K:$K, 0))/100)*(1+INDEX(Annual!$H:$H, MATCH($A16&amp;"|2028", Annual!$K:$K, 0))/100) )^(1/3)-1)*100, NA())</f>
        <v/>
      </c>
      <c r="K16" t="inlineStr"/>
      <c r="L16" s="6">
        <f>IFERROR(INDEX(REER_Data!$E:$E, MATCH($A16, REER_Data!$A:$A, 0)) / 100, NA())</f>
        <v/>
      </c>
      <c r="M16">
        <f>IF(ISNA($L16), "", IF(ABS($L16)&lt;=0.03, "near neutral", IF(ABS($L16)&lt;=0.07, "mild " &amp; IF($L16&gt;0, "over", "under") &amp; "valuation", "meaningful " &amp; IF($L16&gt;0, "over", "under") &amp; "valuation")))</f>
        <v/>
      </c>
      <c r="N16" s="5">
        <f>IFERROR(INDEX(REER_Data!$C:$C, MATCH($A16, REER_Data!$A:$A, 0)), NA())</f>
        <v/>
      </c>
      <c r="O16">
        <f>IFERROR(INDEX(Lists!$E$2:$E$31, MATCH($A16, Lists!$A$2:$A$31, 0)), "")</f>
        <v/>
      </c>
      <c r="P16">
        <f>IFERROR(INDEX(Lists!$J$2:$J$31, MATCH($B16, Lists!$I$2:$I$31, 0)),"")</f>
        <v/>
      </c>
      <c r="Q16">
        <f>IFERROR(INDEX(Lists!$K$2:$K$31, MATCH($B16, Lists!$I$2:$I$31, 0)),"")</f>
        <v/>
      </c>
      <c r="R16" s="5">
        <f>IFERROR(1*INDEX(CAGR!$G:$G, MATCH($A16&amp;"|"&amp;$B$2, CAGR!$P:$P, 0)), NA())</f>
        <v/>
      </c>
      <c r="S16" s="5">
        <f>IFERROR(1*INDEX(CAGR!$H:$H, MATCH($A16&amp;"|"&amp;$B$2, CAGR!$P:$P,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5">
        <f>IFERROR(1*INDEX(CAGR!$I:$I, MATCH($A17&amp;"|"&amp;$B$2, CAGR!$P:$P, 0)), NA())</f>
        <v/>
      </c>
      <c r="D17" s="5">
        <f>IFERROR(1*INDEX(CAGR!$F:$F, MATCH($A17&amp;"|"&amp;$B17&amp;"|"&amp;$B$2, CAGR!$O:$O, 0)), NA())</f>
        <v/>
      </c>
      <c r="E17" s="5">
        <f>IF(AND(ISNUMBER(C17),ISNUMBER(D17)),C17-D17,NA())</f>
        <v/>
      </c>
      <c r="F17" s="5">
        <f>IFERROR(1*INDEX(CAGR!$J:$J, MATCH($A17&amp;"|"&amp;$B$2, CAGR!$P:$P, 0)), NA())</f>
        <v/>
      </c>
      <c r="G17" s="5">
        <f>IFERROR(1*INDEX(CAGR!$M:$M, MATCH($A17&amp;"|"&amp;$B$2, CAGR!$P:$P, 0)), NA())</f>
        <v/>
      </c>
      <c r="H17" s="5">
        <f>IF(AND(ISNUMBER(F17),ISNUMBER(G17)),F17+G17,NA())</f>
        <v/>
      </c>
      <c r="I17" s="1">
        <f>IFERROR(INDEX(Crude_Oil_Impact!$I:$I, MATCH($A17, Crude_Oil_Impact!$A:$A, 0)), NA())</f>
        <v/>
      </c>
      <c r="J17" s="5">
        <f>IFERROR((( (1+INDEX(Annual!$H:$H, MATCH($A17&amp;"|2026", Annual!$K:$K, 0))/100)*(1+INDEX(Annual!$H:$H, MATCH($A17&amp;"|2027", Annual!$K:$K, 0))/100)*(1+INDEX(Annual!$H:$H, MATCH($A17&amp;"|2028", Annual!$K:$K, 0))/100) )^(1/3)-1)*100, NA())</f>
        <v/>
      </c>
      <c r="K17" t="inlineStr"/>
      <c r="L17" s="6">
        <f>IFERROR(INDEX(REER_Data!$E:$E, MATCH($A17, REER_Data!$A:$A, 0)) / 100, NA())</f>
        <v/>
      </c>
      <c r="M17">
        <f>IF(ISNA($L17), "", IF(ABS($L17)&lt;=0.03, "near neutral", IF(ABS($L17)&lt;=0.07, "mild " &amp; IF($L17&gt;0, "over", "under") &amp; "valuation", "meaningful " &amp; IF($L17&gt;0, "over", "under") &amp; "valuation")))</f>
        <v/>
      </c>
      <c r="N17" s="5">
        <f>IFERROR(INDEX(REER_Data!$C:$C, MATCH($A17, REER_Data!$A:$A, 0)), NA())</f>
        <v/>
      </c>
      <c r="O17">
        <f>IFERROR(INDEX(Lists!$E$2:$E$31, MATCH($A17, Lists!$A$2:$A$31, 0)), "")</f>
        <v/>
      </c>
      <c r="P17">
        <f>IFERROR(INDEX(Lists!$J$2:$J$31, MATCH($B17, Lists!$I$2:$I$31, 0)),"")</f>
        <v/>
      </c>
      <c r="Q17">
        <f>IFERROR(INDEX(Lists!$K$2:$K$31, MATCH($B17, Lists!$I$2:$I$31, 0)),"")</f>
        <v/>
      </c>
      <c r="R17" s="5">
        <f>IFERROR(1*INDEX(CAGR!$G:$G, MATCH($A17&amp;"|"&amp;$B$2, CAGR!$P:$P, 0)), NA())</f>
        <v/>
      </c>
      <c r="S17" s="5">
        <f>IFERROR(1*INDEX(CAGR!$H:$H, MATCH($A17&amp;"|"&amp;$B$2, CAGR!$P:$P, 0)), NA())</f>
        <v/>
      </c>
    </row>
    <row r="18">
      <c r="A18" t="inlineStr">
        <is>
          <t>Indonesia</t>
        </is>
      </c>
      <c r="B18" t="inlineStr">
        <is>
          <t>INDO.PA</t>
        </is>
      </c>
      <c r="C18" s="5">
        <f>IFERROR(1*INDEX(CAGR!$I:$I, MATCH($A18&amp;"|"&amp;$B$2, CAGR!$P:$P, 0)), NA())</f>
        <v/>
      </c>
      <c r="D18" s="5">
        <f>IFERROR(1*INDEX(CAGR!$F:$F, MATCH($A18&amp;"|"&amp;$B18&amp;"|"&amp;$B$2, CAGR!$O:$O, 0)), NA())</f>
        <v/>
      </c>
      <c r="E18" s="5">
        <f>IF(AND(ISNUMBER(C18),ISNUMBER(D18)),C18-D18,NA())</f>
        <v/>
      </c>
      <c r="F18" s="5">
        <f>IFERROR(1*INDEX(CAGR!$J:$J, MATCH($A18&amp;"|"&amp;$B$2, CAGR!$P:$P, 0)), NA())</f>
        <v/>
      </c>
      <c r="G18" s="5">
        <f>IFERROR(1*INDEX(CAGR!$M:$M, MATCH($A18&amp;"|"&amp;$B$2, CAGR!$P:$P, 0)), NA())</f>
        <v/>
      </c>
      <c r="H18" s="5">
        <f>IF(AND(ISNUMBER(F18),ISNUMBER(G18)),F18+G18,NA())</f>
        <v/>
      </c>
      <c r="I18" s="1">
        <f>IFERROR(INDEX(Crude_Oil_Impact!$I:$I, MATCH($A18, Crude_Oil_Impact!$A:$A, 0)), NA())</f>
        <v/>
      </c>
      <c r="J18" s="5">
        <f>IFERROR((( (1+INDEX(Annual!$H:$H, MATCH($A18&amp;"|2026", Annual!$K:$K, 0))/100)*(1+INDEX(Annual!$H:$H, MATCH($A18&amp;"|2027", Annual!$K:$K, 0))/100)*(1+INDEX(Annual!$H:$H, MATCH($A18&amp;"|2028", Annual!$K:$K, 0))/100) )^(1/3)-1)*100, NA())</f>
        <v/>
      </c>
      <c r="K18" t="inlineStr"/>
      <c r="L18" s="6">
        <f>IFERROR(INDEX(REER_Data!$E:$E, MATCH($A18, REER_Data!$A:$A, 0)) / 100, NA())</f>
        <v/>
      </c>
      <c r="M18">
        <f>IF(ISNA($L18), "", IF(ABS($L18)&lt;=0.03, "near neutral", IF(ABS($L18)&lt;=0.07, "mild " &amp; IF($L18&gt;0, "over", "under") &amp; "valuation", "meaningful " &amp; IF($L18&gt;0, "over", "under") &amp; "valuation")))</f>
        <v/>
      </c>
      <c r="N18" s="5">
        <f>IFERROR(INDEX(REER_Data!$C:$C, MATCH($A18, REER_Data!$A:$A, 0)), NA())</f>
        <v/>
      </c>
      <c r="O18">
        <f>IFERROR(INDEX(Lists!$E$2:$E$31, MATCH($A18, Lists!$A$2:$A$31, 0)), "")</f>
        <v/>
      </c>
      <c r="P18">
        <f>IFERROR(INDEX(Lists!$J$2:$J$31, MATCH($B18, Lists!$I$2:$I$31, 0)),"")</f>
        <v/>
      </c>
      <c r="Q18">
        <f>IFERROR(INDEX(Lists!$K$2:$K$31, MATCH($B18, Lists!$I$2:$I$31, 0)),"")</f>
        <v/>
      </c>
      <c r="R18" s="5">
        <f>IFERROR(1*INDEX(CAGR!$G:$G, MATCH($A18&amp;"|"&amp;$B$2, CAGR!$P:$P, 0)), NA())</f>
        <v/>
      </c>
      <c r="S18" s="5">
        <f>IFERROR(1*INDEX(CAGR!$H:$H, MATCH($A18&amp;"|"&amp;$B$2, CAGR!$P:$P, 0)), NA())</f>
        <v/>
      </c>
    </row>
    <row r="19">
      <c r="A19" t="inlineStr">
        <is>
          <t>Turkey</t>
        </is>
      </c>
      <c r="B19" t="inlineStr">
        <is>
          <t>TURL.L</t>
        </is>
      </c>
      <c r="C19" s="5">
        <f>IFERROR(1*INDEX(CAGR!$I:$I, MATCH($A19&amp;"|"&amp;$B$2, CAGR!$P:$P, 0)), NA())</f>
        <v/>
      </c>
      <c r="D19" s="5">
        <f>IFERROR(1*INDEX(CAGR!$F:$F, MATCH($A19&amp;"|"&amp;$B19&amp;"|"&amp;$B$2, CAGR!$O:$O, 0)), NA())</f>
        <v/>
      </c>
      <c r="E19" s="5">
        <f>IF(AND(ISNUMBER(C19),ISNUMBER(D19)),C19-D19,NA())</f>
        <v/>
      </c>
      <c r="F19" s="5">
        <f>IFERROR(1*INDEX(CAGR!$J:$J, MATCH($A19&amp;"|"&amp;$B$2, CAGR!$P:$P, 0)), NA())</f>
        <v/>
      </c>
      <c r="G19" s="5">
        <f>IFERROR(1*INDEX(CAGR!$M:$M, MATCH($A19&amp;"|"&amp;$B$2, CAGR!$P:$P, 0)), NA())</f>
        <v/>
      </c>
      <c r="H19" s="5">
        <f>IF(AND(ISNUMBER(F19),ISNUMBER(G19)),F19+G19,NA())</f>
        <v/>
      </c>
      <c r="I19" s="1">
        <f>IFERROR(INDEX(Crude_Oil_Impact!$I:$I, MATCH($A19, Crude_Oil_Impact!$A:$A, 0)), NA())</f>
        <v/>
      </c>
      <c r="J19" s="5">
        <f>IFERROR((( (1+INDEX(Annual!$H:$H, MATCH($A19&amp;"|2026", Annual!$K:$K, 0))/100)*(1+INDEX(Annual!$H:$H, MATCH($A19&amp;"|2027", Annual!$K:$K, 0))/100)*(1+INDEX(Annual!$H:$H, MATCH($A19&amp;"|2028", Annual!$K:$K, 0))/100) )^(1/3)-1)*100, NA())</f>
        <v/>
      </c>
      <c r="K19" t="inlineStr"/>
      <c r="L19" s="6">
        <f>IFERROR(INDEX(REER_Data!$E:$E, MATCH($A19, REER_Data!$A:$A, 0)) / 100, NA())</f>
        <v/>
      </c>
      <c r="M19">
        <f>IF(ISNA($L19), "", IF(ABS($L19)&lt;=0.03, "near neutral", IF(ABS($L19)&lt;=0.07, "mild " &amp; IF($L19&gt;0, "over", "under") &amp; "valuation", "meaningful " &amp; IF($L19&gt;0, "over", "under") &amp; "valuation")))</f>
        <v/>
      </c>
      <c r="N19" s="5">
        <f>IFERROR(INDEX(REER_Data!$C:$C, MATCH($A19, REER_Data!$A:$A, 0)), NA())</f>
        <v/>
      </c>
      <c r="O19">
        <f>IFERROR(INDEX(Lists!$E$2:$E$31, MATCH($A19, Lists!$A$2:$A$31, 0)), "")</f>
        <v/>
      </c>
      <c r="P19">
        <f>IFERROR(INDEX(Lists!$J$2:$J$31, MATCH($B19, Lists!$I$2:$I$31, 0)),"")</f>
        <v/>
      </c>
      <c r="Q19">
        <f>IFERROR(INDEX(Lists!$K$2:$K$31, MATCH($B19, Lists!$I$2:$I$31, 0)),"")</f>
        <v/>
      </c>
      <c r="R19" s="5">
        <f>IFERROR(1*INDEX(CAGR!$G:$G, MATCH($A19&amp;"|"&amp;$B$2, CAGR!$P:$P, 0)), NA())</f>
        <v/>
      </c>
      <c r="S19" s="5">
        <f>IFERROR(1*INDEX(CAGR!$H:$H, MATCH($A19&amp;"|"&amp;$B$2, CAGR!$P:$P, 0)), NA())</f>
        <v/>
      </c>
    </row>
    <row r="20">
      <c r="A20" t="inlineStr">
        <is>
          <t>Saudi Arabia</t>
        </is>
      </c>
      <c r="B20" t="inlineStr">
        <is>
          <t>IKSA.L</t>
        </is>
      </c>
      <c r="C20" s="5">
        <f>IFERROR(1*INDEX(CAGR!$I:$I, MATCH($A20&amp;"|"&amp;$B$2, CAGR!$P:$P, 0)), NA())</f>
        <v/>
      </c>
      <c r="D20" s="5">
        <f>IFERROR(1*INDEX(CAGR!$F:$F, MATCH($A20&amp;"|"&amp;$B20&amp;"|"&amp;$B$2, CAGR!$O:$O, 0)), NA())</f>
        <v/>
      </c>
      <c r="E20" s="5">
        <f>IF(AND(ISNUMBER(C20),ISNUMBER(D20)),C20-D20,NA())</f>
        <v/>
      </c>
      <c r="F20" s="5">
        <f>IFERROR(1*INDEX(CAGR!$J:$J, MATCH($A20&amp;"|"&amp;$B$2, CAGR!$P:$P, 0)), NA())</f>
        <v/>
      </c>
      <c r="G20" s="5">
        <f>IFERROR(1*INDEX(CAGR!$M:$M, MATCH($A20&amp;"|"&amp;$B$2, CAGR!$P:$P, 0)), NA())</f>
        <v/>
      </c>
      <c r="H20" s="5">
        <f>IF(AND(ISNUMBER(F20),ISNUMBER(G20)),F20+G20,NA())</f>
        <v/>
      </c>
      <c r="I20" s="1">
        <f>IFERROR(INDEX(Crude_Oil_Impact!$I:$I, MATCH($A20, Crude_Oil_Impact!$A:$A, 0)), NA())</f>
        <v/>
      </c>
      <c r="J20" s="5">
        <f>IFERROR((( (1+INDEX(Annual!$H:$H, MATCH($A20&amp;"|2026", Annual!$K:$K, 0))/100)*(1+INDEX(Annual!$H:$H, MATCH($A20&amp;"|2027", Annual!$K:$K, 0))/100)*(1+INDEX(Annual!$H:$H, MATCH($A20&amp;"|2028", Annual!$K:$K, 0))/100) )^(1/3)-1)*100, NA())</f>
        <v/>
      </c>
      <c r="K20" t="inlineStr"/>
      <c r="L20" s="6">
        <f>IFERROR(INDEX(REER_Data!$E:$E, MATCH($A20, REER_Data!$A:$A, 0)) / 100, NA())</f>
        <v/>
      </c>
      <c r="M20">
        <f>IF(ISNA($L20), "", IF(ABS($L20)&lt;=0.03, "near neutral", IF(ABS($L20)&lt;=0.07, "mild " &amp; IF($L20&gt;0, "over", "under") &amp; "valuation", "meaningful " &amp; IF($L20&gt;0, "over", "under") &amp; "valuation")))</f>
        <v/>
      </c>
      <c r="N20" s="5">
        <f>IFERROR(INDEX(REER_Data!$C:$C, MATCH($A20, REER_Data!$A:$A, 0)), NA())</f>
        <v/>
      </c>
      <c r="O20">
        <f>IFERROR(INDEX(Lists!$E$2:$E$31, MATCH($A20, Lists!$A$2:$A$31, 0)), "")</f>
        <v/>
      </c>
      <c r="P20">
        <f>IFERROR(INDEX(Lists!$J$2:$J$31, MATCH($B20, Lists!$I$2:$I$31, 0)),"")</f>
        <v/>
      </c>
      <c r="Q20">
        <f>IFERROR(INDEX(Lists!$K$2:$K$31, MATCH($B20, Lists!$I$2:$I$31, 0)),"")</f>
        <v/>
      </c>
      <c r="R20" s="5">
        <f>IFERROR(1*INDEX(CAGR!$G:$G, MATCH($A20&amp;"|"&amp;$B$2, CAGR!$P:$P, 0)), NA())</f>
        <v/>
      </c>
      <c r="S20" s="5">
        <f>IFERROR(1*INDEX(CAGR!$H:$H, MATCH($A20&amp;"|"&amp;$B$2, CAGR!$P:$P, 0)), NA())</f>
        <v/>
      </c>
    </row>
    <row r="21">
      <c r="A21" t="inlineStr">
        <is>
          <t>Poland</t>
        </is>
      </c>
      <c r="B21" t="inlineStr">
        <is>
          <t>IPOL.L</t>
        </is>
      </c>
      <c r="C21" s="5">
        <f>IFERROR(1*INDEX(CAGR!$I:$I, MATCH($A21&amp;"|"&amp;$B$2, CAGR!$P:$P, 0)), NA())</f>
        <v/>
      </c>
      <c r="D21" s="5">
        <f>IFERROR(1*INDEX(CAGR!$F:$F, MATCH($A21&amp;"|"&amp;$B21&amp;"|"&amp;$B$2, CAGR!$O:$O, 0)), NA())</f>
        <v/>
      </c>
      <c r="E21" s="5">
        <f>IF(AND(ISNUMBER(C21),ISNUMBER(D21)),C21-D21,NA())</f>
        <v/>
      </c>
      <c r="F21" s="5">
        <f>IFERROR(1*INDEX(CAGR!$J:$J, MATCH($A21&amp;"|"&amp;$B$2, CAGR!$P:$P, 0)), NA())</f>
        <v/>
      </c>
      <c r="G21" s="5">
        <f>IFERROR(1*INDEX(CAGR!$M:$M, MATCH($A21&amp;"|"&amp;$B$2, CAGR!$P:$P, 0)), NA())</f>
        <v/>
      </c>
      <c r="H21" s="5">
        <f>IF(AND(ISNUMBER(F21),ISNUMBER(G21)),F21+G21,NA())</f>
        <v/>
      </c>
      <c r="I21" s="1">
        <f>IFERROR(INDEX(Crude_Oil_Impact!$I:$I, MATCH($A21, Crude_Oil_Impact!$A:$A, 0)), NA())</f>
        <v/>
      </c>
      <c r="J21" s="5">
        <f>IFERROR((( (1+INDEX(Annual!$H:$H, MATCH($A21&amp;"|2026", Annual!$K:$K, 0))/100)*(1+INDEX(Annual!$H:$H, MATCH($A21&amp;"|2027", Annual!$K:$K, 0))/100)*(1+INDEX(Annual!$H:$H, MATCH($A21&amp;"|2028", Annual!$K:$K, 0))/100) )^(1/3)-1)*100, NA())</f>
        <v/>
      </c>
      <c r="K21" t="inlineStr"/>
      <c r="L21" s="6">
        <f>IFERROR(INDEX(REER_Data!$E:$E, MATCH($A21, REER_Data!$A:$A, 0)) / 100, NA())</f>
        <v/>
      </c>
      <c r="M21">
        <f>IF(ISNA($L21), "", IF(ABS($L21)&lt;=0.03, "near neutral", IF(ABS($L21)&lt;=0.07, "mild " &amp; IF($L21&gt;0, "over", "under") &amp; "valuation", "meaningful " &amp; IF($L21&gt;0, "over", "under") &amp; "valuation")))</f>
        <v/>
      </c>
      <c r="N21" s="5">
        <f>IFERROR(INDEX(REER_Data!$C:$C, MATCH($A21, REER_Data!$A:$A, 0)), NA())</f>
        <v/>
      </c>
      <c r="O21">
        <f>IFERROR(INDEX(Lists!$E$2:$E$31, MATCH($A21, Lists!$A$2:$A$31, 0)), "")</f>
        <v/>
      </c>
      <c r="P21">
        <f>IFERROR(INDEX(Lists!$J$2:$J$31, MATCH($B21, Lists!$I$2:$I$31, 0)),"")</f>
        <v/>
      </c>
      <c r="Q21">
        <f>IFERROR(INDEX(Lists!$K$2:$K$31, MATCH($B21, Lists!$I$2:$I$31, 0)),"")</f>
        <v/>
      </c>
      <c r="R21" s="5">
        <f>IFERROR(1*INDEX(CAGR!$G:$G, MATCH($A21&amp;"|"&amp;$B$2, CAGR!$P:$P, 0)), NA())</f>
        <v/>
      </c>
      <c r="S21" s="5">
        <f>IFERROR(1*INDEX(CAGR!$H:$H, MATCH($A21&amp;"|"&amp;$B$2, CAGR!$P:$P, 0)), NA())</f>
        <v/>
      </c>
    </row>
    <row r="22">
      <c r="A22" t="inlineStr">
        <is>
          <t>Switzerland</t>
        </is>
      </c>
      <c r="B22" t="inlineStr">
        <is>
          <t>CSW.PA</t>
        </is>
      </c>
      <c r="C22" s="5">
        <f>IFERROR(1*INDEX(CAGR!$I:$I, MATCH($A22&amp;"|"&amp;$B$2, CAGR!$P:$P, 0)), NA())</f>
        <v/>
      </c>
      <c r="D22" s="5">
        <f>IFERROR(1*INDEX(CAGR!$F:$F, MATCH($A22&amp;"|"&amp;$B22&amp;"|"&amp;$B$2, CAGR!$O:$O, 0)), NA())</f>
        <v/>
      </c>
      <c r="E22" s="5">
        <f>IF(AND(ISNUMBER(C22),ISNUMBER(D22)),C22-D22,NA())</f>
        <v/>
      </c>
      <c r="F22" s="5">
        <f>IFERROR(1*INDEX(CAGR!$J:$J, MATCH($A22&amp;"|"&amp;$B$2, CAGR!$P:$P, 0)), NA())</f>
        <v/>
      </c>
      <c r="G22" s="5">
        <f>IFERROR(1*INDEX(CAGR!$M:$M, MATCH($A22&amp;"|"&amp;$B$2, CAGR!$P:$P, 0)), NA())</f>
        <v/>
      </c>
      <c r="H22" s="5">
        <f>IF(AND(ISNUMBER(F22),ISNUMBER(G22)),F22+G22,NA())</f>
        <v/>
      </c>
      <c r="I22" s="1">
        <f>IFERROR(INDEX(Crude_Oil_Impact!$I:$I, MATCH($A22, Crude_Oil_Impact!$A:$A, 0)), NA())</f>
        <v/>
      </c>
      <c r="J22" s="5">
        <f>IFERROR((( (1+INDEX(Annual!$H:$H, MATCH($A22&amp;"|2026", Annual!$K:$K, 0))/100)*(1+INDEX(Annual!$H:$H, MATCH($A22&amp;"|2027", Annual!$K:$K, 0))/100)*(1+INDEX(Annual!$H:$H, MATCH($A22&amp;"|2028", Annual!$K:$K, 0))/100) )^(1/3)-1)*100, NA())</f>
        <v/>
      </c>
      <c r="K22" t="inlineStr"/>
      <c r="L22" s="6">
        <f>IFERROR(INDEX(REER_Data!$E:$E, MATCH($A22, REER_Data!$A:$A, 0)) / 100, NA())</f>
        <v/>
      </c>
      <c r="M22">
        <f>IF(ISNA($L22), "", IF(ABS($L22)&lt;=0.03, "near neutral", IF(ABS($L22)&lt;=0.07, "mild " &amp; IF($L22&gt;0, "over", "under") &amp; "valuation", "meaningful " &amp; IF($L22&gt;0, "over", "under") &amp; "valuation")))</f>
        <v/>
      </c>
      <c r="N22" s="5">
        <f>IFERROR(INDEX(REER_Data!$C:$C, MATCH($A22, REER_Data!$A:$A, 0)), NA())</f>
        <v/>
      </c>
      <c r="O22">
        <f>IFERROR(INDEX(Lists!$E$2:$E$31, MATCH($A22, Lists!$A$2:$A$31, 0)), "")</f>
        <v/>
      </c>
      <c r="P22">
        <f>IFERROR(INDEX(Lists!$J$2:$J$31, MATCH($B22, Lists!$I$2:$I$31, 0)),"")</f>
        <v/>
      </c>
      <c r="Q22">
        <f>IFERROR(INDEX(Lists!$K$2:$K$31, MATCH($B22, Lists!$I$2:$I$31, 0)),"")</f>
        <v/>
      </c>
      <c r="R22" s="5">
        <f>IFERROR(1*INDEX(CAGR!$G:$G, MATCH($A22&amp;"|"&amp;$B$2, CAGR!$P:$P, 0)), NA())</f>
        <v/>
      </c>
      <c r="S22" s="5">
        <f>IFERROR(1*INDEX(CAGR!$H:$H, MATCH($A22&amp;"|"&amp;$B$2, CAGR!$P:$P, 0)), NA())</f>
        <v/>
      </c>
    </row>
    <row r="23">
      <c r="A23" t="inlineStr">
        <is>
          <t>Taiwan</t>
        </is>
      </c>
      <c r="B23" t="inlineStr">
        <is>
          <t>XMTW.L</t>
        </is>
      </c>
      <c r="C23" s="5">
        <f>IFERROR(1*INDEX(CAGR!$I:$I, MATCH($A23&amp;"|"&amp;$B$2, CAGR!$P:$P, 0)), NA())</f>
        <v/>
      </c>
      <c r="D23" s="5">
        <f>IFERROR(1*INDEX(CAGR!$F:$F, MATCH($A23&amp;"|"&amp;$B23&amp;"|"&amp;$B$2, CAGR!$O:$O, 0)), NA())</f>
        <v/>
      </c>
      <c r="E23" s="5">
        <f>IF(AND(ISNUMBER(C23),ISNUMBER(D23)),C23-D23,NA())</f>
        <v/>
      </c>
      <c r="F23" s="5">
        <f>IFERROR(1*INDEX(CAGR!$J:$J, MATCH($A23&amp;"|"&amp;$B$2, CAGR!$P:$P, 0)), NA())</f>
        <v/>
      </c>
      <c r="G23" s="5">
        <f>IFERROR(1*INDEX(CAGR!$M:$M, MATCH($A23&amp;"|"&amp;$B$2, CAGR!$P:$P, 0)), NA())</f>
        <v/>
      </c>
      <c r="H23" s="5">
        <f>IF(AND(ISNUMBER(F23),ISNUMBER(G23)),F23+G23,NA())</f>
        <v/>
      </c>
      <c r="I23" s="1">
        <f>IFERROR(INDEX(Crude_Oil_Impact!$I:$I, MATCH($A23, Crude_Oil_Impact!$A:$A, 0)), NA())</f>
        <v/>
      </c>
      <c r="J23" s="5">
        <f>IFERROR((( (1+INDEX(Annual!$H:$H, MATCH($A23&amp;"|2026", Annual!$K:$K, 0))/100)*(1+INDEX(Annual!$H:$H, MATCH($A23&amp;"|2027", Annual!$K:$K, 0))/100)*(1+INDEX(Annual!$H:$H, MATCH($A23&amp;"|2028", Annual!$K:$K, 0))/100) )^(1/3)-1)*100, NA())</f>
        <v/>
      </c>
      <c r="K23" t="inlineStr"/>
      <c r="L23" s="6">
        <f>IFERROR(INDEX(REER_Data!$E:$E, MATCH($A23, REER_Data!$A:$A, 0)) / 100, NA())</f>
        <v/>
      </c>
      <c r="M23">
        <f>IF(ISNA($L23), "", IF(ABS($L23)&lt;=0.03, "near neutral", IF(ABS($L23)&lt;=0.07, "mild " &amp; IF($L23&gt;0, "over", "under") &amp; "valuation", "meaningful " &amp; IF($L23&gt;0, "over", "under") &amp; "valuation")))</f>
        <v/>
      </c>
      <c r="N23" s="5">
        <f>IFERROR(INDEX(REER_Data!$C:$C, MATCH($A23, REER_Data!$A:$A, 0)), NA())</f>
        <v/>
      </c>
      <c r="O23">
        <f>IFERROR(INDEX(Lists!$E$2:$E$31, MATCH($A23, Lists!$A$2:$A$31, 0)), "")</f>
        <v/>
      </c>
      <c r="P23">
        <f>IFERROR(INDEX(Lists!$J$2:$J$31, MATCH($B23, Lists!$I$2:$I$31, 0)),"")</f>
        <v/>
      </c>
      <c r="Q23">
        <f>IFERROR(INDEX(Lists!$K$2:$K$31, MATCH($B23, Lists!$I$2:$I$31, 0)),"")</f>
        <v/>
      </c>
      <c r="R23" s="5">
        <f>IFERROR(1*INDEX(CAGR!$G:$G, MATCH($A23&amp;"|"&amp;$B$2, CAGR!$P:$P, 0)), NA())</f>
        <v/>
      </c>
      <c r="S23" s="5">
        <f>IFERROR(1*INDEX(CAGR!$H:$H, MATCH($A23&amp;"|"&amp;$B$2, CAGR!$P:$P, 0)), NA())</f>
        <v/>
      </c>
    </row>
    <row r="24">
      <c r="A24" t="inlineStr">
        <is>
          <t>Philippines</t>
        </is>
      </c>
      <c r="B24" t="inlineStr">
        <is>
          <t>XPHG.L</t>
        </is>
      </c>
      <c r="C24" s="5">
        <f>IFERROR(1*INDEX(CAGR!$I:$I, MATCH($A24&amp;"|"&amp;$B$2, CAGR!$P:$P, 0)), NA())</f>
        <v/>
      </c>
      <c r="D24" s="5">
        <f>IFERROR(1*INDEX(CAGR!$F:$F, MATCH($A24&amp;"|"&amp;$B24&amp;"|"&amp;$B$2, CAGR!$O:$O, 0)), NA())</f>
        <v/>
      </c>
      <c r="E24" s="5">
        <f>IF(AND(ISNUMBER(C24),ISNUMBER(D24)),C24-D24,NA())</f>
        <v/>
      </c>
      <c r="F24" s="5">
        <f>IFERROR(1*INDEX(CAGR!$J:$J, MATCH($A24&amp;"|"&amp;$B$2, CAGR!$P:$P, 0)), NA())</f>
        <v/>
      </c>
      <c r="G24" s="5">
        <f>IFERROR(1*INDEX(CAGR!$M:$M, MATCH($A24&amp;"|"&amp;$B$2, CAGR!$P:$P, 0)), NA())</f>
        <v/>
      </c>
      <c r="H24" s="5">
        <f>IF(AND(ISNUMBER(F24),ISNUMBER(G24)),F24+G24,NA())</f>
        <v/>
      </c>
      <c r="I24" s="1">
        <f>IFERROR(INDEX(Crude_Oil_Impact!$I:$I, MATCH($A24, Crude_Oil_Impact!$A:$A, 0)), NA())</f>
        <v/>
      </c>
      <c r="J24" s="5">
        <f>IFERROR((( (1+INDEX(Annual!$H:$H, MATCH($A24&amp;"|2026", Annual!$K:$K, 0))/100)*(1+INDEX(Annual!$H:$H, MATCH($A24&amp;"|2027", Annual!$K:$K, 0))/100)*(1+INDEX(Annual!$H:$H, MATCH($A24&amp;"|2028", Annual!$K:$K, 0))/100) )^(1/3)-1)*100, NA())</f>
        <v/>
      </c>
      <c r="K24" t="inlineStr"/>
      <c r="L24" s="6">
        <f>IFERROR(INDEX(REER_Data!$E:$E, MATCH($A24, REER_Data!$A:$A, 0)) / 100, NA())</f>
        <v/>
      </c>
      <c r="M24">
        <f>IF(ISNA($L24), "", IF(ABS($L24)&lt;=0.03, "near neutral", IF(ABS($L24)&lt;=0.07, "mild " &amp; IF($L24&gt;0, "over", "under") &amp; "valuation", "meaningful " &amp; IF($L24&gt;0, "over", "under") &amp; "valuation")))</f>
        <v/>
      </c>
      <c r="N24" s="5">
        <f>IFERROR(INDEX(REER_Data!$C:$C, MATCH($A24, REER_Data!$A:$A, 0)), NA())</f>
        <v/>
      </c>
      <c r="O24">
        <f>IFERROR(INDEX(Lists!$E$2:$E$31, MATCH($A24, Lists!$A$2:$A$31, 0)), "")</f>
        <v/>
      </c>
      <c r="P24">
        <f>IFERROR(INDEX(Lists!$J$2:$J$31, MATCH($B24, Lists!$I$2:$I$31, 0)),"")</f>
        <v/>
      </c>
      <c r="Q24">
        <f>IFERROR(INDEX(Lists!$K$2:$K$31, MATCH($B24, Lists!$I$2:$I$31, 0)),"")</f>
        <v/>
      </c>
      <c r="R24" s="5">
        <f>IFERROR(1*INDEX(CAGR!$G:$G, MATCH($A24&amp;"|"&amp;$B$2, CAGR!$P:$P, 0)), NA())</f>
        <v/>
      </c>
      <c r="S24" s="5">
        <f>IFERROR(1*INDEX(CAGR!$H:$H, MATCH($A24&amp;"|"&amp;$B$2, CAGR!$P:$P, 0)), NA())</f>
        <v/>
      </c>
    </row>
    <row r="25">
      <c r="A25" t="inlineStr">
        <is>
          <t>Thailand</t>
        </is>
      </c>
      <c r="B25" t="inlineStr">
        <is>
          <t>XCX4.L</t>
        </is>
      </c>
      <c r="C25" s="5">
        <f>IFERROR(1*INDEX(CAGR!$I:$I, MATCH($A25&amp;"|"&amp;$B$2, CAGR!$P:$P, 0)), NA())</f>
        <v/>
      </c>
      <c r="D25" s="5">
        <f>IFERROR(1*INDEX(CAGR!$F:$F, MATCH($A25&amp;"|"&amp;$B25&amp;"|"&amp;$B$2, CAGR!$O:$O, 0)), NA())</f>
        <v/>
      </c>
      <c r="E25" s="5">
        <f>IF(AND(ISNUMBER(C25),ISNUMBER(D25)),C25-D25,NA())</f>
        <v/>
      </c>
      <c r="F25" s="5">
        <f>IFERROR(1*INDEX(CAGR!$J:$J, MATCH($A25&amp;"|"&amp;$B$2, CAGR!$P:$P, 0)), NA())</f>
        <v/>
      </c>
      <c r="G25" s="5">
        <f>IFERROR(1*INDEX(CAGR!$M:$M, MATCH($A25&amp;"|"&amp;$B$2, CAGR!$P:$P, 0)), NA())</f>
        <v/>
      </c>
      <c r="H25" s="5">
        <f>IF(AND(ISNUMBER(F25),ISNUMBER(G25)),F25+G25,NA())</f>
        <v/>
      </c>
      <c r="I25" s="1">
        <f>IFERROR(INDEX(Crude_Oil_Impact!$I:$I, MATCH($A25, Crude_Oil_Impact!$A:$A, 0)), NA())</f>
        <v/>
      </c>
      <c r="J25" s="5">
        <f>IFERROR((( (1+INDEX(Annual!$H:$H, MATCH($A25&amp;"|2026", Annual!$K:$K, 0))/100)*(1+INDEX(Annual!$H:$H, MATCH($A25&amp;"|2027", Annual!$K:$K, 0))/100)*(1+INDEX(Annual!$H:$H, MATCH($A25&amp;"|2028", Annual!$K:$K, 0))/100) )^(1/3)-1)*100, NA())</f>
        <v/>
      </c>
      <c r="K25" t="inlineStr"/>
      <c r="L25" s="6">
        <f>IFERROR(INDEX(REER_Data!$E:$E, MATCH($A25, REER_Data!$A:$A, 0)) / 100, NA())</f>
        <v/>
      </c>
      <c r="M25">
        <f>IF(ISNA($L25), "", IF(ABS($L25)&lt;=0.03, "near neutral", IF(ABS($L25)&lt;=0.07, "mild " &amp; IF($L25&gt;0, "over", "under") &amp; "valuation", "meaningful " &amp; IF($L25&gt;0, "over", "under") &amp; "valuation")))</f>
        <v/>
      </c>
      <c r="N25" s="5">
        <f>IFERROR(INDEX(REER_Data!$C:$C, MATCH($A25, REER_Data!$A:$A, 0)), NA())</f>
        <v/>
      </c>
      <c r="O25">
        <f>IFERROR(INDEX(Lists!$E$2:$E$31, MATCH($A25, Lists!$A$2:$A$31, 0)), "")</f>
        <v/>
      </c>
      <c r="P25">
        <f>IFERROR(INDEX(Lists!$J$2:$J$31, MATCH($B25, Lists!$I$2:$I$31, 0)),"")</f>
        <v/>
      </c>
      <c r="Q25">
        <f>IFERROR(INDEX(Lists!$K$2:$K$31, MATCH($B25, Lists!$I$2:$I$31, 0)),"")</f>
        <v/>
      </c>
      <c r="R25" s="5">
        <f>IFERROR(1*INDEX(CAGR!$G:$G, MATCH($A25&amp;"|"&amp;$B$2, CAGR!$P:$P, 0)), NA())</f>
        <v/>
      </c>
      <c r="S25" s="5">
        <f>IFERROR(1*INDEX(CAGR!$H:$H, MATCH($A25&amp;"|"&amp;$B$2, CAGR!$P:$P, 0)), NA())</f>
        <v/>
      </c>
    </row>
    <row r="26">
      <c r="A26" t="inlineStr">
        <is>
          <t>Vietnam</t>
        </is>
      </c>
      <c r="B26" t="inlineStr">
        <is>
          <t>XFVT.L</t>
        </is>
      </c>
      <c r="C26" s="5">
        <f>IFERROR(1*INDEX(CAGR!$I:$I, MATCH($A26&amp;"|"&amp;$B$2, CAGR!$P:$P, 0)), NA())</f>
        <v/>
      </c>
      <c r="D26" s="5">
        <f>IFERROR(1*INDEX(CAGR!$F:$F, MATCH($A26&amp;"|"&amp;$B26&amp;"|"&amp;$B$2, CAGR!$O:$O, 0)), NA())</f>
        <v/>
      </c>
      <c r="E26" s="5">
        <f>IF(AND(ISNUMBER(C26),ISNUMBER(D26)),C26-D26,NA())</f>
        <v/>
      </c>
      <c r="F26" s="5">
        <f>IFERROR(1*INDEX(CAGR!$J:$J, MATCH($A26&amp;"|"&amp;$B$2, CAGR!$P:$P, 0)), NA())</f>
        <v/>
      </c>
      <c r="G26" s="5">
        <f>IFERROR(1*INDEX(CAGR!$M:$M, MATCH($A26&amp;"|"&amp;$B$2, CAGR!$P:$P, 0)), NA())</f>
        <v/>
      </c>
      <c r="H26" s="5">
        <f>IF(AND(ISNUMBER(F26),ISNUMBER(G26)),F26+G26,NA())</f>
        <v/>
      </c>
      <c r="I26" s="1">
        <f>IFERROR(INDEX(Crude_Oil_Impact!$I:$I, MATCH($A26, Crude_Oil_Impact!$A:$A, 0)), NA())</f>
        <v/>
      </c>
      <c r="J26" s="5">
        <f>IFERROR((( (1+INDEX(Annual!$H:$H, MATCH($A26&amp;"|2026", Annual!$K:$K, 0))/100)*(1+INDEX(Annual!$H:$H, MATCH($A26&amp;"|2027", Annual!$K:$K, 0))/100)*(1+INDEX(Annual!$H:$H, MATCH($A26&amp;"|2028", Annual!$K:$K, 0))/100) )^(1/3)-1)*100, NA())</f>
        <v/>
      </c>
      <c r="K26" t="inlineStr"/>
      <c r="L26" s="6">
        <f>IFERROR(INDEX(REER_Data!$E:$E, MATCH($A26, REER_Data!$A:$A, 0)) / 100, NA())</f>
        <v/>
      </c>
      <c r="M26">
        <f>IF(ISNA($L26), "", IF(ABS($L26)&lt;=0.03, "near neutral", IF(ABS($L26)&lt;=0.07, "mild " &amp; IF($L26&gt;0, "over", "under") &amp; "valuation", "meaningful " &amp; IF($L26&gt;0, "over", "under") &amp; "valuation")))</f>
        <v/>
      </c>
      <c r="N26" s="5">
        <f>IFERROR(INDEX(REER_Data!$C:$C, MATCH($A26, REER_Data!$A:$A, 0)), NA())</f>
        <v/>
      </c>
      <c r="O26">
        <f>IFERROR(INDEX(Lists!$E$2:$E$31, MATCH($A26, Lists!$A$2:$A$31, 0)), "")</f>
        <v/>
      </c>
      <c r="P26">
        <f>IFERROR(INDEX(Lists!$J$2:$J$31, MATCH($B26, Lists!$I$2:$I$31, 0)),"")</f>
        <v/>
      </c>
      <c r="Q26">
        <f>IFERROR(INDEX(Lists!$K$2:$K$31, MATCH($B26, Lists!$I$2:$I$31, 0)),"")</f>
        <v/>
      </c>
      <c r="R26" s="5">
        <f>IFERROR(1*INDEX(CAGR!$G:$G, MATCH($A26&amp;"|"&amp;$B$2, CAGR!$P:$P, 0)), NA())</f>
        <v/>
      </c>
      <c r="S26" s="5">
        <f>IFERROR(1*INDEX(CAGR!$H:$H, MATCH($A26&amp;"|"&amp;$B$2, CAGR!$P:$P, 0)), NA())</f>
        <v/>
      </c>
    </row>
    <row r="27">
      <c r="A27" t="inlineStr">
        <is>
          <t>Malaysia</t>
        </is>
      </c>
      <c r="B27" t="inlineStr">
        <is>
          <t>XCX3.L</t>
        </is>
      </c>
      <c r="C27" s="5">
        <f>IFERROR(1*INDEX(CAGR!$I:$I, MATCH($A27&amp;"|"&amp;$B$2, CAGR!$P:$P, 0)), NA())</f>
        <v/>
      </c>
      <c r="D27" s="5">
        <f>IFERROR(1*INDEX(CAGR!$F:$F, MATCH($A27&amp;"|"&amp;$B27&amp;"|"&amp;$B$2, CAGR!$O:$O, 0)), NA())</f>
        <v/>
      </c>
      <c r="E27" s="5">
        <f>IF(AND(ISNUMBER(C27),ISNUMBER(D27)),C27-D27,NA())</f>
        <v/>
      </c>
      <c r="F27" s="5">
        <f>IFERROR(1*INDEX(CAGR!$J:$J, MATCH($A27&amp;"|"&amp;$B$2, CAGR!$P:$P, 0)), NA())</f>
        <v/>
      </c>
      <c r="G27" s="5">
        <f>IFERROR(1*INDEX(CAGR!$M:$M, MATCH($A27&amp;"|"&amp;$B$2, CAGR!$P:$P, 0)), NA())</f>
        <v/>
      </c>
      <c r="H27" s="5">
        <f>IF(AND(ISNUMBER(F27),ISNUMBER(G27)),F27+G27,NA())</f>
        <v/>
      </c>
      <c r="I27" s="1">
        <f>IFERROR(INDEX(Crude_Oil_Impact!$I:$I, MATCH($A27, Crude_Oil_Impact!$A:$A, 0)), NA())</f>
        <v/>
      </c>
      <c r="J27" s="5">
        <f>IFERROR((( (1+INDEX(Annual!$H:$H, MATCH($A27&amp;"|2026", Annual!$K:$K, 0))/100)*(1+INDEX(Annual!$H:$H, MATCH($A27&amp;"|2027", Annual!$K:$K, 0))/100)*(1+INDEX(Annual!$H:$H, MATCH($A27&amp;"|2028", Annual!$K:$K, 0))/100) )^(1/3)-1)*100, NA())</f>
        <v/>
      </c>
      <c r="K27" t="inlineStr"/>
      <c r="L27" s="6">
        <f>IFERROR(INDEX(REER_Data!$E:$E, MATCH($A27, REER_Data!$A:$A, 0)) / 100, NA())</f>
        <v/>
      </c>
      <c r="M27">
        <f>IF(ISNA($L27), "", IF(ABS($L27)&lt;=0.03, "near neutral", IF(ABS($L27)&lt;=0.07, "mild " &amp; IF($L27&gt;0, "over", "under") &amp; "valuation", "meaningful " &amp; IF($L27&gt;0, "over", "under") &amp; "valuation")))</f>
        <v/>
      </c>
      <c r="N27" s="5">
        <f>IFERROR(INDEX(REER_Data!$C:$C, MATCH($A27, REER_Data!$A:$A, 0)), NA())</f>
        <v/>
      </c>
      <c r="O27">
        <f>IFERROR(INDEX(Lists!$E$2:$E$31, MATCH($A27, Lists!$A$2:$A$31, 0)), "")</f>
        <v/>
      </c>
      <c r="P27">
        <f>IFERROR(INDEX(Lists!$J$2:$J$31, MATCH($B27, Lists!$I$2:$I$31, 0)),"")</f>
        <v/>
      </c>
      <c r="Q27">
        <f>IFERROR(INDEX(Lists!$K$2:$K$31, MATCH($B27, Lists!$I$2:$I$31, 0)),"")</f>
        <v/>
      </c>
      <c r="R27" s="5">
        <f>IFERROR(1*INDEX(CAGR!$G:$G, MATCH($A27&amp;"|"&amp;$B$2, CAGR!$P:$P, 0)), NA())</f>
        <v/>
      </c>
      <c r="S27" s="5">
        <f>IFERROR(1*INDEX(CAGR!$H:$H, MATCH($A27&amp;"|"&amp;$B$2, CAGR!$P:$P, 0)), NA())</f>
        <v/>
      </c>
    </row>
    <row r="28">
      <c r="A28" t="inlineStr">
        <is>
          <t>South Africa</t>
        </is>
      </c>
      <c r="B28" t="inlineStr">
        <is>
          <t>IRSA.L</t>
        </is>
      </c>
      <c r="C28" s="5">
        <f>IFERROR(1*INDEX(CAGR!$I:$I, MATCH($A28&amp;"|"&amp;$B$2, CAGR!$P:$P, 0)), NA())</f>
        <v/>
      </c>
      <c r="D28" s="5">
        <f>IFERROR(1*INDEX(CAGR!$F:$F, MATCH($A28&amp;"|"&amp;$B28&amp;"|"&amp;$B$2, CAGR!$O:$O, 0)), NA())</f>
        <v/>
      </c>
      <c r="E28" s="5">
        <f>IF(AND(ISNUMBER(C28),ISNUMBER(D28)),C28-D28,NA())</f>
        <v/>
      </c>
      <c r="F28" s="5">
        <f>IFERROR(1*INDEX(CAGR!$J:$J, MATCH($A28&amp;"|"&amp;$B$2, CAGR!$P:$P, 0)), NA())</f>
        <v/>
      </c>
      <c r="G28" s="5">
        <f>IFERROR(1*INDEX(CAGR!$M:$M, MATCH($A28&amp;"|"&amp;$B$2, CAGR!$P:$P, 0)), NA())</f>
        <v/>
      </c>
      <c r="H28" s="5">
        <f>IF(AND(ISNUMBER(F28),ISNUMBER(G28)),F28+G28,NA())</f>
        <v/>
      </c>
      <c r="I28" s="1">
        <f>IFERROR(INDEX(Crude_Oil_Impact!$I:$I, MATCH($A28, Crude_Oil_Impact!$A:$A, 0)), NA())</f>
        <v/>
      </c>
      <c r="J28" s="5">
        <f>IFERROR((( (1+INDEX(Annual!$H:$H, MATCH($A28&amp;"|2026", Annual!$K:$K, 0))/100)*(1+INDEX(Annual!$H:$H, MATCH($A28&amp;"|2027", Annual!$K:$K, 0))/100)*(1+INDEX(Annual!$H:$H, MATCH($A28&amp;"|2028", Annual!$K:$K, 0))/100) )^(1/3)-1)*100, NA())</f>
        <v/>
      </c>
      <c r="K28" t="inlineStr"/>
      <c r="L28" s="6">
        <f>IFERROR(INDEX(REER_Data!$E:$E, MATCH($A28, REER_Data!$A:$A, 0)) / 100, NA())</f>
        <v/>
      </c>
      <c r="M28">
        <f>IF(ISNA($L28), "", IF(ABS($L28)&lt;=0.03, "near neutral", IF(ABS($L28)&lt;=0.07, "mild " &amp; IF($L28&gt;0, "over", "under") &amp; "valuation", "meaningful " &amp; IF($L28&gt;0, "over", "under") &amp; "valuation")))</f>
        <v/>
      </c>
      <c r="N28" s="5">
        <f>IFERROR(INDEX(REER_Data!$C:$C, MATCH($A28, REER_Data!$A:$A, 0)), NA())</f>
        <v/>
      </c>
      <c r="O28">
        <f>IFERROR(INDEX(Lists!$E$2:$E$31, MATCH($A28, Lists!$A$2:$A$31, 0)), "")</f>
        <v/>
      </c>
      <c r="P28">
        <f>IFERROR(INDEX(Lists!$J$2:$J$31, MATCH($B28, Lists!$I$2:$I$31, 0)),"")</f>
        <v/>
      </c>
      <c r="Q28">
        <f>IFERROR(INDEX(Lists!$K$2:$K$31, MATCH($B28, Lists!$I$2:$I$31, 0)),"")</f>
        <v/>
      </c>
      <c r="R28" s="5">
        <f>IFERROR(1*INDEX(CAGR!$G:$G, MATCH($A28&amp;"|"&amp;$B$2, CAGR!$P:$P, 0)), NA())</f>
        <v/>
      </c>
      <c r="S28" s="5">
        <f>IFERROR(1*INDEX(CAGR!$H:$H, MATCH($A28&amp;"|"&amp;$B$2, CAGR!$P:$P, 0)), NA())</f>
        <v/>
      </c>
    </row>
    <row r="29">
      <c r="A29" t="inlineStr">
        <is>
          <t>Pakistan</t>
        </is>
      </c>
      <c r="B29" t="inlineStr">
        <is>
          <t>XBAK.L</t>
        </is>
      </c>
      <c r="C29" s="5">
        <f>IFERROR(1*INDEX(CAGR!$I:$I, MATCH($A29&amp;"|"&amp;$B$2, CAGR!$P:$P, 0)), NA())</f>
        <v/>
      </c>
      <c r="D29" s="5">
        <f>IFERROR(1*INDEX(CAGR!$F:$F, MATCH($A29&amp;"|"&amp;$B29&amp;"|"&amp;$B$2, CAGR!$O:$O, 0)), NA())</f>
        <v/>
      </c>
      <c r="E29" s="5">
        <f>IF(AND(ISNUMBER(C29),ISNUMBER(D29)),C29-D29,NA())</f>
        <v/>
      </c>
      <c r="F29" s="5">
        <f>IFERROR(1*INDEX(CAGR!$J:$J, MATCH($A29&amp;"|"&amp;$B$2, CAGR!$P:$P, 0)), NA())</f>
        <v/>
      </c>
      <c r="G29" s="5">
        <f>IFERROR(1*INDEX(CAGR!$M:$M, MATCH($A29&amp;"|"&amp;$B$2, CAGR!$P:$P, 0)), NA())</f>
        <v/>
      </c>
      <c r="H29" s="5">
        <f>IF(AND(ISNUMBER(F29),ISNUMBER(G29)),F29+G29,NA())</f>
        <v/>
      </c>
      <c r="I29" s="1">
        <f>IFERROR(INDEX(Crude_Oil_Impact!$I:$I, MATCH($A29, Crude_Oil_Impact!$A:$A, 0)), NA())</f>
        <v/>
      </c>
      <c r="J29" s="5">
        <f>IFERROR((( (1+INDEX(Annual!$H:$H, MATCH($A29&amp;"|2026", Annual!$K:$K, 0))/100)*(1+INDEX(Annual!$H:$H, MATCH($A29&amp;"|2027", Annual!$K:$K, 0))/100)*(1+INDEX(Annual!$H:$H, MATCH($A29&amp;"|2028", Annual!$K:$K, 0))/100) )^(1/3)-1)*100, NA())</f>
        <v/>
      </c>
      <c r="K29" t="inlineStr"/>
      <c r="L29" s="6">
        <f>IFERROR(INDEX(REER_Data!$E:$E, MATCH($A29, REER_Data!$A:$A, 0)) / 100, NA())</f>
        <v/>
      </c>
      <c r="M29">
        <f>IF(ISNA($L29), "", IF(ABS($L29)&lt;=0.03, "near neutral", IF(ABS($L29)&lt;=0.07, "mild " &amp; IF($L29&gt;0, "over", "under") &amp; "valuation", "meaningful " &amp; IF($L29&gt;0, "over", "under") &amp; "valuation")))</f>
        <v/>
      </c>
      <c r="N29" s="5">
        <f>IFERROR(INDEX(REER_Data!$C:$C, MATCH($A29, REER_Data!$A:$A, 0)), NA())</f>
        <v/>
      </c>
      <c r="O29">
        <f>IFERROR(INDEX(Lists!$E$2:$E$31, MATCH($A29, Lists!$A$2:$A$31, 0)), "")</f>
        <v/>
      </c>
      <c r="P29">
        <f>IFERROR(INDEX(Lists!$J$2:$J$31, MATCH($B29, Lists!$I$2:$I$31, 0)),"")</f>
        <v/>
      </c>
      <c r="Q29">
        <f>IFERROR(INDEX(Lists!$K$2:$K$31, MATCH($B29, Lists!$I$2:$I$31, 0)),"")</f>
        <v/>
      </c>
      <c r="R29" s="5">
        <f>IFERROR(1*INDEX(CAGR!$G:$G, MATCH($A29&amp;"|"&amp;$B$2, CAGR!$P:$P, 0)), NA())</f>
        <v/>
      </c>
      <c r="S29" s="5">
        <f>IFERROR(1*INDEX(CAGR!$H:$H, MATCH($A29&amp;"|"&amp;$B$2, CAGR!$P:$P, 0)), NA())</f>
        <v/>
      </c>
    </row>
    <row r="31">
      <c r="A31" s="7" t="inlineStr">
        <is>
          <t>Metric Definitions &amp; Interpretation</t>
        </is>
      </c>
    </row>
    <row r="32">
      <c r="A32" s="8" t="inlineStr">
        <is>
          <t>GDP CAGR (USD)</t>
        </is>
      </c>
      <c r="B32" s="9" t="inlineStr">
        <is>
          <t>Annualized growth of the country's economy in US Dollar terms. Represents total economic expansion available to a USD investor.</t>
        </is>
      </c>
    </row>
    <row r="33">
      <c r="A33" s="8" t="inlineStr">
        <is>
          <t>ETF CAGR (USD)</t>
        </is>
      </c>
      <c r="B33" s="9" t="inlineStr">
        <is>
          <t>Annualized price return of the selected ETF in US Dollar terms. Includes both local price movement and currency effects.</t>
        </is>
      </c>
    </row>
    <row r="34">
      <c r="A34" s="8" t="inlineStr">
        <is>
          <t>Macro Gap %</t>
        </is>
      </c>
      <c r="B34" s="9" t="inlineStr">
        <is>
          <t>The difference between GDP growth and ETF performance (GDP CAGR minus ETF CAGR). Positive values suggest the economy grew faster than the market.</t>
        </is>
      </c>
    </row>
    <row r="35">
      <c r="A35" s="8" t="inlineStr">
        <is>
          <t>FX CAGR %</t>
        </is>
      </c>
      <c r="B35" s="9" t="inlineStr">
        <is>
          <t>Annualized rate of currency appreciation/depreciation against the USD. Positive = Local Currency strengthened against USD.</t>
        </is>
      </c>
    </row>
    <row r="36">
      <c r="A36" s="8" t="inlineStr">
        <is>
          <t>Inf. Diff CAGR %</t>
        </is>
      </c>
      <c r="B36" s="9" t="inlineStr">
        <is>
          <t>Annualized simple difference between country inflation CAGR and USA inflation CAGR. Positive = Local inflation was higher than USA.</t>
        </is>
      </c>
    </row>
    <row r="37">
      <c r="A37" s="8" t="inlineStr">
        <is>
          <t>Currency Gap %</t>
        </is>
      </c>
      <c r="B37" s="9" t="inlineStr">
        <is>
          <t>The sum of FX CAGR and Inflation Differential. Near zero suggests currency movement offsets inflation. Positive = Currency is 'stronger' than PPP suggests.</t>
        </is>
      </c>
    </row>
    <row r="38">
      <c r="A38" s="8" t="inlineStr">
        <is>
          <t>Oil Impact %</t>
        </is>
      </c>
      <c r="B38" s="9" t="inlineStr">
        <is>
          <t>Value of a $10/barrel price change in crude oil imports as a percentage of nominal GDP. Higher values indicate greater sensitivity to oil prices.</t>
        </is>
      </c>
    </row>
    <row r="39">
      <c r="A39" s="8" t="inlineStr">
        <is>
          <t>Proj. 3Y (26-28)</t>
        </is>
      </c>
      <c r="B39" s="9" t="inlineStr">
        <is>
          <t>IMF's forecasted nominal GDP growth (USD) for the 2026-2028 period.</t>
        </is>
      </c>
    </row>
    <row r="40">
      <c r="A40" s="8" t="inlineStr">
        <is>
          <t>REER vs 10Y</t>
        </is>
      </c>
      <c r="B40" s="9" t="inlineStr">
        <is>
          <t>Real Effective Exchange Rate deviation from its 10-year mean. Positive = Currency is stronger than its 10Y historical average.</t>
        </is>
      </c>
    </row>
    <row r="43">
      <c r="A43" s="3" t="inlineStr">
        <is>
          <t>Country Focus Dashboard</t>
        </is>
      </c>
    </row>
    <row r="44">
      <c r="A44" t="inlineStr">
        <is>
          <t>Country</t>
        </is>
      </c>
      <c r="B44" t="inlineStr">
        <is>
          <t>Australia</t>
        </is>
      </c>
    </row>
    <row r="45">
      <c r="A45" t="inlineStr">
        <is>
          <t>Ticker</t>
        </is>
      </c>
      <c r="B45">
        <f>IFERROR(INDEX(Lists!$D:$D, MATCH($B$44, Lists!$C:$C, 0)),"")</f>
        <v/>
      </c>
    </row>
    <row r="46">
      <c r="A46" t="inlineStr">
        <is>
          <t>As-of Date</t>
        </is>
      </c>
      <c r="B46" s="10">
        <f>IFERROR(INDEX(ETF_Timeframes!$F:$F, MATCH($B$44&amp;"|"&amp;$B$45&amp;"|MAX", ETF_Timeframes!$I:$I, 0)),"")</f>
        <v/>
      </c>
    </row>
    <row r="47">
      <c r="A47" t="inlineStr">
        <is>
          <t>Ticker Currency</t>
        </is>
      </c>
      <c r="B47">
        <f>IFERROR(INDEX(Lists!$K$2:$K$31, MATCH($B$45, Lists!$I$2:$I$31, 0)),"")</f>
        <v/>
      </c>
    </row>
    <row r="48">
      <c r="A48" t="inlineStr">
        <is>
          <t>Ticker Exchange</t>
        </is>
      </c>
      <c r="B48">
        <f>IFERROR(INDEX(Lists!$J$2:$J$31, MATCH($B$45, Lists!$I$2:$I$31, 0)),"")</f>
        <v/>
      </c>
    </row>
    <row r="50">
      <c r="A50" s="4" t="inlineStr">
        <is>
          <t>ETF Cumulative returns</t>
        </is>
      </c>
    </row>
    <row r="51">
      <c r="A51" s="4" t="inlineStr">
        <is>
          <t>Timeframe</t>
        </is>
      </c>
      <c r="B51" s="4" t="inlineStr">
        <is>
          <t>ETF Return (USD) %</t>
        </is>
      </c>
      <c r="C51" s="4">
        <f>IF($B$47&lt;&gt;"USD","ETF Return (" &amp; $B$47 &amp; ") %","")</f>
        <v/>
      </c>
      <c r="D51" s="4" t="inlineStr">
        <is>
          <t>Start Date</t>
        </is>
      </c>
    </row>
    <row r="52">
      <c r="A52" t="inlineStr">
        <is>
          <t>YTD</t>
        </is>
      </c>
      <c r="B52" s="5">
        <f>IFERROR(INDEX(ETF_Timeframes!$H:$H, MATCH($B$44&amp;"|"&amp;$B$45&amp;"|"&amp;$A52, ETF_Timeframes!$I:$I, 0)), "")</f>
        <v/>
      </c>
      <c r="C52" s="5">
        <f>IF($B$47&lt;&gt;"USD", IFERROR(INDEX(ETF_Timeframes!$G:$G, MATCH($B$44&amp;"|"&amp;$B$45&amp;"|"&amp;$A52, ETF_Timeframes!$I:$I, 0)), ""), "")</f>
        <v/>
      </c>
      <c r="D52" s="10">
        <f>IFERROR(INDEX(ETF_Timeframes!$E:$E, MATCH($B$44&amp;"|"&amp;$B$45&amp;"|"&amp;$A52, ETF_Timeframes!$I:$I, 0)),"")</f>
        <v/>
      </c>
    </row>
    <row r="53">
      <c r="A53" t="inlineStr">
        <is>
          <t>1 Month</t>
        </is>
      </c>
      <c r="B53" s="5">
        <f>IFERROR(INDEX(ETF_Timeframes!$H:$H, MATCH($B$44&amp;"|"&amp;$B$45&amp;"|"&amp;$A53, ETF_Timeframes!$I:$I, 0)), "")</f>
        <v/>
      </c>
      <c r="C53" s="5">
        <f>IF($B$47&lt;&gt;"USD", IFERROR(INDEX(ETF_Timeframes!$G:$G, MATCH($B$44&amp;"|"&amp;$B$45&amp;"|"&amp;$A53, ETF_Timeframes!$I:$I, 0)), ""), "")</f>
        <v/>
      </c>
      <c r="D53" s="10">
        <f>IFERROR(INDEX(ETF_Timeframes!$E:$E, MATCH($B$44&amp;"|"&amp;$B$45&amp;"|"&amp;$A53, ETF_Timeframes!$I:$I, 0)),"")</f>
        <v/>
      </c>
    </row>
    <row r="54">
      <c r="A54" t="inlineStr">
        <is>
          <t>3 Months</t>
        </is>
      </c>
      <c r="B54" s="5">
        <f>IFERROR(INDEX(ETF_Timeframes!$H:$H, MATCH($B$44&amp;"|"&amp;$B$45&amp;"|"&amp;$A54, ETF_Timeframes!$I:$I, 0)), "")</f>
        <v/>
      </c>
      <c r="C54" s="5">
        <f>IF($B$47&lt;&gt;"USD", IFERROR(INDEX(ETF_Timeframes!$G:$G, MATCH($B$44&amp;"|"&amp;$B$45&amp;"|"&amp;$A54, ETF_Timeframes!$I:$I, 0)), ""), "")</f>
        <v/>
      </c>
      <c r="D54" s="10">
        <f>IFERROR(INDEX(ETF_Timeframes!$E:$E, MATCH($B$44&amp;"|"&amp;$B$45&amp;"|"&amp;$A54, ETF_Timeframes!$I:$I, 0)),"")</f>
        <v/>
      </c>
    </row>
    <row r="55">
      <c r="A55" t="inlineStr">
        <is>
          <t>6 Months</t>
        </is>
      </c>
      <c r="B55" s="5">
        <f>IFERROR(INDEX(ETF_Timeframes!$H:$H, MATCH($B$44&amp;"|"&amp;$B$45&amp;"|"&amp;$A55, ETF_Timeframes!$I:$I, 0)), "")</f>
        <v/>
      </c>
      <c r="C55" s="5">
        <f>IF($B$47&lt;&gt;"USD", IFERROR(INDEX(ETF_Timeframes!$G:$G, MATCH($B$44&amp;"|"&amp;$B$45&amp;"|"&amp;$A55, ETF_Timeframes!$I:$I, 0)), ""), "")</f>
        <v/>
      </c>
      <c r="D55" s="10">
        <f>IFERROR(INDEX(ETF_Timeframes!$E:$E, MATCH($B$44&amp;"|"&amp;$B$45&amp;"|"&amp;$A55, ETF_Timeframes!$I:$I, 0)),"")</f>
        <v/>
      </c>
    </row>
    <row r="56">
      <c r="A56" t="inlineStr">
        <is>
          <t>1 Year</t>
        </is>
      </c>
      <c r="B56" s="5">
        <f>IFERROR(INDEX(ETF_Timeframes!$H:$H, MATCH($B$44&amp;"|"&amp;$B$45&amp;"|"&amp;$A56, ETF_Timeframes!$I:$I, 0)), "")</f>
        <v/>
      </c>
      <c r="C56" s="5">
        <f>IF($B$47&lt;&gt;"USD", IFERROR(INDEX(ETF_Timeframes!$G:$G, MATCH($B$44&amp;"|"&amp;$B$45&amp;"|"&amp;$A56, ETF_Timeframes!$I:$I, 0)), ""), "")</f>
        <v/>
      </c>
      <c r="D56" s="10">
        <f>IFERROR(INDEX(ETF_Timeframes!$E:$E, MATCH($B$44&amp;"|"&amp;$B$45&amp;"|"&amp;$A56, ETF_Timeframes!$I:$I, 0)),"")</f>
        <v/>
      </c>
    </row>
    <row r="57">
      <c r="A57" t="inlineStr">
        <is>
          <t>3 Years</t>
        </is>
      </c>
      <c r="B57" s="5">
        <f>IFERROR(INDEX(ETF_Timeframes!$H:$H, MATCH($B$44&amp;"|"&amp;$B$45&amp;"|"&amp;$A57, ETF_Timeframes!$I:$I, 0)), "")</f>
        <v/>
      </c>
      <c r="C57" s="5">
        <f>IF($B$47&lt;&gt;"USD", IFERROR(INDEX(ETF_Timeframes!$G:$G, MATCH($B$44&amp;"|"&amp;$B$45&amp;"|"&amp;$A57, ETF_Timeframes!$I:$I, 0)), ""), "")</f>
        <v/>
      </c>
      <c r="D57" s="10">
        <f>IFERROR(INDEX(ETF_Timeframes!$E:$E, MATCH($B$44&amp;"|"&amp;$B$45&amp;"|"&amp;$A57, ETF_Timeframes!$I:$I, 0)),"")</f>
        <v/>
      </c>
    </row>
    <row r="58">
      <c r="A58" t="inlineStr">
        <is>
          <t>5 Years</t>
        </is>
      </c>
      <c r="B58" s="5">
        <f>IFERROR(INDEX(ETF_Timeframes!$H:$H, MATCH($B$44&amp;"|"&amp;$B$45&amp;"|"&amp;$A58, ETF_Timeframes!$I:$I, 0)), "")</f>
        <v/>
      </c>
      <c r="C58" s="5">
        <f>IF($B$47&lt;&gt;"USD", IFERROR(INDEX(ETF_Timeframes!$G:$G, MATCH($B$44&amp;"|"&amp;$B$45&amp;"|"&amp;$A58, ETF_Timeframes!$I:$I, 0)), ""), "")</f>
        <v/>
      </c>
      <c r="D58" s="10">
        <f>IFERROR(INDEX(ETF_Timeframes!$E:$E, MATCH($B$44&amp;"|"&amp;$B$45&amp;"|"&amp;$A58, ETF_Timeframes!$I:$I, 0)),"")</f>
        <v/>
      </c>
    </row>
    <row r="59">
      <c r="A59" t="inlineStr">
        <is>
          <t>10 Years</t>
        </is>
      </c>
      <c r="B59" s="5">
        <f>IFERROR(INDEX(ETF_Timeframes!$H:$H, MATCH($B$44&amp;"|"&amp;$B$45&amp;"|"&amp;$A59, ETF_Timeframes!$I:$I, 0)), "")</f>
        <v/>
      </c>
      <c r="C59" s="5">
        <f>IF($B$47&lt;&gt;"USD", IFERROR(INDEX(ETF_Timeframes!$G:$G, MATCH($B$44&amp;"|"&amp;$B$45&amp;"|"&amp;$A59, ETF_Timeframes!$I:$I, 0)), ""), "")</f>
        <v/>
      </c>
      <c r="D59" s="10">
        <f>IFERROR(INDEX(ETF_Timeframes!$E:$E, MATCH($B$44&amp;"|"&amp;$B$45&amp;"|"&amp;$A59, ETF_Timeframes!$I:$I, 0)),"")</f>
        <v/>
      </c>
    </row>
    <row r="60">
      <c r="A60" t="inlineStr">
        <is>
          <t>MAX</t>
        </is>
      </c>
      <c r="B60" s="5">
        <f>IFERROR(INDEX(ETF_Timeframes!$H:$H, MATCH($B$44&amp;"|"&amp;$B$45&amp;"|"&amp;$A60, ETF_Timeframes!$I:$I, 0)), "")</f>
        <v/>
      </c>
      <c r="C60" s="5">
        <f>IF($B$47&lt;&gt;"USD", IFERROR(INDEX(ETF_Timeframes!$G:$G, MATCH($B$44&amp;"|"&amp;$B$45&amp;"|"&amp;$A60, ETF_Timeframes!$I:$I, 0)), ""), "")</f>
        <v/>
      </c>
      <c r="D60" s="10">
        <f>IFERROR(INDEX(ETF_Timeframes!$E:$E, MATCH($B$44&amp;"|"&amp;$B$45&amp;"|"&amp;$A60, ETF_Timeframes!$I:$I, 0)),"")</f>
        <v/>
      </c>
    </row>
    <row r="64">
      <c r="A64" s="4" t="inlineStr">
        <is>
          <t>Annual ETF vs GDP + FX Decomposition (Last 10 Years, %)</t>
        </is>
      </c>
    </row>
    <row r="65">
      <c r="A65" s="4" t="inlineStr">
        <is>
          <t>Year</t>
        </is>
      </c>
      <c r="B65" s="4" t="inlineStr">
        <is>
          <t>Nominal GDP Growth (USD) %</t>
        </is>
      </c>
      <c r="C65" s="4" t="inlineStr">
        <is>
          <t>ETF Return (USD) %</t>
        </is>
      </c>
      <c r="D65" s="4" t="inlineStr">
        <is>
          <t>Macro Disconnect %</t>
        </is>
      </c>
      <c r="E65" s="4" t="inlineStr"/>
      <c r="F65" s="4" t="inlineStr">
        <is>
          <t>Real GDP Growth %</t>
        </is>
      </c>
      <c r="G65" s="4" t="inlineStr">
        <is>
          <t>Nominal GDP Growth (LCU) %</t>
        </is>
      </c>
      <c r="H65" s="4">
        <f>IF($B$47&lt;&gt;"USD","ETF Return (" &amp; $B$47 &amp; ") %","")</f>
        <v/>
      </c>
      <c r="I65" s="4">
        <f>IF($B$47&lt;&gt;"USD","FX Change (vs USD) %","")</f>
        <v/>
      </c>
      <c r="J65" s="4" t="inlineStr">
        <is>
          <t>WEO LCU Return vs USD %</t>
        </is>
      </c>
    </row>
    <row r="66">
      <c r="A66" t="n">
        <v>2016</v>
      </c>
      <c r="B66" s="5">
        <f>IFERROR(1*INDEX(Annual!$H:$H, MATCH($B$44&amp;"|"&amp;$A66, Annual!$K:$K, 0)), NA())</f>
        <v/>
      </c>
      <c r="C66" s="5">
        <f>IFERROR(1*INDEX(Annual!$O:$O, MATCH($B$44&amp;"|"&amp;$B$45&amp;"|"&amp;$A66, Annual!$J:$J, 0)), NA())</f>
        <v/>
      </c>
      <c r="D66" s="5">
        <f>IF(AND(ISNUMBER(B66),ISNUMBER(C66),C66&lt;&gt;0),B66-C66,NA())</f>
        <v/>
      </c>
      <c r="E66" t="inlineStr"/>
      <c r="F66" s="5">
        <f>IFERROR(1*INDEX(Annual!$F:$F, MATCH($B$44&amp;"|"&amp;$A66, Annual!$K:$K, 0)), NA())</f>
        <v/>
      </c>
      <c r="G66" s="5">
        <f>IFERROR(1*INDEX(Annual!$G:$G, MATCH($B$44&amp;"|"&amp;$A66, Annual!$K:$K, 0)), NA())</f>
        <v/>
      </c>
      <c r="H66" s="5">
        <f>IF($B$47&lt;&gt;"USD",IFERROR(1*INDEX(Annual!$E:$E, MATCH($B$44&amp;"|"&amp;$B$45&amp;"|"&amp;$A66, Annual!$J:$J, 0)), NA()),"")</f>
        <v/>
      </c>
      <c r="I66" s="5">
        <f>IF($B$47&lt;&gt;"USD",IFERROR(1*INDEX(Annual!$N:$N, MATCH($B$44&amp;"|"&amp;$B$45&amp;"|"&amp;$A66, Annual!$J:$J, 0)), NA()),"")</f>
        <v/>
      </c>
      <c r="J66" s="5">
        <f>IFERROR(1*INDEX(Annual!$P:$P, MATCH($B$44&amp;"|"&amp;$A66, Annual!$K:$K, 0)), NA())</f>
        <v/>
      </c>
    </row>
    <row r="67">
      <c r="A67" t="n">
        <v>2017</v>
      </c>
      <c r="B67" s="5">
        <f>IFERROR(1*INDEX(Annual!$H:$H, MATCH($B$44&amp;"|"&amp;$A67, Annual!$K:$K, 0)), NA())</f>
        <v/>
      </c>
      <c r="C67" s="5">
        <f>IFERROR(1*INDEX(Annual!$O:$O, MATCH($B$44&amp;"|"&amp;$B$45&amp;"|"&amp;$A67, Annual!$J:$J, 0)), NA())</f>
        <v/>
      </c>
      <c r="D67" s="5">
        <f>IF(AND(ISNUMBER(B67),ISNUMBER(C67),C67&lt;&gt;0),B67-C67,NA())</f>
        <v/>
      </c>
      <c r="E67" t="inlineStr"/>
      <c r="F67" s="5">
        <f>IFERROR(1*INDEX(Annual!$F:$F, MATCH($B$44&amp;"|"&amp;$A67, Annual!$K:$K, 0)), NA())</f>
        <v/>
      </c>
      <c r="G67" s="5">
        <f>IFERROR(1*INDEX(Annual!$G:$G, MATCH($B$44&amp;"|"&amp;$A67, Annual!$K:$K, 0)), NA())</f>
        <v/>
      </c>
      <c r="H67" s="5">
        <f>IF($B$47&lt;&gt;"USD",IFERROR(1*INDEX(Annual!$E:$E, MATCH($B$44&amp;"|"&amp;$B$45&amp;"|"&amp;$A67, Annual!$J:$J, 0)), NA()),"")</f>
        <v/>
      </c>
      <c r="I67" s="5">
        <f>IF($B$47&lt;&gt;"USD",IFERROR(1*INDEX(Annual!$N:$N, MATCH($B$44&amp;"|"&amp;$B$45&amp;"|"&amp;$A67, Annual!$J:$J, 0)), NA()),"")</f>
        <v/>
      </c>
      <c r="J67" s="5">
        <f>IFERROR(1*INDEX(Annual!$P:$P, MATCH($B$44&amp;"|"&amp;$A67, Annual!$K:$K, 0)), NA())</f>
        <v/>
      </c>
    </row>
    <row r="68">
      <c r="A68" t="n">
        <v>2018</v>
      </c>
      <c r="B68" s="5">
        <f>IFERROR(1*INDEX(Annual!$H:$H, MATCH($B$44&amp;"|"&amp;$A68, Annual!$K:$K, 0)), NA())</f>
        <v/>
      </c>
      <c r="C68" s="5">
        <f>IFERROR(1*INDEX(Annual!$O:$O, MATCH($B$44&amp;"|"&amp;$B$45&amp;"|"&amp;$A68, Annual!$J:$J, 0)), NA())</f>
        <v/>
      </c>
      <c r="D68" s="5">
        <f>IF(AND(ISNUMBER(B68),ISNUMBER(C68),C68&lt;&gt;0),B68-C68,NA())</f>
        <v/>
      </c>
      <c r="E68" t="inlineStr"/>
      <c r="F68" s="5">
        <f>IFERROR(1*INDEX(Annual!$F:$F, MATCH($B$44&amp;"|"&amp;$A68, Annual!$K:$K, 0)), NA())</f>
        <v/>
      </c>
      <c r="G68" s="5">
        <f>IFERROR(1*INDEX(Annual!$G:$G, MATCH($B$44&amp;"|"&amp;$A68, Annual!$K:$K, 0)), NA())</f>
        <v/>
      </c>
      <c r="H68" s="5">
        <f>IF($B$47&lt;&gt;"USD",IFERROR(1*INDEX(Annual!$E:$E, MATCH($B$44&amp;"|"&amp;$B$45&amp;"|"&amp;$A68, Annual!$J:$J, 0)), NA()),"")</f>
        <v/>
      </c>
      <c r="I68" s="5">
        <f>IF($B$47&lt;&gt;"USD",IFERROR(1*INDEX(Annual!$N:$N, MATCH($B$44&amp;"|"&amp;$B$45&amp;"|"&amp;$A68, Annual!$J:$J, 0)), NA()),"")</f>
        <v/>
      </c>
      <c r="J68" s="5">
        <f>IFERROR(1*INDEX(Annual!$P:$P, MATCH($B$44&amp;"|"&amp;$A68, Annual!$K:$K, 0)), NA())</f>
        <v/>
      </c>
    </row>
    <row r="69">
      <c r="A69" t="n">
        <v>2019</v>
      </c>
      <c r="B69" s="5">
        <f>IFERROR(1*INDEX(Annual!$H:$H, MATCH($B$44&amp;"|"&amp;$A69, Annual!$K:$K, 0)), NA())</f>
        <v/>
      </c>
      <c r="C69" s="5">
        <f>IFERROR(1*INDEX(Annual!$O:$O, MATCH($B$44&amp;"|"&amp;$B$45&amp;"|"&amp;$A69, Annual!$J:$J, 0)), NA())</f>
        <v/>
      </c>
      <c r="D69" s="5">
        <f>IF(AND(ISNUMBER(B69),ISNUMBER(C69),C69&lt;&gt;0),B69-C69,NA())</f>
        <v/>
      </c>
      <c r="E69" t="inlineStr"/>
      <c r="F69" s="5">
        <f>IFERROR(1*INDEX(Annual!$F:$F, MATCH($B$44&amp;"|"&amp;$A69, Annual!$K:$K, 0)), NA())</f>
        <v/>
      </c>
      <c r="G69" s="5">
        <f>IFERROR(1*INDEX(Annual!$G:$G, MATCH($B$44&amp;"|"&amp;$A69, Annual!$K:$K, 0)), NA())</f>
        <v/>
      </c>
      <c r="H69" s="5">
        <f>IF($B$47&lt;&gt;"USD",IFERROR(1*INDEX(Annual!$E:$E, MATCH($B$44&amp;"|"&amp;$B$45&amp;"|"&amp;$A69, Annual!$J:$J, 0)), NA()),"")</f>
        <v/>
      </c>
      <c r="I69" s="5">
        <f>IF($B$47&lt;&gt;"USD",IFERROR(1*INDEX(Annual!$N:$N, MATCH($B$44&amp;"|"&amp;$B$45&amp;"|"&amp;$A69, Annual!$J:$J, 0)), NA()),"")</f>
        <v/>
      </c>
      <c r="J69" s="5">
        <f>IFERROR(1*INDEX(Annual!$P:$P, MATCH($B$44&amp;"|"&amp;$A69, Annual!$K:$K, 0)), NA())</f>
        <v/>
      </c>
    </row>
    <row r="70">
      <c r="A70" t="n">
        <v>2020</v>
      </c>
      <c r="B70" s="5">
        <f>IFERROR(1*INDEX(Annual!$H:$H, MATCH($B$44&amp;"|"&amp;$A70, Annual!$K:$K, 0)), NA())</f>
        <v/>
      </c>
      <c r="C70" s="5">
        <f>IFERROR(1*INDEX(Annual!$O:$O, MATCH($B$44&amp;"|"&amp;$B$45&amp;"|"&amp;$A70, Annual!$J:$J, 0)), NA())</f>
        <v/>
      </c>
      <c r="D70" s="5">
        <f>IF(AND(ISNUMBER(B70),ISNUMBER(C70),C70&lt;&gt;0),B70-C70,NA())</f>
        <v/>
      </c>
      <c r="E70" t="inlineStr"/>
      <c r="F70" s="5">
        <f>IFERROR(1*INDEX(Annual!$F:$F, MATCH($B$44&amp;"|"&amp;$A70, Annual!$K:$K, 0)), NA())</f>
        <v/>
      </c>
      <c r="G70" s="5">
        <f>IFERROR(1*INDEX(Annual!$G:$G, MATCH($B$44&amp;"|"&amp;$A70, Annual!$K:$K, 0)), NA())</f>
        <v/>
      </c>
      <c r="H70" s="5">
        <f>IF($B$47&lt;&gt;"USD",IFERROR(1*INDEX(Annual!$E:$E, MATCH($B$44&amp;"|"&amp;$B$45&amp;"|"&amp;$A70, Annual!$J:$J, 0)), NA()),"")</f>
        <v/>
      </c>
      <c r="I70" s="5">
        <f>IF($B$47&lt;&gt;"USD",IFERROR(1*INDEX(Annual!$N:$N, MATCH($B$44&amp;"|"&amp;$B$45&amp;"|"&amp;$A70, Annual!$J:$J, 0)), NA()),"")</f>
        <v/>
      </c>
      <c r="J70" s="5">
        <f>IFERROR(1*INDEX(Annual!$P:$P, MATCH($B$44&amp;"|"&amp;$A70, Annual!$K:$K, 0)), NA())</f>
        <v/>
      </c>
    </row>
    <row r="71">
      <c r="A71" t="n">
        <v>2021</v>
      </c>
      <c r="B71" s="5">
        <f>IFERROR(1*INDEX(Annual!$H:$H, MATCH($B$44&amp;"|"&amp;$A71, Annual!$K:$K, 0)), NA())</f>
        <v/>
      </c>
      <c r="C71" s="5">
        <f>IFERROR(1*INDEX(Annual!$O:$O, MATCH($B$44&amp;"|"&amp;$B$45&amp;"|"&amp;$A71, Annual!$J:$J, 0)), NA())</f>
        <v/>
      </c>
      <c r="D71" s="5">
        <f>IF(AND(ISNUMBER(B71),ISNUMBER(C71),C71&lt;&gt;0),B71-C71,NA())</f>
        <v/>
      </c>
      <c r="E71" t="inlineStr"/>
      <c r="F71" s="5">
        <f>IFERROR(1*INDEX(Annual!$F:$F, MATCH($B$44&amp;"|"&amp;$A71, Annual!$K:$K, 0)), NA())</f>
        <v/>
      </c>
      <c r="G71" s="5">
        <f>IFERROR(1*INDEX(Annual!$G:$G, MATCH($B$44&amp;"|"&amp;$A71, Annual!$K:$K, 0)), NA())</f>
        <v/>
      </c>
      <c r="H71" s="5">
        <f>IF($B$47&lt;&gt;"USD",IFERROR(1*INDEX(Annual!$E:$E, MATCH($B$44&amp;"|"&amp;$B$45&amp;"|"&amp;$A71, Annual!$J:$J, 0)), NA()),"")</f>
        <v/>
      </c>
      <c r="I71" s="5">
        <f>IF($B$47&lt;&gt;"USD",IFERROR(1*INDEX(Annual!$N:$N, MATCH($B$44&amp;"|"&amp;$B$45&amp;"|"&amp;$A71, Annual!$J:$J, 0)), NA()),"")</f>
        <v/>
      </c>
      <c r="J71" s="5">
        <f>IFERROR(1*INDEX(Annual!$P:$P, MATCH($B$44&amp;"|"&amp;$A71, Annual!$K:$K, 0)), NA())</f>
        <v/>
      </c>
    </row>
    <row r="72">
      <c r="A72" t="n">
        <v>2022</v>
      </c>
      <c r="B72" s="5">
        <f>IFERROR(1*INDEX(Annual!$H:$H, MATCH($B$44&amp;"|"&amp;$A72, Annual!$K:$K, 0)), NA())</f>
        <v/>
      </c>
      <c r="C72" s="5">
        <f>IFERROR(1*INDEX(Annual!$O:$O, MATCH($B$44&amp;"|"&amp;$B$45&amp;"|"&amp;$A72, Annual!$J:$J, 0)), NA())</f>
        <v/>
      </c>
      <c r="D72" s="5">
        <f>IF(AND(ISNUMBER(B72),ISNUMBER(C72),C72&lt;&gt;0),B72-C72,NA())</f>
        <v/>
      </c>
      <c r="E72" t="inlineStr"/>
      <c r="F72" s="5">
        <f>IFERROR(1*INDEX(Annual!$F:$F, MATCH($B$44&amp;"|"&amp;$A72, Annual!$K:$K, 0)), NA())</f>
        <v/>
      </c>
      <c r="G72" s="5">
        <f>IFERROR(1*INDEX(Annual!$G:$G, MATCH($B$44&amp;"|"&amp;$A72, Annual!$K:$K, 0)), NA())</f>
        <v/>
      </c>
      <c r="H72" s="5">
        <f>IF($B$47&lt;&gt;"USD",IFERROR(1*INDEX(Annual!$E:$E, MATCH($B$44&amp;"|"&amp;$B$45&amp;"|"&amp;$A72, Annual!$J:$J, 0)), NA()),"")</f>
        <v/>
      </c>
      <c r="I72" s="5">
        <f>IF($B$47&lt;&gt;"USD",IFERROR(1*INDEX(Annual!$N:$N, MATCH($B$44&amp;"|"&amp;$B$45&amp;"|"&amp;$A72, Annual!$J:$J, 0)), NA()),"")</f>
        <v/>
      </c>
      <c r="J72" s="5">
        <f>IFERROR(1*INDEX(Annual!$P:$P, MATCH($B$44&amp;"|"&amp;$A72, Annual!$K:$K, 0)), NA())</f>
        <v/>
      </c>
    </row>
    <row r="73">
      <c r="A73" t="n">
        <v>2023</v>
      </c>
      <c r="B73" s="5">
        <f>IFERROR(1*INDEX(Annual!$H:$H, MATCH($B$44&amp;"|"&amp;$A73, Annual!$K:$K, 0)), NA())</f>
        <v/>
      </c>
      <c r="C73" s="5">
        <f>IFERROR(1*INDEX(Annual!$O:$O, MATCH($B$44&amp;"|"&amp;$B$45&amp;"|"&amp;$A73, Annual!$J:$J, 0)), NA())</f>
        <v/>
      </c>
      <c r="D73" s="5">
        <f>IF(AND(ISNUMBER(B73),ISNUMBER(C73),C73&lt;&gt;0),B73-C73,NA())</f>
        <v/>
      </c>
      <c r="E73" t="inlineStr"/>
      <c r="F73" s="5">
        <f>IFERROR(1*INDEX(Annual!$F:$F, MATCH($B$44&amp;"|"&amp;$A73, Annual!$K:$K, 0)), NA())</f>
        <v/>
      </c>
      <c r="G73" s="5">
        <f>IFERROR(1*INDEX(Annual!$G:$G, MATCH($B$44&amp;"|"&amp;$A73, Annual!$K:$K, 0)), NA())</f>
        <v/>
      </c>
      <c r="H73" s="5">
        <f>IF($B$47&lt;&gt;"USD",IFERROR(1*INDEX(Annual!$E:$E, MATCH($B$44&amp;"|"&amp;$B$45&amp;"|"&amp;$A73, Annual!$J:$J, 0)), NA()),"")</f>
        <v/>
      </c>
      <c r="I73" s="5">
        <f>IF($B$47&lt;&gt;"USD",IFERROR(1*INDEX(Annual!$N:$N, MATCH($B$44&amp;"|"&amp;$B$45&amp;"|"&amp;$A73, Annual!$J:$J, 0)), NA()),"")</f>
        <v/>
      </c>
      <c r="J73" s="5">
        <f>IFERROR(1*INDEX(Annual!$P:$P, MATCH($B$44&amp;"|"&amp;$A73, Annual!$K:$K, 0)), NA())</f>
        <v/>
      </c>
    </row>
    <row r="74">
      <c r="A74" t="n">
        <v>2024</v>
      </c>
      <c r="B74" s="5">
        <f>IFERROR(1*INDEX(Annual!$H:$H, MATCH($B$44&amp;"|"&amp;$A74, Annual!$K:$K, 0)), NA())</f>
        <v/>
      </c>
      <c r="C74" s="5">
        <f>IFERROR(1*INDEX(Annual!$O:$O, MATCH($B$44&amp;"|"&amp;$B$45&amp;"|"&amp;$A74, Annual!$J:$J, 0)), NA())</f>
        <v/>
      </c>
      <c r="D74" s="5">
        <f>IF(AND(ISNUMBER(B74),ISNUMBER(C74),C74&lt;&gt;0),B74-C74,NA())</f>
        <v/>
      </c>
      <c r="E74" t="inlineStr"/>
      <c r="F74" s="5">
        <f>IFERROR(1*INDEX(Annual!$F:$F, MATCH($B$44&amp;"|"&amp;$A74, Annual!$K:$K, 0)), NA())</f>
        <v/>
      </c>
      <c r="G74" s="5">
        <f>IFERROR(1*INDEX(Annual!$G:$G, MATCH($B$44&amp;"|"&amp;$A74, Annual!$K:$K, 0)), NA())</f>
        <v/>
      </c>
      <c r="H74" s="5">
        <f>IF($B$47&lt;&gt;"USD",IFERROR(1*INDEX(Annual!$E:$E, MATCH($B$44&amp;"|"&amp;$B$45&amp;"|"&amp;$A74, Annual!$J:$J, 0)), NA()),"")</f>
        <v/>
      </c>
      <c r="I74" s="5">
        <f>IF($B$47&lt;&gt;"USD",IFERROR(1*INDEX(Annual!$N:$N, MATCH($B$44&amp;"|"&amp;$B$45&amp;"|"&amp;$A74, Annual!$J:$J, 0)), NA()),"")</f>
        <v/>
      </c>
      <c r="J74" s="5">
        <f>IFERROR(1*INDEX(Annual!$P:$P, MATCH($B$44&amp;"|"&amp;$A74, Annual!$K:$K, 0)), NA())</f>
        <v/>
      </c>
    </row>
    <row r="75">
      <c r="A75" t="n">
        <v>2025</v>
      </c>
      <c r="B75" s="5">
        <f>IFERROR(1*INDEX(Annual!$H:$H, MATCH($B$44&amp;"|"&amp;$A75, Annual!$K:$K, 0)), NA())</f>
        <v/>
      </c>
      <c r="C75" s="5">
        <f>IFERROR(1*INDEX(Annual!$O:$O, MATCH($B$44&amp;"|"&amp;$B$45&amp;"|"&amp;$A75, Annual!$J:$J, 0)), NA())</f>
        <v/>
      </c>
      <c r="D75" s="5">
        <f>IF(AND(ISNUMBER(B75),ISNUMBER(C75),C75&lt;&gt;0),B75-C75,NA())</f>
        <v/>
      </c>
      <c r="E75" t="inlineStr"/>
      <c r="F75" s="5">
        <f>IFERROR(1*INDEX(Annual!$F:$F, MATCH($B$44&amp;"|"&amp;$A75, Annual!$K:$K, 0)), NA())</f>
        <v/>
      </c>
      <c r="G75" s="5">
        <f>IFERROR(1*INDEX(Annual!$G:$G, MATCH($B$44&amp;"|"&amp;$A75, Annual!$K:$K, 0)), NA())</f>
        <v/>
      </c>
      <c r="H75" s="5">
        <f>IF($B$47&lt;&gt;"USD",IFERROR(1*INDEX(Annual!$E:$E, MATCH($B$44&amp;"|"&amp;$B$45&amp;"|"&amp;$A75, Annual!$J:$J, 0)), NA()),"")</f>
        <v/>
      </c>
      <c r="I75" s="5">
        <f>IF($B$47&lt;&gt;"USD",IFERROR(1*INDEX(Annual!$N:$N, MATCH($B$44&amp;"|"&amp;$B$45&amp;"|"&amp;$A75, Annual!$J:$J, 0)), NA()),"")</f>
        <v/>
      </c>
      <c r="J75" s="5">
        <f>IFERROR(1*INDEX(Annual!$P:$P, MATCH($B$44&amp;"|"&amp;$A75, Annual!$K:$K, 0)), NA())</f>
        <v/>
      </c>
    </row>
    <row r="76">
      <c r="A76" t="inlineStr">
        <is>
          <t>2026 (Proj GDP / ETF YTD)</t>
        </is>
      </c>
      <c r="B76" s="5">
        <f>IFERROR(1*INDEX(Annual!$H:$H, MATCH($B$44&amp;"|"&amp;2026, Annual!$K:$K, 0)), NA())</f>
        <v/>
      </c>
      <c r="C76" s="5">
        <f>IFERROR(1*INDEX(ETF_Timeframes!$H:$H, MATCH($B$44&amp;"|"&amp;$B$45&amp;"|YTD", ETF_Timeframes!$I:$I, 0)), NA())</f>
        <v/>
      </c>
      <c r="D76" s="5">
        <f>IF(AND(ISNUMBER(B76),ISNUMBER(C76),C76&lt;&gt;0),B76-C76,NA())</f>
        <v/>
      </c>
      <c r="E76" t="inlineStr"/>
      <c r="F76" s="5">
        <f>IFERROR(1*INDEX(Annual!$F:$F, MATCH($B$44&amp;"|"&amp;2026, Annual!$K:$K, 0)), NA())</f>
        <v/>
      </c>
      <c r="G76" s="5">
        <f>IFERROR(1*INDEX(Annual!$G:$G, MATCH($B$44&amp;"|"&amp;2026, Annual!$K:$K, 0)), NA())</f>
        <v/>
      </c>
      <c r="H76" s="5">
        <f>IF($B$47&lt;&gt;"USD",IFERROR(1*INDEX(Annual!$E:$E, MATCH($B$44&amp;"|"&amp;$B$45&amp;"|"&amp;2026, Annual!$J:$J, 0)), NA()),"")</f>
        <v/>
      </c>
      <c r="I76" s="5">
        <f>IF($B$47&lt;&gt;"USD",IFERROR(1*INDEX(Annual!$N:$N, MATCH($B$44&amp;"|"&amp;$B$45&amp;"|"&amp;2026, Annual!$J:$J, 0)), NA()),"")</f>
        <v/>
      </c>
      <c r="J76" s="5">
        <f>IFERROR(1*INDEX(Annual!$P:$P, MATCH($B$44&amp;"|"&amp;2026, Annual!$K:$K, 0)), NA())</f>
        <v/>
      </c>
    </row>
    <row r="77">
      <c r="A77" t="inlineStr">
        <is>
          <t>* 2026 row: GDP is IMF projection; ETF is YTD return (USD).</t>
        </is>
      </c>
    </row>
    <row r="79">
      <c r="A79" s="4" t="inlineStr">
        <is>
          <t>CAGR Comparison (%)</t>
        </is>
      </c>
    </row>
    <row r="80">
      <c r="A80" s="4" t="inlineStr">
        <is>
          <t>Horizon</t>
        </is>
      </c>
      <c r="B80" s="4" t="inlineStr">
        <is>
          <t>Nominal GDP CAGR % (USD)</t>
        </is>
      </c>
      <c r="C80" s="4" t="inlineStr">
        <is>
          <t>ETF CAGR % (USD)</t>
        </is>
      </c>
      <c r="D80" s="4" t="inlineStr"/>
      <c r="E80" s="4" t="inlineStr"/>
      <c r="F80" s="4" t="inlineStr">
        <is>
          <t>Real GDP CAGR %</t>
        </is>
      </c>
      <c r="G80" s="4" t="inlineStr">
        <is>
          <t>Nominal GDP CAGR % (LCU)</t>
        </is>
      </c>
    </row>
    <row r="81">
      <c r="A81" t="inlineStr">
        <is>
          <t>3Y</t>
        </is>
      </c>
      <c r="B81" s="5">
        <f>IFERROR(1*INDEX(CAGR!$I:$I, MATCH($B$44&amp;"|"&amp;$A81, CAGR!$P:$P, 0)), NA())</f>
        <v/>
      </c>
      <c r="C81" s="5">
        <f>IFERROR(1*INDEX(CAGR!$F:$F, MATCH($B$44&amp;"|"&amp;$B$45&amp;"|"&amp;$A81, CAGR!$O:$O, 0)), NA())</f>
        <v/>
      </c>
      <c r="D81" t="inlineStr"/>
      <c r="E81" t="inlineStr"/>
      <c r="F81" s="5">
        <f>IFERROR(1*INDEX(CAGR!$G:$G, MATCH($B$44&amp;"|"&amp;$A81, CAGR!$P:$P, 0)), NA())</f>
        <v/>
      </c>
      <c r="G81" s="5">
        <f>IFERROR(1*INDEX(CAGR!$H:$H, MATCH($B$44&amp;"|"&amp;$A81, CAGR!$P:$P, 0)), NA())</f>
        <v/>
      </c>
    </row>
    <row r="82">
      <c r="A82" t="inlineStr">
        <is>
          <t>5Y</t>
        </is>
      </c>
      <c r="B82" s="5">
        <f>IFERROR(1*INDEX(CAGR!$I:$I, MATCH($B$44&amp;"|"&amp;$A82, CAGR!$P:$P, 0)), NA())</f>
        <v/>
      </c>
      <c r="C82" s="5">
        <f>IFERROR(1*INDEX(CAGR!$F:$F, MATCH($B$44&amp;"|"&amp;$B$45&amp;"|"&amp;$A82, CAGR!$O:$O, 0)), NA())</f>
        <v/>
      </c>
      <c r="D82" t="inlineStr"/>
      <c r="E82" t="inlineStr"/>
      <c r="F82" s="5">
        <f>IFERROR(1*INDEX(CAGR!$G:$G, MATCH($B$44&amp;"|"&amp;$A82, CAGR!$P:$P, 0)), NA())</f>
        <v/>
      </c>
      <c r="G82" s="5">
        <f>IFERROR(1*INDEX(CAGR!$H:$H, MATCH($B$44&amp;"|"&amp;$A82, CAGR!$P:$P, 0)), NA())</f>
        <v/>
      </c>
    </row>
    <row r="83">
      <c r="A83" t="inlineStr">
        <is>
          <t>10Y</t>
        </is>
      </c>
      <c r="B83" s="5">
        <f>IFERROR(1*INDEX(CAGR!$I:$I, MATCH($B$44&amp;"|"&amp;$A83, CAGR!$P:$P, 0)), NA())</f>
        <v/>
      </c>
      <c r="C83" s="5">
        <f>IFERROR(1*INDEX(CAGR!$F:$F, MATCH($B$44&amp;"|"&amp;$B$45&amp;"|"&amp;$A83, CAGR!$O:$O, 0)), NA())</f>
        <v/>
      </c>
      <c r="D83" t="inlineStr"/>
      <c r="E83" t="inlineStr"/>
      <c r="F83" s="5">
        <f>IFERROR(1*INDEX(CAGR!$G:$G, MATCH($B$44&amp;"|"&amp;$A83, CAGR!$P:$P, 0)), NA())</f>
        <v/>
      </c>
      <c r="G83" s="5">
        <f>IFERROR(1*INDEX(CAGR!$H:$H, MATCH($B$44&amp;"|"&amp;$A83, CAGR!$P:$P, 0)), NA())</f>
        <v/>
      </c>
    </row>
  </sheetData>
  <autoFilter ref="A5:S29"/>
  <conditionalFormatting sqref="C6:J29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L6:L29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R6:S29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52:C60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B66:D76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F66:J76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B81:C83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F81:G83">
    <cfRule type="cellIs" priority="29" operator="greaterThanOrEqual" dxfId="0">
      <formula>10</formula>
    </cfRule>
    <cfRule type="cellIs" priority="30" operator="greaterThanOrEqual" dxfId="1">
      <formula>5</formula>
    </cfRule>
    <cfRule type="cellIs" priority="31" operator="greaterThanOrEqual" dxfId="2">
      <formula>0</formula>
    </cfRule>
    <cfRule type="cellIs" priority="32" operator="lessThan" dxfId="3">
      <formula>0</formula>
    </cfRule>
  </conditionalFormatting>
  <dataValidations count="27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=OFFSET(Lists!$G$2,IFERROR(MATCH($A6,Lists!$F$2:$F$31,0)-1,0),0,COUNTIF(Lists!$F$2:$F$31,$A6),1)</formula1>
    </dataValidation>
    <dataValidation sqref="B7" showDropDown="0" showInputMessage="0" showErrorMessage="0" allowBlank="0" type="list">
      <formula1>=OFFSET(Lists!$G$2,IFERROR(MATCH($A7,Lists!$F$2:$F$31,0)-1,0),0,COUNTIF(Lists!$F$2:$F$31,$A7),1)</formula1>
    </dataValidation>
    <dataValidation sqref="B8" showDropDown="0" showInputMessage="0" showErrorMessage="0" allowBlank="0" type="list">
      <formula1>=OFFSET(Lists!$G$2,IFERROR(MATCH($A8,Lists!$F$2:$F$31,0)-1,0),0,COUNTIF(Lists!$F$2:$F$31,$A8),1)</formula1>
    </dataValidation>
    <dataValidation sqref="B9" showDropDown="0" showInputMessage="0" showErrorMessage="0" allowBlank="0" type="list">
      <formula1>=OFFSET(Lists!$G$2,IFERROR(MATCH($A9,Lists!$F$2:$F$31,0)-1,0),0,COUNTIF(Lists!$F$2:$F$31,$A9),1)</formula1>
    </dataValidation>
    <dataValidation sqref="B10" showDropDown="0" showInputMessage="0" showErrorMessage="0" allowBlank="0" type="list">
      <formula1>=OFFSET(Lists!$G$2,IFERROR(MATCH($A10,Lists!$F$2:$F$31,0)-1,0),0,COUNTIF(Lists!$F$2:$F$31,$A10),1)</formula1>
    </dataValidation>
    <dataValidation sqref="B11" showDropDown="0" showInputMessage="0" showErrorMessage="0" allowBlank="0" type="list">
      <formula1>=OFFSET(Lists!$G$2,IFERROR(MATCH($A11,Lists!$F$2:$F$31,0)-1,0),0,COUNTIF(Lists!$F$2:$F$31,$A11),1)</formula1>
    </dataValidation>
    <dataValidation sqref="B12" showDropDown="0" showInputMessage="0" showErrorMessage="0" allowBlank="0" type="list">
      <formula1>=OFFSET(Lists!$G$2,IFERROR(MATCH($A12,Lists!$F$2:$F$31,0)-1,0),0,COUNTIF(Lists!$F$2:$F$31,$A12),1)</formula1>
    </dataValidation>
    <dataValidation sqref="B13" showDropDown="0" showInputMessage="0" showErrorMessage="0" allowBlank="0" type="list">
      <formula1>=OFFSET(Lists!$G$2,IFERROR(MATCH($A13,Lists!$F$2:$F$31,0)-1,0),0,COUNTIF(Lists!$F$2:$F$31,$A13),1)</formula1>
    </dataValidation>
    <dataValidation sqref="B14" showDropDown="0" showInputMessage="0" showErrorMessage="0" allowBlank="0" type="list">
      <formula1>=OFFSET(Lists!$G$2,IFERROR(MATCH($A14,Lists!$F$2:$F$31,0)-1,0),0,COUNTIF(Lists!$F$2:$F$31,$A14),1)</formula1>
    </dataValidation>
    <dataValidation sqref="B15" showDropDown="0" showInputMessage="0" showErrorMessage="0" allowBlank="0" type="list">
      <formula1>=OFFSET(Lists!$G$2,IFERROR(MATCH($A15,Lists!$F$2:$F$31,0)-1,0),0,COUNTIF(Lists!$F$2:$F$31,$A15),1)</formula1>
    </dataValidation>
    <dataValidation sqref="B16" showDropDown="0" showInputMessage="0" showErrorMessage="0" allowBlank="0" type="list">
      <formula1>=OFFSET(Lists!$G$2,IFERROR(MATCH($A16,Lists!$F$2:$F$31,0)-1,0),0,COUNTIF(Lists!$F$2:$F$31,$A16),1)</formula1>
    </dataValidation>
    <dataValidation sqref="B17" showDropDown="0" showInputMessage="0" showErrorMessage="0" allowBlank="0" type="list">
      <formula1>=OFFSET(Lists!$G$2,IFERROR(MATCH($A17,Lists!$F$2:$F$31,0)-1,0),0,COUNTIF(Lists!$F$2:$F$31,$A17),1)</formula1>
    </dataValidation>
    <dataValidation sqref="B18" showDropDown="0" showInputMessage="0" showErrorMessage="0" allowBlank="0" type="list">
      <formula1>=OFFSET(Lists!$G$2,IFERROR(MATCH($A18,Lists!$F$2:$F$31,0)-1,0),0,COUNTIF(Lists!$F$2:$F$31,$A18),1)</formula1>
    </dataValidation>
    <dataValidation sqref="B19" showDropDown="0" showInputMessage="0" showErrorMessage="0" allowBlank="0" type="list">
      <formula1>=OFFSET(Lists!$G$2,IFERROR(MATCH($A19,Lists!$F$2:$F$31,0)-1,0),0,COUNTIF(Lists!$F$2:$F$31,$A19),1)</formula1>
    </dataValidation>
    <dataValidation sqref="B20" showDropDown="0" showInputMessage="0" showErrorMessage="0" allowBlank="0" type="list">
      <formula1>=OFFSET(Lists!$G$2,IFERROR(MATCH($A20,Lists!$F$2:$F$31,0)-1,0),0,COUNTIF(Lists!$F$2:$F$31,$A20),1)</formula1>
    </dataValidation>
    <dataValidation sqref="B21" showDropDown="0" showInputMessage="0" showErrorMessage="0" allowBlank="0" type="list">
      <formula1>=OFFSET(Lists!$G$2,IFERROR(MATCH($A21,Lists!$F$2:$F$31,0)-1,0),0,COUNTIF(Lists!$F$2:$F$31,$A21),1)</formula1>
    </dataValidation>
    <dataValidation sqref="B22" showDropDown="0" showInputMessage="0" showErrorMessage="0" allowBlank="0" type="list">
      <formula1>=OFFSET(Lists!$G$2,IFERROR(MATCH($A22,Lists!$F$2:$F$31,0)-1,0),0,COUNTIF(Lists!$F$2:$F$31,$A22),1)</formula1>
    </dataValidation>
    <dataValidation sqref="B23" showDropDown="0" showInputMessage="0" showErrorMessage="0" allowBlank="0" type="list">
      <formula1>=OFFSET(Lists!$G$2,IFERROR(MATCH($A23,Lists!$F$2:$F$31,0)-1,0),0,COUNTIF(Lists!$F$2:$F$31,$A23),1)</formula1>
    </dataValidation>
    <dataValidation sqref="B24" showDropDown="0" showInputMessage="0" showErrorMessage="0" allowBlank="0" type="list">
      <formula1>=OFFSET(Lists!$G$2,IFERROR(MATCH($A24,Lists!$F$2:$F$31,0)-1,0),0,COUNTIF(Lists!$F$2:$F$31,$A24),1)</formula1>
    </dataValidation>
    <dataValidation sqref="B25" showDropDown="0" showInputMessage="0" showErrorMessage="0" allowBlank="0" type="list">
      <formula1>=OFFSET(Lists!$G$2,IFERROR(MATCH($A25,Lists!$F$2:$F$31,0)-1,0),0,COUNTIF(Lists!$F$2:$F$31,$A25),1)</formula1>
    </dataValidation>
    <dataValidation sqref="B26" showDropDown="0" showInputMessage="0" showErrorMessage="0" allowBlank="0" type="list">
      <formula1>=OFFSET(Lists!$G$2,IFERROR(MATCH($A26,Lists!$F$2:$F$31,0)-1,0),0,COUNTIF(Lists!$F$2:$F$31,$A26),1)</formula1>
    </dataValidation>
    <dataValidation sqref="B27" showDropDown="0" showInputMessage="0" showErrorMessage="0" allowBlank="0" type="list">
      <formula1>=OFFSET(Lists!$G$2,IFERROR(MATCH($A27,Lists!$F$2:$F$31,0)-1,0),0,COUNTIF(Lists!$F$2:$F$31,$A27),1)</formula1>
    </dataValidation>
    <dataValidation sqref="B28" showDropDown="0" showInputMessage="0" showErrorMessage="0" allowBlank="0" type="list">
      <formula1>=OFFSET(Lists!$G$2,IFERROR(MATCH($A28,Lists!$F$2:$F$31,0)-1,0),0,COUNTIF(Lists!$F$2:$F$31,$A28),1)</formula1>
    </dataValidation>
    <dataValidation sqref="B29" showDropDown="0" showInputMessage="0" showErrorMessage="0" allowBlank="0" type="list">
      <formula1>=OFFSET(Lists!$G$2,IFERROR(MATCH($A29,Lists!$F$2:$F$31,0)-1,0),0,COUNTIF(Lists!$F$2:$F$31,$A29),1)</formula1>
    </dataValidation>
    <dataValidation sqref="B44" showDropDown="0" showInputMessage="0" showErrorMessage="0" allowBlank="0" type="list">
      <formula1>=Lists!$A$2:$A$31</formula1>
    </dataValidation>
    <dataValidation sqref="B45" showDropDown="0" showInputMessage="0" showErrorMessage="0" allowBlank="0" type="list">
      <formula1>=OFFSET(Lists!$G$2,IFERROR(MATCH($B$44,Lists!$F$2:$F$31,0)-1,0),0,COUNTIF(Lists!$F$2:$F$31,$B$44),1)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2026-03-13T12:58:20Z</dcterms:created>
  <dcterms:modified xsi:type="dcterms:W3CDTF">2026-03-13T12:58:20Z</dcterms:modified>
</cp:coreProperties>
</file>