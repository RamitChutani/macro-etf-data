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visible" r:id="rId6"/>
    <sheet name="Comparing Countries" sheetId="7" state="visible" r:id="rId7"/>
    <sheet name="Country Focus" sheetId="8" state="visible" r:id="rId8"/>
    <sheet name="MSCI" sheetId="9" state="hidden" r:id="rId9"/>
  </sheets>
  <definedNames>
    <definedName name="_xlnm._FilterDatabase" localSheetId="1" hidden="1">'ETF_Timeframes'!$A$1:$J$369</definedName>
    <definedName name="_xlnm._FilterDatabase" localSheetId="2" hidden="1">'Annual'!$A$1:$V$616</definedName>
    <definedName name="_xlnm._FilterDatabase" localSheetId="3" hidden="1">'CAGR'!$A$1:$R$296</definedName>
    <definedName name="_xlnm._FilterDatabase" localSheetId="6" hidden="1">'Comparing Countries'!$A$4:$AE$37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00"/>
    <numFmt numFmtId="167" formatCode="0.000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name val="Calibri"/>
      <family val="2"/>
      <color theme="10"/>
      <sz val="12"/>
      <scheme val="minor"/>
    </font>
    <font>
      <b val="1"/>
      <sz val="12"/>
    </font>
    <font>
      <b val="1"/>
      <i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/>
    </xf>
    <xf numFmtId="164" fontId="0" fillId="0" borderId="0" pivotButton="0" quotePrefix="0" xfId="0"/>
    <xf numFmtId="0" fontId="3" fillId="0" borderId="0" pivotButton="0" quotePrefix="0" xfId="1"/>
  </cellXfs>
  <cellStyles count="2">
    <cellStyle name="Normal" xfId="0" builtinId="0" hidden="0"/>
    <cellStyle name="Hyperlink" xfId="1" builtinId="8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https://www.msci.com/documents/10199/255599/msci-usa-index-gross.pdf" TargetMode="External" Id="rId1" /><Relationship Type="http://schemas.openxmlformats.org/officeDocument/2006/relationships/hyperlink" Target="https://www.msci.com/documents/10199/255599/msci-japan-index.pdf" TargetMode="External" Id="rId2" /><Relationship Type="http://schemas.openxmlformats.org/officeDocument/2006/relationships/hyperlink" Target="https://www.msci.com/documents/10199/255599/msci-unitedkingdom-index.pdf" TargetMode="External" Id="rId3" /><Relationship Type="http://schemas.openxmlformats.org/officeDocument/2006/relationships/hyperlink" Target="https://www.msci.com/documents/10199/255599/msci-canada-index-gross-usd.pdf" TargetMode="External" Id="rId4" /><Relationship Type="http://schemas.openxmlformats.org/officeDocument/2006/relationships/hyperlink" Target="https://www.msci.com/documents/10199/255599/msci-china-index.pdf" TargetMode="External" Id="rId5" /><Relationship Type="http://schemas.openxmlformats.org/officeDocument/2006/relationships/hyperlink" Target="https://www.msci.com/documents/10199/255599/msci-taiwan-index.pdf" TargetMode="External" Id="rId6" /><Relationship Type="http://schemas.openxmlformats.org/officeDocument/2006/relationships/hyperlink" Target="https://www.msci.com/documents/10199/255599/msci-france-index.pdf" TargetMode="External" Id="rId7" /><Relationship Type="http://schemas.openxmlformats.org/officeDocument/2006/relationships/hyperlink" Target="https://www.msci.com/documents/10199/255599/msci-switzerland-index.pdf" TargetMode="External" Id="rId8" /><Relationship Type="http://schemas.openxmlformats.org/officeDocument/2006/relationships/hyperlink" Target="https://www.msci.com/documents/10199/255599/msci-korea-index.pdf" TargetMode="External" Id="rId9" /><Relationship Type="http://schemas.openxmlformats.org/officeDocument/2006/relationships/hyperlink" Target="https://www.msci.com/documents/10199/255599/msci-germany-index.pdf" TargetMode="External" Id="rId10" /><Relationship Type="http://schemas.openxmlformats.org/officeDocument/2006/relationships/hyperlink" Target="https://www.msci.com/documents/10199/255599/msci-india-index-gross-usd.pdf" TargetMode="External" Id="rId11" /><Relationship Type="http://schemas.openxmlformats.org/officeDocument/2006/relationships/hyperlink" Target="https://www.msci.com/documents/10199/255599/msci-australia-index.pdf" TargetMode="External" Id="rId12" /><Relationship Type="http://schemas.openxmlformats.org/officeDocument/2006/relationships/hyperlink" Target="https://www.msci.com/documents/10199/255599/msci-netherlands-index-usd-gross.pdf" TargetMode="External" Id="rId13" /><Relationship Type="http://schemas.openxmlformats.org/officeDocument/2006/relationships/hyperlink" Target="https://www.msci.com/documents/10199/255599/msci-spain-index.pdf" TargetMode="External" Id="rId14" /><Relationship Type="http://schemas.openxmlformats.org/officeDocument/2006/relationships/hyperlink" Target="https://www.msci.com/documents/10199/255599/msci-sweden-index.pdf" TargetMode="External" Id="rId15" /><Relationship Type="http://schemas.openxmlformats.org/officeDocument/2006/relationships/hyperlink" Target="https://www.msci.com/documents/10199/255599/msci-italy-index.pdf" TargetMode="External" Id="rId16" /><Relationship Type="http://schemas.openxmlformats.org/officeDocument/2006/relationships/hyperlink" Target="https://www.msci.com/documents/10199/255599/msci-brazil-index.pdf" TargetMode="External" Id="rId17" /><Relationship Type="http://schemas.openxmlformats.org/officeDocument/2006/relationships/hyperlink" Target="https://www.msci.com/documents/10199/255599/msci-south-africa-usd-gross.pdf" TargetMode="External" Id="rId18" /><Relationship Type="http://schemas.openxmlformats.org/officeDocument/2006/relationships/hyperlink" Target="https://www.msci.com/documents/10199/255599/msci-hong-kong-index.pdf" TargetMode="External" Id="rId19" /><Relationship Type="http://schemas.openxmlformats.org/officeDocument/2006/relationships/hyperlink" Target="https://www.msci.com/documents/10199/255599/msci-saudi-arabia-index-usd-gross.pdf" TargetMode="External" Id="rId20" /><Relationship Type="http://schemas.openxmlformats.org/officeDocument/2006/relationships/hyperlink" Target="https://www.msci.com/documents/10199/255599/msci-singapore-index.pdf" TargetMode="External" Id="rId21" /><Relationship Type="http://schemas.openxmlformats.org/officeDocument/2006/relationships/hyperlink" Target="https://www.msci.com/documents/10199/255599/msci-denmark-index-usd-gross.pdf" TargetMode="External" Id="rId22" /><Relationship Type="http://schemas.openxmlformats.org/officeDocument/2006/relationships/hyperlink" Target="https://www.msci.com/documents/10199/255599/msci-finland-index-usd-net.pdf" TargetMode="External" Id="rId23" /><Relationship Type="http://schemas.openxmlformats.org/officeDocument/2006/relationships/hyperlink" Target="https://www.msci.com/documents/10199/255599/msci-belgium-index-usd-net.pdf" TargetMode="External" Id="rId24" /><Relationship Type="http://schemas.openxmlformats.org/officeDocument/2006/relationships/hyperlink" Target="https://www.msci.com/documents/10199/255599/msci-mexico-index-usd-net.pdf" TargetMode="External" Id="rId25" /><Relationship Type="http://schemas.openxmlformats.org/officeDocument/2006/relationships/hyperlink" Target="https://www.msci.com/documents/10199/255599/msci-israel-index-usd-net.pdf" TargetMode="External" Id="rId26" /><Relationship Type="http://schemas.openxmlformats.org/officeDocument/2006/relationships/hyperlink" Target="https://www.msci.com/documents/10199/255599/msci-uae-index.pdf" TargetMode="External" Id="rId27" /><Relationship Type="http://schemas.openxmlformats.org/officeDocument/2006/relationships/hyperlink" Target="https://www.msci.com/documents/10199/255599/msci-norway-index-usd-gross.pdf" TargetMode="External" Id="rId28" /><Relationship Type="http://schemas.openxmlformats.org/officeDocument/2006/relationships/hyperlink" Target="https://www.msci.com/documents/10199/255599/msci-malaysia-index.pdf" TargetMode="External" Id="rId29" /><Relationship Type="http://schemas.openxmlformats.org/officeDocument/2006/relationships/hyperlink" Target="https://www.msci.com/documents/10199/255599/msci-thailand-index.pdf" TargetMode="External" Id="rId30" /><Relationship Type="http://schemas.openxmlformats.org/officeDocument/2006/relationships/hyperlink" Target="https://www.msci.com/documents/10199/255599/msci-poland-index-usd-gross.pdf" TargetMode="External" Id="rId31" /><Relationship Type="http://schemas.openxmlformats.org/officeDocument/2006/relationships/hyperlink" Target="https://www.msci.com/documents/10199/255599/msci-indonesia-index.pdf" TargetMode="External" Id="rId32" /><Relationship Type="http://schemas.openxmlformats.org/officeDocument/2006/relationships/hyperlink" Target="https://www.msci.com/documents/10199/255599/msci-ireland-index-usd-net.pdf" TargetMode="External" Id="rId33" /><Relationship Type="http://schemas.openxmlformats.org/officeDocument/2006/relationships/hyperlink" Target="https://www.msci.com/documents/10199/255599/msci-qatar-index-usd-net.pdf" TargetMode="External" Id="rId34" /><Relationship Type="http://schemas.openxmlformats.org/officeDocument/2006/relationships/hyperlink" Target="https://www.msci.com/documents/10199/255599/msci-chile-index-net.pdf" TargetMode="External" Id="rId35" /><Relationship Type="http://schemas.openxmlformats.org/officeDocument/2006/relationships/hyperlink" Target="https://www.msci.com/documents/10199/255599/msci-greece-index-usd-net.pdf" TargetMode="External" Id="rId36" /><Relationship Type="http://schemas.openxmlformats.org/officeDocument/2006/relationships/hyperlink" Target="https://www.msci.com/documents/10199/255599/msci-vietnam-index.pdf" TargetMode="External" Id="rId37" /><Relationship Type="http://schemas.openxmlformats.org/officeDocument/2006/relationships/hyperlink" Target="https://www.msci.com/documents/10199/255599/msci-austria-index-usd-gross.pdf" TargetMode="External" Id="rId38" /><Relationship Type="http://schemas.openxmlformats.org/officeDocument/2006/relationships/hyperlink" Target="https://www.msci.com/documents/10199/255599/msci-turkey-index-gross-usd.pdf" TargetMode="External" Id="rId39" /><Relationship Type="http://schemas.openxmlformats.org/officeDocument/2006/relationships/hyperlink" Target="https://www.msci.com/documents/10199/255599/msci-peru-index-net.pdf" TargetMode="External" Id="rId40" /><Relationship Type="http://schemas.openxmlformats.org/officeDocument/2006/relationships/hyperlink" Target="https://www.msci.com/documents/10199/255599/msci-portugal-index-usd-gross.pdf" TargetMode="External" Id="rId41" /><Relationship Type="http://schemas.openxmlformats.org/officeDocument/2006/relationships/hyperlink" Target="https://www.msci.com/documents/10199/255599/msci-philippines-index.pdf" TargetMode="External" Id="rId42" /><Relationship Type="http://schemas.openxmlformats.org/officeDocument/2006/relationships/hyperlink" Target="https://www.msci.com/documents/10199/255599/msci-new-zealand-index.pdf" TargetMode="External" Id="rId43" /><Relationship Type="http://schemas.openxmlformats.org/officeDocument/2006/relationships/hyperlink" Target="https://www.msci.com/documents/10199/255599/msci-hungary-index.pdf" TargetMode="External" Id="rId44" /><Relationship Type="http://schemas.openxmlformats.org/officeDocument/2006/relationships/hyperlink" Target="https://www.msci.com/documents/10199/255599/msci-argentina-index-net.pdf" TargetMode="External" Id="rId45" /><Relationship Type="http://schemas.openxmlformats.org/officeDocument/2006/relationships/hyperlink" Target="https://www.msci.com/documents/10199/255599/msci-romania-index-usd-net.pdf" TargetMode="External" Id="rId46" /><Relationship Type="http://schemas.openxmlformats.org/officeDocument/2006/relationships/hyperlink" Target="https://www.msci.com/documents/10199/255599/msci-morocco-index.pdf" TargetMode="External" Id="rId47" /><Relationship Type="http://schemas.openxmlformats.org/officeDocument/2006/relationships/hyperlink" Target="https://www.msci.com/documents/10199/255599/msci-nigeria-index.pdf" TargetMode="External" Id="rId48" /><Relationship Type="http://schemas.openxmlformats.org/officeDocument/2006/relationships/hyperlink" Target="https://www.msci.com/documents/10199/255599/msci-colombia-index-net.pdf" TargetMode="External" Id="rId49" /><Relationship Type="http://schemas.openxmlformats.org/officeDocument/2006/relationships/hyperlink" Target="https://www.msci.com/documents/10199/255599/msci-kazakhstan-index-usd-net.pdf" TargetMode="External" Id="rId50" /><Relationship Type="http://schemas.openxmlformats.org/officeDocument/2006/relationships/hyperlink" Target="https://www.msci.com/documents/10199/255599/msci-pakistan-index-usd-net.pdf" TargetMode="External" Id="rId51" /><Relationship Type="http://schemas.openxmlformats.org/officeDocument/2006/relationships/hyperlink" Target="https://www.msci.com/documents/10199/255599/msci-czech-republic-index-usd-gross.pdf" TargetMode="External" Id="rId52" /><Relationship Type="http://schemas.openxmlformats.org/officeDocument/2006/relationships/hyperlink" Target="https://www.msci.com/documents/10199/255599/msci-egypt-index-usd-gross.pdf" TargetMode="External" Id="rId53" /><Relationship Type="http://schemas.openxmlformats.org/officeDocument/2006/relationships/hyperlink" Target="https://www.msci.com/documents/10199/255599/msci-bangladesh-index-usd-net.pdf" TargetMode="External" Id="rId54" /><Relationship Type="http://schemas.openxmlformats.org/officeDocument/2006/relationships/hyperlink" Target="https://www.msci.com/documents/10199/255599/msci-ukraine-index-usd-net.pdf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16" customWidth="1" min="3" max="3"/>
    <col width="22" customWidth="1" min="4" max="4"/>
    <col width="16" customWidth="1" min="5" max="5"/>
    <col width="24" customWidth="1" min="6" max="6"/>
    <col width="17" customWidth="1" min="7" max="7"/>
    <col width="17" customWidth="1" min="8" max="8"/>
    <col width="11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Crude Oil (Mbbl)</t>
        </is>
      </c>
      <c r="D1" t="inlineStr">
        <is>
          <t>Natural Gas (Mbbl BOE)</t>
        </is>
      </c>
      <c r="E1" t="inlineStr">
        <is>
          <t>Total BOE (Mbbl)</t>
        </is>
      </c>
      <c r="F1" t="inlineStr">
        <is>
          <t>Value @ $10 Change (USD)</t>
        </is>
      </c>
      <c r="G1" t="inlineStr">
        <is>
          <t>Nominal GDP (USD)</t>
        </is>
      </c>
      <c r="H1" t="inlineStr">
        <is>
          <t>Impact (% of GDP)</t>
        </is>
      </c>
      <c r="I1" t="inlineStr">
        <is>
          <t>Data Source</t>
        </is>
      </c>
    </row>
    <row r="2">
      <c r="A2" t="inlineStr">
        <is>
          <t>Australia</t>
        </is>
      </c>
      <c r="B2" t="inlineStr">
        <is>
          <t>AUS</t>
        </is>
      </c>
      <c r="C2" t="n">
        <v>67.44759999999999</v>
      </c>
      <c r="D2" t="n">
        <v>0</v>
      </c>
      <c r="E2" t="n">
        <v>67.44759999999999</v>
      </c>
      <c r="F2" t="n">
        <v>674475814</v>
      </c>
      <c r="G2" t="n">
        <v>1795492000000</v>
      </c>
      <c r="H2" t="n">
        <v>0.037565</v>
      </c>
      <c r="I2" s="1" t="inlineStr">
        <is>
          <t>WITS</t>
        </is>
      </c>
    </row>
    <row r="3">
      <c r="A3" t="inlineStr">
        <is>
          <t>Austria</t>
        </is>
      </c>
      <c r="B3" t="inlineStr">
        <is>
          <t>AUT</t>
        </is>
      </c>
      <c r="C3" t="n">
        <v>56.2123</v>
      </c>
      <c r="D3" t="n">
        <v>0.0257</v>
      </c>
      <c r="E3" t="n">
        <v>56.238</v>
      </c>
      <c r="F3" t="n">
        <v>562380387</v>
      </c>
      <c r="G3" t="n">
        <v>523956000000</v>
      </c>
      <c r="H3" t="n">
        <v>0.107334</v>
      </c>
      <c r="I3" s="1" t="inlineStr">
        <is>
          <t>WITS</t>
        </is>
      </c>
    </row>
    <row r="4">
      <c r="A4" t="inlineStr">
        <is>
          <t>Bulgaria</t>
        </is>
      </c>
      <c r="B4" t="inlineStr">
        <is>
          <t>BGR</t>
        </is>
      </c>
      <c r="C4" t="n">
        <v>48.5981</v>
      </c>
      <c r="D4" t="n">
        <v>0.0019</v>
      </c>
      <c r="E4" t="n">
        <v>48.6</v>
      </c>
      <c r="F4" t="n">
        <v>485999961</v>
      </c>
      <c r="G4" t="n">
        <v>112232000000</v>
      </c>
      <c r="H4" t="n">
        <v>0.433032</v>
      </c>
      <c r="I4" s="1" t="inlineStr">
        <is>
          <t>WITS</t>
        </is>
      </c>
    </row>
    <row r="5">
      <c r="A5" t="inlineStr">
        <is>
          <t>Canada</t>
        </is>
      </c>
      <c r="B5" t="inlineStr">
        <is>
          <t>CAN</t>
        </is>
      </c>
      <c r="C5" t="n">
        <v>170.6321</v>
      </c>
      <c r="D5" t="n">
        <v>5.7523</v>
      </c>
      <c r="E5" t="n">
        <v>176.3844</v>
      </c>
      <c r="F5" t="n">
        <v>1763844244</v>
      </c>
      <c r="G5" t="n">
        <v>2243637000000</v>
      </c>
      <c r="H5" t="n">
        <v>0.078615</v>
      </c>
      <c r="I5" s="1" t="inlineStr">
        <is>
          <t>WITS</t>
        </is>
      </c>
    </row>
    <row r="6">
      <c r="A6" t="inlineStr">
        <is>
          <t>Switzerland</t>
        </is>
      </c>
      <c r="B6" t="inlineStr">
        <is>
          <t>CHE</t>
        </is>
      </c>
      <c r="C6" t="n">
        <v>18.9607</v>
      </c>
      <c r="D6" t="n">
        <v>0.0326</v>
      </c>
      <c r="E6" t="n">
        <v>18.9932</v>
      </c>
      <c r="F6" t="n">
        <v>189932153</v>
      </c>
      <c r="G6" t="n">
        <v>938153000000</v>
      </c>
      <c r="H6" t="n">
        <v>0.020245</v>
      </c>
      <c r="I6" s="1" t="inlineStr">
        <is>
          <t>WITS</t>
        </is>
      </c>
    </row>
    <row r="7">
      <c r="A7" t="inlineStr">
        <is>
          <t>China</t>
        </is>
      </c>
      <c r="B7" t="inlineStr">
        <is>
          <t>CHN</t>
        </is>
      </c>
      <c r="C7" t="n">
        <v>4055.1906</v>
      </c>
      <c r="D7" t="n">
        <v>643.2056</v>
      </c>
      <c r="E7" t="n">
        <v>4698.3962</v>
      </c>
      <c r="F7" t="n">
        <v>46983962000</v>
      </c>
      <c r="G7" t="n">
        <v>18749759000000</v>
      </c>
      <c r="H7" t="n">
        <v>0.250584</v>
      </c>
      <c r="I7" s="1" t="inlineStr">
        <is>
          <t>WITS</t>
        </is>
      </c>
    </row>
    <row r="8">
      <c r="A8" t="inlineStr">
        <is>
          <t>Germany</t>
        </is>
      </c>
      <c r="B8" t="inlineStr">
        <is>
          <t>DEU</t>
        </is>
      </c>
      <c r="C8" t="n">
        <v>575.6762</v>
      </c>
      <c r="D8" t="n">
        <v>40.2336</v>
      </c>
      <c r="E8" t="n">
        <v>615.9098</v>
      </c>
      <c r="F8" t="n">
        <v>6159097740</v>
      </c>
      <c r="G8" t="n">
        <v>4684182000000</v>
      </c>
      <c r="H8" t="n">
        <v>0.131487</v>
      </c>
      <c r="I8" s="1" t="inlineStr">
        <is>
          <t>WITS</t>
        </is>
      </c>
    </row>
    <row r="9">
      <c r="A9" t="inlineStr">
        <is>
          <t>France</t>
        </is>
      </c>
      <c r="B9" t="inlineStr">
        <is>
          <t>FRA</t>
        </is>
      </c>
      <c r="C9" t="n">
        <v>344.6573</v>
      </c>
      <c r="D9" t="n">
        <v>173.7473</v>
      </c>
      <c r="E9" t="n">
        <v>518.4046</v>
      </c>
      <c r="F9" t="n">
        <v>5184046130</v>
      </c>
      <c r="G9" t="n">
        <v>3160902000000</v>
      </c>
      <c r="H9" t="n">
        <v>0.164005</v>
      </c>
      <c r="I9" s="1" t="inlineStr">
        <is>
          <t>WITS</t>
        </is>
      </c>
    </row>
    <row r="10">
      <c r="A10" t="inlineStr">
        <is>
          <t>India</t>
        </is>
      </c>
      <c r="B10" t="inlineStr">
        <is>
          <t>IND</t>
        </is>
      </c>
      <c r="C10" t="n">
        <v>1772.0275</v>
      </c>
      <c r="D10" t="n">
        <v>233.4688</v>
      </c>
      <c r="E10" t="n">
        <v>2005.4963</v>
      </c>
      <c r="F10" t="n">
        <v>20054962600</v>
      </c>
      <c r="G10" t="n">
        <v>3909892000000</v>
      </c>
      <c r="H10" t="n">
        <v>0.512929</v>
      </c>
      <c r="I10" s="1" t="inlineStr">
        <is>
          <t>WITS</t>
        </is>
      </c>
    </row>
    <row r="11">
      <c r="A11" t="inlineStr">
        <is>
          <t>Italy</t>
        </is>
      </c>
      <c r="B11" t="inlineStr">
        <is>
          <t>ITA</t>
        </is>
      </c>
      <c r="C11" t="n">
        <v>399.8141</v>
      </c>
      <c r="D11" t="n">
        <v>88.9132</v>
      </c>
      <c r="E11" t="n">
        <v>488.7273</v>
      </c>
      <c r="F11" t="n">
        <v>4887272770</v>
      </c>
      <c r="G11" t="n">
        <v>2372059000000</v>
      </c>
      <c r="H11" t="n">
        <v>0.206035</v>
      </c>
      <c r="I11" s="1" t="inlineStr">
        <is>
          <t>WITS</t>
        </is>
      </c>
    </row>
    <row r="12">
      <c r="A12" t="inlineStr">
        <is>
          <t>Japan</t>
        </is>
      </c>
      <c r="B12" t="inlineStr">
        <is>
          <t>JPN</t>
        </is>
      </c>
      <c r="C12" t="n">
        <v>842.6495</v>
      </c>
      <c r="D12" t="n">
        <v>553.4819</v>
      </c>
      <c r="E12" t="n">
        <v>1396.1314</v>
      </c>
      <c r="F12" t="n">
        <v>13961313500</v>
      </c>
      <c r="G12" t="n">
        <v>4019382000000</v>
      </c>
      <c r="H12" t="n">
        <v>0.34735</v>
      </c>
      <c r="I12" s="1" t="inlineStr">
        <is>
          <t>WITS</t>
        </is>
      </c>
    </row>
    <row r="13">
      <c r="A13" t="inlineStr">
        <is>
          <t>South Korea</t>
        </is>
      </c>
      <c r="B13" t="inlineStr">
        <is>
          <t>KOR</t>
        </is>
      </c>
      <c r="C13" t="n">
        <v>1005.5294</v>
      </c>
      <c r="D13" t="n">
        <v>389.0704</v>
      </c>
      <c r="E13" t="n">
        <v>1394.5998</v>
      </c>
      <c r="F13" t="n">
        <v>13945997600</v>
      </c>
      <c r="G13" t="n">
        <v>1875388000000</v>
      </c>
      <c r="H13" t="n">
        <v>0.743633</v>
      </c>
      <c r="I13" s="1" t="inlineStr">
        <is>
          <t>WITS</t>
        </is>
      </c>
    </row>
    <row r="14">
      <c r="A14" t="inlineStr">
        <is>
          <t>Malaysia</t>
        </is>
      </c>
      <c r="B14" t="inlineStr">
        <is>
          <t>MYS</t>
        </is>
      </c>
      <c r="C14" t="n">
        <v>162.1594</v>
      </c>
      <c r="D14" t="n">
        <v>27.2623</v>
      </c>
      <c r="E14" t="n">
        <v>189.4217</v>
      </c>
      <c r="F14" t="n">
        <v>1894216750</v>
      </c>
      <c r="G14" t="n">
        <v>422227000000</v>
      </c>
      <c r="H14" t="n">
        <v>0.448625</v>
      </c>
      <c r="I14" s="1" t="inlineStr">
        <is>
          <t>WITS</t>
        </is>
      </c>
    </row>
    <row r="15">
      <c r="A15" t="inlineStr">
        <is>
          <t>Netherlands</t>
        </is>
      </c>
      <c r="B15" t="inlineStr">
        <is>
          <t>NLD</t>
        </is>
      </c>
      <c r="C15" t="n">
        <v>580.6672</v>
      </c>
      <c r="D15" t="n">
        <v>112.8994</v>
      </c>
      <c r="E15" t="n">
        <v>693.5666</v>
      </c>
      <c r="F15" t="n">
        <v>6935665670</v>
      </c>
      <c r="G15" t="n">
        <v>1214562000000</v>
      </c>
      <c r="H15" t="n">
        <v>0.571043</v>
      </c>
      <c r="I15" s="1" t="inlineStr">
        <is>
          <t>WITS</t>
        </is>
      </c>
    </row>
    <row r="16">
      <c r="A16" t="inlineStr">
        <is>
          <t>Pakistan</t>
        </is>
      </c>
      <c r="B16" t="inlineStr">
        <is>
          <t>PAK</t>
        </is>
      </c>
      <c r="C16" t="n">
        <v>71.4547</v>
      </c>
      <c r="D16" t="n">
        <v>63.3777</v>
      </c>
      <c r="E16" t="n">
        <v>134.8323</v>
      </c>
      <c r="F16" t="n">
        <v>1348323365</v>
      </c>
      <c r="G16" t="n">
        <v>371408000000</v>
      </c>
      <c r="H16" t="n">
        <v>0.36303</v>
      </c>
      <c r="I16" s="1" t="inlineStr">
        <is>
          <t>WITS</t>
        </is>
      </c>
    </row>
    <row r="17">
      <c r="A17" t="inlineStr">
        <is>
          <t>Poland</t>
        </is>
      </c>
      <c r="B17" t="inlineStr">
        <is>
          <t>POL</t>
        </is>
      </c>
      <c r="C17" t="n">
        <v>183.0821</v>
      </c>
      <c r="D17" t="n">
        <v>0</v>
      </c>
      <c r="E17" t="n">
        <v>183.0821</v>
      </c>
      <c r="F17" t="n">
        <v>1830821430</v>
      </c>
      <c r="G17" t="n">
        <v>914553000000</v>
      </c>
      <c r="H17" t="n">
        <v>0.200188</v>
      </c>
      <c r="I17" s="1" t="inlineStr">
        <is>
          <t>WITS</t>
        </is>
      </c>
    </row>
    <row r="18">
      <c r="A18" t="inlineStr">
        <is>
          <t>Singapore</t>
        </is>
      </c>
      <c r="B18" t="inlineStr">
        <is>
          <t>SGP</t>
        </is>
      </c>
      <c r="C18" t="n">
        <v>318.8931</v>
      </c>
      <c r="D18" t="n">
        <v>56.9629</v>
      </c>
      <c r="E18" t="n">
        <v>375.856</v>
      </c>
      <c r="F18" t="n">
        <v>3758560360</v>
      </c>
      <c r="G18" t="n">
        <v>547387000000</v>
      </c>
      <c r="H18" t="n">
        <v>0.6866370000000001</v>
      </c>
      <c r="I18" s="1" t="inlineStr">
        <is>
          <t>WITS</t>
        </is>
      </c>
    </row>
    <row r="19">
      <c r="A19" t="inlineStr">
        <is>
          <t>Sweden</t>
        </is>
      </c>
      <c r="B19" t="inlineStr">
        <is>
          <t>SWE</t>
        </is>
      </c>
      <c r="C19" t="n">
        <v>130.0349</v>
      </c>
      <c r="D19" t="n">
        <v>3.1453</v>
      </c>
      <c r="E19" t="n">
        <v>133.1803</v>
      </c>
      <c r="F19" t="n">
        <v>1331802710</v>
      </c>
      <c r="G19" t="n">
        <v>603715000000</v>
      </c>
      <c r="H19" t="n">
        <v>0.220601</v>
      </c>
      <c r="I19" s="1" t="inlineStr">
        <is>
          <t>WITS</t>
        </is>
      </c>
    </row>
    <row r="20">
      <c r="A20" t="inlineStr">
        <is>
          <t>Thailand</t>
        </is>
      </c>
      <c r="B20" t="inlineStr">
        <is>
          <t>THA</t>
        </is>
      </c>
      <c r="C20" t="n">
        <v>1302.9955</v>
      </c>
      <c r="D20" t="n">
        <v>95.9062</v>
      </c>
      <c r="E20" t="n">
        <v>1398.9016</v>
      </c>
      <c r="F20" t="n">
        <v>13989016200</v>
      </c>
      <c r="G20" t="n">
        <v>526518000000</v>
      </c>
      <c r="H20" t="n">
        <v>2.656892</v>
      </c>
      <c r="I20" s="1" t="inlineStr">
        <is>
          <t>WITS</t>
        </is>
      </c>
    </row>
    <row r="21">
      <c r="A21" t="inlineStr">
        <is>
          <t>United States</t>
        </is>
      </c>
      <c r="B21" t="inlineStr">
        <is>
          <t>USA</t>
        </is>
      </c>
      <c r="C21" t="n">
        <v>2753.5658</v>
      </c>
      <c r="D21" t="n">
        <v>15.7336</v>
      </c>
      <c r="E21" t="n">
        <v>2769.2994</v>
      </c>
      <c r="F21" t="n">
        <v>27692994300</v>
      </c>
      <c r="G21" t="n">
        <v>29298025000000</v>
      </c>
      <c r="H21" t="n">
        <v>0.09452199999999999</v>
      </c>
      <c r="I21" s="1" t="inlineStr">
        <is>
          <t>WITS</t>
        </is>
      </c>
    </row>
    <row r="22">
      <c r="A22" t="inlineStr">
        <is>
          <t>South Africa</t>
        </is>
      </c>
      <c r="B22" t="inlineStr">
        <is>
          <t>ZAF</t>
        </is>
      </c>
      <c r="C22" t="n">
        <v>59.9706</v>
      </c>
      <c r="D22" t="n">
        <v>24.807</v>
      </c>
      <c r="E22" t="n">
        <v>84.7777</v>
      </c>
      <c r="F22" t="n">
        <v>847776629</v>
      </c>
      <c r="G22" t="n">
        <v>401076000000</v>
      </c>
      <c r="H22" t="n">
        <v>0.211376</v>
      </c>
      <c r="I22" s="1" t="inlineStr">
        <is>
          <t>WITS</t>
        </is>
      </c>
    </row>
    <row r="23">
      <c r="A23" t="inlineStr">
        <is>
          <t>Brazil</t>
        </is>
      </c>
      <c r="B23" t="inlineStr">
        <is>
          <t>BRA</t>
        </is>
      </c>
      <c r="C23" t="n">
        <v>97.10809999999999</v>
      </c>
      <c r="D23" t="n">
        <v>0</v>
      </c>
      <c r="E23" t="n">
        <v>97.10809999999999</v>
      </c>
      <c r="F23" t="n">
        <v>971081450</v>
      </c>
      <c r="G23" t="n">
        <v>2179413000000</v>
      </c>
      <c r="H23" t="n">
        <v>0.044557</v>
      </c>
      <c r="I23" s="1" t="inlineStr">
        <is>
          <t>UN</t>
        </is>
      </c>
    </row>
    <row r="24">
      <c r="A24" t="inlineStr">
        <is>
          <t>Spain</t>
        </is>
      </c>
      <c r="B24" t="inlineStr">
        <is>
          <t>ESP</t>
        </is>
      </c>
      <c r="C24" t="n">
        <v>486.3488</v>
      </c>
      <c r="D24" t="n">
        <v>0</v>
      </c>
      <c r="E24" t="n">
        <v>486.3488</v>
      </c>
      <c r="F24" t="n">
        <v>4863487921</v>
      </c>
      <c r="G24" t="n">
        <v>1725152000000</v>
      </c>
      <c r="H24" t="n">
        <v>0.281916</v>
      </c>
      <c r="I24" s="1" t="inlineStr">
        <is>
          <t>UN</t>
        </is>
      </c>
    </row>
    <row r="25">
      <c r="A25" t="inlineStr">
        <is>
          <t>United Kingdom</t>
        </is>
      </c>
      <c r="B25" t="inlineStr">
        <is>
          <t>GBR</t>
        </is>
      </c>
      <c r="C25" t="n">
        <v>311.5914</v>
      </c>
      <c r="D25" t="n">
        <v>0</v>
      </c>
      <c r="E25" t="n">
        <v>311.5914</v>
      </c>
      <c r="F25" t="n">
        <v>3115914000</v>
      </c>
      <c r="G25" t="n">
        <v>3644636000000</v>
      </c>
      <c r="H25" t="n">
        <v>0.085493</v>
      </c>
      <c r="I25" s="1" t="inlineStr">
        <is>
          <t>UN</t>
        </is>
      </c>
    </row>
    <row r="26">
      <c r="A26" t="inlineStr">
        <is>
          <t>Indonesia</t>
        </is>
      </c>
      <c r="B26" t="inlineStr">
        <is>
          <t>IDN</t>
        </is>
      </c>
      <c r="C26" t="n">
        <v>128.2284</v>
      </c>
      <c r="D26" t="n">
        <v>0</v>
      </c>
      <c r="E26" t="n">
        <v>128.2284</v>
      </c>
      <c r="F26" t="n">
        <v>1282283700</v>
      </c>
      <c r="G26" t="n">
        <v>1396300000000</v>
      </c>
      <c r="H26" t="n">
        <v>0.091834</v>
      </c>
      <c r="I26" s="1" t="inlineStr">
        <is>
          <t>UN</t>
        </is>
      </c>
    </row>
    <row r="27">
      <c r="A27" t="inlineStr">
        <is>
          <t>Mexico</t>
        </is>
      </c>
      <c r="B27" t="inlineStr">
        <is>
          <t>MEX</t>
        </is>
      </c>
      <c r="C27" t="n">
        <v>1.4458</v>
      </c>
      <c r="D27" t="n">
        <v>0</v>
      </c>
      <c r="E27" t="n">
        <v>1.4458</v>
      </c>
      <c r="F27" t="n">
        <v>14457600</v>
      </c>
      <c r="G27" t="n">
        <v>1856366000000</v>
      </c>
      <c r="H27" t="n">
        <v>0.000779</v>
      </c>
      <c r="I27" s="1" t="inlineStr">
        <is>
          <t>UN</t>
        </is>
      </c>
    </row>
    <row r="28">
      <c r="A28" t="inlineStr">
        <is>
          <t>Philippines</t>
        </is>
      </c>
      <c r="B28" t="inlineStr">
        <is>
          <t>PHL</t>
        </is>
      </c>
      <c r="C28" t="n">
        <v>48.8433</v>
      </c>
      <c r="D28" t="n">
        <v>0</v>
      </c>
      <c r="E28" t="n">
        <v>48.8433</v>
      </c>
      <c r="F28" t="n">
        <v>488433450</v>
      </c>
      <c r="G28" t="n">
        <v>461617000000</v>
      </c>
      <c r="H28" t="n">
        <v>0.105809</v>
      </c>
      <c r="I28" s="1" t="inlineStr">
        <is>
          <t>UN</t>
        </is>
      </c>
    </row>
    <row r="29">
      <c r="A29" t="inlineStr">
        <is>
          <t>Turkey</t>
        </is>
      </c>
      <c r="B29" t="inlineStr">
        <is>
          <t>TUR</t>
        </is>
      </c>
      <c r="C29" t="n">
        <v>226.0853</v>
      </c>
      <c r="D29" t="n">
        <v>0</v>
      </c>
      <c r="E29" t="n">
        <v>226.0853</v>
      </c>
      <c r="F29" t="n">
        <v>2260853058</v>
      </c>
      <c r="G29" t="n">
        <v>1358251000000</v>
      </c>
      <c r="H29" t="n">
        <v>0.166453</v>
      </c>
      <c r="I29" s="1" t="inlineStr">
        <is>
          <t>UN</t>
        </is>
      </c>
    </row>
    <row r="30">
      <c r="A30" t="inlineStr">
        <is>
          <t>Vietnam</t>
        </is>
      </c>
      <c r="B30" t="inlineStr">
        <is>
          <t>VNM</t>
        </is>
      </c>
      <c r="C30" t="n">
        <v>101.2107</v>
      </c>
      <c r="D30" t="n">
        <v>0</v>
      </c>
      <c r="E30" t="n">
        <v>101.2107</v>
      </c>
      <c r="F30" t="n">
        <v>1012107300</v>
      </c>
      <c r="G30" t="n">
        <v>459472000000</v>
      </c>
      <c r="H30" t="n">
        <v>0.220276</v>
      </c>
      <c r="I30" s="1" t="inlineStr">
        <is>
          <t>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46080</v>
      </c>
      <c r="G2" t="n">
        <v>14.32992144727447</v>
      </c>
      <c r="H2" t="n">
        <v>14.53583890290626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46049</v>
      </c>
      <c r="F3" s="2" t="n">
        <v>46080</v>
      </c>
      <c r="G3" t="n">
        <v>9.858188472095165</v>
      </c>
      <c r="H3" t="n">
        <v>8.364187664870549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45988</v>
      </c>
      <c r="F4" s="2" t="n">
        <v>46080</v>
      </c>
      <c r="G4" t="n">
        <v>17.31802638006841</v>
      </c>
      <c r="H4" t="n">
        <v>19.50101608935411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45896</v>
      </c>
      <c r="F5" s="2" t="n">
        <v>46080</v>
      </c>
      <c r="G5" t="n">
        <v>14.12617322086254</v>
      </c>
      <c r="H5" t="n">
        <v>14.23395280374196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45715</v>
      </c>
      <c r="F6" s="2" t="n">
        <v>46080</v>
      </c>
      <c r="G6" t="n">
        <v>20.05999250093737</v>
      </c>
      <c r="H6" t="n">
        <v>27.71994996280334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44984</v>
      </c>
      <c r="F7" s="2" t="n">
        <v>46080</v>
      </c>
      <c r="G7" t="n">
        <v>8.714350384789494</v>
      </c>
      <c r="H7" t="n">
        <v>22.71267736898881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44253</v>
      </c>
      <c r="F8" s="2" t="n">
        <v>46080</v>
      </c>
      <c r="G8" t="n">
        <v>55.96687773989284</v>
      </c>
      <c r="H8" t="n">
        <v>50.21394093930145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42426</v>
      </c>
      <c r="F9" s="2" t="n">
        <v>46080</v>
      </c>
      <c r="G9" t="n">
        <v>171.5860899067006</v>
      </c>
      <c r="H9" t="n">
        <v>162.3489110769649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46080</v>
      </c>
      <c r="G10" t="n">
        <v>227.300241768202</v>
      </c>
      <c r="H10" t="n">
        <v>171.7367855473777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46080</v>
      </c>
      <c r="G11" t="n">
        <v>6.82266164550569</v>
      </c>
      <c r="H11" t="n">
        <v>6.82266164550569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46049</v>
      </c>
      <c r="F12" s="2" t="n">
        <v>46080</v>
      </c>
      <c r="G12" t="n">
        <v>-1.379486737522206</v>
      </c>
      <c r="H12" t="n">
        <v>-1.379486737522206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45987</v>
      </c>
      <c r="F13" s="2" t="n">
        <v>46080</v>
      </c>
      <c r="G13" t="n">
        <v>15.44789683719518</v>
      </c>
      <c r="H13" t="n">
        <v>15.44789683719518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45896</v>
      </c>
      <c r="F14" s="2" t="n">
        <v>46080</v>
      </c>
      <c r="G14" t="n">
        <v>22.93964881515402</v>
      </c>
      <c r="H14" t="n">
        <v>22.93964881515402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45715</v>
      </c>
      <c r="F15" s="2" t="n">
        <v>46080</v>
      </c>
      <c r="G15" t="n">
        <v>59.85631234682993</v>
      </c>
      <c r="H15" t="n">
        <v>59.85631234682993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44984</v>
      </c>
      <c r="F16" s="2" t="n">
        <v>46080</v>
      </c>
      <c r="G16" t="n">
        <v>109.0394293580573</v>
      </c>
      <c r="H16" t="n">
        <v>109.0394293580573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44253</v>
      </c>
      <c r="F17" s="2" t="n">
        <v>46080</v>
      </c>
      <c r="G17" t="n">
        <v>123.7223533805263</v>
      </c>
      <c r="H17" t="n">
        <v>123.7223533805263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42426</v>
      </c>
      <c r="F18" s="2" t="n">
        <v>46080</v>
      </c>
      <c r="G18" t="n">
        <v>276.9784598615001</v>
      </c>
      <c r="H18" t="n">
        <v>276.9784598615001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46080</v>
      </c>
      <c r="G19" t="n">
        <v>687.1827870664051</v>
      </c>
      <c r="H19" t="n">
        <v>687.1827870664051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46080</v>
      </c>
      <c r="G20" t="n">
        <v>9.300412756536435</v>
      </c>
      <c r="H20" t="n">
        <v>9.300412756536435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46049</v>
      </c>
      <c r="F21" s="2" t="n">
        <v>46080</v>
      </c>
      <c r="G21" t="n">
        <v>0.7205105068722739</v>
      </c>
      <c r="H21" t="n">
        <v>0.7205105068722739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45987</v>
      </c>
      <c r="F22" s="2" t="n">
        <v>46080</v>
      </c>
      <c r="G22" t="n">
        <v>10.48467910614379</v>
      </c>
      <c r="H22" t="n">
        <v>10.48467910614379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45896</v>
      </c>
      <c r="F23" s="2" t="n">
        <v>46080</v>
      </c>
      <c r="G23" t="n">
        <v>15.44599508174189</v>
      </c>
      <c r="H23" t="n">
        <v>15.44599508174189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45715</v>
      </c>
      <c r="F24" s="2" t="n">
        <v>46080</v>
      </c>
      <c r="G24" t="n">
        <v>40.10996021003182</v>
      </c>
      <c r="H24" t="n">
        <v>40.10996021003182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44984</v>
      </c>
      <c r="F25" s="2" t="n">
        <v>46080</v>
      </c>
      <c r="G25" t="n">
        <v>52.92014665305238</v>
      </c>
      <c r="H25" t="n">
        <v>52.92014665305238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44253</v>
      </c>
      <c r="F26" s="2" t="n">
        <v>46080</v>
      </c>
      <c r="G26" t="n">
        <v>56.81798576495945</v>
      </c>
      <c r="H26" t="n">
        <v>56.81798576495945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42426</v>
      </c>
      <c r="F27" s="2" t="n">
        <v>46080</v>
      </c>
      <c r="G27" t="n">
        <v>107.1145821194402</v>
      </c>
      <c r="H27" t="n">
        <v>107.1145821194402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46080</v>
      </c>
      <c r="G28" t="n">
        <v>515.2215440592456</v>
      </c>
      <c r="H28" t="n">
        <v>515.2215440592456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46080</v>
      </c>
      <c r="G29" t="n">
        <v>21.84941773319498</v>
      </c>
      <c r="H29" t="n">
        <v>22.06887841113663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46049</v>
      </c>
      <c r="F30" s="2" t="n">
        <v>46080</v>
      </c>
      <c r="G30" t="n">
        <v>5.469061876247516</v>
      </c>
      <c r="H30" t="n">
        <v>4.034750371826878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45988</v>
      </c>
      <c r="F31" s="2" t="n">
        <v>46080</v>
      </c>
      <c r="G31" t="n">
        <v>18.74157303370787</v>
      </c>
      <c r="H31" t="n">
        <v>20.95105132101922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45896</v>
      </c>
      <c r="F32" s="2" t="n">
        <v>46080</v>
      </c>
      <c r="G32" t="n">
        <v>40.92545672756369</v>
      </c>
      <c r="H32" t="n">
        <v>41.05854527784562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45715</v>
      </c>
      <c r="F33" s="2" t="n">
        <v>46080</v>
      </c>
      <c r="G33" t="n">
        <v>55.5261221486387</v>
      </c>
      <c r="H33" t="n">
        <v>65.4488570668359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44984</v>
      </c>
      <c r="F34" s="2" t="n">
        <v>46080</v>
      </c>
      <c r="G34" t="n">
        <v>52.65058500650008</v>
      </c>
      <c r="H34" t="n">
        <v>72.30624955940416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44253</v>
      </c>
      <c r="F35" s="2" t="n">
        <v>46080</v>
      </c>
      <c r="G35" t="n">
        <v>84.72295053312359</v>
      </c>
      <c r="H35" t="n">
        <v>77.9093278240244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42426</v>
      </c>
      <c r="F36" s="2" t="n">
        <v>46080</v>
      </c>
      <c r="G36" t="n">
        <v>241.7299919159257</v>
      </c>
      <c r="H36" t="n">
        <v>230.107080566173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46080</v>
      </c>
      <c r="G37" t="n">
        <v>131.11273610735</v>
      </c>
      <c r="H37" t="n">
        <v>111.8806312634765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46080</v>
      </c>
      <c r="G38" t="n">
        <v>6.872687076464667</v>
      </c>
      <c r="H38" t="n">
        <v>7.065173448542406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46049</v>
      </c>
      <c r="F39" s="2" t="n">
        <v>46080</v>
      </c>
      <c r="G39" t="n">
        <v>5.784691498977201</v>
      </c>
      <c r="H39" t="n">
        <v>4.346087634399343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45988</v>
      </c>
      <c r="F40" s="2" t="n">
        <v>46080</v>
      </c>
      <c r="G40" t="n">
        <v>9.988871027575108</v>
      </c>
      <c r="H40" t="n">
        <v>12.03548382015052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45896</v>
      </c>
      <c r="F41" s="2" t="n">
        <v>46080</v>
      </c>
      <c r="G41" t="n">
        <v>21.22219799389446</v>
      </c>
      <c r="H41" t="n">
        <v>21.33667898950469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45715</v>
      </c>
      <c r="F42" s="2" t="n">
        <v>46080</v>
      </c>
      <c r="G42" t="n">
        <v>33.61172865468966</v>
      </c>
      <c r="H42" t="n">
        <v>42.13630155013868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44984</v>
      </c>
      <c r="F43" s="2" t="n">
        <v>46080</v>
      </c>
      <c r="G43" t="n">
        <v>59.76577935840788</v>
      </c>
      <c r="H43" t="n">
        <v>80.33761382578599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44253</v>
      </c>
      <c r="F44" s="2" t="n">
        <v>46080</v>
      </c>
      <c r="G44" t="n">
        <v>102.9293666727505</v>
      </c>
      <c r="H44" t="n">
        <v>95.44418880441286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42426</v>
      </c>
      <c r="F45" s="2" t="n">
        <v>46080</v>
      </c>
      <c r="G45" t="n">
        <v>229.7545784829836</v>
      </c>
      <c r="H45" t="n">
        <v>218.5389745747796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46080</v>
      </c>
      <c r="G46" t="n">
        <v>118.0491349351082</v>
      </c>
      <c r="H46" t="n">
        <v>80.10284814333922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46080</v>
      </c>
      <c r="G47" t="n">
        <v>4.827428357350039</v>
      </c>
      <c r="H47" t="n">
        <v>5.016231052694531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46049</v>
      </c>
      <c r="F48" s="2" t="n">
        <v>46080</v>
      </c>
      <c r="G48" t="n">
        <v>3.523718876745119</v>
      </c>
      <c r="H48" t="n">
        <v>2.115862787728706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45988</v>
      </c>
      <c r="F49" s="2" t="n">
        <v>46080</v>
      </c>
      <c r="G49" t="n">
        <v>7.923169267707086</v>
      </c>
      <c r="H49" t="n">
        <v>9.93134461103975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45896</v>
      </c>
      <c r="F50" s="2" t="n">
        <v>46080</v>
      </c>
      <c r="G50" t="n">
        <v>14.02840844254605</v>
      </c>
      <c r="H50" t="n">
        <v>14.13609569737548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45715</v>
      </c>
      <c r="F51" s="2" t="n">
        <v>46080</v>
      </c>
      <c r="G51" t="n">
        <v>21.88178277607029</v>
      </c>
      <c r="H51" t="n">
        <v>29.65797242920389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44984</v>
      </c>
      <c r="F52" s="2" t="n">
        <v>46080</v>
      </c>
      <c r="G52" t="n">
        <v>8.850947260571719</v>
      </c>
      <c r="H52" t="n">
        <v>22.86686279426291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44253</v>
      </c>
      <c r="F53" s="2" t="n">
        <v>46080</v>
      </c>
      <c r="G53" t="n">
        <v>-2.589665595602986</v>
      </c>
      <c r="H53" t="n">
        <v>-6.182707308520685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42426</v>
      </c>
      <c r="F54" s="2" t="n">
        <v>46080</v>
      </c>
      <c r="G54" t="n">
        <v>85.85899882409218</v>
      </c>
      <c r="H54" t="n">
        <v>79.53756752456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46080</v>
      </c>
      <c r="G55" t="n">
        <v>-12.03522504892368</v>
      </c>
      <c r="H55" t="n">
        <v>-20.23582155451328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46080</v>
      </c>
      <c r="G56" t="n">
        <v>6.544985250737456</v>
      </c>
      <c r="H56" t="n">
        <v>6.736881405264916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46049</v>
      </c>
      <c r="F57" s="2" t="n">
        <v>46080</v>
      </c>
      <c r="G57" t="n">
        <v>6.407659731172899</v>
      </c>
      <c r="H57" t="n">
        <v>4.960583898736104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45988</v>
      </c>
      <c r="F58" s="2" t="n">
        <v>46080</v>
      </c>
      <c r="G58" t="n">
        <v>6.800961005359452</v>
      </c>
      <c r="H58" t="n">
        <v>8.788254910741177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45896</v>
      </c>
      <c r="F59" s="2" t="n">
        <v>46080</v>
      </c>
      <c r="G59" t="n">
        <v>13.51404439206443</v>
      </c>
      <c r="H59" t="n">
        <v>13.62124588678078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45715</v>
      </c>
      <c r="F60" s="2" t="n">
        <v>46080</v>
      </c>
      <c r="G60" t="n">
        <v>16.93054782740655</v>
      </c>
      <c r="H60" t="n">
        <v>24.39084333211954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44984</v>
      </c>
      <c r="F61" s="2" t="n">
        <v>46080</v>
      </c>
      <c r="G61" t="n">
        <v>27.48028456405447</v>
      </c>
      <c r="H61" t="n">
        <v>43.89495936135783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44253</v>
      </c>
      <c r="F62" s="2" t="n">
        <v>46080</v>
      </c>
      <c r="G62" t="n">
        <v>70.57260920897284</v>
      </c>
      <c r="H62" t="n">
        <v>64.28093077755801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42426</v>
      </c>
      <c r="F63" s="2" t="n">
        <v>46080</v>
      </c>
      <c r="G63" t="n">
        <v>189.7468037102031</v>
      </c>
      <c r="H63" t="n">
        <v>179.8919431680637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46080</v>
      </c>
      <c r="G64" t="n">
        <v>132.0958175895152</v>
      </c>
      <c r="H64" t="n">
        <v>93.14232012679693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46080</v>
      </c>
      <c r="G65" t="n">
        <v>3.004181607016121</v>
      </c>
      <c r="H65" t="n">
        <v>3.267996810511198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46049</v>
      </c>
      <c r="F66" s="2" t="n">
        <v>46080</v>
      </c>
      <c r="G66" t="n">
        <v>1.504484736138489</v>
      </c>
      <c r="H66" t="n">
        <v>0.8767039976123714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45988</v>
      </c>
      <c r="F67" s="2" t="n">
        <v>46080</v>
      </c>
      <c r="G67" t="n">
        <v>6.243011911017216</v>
      </c>
      <c r="H67" t="n">
        <v>8.082613780947367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45896</v>
      </c>
      <c r="F68" s="2" t="n">
        <v>46080</v>
      </c>
      <c r="G68" t="n">
        <v>4.952827768791068</v>
      </c>
      <c r="H68" t="n">
        <v>6.428188545945668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45715</v>
      </c>
      <c r="F69" s="2" t="n">
        <v>46080</v>
      </c>
      <c r="G69" t="n">
        <v>11.52287585794081</v>
      </c>
      <c r="H69" t="n">
        <v>25.49679883548357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44984</v>
      </c>
      <c r="F70" s="2" t="n">
        <v>46080</v>
      </c>
      <c r="G70" t="n">
        <v>61.43099555238562</v>
      </c>
      <c r="H70" t="n">
        <v>80.52284890226402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44253</v>
      </c>
      <c r="F71" s="2" t="n">
        <v>46080</v>
      </c>
      <c r="G71" t="n">
        <v>78.06061257166526</v>
      </c>
      <c r="H71" t="n">
        <v>72.82748886209205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42426</v>
      </c>
      <c r="F72" s="2" t="n">
        <v>46080</v>
      </c>
      <c r="G72" t="n">
        <v>148.8991990179754</v>
      </c>
      <c r="H72" t="n">
        <v>166.4640946708147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46080</v>
      </c>
      <c r="G73" t="n">
        <v>177.5713312964656</v>
      </c>
      <c r="H73" t="n">
        <v>122.1907416801758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46080</v>
      </c>
      <c r="G74" t="n">
        <v>3.612356751370194</v>
      </c>
      <c r="H74" t="n">
        <v>3.798971004263696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46049</v>
      </c>
      <c r="F75" s="2" t="n">
        <v>46080</v>
      </c>
      <c r="G75" t="n">
        <v>2.514173034261757</v>
      </c>
      <c r="H75" t="n">
        <v>1.120046120326212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45988</v>
      </c>
      <c r="F76" s="2" t="n">
        <v>46080</v>
      </c>
      <c r="G76" t="n">
        <v>6.635557150915328</v>
      </c>
      <c r="H76" t="n">
        <v>8.619773311782698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45896</v>
      </c>
      <c r="F77" s="2" t="n">
        <v>46080</v>
      </c>
      <c r="G77" t="n">
        <v>7.008696547110582</v>
      </c>
      <c r="H77" t="n">
        <v>7.10975445830504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45715</v>
      </c>
      <c r="F78" s="2" t="n">
        <v>46080</v>
      </c>
      <c r="G78" t="n">
        <v>19.0735226752176</v>
      </c>
      <c r="H78" t="n">
        <v>26.67054229455148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44984</v>
      </c>
      <c r="F79" s="2" t="n">
        <v>46080</v>
      </c>
      <c r="G79" t="n">
        <v>61.25155086848633</v>
      </c>
      <c r="H79" t="n">
        <v>82.01469692764853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44253</v>
      </c>
      <c r="F80" s="2" t="n">
        <v>46080</v>
      </c>
      <c r="G80" t="n">
        <v>81.40975311872982</v>
      </c>
      <c r="H80" t="n">
        <v>74.71833978901358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42426</v>
      </c>
      <c r="F81" s="2" t="n">
        <v>46080</v>
      </c>
      <c r="G81" t="n">
        <v>122.6230784012097</v>
      </c>
      <c r="H81" t="n">
        <v>115.0512282098958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46080</v>
      </c>
      <c r="G82" t="n">
        <v>317.9353533335342</v>
      </c>
      <c r="H82" t="n">
        <v>283.1567571010084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46080</v>
      </c>
      <c r="G83" t="n">
        <v>7.237136061348148</v>
      </c>
      <c r="H83" t="n">
        <v>7.237136061348148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46049</v>
      </c>
      <c r="F84" s="2" t="n">
        <v>46080</v>
      </c>
      <c r="G84" t="n">
        <v>-6.197741557419167</v>
      </c>
      <c r="H84" t="n">
        <v>-6.197741557419167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45987</v>
      </c>
      <c r="F85" s="2" t="n">
        <v>46080</v>
      </c>
      <c r="G85" t="n">
        <v>9.095764055038181</v>
      </c>
      <c r="H85" t="n">
        <v>9.095764055038181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45896</v>
      </c>
      <c r="F86" s="2" t="n">
        <v>46080</v>
      </c>
      <c r="G86" t="n">
        <v>11.9039387921746</v>
      </c>
      <c r="H86" t="n">
        <v>11.9039387921746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45715</v>
      </c>
      <c r="F87" s="2" t="n">
        <v>46080</v>
      </c>
      <c r="G87" t="n">
        <v>74.29811903889059</v>
      </c>
      <c r="H87" t="n">
        <v>74.29811903889059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44984</v>
      </c>
      <c r="F88" s="2" t="n">
        <v>46080</v>
      </c>
      <c r="G88" t="n">
        <v>142.3709167531</v>
      </c>
      <c r="H88" t="n">
        <v>142.3709167531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44253</v>
      </c>
      <c r="F89" s="2" t="n">
        <v>46080</v>
      </c>
      <c r="G89" t="n">
        <v>232.4524795230915</v>
      </c>
      <c r="H89" t="n">
        <v>232.4524795230915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42426</v>
      </c>
      <c r="F90" s="2" t="n">
        <v>46080</v>
      </c>
      <c r="G90" t="n">
        <v>392.3063065564515</v>
      </c>
      <c r="H90" t="n">
        <v>392.3063065564515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46080</v>
      </c>
      <c r="G91" t="n">
        <v>115.0889930726541</v>
      </c>
      <c r="H91" t="n">
        <v>115.0889930726541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46080</v>
      </c>
      <c r="G92" t="n">
        <v>13.9294074563419</v>
      </c>
      <c r="H92" t="n">
        <v>13.9294074563419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46049</v>
      </c>
      <c r="F93" s="2" t="n">
        <v>46080</v>
      </c>
      <c r="G93" t="n">
        <v>4.039529902094907</v>
      </c>
      <c r="H93" t="n">
        <v>4.039529902094907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45987</v>
      </c>
      <c r="F94" s="2" t="n">
        <v>46080</v>
      </c>
      <c r="G94" t="n">
        <v>12.75860699678355</v>
      </c>
      <c r="H94" t="n">
        <v>12.75860699678355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45896</v>
      </c>
      <c r="F95" s="2" t="n">
        <v>46080</v>
      </c>
      <c r="G95" t="n">
        <v>17.80908171374229</v>
      </c>
      <c r="H95" t="n">
        <v>17.80908171374229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45715</v>
      </c>
      <c r="F96" s="2" t="n">
        <v>46080</v>
      </c>
      <c r="G96" t="n">
        <v>44.63970412531009</v>
      </c>
      <c r="H96" t="n">
        <v>44.63970412531009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44984</v>
      </c>
      <c r="F97" s="2" t="n">
        <v>46080</v>
      </c>
      <c r="G97" t="n">
        <v>35.40446244383222</v>
      </c>
      <c r="H97" t="n">
        <v>35.40446244383222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44253</v>
      </c>
      <c r="F98" s="2" t="n">
        <v>46080</v>
      </c>
      <c r="G98" t="n">
        <v>11.17162060007393</v>
      </c>
      <c r="H98" t="n">
        <v>11.17162060007393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42426</v>
      </c>
      <c r="F99" s="2" t="n">
        <v>46080</v>
      </c>
      <c r="G99" t="n">
        <v>89.00893179156115</v>
      </c>
      <c r="H99" t="n">
        <v>89.00893179156115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46080</v>
      </c>
      <c r="G100" t="n">
        <v>362.7294357781237</v>
      </c>
      <c r="H100" t="n">
        <v>362.7294357781237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46080</v>
      </c>
      <c r="G101" t="n">
        <v>-3.249262824330423</v>
      </c>
      <c r="H101" t="n">
        <v>-3.249262824330423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46049</v>
      </c>
      <c r="F102" s="2" t="n">
        <v>46080</v>
      </c>
      <c r="G102" t="n">
        <v>0.9036591053134924</v>
      </c>
      <c r="H102" t="n">
        <v>0.9036591053134924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45988</v>
      </c>
      <c r="F103" s="2" t="n">
        <v>46080</v>
      </c>
      <c r="G103" t="n">
        <v>-4.911805431882755</v>
      </c>
      <c r="H103" t="n">
        <v>-4.911805431882755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45896</v>
      </c>
      <c r="F104" s="2" t="n">
        <v>46080</v>
      </c>
      <c r="G104" t="n">
        <v>-0.8719134999882527</v>
      </c>
      <c r="H104" t="n">
        <v>-0.8719134999882527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45715</v>
      </c>
      <c r="F105" s="2" t="n">
        <v>46080</v>
      </c>
      <c r="G105" t="n">
        <v>7.698927489282092</v>
      </c>
      <c r="H105" t="n">
        <v>7.698927489282092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44984</v>
      </c>
      <c r="F106" s="2" t="n">
        <v>46080</v>
      </c>
      <c r="G106" t="n">
        <v>36.79719980685332</v>
      </c>
      <c r="H106" t="n">
        <v>36.79719980685332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44253</v>
      </c>
      <c r="F107" s="2" t="n">
        <v>46080</v>
      </c>
      <c r="G107" t="n">
        <v>40.4852867609431</v>
      </c>
      <c r="H107" t="n">
        <v>40.4852867609431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42426</v>
      </c>
      <c r="F108" s="2" t="n">
        <v>46080</v>
      </c>
      <c r="G108" t="n">
        <v>140.499995304988</v>
      </c>
      <c r="H108" t="n">
        <v>140.499995304988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46080</v>
      </c>
      <c r="G109" t="n">
        <v>270.0000011286087</v>
      </c>
      <c r="H109" t="n">
        <v>270.0000011286087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46080</v>
      </c>
      <c r="G110" t="n">
        <v>-7.560406683824173</v>
      </c>
      <c r="H110" t="n">
        <v>-7.121798238321064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46049</v>
      </c>
      <c r="F111" s="2" t="n">
        <v>46080</v>
      </c>
      <c r="G111" t="n">
        <v>-5.367830974038046</v>
      </c>
      <c r="H111" t="n">
        <v>-5.953108098628923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45988</v>
      </c>
      <c r="F112" s="2" t="n">
        <v>46080</v>
      </c>
      <c r="G112" t="n">
        <v>-9.68267665716338</v>
      </c>
      <c r="H112" t="n">
        <v>-8.118828702177661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45896</v>
      </c>
      <c r="F113" s="2" t="n">
        <v>46080</v>
      </c>
      <c r="G113" t="n">
        <v>-8.192095239583519</v>
      </c>
      <c r="H113" t="n">
        <v>-6.901517514372957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45715</v>
      </c>
      <c r="F114" s="2" t="n">
        <v>46080</v>
      </c>
      <c r="G114" t="n">
        <v>-7.751494513326374</v>
      </c>
      <c r="H114" t="n">
        <v>3.80733142751688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44984</v>
      </c>
      <c r="F115" s="2" t="n">
        <v>46080</v>
      </c>
      <c r="G115" t="n">
        <v>-26.20294399800799</v>
      </c>
      <c r="H115" t="n">
        <v>-17.47523612492119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44253</v>
      </c>
      <c r="F116" s="2" t="n">
        <v>46080</v>
      </c>
      <c r="G116" t="n">
        <v>-7.476820535819928</v>
      </c>
      <c r="H116" t="n">
        <v>-10.19603640925866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42426</v>
      </c>
      <c r="F117" s="2" t="n">
        <v>46080</v>
      </c>
      <c r="G117" t="n">
        <v>-1.610378235139809</v>
      </c>
      <c r="H117" t="n">
        <v>5.333008671851758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46080</v>
      </c>
      <c r="G118" t="n">
        <v>2.270570903608382</v>
      </c>
      <c r="H118" t="n">
        <v>-17.05514271016647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46080</v>
      </c>
      <c r="G119" t="n">
        <v>5.521810967959917</v>
      </c>
      <c r="H119" t="n">
        <v>5.521810967959917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46049</v>
      </c>
      <c r="F120" s="2" t="n">
        <v>46080</v>
      </c>
      <c r="G120" t="n">
        <v>1.236095267060811</v>
      </c>
      <c r="H120" t="n">
        <v>1.236095267060811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45987</v>
      </c>
      <c r="F121" s="2" t="n">
        <v>46080</v>
      </c>
      <c r="G121" t="n">
        <v>10.54468689201664</v>
      </c>
      <c r="H121" t="n">
        <v>10.54468689201664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45896</v>
      </c>
      <c r="F122" s="2" t="n">
        <v>46080</v>
      </c>
      <c r="G122" t="n">
        <v>14.08403040861057</v>
      </c>
      <c r="H122" t="n">
        <v>14.08403040861057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45715</v>
      </c>
      <c r="F123" s="2" t="n">
        <v>46080</v>
      </c>
      <c r="G123" t="n">
        <v>45.54175647592675</v>
      </c>
      <c r="H123" t="n">
        <v>45.54175647592675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44984</v>
      </c>
      <c r="F124" s="2" t="n">
        <v>46080</v>
      </c>
      <c r="G124" t="n">
        <v>111.5527525040808</v>
      </c>
      <c r="H124" t="n">
        <v>111.5527525040808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44253</v>
      </c>
      <c r="F125" s="2" t="n">
        <v>46080</v>
      </c>
      <c r="G125" t="n">
        <v>128.5889593507336</v>
      </c>
      <c r="H125" t="n">
        <v>128.5889593507336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42426</v>
      </c>
      <c r="F126" s="2" t="n">
        <v>46080</v>
      </c>
      <c r="G126" t="n">
        <v>254.8566745317935</v>
      </c>
      <c r="H126" t="n">
        <v>254.8566745317935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46080</v>
      </c>
      <c r="G127" t="n">
        <v>621.0598037786906</v>
      </c>
      <c r="H127" t="n">
        <v>621.0598037786906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46080</v>
      </c>
      <c r="G128" t="n">
        <v>14.80609494160825</v>
      </c>
      <c r="H128" t="n">
        <v>14.80609494160825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46049</v>
      </c>
      <c r="F129" s="2" t="n">
        <v>46080</v>
      </c>
      <c r="G129" t="n">
        <v>8.070328837811314</v>
      </c>
      <c r="H129" t="n">
        <v>8.070328837811314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45988</v>
      </c>
      <c r="F130" s="2" t="n">
        <v>46080</v>
      </c>
      <c r="G130" t="n">
        <v>16.15964465136106</v>
      </c>
      <c r="H130" t="n">
        <v>16.15964465136106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45896</v>
      </c>
      <c r="F131" s="2" t="n">
        <v>46080</v>
      </c>
      <c r="G131" t="n">
        <v>22.89629690504757</v>
      </c>
      <c r="H131" t="n">
        <v>22.89629690504757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45715</v>
      </c>
      <c r="F132" s="2" t="n">
        <v>46080</v>
      </c>
      <c r="G132" t="n">
        <v>39.67143260840227</v>
      </c>
      <c r="H132" t="n">
        <v>39.67143260840227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44984</v>
      </c>
      <c r="F133" s="2" t="n">
        <v>46080</v>
      </c>
      <c r="G133" t="n">
        <v>81.99975036029319</v>
      </c>
      <c r="H133" t="n">
        <v>81.99975036029319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44253</v>
      </c>
      <c r="F134" s="2" t="n">
        <v>46080</v>
      </c>
      <c r="G134" t="n">
        <v>54.06596237849362</v>
      </c>
      <c r="H134" t="n">
        <v>54.06596237849362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42426</v>
      </c>
      <c r="F135" s="2" t="n">
        <v>46080</v>
      </c>
      <c r="G135" t="n">
        <v>158.0800033024814</v>
      </c>
      <c r="H135" t="n">
        <v>158.0800033024814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46080</v>
      </c>
      <c r="G136" t="n">
        <v>162.8605707962589</v>
      </c>
      <c r="H136" t="n">
        <v>162.8605707962589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46080</v>
      </c>
      <c r="G137" t="n">
        <v>6.433029284685565</v>
      </c>
      <c r="H137" t="n">
        <v>6.624723797443477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46049</v>
      </c>
      <c r="F138" s="2" t="n">
        <v>46080</v>
      </c>
      <c r="G138" t="n">
        <v>-0.6275212909009231</v>
      </c>
      <c r="H138" t="n">
        <v>-1.978923179755265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45988</v>
      </c>
      <c r="F139" s="2" t="n">
        <v>46080</v>
      </c>
      <c r="G139" t="n">
        <v>10.82229442639342</v>
      </c>
      <c r="H139" t="n">
        <v>12.88441510602794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45896</v>
      </c>
      <c r="F140" s="2" t="n">
        <v>46080</v>
      </c>
      <c r="G140" t="n">
        <v>19.12950026867277</v>
      </c>
      <c r="H140" t="n">
        <v>19.24200494209893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45715</v>
      </c>
      <c r="F141" s="2" t="n">
        <v>46080</v>
      </c>
      <c r="G141" t="n">
        <v>18.90587288817378</v>
      </c>
      <c r="H141" t="n">
        <v>26.49219626964778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44984</v>
      </c>
      <c r="F142" s="2" t="n">
        <v>46080</v>
      </c>
      <c r="G142" t="n">
        <v>32.04288266825493</v>
      </c>
      <c r="H142" t="n">
        <v>49.04504881268979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44253</v>
      </c>
      <c r="F143" s="2" t="n">
        <v>46080</v>
      </c>
      <c r="G143" t="n">
        <v>35.78318787322004</v>
      </c>
      <c r="H143" t="n">
        <v>30.77473922221736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42426</v>
      </c>
      <c r="F144" s="2" t="n">
        <v>46080</v>
      </c>
      <c r="G144" t="n">
        <v>42.66409266409268</v>
      </c>
      <c r="H144" t="n">
        <v>37.81180535816724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46080</v>
      </c>
      <c r="G145" t="n">
        <v>9.134410267886018</v>
      </c>
      <c r="H145" t="n">
        <v>-2.283911919310166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46080</v>
      </c>
      <c r="G146" t="n">
        <v>16.7827868852459</v>
      </c>
      <c r="H146" t="n">
        <v>16.99312215035049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46049</v>
      </c>
      <c r="F147" s="2" t="n">
        <v>46080</v>
      </c>
      <c r="G147" t="n">
        <v>6.324626865671634</v>
      </c>
      <c r="H147" t="n">
        <v>4.878680226878118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45988</v>
      </c>
      <c r="F148" s="2" t="n">
        <v>46080</v>
      </c>
      <c r="G148" t="n">
        <v>20.38445289395858</v>
      </c>
      <c r="H148" t="n">
        <v>22.62450099171749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45896</v>
      </c>
      <c r="F149" s="2" t="n">
        <v>46080</v>
      </c>
      <c r="G149" t="n">
        <v>37.52413127413128</v>
      </c>
      <c r="H149" t="n">
        <v>37.65400764767703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45715</v>
      </c>
      <c r="F150" s="2" t="n">
        <v>46080</v>
      </c>
      <c r="G150" t="n">
        <v>57.44833258486746</v>
      </c>
      <c r="H150" t="n">
        <v>67.49370660929441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44984</v>
      </c>
      <c r="F151" s="2" t="n">
        <v>46080</v>
      </c>
      <c r="G151" t="n">
        <v>41.34424603174605</v>
      </c>
      <c r="H151" t="n">
        <v>59.54407858636641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44253</v>
      </c>
      <c r="F152" s="2" t="n">
        <v>46080</v>
      </c>
      <c r="G152" t="n">
        <v>136.630137480656</v>
      </c>
      <c r="H152" t="n">
        <v>127.9018853942627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42426</v>
      </c>
      <c r="F153" s="2" t="n">
        <v>46080</v>
      </c>
      <c r="G153" t="n">
        <v>123.455152847315</v>
      </c>
      <c r="H153" t="n">
        <v>115.8550021621836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46080</v>
      </c>
      <c r="G154" t="n">
        <v>55.68485625209003</v>
      </c>
      <c r="H154" t="n">
        <v>40.19639223727496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46080</v>
      </c>
      <c r="G155" t="n">
        <v>10.11748304623548</v>
      </c>
      <c r="H155" t="n">
        <v>10.11748304623548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46049</v>
      </c>
      <c r="F156" s="2" t="n">
        <v>46080</v>
      </c>
      <c r="G156" t="n">
        <v>-1.41287521993646</v>
      </c>
      <c r="H156" t="n">
        <v>-1.41287521993646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45987</v>
      </c>
      <c r="F157" s="2" t="n">
        <v>46080</v>
      </c>
      <c r="G157" t="n">
        <v>12.81841070821592</v>
      </c>
      <c r="H157" t="n">
        <v>12.81841070821592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45896</v>
      </c>
      <c r="F158" s="2" t="n">
        <v>46080</v>
      </c>
      <c r="G158" t="n">
        <v>21.66030491336346</v>
      </c>
      <c r="H158" t="n">
        <v>21.66030491336346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45715</v>
      </c>
      <c r="F159" s="2" t="n">
        <v>46080</v>
      </c>
      <c r="G159" t="n">
        <v>40.34137887734182</v>
      </c>
      <c r="H159" t="n">
        <v>40.34137887734182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44984</v>
      </c>
      <c r="F160" s="2" t="n">
        <v>46080</v>
      </c>
      <c r="G160" t="n">
        <v>66.66134839780233</v>
      </c>
      <c r="H160" t="n">
        <v>66.66134839780233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44253</v>
      </c>
      <c r="F161" s="2" t="n">
        <v>46080</v>
      </c>
      <c r="G161" t="n">
        <v>60.5773438138585</v>
      </c>
      <c r="H161" t="n">
        <v>60.5773438138585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42426</v>
      </c>
      <c r="F162" s="2" t="n">
        <v>46080</v>
      </c>
      <c r="G162" t="n">
        <v>244.836215479236</v>
      </c>
      <c r="H162" t="n">
        <v>244.836215479236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46080</v>
      </c>
      <c r="G163" t="n">
        <v>775.0329230769025</v>
      </c>
      <c r="H163" t="n">
        <v>775.0329230769025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46080</v>
      </c>
      <c r="G164" t="n">
        <v>-5.040159433426073</v>
      </c>
      <c r="H164" t="n">
        <v>-5.040159433426073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46049</v>
      </c>
      <c r="F165" s="2" t="n">
        <v>46080</v>
      </c>
      <c r="G165" t="n">
        <v>-10.70312558692727</v>
      </c>
      <c r="H165" t="n">
        <v>-10.70312558692727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45988</v>
      </c>
      <c r="F166" s="2" t="n">
        <v>46080</v>
      </c>
      <c r="G166" t="n">
        <v>-1.153075788583691</v>
      </c>
      <c r="H166" t="n">
        <v>-1.153075788583691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45896</v>
      </c>
      <c r="F167" s="2" t="n">
        <v>46080</v>
      </c>
      <c r="G167" t="n">
        <v>9.238609986996726</v>
      </c>
      <c r="H167" t="n">
        <v>9.238609986996726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45715</v>
      </c>
      <c r="F168" s="2" t="n">
        <v>46080</v>
      </c>
      <c r="G168" t="n">
        <v>33.58005524029566</v>
      </c>
      <c r="H168" t="n">
        <v>33.58005524029566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44984</v>
      </c>
      <c r="F169" s="2" t="n">
        <v>46080</v>
      </c>
      <c r="G169" t="n">
        <v>185.7499803801385</v>
      </c>
      <c r="H169" t="n">
        <v>185.7499803801385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44253</v>
      </c>
      <c r="F170" s="2" t="n">
        <v>46080</v>
      </c>
      <c r="G170" t="n">
        <v>45.29661242542726</v>
      </c>
      <c r="H170" t="n">
        <v>45.29661242542726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42426</v>
      </c>
      <c r="F171" s="2" t="n">
        <v>46080</v>
      </c>
      <c r="G171" t="n">
        <v>3.283131619481927</v>
      </c>
      <c r="H171" t="n">
        <v>3.283131619481927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46080</v>
      </c>
      <c r="G172" t="n">
        <v>49.08695530035092</v>
      </c>
      <c r="H172" t="n">
        <v>49.08695530035092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46080</v>
      </c>
      <c r="G173" t="n">
        <v>11.57428208581626</v>
      </c>
      <c r="H173" t="n">
        <v>11.77523641159746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46049</v>
      </c>
      <c r="F174" s="2" t="n">
        <v>46080</v>
      </c>
      <c r="G174" t="n">
        <v>9.201394430833254</v>
      </c>
      <c r="H174" t="n">
        <v>7.716325600746354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45988</v>
      </c>
      <c r="F175" s="2" t="n">
        <v>46080</v>
      </c>
      <c r="G175" t="n">
        <v>12.17120048164166</v>
      </c>
      <c r="H175" t="n">
        <v>14.25842086784523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45896</v>
      </c>
      <c r="F176" s="2" t="n">
        <v>46080</v>
      </c>
      <c r="G176" t="n">
        <v>5.714288278788082</v>
      </c>
      <c r="H176" t="n">
        <v>5.814123764141943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45715</v>
      </c>
      <c r="F177" s="2" t="n">
        <v>46080</v>
      </c>
      <c r="G177" t="n">
        <v>8.495046453440169</v>
      </c>
      <c r="H177" t="n">
        <v>15.4171478407948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44984</v>
      </c>
      <c r="F178" s="2" t="n">
        <v>46080</v>
      </c>
      <c r="G178" t="n">
        <v>-0.8277457114652553</v>
      </c>
      <c r="H178" t="n">
        <v>11.9419175241374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44253</v>
      </c>
      <c r="F179" s="2" t="n">
        <v>46080</v>
      </c>
      <c r="G179" t="n">
        <v>2.151848553020153</v>
      </c>
      <c r="H179" t="n">
        <v>-1.616086904206704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42426</v>
      </c>
      <c r="F180" s="2" t="n">
        <v>46080</v>
      </c>
      <c r="G180" t="n">
        <v>-2.329192491396481</v>
      </c>
      <c r="H180" t="n">
        <v>-5.651169385395738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46080</v>
      </c>
      <c r="G181" t="n">
        <v>54.35583196534702</v>
      </c>
      <c r="H181" t="n">
        <v>30.08239263467172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46080</v>
      </c>
      <c r="G182" t="n">
        <v>8.504013679430699</v>
      </c>
      <c r="H182" t="n">
        <v>8.504013679430699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46049</v>
      </c>
      <c r="F183" s="2" t="n">
        <v>46080</v>
      </c>
      <c r="G183" t="n">
        <v>-0.1117422022356984</v>
      </c>
      <c r="H183" t="n">
        <v>-0.1117422022356984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45988</v>
      </c>
      <c r="F184" s="2" t="n">
        <v>46080</v>
      </c>
      <c r="G184" t="n">
        <v>17.1512843553977</v>
      </c>
      <c r="H184" t="n">
        <v>17.1512843553977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45896</v>
      </c>
      <c r="F185" s="2" t="n">
        <v>46080</v>
      </c>
      <c r="G185" t="n">
        <v>24.50383199764692</v>
      </c>
      <c r="H185" t="n">
        <v>24.50383199764692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45715</v>
      </c>
      <c r="F186" s="2" t="n">
        <v>46080</v>
      </c>
      <c r="G186" t="n">
        <v>54.27677725352493</v>
      </c>
      <c r="H186" t="n">
        <v>54.27677725352493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44984</v>
      </c>
      <c r="F187" s="2" t="n">
        <v>46080</v>
      </c>
      <c r="G187" t="n">
        <v>164.9881320768918</v>
      </c>
      <c r="H187" t="n">
        <v>164.9881320768918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44253</v>
      </c>
      <c r="F188" s="2" t="n">
        <v>46080</v>
      </c>
      <c r="G188" t="n">
        <v>117.3443983979755</v>
      </c>
      <c r="H188" t="n">
        <v>117.3443983979755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42426</v>
      </c>
      <c r="F189" s="2" t="n">
        <v>46080</v>
      </c>
      <c r="G189" t="n">
        <v>134.4369819935154</v>
      </c>
      <c r="H189" t="n">
        <v>134.4369819935154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46080</v>
      </c>
      <c r="G190" t="n">
        <v>42.63063474311277</v>
      </c>
      <c r="H190" t="n">
        <v>42.63063474311277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46080</v>
      </c>
      <c r="G191" t="n">
        <v>8.616294483532183</v>
      </c>
      <c r="H191" t="n">
        <v>8.811921233879572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46049</v>
      </c>
      <c r="F192" s="2" t="n">
        <v>46080</v>
      </c>
      <c r="G192" t="n">
        <v>2.364020757255414</v>
      </c>
      <c r="H192" t="n">
        <v>0.9719358178524429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45988</v>
      </c>
      <c r="F193" s="2" t="n">
        <v>46080</v>
      </c>
      <c r="G193" t="n">
        <v>15.65689467969598</v>
      </c>
      <c r="H193" t="n">
        <v>17.80897495826952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45896</v>
      </c>
      <c r="F194" s="2" t="n">
        <v>46080</v>
      </c>
      <c r="G194" t="n">
        <v>24.83300128911285</v>
      </c>
      <c r="H194" t="n">
        <v>24.95089229017613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45715</v>
      </c>
      <c r="F195" s="2" t="n">
        <v>46080</v>
      </c>
      <c r="G195" t="n">
        <v>45.027778608776</v>
      </c>
      <c r="H195" t="n">
        <v>54.28070784682728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44984</v>
      </c>
      <c r="F196" s="2" t="n">
        <v>46080</v>
      </c>
      <c r="G196" t="n">
        <v>137.196055564121</v>
      </c>
      <c r="H196" t="n">
        <v>167.7380027256195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44253</v>
      </c>
      <c r="F197" s="2" t="n">
        <v>46080</v>
      </c>
      <c r="G197" t="n">
        <v>125.4677889294595</v>
      </c>
      <c r="H197" t="n">
        <v>117.1512671199799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42426</v>
      </c>
      <c r="F198" s="2" t="n">
        <v>46080</v>
      </c>
      <c r="G198" t="n">
        <v>142.2010004547522</v>
      </c>
      <c r="H198" t="n">
        <v>133.9632665019197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46080</v>
      </c>
      <c r="G199" t="n">
        <v>70.05108556832693</v>
      </c>
      <c r="H199" t="n">
        <v>43.44483397579621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46080</v>
      </c>
      <c r="G200" t="n">
        <v>3.292149533981537</v>
      </c>
      <c r="H200" t="n">
        <v>3.292149533981537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46049</v>
      </c>
      <c r="F201" s="2" t="n">
        <v>46080</v>
      </c>
      <c r="G201" t="n">
        <v>-6.836197197595539</v>
      </c>
      <c r="H201" t="n">
        <v>-6.836197197595539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45988</v>
      </c>
      <c r="F202" s="2" t="n">
        <v>46080</v>
      </c>
      <c r="G202" t="n">
        <v>2.721424317184229</v>
      </c>
      <c r="H202" t="n">
        <v>2.721424317184229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45896</v>
      </c>
      <c r="F203" s="2" t="n">
        <v>46080</v>
      </c>
      <c r="G203" t="n">
        <v>3.249338479359043</v>
      </c>
      <c r="H203" t="n">
        <v>3.249338479359043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45715</v>
      </c>
      <c r="F204" s="2" t="n">
        <v>46080</v>
      </c>
      <c r="G204" t="n">
        <v>-3.231816508079044</v>
      </c>
      <c r="H204" t="n">
        <v>-3.231816508079044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44984</v>
      </c>
      <c r="F205" s="2" t="n">
        <v>46080</v>
      </c>
      <c r="G205" t="n">
        <v>14.5379340511629</v>
      </c>
      <c r="H205" t="n">
        <v>14.5379340511629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44253</v>
      </c>
      <c r="F206" s="2" t="n">
        <v>46080</v>
      </c>
      <c r="G206" t="n">
        <v>29.77704607763414</v>
      </c>
      <c r="H206" t="n">
        <v>29.77704607763414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46080</v>
      </c>
      <c r="G207" t="n">
        <v>23.57143276132427</v>
      </c>
      <c r="H207" t="n">
        <v>23.57143276132427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46080</v>
      </c>
      <c r="G208" t="n">
        <v>4.58015346564411</v>
      </c>
      <c r="H208" t="n">
        <v>4.58015346564411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46049</v>
      </c>
      <c r="F209" s="2" t="n">
        <v>46080</v>
      </c>
      <c r="G209" t="n">
        <v>-0.7931018697804437</v>
      </c>
      <c r="H209" t="n">
        <v>-0.7931018697804437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45987</v>
      </c>
      <c r="F210" s="2" t="n">
        <v>46080</v>
      </c>
      <c r="G210" t="n">
        <v>4.836984092596586</v>
      </c>
      <c r="H210" t="n">
        <v>4.836984092596586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45896</v>
      </c>
      <c r="F211" s="2" t="n">
        <v>46080</v>
      </c>
      <c r="G211" t="n">
        <v>5.701546031726235</v>
      </c>
      <c r="H211" t="n">
        <v>5.701546031726235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45715</v>
      </c>
      <c r="F212" s="2" t="n">
        <v>46080</v>
      </c>
      <c r="G212" t="n">
        <v>29.09850461146601</v>
      </c>
      <c r="H212" t="n">
        <v>29.09850461146601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44984</v>
      </c>
      <c r="F213" s="2" t="n">
        <v>46080</v>
      </c>
      <c r="G213" t="n">
        <v>75.52484301547142</v>
      </c>
      <c r="H213" t="n">
        <v>75.52484301547142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44253</v>
      </c>
      <c r="F214" s="2" t="n">
        <v>46080</v>
      </c>
      <c r="G214" t="n">
        <v>64.84159650535639</v>
      </c>
      <c r="H214" t="n">
        <v>64.84159650535639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42426</v>
      </c>
      <c r="F215" s="2" t="n">
        <v>46080</v>
      </c>
      <c r="G215" t="n">
        <v>129.2442997316931</v>
      </c>
      <c r="H215" t="n">
        <v>129.2442997316931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46080</v>
      </c>
      <c r="G216" t="n">
        <v>218.7173266884261</v>
      </c>
      <c r="H216" t="n">
        <v>218.7173266884261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46080</v>
      </c>
      <c r="G217" t="n">
        <v>18.68240548711761</v>
      </c>
      <c r="H217" t="n">
        <v>18.68240548711761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46049</v>
      </c>
      <c r="F218" s="2" t="n">
        <v>46080</v>
      </c>
      <c r="G218" t="n">
        <v>4.94195834893203</v>
      </c>
      <c r="H218" t="n">
        <v>4.94195834893203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45988</v>
      </c>
      <c r="F219" s="2" t="n">
        <v>46080</v>
      </c>
      <c r="G219" t="n">
        <v>30.75033969715295</v>
      </c>
      <c r="H219" t="n">
        <v>30.75033969715295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45896</v>
      </c>
      <c r="F220" s="2" t="n">
        <v>46080</v>
      </c>
      <c r="G220" t="n">
        <v>51.62957305002615</v>
      </c>
      <c r="H220" t="n">
        <v>51.62957305002615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45715</v>
      </c>
      <c r="F221" s="2" t="n">
        <v>46080</v>
      </c>
      <c r="G221" t="n">
        <v>93.32973820178168</v>
      </c>
      <c r="H221" t="n">
        <v>93.32973820178168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44984</v>
      </c>
      <c r="F222" s="2" t="n">
        <v>46080</v>
      </c>
      <c r="G222" t="n">
        <v>139.3207844800816</v>
      </c>
      <c r="H222" t="n">
        <v>139.3207844800816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44253</v>
      </c>
      <c r="F223" s="2" t="n">
        <v>46080</v>
      </c>
      <c r="G223" t="n">
        <v>115.3707782873947</v>
      </c>
      <c r="H223" t="n">
        <v>115.3707782873947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42426</v>
      </c>
      <c r="F224" s="2" t="n">
        <v>46080</v>
      </c>
      <c r="G224" t="n">
        <v>204.2217569725892</v>
      </c>
      <c r="H224" t="n">
        <v>204.2217569725892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46080</v>
      </c>
      <c r="G225" t="n">
        <v>195.0738729574302</v>
      </c>
      <c r="H225" t="n">
        <v>195.0738729574302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46080</v>
      </c>
      <c r="G226" t="n">
        <v>19.07142063756526</v>
      </c>
      <c r="H226" t="n">
        <v>19.28587791756486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46049</v>
      </c>
      <c r="F227" s="2" t="n">
        <v>46080</v>
      </c>
      <c r="G227" t="n">
        <v>7.652138983731671</v>
      </c>
      <c r="H227" t="n">
        <v>6.188139032722062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45988</v>
      </c>
      <c r="F228" s="2" t="n">
        <v>46080</v>
      </c>
      <c r="G228" t="n">
        <v>29.34362934362935</v>
      </c>
      <c r="H228" t="n">
        <v>31.75038489971138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45896</v>
      </c>
      <c r="F229" s="2" t="n">
        <v>46080</v>
      </c>
      <c r="G229" t="n">
        <v>52.31599886331346</v>
      </c>
      <c r="H229" t="n">
        <v>52.45984452430466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45715</v>
      </c>
      <c r="F230" s="2" t="n">
        <v>46080</v>
      </c>
      <c r="G230" t="n">
        <v>82.68575323790049</v>
      </c>
      <c r="H230" t="n">
        <v>94.34130201432021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44984</v>
      </c>
      <c r="F231" s="2" t="n">
        <v>46080</v>
      </c>
      <c r="G231" t="n">
        <v>114.5931338204384</v>
      </c>
      <c r="H231" t="n">
        <v>142.2246732184131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44253</v>
      </c>
      <c r="F232" s="2" t="n">
        <v>46080</v>
      </c>
      <c r="G232" t="n">
        <v>122.3143923683119</v>
      </c>
      <c r="H232" t="n">
        <v>114.1141855828064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42426</v>
      </c>
      <c r="F233" s="2" t="n">
        <v>46080</v>
      </c>
      <c r="G233" t="n">
        <v>214.5078480269914</v>
      </c>
      <c r="H233" t="n">
        <v>203.8108155074736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46080</v>
      </c>
      <c r="G234" t="n">
        <v>256.5038699834938</v>
      </c>
      <c r="H234" t="n">
        <v>195.9827195395813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46080</v>
      </c>
      <c r="G235" t="n">
        <v>55.06137308550554</v>
      </c>
      <c r="H235" t="n">
        <v>55.06137308550554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46049</v>
      </c>
      <c r="F236" s="2" t="n">
        <v>46080</v>
      </c>
      <c r="G236" t="n">
        <v>24.06969832572421</v>
      </c>
      <c r="H236" t="n">
        <v>24.06969832572421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45988</v>
      </c>
      <c r="F237" s="2" t="n">
        <v>46080</v>
      </c>
      <c r="G237" t="n">
        <v>70.59898725015863</v>
      </c>
      <c r="H237" t="n">
        <v>70.59898725015863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45896</v>
      </c>
      <c r="F238" s="2" t="n">
        <v>46080</v>
      </c>
      <c r="G238" t="n">
        <v>118.483466179816</v>
      </c>
      <c r="H238" t="n">
        <v>118.483466179816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45715</v>
      </c>
      <c r="F239" s="2" t="n">
        <v>46080</v>
      </c>
      <c r="G239" t="n">
        <v>179.5913563286373</v>
      </c>
      <c r="H239" t="n">
        <v>179.5913563286373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44984</v>
      </c>
      <c r="F240" s="2" t="n">
        <v>46080</v>
      </c>
      <c r="G240" t="n">
        <v>177.2479940771426</v>
      </c>
      <c r="H240" t="n">
        <v>177.2479940771426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44253</v>
      </c>
      <c r="F241" s="2" t="n">
        <v>46080</v>
      </c>
      <c r="G241" t="n">
        <v>85.83150932988899</v>
      </c>
      <c r="H241" t="n">
        <v>85.83150932988899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42426</v>
      </c>
      <c r="F242" s="2" t="n">
        <v>46080</v>
      </c>
      <c r="G242" t="n">
        <v>306.935635801596</v>
      </c>
      <c r="H242" t="n">
        <v>306.935635801596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46080</v>
      </c>
      <c r="G243" t="n">
        <v>290.0650120773956</v>
      </c>
      <c r="H243" t="n">
        <v>290.0650120773956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46080</v>
      </c>
      <c r="G244" t="n">
        <v>6.599635393053638</v>
      </c>
      <c r="H244" t="n">
        <v>6.872659303976159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46049</v>
      </c>
      <c r="F245" s="2" t="n">
        <v>46080</v>
      </c>
      <c r="G245" t="n">
        <v>2.857651765436442</v>
      </c>
      <c r="H245" t="n">
        <v>2.221502015440446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45988</v>
      </c>
      <c r="F246" s="2" t="n">
        <v>46080</v>
      </c>
      <c r="G246" t="n">
        <v>12.98198156113879</v>
      </c>
      <c r="H246" t="n">
        <v>14.93826895180839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45896</v>
      </c>
      <c r="F247" s="2" t="n">
        <v>46080</v>
      </c>
      <c r="G247" t="n">
        <v>25.03485251840785</v>
      </c>
      <c r="H247" t="n">
        <v>26.79251375636282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45715</v>
      </c>
      <c r="F248" s="2" t="n">
        <v>46080</v>
      </c>
      <c r="G248" t="n">
        <v>45.08585062389145</v>
      </c>
      <c r="H248" t="n">
        <v>63.26524643082963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44984</v>
      </c>
      <c r="F249" s="2" t="n">
        <v>46080</v>
      </c>
      <c r="G249" t="n">
        <v>117.0886077747108</v>
      </c>
      <c r="H249" t="n">
        <v>142.7628833336389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44253</v>
      </c>
      <c r="F250" s="2" t="n">
        <v>46080</v>
      </c>
      <c r="G250" t="n">
        <v>164.9852469763041</v>
      </c>
      <c r="H250" t="n">
        <v>157.1974461897562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42426</v>
      </c>
      <c r="F251" s="2" t="n">
        <v>46080</v>
      </c>
      <c r="G251" t="n">
        <v>220.7211938529765</v>
      </c>
      <c r="H251" t="n">
        <v>243.3545905288523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46080</v>
      </c>
      <c r="G252" t="n">
        <v>206.3449423058616</v>
      </c>
      <c r="H252" t="n">
        <v>144.6413411920515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46080</v>
      </c>
      <c r="G253" t="n">
        <v>11.15174025901973</v>
      </c>
      <c r="H253" t="n">
        <v>11.15174025901973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46049</v>
      </c>
      <c r="F254" s="2" t="n">
        <v>46080</v>
      </c>
      <c r="G254" t="n">
        <v>2.013426255301387</v>
      </c>
      <c r="H254" t="n">
        <v>2.013426255301387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45987</v>
      </c>
      <c r="F255" s="2" t="n">
        <v>46080</v>
      </c>
      <c r="G255" t="n">
        <v>16.79939250884126</v>
      </c>
      <c r="H255" t="n">
        <v>16.79939250884126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45896</v>
      </c>
      <c r="F256" s="2" t="n">
        <v>46080</v>
      </c>
      <c r="G256" t="n">
        <v>19.23795213747312</v>
      </c>
      <c r="H256" t="n">
        <v>19.23795213747312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45715</v>
      </c>
      <c r="F257" s="2" t="n">
        <v>46080</v>
      </c>
      <c r="G257" t="n">
        <v>31.54368029075016</v>
      </c>
      <c r="H257" t="n">
        <v>31.54368029075016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44984</v>
      </c>
      <c r="F258" s="2" t="n">
        <v>46080</v>
      </c>
      <c r="G258" t="n">
        <v>65.23285365247091</v>
      </c>
      <c r="H258" t="n">
        <v>65.23285365247091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44253</v>
      </c>
      <c r="F259" s="2" t="n">
        <v>46080</v>
      </c>
      <c r="G259" t="n">
        <v>53.13011307027664</v>
      </c>
      <c r="H259" t="n">
        <v>53.13011307027664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42426</v>
      </c>
      <c r="F260" s="2" t="n">
        <v>46080</v>
      </c>
      <c r="G260" t="n">
        <v>177.331959870685</v>
      </c>
      <c r="H260" t="n">
        <v>177.331959870685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46080</v>
      </c>
      <c r="G261" t="n">
        <v>1141.97249928056</v>
      </c>
      <c r="H261" t="n">
        <v>1141.97249928056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46080</v>
      </c>
      <c r="G262" t="n">
        <v>8.231087471587117</v>
      </c>
      <c r="H262" t="n">
        <v>8.744623580174871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46049</v>
      </c>
      <c r="F263" s="2" t="n">
        <v>46080</v>
      </c>
      <c r="G263" t="n">
        <v>6.413194228034902</v>
      </c>
      <c r="H263" t="n">
        <v>5.755054306089025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45988</v>
      </c>
      <c r="F264" s="2" t="n">
        <v>46080</v>
      </c>
      <c r="G264" t="n">
        <v>11.7364097395882</v>
      </c>
      <c r="H264" t="n">
        <v>13.67113000588096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45896</v>
      </c>
      <c r="F265" s="2" t="n">
        <v>46080</v>
      </c>
      <c r="G265" t="n">
        <v>16.89030505741722</v>
      </c>
      <c r="H265" t="n">
        <v>18.5334753747646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45715</v>
      </c>
      <c r="F266" s="2" t="n">
        <v>46080</v>
      </c>
      <c r="G266" t="n">
        <v>13.79816754067344</v>
      </c>
      <c r="H266" t="n">
        <v>28.05718674158162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44984</v>
      </c>
      <c r="F267" s="2" t="n">
        <v>46080</v>
      </c>
      <c r="G267" t="n">
        <v>41.56002564440578</v>
      </c>
      <c r="H267" t="n">
        <v>58.30181206875444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44253</v>
      </c>
      <c r="F268" s="2" t="n">
        <v>46080</v>
      </c>
      <c r="G268" t="n">
        <v>70.20911947286721</v>
      </c>
      <c r="H268" t="n">
        <v>65.20674771959392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42426</v>
      </c>
      <c r="F269" s="2" t="n">
        <v>46080</v>
      </c>
      <c r="G269" t="n">
        <v>-93.75896118600957</v>
      </c>
      <c r="H269" t="n">
        <v>-93.31852909154892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46080</v>
      </c>
      <c r="G270" t="n">
        <v>-87.50627462319434</v>
      </c>
      <c r="H270" t="n">
        <v>-89.70894120469276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46080</v>
      </c>
      <c r="G271" t="n">
        <v>8.888693143871485</v>
      </c>
      <c r="H271" t="n">
        <v>9.084810506285645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46049</v>
      </c>
      <c r="F272" s="2" t="n">
        <v>46080</v>
      </c>
      <c r="G272" t="n">
        <v>7.426272935600409</v>
      </c>
      <c r="H272" t="n">
        <v>5.965344617783774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45988</v>
      </c>
      <c r="F273" s="2" t="n">
        <v>46080</v>
      </c>
      <c r="G273" t="n">
        <v>12.07986275894104</v>
      </c>
      <c r="H273" t="n">
        <v>14.16538358272545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45896</v>
      </c>
      <c r="F274" s="2" t="n">
        <v>46080</v>
      </c>
      <c r="G274" t="n">
        <v>19.18581911101715</v>
      </c>
      <c r="H274" t="n">
        <v>19.29837697137815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45715</v>
      </c>
      <c r="F275" s="2" t="n">
        <v>46080</v>
      </c>
      <c r="G275" t="n">
        <v>21.20432148486437</v>
      </c>
      <c r="H275" t="n">
        <v>28.93728837440621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44984</v>
      </c>
      <c r="F276" s="2" t="n">
        <v>46080</v>
      </c>
      <c r="G276" t="n">
        <v>41.03140868085566</v>
      </c>
      <c r="H276" t="n">
        <v>59.19095952919591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44253</v>
      </c>
      <c r="F277" s="2" t="n">
        <v>46080</v>
      </c>
      <c r="G277" t="n">
        <v>-95.69387737921137</v>
      </c>
      <c r="H277" t="n">
        <v>-95.85271143200499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42426</v>
      </c>
      <c r="F278" s="2" t="n">
        <v>46080</v>
      </c>
      <c r="G278" t="n">
        <v>100.9009247313638</v>
      </c>
      <c r="H278" t="n">
        <v>94.06788784998155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46080</v>
      </c>
      <c r="G279" t="n">
        <v>-93.09874218221324</v>
      </c>
      <c r="H279" t="n">
        <v>-93.72163471580163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Switzerland</t>
        </is>
      </c>
      <c r="B280" t="inlineStr">
        <is>
          <t>CHE</t>
        </is>
      </c>
      <c r="C280" t="inlineStr">
        <is>
          <t>EWL</t>
        </is>
      </c>
      <c r="D280" t="inlineStr">
        <is>
          <t>YTD</t>
        </is>
      </c>
      <c r="E280" s="2" t="n">
        <v>46022</v>
      </c>
      <c r="F280" s="2" t="n">
        <v>46080</v>
      </c>
      <c r="G280" t="n">
        <v>8.539030728417597</v>
      </c>
      <c r="H280" t="n">
        <v>8.539030728417597</v>
      </c>
      <c r="I280" t="inlineStr">
        <is>
          <t>Switzerland|EWL|YTD</t>
        </is>
      </c>
      <c r="J280" t="inlineStr">
        <is>
          <t>USD</t>
        </is>
      </c>
    </row>
    <row r="281">
      <c r="A281" t="inlineStr">
        <is>
          <t>Switzerland</t>
        </is>
      </c>
      <c r="B281" t="inlineStr">
        <is>
          <t>CHE</t>
        </is>
      </c>
      <c r="C281" t="inlineStr">
        <is>
          <t>EWL</t>
        </is>
      </c>
      <c r="D281" t="inlineStr">
        <is>
          <t>1 Month</t>
        </is>
      </c>
      <c r="E281" s="2" t="n">
        <v>46049</v>
      </c>
      <c r="F281" s="2" t="n">
        <v>46080</v>
      </c>
      <c r="G281" t="n">
        <v>4.011510545744978</v>
      </c>
      <c r="H281" t="n">
        <v>4.011510545744978</v>
      </c>
      <c r="I281" t="inlineStr">
        <is>
          <t>Switzerland|EWL|1 Month</t>
        </is>
      </c>
      <c r="J281" t="inlineStr">
        <is>
          <t>USD</t>
        </is>
      </c>
    </row>
    <row r="282">
      <c r="A282" t="inlineStr">
        <is>
          <t>Switzerland</t>
        </is>
      </c>
      <c r="B282" t="inlineStr">
        <is>
          <t>CHE</t>
        </is>
      </c>
      <c r="C282" t="inlineStr">
        <is>
          <t>EWL</t>
        </is>
      </c>
      <c r="D282" t="inlineStr">
        <is>
          <t>3 Months</t>
        </is>
      </c>
      <c r="E282" s="2" t="n">
        <v>45987</v>
      </c>
      <c r="F282" s="2" t="n">
        <v>46080</v>
      </c>
      <c r="G282" t="n">
        <v>13.08427922470767</v>
      </c>
      <c r="H282" t="n">
        <v>13.08427922470767</v>
      </c>
      <c r="I282" t="inlineStr">
        <is>
          <t>Switzerland|EWL|3 Months</t>
        </is>
      </c>
      <c r="J282" t="inlineStr">
        <is>
          <t>USD</t>
        </is>
      </c>
    </row>
    <row r="283">
      <c r="A283" t="inlineStr">
        <is>
          <t>Switzerland</t>
        </is>
      </c>
      <c r="B283" t="inlineStr">
        <is>
          <t>CHE</t>
        </is>
      </c>
      <c r="C283" t="inlineStr">
        <is>
          <t>EWL</t>
        </is>
      </c>
      <c r="D283" t="inlineStr">
        <is>
          <t>6 Months</t>
        </is>
      </c>
      <c r="E283" s="2" t="n">
        <v>45896</v>
      </c>
      <c r="F283" s="2" t="n">
        <v>46080</v>
      </c>
      <c r="G283" t="n">
        <v>17.81317859087546</v>
      </c>
      <c r="H283" t="n">
        <v>17.81317859087546</v>
      </c>
      <c r="I283" t="inlineStr">
        <is>
          <t>Switzerland|EWL|6 Months</t>
        </is>
      </c>
      <c r="J283" t="inlineStr">
        <is>
          <t>USD</t>
        </is>
      </c>
    </row>
    <row r="284">
      <c r="A284" t="inlineStr">
        <is>
          <t>Switzerland</t>
        </is>
      </c>
      <c r="B284" t="inlineStr">
        <is>
          <t>CHE</t>
        </is>
      </c>
      <c r="C284" t="inlineStr">
        <is>
          <t>EWL</t>
        </is>
      </c>
      <c r="D284" t="inlineStr">
        <is>
          <t>1 Year</t>
        </is>
      </c>
      <c r="E284" s="2" t="n">
        <v>45715</v>
      </c>
      <c r="F284" s="2" t="n">
        <v>46080</v>
      </c>
      <c r="G284" t="n">
        <v>29.18064266497657</v>
      </c>
      <c r="H284" t="n">
        <v>29.18064266497657</v>
      </c>
      <c r="I284" t="inlineStr">
        <is>
          <t>Switzerland|EWL|1 Year</t>
        </is>
      </c>
      <c r="J284" t="inlineStr">
        <is>
          <t>USD</t>
        </is>
      </c>
    </row>
    <row r="285">
      <c r="A285" t="inlineStr">
        <is>
          <t>Switzerland</t>
        </is>
      </c>
      <c r="B285" t="inlineStr">
        <is>
          <t>CHE</t>
        </is>
      </c>
      <c r="C285" t="inlineStr">
        <is>
          <t>EWL</t>
        </is>
      </c>
      <c r="D285" t="inlineStr">
        <is>
          <t>3 Years</t>
        </is>
      </c>
      <c r="E285" s="2" t="n">
        <v>44984</v>
      </c>
      <c r="F285" s="2" t="n">
        <v>46080</v>
      </c>
      <c r="G285" t="n">
        <v>56.91737853741319</v>
      </c>
      <c r="H285" t="n">
        <v>56.91737853741319</v>
      </c>
      <c r="I285" t="inlineStr">
        <is>
          <t>Switzerland|EWL|3 Years</t>
        </is>
      </c>
      <c r="J285" t="inlineStr">
        <is>
          <t>USD</t>
        </is>
      </c>
    </row>
    <row r="286">
      <c r="A286" t="inlineStr">
        <is>
          <t>Switzerland</t>
        </is>
      </c>
      <c r="B286" t="inlineStr">
        <is>
          <t>CHE</t>
        </is>
      </c>
      <c r="C286" t="inlineStr">
        <is>
          <t>EWL</t>
        </is>
      </c>
      <c r="D286" t="inlineStr">
        <is>
          <t>5 Years</t>
        </is>
      </c>
      <c r="E286" s="2" t="n">
        <v>44253</v>
      </c>
      <c r="F286" s="2" t="n">
        <v>46080</v>
      </c>
      <c r="G286" t="n">
        <v>66.25735279786385</v>
      </c>
      <c r="H286" t="n">
        <v>66.25735279786385</v>
      </c>
      <c r="I286" t="inlineStr">
        <is>
          <t>Switzerland|EWL|5 Years</t>
        </is>
      </c>
      <c r="J286" t="inlineStr">
        <is>
          <t>USD</t>
        </is>
      </c>
    </row>
    <row r="287">
      <c r="A287" t="inlineStr">
        <is>
          <t>Switzerland</t>
        </is>
      </c>
      <c r="B287" t="inlineStr">
        <is>
          <t>CHE</t>
        </is>
      </c>
      <c r="C287" t="inlineStr">
        <is>
          <t>EWL</t>
        </is>
      </c>
      <c r="D287" t="inlineStr">
        <is>
          <t>10 Years</t>
        </is>
      </c>
      <c r="E287" s="2" t="n">
        <v>42426</v>
      </c>
      <c r="F287" s="2" t="n">
        <v>46080</v>
      </c>
      <c r="G287" t="n">
        <v>181.0062727746951</v>
      </c>
      <c r="H287" t="n">
        <v>181.0062727746951</v>
      </c>
      <c r="I287" t="inlineStr">
        <is>
          <t>Switzerland|EWL|10 Years</t>
        </is>
      </c>
      <c r="J287" t="inlineStr">
        <is>
          <t>USD</t>
        </is>
      </c>
    </row>
    <row r="288">
      <c r="A288" t="inlineStr">
        <is>
          <t>Switzerland</t>
        </is>
      </c>
      <c r="B288" t="inlineStr">
        <is>
          <t>CHE</t>
        </is>
      </c>
      <c r="C288" t="inlineStr">
        <is>
          <t>EWL</t>
        </is>
      </c>
      <c r="D288" t="inlineStr">
        <is>
          <t>MAX</t>
        </is>
      </c>
      <c r="E288" s="2" t="n">
        <v>35143</v>
      </c>
      <c r="F288" s="2" t="n">
        <v>46080</v>
      </c>
      <c r="G288" t="n">
        <v>880.9203351939648</v>
      </c>
      <c r="H288" t="n">
        <v>880.9203351939648</v>
      </c>
      <c r="I288" t="inlineStr">
        <is>
          <t>Switzerland|EWL|MAX</t>
        </is>
      </c>
      <c r="J288" t="inlineStr">
        <is>
          <t>USD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inlineStr">
        <is>
          <t>YTD</t>
        </is>
      </c>
      <c r="E289" s="2" t="n">
        <v>46022</v>
      </c>
      <c r="F289" s="2" t="n">
        <v>46080</v>
      </c>
      <c r="G289" t="n">
        <v>19.80411070713066</v>
      </c>
      <c r="H289" t="n">
        <v>20.01988762133436</v>
      </c>
      <c r="I289" t="inlineStr">
        <is>
          <t>Taiwan|XMTW.L|YTD</t>
        </is>
      </c>
      <c r="J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inlineStr">
        <is>
          <t>1 Month</t>
        </is>
      </c>
      <c r="E290" s="2" t="n">
        <v>46049</v>
      </c>
      <c r="F290" s="2" t="n">
        <v>46080</v>
      </c>
      <c r="G290" t="n">
        <v>9.442147359859021</v>
      </c>
      <c r="H290" t="n">
        <v>7.95380444456002</v>
      </c>
      <c r="I290" t="inlineStr">
        <is>
          <t>Taiwan|XMTW.L|1 Month</t>
        </is>
      </c>
      <c r="J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inlineStr">
        <is>
          <t>3 Months</t>
        </is>
      </c>
      <c r="E291" s="2" t="n">
        <v>45988</v>
      </c>
      <c r="F291" s="2" t="n">
        <v>46080</v>
      </c>
      <c r="G291" t="n">
        <v>24.10453497309764</v>
      </c>
      <c r="H291" t="n">
        <v>26.4138043248022</v>
      </c>
      <c r="I291" t="inlineStr">
        <is>
          <t>Taiwan|XMTW.L|3 Months</t>
        </is>
      </c>
      <c r="J291" t="inlineStr">
        <is>
          <t>GBp</t>
        </is>
      </c>
    </row>
    <row r="292">
      <c r="A292" t="inlineStr">
        <is>
          <t>Taiwan</t>
        </is>
      </c>
      <c r="B292" t="inlineStr">
        <is>
          <t>TWN</t>
        </is>
      </c>
      <c r="C292" t="inlineStr">
        <is>
          <t>XMTW.L</t>
        </is>
      </c>
      <c r="D292" t="inlineStr">
        <is>
          <t>6 Months</t>
        </is>
      </c>
      <c r="E292" s="2" t="n">
        <v>45896</v>
      </c>
      <c r="F292" s="2" t="n">
        <v>46080</v>
      </c>
      <c r="G292" t="n">
        <v>37.54152823920267</v>
      </c>
      <c r="H292" t="n">
        <v>37.67142104226311</v>
      </c>
      <c r="I292" t="inlineStr">
        <is>
          <t>Taiwan|XMTW.L|6 Months</t>
        </is>
      </c>
      <c r="J292" t="inlineStr">
        <is>
          <t>GBp</t>
        </is>
      </c>
    </row>
    <row r="293">
      <c r="A293" t="inlineStr">
        <is>
          <t>Taiwan</t>
        </is>
      </c>
      <c r="B293" t="inlineStr">
        <is>
          <t>TWN</t>
        </is>
      </c>
      <c r="C293" t="inlineStr">
        <is>
          <t>XMTW.L</t>
        </is>
      </c>
      <c r="D293" t="inlineStr">
        <is>
          <t>1 Year</t>
        </is>
      </c>
      <c r="E293" s="2" t="n">
        <v>45715</v>
      </c>
      <c r="F293" s="2" t="n">
        <v>46080</v>
      </c>
      <c r="G293" t="n">
        <v>51.44920739142671</v>
      </c>
      <c r="H293" t="n">
        <v>61.11183073569011</v>
      </c>
      <c r="I293" t="inlineStr">
        <is>
          <t>Taiwan|XMTW.L|1 Year</t>
        </is>
      </c>
      <c r="J293" t="inlineStr">
        <is>
          <t>GBp</t>
        </is>
      </c>
    </row>
    <row r="294">
      <c r="A294" t="inlineStr">
        <is>
          <t>Taiwan</t>
        </is>
      </c>
      <c r="B294" t="inlineStr">
        <is>
          <t>TWN</t>
        </is>
      </c>
      <c r="C294" t="inlineStr">
        <is>
          <t>XMTW.L</t>
        </is>
      </c>
      <c r="D294" t="inlineStr">
        <is>
          <t>3 Years</t>
        </is>
      </c>
      <c r="E294" s="2" t="n">
        <v>44984</v>
      </c>
      <c r="F294" s="2" t="n">
        <v>46080</v>
      </c>
      <c r="G294" t="n">
        <v>107.132777421424</v>
      </c>
      <c r="H294" t="n">
        <v>133.803702991303</v>
      </c>
      <c r="I294" t="inlineStr">
        <is>
          <t>Taiwan|XMTW.L|3 Years</t>
        </is>
      </c>
      <c r="J294" t="inlineStr">
        <is>
          <t>GBp</t>
        </is>
      </c>
    </row>
    <row r="295">
      <c r="A295" t="inlineStr">
        <is>
          <t>Taiwan</t>
        </is>
      </c>
      <c r="B295" t="inlineStr">
        <is>
          <t>TWN</t>
        </is>
      </c>
      <c r="C295" t="inlineStr">
        <is>
          <t>XMTW.L</t>
        </is>
      </c>
      <c r="D295" t="inlineStr">
        <is>
          <t>5 Years</t>
        </is>
      </c>
      <c r="E295" s="2" t="n">
        <v>44253</v>
      </c>
      <c r="F295" s="2" t="n">
        <v>46080</v>
      </c>
      <c r="G295" t="n">
        <v>114.5077720207254</v>
      </c>
      <c r="H295" t="n">
        <v>106.5955173577261</v>
      </c>
      <c r="I295" t="inlineStr">
        <is>
          <t>Taiwan|XMTW.L|5 Years</t>
        </is>
      </c>
      <c r="J295" t="inlineStr">
        <is>
          <t>GBp</t>
        </is>
      </c>
    </row>
    <row r="296">
      <c r="A296" t="inlineStr">
        <is>
          <t>Taiwan</t>
        </is>
      </c>
      <c r="B296" t="inlineStr">
        <is>
          <t>TWN</t>
        </is>
      </c>
      <c r="C296" t="inlineStr">
        <is>
          <t>XMTW.L</t>
        </is>
      </c>
      <c r="D296" t="inlineStr">
        <is>
          <t>10 Years</t>
        </is>
      </c>
      <c r="E296" s="2" t="n">
        <v>42426</v>
      </c>
      <c r="F296" s="2" t="n">
        <v>46080</v>
      </c>
      <c r="G296" t="n">
        <v>492.7312775330397</v>
      </c>
      <c r="H296" t="n">
        <v>472.5713171667658</v>
      </c>
      <c r="I296" t="inlineStr">
        <is>
          <t>Taiwan|XMTW.L|10 Years</t>
        </is>
      </c>
      <c r="J296" t="inlineStr">
        <is>
          <t>GBp</t>
        </is>
      </c>
    </row>
    <row r="297">
      <c r="A297" t="inlineStr">
        <is>
          <t>Taiwan</t>
        </is>
      </c>
      <c r="B297" t="inlineStr">
        <is>
          <t>TWN</t>
        </is>
      </c>
      <c r="C297" t="inlineStr">
        <is>
          <t>XMTW.L</t>
        </is>
      </c>
      <c r="D297" t="inlineStr">
        <is>
          <t>MAX</t>
        </is>
      </c>
      <c r="E297" s="2" t="n">
        <v>39818</v>
      </c>
      <c r="F297" s="2" t="n">
        <v>46080</v>
      </c>
      <c r="G297" t="n">
        <v>1120.408163265306</v>
      </c>
      <c r="H297" t="n">
        <v>1018.851588999597</v>
      </c>
      <c r="I297" t="inlineStr">
        <is>
          <t>Taiwan|XMTW.L|MAX</t>
        </is>
      </c>
      <c r="J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inlineStr">
        <is>
          <t>YTD</t>
        </is>
      </c>
      <c r="E298" s="2" t="n">
        <v>46022</v>
      </c>
      <c r="F298" s="2" t="n">
        <v>46080</v>
      </c>
      <c r="G298" t="n">
        <v>28.13225058004638</v>
      </c>
      <c r="H298" t="n">
        <v>28.36302714920538</v>
      </c>
      <c r="I298" t="inlineStr">
        <is>
          <t>Thailand|XCX4.L|YTD</t>
        </is>
      </c>
      <c r="J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inlineStr">
        <is>
          <t>1 Month</t>
        </is>
      </c>
      <c r="E299" s="2" t="n">
        <v>46049</v>
      </c>
      <c r="F299" s="2" t="n">
        <v>46080</v>
      </c>
      <c r="G299" t="n">
        <v>21.14066355908966</v>
      </c>
      <c r="H299" t="n">
        <v>19.49322833680782</v>
      </c>
      <c r="I299" t="inlineStr">
        <is>
          <t>Thailand|XCX4.L|1 Month</t>
        </is>
      </c>
      <c r="J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inlineStr">
        <is>
          <t>3 Months</t>
        </is>
      </c>
      <c r="E300" s="2" t="n">
        <v>45988</v>
      </c>
      <c r="F300" s="2" t="n">
        <v>46080</v>
      </c>
      <c r="G300" t="n">
        <v>30.42066420664207</v>
      </c>
      <c r="H300" t="n">
        <v>32.84746063875179</v>
      </c>
      <c r="I300" t="inlineStr">
        <is>
          <t>Thailand|XCX4.L|3 Months</t>
        </is>
      </c>
      <c r="J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inlineStr">
        <is>
          <t>6 Months</t>
        </is>
      </c>
      <c r="E301" s="2" t="n">
        <v>45896</v>
      </c>
      <c r="F301" s="2" t="n">
        <v>46080</v>
      </c>
      <c r="G301" t="n">
        <v>36.8861347792409</v>
      </c>
      <c r="H301" t="n">
        <v>37.01540863546606</v>
      </c>
      <c r="I301" t="inlineStr">
        <is>
          <t>Thailand|XCX4.L|6 Months</t>
        </is>
      </c>
      <c r="J301" t="inlineStr">
        <is>
          <t>GBp</t>
        </is>
      </c>
    </row>
    <row r="302">
      <c r="A302" t="inlineStr">
        <is>
          <t>Thailand</t>
        </is>
      </c>
      <c r="B302" t="inlineStr">
        <is>
          <t>THA</t>
        </is>
      </c>
      <c r="C302" t="inlineStr">
        <is>
          <t>XCX4.L</t>
        </is>
      </c>
      <c r="D302" t="inlineStr">
        <is>
          <t>1 Year</t>
        </is>
      </c>
      <c r="E302" s="2" t="n">
        <v>45715</v>
      </c>
      <c r="F302" s="2" t="n">
        <v>46080</v>
      </c>
      <c r="G302" t="n">
        <v>43.53476283300844</v>
      </c>
      <c r="H302" t="n">
        <v>52.69243604868252</v>
      </c>
      <c r="I302" t="inlineStr">
        <is>
          <t>Thailand|XCX4.L|1 Year</t>
        </is>
      </c>
      <c r="J302" t="inlineStr">
        <is>
          <t>GBp</t>
        </is>
      </c>
    </row>
    <row r="303">
      <c r="A303" t="inlineStr">
        <is>
          <t>Thailand</t>
        </is>
      </c>
      <c r="B303" t="inlineStr">
        <is>
          <t>THA</t>
        </is>
      </c>
      <c r="C303" t="inlineStr">
        <is>
          <t>XCX4.L</t>
        </is>
      </c>
      <c r="D303" t="inlineStr">
        <is>
          <t>3 Years</t>
        </is>
      </c>
      <c r="E303" s="2" t="n">
        <v>44984</v>
      </c>
      <c r="F303" s="2" t="n">
        <v>46080</v>
      </c>
      <c r="G303" t="n">
        <v>14.79797323632583</v>
      </c>
      <c r="H303" t="n">
        <v>29.5796424529253</v>
      </c>
      <c r="I303" t="inlineStr">
        <is>
          <t>Thailand|XCX4.L|3 Years</t>
        </is>
      </c>
      <c r="J303" t="inlineStr">
        <is>
          <t>GBp</t>
        </is>
      </c>
    </row>
    <row r="304">
      <c r="A304" t="inlineStr">
        <is>
          <t>Thailand</t>
        </is>
      </c>
      <c r="B304" t="inlineStr">
        <is>
          <t>THA</t>
        </is>
      </c>
      <c r="C304" t="inlineStr">
        <is>
          <t>XCX4.L</t>
        </is>
      </c>
      <c r="D304" t="inlineStr">
        <is>
          <t>5 Years</t>
        </is>
      </c>
      <c r="E304" s="2" t="n">
        <v>44253</v>
      </c>
      <c r="F304" s="2" t="n">
        <v>46080</v>
      </c>
      <c r="G304" t="n">
        <v>31.35127099747288</v>
      </c>
      <c r="H304" t="n">
        <v>26.50629639981485</v>
      </c>
      <c r="I304" t="inlineStr">
        <is>
          <t>Thailand|XCX4.L|5 Years</t>
        </is>
      </c>
      <c r="J304" t="inlineStr">
        <is>
          <t>GBp</t>
        </is>
      </c>
    </row>
    <row r="305">
      <c r="A305" t="inlineStr">
        <is>
          <t>Thailand</t>
        </is>
      </c>
      <c r="B305" t="inlineStr">
        <is>
          <t>THA</t>
        </is>
      </c>
      <c r="C305" t="inlineStr">
        <is>
          <t>XCX4.L</t>
        </is>
      </c>
      <c r="D305" t="inlineStr">
        <is>
          <t>10 Years</t>
        </is>
      </c>
      <c r="E305" s="2" t="n">
        <v>42426</v>
      </c>
      <c r="F305" s="2" t="n">
        <v>46080</v>
      </c>
      <c r="G305" t="n">
        <v>81.84811689648075</v>
      </c>
      <c r="H305" t="n">
        <v>75.66310360584964</v>
      </c>
      <c r="I305" t="inlineStr">
        <is>
          <t>Thailand|XCX4.L|10 Years</t>
        </is>
      </c>
      <c r="J305" t="inlineStr">
        <is>
          <t>GBp</t>
        </is>
      </c>
    </row>
    <row r="306">
      <c r="A306" t="inlineStr">
        <is>
          <t>Thailand</t>
        </is>
      </c>
      <c r="B306" t="inlineStr">
        <is>
          <t>THA</t>
        </is>
      </c>
      <c r="C306" t="inlineStr">
        <is>
          <t>XCX4.L</t>
        </is>
      </c>
      <c r="D306" t="inlineStr">
        <is>
          <t>MAX</t>
        </is>
      </c>
      <c r="E306" s="2" t="n">
        <v>40354</v>
      </c>
      <c r="F306" s="2" t="n">
        <v>46080</v>
      </c>
      <c r="G306" t="n">
        <v>92.47860291474956</v>
      </c>
      <c r="H306" t="n">
        <v>72.34029184652428</v>
      </c>
      <c r="I306" t="inlineStr">
        <is>
          <t>Thailand|XCX4.L|MAX</t>
        </is>
      </c>
      <c r="J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</t>
        </is>
      </c>
      <c r="D307" t="inlineStr">
        <is>
          <t>YTD</t>
        </is>
      </c>
      <c r="E307" s="2" t="n">
        <v>46022</v>
      </c>
      <c r="F307" s="2" t="n">
        <v>46080</v>
      </c>
      <c r="G307" t="n">
        <v>18.04184552447989</v>
      </c>
      <c r="H307" t="n">
        <v>18.04184552447989</v>
      </c>
      <c r="I307" t="inlineStr">
        <is>
          <t>Turkey|TUR|YTD</t>
        </is>
      </c>
      <c r="J307" t="inlineStr">
        <is>
          <t>USD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</t>
        </is>
      </c>
      <c r="D308" t="inlineStr">
        <is>
          <t>1 Month</t>
        </is>
      </c>
      <c r="E308" s="2" t="n">
        <v>46049</v>
      </c>
      <c r="F308" s="2" t="n">
        <v>46080</v>
      </c>
      <c r="G308" t="n">
        <v>2.704751409707051</v>
      </c>
      <c r="H308" t="n">
        <v>2.704751409707051</v>
      </c>
      <c r="I308" t="inlineStr">
        <is>
          <t>Turkey|TUR|1 Month</t>
        </is>
      </c>
      <c r="J308" t="inlineStr">
        <is>
          <t>USD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</t>
        </is>
      </c>
      <c r="D309" t="inlineStr">
        <is>
          <t>3 Months</t>
        </is>
      </c>
      <c r="E309" s="2" t="n">
        <v>45987</v>
      </c>
      <c r="F309" s="2" t="n">
        <v>46080</v>
      </c>
      <c r="G309" t="n">
        <v>22.20175884346673</v>
      </c>
      <c r="H309" t="n">
        <v>22.20175884346673</v>
      </c>
      <c r="I309" t="inlineStr">
        <is>
          <t>Turkey|TUR|3 Months</t>
        </is>
      </c>
      <c r="J309" t="inlineStr">
        <is>
          <t>USD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</t>
        </is>
      </c>
      <c r="D310" t="inlineStr">
        <is>
          <t>6 Months</t>
        </is>
      </c>
      <c r="E310" s="2" t="n">
        <v>45896</v>
      </c>
      <c r="F310" s="2" t="n">
        <v>46080</v>
      </c>
      <c r="G310" t="n">
        <v>15.59440232332472</v>
      </c>
      <c r="H310" t="n">
        <v>15.59440232332472</v>
      </c>
      <c r="I310" t="inlineStr">
        <is>
          <t>Turkey|TUR|6 Months</t>
        </is>
      </c>
      <c r="J310" t="inlineStr">
        <is>
          <t>USD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</t>
        </is>
      </c>
      <c r="D311" t="inlineStr">
        <is>
          <t>1 Year</t>
        </is>
      </c>
      <c r="E311" s="2" t="n">
        <v>45715</v>
      </c>
      <c r="F311" s="2" t="n">
        <v>46080</v>
      </c>
      <c r="G311" t="n">
        <v>20.6344375631436</v>
      </c>
      <c r="H311" t="n">
        <v>20.6344375631436</v>
      </c>
      <c r="I311" t="inlineStr">
        <is>
          <t>Turkey|TUR|1 Year</t>
        </is>
      </c>
      <c r="J311" t="inlineStr">
        <is>
          <t>USD</t>
        </is>
      </c>
    </row>
    <row r="312">
      <c r="A312" t="inlineStr">
        <is>
          <t>Turkey</t>
        </is>
      </c>
      <c r="B312" t="inlineStr">
        <is>
          <t>TUR</t>
        </is>
      </c>
      <c r="C312" t="inlineStr">
        <is>
          <t>TUR</t>
        </is>
      </c>
      <c r="D312" t="inlineStr">
        <is>
          <t>3 Years</t>
        </is>
      </c>
      <c r="E312" s="2" t="n">
        <v>44984</v>
      </c>
      <c r="F312" s="2" t="n">
        <v>46080</v>
      </c>
      <c r="G312" t="n">
        <v>24.50008141492002</v>
      </c>
      <c r="H312" t="n">
        <v>24.50008141492002</v>
      </c>
      <c r="I312" t="inlineStr">
        <is>
          <t>Turkey|TUR|3 Years</t>
        </is>
      </c>
      <c r="J312" t="inlineStr">
        <is>
          <t>USD</t>
        </is>
      </c>
    </row>
    <row r="313">
      <c r="A313" t="inlineStr">
        <is>
          <t>Turkey</t>
        </is>
      </c>
      <c r="B313" t="inlineStr">
        <is>
          <t>TUR</t>
        </is>
      </c>
      <c r="C313" t="inlineStr">
        <is>
          <t>TUR</t>
        </is>
      </c>
      <c r="D313" t="inlineStr">
        <is>
          <t>5 Years</t>
        </is>
      </c>
      <c r="E313" s="2" t="n">
        <v>44253</v>
      </c>
      <c r="F313" s="2" t="n">
        <v>46080</v>
      </c>
      <c r="G313" t="n">
        <v>77.22856044395535</v>
      </c>
      <c r="H313" t="n">
        <v>77.22856044395535</v>
      </c>
      <c r="I313" t="inlineStr">
        <is>
          <t>Turkey|TUR|5 Years</t>
        </is>
      </c>
      <c r="J313" t="inlineStr">
        <is>
          <t>USD</t>
        </is>
      </c>
    </row>
    <row r="314">
      <c r="A314" t="inlineStr">
        <is>
          <t>Turkey</t>
        </is>
      </c>
      <c r="B314" t="inlineStr">
        <is>
          <t>TUR</t>
        </is>
      </c>
      <c r="C314" t="inlineStr">
        <is>
          <t>TUR</t>
        </is>
      </c>
      <c r="D314" t="inlineStr">
        <is>
          <t>10 Years</t>
        </is>
      </c>
      <c r="E314" s="2" t="n">
        <v>42426</v>
      </c>
      <c r="F314" s="2" t="n">
        <v>46080</v>
      </c>
      <c r="G314" t="n">
        <v>47.45575096424697</v>
      </c>
      <c r="H314" t="n">
        <v>47.45575096424697</v>
      </c>
      <c r="I314" t="inlineStr">
        <is>
          <t>Turkey|TUR|10 Years</t>
        </is>
      </c>
      <c r="J314" t="inlineStr">
        <is>
          <t>USD</t>
        </is>
      </c>
    </row>
    <row r="315">
      <c r="A315" t="inlineStr">
        <is>
          <t>Turkey</t>
        </is>
      </c>
      <c r="B315" t="inlineStr">
        <is>
          <t>TUR</t>
        </is>
      </c>
      <c r="C315" t="inlineStr">
        <is>
          <t>TUR</t>
        </is>
      </c>
      <c r="D315" t="inlineStr">
        <is>
          <t>MAX</t>
        </is>
      </c>
      <c r="E315" s="2" t="n">
        <v>39538</v>
      </c>
      <c r="F315" s="2" t="n">
        <v>46080</v>
      </c>
      <c r="G315" t="n">
        <v>36.77151800189409</v>
      </c>
      <c r="H315" t="n">
        <v>36.77151800189409</v>
      </c>
      <c r="I315" t="inlineStr">
        <is>
          <t>Turkey|TUR|MAX</t>
        </is>
      </c>
      <c r="J315" t="inlineStr">
        <is>
          <t>USD</t>
        </is>
      </c>
    </row>
    <row r="316">
      <c r="A316" t="inlineStr">
        <is>
          <t>Turkey</t>
        </is>
      </c>
      <c r="B316" t="inlineStr">
        <is>
          <t>TUR</t>
        </is>
      </c>
      <c r="C316" t="inlineStr">
        <is>
          <t>TURL.L</t>
        </is>
      </c>
      <c r="D316" t="inlineStr">
        <is>
          <t>YTD</t>
        </is>
      </c>
      <c r="E316" s="2" t="n">
        <v>46022</v>
      </c>
      <c r="F316" s="2" t="n">
        <v>46080</v>
      </c>
      <c r="G316" t="n">
        <v>0</v>
      </c>
      <c r="H316" t="n">
        <v>0.1801081055817555</v>
      </c>
      <c r="I316" t="inlineStr">
        <is>
          <t>Turkey|TURL.L|YTD</t>
        </is>
      </c>
      <c r="J316" t="inlineStr">
        <is>
          <t>GBp</t>
        </is>
      </c>
    </row>
    <row r="317">
      <c r="A317" t="inlineStr">
        <is>
          <t>Turkey</t>
        </is>
      </c>
      <c r="B317" t="inlineStr">
        <is>
          <t>TUR</t>
        </is>
      </c>
      <c r="C317" t="inlineStr">
        <is>
          <t>TURL.L</t>
        </is>
      </c>
      <c r="D317" t="inlineStr">
        <is>
          <t>1 Month</t>
        </is>
      </c>
      <c r="E317" s="2" t="n">
        <v>46049</v>
      </c>
      <c r="F317" s="2" t="n">
        <v>46080</v>
      </c>
      <c r="G317" t="n">
        <v>0</v>
      </c>
      <c r="H317" t="n">
        <v>-1.359935775387477</v>
      </c>
      <c r="I317" t="inlineStr">
        <is>
          <t>Turkey|TURL.L|1 Month</t>
        </is>
      </c>
      <c r="J317" t="inlineStr">
        <is>
          <t>GBp</t>
        </is>
      </c>
    </row>
    <row r="318">
      <c r="A318" t="inlineStr">
        <is>
          <t>Turkey</t>
        </is>
      </c>
      <c r="B318" t="inlineStr">
        <is>
          <t>TUR</t>
        </is>
      </c>
      <c r="C318" t="inlineStr">
        <is>
          <t>TURL.L</t>
        </is>
      </c>
      <c r="D318" t="inlineStr">
        <is>
          <t>3 Months</t>
        </is>
      </c>
      <c r="E318" s="2" t="n">
        <v>45988</v>
      </c>
      <c r="F318" s="2" t="n">
        <v>46080</v>
      </c>
      <c r="G318" t="n">
        <v>0</v>
      </c>
      <c r="H318" t="n">
        <v>1.860745340373859</v>
      </c>
      <c r="I318" t="inlineStr">
        <is>
          <t>Turkey|TURL.L|3 Months</t>
        </is>
      </c>
      <c r="J318" t="inlineStr">
        <is>
          <t>GBp</t>
        </is>
      </c>
    </row>
    <row r="319">
      <c r="A319" t="inlineStr">
        <is>
          <t>Turkey</t>
        </is>
      </c>
      <c r="B319" t="inlineStr">
        <is>
          <t>TUR</t>
        </is>
      </c>
      <c r="C319" t="inlineStr">
        <is>
          <t>TURL.L</t>
        </is>
      </c>
      <c r="D319" t="inlineStr">
        <is>
          <t>6 Months</t>
        </is>
      </c>
      <c r="E319" s="2" t="n">
        <v>45896</v>
      </c>
      <c r="F319" s="2" t="n">
        <v>46080</v>
      </c>
      <c r="G319" t="n">
        <v>0</v>
      </c>
      <c r="H319" t="n">
        <v>0.09443897034104864</v>
      </c>
      <c r="I319" t="inlineStr">
        <is>
          <t>Turkey|TURL.L|6 Months</t>
        </is>
      </c>
      <c r="J319" t="inlineStr">
        <is>
          <t>GBp</t>
        </is>
      </c>
    </row>
    <row r="320">
      <c r="A320" t="inlineStr">
        <is>
          <t>Turkey</t>
        </is>
      </c>
      <c r="B320" t="inlineStr">
        <is>
          <t>TUR</t>
        </is>
      </c>
      <c r="C320" t="inlineStr">
        <is>
          <t>TURL.L</t>
        </is>
      </c>
      <c r="D320" t="inlineStr">
        <is>
          <t>1 Year</t>
        </is>
      </c>
      <c r="E320" s="2" t="n">
        <v>45715</v>
      </c>
      <c r="F320" s="2" t="n">
        <v>46080</v>
      </c>
      <c r="G320" t="n">
        <v>0</v>
      </c>
      <c r="H320" t="n">
        <v>6.380108229480497</v>
      </c>
      <c r="I320" t="inlineStr">
        <is>
          <t>Turkey|TURL.L|1 Year</t>
        </is>
      </c>
      <c r="J320" t="inlineStr">
        <is>
          <t>GBp</t>
        </is>
      </c>
    </row>
    <row r="321">
      <c r="A321" t="inlineStr">
        <is>
          <t>Turkey</t>
        </is>
      </c>
      <c r="B321" t="inlineStr">
        <is>
          <t>TUR</t>
        </is>
      </c>
      <c r="C321" t="inlineStr">
        <is>
          <t>TURL.L</t>
        </is>
      </c>
      <c r="D321" t="inlineStr">
        <is>
          <t>3 Years</t>
        </is>
      </c>
      <c r="E321" s="2" t="n">
        <v>44984</v>
      </c>
      <c r="F321" s="2" t="n">
        <v>46080</v>
      </c>
      <c r="G321" t="n">
        <v>-15.55716387465049</v>
      </c>
      <c r="H321" t="n">
        <v>-4.684096727839071</v>
      </c>
      <c r="I321" t="inlineStr">
        <is>
          <t>Turkey|TURL.L|3 Years</t>
        </is>
      </c>
      <c r="J321" t="inlineStr">
        <is>
          <t>GBp</t>
        </is>
      </c>
    </row>
    <row r="322">
      <c r="A322" t="inlineStr">
        <is>
          <t>Turkey</t>
        </is>
      </c>
      <c r="B322" t="inlineStr">
        <is>
          <t>TUR</t>
        </is>
      </c>
      <c r="C322" t="inlineStr">
        <is>
          <t>TURL.L</t>
        </is>
      </c>
      <c r="D322" t="inlineStr">
        <is>
          <t>5 Years</t>
        </is>
      </c>
      <c r="E322" s="2" t="n">
        <v>44253</v>
      </c>
      <c r="F322" s="2" t="n">
        <v>46080</v>
      </c>
      <c r="G322" t="n">
        <v>39.27675817296263</v>
      </c>
      <c r="H322" t="n">
        <v>34.13944697476992</v>
      </c>
      <c r="I322" t="inlineStr">
        <is>
          <t>Turkey|TURL.L|5 Years</t>
        </is>
      </c>
      <c r="J322" t="inlineStr">
        <is>
          <t>GBp</t>
        </is>
      </c>
    </row>
    <row r="323">
      <c r="A323" t="inlineStr">
        <is>
          <t>Turkey</t>
        </is>
      </c>
      <c r="B323" t="inlineStr">
        <is>
          <t>TUR</t>
        </is>
      </c>
      <c r="C323" t="inlineStr">
        <is>
          <t>TURL.L</t>
        </is>
      </c>
      <c r="D323" t="inlineStr">
        <is>
          <t>10 Years</t>
        </is>
      </c>
      <c r="E323" s="2" t="n">
        <v>42426</v>
      </c>
      <c r="F323" s="2" t="n">
        <v>46080</v>
      </c>
      <c r="G323" t="n">
        <v>-27.82913699869165</v>
      </c>
      <c r="H323" t="n">
        <v>-30.28381046178566</v>
      </c>
      <c r="I323" t="inlineStr">
        <is>
          <t>Turkey|TURL.L|10 Years</t>
        </is>
      </c>
      <c r="J323" t="inlineStr">
        <is>
          <t>GBp</t>
        </is>
      </c>
    </row>
    <row r="324">
      <c r="A324" t="inlineStr">
        <is>
          <t>Turkey</t>
        </is>
      </c>
      <c r="B324" t="inlineStr">
        <is>
          <t>TUR</t>
        </is>
      </c>
      <c r="C324" t="inlineStr">
        <is>
          <t>TURL.L</t>
        </is>
      </c>
      <c r="D324" t="inlineStr">
        <is>
          <t>MAX</t>
        </is>
      </c>
      <c r="E324" s="2" t="n">
        <v>39450</v>
      </c>
      <c r="F324" s="2" t="n">
        <v>46080</v>
      </c>
      <c r="G324" t="n">
        <v>-99.43612293704946</v>
      </c>
      <c r="H324" t="n">
        <v>-99.6146334128223</v>
      </c>
      <c r="I324" t="inlineStr">
        <is>
          <t>Turkey|TURL.L|MAX</t>
        </is>
      </c>
      <c r="J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CSUK.L</t>
        </is>
      </c>
      <c r="D325" t="inlineStr">
        <is>
          <t>YTD</t>
        </is>
      </c>
      <c r="E325" s="2" t="n">
        <v>46022</v>
      </c>
      <c r="F325" s="2" t="n">
        <v>46080</v>
      </c>
      <c r="G325" t="n">
        <v>10.59479553903346</v>
      </c>
      <c r="H325" t="n">
        <v>10.79398573015082</v>
      </c>
      <c r="I325" t="inlineStr">
        <is>
          <t>United Kingdom|CSUK.L|YTD</t>
        </is>
      </c>
      <c r="J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CSUK.L</t>
        </is>
      </c>
      <c r="D326" t="inlineStr">
        <is>
          <t>1 Month</t>
        </is>
      </c>
      <c r="E326" s="2" t="n">
        <v>46049</v>
      </c>
      <c r="F326" s="2" t="n">
        <v>46080</v>
      </c>
      <c r="G326" t="n">
        <v>7.423534409515731</v>
      </c>
      <c r="H326" t="n">
        <v>5.962643333895046</v>
      </c>
      <c r="I326" t="inlineStr">
        <is>
          <t>United Kingdom|CSUK.L|1 Month</t>
        </is>
      </c>
      <c r="J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CSUK.L</t>
        </is>
      </c>
      <c r="D327" t="inlineStr">
        <is>
          <t>3 Months</t>
        </is>
      </c>
      <c r="E327" s="2" t="n">
        <v>45988</v>
      </c>
      <c r="F327" s="2" t="n">
        <v>46080</v>
      </c>
      <c r="G327" t="n">
        <v>13.29525089605734</v>
      </c>
      <c r="H327" t="n">
        <v>15.40338699797059</v>
      </c>
      <c r="I327" t="inlineStr">
        <is>
          <t>United Kingdom|CSUK.L|3 Months</t>
        </is>
      </c>
      <c r="J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CSUK.L</t>
        </is>
      </c>
      <c r="D328" t="inlineStr">
        <is>
          <t>6 Months</t>
        </is>
      </c>
      <c r="E328" s="2" t="n">
        <v>45896</v>
      </c>
      <c r="F328" s="2" t="n">
        <v>46080</v>
      </c>
      <c r="G328" t="n">
        <v>19.15419955236188</v>
      </c>
      <c r="H328" t="n">
        <v>19.26672755153724</v>
      </c>
      <c r="I328" t="inlineStr">
        <is>
          <t>United Kingdom|CSUK.L|6 Months</t>
        </is>
      </c>
      <c r="J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CSUK.L</t>
        </is>
      </c>
      <c r="D329" t="inlineStr">
        <is>
          <t>1 Year</t>
        </is>
      </c>
      <c r="E329" s="2" t="n">
        <v>45715</v>
      </c>
      <c r="F329" s="2" t="n">
        <v>46080</v>
      </c>
      <c r="G329" t="n">
        <v>28.656830323073</v>
      </c>
      <c r="H329" t="n">
        <v>36.86527534230415</v>
      </c>
      <c r="I329" t="inlineStr">
        <is>
          <t>United Kingdom|CSUK.L|1 Year</t>
        </is>
      </c>
      <c r="J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CSUK.L</t>
        </is>
      </c>
      <c r="D330" t="inlineStr">
        <is>
          <t>3 Years</t>
        </is>
      </c>
      <c r="E330" s="2" t="n">
        <v>44984</v>
      </c>
      <c r="F330" s="2" t="n">
        <v>46080</v>
      </c>
      <c r="G330" t="n">
        <v>51.25233644859814</v>
      </c>
      <c r="H330" t="n">
        <v>70.72795908017888</v>
      </c>
      <c r="I330" t="inlineStr">
        <is>
          <t>United Kingdom|CSUK.L|3 Years</t>
        </is>
      </c>
      <c r="J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CSUK.L</t>
        </is>
      </c>
      <c r="D331" t="inlineStr">
        <is>
          <t>5 Years</t>
        </is>
      </c>
      <c r="E331" s="2" t="n">
        <v>44253</v>
      </c>
      <c r="F331" s="2" t="n">
        <v>46080</v>
      </c>
      <c r="G331" t="n">
        <v>103.2450896669514</v>
      </c>
      <c r="H331" t="n">
        <v>95.74826615654885</v>
      </c>
      <c r="I331" t="inlineStr">
        <is>
          <t>United Kingdom|CSUK.L|5 Years</t>
        </is>
      </c>
      <c r="J331" t="inlineStr">
        <is>
          <t>GBp</t>
        </is>
      </c>
    </row>
    <row r="332">
      <c r="A332" t="inlineStr">
        <is>
          <t>United Kingdom</t>
        </is>
      </c>
      <c r="B332" t="inlineStr">
        <is>
          <t>GBR</t>
        </is>
      </c>
      <c r="C332" t="inlineStr">
        <is>
          <t>CSUK.L</t>
        </is>
      </c>
      <c r="D332" t="inlineStr">
        <is>
          <t>10 Years</t>
        </is>
      </c>
      <c r="E332" s="2" t="n">
        <v>42426</v>
      </c>
      <c r="F332" s="2" t="n">
        <v>46080</v>
      </c>
      <c r="G332" t="n">
        <v>150.5418292154313</v>
      </c>
      <c r="H332" t="n">
        <v>142.0204072177617</v>
      </c>
      <c r="I332" t="inlineStr">
        <is>
          <t>United Kingdom|CSUK.L|10 Years</t>
        </is>
      </c>
      <c r="J332" t="inlineStr">
        <is>
          <t>GBp</t>
        </is>
      </c>
    </row>
    <row r="333">
      <c r="A333" t="inlineStr">
        <is>
          <t>United Kingdom</t>
        </is>
      </c>
      <c r="B333" t="inlineStr">
        <is>
          <t>GBR</t>
        </is>
      </c>
      <c r="C333" t="inlineStr">
        <is>
          <t>CSUK.L</t>
        </is>
      </c>
      <c r="D333" t="inlineStr">
        <is>
          <t>MAX</t>
        </is>
      </c>
      <c r="E333" s="2" t="n">
        <v>40443</v>
      </c>
      <c r="F333" s="2" t="n">
        <v>46080</v>
      </c>
      <c r="G333" t="n">
        <v>223.8872878642331</v>
      </c>
      <c r="H333" t="n">
        <v>179.8056485811248</v>
      </c>
      <c r="I333" t="inlineStr">
        <is>
          <t>United Kingdom|CSUK.L|MAX</t>
        </is>
      </c>
      <c r="J333" t="inlineStr">
        <is>
          <t>GBp</t>
        </is>
      </c>
    </row>
    <row r="334">
      <c r="A334" t="inlineStr">
        <is>
          <t>United Kingdom</t>
        </is>
      </c>
      <c r="B334" t="inlineStr">
        <is>
          <t>GBR</t>
        </is>
      </c>
      <c r="C334" t="inlineStr">
        <is>
          <t>CUKX.L</t>
        </is>
      </c>
      <c r="D334" t="inlineStr">
        <is>
          <t>YTD</t>
        </is>
      </c>
      <c r="E334" s="2" t="n">
        <v>46022</v>
      </c>
      <c r="F334" s="2" t="n">
        <v>46080</v>
      </c>
      <c r="G334" t="n">
        <v>10.44297454399679</v>
      </c>
      <c r="H334" t="n">
        <v>10.64189129319613</v>
      </c>
      <c r="I334" t="inlineStr">
        <is>
          <t>United Kingdom|CUKX.L|YTD</t>
        </is>
      </c>
      <c r="J334" t="inlineStr">
        <is>
          <t>GBp</t>
        </is>
      </c>
    </row>
    <row r="335">
      <c r="A335" t="inlineStr">
        <is>
          <t>United Kingdom</t>
        </is>
      </c>
      <c r="B335" t="inlineStr">
        <is>
          <t>GBR</t>
        </is>
      </c>
      <c r="C335" t="inlineStr">
        <is>
          <t>CUKX.L</t>
        </is>
      </c>
      <c r="D335" t="inlineStr">
        <is>
          <t>1 Month</t>
        </is>
      </c>
      <c r="E335" s="2" t="n">
        <v>46049</v>
      </c>
      <c r="F335" s="2" t="n">
        <v>46080</v>
      </c>
      <c r="G335" t="n">
        <v>7.2245195816103</v>
      </c>
      <c r="H335" t="n">
        <v>5.766334979832632</v>
      </c>
      <c r="I335" t="inlineStr">
        <is>
          <t>United Kingdom|CUKX.L|1 Month</t>
        </is>
      </c>
      <c r="J335" t="inlineStr">
        <is>
          <t>GBp</t>
        </is>
      </c>
    </row>
    <row r="336">
      <c r="A336" t="inlineStr">
        <is>
          <t>United Kingdom</t>
        </is>
      </c>
      <c r="B336" t="inlineStr">
        <is>
          <t>GBR</t>
        </is>
      </c>
      <c r="C336" t="inlineStr">
        <is>
          <t>CUKX.L</t>
        </is>
      </c>
      <c r="D336" t="inlineStr">
        <is>
          <t>3 Months</t>
        </is>
      </c>
      <c r="E336" s="2" t="n">
        <v>45988</v>
      </c>
      <c r="F336" s="2" t="n">
        <v>46080</v>
      </c>
      <c r="G336" t="n">
        <v>13.43283582089552</v>
      </c>
      <c r="H336" t="n">
        <v>15.54353202788676</v>
      </c>
      <c r="I336" t="inlineStr">
        <is>
          <t>United Kingdom|CUKX.L|3 Months</t>
        </is>
      </c>
      <c r="J336" t="inlineStr">
        <is>
          <t>GBp</t>
        </is>
      </c>
    </row>
    <row r="337">
      <c r="A337" t="inlineStr">
        <is>
          <t>United Kingdom</t>
        </is>
      </c>
      <c r="B337" t="inlineStr">
        <is>
          <t>GBR</t>
        </is>
      </c>
      <c r="C337" t="inlineStr">
        <is>
          <t>CUKX.L</t>
        </is>
      </c>
      <c r="D337" t="inlineStr">
        <is>
          <t>6 Months</t>
        </is>
      </c>
      <c r="E337" s="2" t="n">
        <v>45896</v>
      </c>
      <c r="F337" s="2" t="n">
        <v>46080</v>
      </c>
      <c r="G337" t="n">
        <v>19.57465277777779</v>
      </c>
      <c r="H337" t="n">
        <v>19.68757784865001</v>
      </c>
      <c r="I337" t="inlineStr">
        <is>
          <t>United Kingdom|CUKX.L|6 Months</t>
        </is>
      </c>
      <c r="J337" t="inlineStr">
        <is>
          <t>GBp</t>
        </is>
      </c>
    </row>
    <row r="338">
      <c r="A338" t="inlineStr">
        <is>
          <t>United Kingdom</t>
        </is>
      </c>
      <c r="B338" t="inlineStr">
        <is>
          <t>GBR</t>
        </is>
      </c>
      <c r="C338" t="inlineStr">
        <is>
          <t>CUKX.L</t>
        </is>
      </c>
      <c r="D338" t="inlineStr">
        <is>
          <t>1 Year</t>
        </is>
      </c>
      <c r="E338" s="2" t="n">
        <v>45715</v>
      </c>
      <c r="F338" s="2" t="n">
        <v>46080</v>
      </c>
      <c r="G338" t="n">
        <v>29.03981264637001</v>
      </c>
      <c r="H338" t="n">
        <v>37.27269235232728</v>
      </c>
      <c r="I338" t="inlineStr">
        <is>
          <t>United Kingdom|CUKX.L|1 Year</t>
        </is>
      </c>
      <c r="J338" t="inlineStr">
        <is>
          <t>GBp</t>
        </is>
      </c>
    </row>
    <row r="339">
      <c r="A339" t="inlineStr">
        <is>
          <t>United Kingdom</t>
        </is>
      </c>
      <c r="B339" t="inlineStr">
        <is>
          <t>GBR</t>
        </is>
      </c>
      <c r="C339" t="inlineStr">
        <is>
          <t>CUKX.L</t>
        </is>
      </c>
      <c r="D339" t="inlineStr">
        <is>
          <t>3 Years</t>
        </is>
      </c>
      <c r="E339" s="2" t="n">
        <v>44984</v>
      </c>
      <c r="F339" s="2" t="n">
        <v>46080</v>
      </c>
      <c r="G339" t="n">
        <v>53.32173913043479</v>
      </c>
      <c r="H339" t="n">
        <v>73.06382313808774</v>
      </c>
      <c r="I339" t="inlineStr">
        <is>
          <t>United Kingdom|CUKX.L|3 Years</t>
        </is>
      </c>
      <c r="J339" t="inlineStr">
        <is>
          <t>GBp</t>
        </is>
      </c>
    </row>
    <row r="340">
      <c r="A340" t="inlineStr">
        <is>
          <t>United Kingdom</t>
        </is>
      </c>
      <c r="B340" t="inlineStr">
        <is>
          <t>GBR</t>
        </is>
      </c>
      <c r="C340" t="inlineStr">
        <is>
          <t>CUKX.L</t>
        </is>
      </c>
      <c r="D340" t="inlineStr">
        <is>
          <t>5 Years</t>
        </is>
      </c>
      <c r="E340" s="2" t="n">
        <v>44253</v>
      </c>
      <c r="F340" s="2" t="n">
        <v>46080</v>
      </c>
      <c r="G340" t="n">
        <v>100.9115770282589</v>
      </c>
      <c r="H340" t="n">
        <v>93.50082660547801</v>
      </c>
      <c r="I340" t="inlineStr">
        <is>
          <t>United Kingdom|CUKX.L|5 Years</t>
        </is>
      </c>
      <c r="J340" t="inlineStr">
        <is>
          <t>GBp</t>
        </is>
      </c>
    </row>
    <row r="341">
      <c r="A341" t="inlineStr">
        <is>
          <t>United Kingdom</t>
        </is>
      </c>
      <c r="B341" t="inlineStr">
        <is>
          <t>GBR</t>
        </is>
      </c>
      <c r="C341" t="inlineStr">
        <is>
          <t>CUKX.L</t>
        </is>
      </c>
      <c r="D341" t="inlineStr">
        <is>
          <t>10 Years</t>
        </is>
      </c>
      <c r="E341" s="2" t="n">
        <v>42426</v>
      </c>
      <c r="F341" s="2" t="n">
        <v>46080</v>
      </c>
      <c r="G341" t="n">
        <v>158.852545657408</v>
      </c>
      <c r="H341" t="n">
        <v>150.0484597942799</v>
      </c>
      <c r="I341" t="inlineStr">
        <is>
          <t>United Kingdom|CUKX.L|10 Years</t>
        </is>
      </c>
      <c r="J341" t="inlineStr">
        <is>
          <t>GBp</t>
        </is>
      </c>
    </row>
    <row r="342">
      <c r="A342" t="inlineStr">
        <is>
          <t>United Kingdom</t>
        </is>
      </c>
      <c r="B342" t="inlineStr">
        <is>
          <t>GBR</t>
        </is>
      </c>
      <c r="C342" t="inlineStr">
        <is>
          <t>CUKX.L</t>
        </is>
      </c>
      <c r="D342" t="inlineStr">
        <is>
          <t>MAX</t>
        </is>
      </c>
      <c r="E342" s="2" t="n">
        <v>40438</v>
      </c>
      <c r="F342" s="2" t="n">
        <v>46080</v>
      </c>
      <c r="G342" t="n">
        <v>239.9136335595311</v>
      </c>
      <c r="H342" t="n">
        <v>193.4398240501788</v>
      </c>
      <c r="I342" t="inlineStr">
        <is>
          <t>United Kingdom|CUKX.L|MAX</t>
        </is>
      </c>
      <c r="J342" t="inlineStr">
        <is>
          <t>GBp</t>
        </is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CSPX.L</t>
        </is>
      </c>
      <c r="D343" t="inlineStr">
        <is>
          <t>YTD</t>
        </is>
      </c>
      <c r="E343" s="2" t="n">
        <v>46022</v>
      </c>
      <c r="F343" s="2" t="n">
        <v>46080</v>
      </c>
      <c r="G343" t="n">
        <v>-0.09342916523830125</v>
      </c>
      <c r="H343" t="n">
        <v>-0.09342916523830125</v>
      </c>
      <c r="I343" t="inlineStr">
        <is>
          <t>United States|CSPX.L|YTD</t>
        </is>
      </c>
      <c r="J343" t="inlineStr">
        <is>
          <t>USD</t>
        </is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CSPX.L</t>
        </is>
      </c>
      <c r="D344" t="inlineStr">
        <is>
          <t>1 Month</t>
        </is>
      </c>
      <c r="E344" s="2" t="n">
        <v>46049</v>
      </c>
      <c r="F344" s="2" t="n">
        <v>46080</v>
      </c>
      <c r="G344" t="n">
        <v>-1.474198530520432</v>
      </c>
      <c r="H344" t="n">
        <v>-1.474198530520432</v>
      </c>
      <c r="I344" t="inlineStr">
        <is>
          <t>United States|CSPX.L|1 Month</t>
        </is>
      </c>
      <c r="J344" t="inlineStr">
        <is>
          <t>USD</t>
        </is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CSPX.L</t>
        </is>
      </c>
      <c r="D345" t="inlineStr">
        <is>
          <t>3 Months</t>
        </is>
      </c>
      <c r="E345" s="2" t="n">
        <v>45988</v>
      </c>
      <c r="F345" s="2" t="n">
        <v>46080</v>
      </c>
      <c r="G345" t="n">
        <v>1.137709937509945</v>
      </c>
      <c r="H345" t="n">
        <v>1.137709937509945</v>
      </c>
      <c r="I345" t="inlineStr">
        <is>
          <t>United States|CSPX.L|3 Months</t>
        </is>
      </c>
      <c r="J345" t="inlineStr">
        <is>
          <t>USD</t>
        </is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CSPX.L</t>
        </is>
      </c>
      <c r="D346" t="inlineStr">
        <is>
          <t>6 Months</t>
        </is>
      </c>
      <c r="E346" s="2" t="n">
        <v>45896</v>
      </c>
      <c r="F346" s="2" t="n">
        <v>46080</v>
      </c>
      <c r="G346" t="n">
        <v>6.653565207111134</v>
      </c>
      <c r="H346" t="n">
        <v>6.653565207111134</v>
      </c>
      <c r="I346" t="inlineStr">
        <is>
          <t>United States|CSPX.L|6 Months</t>
        </is>
      </c>
      <c r="J346" t="inlineStr">
        <is>
          <t>USD</t>
        </is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CSPX.L</t>
        </is>
      </c>
      <c r="D347" t="inlineStr">
        <is>
          <t>1 Year</t>
        </is>
      </c>
      <c r="E347" s="2" t="n">
        <v>45715</v>
      </c>
      <c r="F347" s="2" t="n">
        <v>46080</v>
      </c>
      <c r="G347" t="n">
        <v>16.50534962338155</v>
      </c>
      <c r="H347" t="n">
        <v>16.50534962338155</v>
      </c>
      <c r="I347" t="inlineStr">
        <is>
          <t>United States|CSPX.L|1 Year</t>
        </is>
      </c>
      <c r="J347" t="inlineStr">
        <is>
          <t>USD</t>
        </is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CSPX.L</t>
        </is>
      </c>
      <c r="D348" t="inlineStr">
        <is>
          <t>3 Years</t>
        </is>
      </c>
      <c r="E348" s="2" t="n">
        <v>44984</v>
      </c>
      <c r="F348" s="2" t="n">
        <v>46080</v>
      </c>
      <c r="G348" t="n">
        <v>78.64942965284992</v>
      </c>
      <c r="H348" t="n">
        <v>78.64942965284992</v>
      </c>
      <c r="I348" t="inlineStr">
        <is>
          <t>United States|CSPX.L|3 Years</t>
        </is>
      </c>
      <c r="J348" t="inlineStr">
        <is>
          <t>USD</t>
        </is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CSPX.L</t>
        </is>
      </c>
      <c r="D349" t="inlineStr">
        <is>
          <t>5 Years</t>
        </is>
      </c>
      <c r="E349" s="2" t="n">
        <v>44253</v>
      </c>
      <c r="F349" s="2" t="n">
        <v>46080</v>
      </c>
      <c r="G349" t="n">
        <v>89.94954747658031</v>
      </c>
      <c r="H349" t="n">
        <v>89.94954747658031</v>
      </c>
      <c r="I349" t="inlineStr">
        <is>
          <t>United States|CSPX.L|5 Years</t>
        </is>
      </c>
      <c r="J349" t="inlineStr">
        <is>
          <t>USD</t>
        </is>
      </c>
    </row>
    <row r="350">
      <c r="A350" t="inlineStr">
        <is>
          <t>United States</t>
        </is>
      </c>
      <c r="B350" t="inlineStr">
        <is>
          <t>USA</t>
        </is>
      </c>
      <c r="C350" t="inlineStr">
        <is>
          <t>CSPX.L</t>
        </is>
      </c>
      <c r="D350" t="inlineStr">
        <is>
          <t>10 Years</t>
        </is>
      </c>
      <c r="E350" s="2" t="n">
        <v>42426</v>
      </c>
      <c r="F350" s="2" t="n">
        <v>46080</v>
      </c>
      <c r="G350" t="n">
        <v>304.9060239494946</v>
      </c>
      <c r="H350" t="n">
        <v>304.9060239494946</v>
      </c>
      <c r="I350" t="inlineStr">
        <is>
          <t>United States|CSPX.L|10 Years</t>
        </is>
      </c>
      <c r="J350" t="inlineStr">
        <is>
          <t>USD</t>
        </is>
      </c>
    </row>
    <row r="351">
      <c r="A351" t="inlineStr">
        <is>
          <t>United States</t>
        </is>
      </c>
      <c r="B351" t="inlineStr">
        <is>
          <t>USA</t>
        </is>
      </c>
      <c r="C351" t="inlineStr">
        <is>
          <t>CSPX.L</t>
        </is>
      </c>
      <c r="D351" t="inlineStr">
        <is>
          <t>MAX</t>
        </is>
      </c>
      <c r="E351" s="2" t="n">
        <v>40437</v>
      </c>
      <c r="F351" s="2" t="n">
        <v>46080</v>
      </c>
      <c r="G351" t="n">
        <v>672.2838808718847</v>
      </c>
      <c r="H351" t="n">
        <v>672.2838808718847</v>
      </c>
      <c r="I351" t="inlineStr">
        <is>
          <t>United States|CSPX.L|MAX</t>
        </is>
      </c>
      <c r="J351" t="inlineStr">
        <is>
          <t>USD</t>
        </is>
      </c>
    </row>
    <row r="352">
      <c r="A352" t="inlineStr">
        <is>
          <t>United States</t>
        </is>
      </c>
      <c r="B352" t="inlineStr">
        <is>
          <t>USA</t>
        </is>
      </c>
      <c r="C352" t="inlineStr">
        <is>
          <t>CSUS.L</t>
        </is>
      </c>
      <c r="D352" t="inlineStr">
        <is>
          <t>YTD</t>
        </is>
      </c>
      <c r="E352" s="2" t="n">
        <v>46022</v>
      </c>
      <c r="F352" s="2" t="n">
        <v>46080</v>
      </c>
      <c r="G352" t="n">
        <v>-0.3093729781191823</v>
      </c>
      <c r="H352" t="n">
        <v>-0.3093729781191823</v>
      </c>
      <c r="I352" t="inlineStr">
        <is>
          <t>United States|CSUS.L|YTD</t>
        </is>
      </c>
      <c r="J352" t="inlineStr">
        <is>
          <t>USD</t>
        </is>
      </c>
    </row>
    <row r="353">
      <c r="A353" t="inlineStr">
        <is>
          <t>United States</t>
        </is>
      </c>
      <c r="B353" t="inlineStr">
        <is>
          <t>USA</t>
        </is>
      </c>
      <c r="C353" t="inlineStr">
        <is>
          <t>CSUS.L</t>
        </is>
      </c>
      <c r="D353" t="inlineStr">
        <is>
          <t>1 Month</t>
        </is>
      </c>
      <c r="E353" s="2" t="n">
        <v>46049</v>
      </c>
      <c r="F353" s="2" t="n">
        <v>46080</v>
      </c>
      <c r="G353" t="n">
        <v>-1.67822130179438</v>
      </c>
      <c r="H353" t="n">
        <v>-1.67822130179438</v>
      </c>
      <c r="I353" t="inlineStr">
        <is>
          <t>United States|CSUS.L|1 Month</t>
        </is>
      </c>
      <c r="J353" t="inlineStr">
        <is>
          <t>USD</t>
        </is>
      </c>
    </row>
    <row r="354">
      <c r="A354" t="inlineStr">
        <is>
          <t>United States</t>
        </is>
      </c>
      <c r="B354" t="inlineStr">
        <is>
          <t>USA</t>
        </is>
      </c>
      <c r="C354" t="inlineStr">
        <is>
          <t>CSUS.L</t>
        </is>
      </c>
      <c r="D354" t="inlineStr">
        <is>
          <t>3 Months</t>
        </is>
      </c>
      <c r="E354" s="2" t="n">
        <v>45988</v>
      </c>
      <c r="F354" s="2" t="n">
        <v>46080</v>
      </c>
      <c r="G354" t="n">
        <v>0.8536064577607139</v>
      </c>
      <c r="H354" t="n">
        <v>0.8536064577607139</v>
      </c>
      <c r="I354" t="inlineStr">
        <is>
          <t>United States|CSUS.L|3 Months</t>
        </is>
      </c>
      <c r="J354" t="inlineStr">
        <is>
          <t>USD</t>
        </is>
      </c>
    </row>
    <row r="355">
      <c r="A355" t="inlineStr">
        <is>
          <t>United States</t>
        </is>
      </c>
      <c r="B355" t="inlineStr">
        <is>
          <t>USA</t>
        </is>
      </c>
      <c r="C355" t="inlineStr">
        <is>
          <t>CSUS.L</t>
        </is>
      </c>
      <c r="D355" t="inlineStr">
        <is>
          <t>6 Months</t>
        </is>
      </c>
      <c r="E355" s="2" t="n">
        <v>45896</v>
      </c>
      <c r="F355" s="2" t="n">
        <v>46080</v>
      </c>
      <c r="G355" t="n">
        <v>6.170437539883777</v>
      </c>
      <c r="H355" t="n">
        <v>6.170437539883777</v>
      </c>
      <c r="I355" t="inlineStr">
        <is>
          <t>United States|CSUS.L|6 Months</t>
        </is>
      </c>
      <c r="J355" t="inlineStr">
        <is>
          <t>USD</t>
        </is>
      </c>
    </row>
    <row r="356">
      <c r="A356" t="inlineStr">
        <is>
          <t>United States</t>
        </is>
      </c>
      <c r="B356" t="inlineStr">
        <is>
          <t>USA</t>
        </is>
      </c>
      <c r="C356" t="inlineStr">
        <is>
          <t>CSUS.L</t>
        </is>
      </c>
      <c r="D356" t="inlineStr">
        <is>
          <t>1 Year</t>
        </is>
      </c>
      <c r="E356" s="2" t="n">
        <v>45715</v>
      </c>
      <c r="F356" s="2" t="n">
        <v>46080</v>
      </c>
      <c r="G356" t="n">
        <v>16.04001499028538</v>
      </c>
      <c r="H356" t="n">
        <v>16.04001499028538</v>
      </c>
      <c r="I356" t="inlineStr">
        <is>
          <t>United States|CSUS.L|1 Year</t>
        </is>
      </c>
      <c r="J356" t="inlineStr">
        <is>
          <t>USD</t>
        </is>
      </c>
    </row>
    <row r="357">
      <c r="A357" t="inlineStr">
        <is>
          <t>United States</t>
        </is>
      </c>
      <c r="B357" t="inlineStr">
        <is>
          <t>USA</t>
        </is>
      </c>
      <c r="C357" t="inlineStr">
        <is>
          <t>CSUS.L</t>
        </is>
      </c>
      <c r="D357" t="inlineStr">
        <is>
          <t>3 Years</t>
        </is>
      </c>
      <c r="E357" s="2" t="n">
        <v>44984</v>
      </c>
      <c r="F357" s="2" t="n">
        <v>46080</v>
      </c>
      <c r="G357" t="n">
        <v>78.68126275732332</v>
      </c>
      <c r="H357" t="n">
        <v>78.68126275732332</v>
      </c>
      <c r="I357" t="inlineStr">
        <is>
          <t>United States|CSUS.L|3 Years</t>
        </is>
      </c>
      <c r="J357" t="inlineStr">
        <is>
          <t>USD</t>
        </is>
      </c>
    </row>
    <row r="358">
      <c r="A358" t="inlineStr">
        <is>
          <t>United States</t>
        </is>
      </c>
      <c r="B358" t="inlineStr">
        <is>
          <t>USA</t>
        </is>
      </c>
      <c r="C358" t="inlineStr">
        <is>
          <t>CSUS.L</t>
        </is>
      </c>
      <c r="D358" t="inlineStr">
        <is>
          <t>5 Years</t>
        </is>
      </c>
      <c r="E358" s="2" t="n">
        <v>44253</v>
      </c>
      <c r="F358" s="2" t="n">
        <v>46080</v>
      </c>
      <c r="G358" t="n">
        <v>84.59977206780876</v>
      </c>
      <c r="H358" t="n">
        <v>84.59977206780876</v>
      </c>
      <c r="I358" t="inlineStr">
        <is>
          <t>United States|CSUS.L|5 Years</t>
        </is>
      </c>
      <c r="J358" t="inlineStr">
        <is>
          <t>USD</t>
        </is>
      </c>
    </row>
    <row r="359">
      <c r="A359" t="inlineStr">
        <is>
          <t>United States</t>
        </is>
      </c>
      <c r="B359" t="inlineStr">
        <is>
          <t>USA</t>
        </is>
      </c>
      <c r="C359" t="inlineStr">
        <is>
          <t>CSUS.L</t>
        </is>
      </c>
      <c r="D359" t="inlineStr">
        <is>
          <t>10 Years</t>
        </is>
      </c>
      <c r="E359" s="2" t="n">
        <v>42426</v>
      </c>
      <c r="F359" s="2" t="n">
        <v>46080</v>
      </c>
      <c r="G359" t="n">
        <v>298.0795244412673</v>
      </c>
      <c r="H359" t="n">
        <v>298.0795244412673</v>
      </c>
      <c r="I359" t="inlineStr">
        <is>
          <t>United States|CSUS.L|10 Years</t>
        </is>
      </c>
      <c r="J359" t="inlineStr">
        <is>
          <t>USD</t>
        </is>
      </c>
    </row>
    <row r="360">
      <c r="A360" t="inlineStr">
        <is>
          <t>United States</t>
        </is>
      </c>
      <c r="B360" t="inlineStr">
        <is>
          <t>USA</t>
        </is>
      </c>
      <c r="C360" t="inlineStr">
        <is>
          <t>CSUS.L</t>
        </is>
      </c>
      <c r="D360" t="inlineStr">
        <is>
          <t>MAX</t>
        </is>
      </c>
      <c r="E360" s="2" t="n">
        <v>40437</v>
      </c>
      <c r="F360" s="2" t="n">
        <v>46080</v>
      </c>
      <c r="G360" t="n">
        <v>649.6827862911007</v>
      </c>
      <c r="H360" t="n">
        <v>649.6827862911007</v>
      </c>
      <c r="I360" t="inlineStr">
        <is>
          <t>United States|CSUS.L|MAX</t>
        </is>
      </c>
      <c r="J360" t="inlineStr">
        <is>
          <t>USD</t>
        </is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inlineStr">
        <is>
          <t>YTD</t>
        </is>
      </c>
      <c r="E361" s="2" t="n">
        <v>46022</v>
      </c>
      <c r="F361" s="2" t="n">
        <v>46080</v>
      </c>
      <c r="G361" t="n">
        <v>1.40845070422535</v>
      </c>
      <c r="H361" t="n">
        <v>1.591095543688548</v>
      </c>
      <c r="I361" t="inlineStr">
        <is>
          <t>Vietnam|XFVT.L|YTD</t>
        </is>
      </c>
      <c r="J361" t="inlineStr">
        <is>
          <t>GBp</t>
        </is>
      </c>
    </row>
    <row r="362">
      <c r="A362" t="inlineStr">
        <is>
          <t>Vietnam</t>
        </is>
      </c>
      <c r="B362" t="inlineStr">
        <is>
          <t>VNM</t>
        </is>
      </c>
      <c r="C362" t="inlineStr">
        <is>
          <t>XFVT.L</t>
        </is>
      </c>
      <c r="D362" t="inlineStr">
        <is>
          <t>1 Month</t>
        </is>
      </c>
      <c r="E362" s="2" t="n">
        <v>46049</v>
      </c>
      <c r="F362" s="2" t="n">
        <v>46080</v>
      </c>
      <c r="G362" t="n">
        <v>5.882352941176472</v>
      </c>
      <c r="H362" t="n">
        <v>4.44242094370737</v>
      </c>
      <c r="I362" t="inlineStr">
        <is>
          <t>Vietnam|XFVT.L|1 Month</t>
        </is>
      </c>
      <c r="J362" t="inlineStr">
        <is>
          <t>GBp</t>
        </is>
      </c>
    </row>
    <row r="363">
      <c r="A363" t="inlineStr">
        <is>
          <t>Vietnam</t>
        </is>
      </c>
      <c r="B363" t="inlineStr">
        <is>
          <t>VNM</t>
        </is>
      </c>
      <c r="C363" t="inlineStr">
        <is>
          <t>XFVT.L</t>
        </is>
      </c>
      <c r="D363" t="inlineStr">
        <is>
          <t>3 Months</t>
        </is>
      </c>
      <c r="E363" s="2" t="n">
        <v>45988</v>
      </c>
      <c r="F363" s="2" t="n">
        <v>46080</v>
      </c>
      <c r="G363" t="n">
        <v>7.058622457699548</v>
      </c>
      <c r="H363" t="n">
        <v>9.050710786549644</v>
      </c>
      <c r="I363" t="inlineStr">
        <is>
          <t>Vietnam|XFVT.L|3 Months</t>
        </is>
      </c>
      <c r="J363" t="inlineStr">
        <is>
          <t>GBp</t>
        </is>
      </c>
    </row>
    <row r="364">
      <c r="A364" t="inlineStr">
        <is>
          <t>Vietnam</t>
        </is>
      </c>
      <c r="B364" t="inlineStr">
        <is>
          <t>VNM</t>
        </is>
      </c>
      <c r="C364" t="inlineStr">
        <is>
          <t>XFVT.L</t>
        </is>
      </c>
      <c r="D364" t="inlineStr">
        <is>
          <t>6 Months</t>
        </is>
      </c>
      <c r="E364" s="2" t="n">
        <v>45896</v>
      </c>
      <c r="F364" s="2" t="n">
        <v>46080</v>
      </c>
      <c r="G364" t="n">
        <v>11.57819736373353</v>
      </c>
      <c r="H364" t="n">
        <v>11.68357066444894</v>
      </c>
      <c r="I364" t="inlineStr">
        <is>
          <t>Vietnam|XFVT.L|6 Months</t>
        </is>
      </c>
      <c r="J364" t="inlineStr">
        <is>
          <t>GBp</t>
        </is>
      </c>
    </row>
    <row r="365">
      <c r="A365" t="inlineStr">
        <is>
          <t>Vietnam</t>
        </is>
      </c>
      <c r="B365" t="inlineStr">
        <is>
          <t>VNM</t>
        </is>
      </c>
      <c r="C365" t="inlineStr">
        <is>
          <t>XFVT.L</t>
        </is>
      </c>
      <c r="D365" t="inlineStr">
        <is>
          <t>1 Year</t>
        </is>
      </c>
      <c r="E365" s="2" t="n">
        <v>45715</v>
      </c>
      <c r="F365" s="2" t="n">
        <v>46080</v>
      </c>
      <c r="G365" t="n">
        <v>56.95314457529443</v>
      </c>
      <c r="H365" t="n">
        <v>66.96692506877122</v>
      </c>
      <c r="I365" t="inlineStr">
        <is>
          <t>Vietnam|XFVT.L|1 Year</t>
        </is>
      </c>
      <c r="J365" t="inlineStr">
        <is>
          <t>GBp</t>
        </is>
      </c>
    </row>
    <row r="366">
      <c r="A366" t="inlineStr">
        <is>
          <t>Vietnam</t>
        </is>
      </c>
      <c r="B366" t="inlineStr">
        <is>
          <t>VNM</t>
        </is>
      </c>
      <c r="C366" t="inlineStr">
        <is>
          <t>XFVT.L</t>
        </is>
      </c>
      <c r="D366" t="inlineStr">
        <is>
          <t>3 Years</t>
        </is>
      </c>
      <c r="E366" s="2" t="n">
        <v>44984</v>
      </c>
      <c r="F366" s="2" t="n">
        <v>46080</v>
      </c>
      <c r="G366" t="n">
        <v>52.02038587550055</v>
      </c>
      <c r="H366" t="n">
        <v>71.59490443921676</v>
      </c>
      <c r="I366" t="inlineStr">
        <is>
          <t>Vietnam|XFVT.L|3 Years</t>
        </is>
      </c>
      <c r="J366" t="inlineStr">
        <is>
          <t>GBp</t>
        </is>
      </c>
    </row>
    <row r="367">
      <c r="A367" t="inlineStr">
        <is>
          <t>Vietnam</t>
        </is>
      </c>
      <c r="B367" t="inlineStr">
        <is>
          <t>VNM</t>
        </is>
      </c>
      <c r="C367" t="inlineStr">
        <is>
          <t>XFVT.L</t>
        </is>
      </c>
      <c r="D367" t="inlineStr">
        <is>
          <t>5 Years</t>
        </is>
      </c>
      <c r="E367" s="2" t="n">
        <v>44253</v>
      </c>
      <c r="F367" s="2" t="n">
        <v>46080</v>
      </c>
      <c r="G367" t="n">
        <v>15.93559133814548</v>
      </c>
      <c r="H367" t="n">
        <v>11.65923382190506</v>
      </c>
      <c r="I367" t="inlineStr">
        <is>
          <t>Vietnam|XFVT.L|5 Years</t>
        </is>
      </c>
      <c r="J367" t="inlineStr">
        <is>
          <t>GBp</t>
        </is>
      </c>
    </row>
    <row r="368">
      <c r="A368" t="inlineStr">
        <is>
          <t>Vietnam</t>
        </is>
      </c>
      <c r="B368" t="inlineStr">
        <is>
          <t>VNM</t>
        </is>
      </c>
      <c r="C368" t="inlineStr">
        <is>
          <t>XFVT.L</t>
        </is>
      </c>
      <c r="D368" t="inlineStr">
        <is>
          <t>10 Years</t>
        </is>
      </c>
      <c r="E368" s="2" t="n">
        <v>42426</v>
      </c>
      <c r="F368" s="2" t="n">
        <v>46080</v>
      </c>
      <c r="G368" t="n">
        <v>97.1671388101983</v>
      </c>
      <c r="H368" t="n">
        <v>90.46109535575336</v>
      </c>
      <c r="I368" t="inlineStr">
        <is>
          <t>Vietnam|XFVT.L|10 Years</t>
        </is>
      </c>
      <c r="J368" t="inlineStr">
        <is>
          <t>GBp</t>
        </is>
      </c>
    </row>
    <row r="369">
      <c r="A369" t="inlineStr">
        <is>
          <t>Vietnam</t>
        </is>
      </c>
      <c r="B369" t="inlineStr">
        <is>
          <t>VNM</t>
        </is>
      </c>
      <c r="C369" t="inlineStr">
        <is>
          <t>XFVT.L</t>
        </is>
      </c>
      <c r="D369" t="inlineStr">
        <is>
          <t>MAX</t>
        </is>
      </c>
      <c r="E369" s="2" t="n">
        <v>39818</v>
      </c>
      <c r="F369" s="2" t="n">
        <v>46080</v>
      </c>
      <c r="G369" t="n">
        <v>32.6556543837357</v>
      </c>
      <c r="H369" t="n">
        <v>21.61668052097285</v>
      </c>
      <c r="I369" t="inlineStr">
        <is>
          <t>Vietnam|XFVT.L|MAX</t>
        </is>
      </c>
      <c r="J369" t="inlineStr">
        <is>
          <t>GBp</t>
        </is>
      </c>
    </row>
  </sheetData>
  <autoFilter ref="A1:J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14.8493543758967</v>
      </c>
      <c r="F13" t="n">
        <v>2.149</v>
      </c>
      <c r="G13" t="n">
        <v>5.21892</v>
      </c>
      <c r="H13" t="n">
        <v>6.489122</v>
      </c>
      <c r="I13" t="n">
        <v>-6.578429958980395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14.8493543758967</v>
      </c>
      <c r="N13" t="n">
        <v>-1.551425714666665</v>
      </c>
      <c r="O13" t="inlineStr"/>
      <c r="P13" t="n">
        <v>13.0675519589804</v>
      </c>
      <c r="Q13" t="n">
        <v>1.207198804096987</v>
      </c>
      <c r="R13" t="n">
        <v>11.71888294017607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3.381332881110866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3.381332881110866</v>
      </c>
      <c r="N17" t="n">
        <v>0</v>
      </c>
      <c r="O17" t="n">
        <v>0</v>
      </c>
      <c r="P17" t="n">
        <v>3.381332881110866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9.174860003207087</v>
      </c>
      <c r="F18" t="n">
        <v>2.117</v>
      </c>
      <c r="G18" t="n">
        <v>3.97037</v>
      </c>
      <c r="H18" t="n">
        <v>3.686931</v>
      </c>
      <c r="I18" t="n">
        <v>-5.487929003207087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9.174860003207087</v>
      </c>
      <c r="N18" t="n">
        <v>0</v>
      </c>
      <c r="O18" t="n">
        <v>0</v>
      </c>
      <c r="P18" t="n">
        <v>9.174860003207087</v>
      </c>
      <c r="Q18" t="n">
        <v>-0.2726150682094253</v>
      </c>
      <c r="R18" t="n">
        <v>9.47330071662682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50.19608201636083</v>
      </c>
      <c r="F19" t="n">
        <v>2.272</v>
      </c>
      <c r="G19" t="n">
        <v>3.269641</v>
      </c>
      <c r="H19" t="n">
        <v>5.38672</v>
      </c>
      <c r="I19" t="n">
        <v>-44.80936201636084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50.19608201636083</v>
      </c>
      <c r="N19" t="n">
        <v>0</v>
      </c>
      <c r="O19" t="n">
        <v>0</v>
      </c>
      <c r="P19" t="n">
        <v>50.19608201636083</v>
      </c>
      <c r="Q19" t="n">
        <v>2.050050428680006</v>
      </c>
      <c r="R19" t="n">
        <v>47.17884154435452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-24.17169658339865</v>
      </c>
      <c r="F20" t="n">
        <v>2.484</v>
      </c>
      <c r="G20" t="n">
        <v>4.339564</v>
      </c>
      <c r="H20" t="n">
        <v>9.163171</v>
      </c>
      <c r="I20" t="n">
        <v>33.33486758339865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-24.17169658339865</v>
      </c>
      <c r="N20" t="n">
        <v>0</v>
      </c>
      <c r="O20" t="n">
        <v>0</v>
      </c>
      <c r="P20" t="n">
        <v>-24.17169658339865</v>
      </c>
      <c r="Q20" t="n">
        <v>4.622989695013557</v>
      </c>
      <c r="R20" t="n">
        <v>-27.52233171920587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17.17950693148786</v>
      </c>
      <c r="F21" t="n">
        <v>1.755</v>
      </c>
      <c r="G21" t="n">
        <v>3.254669</v>
      </c>
      <c r="H21" t="n">
        <v>-2.154214</v>
      </c>
      <c r="I21" t="n">
        <v>-19.33372093148786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17.17950693148786</v>
      </c>
      <c r="N21" t="n">
        <v>0</v>
      </c>
      <c r="O21" t="n">
        <v>0</v>
      </c>
      <c r="P21" t="n">
        <v>17.17950693148786</v>
      </c>
      <c r="Q21" t="n">
        <v>-5.238390951288785</v>
      </c>
      <c r="R21" t="n">
        <v>23.65715199206142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-4.954181467975549</v>
      </c>
      <c r="F22" t="n">
        <v>-6.318</v>
      </c>
      <c r="G22" t="n">
        <v>-3.888989</v>
      </c>
      <c r="H22" t="n">
        <v>-2.027614</v>
      </c>
      <c r="I22" t="n">
        <v>2.926567467975549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-4.954181467975549</v>
      </c>
      <c r="N22" t="n">
        <v>0</v>
      </c>
      <c r="O22" t="n">
        <v>0</v>
      </c>
      <c r="P22" t="n">
        <v>-4.954181467975549</v>
      </c>
      <c r="Q22" t="n">
        <v>1.936692108786842</v>
      </c>
      <c r="R22" t="n">
        <v>-6.759954079546205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30.05676054983038</v>
      </c>
      <c r="F23" t="n">
        <v>4.795</v>
      </c>
      <c r="G23" t="n">
        <v>6.813772</v>
      </c>
      <c r="H23" t="n">
        <v>10.767423</v>
      </c>
      <c r="I23" t="n">
        <v>-19.28933754983037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30.05676054983038</v>
      </c>
      <c r="N23" t="n">
        <v>0</v>
      </c>
      <c r="O23" t="n">
        <v>0</v>
      </c>
      <c r="P23" t="n">
        <v>30.05676054983038</v>
      </c>
      <c r="Q23" t="n">
        <v>3.701443563196238</v>
      </c>
      <c r="R23" t="n">
        <v>25.41460955707242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-22.0682355621127</v>
      </c>
      <c r="F24" t="n">
        <v>5.278</v>
      </c>
      <c r="G24" t="n">
        <v>10.283533</v>
      </c>
      <c r="H24" t="n">
        <v>-1.797265</v>
      </c>
      <c r="I24" t="n">
        <v>20.2709705621127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-22.0682355621127</v>
      </c>
      <c r="N24" t="n">
        <v>0</v>
      </c>
      <c r="O24" t="n">
        <v>0</v>
      </c>
      <c r="P24" t="n">
        <v>-22.0682355621127</v>
      </c>
      <c r="Q24" t="n">
        <v>-10.95430803977379</v>
      </c>
      <c r="R24" t="n">
        <v>-12.48115128051691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18.99447380133177</v>
      </c>
      <c r="F25" t="n">
        <v>-0.955</v>
      </c>
      <c r="G25" t="n">
        <v>5.629376</v>
      </c>
      <c r="H25" t="n">
        <v>8.405892</v>
      </c>
      <c r="I25" t="n">
        <v>-10.58858180133177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18.99447380133177</v>
      </c>
      <c r="N25" t="n">
        <v>0</v>
      </c>
      <c r="O25" t="n">
        <v>0</v>
      </c>
      <c r="P25" t="n">
        <v>18.99447380133177</v>
      </c>
      <c r="Q25" t="n">
        <v>2.628545228155277</v>
      </c>
      <c r="R25" t="n">
        <v>15.94676075432337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5.627036592825108</v>
      </c>
      <c r="F26" t="n">
        <v>-0.989</v>
      </c>
      <c r="G26" t="n">
        <v>2.323621</v>
      </c>
      <c r="H26" t="n">
        <v>2.368546</v>
      </c>
      <c r="I26" t="n">
        <v>-3.258490592825108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5.627036592825108</v>
      </c>
      <c r="N26" t="n">
        <v>0</v>
      </c>
      <c r="O26" t="n">
        <v>0</v>
      </c>
      <c r="P26" t="n">
        <v>5.627036592825108</v>
      </c>
      <c r="Q26" t="n">
        <v>0.04390521203538889</v>
      </c>
      <c r="R26" t="n">
        <v>5.580681170888613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5.867556357647419</v>
      </c>
      <c r="F28" t="n">
        <v>0.764</v>
      </c>
      <c r="G28" t="n">
        <v>3.229582</v>
      </c>
      <c r="H28" t="n">
        <v>6.66283</v>
      </c>
      <c r="I28" t="n">
        <v>0.7952736423525808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5.867556357647419</v>
      </c>
      <c r="N28" t="n">
        <v>0</v>
      </c>
      <c r="O28" t="n">
        <v>0</v>
      </c>
      <c r="P28" t="n">
        <v>5.867556357647419</v>
      </c>
      <c r="Q28" t="n">
        <v>3.325836999112908</v>
      </c>
      <c r="R28" t="n">
        <v>2.459906865846473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13.66700868907753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13.66700868907753</v>
      </c>
      <c r="N32" t="n">
        <v>0</v>
      </c>
      <c r="O32" t="n">
        <v>0</v>
      </c>
      <c r="P32" t="n">
        <v>13.66700868907753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-0.6331170096917083</v>
      </c>
      <c r="F33" t="n">
        <v>1.193</v>
      </c>
      <c r="G33" t="n">
        <v>3.111388</v>
      </c>
      <c r="H33" t="n">
        <v>2.830244</v>
      </c>
      <c r="I33" t="n">
        <v>3.463361009691708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-0.6331170096917083</v>
      </c>
      <c r="N33" t="n">
        <v>0</v>
      </c>
      <c r="O33" t="n">
        <v>0</v>
      </c>
      <c r="P33" t="n">
        <v>-0.6331170096917083</v>
      </c>
      <c r="Q33" t="n">
        <v>-0.2726606748133742</v>
      </c>
      <c r="R33" t="n">
        <v>-0.3614418446510226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23.55751679165559</v>
      </c>
      <c r="F34" t="n">
        <v>1.475</v>
      </c>
      <c r="G34" t="n">
        <v>3.487083</v>
      </c>
      <c r="H34" t="n">
        <v>5.608458</v>
      </c>
      <c r="I34" t="n">
        <v>-17.94905879165559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23.55751679165559</v>
      </c>
      <c r="N34" t="n">
        <v>0</v>
      </c>
      <c r="O34" t="n">
        <v>0</v>
      </c>
      <c r="P34" t="n">
        <v>23.55751679165559</v>
      </c>
      <c r="Q34" t="n">
        <v>2.049893728100072</v>
      </c>
      <c r="R34" t="n">
        <v>21.07559574815436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-20.93012689176586</v>
      </c>
      <c r="F35" t="n">
        <v>1.878</v>
      </c>
      <c r="G35" t="n">
        <v>3.627359</v>
      </c>
      <c r="H35" t="n">
        <v>8.418059</v>
      </c>
      <c r="I35" t="n">
        <v>29.34818589176585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-20.93012689176586</v>
      </c>
      <c r="N35" t="n">
        <v>0</v>
      </c>
      <c r="O35" t="n">
        <v>0</v>
      </c>
      <c r="P35" t="n">
        <v>-20.93012689176586</v>
      </c>
      <c r="Q35" t="n">
        <v>4.623007061365381</v>
      </c>
      <c r="R35" t="n">
        <v>-24.42401023528539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26.61872303944208</v>
      </c>
      <c r="F36" t="n">
        <v>2.443</v>
      </c>
      <c r="G36" t="n">
        <v>4.342622</v>
      </c>
      <c r="H36" t="n">
        <v>-1.123258</v>
      </c>
      <c r="I36" t="n">
        <v>-27.74198103944208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26.61872303944208</v>
      </c>
      <c r="N36" t="n">
        <v>0</v>
      </c>
      <c r="O36" t="n">
        <v>0</v>
      </c>
      <c r="P36" t="n">
        <v>26.61872303944208</v>
      </c>
      <c r="Q36" t="n">
        <v>-5.238396259879563</v>
      </c>
      <c r="R36" t="n">
        <v>33.61817238413187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-0.9693060238060602</v>
      </c>
      <c r="F37" t="n">
        <v>-4.793</v>
      </c>
      <c r="G37" t="n">
        <v>-3.273778</v>
      </c>
      <c r="H37" t="n">
        <v>-1.400556</v>
      </c>
      <c r="I37" t="n">
        <v>-0.4312499761939397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-0.9693060238060602</v>
      </c>
      <c r="N37" t="n">
        <v>0</v>
      </c>
      <c r="O37" t="n">
        <v>0</v>
      </c>
      <c r="P37" t="n">
        <v>-0.9693060238060602</v>
      </c>
      <c r="Q37" t="n">
        <v>1.936623729398956</v>
      </c>
      <c r="R37" t="n">
        <v>-2.850721994598426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11.60176464899183</v>
      </c>
      <c r="F38" t="n">
        <v>6.207</v>
      </c>
      <c r="G38" t="n">
        <v>9.120647</v>
      </c>
      <c r="H38" t="n">
        <v>13.159849</v>
      </c>
      <c r="I38" t="n">
        <v>1.558084351008169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11.60176464899183</v>
      </c>
      <c r="N38" t="n">
        <v>0</v>
      </c>
      <c r="O38" t="n">
        <v>0</v>
      </c>
      <c r="P38" t="n">
        <v>11.60176464899183</v>
      </c>
      <c r="Q38" t="n">
        <v>3.701592674734067</v>
      </c>
      <c r="R38" t="n">
        <v>7.618178053481883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-15.13184653076434</v>
      </c>
      <c r="F39" t="n">
        <v>4.26</v>
      </c>
      <c r="G39" t="n">
        <v>11.394791</v>
      </c>
      <c r="H39" t="n">
        <v>-0.8079539999999999</v>
      </c>
      <c r="I39" t="n">
        <v>14.32389253076434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-15.13184653076434</v>
      </c>
      <c r="N39" t="n">
        <v>0</v>
      </c>
      <c r="O39" t="n">
        <v>0</v>
      </c>
      <c r="P39" t="n">
        <v>-15.13184653076434</v>
      </c>
      <c r="Q39" t="n">
        <v>-10.95450295124366</v>
      </c>
      <c r="R39" t="n">
        <v>-4.691246293154383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7.145736474241038</v>
      </c>
      <c r="F40" t="n">
        <v>1.202</v>
      </c>
      <c r="G40" t="n">
        <v>5.763957</v>
      </c>
      <c r="H40" t="n">
        <v>8.544121000000001</v>
      </c>
      <c r="I40" t="n">
        <v>1.398384525758963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7.145736474241038</v>
      </c>
      <c r="N40" t="n">
        <v>0</v>
      </c>
      <c r="O40" t="n">
        <v>0</v>
      </c>
      <c r="P40" t="n">
        <v>7.145736474241038</v>
      </c>
      <c r="Q40" t="n">
        <v>2.628650186414072</v>
      </c>
      <c r="R40" t="n">
        <v>4.401389163378999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1.317361119033689</v>
      </c>
      <c r="F41" t="n">
        <v>1.019</v>
      </c>
      <c r="G41" t="n">
        <v>2.982714</v>
      </c>
      <c r="H41" t="n">
        <v>3.027883</v>
      </c>
      <c r="I41" t="n">
        <v>1.710521880966311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1.317361119033689</v>
      </c>
      <c r="N41" t="n">
        <v>0</v>
      </c>
      <c r="O41" t="n">
        <v>0</v>
      </c>
      <c r="P41" t="n">
        <v>1.317361119033689</v>
      </c>
      <c r="Q41" t="n">
        <v>0.04386073309028404</v>
      </c>
      <c r="R41" t="n">
        <v>1.272942064222216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8.585447506426181</v>
      </c>
      <c r="F43" t="n">
        <v>0.98</v>
      </c>
      <c r="G43" t="n">
        <v>2.746913</v>
      </c>
      <c r="H43" t="n">
        <v>6.16391</v>
      </c>
      <c r="I43" t="n">
        <v>-2.421537506426182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8.585447506426181</v>
      </c>
      <c r="N43" t="n">
        <v>0</v>
      </c>
      <c r="O43" t="n">
        <v>0</v>
      </c>
      <c r="P43" t="n">
        <v>8.585447506426181</v>
      </c>
      <c r="Q43" t="n">
        <v>3.325644623515855</v>
      </c>
      <c r="R43" t="n">
        <v>5.090510591126995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21.4712643678161</v>
      </c>
      <c r="F58" t="n">
        <v>1.942</v>
      </c>
      <c r="G58" t="n">
        <v>6.700485</v>
      </c>
      <c r="H58" t="n">
        <v>1.585353</v>
      </c>
      <c r="I58" t="n">
        <v>-18.00137493648308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21.4712643678161</v>
      </c>
      <c r="N58" t="n">
        <v>-1.551425714666665</v>
      </c>
      <c r="O58" t="inlineStr"/>
      <c r="P58" t="n">
        <v>19.58672793648308</v>
      </c>
      <c r="Q58" t="n">
        <v>-4.793915921235781</v>
      </c>
      <c r="R58" t="n">
        <v>25.60828343443755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7.570626934984515</v>
      </c>
      <c r="F73" t="n">
        <v>1.541</v>
      </c>
      <c r="G73" t="n">
        <v>4.015086</v>
      </c>
      <c r="H73" t="n">
        <v>6.009724</v>
      </c>
      <c r="I73" t="n">
        <v>0.1079754327129763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7.570626934984515</v>
      </c>
      <c r="N73" t="n">
        <v>-1.551425714666665</v>
      </c>
      <c r="O73" t="inlineStr"/>
      <c r="P73" t="n">
        <v>5.901748567287024</v>
      </c>
      <c r="Q73" t="n">
        <v>1.917642917461637</v>
      </c>
      <c r="R73" t="n">
        <v>3.909142260140297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3.882594712045107</v>
      </c>
      <c r="F88" t="n">
        <v>4.163</v>
      </c>
      <c r="G88" t="n">
        <v>4.659559</v>
      </c>
      <c r="H88" t="n">
        <v>6.454994</v>
      </c>
      <c r="I88" t="n">
        <v>4.184060575380519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3.882594712045107</v>
      </c>
      <c r="N88" t="n">
        <v>-1.551425714666665</v>
      </c>
      <c r="O88" t="inlineStr"/>
      <c r="P88" t="n">
        <v>2.270933424619481</v>
      </c>
      <c r="Q88" t="n">
        <v>1.715499981285462</v>
      </c>
      <c r="R88" t="n">
        <v>0.5460656865828861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6.036697247706413</v>
      </c>
      <c r="F103" t="n">
        <v>0.911</v>
      </c>
      <c r="G103" t="n">
        <v>2.453141</v>
      </c>
      <c r="H103" t="n">
        <v>5.860528</v>
      </c>
      <c r="I103" t="n">
        <v>1.468911340377734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6.036697247706413</v>
      </c>
      <c r="N103" t="n">
        <v>-1.551425714666665</v>
      </c>
      <c r="O103" t="inlineStr"/>
      <c r="P103" t="n">
        <v>4.391616659622266</v>
      </c>
      <c r="Q103" t="n">
        <v>3.325800444983762</v>
      </c>
      <c r="R103" t="n">
        <v>1.031510242406486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2.928148148426279</v>
      </c>
      <c r="F118" t="n">
        <v>0.944</v>
      </c>
      <c r="G118" t="n">
        <v>2.854457</v>
      </c>
      <c r="H118" t="n">
        <v>6.275164</v>
      </c>
      <c r="I118" t="n">
        <v>5.822239473574065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2.928148148426279</v>
      </c>
      <c r="N118" t="n">
        <v>-2.404807301527456</v>
      </c>
      <c r="O118" t="inlineStr"/>
      <c r="P118" t="n">
        <v>0.4529245264259352</v>
      </c>
      <c r="Q118" t="n">
        <v>3.3257747234954</v>
      </c>
      <c r="R118" t="n">
        <v>-2.780380988922992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3.871128871128882</v>
      </c>
      <c r="F133" t="n">
        <v>0.944</v>
      </c>
      <c r="G133" t="n">
        <v>2.854457</v>
      </c>
      <c r="H133" t="n">
        <v>6.275164</v>
      </c>
      <c r="I133" t="n">
        <v>4.015518532292373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3.871128871128882</v>
      </c>
      <c r="N133" t="n">
        <v>-1.551425714666665</v>
      </c>
      <c r="O133" t="inlineStr"/>
      <c r="P133" t="n">
        <v>2.259645467707627</v>
      </c>
      <c r="Q133" t="n">
        <v>3.3257747234954</v>
      </c>
      <c r="R133" t="n">
        <v>-1.031813464395293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-41.20250601946319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-41.20250601946319</v>
      </c>
      <c r="N137" t="n">
        <v>0</v>
      </c>
      <c r="O137" t="n">
        <v>0</v>
      </c>
      <c r="P137" t="n">
        <v>-41.20250601946319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-1.453804266253611</v>
      </c>
      <c r="F138" t="n">
        <v>-0.032</v>
      </c>
      <c r="G138" t="n">
        <v>-0.521775</v>
      </c>
      <c r="H138" t="n">
        <v>-0.7929619999999999</v>
      </c>
      <c r="I138" t="n">
        <v>0.6608422662536111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-1.453804266253611</v>
      </c>
      <c r="N138" t="n">
        <v>0</v>
      </c>
      <c r="O138" t="n">
        <v>0</v>
      </c>
      <c r="P138" t="n">
        <v>-1.453804266253611</v>
      </c>
      <c r="Q138" t="n">
        <v>-0.2726090758551236</v>
      </c>
      <c r="R138" t="n">
        <v>-1.184424037822196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30.60835257786874</v>
      </c>
      <c r="F139" t="n">
        <v>1.473</v>
      </c>
      <c r="G139" t="n">
        <v>1.680157</v>
      </c>
      <c r="H139" t="n">
        <v>3.763909</v>
      </c>
      <c r="I139" t="n">
        <v>-26.84444357786874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30.60835257786874</v>
      </c>
      <c r="N139" t="n">
        <v>0</v>
      </c>
      <c r="O139" t="n">
        <v>0</v>
      </c>
      <c r="P139" t="n">
        <v>30.60835257786874</v>
      </c>
      <c r="Q139" t="n">
        <v>2.049320116562869</v>
      </c>
      <c r="R139" t="n">
        <v>27.98551957885183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-32.43207291198799</v>
      </c>
      <c r="F140" t="n">
        <v>2.065</v>
      </c>
      <c r="G140" t="n">
        <v>1.824906</v>
      </c>
      <c r="H140" t="n">
        <v>6.532874</v>
      </c>
      <c r="I140" t="n">
        <v>38.96494691198799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-32.43207291198799</v>
      </c>
      <c r="N140" t="n">
        <v>0</v>
      </c>
      <c r="O140" t="n">
        <v>0</v>
      </c>
      <c r="P140" t="n">
        <v>-32.43207291198799</v>
      </c>
      <c r="Q140" t="n">
        <v>4.623591848279407</v>
      </c>
      <c r="R140" t="n">
        <v>-35.41807741986521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51.73710509239915</v>
      </c>
      <c r="F141" t="n">
        <v>2.277</v>
      </c>
      <c r="G141" t="n">
        <v>2.527462</v>
      </c>
      <c r="H141" t="n">
        <v>-2.843071</v>
      </c>
      <c r="I141" t="n">
        <v>-54.58017609239915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51.73710509239915</v>
      </c>
      <c r="N141" t="n">
        <v>0</v>
      </c>
      <c r="O141" t="n">
        <v>0</v>
      </c>
      <c r="P141" t="n">
        <v>51.73710509239915</v>
      </c>
      <c r="Q141" t="n">
        <v>-5.238140680804115</v>
      </c>
      <c r="R141" t="n">
        <v>60.1246600505039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-14.90058238965606</v>
      </c>
      <c r="F142" t="n">
        <v>-9.196</v>
      </c>
      <c r="G142" t="n">
        <v>-9.526355000000001</v>
      </c>
      <c r="H142" t="n">
        <v>-7.7746</v>
      </c>
      <c r="I142" t="n">
        <v>7.125982389656058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-14.90058238965606</v>
      </c>
      <c r="N142" t="n">
        <v>0</v>
      </c>
      <c r="O142" t="n">
        <v>0</v>
      </c>
      <c r="P142" t="n">
        <v>-14.90058238965606</v>
      </c>
      <c r="Q142" t="n">
        <v>1.936205301204375</v>
      </c>
      <c r="R142" t="n">
        <v>-16.51698495260889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5.064047288985729</v>
      </c>
      <c r="F143" t="n">
        <v>8.654</v>
      </c>
      <c r="G143" t="n">
        <v>10.167721</v>
      </c>
      <c r="H143" t="n">
        <v>14.245594</v>
      </c>
      <c r="I143" t="n">
        <v>9.181546711014271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5.064047288985729</v>
      </c>
      <c r="N143" t="n">
        <v>0</v>
      </c>
      <c r="O143" t="n">
        <v>0</v>
      </c>
      <c r="P143" t="n">
        <v>5.064047288985729</v>
      </c>
      <c r="Q143" t="n">
        <v>3.701513171218962</v>
      </c>
      <c r="R143" t="n">
        <v>1.313899938487029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2.552416036624061</v>
      </c>
      <c r="F144" t="n">
        <v>5.744</v>
      </c>
      <c r="G144" t="n">
        <v>12.612217</v>
      </c>
      <c r="H144" t="n">
        <v>0.276495</v>
      </c>
      <c r="I144" t="n">
        <v>-2.275921036624061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2.552416036624061</v>
      </c>
      <c r="N144" t="n">
        <v>0</v>
      </c>
      <c r="O144" t="n">
        <v>0</v>
      </c>
      <c r="P144" t="n">
        <v>2.552416036624061</v>
      </c>
      <c r="Q144" t="n">
        <v>-10.95416004939412</v>
      </c>
      <c r="R144" t="n">
        <v>15.16811576319606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41.75910059308703</v>
      </c>
      <c r="F145" t="n">
        <v>2.332</v>
      </c>
      <c r="G145" t="n">
        <v>8.343838</v>
      </c>
      <c r="H145" t="n">
        <v>11.191812</v>
      </c>
      <c r="I145" t="n">
        <v>-30.56728859308703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41.75910059308703</v>
      </c>
      <c r="N145" t="n">
        <v>0</v>
      </c>
      <c r="O145" t="n">
        <v>0</v>
      </c>
      <c r="P145" t="n">
        <v>41.75910059308703</v>
      </c>
      <c r="Q145" t="n">
        <v>2.6286446849074</v>
      </c>
      <c r="R145" t="n">
        <v>38.12820097967655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9.387459794167551</v>
      </c>
      <c r="F146" t="n">
        <v>2.272</v>
      </c>
      <c r="G146" t="n">
        <v>5.495633</v>
      </c>
      <c r="H146" t="n">
        <v>5.541756</v>
      </c>
      <c r="I146" t="n">
        <v>-3.845703794167551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9.387459794167551</v>
      </c>
      <c r="N146" t="n">
        <v>0</v>
      </c>
      <c r="O146" t="n">
        <v>0</v>
      </c>
      <c r="P146" t="n">
        <v>9.387459794167551</v>
      </c>
      <c r="Q146" t="n">
        <v>0.04372069339206863</v>
      </c>
      <c r="R146" t="n">
        <v>9.339655738526176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75.70356528125421</v>
      </c>
      <c r="F147" t="n">
        <v>1.964</v>
      </c>
      <c r="G147" t="n">
        <v>5.093592</v>
      </c>
      <c r="H147" t="n">
        <v>9.706419</v>
      </c>
      <c r="I147" t="n">
        <v>-65.99714628125422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75.70356528125421</v>
      </c>
      <c r="N147" t="n">
        <v>0</v>
      </c>
      <c r="O147" t="n">
        <v>0</v>
      </c>
      <c r="P147" t="n">
        <v>75.70356528125421</v>
      </c>
      <c r="Q147" t="n">
        <v>4.38925586567025</v>
      </c>
      <c r="R147" t="n">
        <v>68.3157560844694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4.804267121111883</v>
      </c>
      <c r="F148" t="n">
        <v>2.043</v>
      </c>
      <c r="G148" t="n">
        <v>4.612415</v>
      </c>
      <c r="H148" t="n">
        <v>8.091298999999999</v>
      </c>
      <c r="I148" t="n">
        <v>3.287031878888117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4.804267121111883</v>
      </c>
      <c r="N148" t="n">
        <v>0</v>
      </c>
      <c r="O148" t="n">
        <v>0</v>
      </c>
      <c r="P148" t="n">
        <v>4.804267121111883</v>
      </c>
      <c r="Q148" t="n">
        <v>3.325498448972142</v>
      </c>
      <c r="R148" t="n">
        <v>1.431174970687454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-1.078691247296659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-1.078691247296659</v>
      </c>
      <c r="N152" t="n">
        <v>0</v>
      </c>
      <c r="O152" t="n">
        <v>0</v>
      </c>
      <c r="P152" t="n">
        <v>-1.078691247296659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3.596176250068872</v>
      </c>
      <c r="F153" t="n">
        <v>2.175</v>
      </c>
      <c r="G153" t="n">
        <v>3.849342</v>
      </c>
      <c r="H153" t="n">
        <v>3.708636</v>
      </c>
      <c r="I153" t="n">
        <v>0.1124597499311277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3.596176250068872</v>
      </c>
      <c r="N153" t="n">
        <v>0</v>
      </c>
      <c r="O153" t="n">
        <v>0</v>
      </c>
      <c r="P153" t="n">
        <v>3.596176250068872</v>
      </c>
      <c r="Q153" t="n">
        <v>-0.1354907133202965</v>
      </c>
      <c r="R153" t="n">
        <v>3.736729885365708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34.25774139273869</v>
      </c>
      <c r="F154" t="n">
        <v>3.796</v>
      </c>
      <c r="G154" t="n">
        <v>6.786041</v>
      </c>
      <c r="H154" t="n">
        <v>6.361341</v>
      </c>
      <c r="I154" t="n">
        <v>-27.89640039273869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34.25774139273869</v>
      </c>
      <c r="N154" t="n">
        <v>0</v>
      </c>
      <c r="O154" t="n">
        <v>0</v>
      </c>
      <c r="P154" t="n">
        <v>34.25774139273869</v>
      </c>
      <c r="Q154" t="n">
        <v>-0.39771073449969</v>
      </c>
      <c r="R154" t="n">
        <v>34.79383092778185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-9.784179075339027</v>
      </c>
      <c r="F155" t="n">
        <v>2.847</v>
      </c>
      <c r="G155" t="n">
        <v>6.610666</v>
      </c>
      <c r="H155" t="n">
        <v>5.995235</v>
      </c>
      <c r="I155" t="n">
        <v>15.77941407533903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-9.784179075339027</v>
      </c>
      <c r="N155" t="n">
        <v>0</v>
      </c>
      <c r="O155" t="n">
        <v>0</v>
      </c>
      <c r="P155" t="n">
        <v>-9.784179075339027</v>
      </c>
      <c r="Q155" t="n">
        <v>-0.5772691991979939</v>
      </c>
      <c r="R155" t="n">
        <v>-9.260367123276369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11.92434514501821</v>
      </c>
      <c r="F156" t="n">
        <v>-1.672</v>
      </c>
      <c r="G156" t="n">
        <v>0.338326</v>
      </c>
      <c r="H156" t="n">
        <v>0.371547</v>
      </c>
      <c r="I156" t="n">
        <v>-11.55279814501821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11.92434514501821</v>
      </c>
      <c r="N156" t="n">
        <v>0</v>
      </c>
      <c r="O156" t="n">
        <v>0</v>
      </c>
      <c r="P156" t="n">
        <v>11.92434514501821</v>
      </c>
      <c r="Q156" t="n">
        <v>0.03310856884966018</v>
      </c>
      <c r="R156" t="n">
        <v>11.88730086097862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1.702721167567156</v>
      </c>
      <c r="F157" t="n">
        <v>-6.545</v>
      </c>
      <c r="G157" t="n">
        <v>-5.948249</v>
      </c>
      <c r="H157" t="n">
        <v>-4.99456</v>
      </c>
      <c r="I157" t="n">
        <v>-6.697281167567156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1.702721167567156</v>
      </c>
      <c r="N157" t="n">
        <v>0</v>
      </c>
      <c r="O157" t="n">
        <v>0</v>
      </c>
      <c r="P157" t="n">
        <v>1.702721167567156</v>
      </c>
      <c r="Q157" t="n">
        <v>1.01400441539532</v>
      </c>
      <c r="R157" t="n">
        <v>0.6818032372418958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-4.464141716668502</v>
      </c>
      <c r="F158" t="n">
        <v>6.454</v>
      </c>
      <c r="G158" t="n">
        <v>7.18217</v>
      </c>
      <c r="H158" t="n">
        <v>6.96148</v>
      </c>
      <c r="I158" t="n">
        <v>11.4256217166685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-4.464141716668502</v>
      </c>
      <c r="N158" t="n">
        <v>0</v>
      </c>
      <c r="O158" t="n">
        <v>0</v>
      </c>
      <c r="P158" t="n">
        <v>-4.464141716668502</v>
      </c>
      <c r="Q158" t="n">
        <v>-0.2059013661241393</v>
      </c>
      <c r="R158" t="n">
        <v>-4.267026215815606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-7.126668471968822</v>
      </c>
      <c r="F159" t="n">
        <v>-3.684</v>
      </c>
      <c r="G159" t="n">
        <v>-2.057342</v>
      </c>
      <c r="H159" t="n">
        <v>-2.784629</v>
      </c>
      <c r="I159" t="n">
        <v>4.342039471968822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-7.126668471968822</v>
      </c>
      <c r="N159" t="n">
        <v>0</v>
      </c>
      <c r="O159" t="n">
        <v>0</v>
      </c>
      <c r="P159" t="n">
        <v>-7.126668471968822</v>
      </c>
      <c r="Q159" t="n">
        <v>-0.742564522541167</v>
      </c>
      <c r="R159" t="n">
        <v>-6.431864694789013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-15.91104241974106</v>
      </c>
      <c r="F160" t="n">
        <v>3.224</v>
      </c>
      <c r="G160" t="n">
        <v>6.210072</v>
      </c>
      <c r="H160" t="n">
        <v>6.234805</v>
      </c>
      <c r="I160" t="n">
        <v>22.14584741974106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-15.91104241974106</v>
      </c>
      <c r="N160" t="n">
        <v>0</v>
      </c>
      <c r="O160" t="n">
        <v>0</v>
      </c>
      <c r="P160" t="n">
        <v>-15.91104241974106</v>
      </c>
      <c r="Q160" t="n">
        <v>0.02328715442325713</v>
      </c>
      <c r="R160" t="n">
        <v>-15.93061978613414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2.604706719119076</v>
      </c>
      <c r="F161" t="n">
        <v>2.505</v>
      </c>
      <c r="G161" t="n">
        <v>6.425068</v>
      </c>
      <c r="H161" t="n">
        <v>6.776138</v>
      </c>
      <c r="I161" t="n">
        <v>4.171431280880924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2.604706719119076</v>
      </c>
      <c r="N161" t="n">
        <v>0</v>
      </c>
      <c r="O161" t="n">
        <v>0</v>
      </c>
      <c r="P161" t="n">
        <v>2.604706719119076</v>
      </c>
      <c r="Q161" t="n">
        <v>0.3298751768107566</v>
      </c>
      <c r="R161" t="n">
        <v>2.267352110524801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10.69958004318614</v>
      </c>
      <c r="F163" t="n">
        <v>2.122</v>
      </c>
      <c r="G163" t="n">
        <v>4.299869</v>
      </c>
      <c r="H163" t="n">
        <v>4.299762</v>
      </c>
      <c r="I163" t="n">
        <v>-6.399818043186142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10.69958004318614</v>
      </c>
      <c r="N163" t="n">
        <v>0</v>
      </c>
      <c r="O163" t="n">
        <v>0</v>
      </c>
      <c r="P163" t="n">
        <v>10.69958004318614</v>
      </c>
      <c r="Q163" t="n">
        <v>-0.0001025016202804707</v>
      </c>
      <c r="R163" t="n">
        <v>10.69969351216564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-4.795982812488919</v>
      </c>
      <c r="F178" t="n">
        <v>6.159</v>
      </c>
      <c r="G178" t="n">
        <v>10.122338</v>
      </c>
      <c r="H178" t="n">
        <v>9.221730000000001</v>
      </c>
      <c r="I178" t="n">
        <v>14.01771281248892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-4.795982812488919</v>
      </c>
      <c r="N178" t="n">
        <v>0</v>
      </c>
      <c r="O178" t="n">
        <v>0</v>
      </c>
      <c r="P178" t="n">
        <v>-4.795982812488919</v>
      </c>
      <c r="Q178" t="n">
        <v>-0.8178255346367069</v>
      </c>
      <c r="R178" t="n">
        <v>-4.010959932363123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-7.589924597622688</v>
      </c>
      <c r="F193" t="n">
        <v>4.942</v>
      </c>
      <c r="G193" t="n">
        <v>7.932287</v>
      </c>
      <c r="H193" t="n">
        <v>7.412406</v>
      </c>
      <c r="I193" t="n">
        <v>17.22461483824608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-7.589924597622688</v>
      </c>
      <c r="N193" t="n">
        <v>-2.404807301527456</v>
      </c>
      <c r="O193" t="inlineStr"/>
      <c r="P193" t="n">
        <v>-9.812208838246084</v>
      </c>
      <c r="Q193" t="n">
        <v>-0.4816731502218174</v>
      </c>
      <c r="R193" t="n">
        <v>-9.375695897810466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2.915708774674375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2.915708774674375</v>
      </c>
      <c r="N197" t="n">
        <v>0</v>
      </c>
      <c r="O197" t="n">
        <v>0</v>
      </c>
      <c r="P197" t="n">
        <v>2.915708774674375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-7.21754333219593</v>
      </c>
      <c r="F198" t="n">
        <v>1.236</v>
      </c>
      <c r="G198" t="n">
        <v>2.499763</v>
      </c>
      <c r="H198" t="n">
        <v>2.220127</v>
      </c>
      <c r="I198" t="n">
        <v>9.43767033219593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-7.21754333219593</v>
      </c>
      <c r="N198" t="n">
        <v>0</v>
      </c>
      <c r="O198" t="n">
        <v>0</v>
      </c>
      <c r="P198" t="n">
        <v>-7.21754333219593</v>
      </c>
      <c r="Q198" t="n">
        <v>-0.2728156085432532</v>
      </c>
      <c r="R198" t="n">
        <v>-6.963725854720515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27.22811458805916</v>
      </c>
      <c r="F199" t="n">
        <v>1.604</v>
      </c>
      <c r="G199" t="n">
        <v>2.325006</v>
      </c>
      <c r="H199" t="n">
        <v>4.422636</v>
      </c>
      <c r="I199" t="n">
        <v>-22.80547858805916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27.22811458805916</v>
      </c>
      <c r="N199" t="n">
        <v>0</v>
      </c>
      <c r="O199" t="n">
        <v>0</v>
      </c>
      <c r="P199" t="n">
        <v>27.22811458805916</v>
      </c>
      <c r="Q199" t="n">
        <v>2.049967928336471</v>
      </c>
      <c r="R199" t="n">
        <v>24.67237096772415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-17.69275007736052</v>
      </c>
      <c r="F200" t="n">
        <v>0.827</v>
      </c>
      <c r="G200" t="n">
        <v>1.905997</v>
      </c>
      <c r="H200" t="n">
        <v>6.617168</v>
      </c>
      <c r="I200" t="n">
        <v>24.30991807736052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-17.69275007736052</v>
      </c>
      <c r="N200" t="n">
        <v>0</v>
      </c>
      <c r="O200" t="n">
        <v>0</v>
      </c>
      <c r="P200" t="n">
        <v>-17.69275007736052</v>
      </c>
      <c r="Q200" t="n">
        <v>4.623056079141641</v>
      </c>
      <c r="R200" t="n">
        <v>-21.32972118461295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27.29961200056832</v>
      </c>
      <c r="F201" t="n">
        <v>0.429</v>
      </c>
      <c r="G201" t="n">
        <v>1.480753</v>
      </c>
      <c r="H201" t="n">
        <v>-3.835293</v>
      </c>
      <c r="I201" t="n">
        <v>-31.13490500056832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27.29961200056832</v>
      </c>
      <c r="N201" t="n">
        <v>0</v>
      </c>
      <c r="O201" t="n">
        <v>0</v>
      </c>
      <c r="P201" t="n">
        <v>27.29961200056832</v>
      </c>
      <c r="Q201" t="n">
        <v>-5.23847742588689</v>
      </c>
      <c r="R201" t="n">
        <v>34.33681576929825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0.3274519211047711</v>
      </c>
      <c r="F202" t="n">
        <v>-8.868</v>
      </c>
      <c r="G202" t="n">
        <v>-7.430707</v>
      </c>
      <c r="H202" t="n">
        <v>-5.637848</v>
      </c>
      <c r="I202" t="n">
        <v>-5.965299921104771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0.3274519211047711</v>
      </c>
      <c r="N202" t="n">
        <v>0</v>
      </c>
      <c r="O202" t="n">
        <v>0</v>
      </c>
      <c r="P202" t="n">
        <v>0.3274519211047711</v>
      </c>
      <c r="Q202" t="n">
        <v>1.936774732016144</v>
      </c>
      <c r="R202" t="n">
        <v>-1.578746056211955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13.49749513948233</v>
      </c>
      <c r="F203" t="n">
        <v>8.930999999999999</v>
      </c>
      <c r="G203" t="n">
        <v>10.328962</v>
      </c>
      <c r="H203" t="n">
        <v>14.412767</v>
      </c>
      <c r="I203" t="n">
        <v>0.915271860517672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13.49749513948233</v>
      </c>
      <c r="N203" t="n">
        <v>0</v>
      </c>
      <c r="O203" t="n">
        <v>0</v>
      </c>
      <c r="P203" t="n">
        <v>13.49749513948233</v>
      </c>
      <c r="Q203" t="n">
        <v>3.701481070130574</v>
      </c>
      <c r="R203" t="n">
        <v>9.446358883463745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-15.52398073130962</v>
      </c>
      <c r="F204" t="n">
        <v>4.821</v>
      </c>
      <c r="G204" t="n">
        <v>8.443111</v>
      </c>
      <c r="H204" t="n">
        <v>-3.436304</v>
      </c>
      <c r="I204" t="n">
        <v>12.08767673130962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-15.52398073130962</v>
      </c>
      <c r="N204" t="n">
        <v>0</v>
      </c>
      <c r="O204" t="n">
        <v>0</v>
      </c>
      <c r="P204" t="n">
        <v>-15.52398073130962</v>
      </c>
      <c r="Q204" t="n">
        <v>-10.95451332175897</v>
      </c>
      <c r="R204" t="n">
        <v>-5.131610348834482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28.39150560684012</v>
      </c>
      <c r="F205" t="n">
        <v>0.715</v>
      </c>
      <c r="G205" t="n">
        <v>6.672279</v>
      </c>
      <c r="H205" t="n">
        <v>9.476413000000001</v>
      </c>
      <c r="I205" t="n">
        <v>-18.91509260684012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28.39150560684012</v>
      </c>
      <c r="N205" t="n">
        <v>0</v>
      </c>
      <c r="O205" t="n">
        <v>0</v>
      </c>
      <c r="P205" t="n">
        <v>28.39150560684012</v>
      </c>
      <c r="Q205" t="n">
        <v>2.628737200625419</v>
      </c>
      <c r="R205" t="n">
        <v>25.1028796699037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11.01334124544224</v>
      </c>
      <c r="F206" t="n">
        <v>0.726</v>
      </c>
      <c r="G206" t="n">
        <v>2.852176</v>
      </c>
      <c r="H206" t="n">
        <v>2.897231</v>
      </c>
      <c r="I206" t="n">
        <v>-8.116110245442243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11.01334124544224</v>
      </c>
      <c r="N206" t="n">
        <v>0</v>
      </c>
      <c r="O206" t="n">
        <v>0</v>
      </c>
      <c r="P206" t="n">
        <v>11.01334124544224</v>
      </c>
      <c r="Q206" t="n">
        <v>0.0438054392624343</v>
      </c>
      <c r="R206" t="n">
        <v>10.96473265687552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57.55739357786656</v>
      </c>
      <c r="F207" t="n">
        <v>0.546</v>
      </c>
      <c r="G207" t="n">
        <v>2.726189</v>
      </c>
      <c r="H207" t="n">
        <v>7.23498</v>
      </c>
      <c r="I207" t="n">
        <v>-50.32241357786656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57.55739357786656</v>
      </c>
      <c r="N207" t="n">
        <v>0</v>
      </c>
      <c r="O207" t="n">
        <v>0</v>
      </c>
      <c r="P207" t="n">
        <v>57.55739357786656</v>
      </c>
      <c r="Q207" t="n">
        <v>4.389134997969357</v>
      </c>
      <c r="R207" t="n">
        <v>50.93275136433639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3.934013759328159</v>
      </c>
      <c r="F208" t="n">
        <v>0.759</v>
      </c>
      <c r="G208" t="n">
        <v>2.787725</v>
      </c>
      <c r="H208" t="n">
        <v>6.206252</v>
      </c>
      <c r="I208" t="n">
        <v>2.272238240671841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3.934013759328159</v>
      </c>
      <c r="N208" t="n">
        <v>0</v>
      </c>
      <c r="O208" t="n">
        <v>0</v>
      </c>
      <c r="P208" t="n">
        <v>3.934013759328159</v>
      </c>
      <c r="Q208" t="n">
        <v>3.32581257664113</v>
      </c>
      <c r="R208" t="n">
        <v>0.5886246306903153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14.14679262556198</v>
      </c>
      <c r="F223" t="n">
        <v>0.633</v>
      </c>
      <c r="G223" t="n">
        <v>2.602655</v>
      </c>
      <c r="H223" t="n">
        <v>4.294705</v>
      </c>
      <c r="I223" t="n">
        <v>-9.852087625561976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14.14679262556198</v>
      </c>
      <c r="N223" t="n">
        <v>0</v>
      </c>
      <c r="O223" t="n">
        <v>0</v>
      </c>
      <c r="P223" t="n">
        <v>14.14679262556198</v>
      </c>
      <c r="Q223" t="n">
        <v>1.649129003290351</v>
      </c>
      <c r="R223" t="n">
        <v>12.29490478159148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6.920665541355198</v>
      </c>
      <c r="F238" t="n">
        <v>4</v>
      </c>
      <c r="G238" t="n">
        <v>5.973192</v>
      </c>
      <c r="H238" t="n">
        <v>7.393555</v>
      </c>
      <c r="I238" t="n">
        <v>2.131684158146123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6.920665541355198</v>
      </c>
      <c r="N238" t="n">
        <v>-1.551425714666665</v>
      </c>
      <c r="O238" t="inlineStr"/>
      <c r="P238" t="n">
        <v>5.261870841853877</v>
      </c>
      <c r="Q238" t="n">
        <v>1.340304244938451</v>
      </c>
      <c r="R238" t="n">
        <v>3.869700832392442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16.54396728016361</v>
      </c>
      <c r="F253" t="n">
        <v>1.544</v>
      </c>
      <c r="G253" t="n">
        <v>6.135736</v>
      </c>
      <c r="H253" t="n">
        <v>9.032876</v>
      </c>
      <c r="I253" t="n">
        <v>-5.702998202886446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16.54396728016361</v>
      </c>
      <c r="N253" t="n">
        <v>-1.551425714666665</v>
      </c>
      <c r="O253" t="inlineStr"/>
      <c r="P253" t="n">
        <v>14.73587420288645</v>
      </c>
      <c r="Q253" t="n">
        <v>2.729655744762916</v>
      </c>
      <c r="R253" t="n">
        <v>11.68719818155879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1.975112024402259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1.975112024402259</v>
      </c>
      <c r="N257" t="n">
        <v>0</v>
      </c>
      <c r="O257" t="n">
        <v>0</v>
      </c>
      <c r="P257" t="n">
        <v>1.975112024402259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5.826998572565989</v>
      </c>
      <c r="F258" t="n">
        <v>2.425</v>
      </c>
      <c r="G258" t="n">
        <v>3.00354</v>
      </c>
      <c r="H258" t="n">
        <v>2.722532</v>
      </c>
      <c r="I258" t="n">
        <v>-3.104466572565989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5.826998572565989</v>
      </c>
      <c r="N258" t="n">
        <v>0</v>
      </c>
      <c r="O258" t="n">
        <v>0</v>
      </c>
      <c r="P258" t="n">
        <v>5.826998572565989</v>
      </c>
      <c r="Q258" t="n">
        <v>-0.2728140914921573</v>
      </c>
      <c r="R258" t="n">
        <v>6.116499336153192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33.67558576917193</v>
      </c>
      <c r="F259" t="n">
        <v>2.783</v>
      </c>
      <c r="G259" t="n">
        <v>4.260909</v>
      </c>
      <c r="H259" t="n">
        <v>6.398191</v>
      </c>
      <c r="I259" t="n">
        <v>-27.27739476917193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33.67558576917193</v>
      </c>
      <c r="N259" t="n">
        <v>0</v>
      </c>
      <c r="O259" t="n">
        <v>0</v>
      </c>
      <c r="P259" t="n">
        <v>33.67558576917193</v>
      </c>
      <c r="Q259" t="n">
        <v>2.049936364006899</v>
      </c>
      <c r="R259" t="n">
        <v>30.99036661067378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-15.79985678525361</v>
      </c>
      <c r="F260" t="n">
        <v>2.26</v>
      </c>
      <c r="G260" t="n">
        <v>4.849366</v>
      </c>
      <c r="H260" t="n">
        <v>9.696626999999999</v>
      </c>
      <c r="I260" t="n">
        <v>25.49648378525361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-15.79985678525361</v>
      </c>
      <c r="N260" t="n">
        <v>0</v>
      </c>
      <c r="O260" t="n">
        <v>0</v>
      </c>
      <c r="P260" t="n">
        <v>-15.79985678525361</v>
      </c>
      <c r="Q260" t="n">
        <v>4.623071406000068</v>
      </c>
      <c r="R260" t="n">
        <v>-19.52048235326652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32.65528786328322</v>
      </c>
      <c r="F261" t="n">
        <v>2.3</v>
      </c>
      <c r="G261" t="n">
        <v>5.397619</v>
      </c>
      <c r="H261" t="n">
        <v>-0.123528</v>
      </c>
      <c r="I261" t="n">
        <v>-32.77881586328322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32.65528786328322</v>
      </c>
      <c r="N261" t="n">
        <v>0</v>
      </c>
      <c r="O261" t="n">
        <v>0</v>
      </c>
      <c r="P261" t="n">
        <v>32.65528786328322</v>
      </c>
      <c r="Q261" t="n">
        <v>-5.238398370873599</v>
      </c>
      <c r="R261" t="n">
        <v>39.9884400249622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21.9691935052744</v>
      </c>
      <c r="F262" t="n">
        <v>-3.877</v>
      </c>
      <c r="G262" t="n">
        <v>-1.603342</v>
      </c>
      <c r="H262" t="n">
        <v>0.302259</v>
      </c>
      <c r="I262" t="n">
        <v>-21.6669345052744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21.9691935052744</v>
      </c>
      <c r="N262" t="n">
        <v>0</v>
      </c>
      <c r="O262" t="n">
        <v>0</v>
      </c>
      <c r="P262" t="n">
        <v>21.9691935052744</v>
      </c>
      <c r="Q262" t="n">
        <v>1.936651341764462</v>
      </c>
      <c r="R262" t="n">
        <v>19.65195236436259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20.86859150825397</v>
      </c>
      <c r="F263" t="n">
        <v>6.278</v>
      </c>
      <c r="G263" t="n">
        <v>9.196619999999999</v>
      </c>
      <c r="H263" t="n">
        <v>13.238586</v>
      </c>
      <c r="I263" t="n">
        <v>-7.630005508253975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20.86859150825397</v>
      </c>
      <c r="N263" t="n">
        <v>0</v>
      </c>
      <c r="O263" t="n">
        <v>0</v>
      </c>
      <c r="P263" t="n">
        <v>20.86859150825397</v>
      </c>
      <c r="Q263" t="n">
        <v>3.701548806529442</v>
      </c>
      <c r="R263" t="n">
        <v>16.5542780212012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-24.89154206395049</v>
      </c>
      <c r="F264" t="n">
        <v>5.007</v>
      </c>
      <c r="G264" t="n">
        <v>11.471034</v>
      </c>
      <c r="H264" t="n">
        <v>-0.7400679999999999</v>
      </c>
      <c r="I264" t="n">
        <v>24.15147406395049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-24.89154206395049</v>
      </c>
      <c r="N264" t="n">
        <v>0</v>
      </c>
      <c r="O264" t="n">
        <v>0</v>
      </c>
      <c r="P264" t="n">
        <v>-24.89154206395049</v>
      </c>
      <c r="Q264" t="n">
        <v>-10.9545066694613</v>
      </c>
      <c r="R264" t="n">
        <v>-15.65158984829769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19.73342420678559</v>
      </c>
      <c r="F265" t="n">
        <v>-0.601</v>
      </c>
      <c r="G265" t="n">
        <v>5.666318</v>
      </c>
      <c r="H265" t="n">
        <v>8.443960000000001</v>
      </c>
      <c r="I265" t="n">
        <v>-11.28946420678559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19.73342420678559</v>
      </c>
      <c r="N265" t="n">
        <v>0</v>
      </c>
      <c r="O265" t="n">
        <v>0</v>
      </c>
      <c r="P265" t="n">
        <v>19.73342420678559</v>
      </c>
      <c r="Q265" t="n">
        <v>2.628692357557849</v>
      </c>
      <c r="R265" t="n">
        <v>16.66661774237066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4.267467011907722</v>
      </c>
      <c r="F266" t="n">
        <v>1.08</v>
      </c>
      <c r="G266" t="n">
        <v>6.887318</v>
      </c>
      <c r="H266" t="n">
        <v>6.934213</v>
      </c>
      <c r="I266" t="n">
        <v>2.666745988092278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4.267467011907722</v>
      </c>
      <c r="N266" t="n">
        <v>0</v>
      </c>
      <c r="O266" t="n">
        <v>0</v>
      </c>
      <c r="P266" t="n">
        <v>4.267467011907722</v>
      </c>
      <c r="Q266" t="n">
        <v>0.04387328789934308</v>
      </c>
      <c r="R266" t="n">
        <v>4.221741507202559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7.094133510762735</v>
      </c>
      <c r="F268" t="n">
        <v>1.222</v>
      </c>
      <c r="G268" t="n">
        <v>3.555679</v>
      </c>
      <c r="H268" t="n">
        <v>6.999739</v>
      </c>
      <c r="I268" t="n">
        <v>-0.09439451076273464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7.094133510762735</v>
      </c>
      <c r="N268" t="n">
        <v>0</v>
      </c>
      <c r="O268" t="n">
        <v>0</v>
      </c>
      <c r="P268" t="n">
        <v>7.094133510762735</v>
      </c>
      <c r="Q268" t="n">
        <v>3.325805098258505</v>
      </c>
      <c r="R268" t="n">
        <v>3.647035132144105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-7.524273139992665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-7.524273139992665</v>
      </c>
      <c r="N283" t="n">
        <v>0</v>
      </c>
      <c r="O283" t="n">
        <v>0</v>
      </c>
      <c r="P283" t="n">
        <v>-7.524273139992665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10.64204611106869</v>
      </c>
      <c r="F298" t="n">
        <v>5.731</v>
      </c>
      <c r="G298" t="n">
        <v>8.046950000000001</v>
      </c>
      <c r="H298" t="n">
        <v>8.046818999999999</v>
      </c>
      <c r="I298" t="n">
        <v>-0.8786979564682156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10.64204611106869</v>
      </c>
      <c r="N298" t="n">
        <v>-1.551425714666665</v>
      </c>
      <c r="O298" t="inlineStr"/>
      <c r="P298" t="n">
        <v>8.925516956468215</v>
      </c>
      <c r="Q298" t="n">
        <v>-0.0001214776089053515</v>
      </c>
      <c r="R298" t="n">
        <v>8.925649276742442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5.541613245331067</v>
      </c>
      <c r="F313" t="n">
        <v>3.136</v>
      </c>
      <c r="G313" t="n">
        <v>6.397182</v>
      </c>
      <c r="H313" t="n">
        <v>6.766229</v>
      </c>
      <c r="I313" t="n">
        <v>1.224615754668933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5.541613245331067</v>
      </c>
      <c r="N313" t="n">
        <v>0</v>
      </c>
      <c r="O313" t="n">
        <v>0</v>
      </c>
      <c r="P313" t="n">
        <v>5.541613245331067</v>
      </c>
      <c r="Q313" t="n">
        <v>0.3468579952283335</v>
      </c>
      <c r="R313" t="n">
        <v>5.176799108497998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5.632685442284791</v>
      </c>
      <c r="F328" t="n">
        <v>3.136</v>
      </c>
      <c r="G328" t="n">
        <v>6.397182</v>
      </c>
      <c r="H328" t="n">
        <v>6.766229</v>
      </c>
      <c r="I328" t="n">
        <v>2.772356202759761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5.632685442284791</v>
      </c>
      <c r="N328" t="n">
        <v>-1.551425714666665</v>
      </c>
      <c r="O328" t="inlineStr"/>
      <c r="P328" t="n">
        <v>3.993872797240239</v>
      </c>
      <c r="Q328" t="n">
        <v>0.3468579952283335</v>
      </c>
      <c r="R328" t="n">
        <v>3.634408565323821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3.027296698567294</v>
      </c>
      <c r="F343" t="n">
        <v>3.978</v>
      </c>
      <c r="G343" t="n">
        <v>3.761463</v>
      </c>
      <c r="H343" t="n">
        <v>3.761426</v>
      </c>
      <c r="I343" t="n">
        <v>0.7341293014327057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3.027296698567294</v>
      </c>
      <c r="N343" t="n">
        <v>0</v>
      </c>
      <c r="O343" t="n">
        <v>0</v>
      </c>
      <c r="P343" t="n">
        <v>3.027296698567294</v>
      </c>
      <c r="Q343" t="n">
        <v>-3.56447590665887e-05</v>
      </c>
      <c r="R343" t="n">
        <v>3.02733342241206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-17.62322758046504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-17.62322758046504</v>
      </c>
      <c r="N347" t="n">
        <v>0</v>
      </c>
      <c r="O347" t="n">
        <v>0</v>
      </c>
      <c r="P347" t="n">
        <v>-17.62322758046504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2.996311600006751</v>
      </c>
      <c r="F348" t="n">
        <v>3.748</v>
      </c>
      <c r="G348" t="n">
        <v>4.289115</v>
      </c>
      <c r="H348" t="n">
        <v>3.781506</v>
      </c>
      <c r="I348" t="n">
        <v>0.7851943999932485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2.996311600006751</v>
      </c>
      <c r="N348" t="n">
        <v>0</v>
      </c>
      <c r="O348" t="n">
        <v>0</v>
      </c>
      <c r="P348" t="n">
        <v>2.996311600006751</v>
      </c>
      <c r="Q348" t="n">
        <v>-0.4867326638529845</v>
      </c>
      <c r="R348" t="n">
        <v>3.500080297930852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33.4443848561244</v>
      </c>
      <c r="F349" t="n">
        <v>4.477</v>
      </c>
      <c r="G349" t="n">
        <v>7.468422</v>
      </c>
      <c r="H349" t="n">
        <v>7.516753</v>
      </c>
      <c r="I349" t="n">
        <v>-25.9276318561244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33.4443848561244</v>
      </c>
      <c r="N349" t="n">
        <v>0</v>
      </c>
      <c r="O349" t="n">
        <v>0</v>
      </c>
      <c r="P349" t="n">
        <v>33.4443848561244</v>
      </c>
      <c r="Q349" t="n">
        <v>0.04497212238856463</v>
      </c>
      <c r="R349" t="n">
        <v>33.38439906093147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-13.04999992835776</v>
      </c>
      <c r="F350" t="n">
        <v>3.452</v>
      </c>
      <c r="G350" t="n">
        <v>7.18372</v>
      </c>
      <c r="H350" t="n">
        <v>9.73338</v>
      </c>
      <c r="I350" t="n">
        <v>22.78337992835776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-13.04999992835776</v>
      </c>
      <c r="N350" t="n">
        <v>0</v>
      </c>
      <c r="O350" t="n">
        <v>0</v>
      </c>
      <c r="P350" t="n">
        <v>-13.04999992835776</v>
      </c>
      <c r="Q350" t="n">
        <v>2.378775940880362</v>
      </c>
      <c r="R350" t="n">
        <v>-15.07028749606033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14.53482048775803</v>
      </c>
      <c r="F351" t="n">
        <v>1.308</v>
      </c>
      <c r="G351" t="n">
        <v>0.877565</v>
      </c>
      <c r="H351" t="n">
        <v>-0.255089</v>
      </c>
      <c r="I351" t="n">
        <v>-14.78990948775803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14.53482048775803</v>
      </c>
      <c r="N351" t="n">
        <v>0</v>
      </c>
      <c r="O351" t="n">
        <v>0</v>
      </c>
      <c r="P351" t="n">
        <v>14.53482048775803</v>
      </c>
      <c r="Q351" t="n">
        <v>-1.122800664696166</v>
      </c>
      <c r="R351" t="n">
        <v>15.83542136884097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-9.635644331884397</v>
      </c>
      <c r="F352" t="n">
        <v>-3.815</v>
      </c>
      <c r="G352" t="n">
        <v>-6.116217</v>
      </c>
      <c r="H352" t="n">
        <v>-7.176695</v>
      </c>
      <c r="I352" t="n">
        <v>2.458949331884397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-9.635644331884397</v>
      </c>
      <c r="N352" t="n">
        <v>0</v>
      </c>
      <c r="O352" t="n">
        <v>0</v>
      </c>
      <c r="P352" t="n">
        <v>-9.635644331884397</v>
      </c>
      <c r="Q352" t="n">
        <v>-1.129564895866886</v>
      </c>
      <c r="R352" t="n">
        <v>-8.603258827635042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5.077686437830042</v>
      </c>
      <c r="F353" t="n">
        <v>9.757</v>
      </c>
      <c r="G353" t="n">
        <v>21.75237</v>
      </c>
      <c r="H353" t="n">
        <v>25.038234</v>
      </c>
      <c r="I353" t="n">
        <v>19.96054756216996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5.077686437830042</v>
      </c>
      <c r="N353" t="n">
        <v>0</v>
      </c>
      <c r="O353" t="n">
        <v>0</v>
      </c>
      <c r="P353" t="n">
        <v>5.077686437830042</v>
      </c>
      <c r="Q353" t="n">
        <v>2.698809069060415</v>
      </c>
      <c r="R353" t="n">
        <v>2.316363150004919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-9.973518857187791</v>
      </c>
      <c r="F354" t="n">
        <v>4.108</v>
      </c>
      <c r="G354" t="n">
        <v>19.642385</v>
      </c>
      <c r="H354" t="n">
        <v>16.58921</v>
      </c>
      <c r="I354" t="n">
        <v>26.56272885718779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-9.973518857187791</v>
      </c>
      <c r="N354" t="n">
        <v>0</v>
      </c>
      <c r="O354" t="n">
        <v>0</v>
      </c>
      <c r="P354" t="n">
        <v>-9.973518857187791</v>
      </c>
      <c r="Q354" t="n">
        <v>-2.551917327829734</v>
      </c>
      <c r="R354" t="n">
        <v>-7.615954389092927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6.092724747862333</v>
      </c>
      <c r="F355" t="n">
        <v>1.821</v>
      </c>
      <c r="G355" t="n">
        <v>-3.288561</v>
      </c>
      <c r="H355" t="n">
        <v>-0.702922</v>
      </c>
      <c r="I355" t="n">
        <v>-6.795646747862333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6.092724747862333</v>
      </c>
      <c r="N355" t="n">
        <v>0</v>
      </c>
      <c r="O355" t="n">
        <v>0</v>
      </c>
      <c r="P355" t="n">
        <v>6.092724747862333</v>
      </c>
      <c r="Q355" t="n">
        <v>2.67356012134643</v>
      </c>
      <c r="R355" t="n">
        <v>3.330131557213867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24.22674026643581</v>
      </c>
      <c r="F356" t="n">
        <v>4.388</v>
      </c>
      <c r="G356" t="n">
        <v>7.772054</v>
      </c>
      <c r="H356" t="n">
        <v>8.299106</v>
      </c>
      <c r="I356" t="n">
        <v>-15.92763426643581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24.22674026643581</v>
      </c>
      <c r="N356" t="n">
        <v>0</v>
      </c>
      <c r="O356" t="n">
        <v>0</v>
      </c>
      <c r="P356" t="n">
        <v>24.22674026643581</v>
      </c>
      <c r="Q356" t="n">
        <v>0.4890427453015267</v>
      </c>
      <c r="R356" t="n">
        <v>23.62217498807269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31.95796861863993</v>
      </c>
      <c r="F357" t="n">
        <v>2.226</v>
      </c>
      <c r="G357" t="n">
        <v>2.294664</v>
      </c>
      <c r="H357" t="n">
        <v>4.895622</v>
      </c>
      <c r="I357" t="n">
        <v>-27.06234661863993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31.95796861863993</v>
      </c>
      <c r="N357" t="n">
        <v>0</v>
      </c>
      <c r="O357" t="n">
        <v>0</v>
      </c>
      <c r="P357" t="n">
        <v>31.95796861863993</v>
      </c>
      <c r="Q357" t="n">
        <v>2.542613652897896</v>
      </c>
      <c r="R357" t="n">
        <v>28.68598128901969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3.675677325274496</v>
      </c>
      <c r="F358" t="n">
        <v>1.823</v>
      </c>
      <c r="G358" t="n">
        <v>3.126086</v>
      </c>
      <c r="H358" t="n">
        <v>5.580083</v>
      </c>
      <c r="I358" t="n">
        <v>1.904405674725504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3.675677325274496</v>
      </c>
      <c r="N358" t="n">
        <v>0</v>
      </c>
      <c r="O358" t="n">
        <v>0</v>
      </c>
      <c r="P358" t="n">
        <v>3.675677325274496</v>
      </c>
      <c r="Q358" t="n">
        <v>2.379608555916435</v>
      </c>
      <c r="R358" t="n">
        <v>1.265944251633067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18.79028135394712</v>
      </c>
      <c r="F373" t="n">
        <v>1.151</v>
      </c>
      <c r="G373" t="n">
        <v>4.860935</v>
      </c>
      <c r="H373" t="n">
        <v>4.048004</v>
      </c>
      <c r="I373" t="n">
        <v>-14.74227735394712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18.79028135394712</v>
      </c>
      <c r="N373" t="n">
        <v>0</v>
      </c>
      <c r="O373" t="n">
        <v>0</v>
      </c>
      <c r="P373" t="n">
        <v>18.79028135394712</v>
      </c>
      <c r="Q373" t="n">
        <v>-0.7752469863729683</v>
      </c>
      <c r="R373" t="n">
        <v>19.7183946002194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19.3099610461881</v>
      </c>
      <c r="F388" t="n">
        <v>1.151</v>
      </c>
      <c r="G388" t="n">
        <v>4.860935</v>
      </c>
      <c r="H388" t="n">
        <v>4.048004</v>
      </c>
      <c r="I388" t="n">
        <v>-13.41095163035875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19.3099610461881</v>
      </c>
      <c r="N388" t="n">
        <v>-1.551425714666665</v>
      </c>
      <c r="O388" t="inlineStr"/>
      <c r="P388" t="n">
        <v>17.45895563035875</v>
      </c>
      <c r="Q388" t="n">
        <v>-0.7752469863729683</v>
      </c>
      <c r="R388" t="n">
        <v>18.37666717520328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49.64823117631578</v>
      </c>
      <c r="F403" t="n">
        <v>1.83</v>
      </c>
      <c r="G403" t="n">
        <v>2.120058</v>
      </c>
      <c r="H403" t="n">
        <v>4.199192</v>
      </c>
      <c r="I403" t="n">
        <v>-45.44903917631578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49.64823117631578</v>
      </c>
      <c r="N403" t="n">
        <v>0</v>
      </c>
      <c r="O403" t="n">
        <v>0</v>
      </c>
      <c r="P403" t="n">
        <v>49.64823117631578</v>
      </c>
      <c r="Q403" t="n">
        <v>2.035970204912152</v>
      </c>
      <c r="R403" t="n">
        <v>46.66223183431004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5.500273005878586</v>
      </c>
      <c r="F418" t="n">
        <v>1.958</v>
      </c>
      <c r="G418" t="n">
        <v>4.480217</v>
      </c>
      <c r="H418" t="n">
        <v>7.955023</v>
      </c>
      <c r="I418" t="n">
        <v>4.991828262498182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5.500273005878586</v>
      </c>
      <c r="N418" t="n">
        <v>-2.404807301527456</v>
      </c>
      <c r="O418" t="inlineStr"/>
      <c r="P418" t="n">
        <v>2.963194737501817</v>
      </c>
      <c r="Q418" t="n">
        <v>3.325802534156552</v>
      </c>
      <c r="R418" t="n">
        <v>-0.3509363467415261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-3.906339416039528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-3.906339416039528</v>
      </c>
      <c r="N422" t="n">
        <v>0</v>
      </c>
      <c r="O422" t="n">
        <v>0</v>
      </c>
      <c r="P422" t="n">
        <v>-3.906339416039528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4.523701496476096</v>
      </c>
      <c r="F423" t="n">
        <v>2.131</v>
      </c>
      <c r="G423" t="n">
        <v>3.825749</v>
      </c>
      <c r="H423" t="n">
        <v>2.283882</v>
      </c>
      <c r="I423" t="n">
        <v>-2.239819496476096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4.523701496476096</v>
      </c>
      <c r="N423" t="n">
        <v>0</v>
      </c>
      <c r="O423" t="n">
        <v>0</v>
      </c>
      <c r="P423" t="n">
        <v>4.523701496476096</v>
      </c>
      <c r="Q423" t="n">
        <v>-1.485052375931262</v>
      </c>
      <c r="R423" t="n">
        <v>6.099332149408077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21.0142036030081</v>
      </c>
      <c r="F424" t="n">
        <v>1.883</v>
      </c>
      <c r="G424" t="n">
        <v>4.150268</v>
      </c>
      <c r="H424" t="n">
        <v>4.310234</v>
      </c>
      <c r="I424" t="n">
        <v>-16.7039696030081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21.0142036030081</v>
      </c>
      <c r="N424" t="n">
        <v>0</v>
      </c>
      <c r="O424" t="n">
        <v>0</v>
      </c>
      <c r="P424" t="n">
        <v>21.0142036030081</v>
      </c>
      <c r="Q424" t="n">
        <v>0.1535917839132761</v>
      </c>
      <c r="R424" t="n">
        <v>20.82862076889136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-13.44732467326157</v>
      </c>
      <c r="F425" t="n">
        <v>1.77</v>
      </c>
      <c r="G425" t="n">
        <v>4.430993</v>
      </c>
      <c r="H425" t="n">
        <v>2.705112</v>
      </c>
      <c r="I425" t="n">
        <v>16.15243667326157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-13.44732467326157</v>
      </c>
      <c r="N425" t="n">
        <v>0</v>
      </c>
      <c r="O425" t="n">
        <v>0</v>
      </c>
      <c r="P425" t="n">
        <v>-13.44732467326157</v>
      </c>
      <c r="Q425" t="n">
        <v>-1.652652847033775</v>
      </c>
      <c r="R425" t="n">
        <v>-11.99287237294032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23.80645408396762</v>
      </c>
      <c r="F426" t="n">
        <v>2.608</v>
      </c>
      <c r="G426" t="n">
        <v>5.09739</v>
      </c>
      <c r="H426" t="n">
        <v>-3.412178</v>
      </c>
      <c r="I426" t="n">
        <v>-27.21863208396762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23.80645408396762</v>
      </c>
      <c r="N426" t="n">
        <v>0</v>
      </c>
      <c r="O426" t="n">
        <v>0</v>
      </c>
      <c r="P426" t="n">
        <v>23.80645408396762</v>
      </c>
      <c r="Q426" t="n">
        <v>-8.096840339697453</v>
      </c>
      <c r="R426" t="n">
        <v>34.71403436137317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18.94080226389725</v>
      </c>
      <c r="F427" t="n">
        <v>-1.934</v>
      </c>
      <c r="G427" t="n">
        <v>-0.169814</v>
      </c>
      <c r="H427" t="n">
        <v>2.51877</v>
      </c>
      <c r="I427" t="n">
        <v>-16.42203226389725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18.94080226389725</v>
      </c>
      <c r="N427" t="n">
        <v>0</v>
      </c>
      <c r="O427" t="n">
        <v>0</v>
      </c>
      <c r="P427" t="n">
        <v>18.94080226389725</v>
      </c>
      <c r="Q427" t="n">
        <v>2.693157386668488</v>
      </c>
      <c r="R427" t="n">
        <v>15.82154574919907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21.3106447982474</v>
      </c>
      <c r="F428" t="n">
        <v>5.226</v>
      </c>
      <c r="G428" t="n">
        <v>8.077332999999999</v>
      </c>
      <c r="H428" t="n">
        <v>16.063285</v>
      </c>
      <c r="I428" t="n">
        <v>-5.247359798247402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21.3106447982474</v>
      </c>
      <c r="N428" t="n">
        <v>0</v>
      </c>
      <c r="O428" t="n">
        <v>0</v>
      </c>
      <c r="P428" t="n">
        <v>21.3106447982474</v>
      </c>
      <c r="Q428" t="n">
        <v>7.38910909507311</v>
      </c>
      <c r="R428" t="n">
        <v>12.96363832467346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-28.50703270662908</v>
      </c>
      <c r="F429" t="n">
        <v>1.255</v>
      </c>
      <c r="G429" t="n">
        <v>7.358299</v>
      </c>
      <c r="H429" t="n">
        <v>-8.963531</v>
      </c>
      <c r="I429" t="n">
        <v>19.54350170662908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-28.50703270662908</v>
      </c>
      <c r="N429" t="n">
        <v>0</v>
      </c>
      <c r="O429" t="n">
        <v>0</v>
      </c>
      <c r="P429" t="n">
        <v>-28.50703270662908</v>
      </c>
      <c r="Q429" t="n">
        <v>-15.20313827829323</v>
      </c>
      <c r="R429" t="n">
        <v>-15.68913537389821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23.65384782207207</v>
      </c>
      <c r="F430" t="n">
        <v>-0.204</v>
      </c>
      <c r="G430" t="n">
        <v>5.6181</v>
      </c>
      <c r="H430" t="n">
        <v>0.681655</v>
      </c>
      <c r="I430" t="n">
        <v>-22.97219282207207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23.65384782207207</v>
      </c>
      <c r="N430" t="n">
        <v>0</v>
      </c>
      <c r="O430" t="n">
        <v>0</v>
      </c>
      <c r="P430" t="n">
        <v>23.65384782207207</v>
      </c>
      <c r="Q430" t="n">
        <v>-4.67386258318302</v>
      </c>
      <c r="R430" t="n">
        <v>29.71662460358711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-1.942401490991463</v>
      </c>
      <c r="F431" t="n">
        <v>0.82</v>
      </c>
      <c r="G431" t="n">
        <v>3.852333</v>
      </c>
      <c r="H431" t="n">
        <v>4.270187</v>
      </c>
      <c r="I431" t="n">
        <v>6.212588490991463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-1.942401490991463</v>
      </c>
      <c r="N431" t="n">
        <v>0</v>
      </c>
      <c r="O431" t="n">
        <v>0</v>
      </c>
      <c r="P431" t="n">
        <v>-1.942401490991463</v>
      </c>
      <c r="Q431" t="n">
        <v>0.4023545641516524</v>
      </c>
      <c r="R431" t="n">
        <v>-2.335359629086131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10.32258650018592</v>
      </c>
      <c r="F433" t="n">
        <v>1.932</v>
      </c>
      <c r="G433" t="n">
        <v>3.563101</v>
      </c>
      <c r="H433" t="n">
        <v>7.426191</v>
      </c>
      <c r="I433" t="n">
        <v>-2.896395500185915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10.32258650018592</v>
      </c>
      <c r="N433" t="n">
        <v>0</v>
      </c>
      <c r="O433" t="n">
        <v>0</v>
      </c>
      <c r="P433" t="n">
        <v>10.32258650018592</v>
      </c>
      <c r="Q433" t="n">
        <v>3.730179520528276</v>
      </c>
      <c r="R433" t="n">
        <v>6.35534133858604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7.330969196305026</v>
      </c>
      <c r="F448" t="n">
        <v>1.275</v>
      </c>
      <c r="G448" t="n">
        <v>1.903517</v>
      </c>
      <c r="H448" t="n">
        <v>7.173077</v>
      </c>
      <c r="I448" t="n">
        <v>2.423210787727909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7.330969196305026</v>
      </c>
      <c r="N448" t="n">
        <v>-2.404807301527456</v>
      </c>
      <c r="O448" t="inlineStr"/>
      <c r="P448" t="n">
        <v>4.749866212272091</v>
      </c>
      <c r="Q448" t="n">
        <v>5.171126513062774</v>
      </c>
      <c r="R448" t="n">
        <v>-0.4005474836654477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8.416016645164493</v>
      </c>
      <c r="F463" t="n">
        <v>1.275</v>
      </c>
      <c r="G463" t="n">
        <v>1.903517</v>
      </c>
      <c r="H463" t="n">
        <v>7.173077</v>
      </c>
      <c r="I463" t="n">
        <v>0.4390543158858842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8.416016645164493</v>
      </c>
      <c r="N463" t="n">
        <v>-1.551425714666665</v>
      </c>
      <c r="O463" t="inlineStr"/>
      <c r="P463" t="n">
        <v>6.734022684114116</v>
      </c>
      <c r="Q463" t="n">
        <v>5.171126513062774</v>
      </c>
      <c r="R463" t="n">
        <v>1.486050613765388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n">
        <v>2015</v>
      </c>
      <c r="E467" t="n">
        <v>0.7782997323936502</v>
      </c>
      <c r="F467" t="n">
        <v>1.571</v>
      </c>
      <c r="G467" t="inlineStr"/>
      <c r="H467" t="inlineStr"/>
      <c r="I467" t="inlineStr"/>
      <c r="J467" t="inlineStr">
        <is>
          <t>Switzerland|EWL|2015</t>
        </is>
      </c>
      <c r="K467" t="inlineStr">
        <is>
          <t>Switzerland|2015</t>
        </is>
      </c>
      <c r="L467" t="inlineStr">
        <is>
          <t>USD</t>
        </is>
      </c>
      <c r="M467" t="n">
        <v>0.7782997323936502</v>
      </c>
      <c r="N467" t="n">
        <v>0</v>
      </c>
      <c r="O467" t="n">
        <v>0</v>
      </c>
      <c r="P467" t="n">
        <v>0.7782997323936502</v>
      </c>
      <c r="Q467" t="inlineStr"/>
      <c r="R467" t="inlineStr"/>
      <c r="S467" t="n">
        <v>-1.142</v>
      </c>
      <c r="T467" t="n">
        <v>0.121</v>
      </c>
      <c r="U467" t="n">
        <v>-1.263</v>
      </c>
      <c r="V467" t="n">
        <v>693814000000</v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n">
        <v>2016</v>
      </c>
      <c r="E468" t="n">
        <v>-1.394084259590445</v>
      </c>
      <c r="F468" t="n">
        <v>2.098</v>
      </c>
      <c r="G468" t="n">
        <v>1.498696</v>
      </c>
      <c r="H468" t="n">
        <v>-0.871703</v>
      </c>
      <c r="I468" t="n">
        <v>0.5223812595904446</v>
      </c>
      <c r="J468" t="inlineStr">
        <is>
          <t>Switzerland|EWL|2016</t>
        </is>
      </c>
      <c r="K468" t="inlineStr">
        <is>
          <t>Switzerland|2016</t>
        </is>
      </c>
      <c r="L468" t="inlineStr">
        <is>
          <t>USD</t>
        </is>
      </c>
      <c r="M468" t="n">
        <v>-1.394084259590445</v>
      </c>
      <c r="N468" t="n">
        <v>0</v>
      </c>
      <c r="O468" t="n">
        <v>0</v>
      </c>
      <c r="P468" t="n">
        <v>-1.394084259590445</v>
      </c>
      <c r="Q468" t="n">
        <v>-2.335398404529998</v>
      </c>
      <c r="R468" t="n">
        <v>0.9638232579276762</v>
      </c>
      <c r="S468" t="n">
        <v>-0.434</v>
      </c>
      <c r="T468" t="n">
        <v>1.267</v>
      </c>
      <c r="U468" t="n">
        <v>-1.701</v>
      </c>
      <c r="V468" t="n">
        <v>687766000000</v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n">
        <v>2017</v>
      </c>
      <c r="E469" t="n">
        <v>22.88282780994459</v>
      </c>
      <c r="F469" t="n">
        <v>1.428</v>
      </c>
      <c r="G469" t="n">
        <v>1.053383</v>
      </c>
      <c r="H469" t="n">
        <v>1.125528</v>
      </c>
      <c r="I469" t="n">
        <v>-21.75729980994459</v>
      </c>
      <c r="J469" t="inlineStr">
        <is>
          <t>Switzerland|EWL|2017</t>
        </is>
      </c>
      <c r="K469" t="inlineStr">
        <is>
          <t>Switzerland|2017</t>
        </is>
      </c>
      <c r="L469" t="inlineStr">
        <is>
          <t>USD</t>
        </is>
      </c>
      <c r="M469" t="n">
        <v>22.88282780994459</v>
      </c>
      <c r="N469" t="n">
        <v>0</v>
      </c>
      <c r="O469" t="n">
        <v>0</v>
      </c>
      <c r="P469" t="n">
        <v>22.88282780994459</v>
      </c>
      <c r="Q469" t="n">
        <v>0.07139279508214802</v>
      </c>
      <c r="R469" t="n">
        <v>22.79516091234366</v>
      </c>
      <c r="S469" t="n">
        <v>0.535</v>
      </c>
      <c r="T469" t="n">
        <v>2.131</v>
      </c>
      <c r="U469" t="n">
        <v>-1.596</v>
      </c>
      <c r="V469" t="n">
        <v>695507000000</v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n">
        <v>2018</v>
      </c>
      <c r="E470" t="n">
        <v>-9.563169462790144</v>
      </c>
      <c r="F470" t="n">
        <v>2.862</v>
      </c>
      <c r="G470" t="n">
        <v>3.647461</v>
      </c>
      <c r="H470" t="n">
        <v>4.368324</v>
      </c>
      <c r="I470" t="n">
        <v>13.93149346279014</v>
      </c>
      <c r="J470" t="inlineStr">
        <is>
          <t>Switzerland|EWL|2018</t>
        </is>
      </c>
      <c r="K470" t="inlineStr">
        <is>
          <t>Switzerland|2018</t>
        </is>
      </c>
      <c r="L470" t="inlineStr">
        <is>
          <t>USD</t>
        </is>
      </c>
      <c r="M470" t="n">
        <v>-9.563169462790144</v>
      </c>
      <c r="N470" t="n">
        <v>0</v>
      </c>
      <c r="O470" t="n">
        <v>0</v>
      </c>
      <c r="P470" t="n">
        <v>-9.563169462790144</v>
      </c>
      <c r="Q470" t="n">
        <v>0.6954953977677203</v>
      </c>
      <c r="R470" t="n">
        <v>-10.18780911701566</v>
      </c>
      <c r="S470" t="n">
        <v>0.9350000000000001</v>
      </c>
      <c r="T470" t="n">
        <v>2.439</v>
      </c>
      <c r="U470" t="n">
        <v>-1.504</v>
      </c>
      <c r="V470" t="n">
        <v>725889000000</v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n">
        <v>2019</v>
      </c>
      <c r="E471" t="n">
        <v>32.58999399999236</v>
      </c>
      <c r="F471" t="n">
        <v>1.163</v>
      </c>
      <c r="G471" t="n">
        <v>1.058548</v>
      </c>
      <c r="H471" t="n">
        <v>-0.550084</v>
      </c>
      <c r="I471" t="n">
        <v>-33.14007799999236</v>
      </c>
      <c r="J471" t="inlineStr">
        <is>
          <t>Switzerland|EWL|2019</t>
        </is>
      </c>
      <c r="K471" t="inlineStr">
        <is>
          <t>Switzerland|2019</t>
        </is>
      </c>
      <c r="L471" t="inlineStr">
        <is>
          <t>USD</t>
        </is>
      </c>
      <c r="M471" t="n">
        <v>32.58999399999236</v>
      </c>
      <c r="N471" t="n">
        <v>0</v>
      </c>
      <c r="O471" t="n">
        <v>0</v>
      </c>
      <c r="P471" t="n">
        <v>32.58999399999236</v>
      </c>
      <c r="Q471" t="n">
        <v>-1.591782718460655</v>
      </c>
      <c r="R471" t="n">
        <v>34.73467730917352</v>
      </c>
      <c r="S471" t="n">
        <v>0.363</v>
      </c>
      <c r="T471" t="n">
        <v>1.813</v>
      </c>
      <c r="U471" t="n">
        <v>-1.45</v>
      </c>
      <c r="V471" t="n">
        <v>721896000000</v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n">
        <v>2020</v>
      </c>
      <c r="E472" t="n">
        <v>10.93256998906005</v>
      </c>
      <c r="F472" t="n">
        <v>-2.293</v>
      </c>
      <c r="G472" t="n">
        <v>-2.970639</v>
      </c>
      <c r="H472" t="n">
        <v>2.68626</v>
      </c>
      <c r="I472" t="n">
        <v>-8.246309989060048</v>
      </c>
      <c r="J472" t="inlineStr">
        <is>
          <t>Switzerland|EWL|2020</t>
        </is>
      </c>
      <c r="K472" t="inlineStr">
        <is>
          <t>Switzerland|2020</t>
        </is>
      </c>
      <c r="L472" t="inlineStr">
        <is>
          <t>USD</t>
        </is>
      </c>
      <c r="M472" t="n">
        <v>10.93256998906005</v>
      </c>
      <c r="N472" t="n">
        <v>0</v>
      </c>
      <c r="O472" t="n">
        <v>0</v>
      </c>
      <c r="P472" t="n">
        <v>10.93256998906005</v>
      </c>
      <c r="Q472" t="n">
        <v>5.830089777766312</v>
      </c>
      <c r="R472" t="n">
        <v>4.821388909343738</v>
      </c>
      <c r="S472" t="n">
        <v>-0.724</v>
      </c>
      <c r="T472" t="n">
        <v>1.253</v>
      </c>
      <c r="U472" t="n">
        <v>-1.977</v>
      </c>
      <c r="V472" t="n">
        <v>741288000000</v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n">
        <v>2021</v>
      </c>
      <c r="E473" t="n">
        <v>18.89702862144107</v>
      </c>
      <c r="F473" t="n">
        <v>5.573</v>
      </c>
      <c r="G473" t="n">
        <v>6.962635</v>
      </c>
      <c r="H473" t="n">
        <v>9.902763999999999</v>
      </c>
      <c r="I473" t="n">
        <v>-8.99426462144107</v>
      </c>
      <c r="J473" t="inlineStr">
        <is>
          <t>Switzerland|EWL|2021</t>
        </is>
      </c>
      <c r="K473" t="inlineStr">
        <is>
          <t>Switzerland|2021</t>
        </is>
      </c>
      <c r="L473" t="inlineStr">
        <is>
          <t>USD</t>
        </is>
      </c>
      <c r="M473" t="n">
        <v>18.89702862144107</v>
      </c>
      <c r="N473" t="n">
        <v>0</v>
      </c>
      <c r="O473" t="n">
        <v>0</v>
      </c>
      <c r="P473" t="n">
        <v>18.89702862144107</v>
      </c>
      <c r="Q473" t="n">
        <v>2.748744273606651</v>
      </c>
      <c r="R473" t="n">
        <v>15.71628389426698</v>
      </c>
      <c r="S473" t="n">
        <v>0.583</v>
      </c>
      <c r="T473" t="n">
        <v>4.679</v>
      </c>
      <c r="U473" t="n">
        <v>-4.096</v>
      </c>
      <c r="V473" t="n">
        <v>814696000000</v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n">
        <v>2022</v>
      </c>
      <c r="E474" t="n">
        <v>-19.15357375867849</v>
      </c>
      <c r="F474" t="n">
        <v>3.124</v>
      </c>
      <c r="G474" t="n">
        <v>6.257026</v>
      </c>
      <c r="H474" t="n">
        <v>1.69597</v>
      </c>
      <c r="I474" t="n">
        <v>20.84954375867849</v>
      </c>
      <c r="J474" t="inlineStr">
        <is>
          <t>Switzerland|EWL|2022</t>
        </is>
      </c>
      <c r="K474" t="inlineStr">
        <is>
          <t>Switzerland|2022</t>
        </is>
      </c>
      <c r="L474" t="inlineStr">
        <is>
          <t>USD</t>
        </is>
      </c>
      <c r="M474" t="n">
        <v>-19.15357375867849</v>
      </c>
      <c r="N474" t="n">
        <v>0</v>
      </c>
      <c r="O474" t="n">
        <v>0</v>
      </c>
      <c r="P474" t="n">
        <v>-19.15357375867849</v>
      </c>
      <c r="Q474" t="n">
        <v>-4.29247512672184</v>
      </c>
      <c r="R474" t="n">
        <v>-15.52761776217025</v>
      </c>
      <c r="S474" t="n">
        <v>2.834</v>
      </c>
      <c r="T474" t="n">
        <v>7.993</v>
      </c>
      <c r="U474" t="n">
        <v>-5.159000000000001</v>
      </c>
      <c r="V474" t="n">
        <v>828513000000</v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n">
        <v>2023</v>
      </c>
      <c r="E475" t="n">
        <v>15.8705803068699</v>
      </c>
      <c r="F475" t="n">
        <v>0.737</v>
      </c>
      <c r="G475" t="n">
        <v>1.629522</v>
      </c>
      <c r="H475" t="n">
        <v>8.00253</v>
      </c>
      <c r="I475" t="n">
        <v>-7.868050306869897</v>
      </c>
      <c r="J475" t="inlineStr">
        <is>
          <t>Switzerland|EWL|2023</t>
        </is>
      </c>
      <c r="K475" t="inlineStr">
        <is>
          <t>Switzerland|2023</t>
        </is>
      </c>
      <c r="L475" t="inlineStr">
        <is>
          <t>USD</t>
        </is>
      </c>
      <c r="M475" t="n">
        <v>15.8705803068699</v>
      </c>
      <c r="N475" t="n">
        <v>0</v>
      </c>
      <c r="O475" t="n">
        <v>0</v>
      </c>
      <c r="P475" t="n">
        <v>15.8705803068699</v>
      </c>
      <c r="Q475" t="n">
        <v>6.270823636061729</v>
      </c>
      <c r="R475" t="n">
        <v>9.033294692138449</v>
      </c>
      <c r="S475" t="n">
        <v>2.135</v>
      </c>
      <c r="T475" t="n">
        <v>4.128</v>
      </c>
      <c r="U475" t="n">
        <v>-1.993</v>
      </c>
      <c r="V475" t="n">
        <v>894815000000</v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n">
        <v>2024</v>
      </c>
      <c r="E476" t="n">
        <v>-2.156434393728979</v>
      </c>
      <c r="F476" t="n">
        <v>1.363</v>
      </c>
      <c r="G476" t="n">
        <v>2.737126</v>
      </c>
      <c r="H476" t="n">
        <v>4.843236</v>
      </c>
      <c r="I476" t="n">
        <v>6.999670393728978</v>
      </c>
      <c r="J476" t="inlineStr">
        <is>
          <t>Switzerland|EWL|2024</t>
        </is>
      </c>
      <c r="K476" t="inlineStr">
        <is>
          <t>Switzerland|2024</t>
        </is>
      </c>
      <c r="L476" t="inlineStr">
        <is>
          <t>USD</t>
        </is>
      </c>
      <c r="M476" t="n">
        <v>-2.156434393728979</v>
      </c>
      <c r="N476" t="n">
        <v>0</v>
      </c>
      <c r="O476" t="n">
        <v>0</v>
      </c>
      <c r="P476" t="n">
        <v>-2.156434393728979</v>
      </c>
      <c r="Q476" t="n">
        <v>2.049998749231574</v>
      </c>
      <c r="R476" t="n">
        <v>-4.121933556605972</v>
      </c>
      <c r="S476" t="n">
        <v>1.06</v>
      </c>
      <c r="T476" t="n">
        <v>2.952</v>
      </c>
      <c r="U476" t="n">
        <v>-1.892</v>
      </c>
      <c r="V476" t="n">
        <v>938153000000</v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n">
        <v>2025</v>
      </c>
      <c r="E477" t="n">
        <v>33.24270296086154</v>
      </c>
      <c r="F477" t="n">
        <v>0.946</v>
      </c>
      <c r="G477" t="n">
        <v>1.031492</v>
      </c>
      <c r="H477" t="n">
        <v>6.876597</v>
      </c>
      <c r="I477" t="n">
        <v>-26.36610596086154</v>
      </c>
      <c r="J477" t="inlineStr">
        <is>
          <t>Switzerland|EWL|2025</t>
        </is>
      </c>
      <c r="K477" t="inlineStr">
        <is>
          <t>Switzerland|2025</t>
        </is>
      </c>
      <c r="L477" t="inlineStr">
        <is>
          <t>USD</t>
        </is>
      </c>
      <c r="M477" t="n">
        <v>33.24270296086154</v>
      </c>
      <c r="N477" t="n">
        <v>0</v>
      </c>
      <c r="O477" t="n">
        <v>0</v>
      </c>
      <c r="P477" t="n">
        <v>33.24270296086154</v>
      </c>
      <c r="Q477" t="n">
        <v>5.785428671851567</v>
      </c>
      <c r="R477" t="n">
        <v>25.95562983838064</v>
      </c>
      <c r="S477" t="n">
        <v>0.142</v>
      </c>
      <c r="T477" t="n">
        <v>2.715</v>
      </c>
      <c r="U477" t="n">
        <v>-2.573</v>
      </c>
      <c r="V477" t="n">
        <v>1002666000000</v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n">
        <v>2026</v>
      </c>
      <c r="E478" t="n">
        <v>7.8554883435205</v>
      </c>
      <c r="F478" t="n">
        <v>1.275</v>
      </c>
      <c r="G478" t="n">
        <v>1.903517</v>
      </c>
      <c r="H478" t="n">
        <v>7.173077</v>
      </c>
      <c r="I478" t="n">
        <v>-0.6824113435205001</v>
      </c>
      <c r="J478" t="inlineStr">
        <is>
          <t>Switzerland|EWL|2026</t>
        </is>
      </c>
      <c r="K478" t="inlineStr">
        <is>
          <t>Switzerland|2026</t>
        </is>
      </c>
      <c r="L478" t="inlineStr">
        <is>
          <t>USD</t>
        </is>
      </c>
      <c r="M478" t="n">
        <v>7.8554883435205</v>
      </c>
      <c r="N478" t="n">
        <v>0</v>
      </c>
      <c r="O478" t="n">
        <v>0</v>
      </c>
      <c r="P478" t="n">
        <v>7.8554883435205</v>
      </c>
      <c r="Q478" t="n">
        <v>5.171126513062774</v>
      </c>
      <c r="R478" t="n">
        <v>2.552375275855123</v>
      </c>
      <c r="S478" t="n">
        <v>0.555</v>
      </c>
      <c r="T478" t="n">
        <v>2.435</v>
      </c>
      <c r="U478" t="n">
        <v>-1.88</v>
      </c>
      <c r="V478" t="n">
        <v>1074588000000</v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n">
        <v>2027</v>
      </c>
      <c r="E479" t="inlineStr"/>
      <c r="F479" t="n">
        <v>1.1</v>
      </c>
      <c r="G479" t="n">
        <v>1.785998</v>
      </c>
      <c r="H479" t="n">
        <v>3.702814</v>
      </c>
      <c r="I479" t="inlineStr"/>
      <c r="J479" t="inlineStr">
        <is>
          <t>Switzerland|EWL|2027</t>
        </is>
      </c>
      <c r="K479" t="inlineStr">
        <is>
          <t>Switzerland|2027</t>
        </is>
      </c>
      <c r="L479" t="inlineStr">
        <is>
          <t>USD</t>
        </is>
      </c>
      <c r="M479" t="inlineStr"/>
      <c r="N479" t="inlineStr"/>
      <c r="O479" t="inlineStr"/>
      <c r="P479" t="inlineStr"/>
      <c r="Q479" t="n">
        <v>1.883183097825403</v>
      </c>
      <c r="R479" t="inlineStr"/>
      <c r="S479" t="n">
        <v>0.656</v>
      </c>
      <c r="T479" t="n">
        <v>2.185</v>
      </c>
      <c r="U479" t="n">
        <v>-1.529</v>
      </c>
      <c r="V479" t="n">
        <v>1114378000000</v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n">
        <v>2028</v>
      </c>
      <c r="E480" t="inlineStr"/>
      <c r="F480" t="n">
        <v>1.8</v>
      </c>
      <c r="G480" t="n">
        <v>2.508604</v>
      </c>
      <c r="H480" t="n">
        <v>4.374727</v>
      </c>
      <c r="I480" t="inlineStr"/>
      <c r="J480" t="inlineStr">
        <is>
          <t>Switzerland|EWL|2028</t>
        </is>
      </c>
      <c r="K480" t="inlineStr">
        <is>
          <t>Switzerland|2028</t>
        </is>
      </c>
      <c r="L480" t="inlineStr">
        <is>
          <t>USD</t>
        </is>
      </c>
      <c r="M480" t="inlineStr"/>
      <c r="N480" t="inlineStr"/>
      <c r="O480" t="inlineStr"/>
      <c r="P480" t="inlineStr"/>
      <c r="Q480" t="n">
        <v>1.820455362070983</v>
      </c>
      <c r="R480" t="inlineStr"/>
      <c r="S480" t="n">
        <v>0.706</v>
      </c>
      <c r="T480" t="n">
        <v>2.206</v>
      </c>
      <c r="U480" t="n">
        <v>-1.5</v>
      </c>
      <c r="V480" t="n">
        <v>1163129000000</v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n">
        <v>2029</v>
      </c>
      <c r="E481" t="inlineStr"/>
      <c r="F481" t="n">
        <v>1.2</v>
      </c>
      <c r="G481" t="n">
        <v>1.87232</v>
      </c>
      <c r="H481" t="n">
        <v>3.731744</v>
      </c>
      <c r="I481" t="inlineStr"/>
      <c r="J481" t="inlineStr">
        <is>
          <t>Switzerland|EWL|2029</t>
        </is>
      </c>
      <c r="K481" t="inlineStr">
        <is>
          <t>Switzerland|2029</t>
        </is>
      </c>
      <c r="L481" t="inlineStr">
        <is>
          <t>USD</t>
        </is>
      </c>
      <c r="M481" t="inlineStr"/>
      <c r="N481" t="inlineStr"/>
      <c r="O481" t="inlineStr"/>
      <c r="P481" t="inlineStr"/>
      <c r="Q481" t="n">
        <v>1.825249966288545</v>
      </c>
      <c r="R481" t="inlineStr"/>
      <c r="S481" t="n">
        <v>0.711</v>
      </c>
      <c r="T481" t="n">
        <v>2.203</v>
      </c>
      <c r="U481" t="n">
        <v>-1.492</v>
      </c>
      <c r="V481" t="n">
        <v>1206534000000</v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XMTW.L</t>
        </is>
      </c>
      <c r="D482" t="n">
        <v>2015</v>
      </c>
      <c r="E482" t="n">
        <v>-7.487702678083441</v>
      </c>
      <c r="F482" t="n">
        <v>1.465</v>
      </c>
      <c r="G482" t="inlineStr"/>
      <c r="H482" t="inlineStr"/>
      <c r="I482" t="inlineStr"/>
      <c r="J482" t="inlineStr">
        <is>
          <t>Taiwan|XMTW.L|2015</t>
        </is>
      </c>
      <c r="K482" t="inlineStr">
        <is>
          <t>Taiwan|2015</t>
        </is>
      </c>
      <c r="L482" t="inlineStr">
        <is>
          <t>GBp</t>
        </is>
      </c>
      <c r="M482" t="n">
        <v>-7.487702678083441</v>
      </c>
      <c r="N482" t="n">
        <v>-4.888855870697362</v>
      </c>
      <c r="O482" t="n">
        <v>-5.407515212426162</v>
      </c>
      <c r="P482" t="n">
        <v>-12.01049555682295</v>
      </c>
      <c r="Q482" t="inlineStr"/>
      <c r="R482" t="inlineStr"/>
      <c r="S482" t="n">
        <v>-0.306</v>
      </c>
      <c r="T482" t="n">
        <v>0.121</v>
      </c>
      <c r="U482" t="n">
        <v>-0.427</v>
      </c>
      <c r="V482" t="n">
        <v>534515000000</v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XMTW.L</t>
        </is>
      </c>
      <c r="D483" t="n">
        <v>2016</v>
      </c>
      <c r="E483" t="n">
        <v>46.63412649989829</v>
      </c>
      <c r="F483" t="n">
        <v>2.165</v>
      </c>
      <c r="G483" t="n">
        <v>2.93278</v>
      </c>
      <c r="H483" t="n">
        <v>1.602574</v>
      </c>
      <c r="I483" t="n">
        <v>-20.65258990486237</v>
      </c>
      <c r="J483" t="inlineStr">
        <is>
          <t>Taiwan|XMTW.L|2016</t>
        </is>
      </c>
      <c r="K483" t="inlineStr">
        <is>
          <t>Taiwan|2016</t>
        </is>
      </c>
      <c r="L483" t="inlineStr">
        <is>
          <t>GBp</t>
        </is>
      </c>
      <c r="M483" t="n">
        <v>46.63412649989829</v>
      </c>
      <c r="N483" t="n">
        <v>-16.62570861023462</v>
      </c>
      <c r="O483" t="n">
        <v>-16.21181156312136</v>
      </c>
      <c r="P483" t="n">
        <v>22.25516390486237</v>
      </c>
      <c r="Q483" t="n">
        <v>-1.292305373534508</v>
      </c>
      <c r="R483" t="n">
        <v>23.85575852774839</v>
      </c>
      <c r="S483" t="n">
        <v>1.393</v>
      </c>
      <c r="T483" t="n">
        <v>1.267</v>
      </c>
      <c r="U483" t="n">
        <v>0.1260000000000001</v>
      </c>
      <c r="V483" t="n">
        <v>543081000000</v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XMTW.L</t>
        </is>
      </c>
      <c r="D484" t="n">
        <v>2017</v>
      </c>
      <c r="E484" t="n">
        <v>14.66119096509242</v>
      </c>
      <c r="F484" t="n">
        <v>3.662</v>
      </c>
      <c r="G484" t="n">
        <v>2.603885</v>
      </c>
      <c r="H484" t="n">
        <v>8.950046</v>
      </c>
      <c r="I484" t="n">
        <v>-15.84878582580438</v>
      </c>
      <c r="J484" t="inlineStr">
        <is>
          <t>Taiwan|XMTW.L|2017</t>
        </is>
      </c>
      <c r="K484" t="inlineStr">
        <is>
          <t>Taiwan|2017</t>
        </is>
      </c>
      <c r="L484" t="inlineStr">
        <is>
          <t>GBp</t>
        </is>
      </c>
      <c r="M484" t="n">
        <v>14.66119096509242</v>
      </c>
      <c r="N484" t="n">
        <v>8.841388071573641</v>
      </c>
      <c r="O484" t="n">
        <v>9.450435944365921</v>
      </c>
      <c r="P484" t="n">
        <v>24.79883182580438</v>
      </c>
      <c r="Q484" t="n">
        <v>6.185107967606229</v>
      </c>
      <c r="R484" t="n">
        <v>17.52950504497921</v>
      </c>
      <c r="S484" t="n">
        <v>0.622</v>
      </c>
      <c r="T484" t="n">
        <v>2.131</v>
      </c>
      <c r="U484" t="n">
        <v>-1.509</v>
      </c>
      <c r="V484" t="n">
        <v>591687000000</v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n">
        <v>2018</v>
      </c>
      <c r="E485" t="n">
        <v>-3.19961795606496</v>
      </c>
      <c r="F485" t="n">
        <v>2.905</v>
      </c>
      <c r="G485" t="n">
        <v>2.263176</v>
      </c>
      <c r="H485" t="n">
        <v>3.211664</v>
      </c>
      <c r="I485" t="n">
        <v>12.30187969405226</v>
      </c>
      <c r="J485" t="inlineStr">
        <is>
          <t>Taiwan|XMTW.L|2018</t>
        </is>
      </c>
      <c r="K485" t="inlineStr">
        <is>
          <t>Taiwan|2018</t>
        </is>
      </c>
      <c r="L485" t="inlineStr">
        <is>
          <t>GBp</t>
        </is>
      </c>
      <c r="M485" t="n">
        <v>-3.19961795606496</v>
      </c>
      <c r="N485" t="n">
        <v>-6.085304224640065</v>
      </c>
      <c r="O485" t="n">
        <v>-5.756316180609423</v>
      </c>
      <c r="P485" t="n">
        <v>-9.090215694052262</v>
      </c>
      <c r="Q485" t="n">
        <v>0.9274974846127604</v>
      </c>
      <c r="R485" t="n">
        <v>-9.925652996788415</v>
      </c>
      <c r="S485" t="n">
        <v>1.35</v>
      </c>
      <c r="T485" t="n">
        <v>2.439</v>
      </c>
      <c r="U485" t="n">
        <v>-1.089</v>
      </c>
      <c r="V485" t="n">
        <v>610690000000</v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n">
        <v>2019</v>
      </c>
      <c r="E486" t="n">
        <v>31.44426413681187</v>
      </c>
      <c r="F486" t="n">
        <v>3.055</v>
      </c>
      <c r="G486" t="n">
        <v>3.007909</v>
      </c>
      <c r="H486" t="n">
        <v>0.4621</v>
      </c>
      <c r="I486" t="n">
        <v>-34.85170489512341</v>
      </c>
      <c r="J486" t="inlineStr">
        <is>
          <t>Taiwan|XMTW.L|2019</t>
        </is>
      </c>
      <c r="K486" t="inlineStr">
        <is>
          <t>Taiwan|2019</t>
        </is>
      </c>
      <c r="L486" t="inlineStr">
        <is>
          <t>GBp</t>
        </is>
      </c>
      <c r="M486" t="n">
        <v>31.44426413681187</v>
      </c>
      <c r="N486" t="n">
        <v>2.94386429390634</v>
      </c>
      <c r="O486" t="n">
        <v>4.118031584084703</v>
      </c>
      <c r="P486" t="n">
        <v>35.31380489512341</v>
      </c>
      <c r="Q486" t="n">
        <v>-2.471469152051731</v>
      </c>
      <c r="R486" t="n">
        <v>38.74279015448743</v>
      </c>
      <c r="S486" t="n">
        <v>0.5590000000000001</v>
      </c>
      <c r="T486" t="n">
        <v>1.813</v>
      </c>
      <c r="U486" t="n">
        <v>-1.254</v>
      </c>
      <c r="V486" t="n">
        <v>613512000000</v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n">
        <v>2020</v>
      </c>
      <c r="E487" t="n">
        <v>30.12880343475828</v>
      </c>
      <c r="F487" t="n">
        <v>3.42</v>
      </c>
      <c r="G487" t="n">
        <v>5.532042</v>
      </c>
      <c r="H487" t="n">
        <v>10.325633</v>
      </c>
      <c r="I487" t="n">
        <v>-23.41450285658255</v>
      </c>
      <c r="J487" t="inlineStr">
        <is>
          <t>Taiwan|XMTW.L|2020</t>
        </is>
      </c>
      <c r="K487" t="inlineStr">
        <is>
          <t>Taiwan|2020</t>
        </is>
      </c>
      <c r="L487" t="inlineStr">
        <is>
          <t>GBp</t>
        </is>
      </c>
      <c r="M487" t="n">
        <v>30.12880343475828</v>
      </c>
      <c r="N487" t="n">
        <v>2.775198362317122</v>
      </c>
      <c r="O487" t="n">
        <v>3.094474617937659</v>
      </c>
      <c r="P487" t="n">
        <v>33.74013585658255</v>
      </c>
      <c r="Q487" t="n">
        <v>4.542309042001991</v>
      </c>
      <c r="R487" t="n">
        <v>27.92919640109513</v>
      </c>
      <c r="S487" t="n">
        <v>-0.238</v>
      </c>
      <c r="T487" t="n">
        <v>1.253</v>
      </c>
      <c r="U487" t="n">
        <v>-1.491</v>
      </c>
      <c r="V487" t="n">
        <v>676861000000</v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n">
        <v>2021</v>
      </c>
      <c r="E488" t="n">
        <v>26.4060742407199</v>
      </c>
      <c r="F488" t="n">
        <v>6.72</v>
      </c>
      <c r="G488" t="n">
        <v>8.737318999999999</v>
      </c>
      <c r="H488" t="n">
        <v>14.789447</v>
      </c>
      <c r="I488" t="n">
        <v>-10.00214292852304</v>
      </c>
      <c r="J488" t="inlineStr">
        <is>
          <t>Taiwan|XMTW.L|2021</t>
        </is>
      </c>
      <c r="K488" t="inlineStr">
        <is>
          <t>Taiwan|2021</t>
        </is>
      </c>
      <c r="L488" t="inlineStr">
        <is>
          <t>GBp</t>
        </is>
      </c>
      <c r="M488" t="n">
        <v>26.4060742407199</v>
      </c>
      <c r="N488" t="n">
        <v>-1.277220514832489</v>
      </c>
      <c r="O488" t="n">
        <v>-1.102343119945948</v>
      </c>
      <c r="P488" t="n">
        <v>24.79158992852304</v>
      </c>
      <c r="Q488" t="n">
        <v>5.565824767673844</v>
      </c>
      <c r="R488" t="n">
        <v>18.21211097735531</v>
      </c>
      <c r="S488" t="n">
        <v>1.971</v>
      </c>
      <c r="T488" t="n">
        <v>4.679</v>
      </c>
      <c r="U488" t="n">
        <v>-2.708</v>
      </c>
      <c r="V488" t="n">
        <v>776965000000</v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n">
        <v>2022</v>
      </c>
      <c r="E489" t="n">
        <v>-22.55951081022057</v>
      </c>
      <c r="F489" t="n">
        <v>2.684</v>
      </c>
      <c r="G489" t="n">
        <v>4.809282</v>
      </c>
      <c r="H489" t="n">
        <v>-1.459654</v>
      </c>
      <c r="I489" t="n">
        <v>29.49521662599436</v>
      </c>
      <c r="J489" t="inlineStr">
        <is>
          <t>Taiwan|XMTW.L|2022</t>
        </is>
      </c>
      <c r="K489" t="inlineStr">
        <is>
          <t>Taiwan|2022</t>
        </is>
      </c>
      <c r="L489" t="inlineStr">
        <is>
          <t>GBp</t>
        </is>
      </c>
      <c r="M489" t="n">
        <v>-22.55951081022057</v>
      </c>
      <c r="N489" t="n">
        <v>-10.84104698150823</v>
      </c>
      <c r="O489" t="n">
        <v>-10.36772851390696</v>
      </c>
      <c r="P489" t="n">
        <v>-30.95487062599436</v>
      </c>
      <c r="Q489" t="n">
        <v>-5.981279464785949</v>
      </c>
      <c r="R489" t="n">
        <v>-26.56236015449149</v>
      </c>
      <c r="S489" t="n">
        <v>2.947</v>
      </c>
      <c r="T489" t="n">
        <v>7.993</v>
      </c>
      <c r="U489" t="n">
        <v>-5.046</v>
      </c>
      <c r="V489" t="n">
        <v>765624000000</v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n">
        <v>2023</v>
      </c>
      <c r="E490" t="n">
        <v>20.62071857961694</v>
      </c>
      <c r="F490" t="n">
        <v>1.122</v>
      </c>
      <c r="G490" t="n">
        <v>3.401794</v>
      </c>
      <c r="H490" t="n">
        <v>-1.082646</v>
      </c>
      <c r="I490" t="n">
        <v>-27.81042857463886</v>
      </c>
      <c r="J490" t="inlineStr">
        <is>
          <t>Taiwan|XMTW.L|2023</t>
        </is>
      </c>
      <c r="K490" t="inlineStr">
        <is>
          <t>Taiwan|2023</t>
        </is>
      </c>
      <c r="L490" t="inlineStr">
        <is>
          <t>GBp</t>
        </is>
      </c>
      <c r="M490" t="n">
        <v>20.62071857961694</v>
      </c>
      <c r="N490" t="n">
        <v>5.06303068571996</v>
      </c>
      <c r="O490" t="n">
        <v>5.030130998783355</v>
      </c>
      <c r="P490" t="n">
        <v>26.72778257463886</v>
      </c>
      <c r="Q490" t="n">
        <v>-4.336907572818738</v>
      </c>
      <c r="R490" t="n">
        <v>32.47301478478133</v>
      </c>
      <c r="S490" t="n">
        <v>2.492</v>
      </c>
      <c r="T490" t="n">
        <v>4.128</v>
      </c>
      <c r="U490" t="n">
        <v>-1.636</v>
      </c>
      <c r="V490" t="n">
        <v>757335000000</v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n">
        <v>2024</v>
      </c>
      <c r="E491" t="n">
        <v>27.73207990599296</v>
      </c>
      <c r="F491" t="n">
        <v>4.837</v>
      </c>
      <c r="G491" t="n">
        <v>8.459306</v>
      </c>
      <c r="H491" t="n">
        <v>5.237973</v>
      </c>
      <c r="I491" t="n">
        <v>-20.67896568363836</v>
      </c>
      <c r="J491" t="inlineStr">
        <is>
          <t>Taiwan|XMTW.L|2024</t>
        </is>
      </c>
      <c r="K491" t="inlineStr">
        <is>
          <t>Taiwan|2024</t>
        </is>
      </c>
      <c r="L491" t="inlineStr">
        <is>
          <t>GBp</t>
        </is>
      </c>
      <c r="M491" t="n">
        <v>27.73207990599296</v>
      </c>
      <c r="N491" t="n">
        <v>-1.421053523664917</v>
      </c>
      <c r="O491" t="n">
        <v>-1.655539060617606</v>
      </c>
      <c r="P491" t="n">
        <v>25.91693868363836</v>
      </c>
      <c r="Q491" t="n">
        <v>-2.970085055963534</v>
      </c>
      <c r="R491" t="n">
        <v>29.77125534559413</v>
      </c>
      <c r="S491" t="n">
        <v>2.181</v>
      </c>
      <c r="T491" t="n">
        <v>2.952</v>
      </c>
      <c r="U491" t="n">
        <v>-0.7709999999999999</v>
      </c>
      <c r="V491" t="n">
        <v>797004000000</v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n">
        <v>2025</v>
      </c>
      <c r="E492" t="n">
        <v>23.8012125665993</v>
      </c>
      <c r="F492" t="n">
        <v>3.674</v>
      </c>
      <c r="G492" t="n">
        <v>5.468292</v>
      </c>
      <c r="H492" t="n">
        <v>10.963935</v>
      </c>
      <c r="I492" t="n">
        <v>-22.21141817071263</v>
      </c>
      <c r="J492" t="inlineStr">
        <is>
          <t>Taiwan|XMTW.L|2025</t>
        </is>
      </c>
      <c r="K492" t="inlineStr">
        <is>
          <t>Taiwan|2025</t>
        </is>
      </c>
      <c r="L492" t="inlineStr">
        <is>
          <t>GBp</t>
        </is>
      </c>
      <c r="M492" t="n">
        <v>23.8012125665993</v>
      </c>
      <c r="N492" t="n">
        <v>7.571929555270285</v>
      </c>
      <c r="O492" t="n">
        <v>7.623377354227179</v>
      </c>
      <c r="P492" t="n">
        <v>33.17535317071263</v>
      </c>
      <c r="Q492" t="n">
        <v>5.210706253215691</v>
      </c>
      <c r="R492" t="n">
        <v>26.57965896568841</v>
      </c>
      <c r="S492" t="n">
        <v>1.73</v>
      </c>
      <c r="T492" t="n">
        <v>2.715</v>
      </c>
      <c r="U492" t="n">
        <v>-0.9849999999999999</v>
      </c>
      <c r="V492" t="n">
        <v>884387000000</v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n">
        <v>2026</v>
      </c>
      <c r="E493" t="n">
        <v>18.61592712312665</v>
      </c>
      <c r="F493" t="n">
        <v>2.113</v>
      </c>
      <c r="G493" t="n">
        <v>3.705991</v>
      </c>
      <c r="H493" t="n">
        <v>9.84422</v>
      </c>
      <c r="I493" t="n">
        <v>-6.931469128048189</v>
      </c>
      <c r="J493" t="inlineStr">
        <is>
          <t>Taiwan|XMTW.L|2026</t>
        </is>
      </c>
      <c r="K493" t="inlineStr">
        <is>
          <t>Taiwan|2026</t>
        </is>
      </c>
      <c r="L493" t="inlineStr">
        <is>
          <t>GBp</t>
        </is>
      </c>
      <c r="M493" t="n">
        <v>18.61592712312665</v>
      </c>
      <c r="N493" t="n">
        <v>-1.551425714666665</v>
      </c>
      <c r="O493" t="inlineStr"/>
      <c r="P493" t="n">
        <v>16.77568912804819</v>
      </c>
      <c r="Q493" t="n">
        <v>5.918875450485639</v>
      </c>
      <c r="R493" t="n">
        <v>10.25012173834665</v>
      </c>
      <c r="S493" t="n">
        <v>1.56</v>
      </c>
      <c r="T493" t="n">
        <v>2.435</v>
      </c>
      <c r="U493" t="n">
        <v>-0.875</v>
      </c>
      <c r="V493" t="n">
        <v>971448000000</v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n">
        <v>2027</v>
      </c>
      <c r="E494" t="inlineStr"/>
      <c r="F494" t="n">
        <v>2.521</v>
      </c>
      <c r="G494" t="n">
        <v>4.103483</v>
      </c>
      <c r="H494" t="n">
        <v>4.841124</v>
      </c>
      <c r="I494" t="inlineStr"/>
      <c r="J494" t="inlineStr">
        <is>
          <t>Taiwan|XMTW.L|2027</t>
        </is>
      </c>
      <c r="K494" t="inlineStr">
        <is>
          <t>Taiwan|2027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0.7085644581493966</v>
      </c>
      <c r="R494" t="inlineStr"/>
      <c r="S494" t="n">
        <v>1.544</v>
      </c>
      <c r="T494" t="n">
        <v>2.185</v>
      </c>
      <c r="U494" t="n">
        <v>-0.641</v>
      </c>
      <c r="V494" t="n">
        <v>1018477000000</v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n">
        <v>2028</v>
      </c>
      <c r="E495" t="inlineStr"/>
      <c r="F495" t="n">
        <v>2.413</v>
      </c>
      <c r="G495" t="n">
        <v>3.957778</v>
      </c>
      <c r="H495" t="n">
        <v>3.583684</v>
      </c>
      <c r="I495" t="inlineStr"/>
      <c r="J495" t="inlineStr">
        <is>
          <t>Taiwan|XMTW.L|2028</t>
        </is>
      </c>
      <c r="K495" t="inlineStr">
        <is>
          <t>Taiwan|2028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-0.359851155567037</v>
      </c>
      <c r="R495" t="inlineStr"/>
      <c r="S495" t="n">
        <v>1.508</v>
      </c>
      <c r="T495" t="n">
        <v>2.206</v>
      </c>
      <c r="U495" t="n">
        <v>-0.698</v>
      </c>
      <c r="V495" t="n">
        <v>1054976000000</v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n">
        <v>2029</v>
      </c>
      <c r="E496" t="inlineStr"/>
      <c r="F496" t="n">
        <v>2.38</v>
      </c>
      <c r="G496" t="n">
        <v>4.010899</v>
      </c>
      <c r="H496" t="n">
        <v>2.632951</v>
      </c>
      <c r="I496" t="inlineStr"/>
      <c r="J496" t="inlineStr">
        <is>
          <t>Taiwan|XMTW.L|2029</t>
        </is>
      </c>
      <c r="K496" t="inlineStr">
        <is>
          <t>Taiwan|2029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-1.324811204078746</v>
      </c>
      <c r="R496" t="inlineStr"/>
      <c r="S496" t="n">
        <v>1.593</v>
      </c>
      <c r="T496" t="n">
        <v>2.203</v>
      </c>
      <c r="U496" t="n">
        <v>-0.6099999999999999</v>
      </c>
      <c r="V496" t="n">
        <v>1082753000000</v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XCX4.L</t>
        </is>
      </c>
      <c r="D497" t="n">
        <v>2015</v>
      </c>
      <c r="E497" t="n">
        <v>-20.82937036332509</v>
      </c>
      <c r="F497" t="n">
        <v>3.134</v>
      </c>
      <c r="G497" t="inlineStr"/>
      <c r="H497" t="inlineStr"/>
      <c r="I497" t="inlineStr"/>
      <c r="J497" t="inlineStr">
        <is>
          <t>Thailand|XCX4.L|2015</t>
        </is>
      </c>
      <c r="K497" t="inlineStr">
        <is>
          <t>Thailand|2015</t>
        </is>
      </c>
      <c r="L497" t="inlineStr">
        <is>
          <t>GBp</t>
        </is>
      </c>
      <c r="M497" t="n">
        <v>-20.82937036332509</v>
      </c>
      <c r="N497" t="n">
        <v>-4.888855870697362</v>
      </c>
      <c r="O497" t="n">
        <v>-5.407515212426162</v>
      </c>
      <c r="P497" t="n">
        <v>-24.69990833818574</v>
      </c>
      <c r="Q497" t="inlineStr"/>
      <c r="R497" t="inlineStr"/>
      <c r="S497" t="n">
        <v>-0.898</v>
      </c>
      <c r="T497" t="n">
        <v>0.121</v>
      </c>
      <c r="U497" t="n">
        <v>-1.019</v>
      </c>
      <c r="V497" t="n">
        <v>401296000000</v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XCX4.L</t>
        </is>
      </c>
      <c r="D498" t="n">
        <v>2016</v>
      </c>
      <c r="E498" t="n">
        <v>56.73147920255968</v>
      </c>
      <c r="F498" t="n">
        <v>3.435</v>
      </c>
      <c r="G498" t="n">
        <v>6.161882</v>
      </c>
      <c r="H498" t="n">
        <v>3.007755</v>
      </c>
      <c r="I498" t="n">
        <v>-27.66600516983163</v>
      </c>
      <c r="J498" t="inlineStr">
        <is>
          <t>Thailand|XCX4.L|2016</t>
        </is>
      </c>
      <c r="K498" t="inlineStr">
        <is>
          <t>Thailand|2016</t>
        </is>
      </c>
      <c r="L498" t="inlineStr">
        <is>
          <t>GBp</t>
        </is>
      </c>
      <c r="M498" t="n">
        <v>56.73147920255968</v>
      </c>
      <c r="N498" t="n">
        <v>-16.62570861023462</v>
      </c>
      <c r="O498" t="n">
        <v>-16.21181156312136</v>
      </c>
      <c r="P498" t="n">
        <v>30.67376016983163</v>
      </c>
      <c r="Q498" t="n">
        <v>-2.971054132706175</v>
      </c>
      <c r="R498" t="n">
        <v>34.67502815969341</v>
      </c>
      <c r="S498" t="n">
        <v>0.186</v>
      </c>
      <c r="T498" t="n">
        <v>1.267</v>
      </c>
      <c r="U498" t="n">
        <v>-1.081</v>
      </c>
      <c r="V498" t="n">
        <v>413366000000</v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XCX4.L</t>
        </is>
      </c>
      <c r="D499" t="n">
        <v>2017</v>
      </c>
      <c r="E499" t="n">
        <v>21.08057464084947</v>
      </c>
      <c r="F499" t="n">
        <v>4.178</v>
      </c>
      <c r="G499" t="n">
        <v>6.157</v>
      </c>
      <c r="H499" t="n">
        <v>10.400226</v>
      </c>
      <c r="I499" t="n">
        <v>-21.38555212413836</v>
      </c>
      <c r="J499" t="inlineStr">
        <is>
          <t>Thailand|XCX4.L|2017</t>
        </is>
      </c>
      <c r="K499" t="inlineStr">
        <is>
          <t>Thailand|2017</t>
        </is>
      </c>
      <c r="L499" t="inlineStr">
        <is>
          <t>GBp</t>
        </is>
      </c>
      <c r="M499" t="n">
        <v>21.08057464084947</v>
      </c>
      <c r="N499" t="n">
        <v>8.841388071573641</v>
      </c>
      <c r="O499" t="n">
        <v>9.450435944365921</v>
      </c>
      <c r="P499" t="n">
        <v>31.78577812413836</v>
      </c>
      <c r="Q499" t="n">
        <v>3.997123867122676</v>
      </c>
      <c r="R499" t="n">
        <v>26.72059882398412</v>
      </c>
      <c r="S499" t="n">
        <v>0.664</v>
      </c>
      <c r="T499" t="n">
        <v>2.131</v>
      </c>
      <c r="U499" t="n">
        <v>-1.467</v>
      </c>
      <c r="V499" t="n">
        <v>456357000000</v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XCX4.L</t>
        </is>
      </c>
      <c r="D500" t="n">
        <v>2018</v>
      </c>
      <c r="E500" t="n">
        <v>1.171347325591587</v>
      </c>
      <c r="F500" t="n">
        <v>4.223</v>
      </c>
      <c r="G500" t="n">
        <v>5.711784</v>
      </c>
      <c r="H500" t="n">
        <v>11.043328</v>
      </c>
      <c r="I500" t="n">
        <v>16.02856494733791</v>
      </c>
      <c r="J500" t="inlineStr">
        <is>
          <t>Thailand|XCX4.L|2018</t>
        </is>
      </c>
      <c r="K500" t="inlineStr">
        <is>
          <t>Thailand|2018</t>
        </is>
      </c>
      <c r="L500" t="inlineStr">
        <is>
          <t>GBp</t>
        </is>
      </c>
      <c r="M500" t="n">
        <v>1.171347325591587</v>
      </c>
      <c r="N500" t="n">
        <v>-6.085304224640065</v>
      </c>
      <c r="O500" t="n">
        <v>-5.756316180609423</v>
      </c>
      <c r="P500" t="n">
        <v>-4.985236947337912</v>
      </c>
      <c r="Q500" t="n">
        <v>5.043471917048414</v>
      </c>
      <c r="R500" t="n">
        <v>-9.547198584892435</v>
      </c>
      <c r="S500" t="n">
        <v>1.067</v>
      </c>
      <c r="T500" t="n">
        <v>2.439</v>
      </c>
      <c r="U500" t="n">
        <v>-1.372</v>
      </c>
      <c r="V500" t="n">
        <v>506754000000</v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XCX4.L</t>
        </is>
      </c>
      <c r="D501" t="n">
        <v>2019</v>
      </c>
      <c r="E501" t="n">
        <v>1.099038341451242</v>
      </c>
      <c r="F501" t="n">
        <v>2.115</v>
      </c>
      <c r="G501" t="n">
        <v>3.150432</v>
      </c>
      <c r="H501" t="n">
        <v>7.345379</v>
      </c>
      <c r="I501" t="n">
        <v>3.270122167332105</v>
      </c>
      <c r="J501" t="inlineStr">
        <is>
          <t>Thailand|XCX4.L|2019</t>
        </is>
      </c>
      <c r="K501" t="inlineStr">
        <is>
          <t>Thailand|2019</t>
        </is>
      </c>
      <c r="L501" t="inlineStr">
        <is>
          <t>GBp</t>
        </is>
      </c>
      <c r="M501" t="n">
        <v>1.099038341451242</v>
      </c>
      <c r="N501" t="n">
        <v>2.94386429390634</v>
      </c>
      <c r="O501" t="n">
        <v>4.118031584084703</v>
      </c>
      <c r="P501" t="n">
        <v>4.075256832667895</v>
      </c>
      <c r="Q501" t="n">
        <v>4.066824327857144</v>
      </c>
      <c r="R501" t="n">
        <v>0.00810297120645842</v>
      </c>
      <c r="S501" t="n">
        <v>0.706</v>
      </c>
      <c r="T501" t="n">
        <v>1.813</v>
      </c>
      <c r="U501" t="n">
        <v>-1.107</v>
      </c>
      <c r="V501" t="n">
        <v>543977000000</v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XCX4.L</t>
        </is>
      </c>
      <c r="D502" t="n">
        <v>2020</v>
      </c>
      <c r="E502" t="n">
        <v>-15.33794442422036</v>
      </c>
      <c r="F502" t="n">
        <v>-6.05</v>
      </c>
      <c r="G502" t="n">
        <v>-7.270237</v>
      </c>
      <c r="H502" t="n">
        <v>-7.999419</v>
      </c>
      <c r="I502" t="n">
        <v>4.988985444377311</v>
      </c>
      <c r="J502" t="inlineStr">
        <is>
          <t>Thailand|XCX4.L|2020</t>
        </is>
      </c>
      <c r="K502" t="inlineStr">
        <is>
          <t>Thailand|2020</t>
        </is>
      </c>
      <c r="L502" t="inlineStr">
        <is>
          <t>GBp</t>
        </is>
      </c>
      <c r="M502" t="n">
        <v>-15.33794442422036</v>
      </c>
      <c r="N502" t="n">
        <v>2.775198362317122</v>
      </c>
      <c r="O502" t="n">
        <v>3.094474617937659</v>
      </c>
      <c r="P502" t="n">
        <v>-12.98840444437731</v>
      </c>
      <c r="Q502" t="n">
        <v>-0.7863515825140222</v>
      </c>
      <c r="R502" t="n">
        <v>-12.2987643902759</v>
      </c>
      <c r="S502" t="n">
        <v>-0.846</v>
      </c>
      <c r="T502" t="n">
        <v>1.253</v>
      </c>
      <c r="U502" t="n">
        <v>-2.099</v>
      </c>
      <c r="V502" t="n">
        <v>500462000000</v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n">
        <v>2021</v>
      </c>
      <c r="E503" t="n">
        <v>-1.188118811881189</v>
      </c>
      <c r="F503" t="n">
        <v>1.542</v>
      </c>
      <c r="G503" t="n">
        <v>3.354404</v>
      </c>
      <c r="H503" t="n">
        <v>1.145542</v>
      </c>
      <c r="I503" t="n">
        <v>3.595706429507751</v>
      </c>
      <c r="J503" t="inlineStr">
        <is>
          <t>Thailand|XCX4.L|2021</t>
        </is>
      </c>
      <c r="K503" t="inlineStr">
        <is>
          <t>Thailand|2021</t>
        </is>
      </c>
      <c r="L503" t="inlineStr">
        <is>
          <t>GBp</t>
        </is>
      </c>
      <c r="M503" t="n">
        <v>-1.188118811881189</v>
      </c>
      <c r="N503" t="n">
        <v>-1.277220514832489</v>
      </c>
      <c r="O503" t="n">
        <v>-1.102343119945948</v>
      </c>
      <c r="P503" t="n">
        <v>-2.450164429507751</v>
      </c>
      <c r="Q503" t="n">
        <v>-2.137173232458378</v>
      </c>
      <c r="R503" t="n">
        <v>-0.3198264421615749</v>
      </c>
      <c r="S503" t="n">
        <v>1.231</v>
      </c>
      <c r="T503" t="n">
        <v>4.679</v>
      </c>
      <c r="U503" t="n">
        <v>-3.448</v>
      </c>
      <c r="V503" t="n">
        <v>506195000000</v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n">
        <v>2022</v>
      </c>
      <c r="E504" t="n">
        <v>16.5872672152447</v>
      </c>
      <c r="F504" t="n">
        <v>2.627</v>
      </c>
      <c r="G504" t="n">
        <v>7.360165</v>
      </c>
      <c r="H504" t="n">
        <v>-2.084177</v>
      </c>
      <c r="I504" t="n">
        <v>-6.032163801983494</v>
      </c>
      <c r="J504" t="inlineStr">
        <is>
          <t>Thailand|XCX4.L|2022</t>
        </is>
      </c>
      <c r="K504" t="inlineStr">
        <is>
          <t>Thailand|2022</t>
        </is>
      </c>
      <c r="L504" t="inlineStr">
        <is>
          <t>GBp</t>
        </is>
      </c>
      <c r="M504" t="n">
        <v>16.5872672152447</v>
      </c>
      <c r="N504" t="n">
        <v>-10.84104698150823</v>
      </c>
      <c r="O504" t="n">
        <v>-10.36772851390696</v>
      </c>
      <c r="P504" t="n">
        <v>3.947986801983494</v>
      </c>
      <c r="Q504" t="n">
        <v>-8.796877513628266</v>
      </c>
      <c r="R504" t="n">
        <v>13.97415348089228</v>
      </c>
      <c r="S504" t="n">
        <v>6.076</v>
      </c>
      <c r="T504" t="n">
        <v>7.993</v>
      </c>
      <c r="U504" t="n">
        <v>-1.917000000000001</v>
      </c>
      <c r="V504" t="n">
        <v>495645000000</v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n">
        <v>2023</v>
      </c>
      <c r="E505" t="n">
        <v>-17.71567436208992</v>
      </c>
      <c r="F505" t="n">
        <v>2.009</v>
      </c>
      <c r="G505" t="n">
        <v>3.318397</v>
      </c>
      <c r="H505" t="n">
        <v>4.087805</v>
      </c>
      <c r="I505" t="n">
        <v>17.63739870550479</v>
      </c>
      <c r="J505" t="inlineStr">
        <is>
          <t>Thailand|XCX4.L|2023</t>
        </is>
      </c>
      <c r="K505" t="inlineStr">
        <is>
          <t>Thailand|2023</t>
        </is>
      </c>
      <c r="L505" t="inlineStr">
        <is>
          <t>GBp</t>
        </is>
      </c>
      <c r="M505" t="n">
        <v>-17.71567436208992</v>
      </c>
      <c r="N505" t="n">
        <v>5.06303068571996</v>
      </c>
      <c r="O505" t="n">
        <v>5.030130998783355</v>
      </c>
      <c r="P505" t="n">
        <v>-13.54959370550479</v>
      </c>
      <c r="Q505" t="n">
        <v>0.7446954294563435</v>
      </c>
      <c r="R505" t="n">
        <v>-14.18862707761156</v>
      </c>
      <c r="S505" t="n">
        <v>1.229</v>
      </c>
      <c r="T505" t="n">
        <v>4.128</v>
      </c>
      <c r="U505" t="n">
        <v>-2.899</v>
      </c>
      <c r="V505" t="n">
        <v>515906000000</v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n">
        <v>2024</v>
      </c>
      <c r="E506" t="n">
        <v>0.02910360884749164</v>
      </c>
      <c r="F506" t="n">
        <v>2.54</v>
      </c>
      <c r="G506" t="n">
        <v>3.497714</v>
      </c>
      <c r="H506" t="n">
        <v>2.056964</v>
      </c>
      <c r="I506" t="n">
        <v>3.449327492676463</v>
      </c>
      <c r="J506" t="inlineStr">
        <is>
          <t>Thailand|XCX4.L|2024</t>
        </is>
      </c>
      <c r="K506" t="inlineStr">
        <is>
          <t>Thailand|2024</t>
        </is>
      </c>
      <c r="L506" t="inlineStr">
        <is>
          <t>GBp</t>
        </is>
      </c>
      <c r="M506" t="n">
        <v>0.02910360884749164</v>
      </c>
      <c r="N506" t="n">
        <v>-1.421053523664917</v>
      </c>
      <c r="O506" t="n">
        <v>-1.655539060617606</v>
      </c>
      <c r="P506" t="n">
        <v>-1.392363492676463</v>
      </c>
      <c r="Q506" t="n">
        <v>-1.392060199890766</v>
      </c>
      <c r="R506" t="n">
        <v>-0.0003075744065994535</v>
      </c>
      <c r="S506" t="n">
        <v>0.398</v>
      </c>
      <c r="T506" t="n">
        <v>2.952</v>
      </c>
      <c r="U506" t="n">
        <v>-2.554</v>
      </c>
      <c r="V506" t="n">
        <v>526518000000</v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n">
        <v>2025</v>
      </c>
      <c r="E507" t="n">
        <v>0.5687618492052016</v>
      </c>
      <c r="F507" t="n">
        <v>2</v>
      </c>
      <c r="G507" t="n">
        <v>2.200039</v>
      </c>
      <c r="H507" t="n">
        <v>6.088111</v>
      </c>
      <c r="I507" t="n">
        <v>-2.095646651034562</v>
      </c>
      <c r="J507" t="inlineStr">
        <is>
          <t>Thailand|XCX4.L|2025</t>
        </is>
      </c>
      <c r="K507" t="inlineStr">
        <is>
          <t>Thailand|2025</t>
        </is>
      </c>
      <c r="L507" t="inlineStr">
        <is>
          <t>GBp</t>
        </is>
      </c>
      <c r="M507" t="n">
        <v>0.5687618492052016</v>
      </c>
      <c r="N507" t="n">
        <v>7.571929555270285</v>
      </c>
      <c r="O507" t="n">
        <v>7.623377354227179</v>
      </c>
      <c r="P507" t="n">
        <v>8.183757651034561</v>
      </c>
      <c r="Q507" t="n">
        <v>3.804374281499756</v>
      </c>
      <c r="R507" t="n">
        <v>4.218881333130198</v>
      </c>
      <c r="S507" t="n">
        <v>0.153</v>
      </c>
      <c r="T507" t="n">
        <v>2.715</v>
      </c>
      <c r="U507" t="n">
        <v>-2.562</v>
      </c>
      <c r="V507" t="n">
        <v>558573000000</v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n">
        <v>2026</v>
      </c>
      <c r="E508" t="n">
        <v>27.39331026528258</v>
      </c>
      <c r="F508" t="n">
        <v>1.6</v>
      </c>
      <c r="G508" t="n">
        <v>2.299587</v>
      </c>
      <c r="H508" t="n">
        <v>0.525625</v>
      </c>
      <c r="I508" t="n">
        <v>-24.8912726910619</v>
      </c>
      <c r="J508" t="inlineStr">
        <is>
          <t>Thailand|XCX4.L|2026</t>
        </is>
      </c>
      <c r="K508" t="inlineStr">
        <is>
          <t>Thailand|2026</t>
        </is>
      </c>
      <c r="L508" t="inlineStr">
        <is>
          <t>GBp</t>
        </is>
      </c>
      <c r="M508" t="n">
        <v>27.39331026528258</v>
      </c>
      <c r="N508" t="n">
        <v>-1.551425714666665</v>
      </c>
      <c r="O508" t="inlineStr"/>
      <c r="P508" t="n">
        <v>25.4168976910619</v>
      </c>
      <c r="Q508" t="n">
        <v>-1.734085104727434</v>
      </c>
      <c r="R508" t="n">
        <v>27.63011246038429</v>
      </c>
      <c r="S508" t="n">
        <v>0.706</v>
      </c>
      <c r="T508" t="n">
        <v>2.435</v>
      </c>
      <c r="U508" t="n">
        <v>-1.729</v>
      </c>
      <c r="V508" t="n">
        <v>561509000000</v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n">
        <v>2027</v>
      </c>
      <c r="E509" t="inlineStr"/>
      <c r="F509" t="n">
        <v>2.19</v>
      </c>
      <c r="G509" t="n">
        <v>3.402221</v>
      </c>
      <c r="H509" t="n">
        <v>3.402261</v>
      </c>
      <c r="I509" t="inlineStr"/>
      <c r="J509" t="inlineStr">
        <is>
          <t>Thailand|XCX4.L|2027</t>
        </is>
      </c>
      <c r="K509" t="inlineStr">
        <is>
          <t>Thailand|2027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3.880023498048502e-05</v>
      </c>
      <c r="R509" t="inlineStr"/>
      <c r="S509" t="n">
        <v>1.15</v>
      </c>
      <c r="T509" t="n">
        <v>2.185</v>
      </c>
      <c r="U509" t="n">
        <v>-1.035</v>
      </c>
      <c r="V509" t="n">
        <v>580613000000</v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n">
        <v>2028</v>
      </c>
      <c r="E510" t="inlineStr"/>
      <c r="F510" t="n">
        <v>2.307</v>
      </c>
      <c r="G510" t="n">
        <v>3.854227</v>
      </c>
      <c r="H510" t="n">
        <v>3.854202</v>
      </c>
      <c r="I510" t="inlineStr"/>
      <c r="J510" t="inlineStr">
        <is>
          <t>Thailand|XCX4.L|2028</t>
        </is>
      </c>
      <c r="K510" t="inlineStr">
        <is>
          <t>Thailand|2028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-2.41480287654916e-05</v>
      </c>
      <c r="R510" t="inlineStr"/>
      <c r="S510" t="n">
        <v>1.6</v>
      </c>
      <c r="T510" t="n">
        <v>2.206</v>
      </c>
      <c r="U510" t="n">
        <v>-0.6059999999999999</v>
      </c>
      <c r="V510" t="n">
        <v>602991000000</v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n">
        <v>2029</v>
      </c>
      <c r="E511" t="inlineStr"/>
      <c r="F511" t="n">
        <v>2.454</v>
      </c>
      <c r="G511" t="n">
        <v>4.101575</v>
      </c>
      <c r="H511" t="n">
        <v>4.101554</v>
      </c>
      <c r="I511" t="inlineStr"/>
      <c r="J511" t="inlineStr">
        <is>
          <t>Thailand|XCX4.L|2029</t>
        </is>
      </c>
      <c r="K511" t="inlineStr">
        <is>
          <t>Thailand|2029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-2.032509415217376e-05</v>
      </c>
      <c r="R511" t="inlineStr"/>
      <c r="S511" t="n">
        <v>1.7</v>
      </c>
      <c r="T511" t="n">
        <v>2.203</v>
      </c>
      <c r="U511" t="n">
        <v>-0.5029999999999999</v>
      </c>
      <c r="V511" t="n">
        <v>627723000000</v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n">
        <v>2015</v>
      </c>
      <c r="E512" t="n">
        <v>-30.81458887555108</v>
      </c>
      <c r="F512" t="n">
        <v>5.806</v>
      </c>
      <c r="G512" t="inlineStr"/>
      <c r="H512" t="inlineStr"/>
      <c r="I512" t="inlineStr"/>
      <c r="J512" t="inlineStr">
        <is>
          <t>Turkey|TUR|2015</t>
        </is>
      </c>
      <c r="K512" t="inlineStr">
        <is>
          <t>Turkey|2015</t>
        </is>
      </c>
      <c r="L512" t="inlineStr">
        <is>
          <t>USD</t>
        </is>
      </c>
      <c r="M512" t="n">
        <v>-30.81458887555108</v>
      </c>
      <c r="N512" t="n">
        <v>0</v>
      </c>
      <c r="O512" t="n">
        <v>0</v>
      </c>
      <c r="P512" t="n">
        <v>-30.81458887555108</v>
      </c>
      <c r="Q512" t="inlineStr"/>
      <c r="R512" t="inlineStr"/>
      <c r="S512" t="n">
        <v>7.671</v>
      </c>
      <c r="T512" t="n">
        <v>0.121</v>
      </c>
      <c r="U512" t="n">
        <v>7.550000000000001</v>
      </c>
      <c r="V512" t="n">
        <v>868204000000</v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n">
        <v>2016</v>
      </c>
      <c r="E513" t="n">
        <v>-5.864417566733282</v>
      </c>
      <c r="F513" t="n">
        <v>3.324</v>
      </c>
      <c r="G513" t="n">
        <v>11.721414</v>
      </c>
      <c r="H513" t="n">
        <v>0.24591</v>
      </c>
      <c r="I513" t="n">
        <v>6.110327566733282</v>
      </c>
      <c r="J513" t="inlineStr">
        <is>
          <t>Turkey|TUR|2016</t>
        </is>
      </c>
      <c r="K513" t="inlineStr">
        <is>
          <t>Turkey|2016</t>
        </is>
      </c>
      <c r="L513" t="inlineStr">
        <is>
          <t>USD</t>
        </is>
      </c>
      <c r="M513" t="n">
        <v>-5.864417566733282</v>
      </c>
      <c r="N513" t="n">
        <v>0</v>
      </c>
      <c r="O513" t="n">
        <v>0</v>
      </c>
      <c r="P513" t="n">
        <v>-5.864417566733282</v>
      </c>
      <c r="Q513" t="n">
        <v>-10.2715348796492</v>
      </c>
      <c r="R513" t="n">
        <v>4.911615624991184</v>
      </c>
      <c r="S513" t="n">
        <v>7.775</v>
      </c>
      <c r="T513" t="n">
        <v>1.267</v>
      </c>
      <c r="U513" t="n">
        <v>6.508000000000001</v>
      </c>
      <c r="V513" t="n">
        <v>870339000000</v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n">
        <v>2017</v>
      </c>
      <c r="E514" t="n">
        <v>42.22593487983448</v>
      </c>
      <c r="F514" t="n">
        <v>7.826</v>
      </c>
      <c r="G514" t="n">
        <v>19.830547</v>
      </c>
      <c r="H514" t="n">
        <v>-0.739137</v>
      </c>
      <c r="I514" t="n">
        <v>-42.96507187983448</v>
      </c>
      <c r="J514" t="inlineStr">
        <is>
          <t>Turkey|TUR|2017</t>
        </is>
      </c>
      <c r="K514" t="inlineStr">
        <is>
          <t>Turkey|2017</t>
        </is>
      </c>
      <c r="L514" t="inlineStr">
        <is>
          <t>USD</t>
        </is>
      </c>
      <c r="M514" t="n">
        <v>42.22593487983448</v>
      </c>
      <c r="N514" t="n">
        <v>0</v>
      </c>
      <c r="O514" t="n">
        <v>0</v>
      </c>
      <c r="P514" t="n">
        <v>42.22593487983448</v>
      </c>
      <c r="Q514" t="n">
        <v>-17.16564314442739</v>
      </c>
      <c r="R514" t="n">
        <v>71.69920824980287</v>
      </c>
      <c r="S514" t="n">
        <v>11.144</v>
      </c>
      <c r="T514" t="n">
        <v>2.131</v>
      </c>
      <c r="U514" t="n">
        <v>9.013</v>
      </c>
      <c r="V514" t="n">
        <v>863906000000</v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n">
        <v>2018</v>
      </c>
      <c r="E515" t="n">
        <v>-43.17738086083624</v>
      </c>
      <c r="F515" t="n">
        <v>3.468</v>
      </c>
      <c r="G515" t="n">
        <v>20.781976</v>
      </c>
      <c r="H515" t="n">
        <v>-6.55025</v>
      </c>
      <c r="I515" t="n">
        <v>36.62713086083625</v>
      </c>
      <c r="J515" t="inlineStr">
        <is>
          <t>Turkey|TUR|2018</t>
        </is>
      </c>
      <c r="K515" t="inlineStr">
        <is>
          <t>Turkey|2018</t>
        </is>
      </c>
      <c r="L515" t="inlineStr">
        <is>
          <t>USD</t>
        </is>
      </c>
      <c r="M515" t="n">
        <v>-43.17738086083624</v>
      </c>
      <c r="N515" t="n">
        <v>0</v>
      </c>
      <c r="O515" t="n">
        <v>0</v>
      </c>
      <c r="P515" t="n">
        <v>-43.17738086083624</v>
      </c>
      <c r="Q515" t="n">
        <v>-22.62939105235521</v>
      </c>
      <c r="R515" t="n">
        <v>-26.55787525517017</v>
      </c>
      <c r="S515" t="n">
        <v>16.332</v>
      </c>
      <c r="T515" t="n">
        <v>2.439</v>
      </c>
      <c r="U515" t="n">
        <v>13.893</v>
      </c>
      <c r="V515" t="n">
        <v>807318000000</v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n">
        <v>2019</v>
      </c>
      <c r="E516" t="n">
        <v>17.50104459978439</v>
      </c>
      <c r="F516" t="n">
        <v>1.302</v>
      </c>
      <c r="G516" t="n">
        <v>15.646244</v>
      </c>
      <c r="H516" t="n">
        <v>-3.975509</v>
      </c>
      <c r="I516" t="n">
        <v>-21.47655359978438</v>
      </c>
      <c r="J516" t="inlineStr">
        <is>
          <t>Turkey|TUR|2019</t>
        </is>
      </c>
      <c r="K516" t="inlineStr">
        <is>
          <t>Turkey|2019</t>
        </is>
      </c>
      <c r="L516" t="inlineStr">
        <is>
          <t>USD</t>
        </is>
      </c>
      <c r="M516" t="n">
        <v>17.50104459978439</v>
      </c>
      <c r="N516" t="n">
        <v>0</v>
      </c>
      <c r="O516" t="n">
        <v>0</v>
      </c>
      <c r="P516" t="n">
        <v>17.50104459978439</v>
      </c>
      <c r="Q516" t="n">
        <v>-16.9670475440615</v>
      </c>
      <c r="R516" t="n">
        <v>41.51134112945869</v>
      </c>
      <c r="S516" t="n">
        <v>15.177</v>
      </c>
      <c r="T516" t="n">
        <v>1.813</v>
      </c>
      <c r="U516" t="n">
        <v>13.364</v>
      </c>
      <c r="V516" t="n">
        <v>775223000000</v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n">
        <v>2020</v>
      </c>
      <c r="E517" t="n">
        <v>-3.190690020014098</v>
      </c>
      <c r="F517" t="n">
        <v>1.803</v>
      </c>
      <c r="G517" t="n">
        <v>16.802649</v>
      </c>
      <c r="H517" t="n">
        <v>-5.789044</v>
      </c>
      <c r="I517" t="n">
        <v>-2.598353979985902</v>
      </c>
      <c r="J517" t="inlineStr">
        <is>
          <t>Turkey|TUR|2020</t>
        </is>
      </c>
      <c r="K517" t="inlineStr">
        <is>
          <t>Turkey|2020</t>
        </is>
      </c>
      <c r="L517" t="inlineStr">
        <is>
          <t>USD</t>
        </is>
      </c>
      <c r="M517" t="n">
        <v>-3.190690020014098</v>
      </c>
      <c r="N517" t="n">
        <v>0</v>
      </c>
      <c r="O517" t="n">
        <v>0</v>
      </c>
      <c r="P517" t="n">
        <v>-3.190690020014098</v>
      </c>
      <c r="Q517" t="n">
        <v>-19.34176401933071</v>
      </c>
      <c r="R517" t="n">
        <v>20.02408533108437</v>
      </c>
      <c r="S517" t="n">
        <v>12.279</v>
      </c>
      <c r="T517" t="n">
        <v>1.253</v>
      </c>
      <c r="U517" t="n">
        <v>11.026</v>
      </c>
      <c r="V517" t="n">
        <v>730345000000</v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n">
        <v>2021</v>
      </c>
      <c r="E518" t="n">
        <v>-28.00970963043351</v>
      </c>
      <c r="F518" t="n">
        <v>11.811</v>
      </c>
      <c r="G518" t="n">
        <v>44.578332</v>
      </c>
      <c r="H518" t="n">
        <v>13.326305</v>
      </c>
      <c r="I518" t="n">
        <v>41.33601463043351</v>
      </c>
      <c r="J518" t="inlineStr">
        <is>
          <t>Turkey|TUR|2021</t>
        </is>
      </c>
      <c r="K518" t="inlineStr">
        <is>
          <t>Turkey|2021</t>
        </is>
      </c>
      <c r="L518" t="inlineStr">
        <is>
          <t>USD</t>
        </is>
      </c>
      <c r="M518" t="n">
        <v>-28.00970963043351</v>
      </c>
      <c r="N518" t="n">
        <v>0</v>
      </c>
      <c r="O518" t="n">
        <v>0</v>
      </c>
      <c r="P518" t="n">
        <v>-28.00970963043351</v>
      </c>
      <c r="Q518" t="n">
        <v>-21.61598275145341</v>
      </c>
      <c r="R518" t="n">
        <v>-8.156926760600102</v>
      </c>
      <c r="S518" t="n">
        <v>19.596</v>
      </c>
      <c r="T518" t="n">
        <v>4.679</v>
      </c>
      <c r="U518" t="n">
        <v>14.917</v>
      </c>
      <c r="V518" t="n">
        <v>827673000000</v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n">
        <v>2022</v>
      </c>
      <c r="E519" t="n">
        <v>91.23310184812208</v>
      </c>
      <c r="F519" t="n">
        <v>5.441</v>
      </c>
      <c r="G519" t="n">
        <v>106.164519</v>
      </c>
      <c r="H519" t="n">
        <v>11.729149</v>
      </c>
      <c r="I519" t="n">
        <v>-79.50395284812208</v>
      </c>
      <c r="J519" t="inlineStr">
        <is>
          <t>Turkey|TUR|2022</t>
        </is>
      </c>
      <c r="K519" t="inlineStr">
        <is>
          <t>Turkey|2022</t>
        </is>
      </c>
      <c r="L519" t="inlineStr">
        <is>
          <t>USD</t>
        </is>
      </c>
      <c r="M519" t="n">
        <v>91.23310184812208</v>
      </c>
      <c r="N519" t="n">
        <v>0</v>
      </c>
      <c r="O519" t="n">
        <v>0</v>
      </c>
      <c r="P519" t="n">
        <v>91.23310184812208</v>
      </c>
      <c r="Q519" t="n">
        <v>-45.80583035725595</v>
      </c>
      <c r="R519" t="n">
        <v>252.8665594634236</v>
      </c>
      <c r="S519" t="n">
        <v>72.309</v>
      </c>
      <c r="T519" t="n">
        <v>7.993</v>
      </c>
      <c r="U519" t="n">
        <v>64.316</v>
      </c>
      <c r="V519" t="n">
        <v>924752000000</v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n">
        <v>2023</v>
      </c>
      <c r="E520" t="n">
        <v>-10.66086847589328</v>
      </c>
      <c r="F520" t="n">
        <v>5.045</v>
      </c>
      <c r="G520" t="n">
        <v>76.769673</v>
      </c>
      <c r="H520" t="n">
        <v>24.713977</v>
      </c>
      <c r="I520" t="n">
        <v>35.37484547589328</v>
      </c>
      <c r="J520" t="inlineStr">
        <is>
          <t>Turkey|TUR|2023</t>
        </is>
      </c>
      <c r="K520" t="inlineStr">
        <is>
          <t>Turkey|2023</t>
        </is>
      </c>
      <c r="L520" t="inlineStr">
        <is>
          <t>USD</t>
        </is>
      </c>
      <c r="M520" t="n">
        <v>-10.66086847589328</v>
      </c>
      <c r="N520" t="n">
        <v>0</v>
      </c>
      <c r="O520" t="n">
        <v>0</v>
      </c>
      <c r="P520" t="n">
        <v>-10.66086847589328</v>
      </c>
      <c r="Q520" t="n">
        <v>-29.44831792718424</v>
      </c>
      <c r="R520" t="n">
        <v>26.62934305648532</v>
      </c>
      <c r="S520" t="n">
        <v>53.859</v>
      </c>
      <c r="T520" t="n">
        <v>4.128</v>
      </c>
      <c r="U520" t="n">
        <v>49.731</v>
      </c>
      <c r="V520" t="n">
        <v>1153295000000</v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n">
        <v>2024</v>
      </c>
      <c r="E521" t="n">
        <v>11.6346439480695</v>
      </c>
      <c r="F521" t="n">
        <v>3.328</v>
      </c>
      <c r="G521" t="n">
        <v>64.580319</v>
      </c>
      <c r="H521" t="n">
        <v>17.771342</v>
      </c>
      <c r="I521" t="n">
        <v>6.1366980519305</v>
      </c>
      <c r="J521" t="inlineStr">
        <is>
          <t>Turkey|TUR|2024</t>
        </is>
      </c>
      <c r="K521" t="inlineStr">
        <is>
          <t>Turkey|2024</t>
        </is>
      </c>
      <c r="L521" t="inlineStr">
        <is>
          <t>USD</t>
        </is>
      </c>
      <c r="M521" t="n">
        <v>11.6346439480695</v>
      </c>
      <c r="N521" t="n">
        <v>0</v>
      </c>
      <c r="O521" t="n">
        <v>0</v>
      </c>
      <c r="P521" t="n">
        <v>11.6346439480695</v>
      </c>
      <c r="Q521" t="n">
        <v>-28.44141808932529</v>
      </c>
      <c r="R521" t="n">
        <v>56.00455035207519</v>
      </c>
      <c r="S521" t="n">
        <v>58.506</v>
      </c>
      <c r="T521" t="n">
        <v>2.952</v>
      </c>
      <c r="U521" t="n">
        <v>55.554</v>
      </c>
      <c r="V521" t="n">
        <v>1358251000000</v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n">
        <v>2025</v>
      </c>
      <c r="E522" t="n">
        <v>-3.130778552760527</v>
      </c>
      <c r="F522" t="n">
        <v>3.494</v>
      </c>
      <c r="G522" t="n">
        <v>39.453331</v>
      </c>
      <c r="H522" t="n">
        <v>15.256385</v>
      </c>
      <c r="I522" t="n">
        <v>18.38716355276053</v>
      </c>
      <c r="J522" t="inlineStr">
        <is>
          <t>Turkey|TUR|2025</t>
        </is>
      </c>
      <c r="K522" t="inlineStr">
        <is>
          <t>Turkey|2025</t>
        </is>
      </c>
      <c r="L522" t="inlineStr">
        <is>
          <t>USD</t>
        </is>
      </c>
      <c r="M522" t="n">
        <v>-3.130778552760527</v>
      </c>
      <c r="N522" t="n">
        <v>0</v>
      </c>
      <c r="O522" t="n">
        <v>0</v>
      </c>
      <c r="P522" t="n">
        <v>-3.130778552760527</v>
      </c>
      <c r="Q522" t="n">
        <v>-17.35128607190518</v>
      </c>
      <c r="R522" t="n">
        <v>17.20596346062522</v>
      </c>
      <c r="S522" t="n">
        <v>34.89</v>
      </c>
      <c r="T522" t="n">
        <v>2.715</v>
      </c>
      <c r="U522" t="n">
        <v>32.175</v>
      </c>
      <c r="V522" t="n">
        <v>1565471000000</v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n">
        <v>2026</v>
      </c>
      <c r="E523" t="n">
        <v>16.35167009902045</v>
      </c>
      <c r="F523" t="n">
        <v>3.693</v>
      </c>
      <c r="G523" t="n">
        <v>28.538319</v>
      </c>
      <c r="H523" t="n">
        <v>0.679604</v>
      </c>
      <c r="I523" t="n">
        <v>-15.67206609902045</v>
      </c>
      <c r="J523" t="inlineStr">
        <is>
          <t>Turkey|TUR|2026</t>
        </is>
      </c>
      <c r="K523" t="inlineStr">
        <is>
          <t>Turkey|2026</t>
        </is>
      </c>
      <c r="L523" t="inlineStr">
        <is>
          <t>USD</t>
        </is>
      </c>
      <c r="M523" t="n">
        <v>16.35167009902045</v>
      </c>
      <c r="N523" t="n">
        <v>0</v>
      </c>
      <c r="O523" t="n">
        <v>0</v>
      </c>
      <c r="P523" t="n">
        <v>16.35167009902045</v>
      </c>
      <c r="Q523" t="n">
        <v>-21.67347080086092</v>
      </c>
      <c r="R523" t="n">
        <v>48.54694991425627</v>
      </c>
      <c r="S523" t="n">
        <v>24.744</v>
      </c>
      <c r="T523" t="n">
        <v>2.435</v>
      </c>
      <c r="U523" t="n">
        <v>22.309</v>
      </c>
      <c r="V523" t="n">
        <v>1576110000000</v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n">
        <v>2027</v>
      </c>
      <c r="E524" t="inlineStr"/>
      <c r="F524" t="n">
        <v>3.725</v>
      </c>
      <c r="G524" t="n">
        <v>22.873771</v>
      </c>
      <c r="H524" t="n">
        <v>4.108343</v>
      </c>
      <c r="I524" t="inlineStr"/>
      <c r="J524" t="inlineStr">
        <is>
          <t>Turkey|TUR|2027</t>
        </is>
      </c>
      <c r="K524" t="inlineStr">
        <is>
          <t>Turkey|2027</t>
        </is>
      </c>
      <c r="L524" t="inlineStr">
        <is>
          <t>USD</t>
        </is>
      </c>
      <c r="M524" t="inlineStr"/>
      <c r="N524" t="inlineStr"/>
      <c r="O524" t="inlineStr"/>
      <c r="P524" t="inlineStr"/>
      <c r="Q524" t="n">
        <v>-15.27211901748565</v>
      </c>
      <c r="R524" t="inlineStr"/>
      <c r="S524" t="n">
        <v>19.47</v>
      </c>
      <c r="T524" t="n">
        <v>2.185</v>
      </c>
      <c r="U524" t="n">
        <v>17.285</v>
      </c>
      <c r="V524" t="n">
        <v>1640862000000</v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n">
        <v>2028</v>
      </c>
      <c r="E525" t="inlineStr"/>
      <c r="F525" t="n">
        <v>3.82</v>
      </c>
      <c r="G525" t="n">
        <v>22.204735</v>
      </c>
      <c r="H525" t="n">
        <v>7.287084</v>
      </c>
      <c r="I525" t="inlineStr"/>
      <c r="J525" t="inlineStr">
        <is>
          <t>Turkey|TUR|2028</t>
        </is>
      </c>
      <c r="K525" t="inlineStr">
        <is>
          <t>Turkey|2028</t>
        </is>
      </c>
      <c r="L525" t="inlineStr">
        <is>
          <t>USD</t>
        </is>
      </c>
      <c r="M525" t="inlineStr"/>
      <c r="N525" t="inlineStr"/>
      <c r="O525" t="inlineStr"/>
      <c r="P525" t="inlineStr"/>
      <c r="Q525" t="n">
        <v>-12.20709699606487</v>
      </c>
      <c r="R525" t="inlineStr"/>
      <c r="S525" t="n">
        <v>16.218</v>
      </c>
      <c r="T525" t="n">
        <v>2.206</v>
      </c>
      <c r="U525" t="n">
        <v>14.012</v>
      </c>
      <c r="V525" t="n">
        <v>1760433000000</v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n">
        <v>2029</v>
      </c>
      <c r="E526" t="inlineStr"/>
      <c r="F526" t="n">
        <v>3.792</v>
      </c>
      <c r="G526" t="n">
        <v>19.429834</v>
      </c>
      <c r="H526" t="n">
        <v>6.013521</v>
      </c>
      <c r="I526" t="inlineStr"/>
      <c r="J526" t="inlineStr">
        <is>
          <t>Turkey|TUR|2029</t>
        </is>
      </c>
      <c r="K526" t="inlineStr">
        <is>
          <t>Turkey|2029</t>
        </is>
      </c>
      <c r="L526" t="inlineStr">
        <is>
          <t>USD</t>
        </is>
      </c>
      <c r="M526" t="inlineStr"/>
      <c r="N526" t="inlineStr"/>
      <c r="O526" t="inlineStr"/>
      <c r="P526" t="inlineStr"/>
      <c r="Q526" t="n">
        <v>-11.2336367617882</v>
      </c>
      <c r="R526" t="inlineStr"/>
      <c r="S526" t="n">
        <v>15.004</v>
      </c>
      <c r="T526" t="n">
        <v>2.203</v>
      </c>
      <c r="U526" t="n">
        <v>12.801</v>
      </c>
      <c r="V526" t="n">
        <v>1866297000000</v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n">
        <v>2015</v>
      </c>
      <c r="E527" t="n">
        <v>-25.52255900399854</v>
      </c>
      <c r="F527" t="n">
        <v>5.806</v>
      </c>
      <c r="G527" t="inlineStr"/>
      <c r="H527" t="inlineStr"/>
      <c r="I527" t="inlineStr"/>
      <c r="J527" t="inlineStr">
        <is>
          <t>Turkey|TURL.L|2015</t>
        </is>
      </c>
      <c r="K527" t="inlineStr">
        <is>
          <t>Turkey|2015</t>
        </is>
      </c>
      <c r="L527" t="inlineStr">
        <is>
          <t>GBp</t>
        </is>
      </c>
      <c r="M527" t="n">
        <v>-25.52255900399854</v>
      </c>
      <c r="N527" t="n">
        <v>-4.888855870697362</v>
      </c>
      <c r="O527" t="n">
        <v>-5.407515212426162</v>
      </c>
      <c r="P527" t="n">
        <v>-29.16365375047673</v>
      </c>
      <c r="Q527" t="inlineStr"/>
      <c r="R527" t="inlineStr"/>
      <c r="S527" t="n">
        <v>7.671</v>
      </c>
      <c r="T527" t="n">
        <v>0.121</v>
      </c>
      <c r="U527" t="n">
        <v>7.550000000000001</v>
      </c>
      <c r="V527" t="n">
        <v>868204000000</v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n">
        <v>2016</v>
      </c>
      <c r="E528" t="n">
        <v>-0.3158486147618378</v>
      </c>
      <c r="F528" t="n">
        <v>3.324</v>
      </c>
      <c r="G528" t="n">
        <v>11.721414</v>
      </c>
      <c r="H528" t="n">
        <v>0.24591</v>
      </c>
      <c r="I528" t="n">
        <v>17.1349551546567</v>
      </c>
      <c r="J528" t="inlineStr">
        <is>
          <t>Turkey|TURL.L|2016</t>
        </is>
      </c>
      <c r="K528" t="inlineStr">
        <is>
          <t>Turkey|2016</t>
        </is>
      </c>
      <c r="L528" t="inlineStr">
        <is>
          <t>GBp</t>
        </is>
      </c>
      <c r="M528" t="n">
        <v>-0.3158486147618378</v>
      </c>
      <c r="N528" t="n">
        <v>-16.62570861023462</v>
      </c>
      <c r="O528" t="n">
        <v>-16.21181156312136</v>
      </c>
      <c r="P528" t="n">
        <v>-16.8890451546567</v>
      </c>
      <c r="Q528" t="n">
        <v>-10.2715348796492</v>
      </c>
      <c r="R528" t="n">
        <v>-7.375040090267426</v>
      </c>
      <c r="S528" t="n">
        <v>7.775</v>
      </c>
      <c r="T528" t="n">
        <v>1.267</v>
      </c>
      <c r="U528" t="n">
        <v>6.508000000000001</v>
      </c>
      <c r="V528" t="n">
        <v>870339000000</v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n">
        <v>2017</v>
      </c>
      <c r="E529" t="n">
        <v>23.70318302148371</v>
      </c>
      <c r="F529" t="n">
        <v>7.826</v>
      </c>
      <c r="G529" t="n">
        <v>19.830547</v>
      </c>
      <c r="H529" t="n">
        <v>-0.739137</v>
      </c>
      <c r="I529" t="n">
        <v>-35.37939848930208</v>
      </c>
      <c r="J529" t="inlineStr">
        <is>
          <t>Turkey|TURL.L|2017</t>
        </is>
      </c>
      <c r="K529" t="inlineStr">
        <is>
          <t>Turkey|2017</t>
        </is>
      </c>
      <c r="L529" t="inlineStr">
        <is>
          <t>GBp</t>
        </is>
      </c>
      <c r="M529" t="n">
        <v>23.70318302148371</v>
      </c>
      <c r="N529" t="n">
        <v>8.841388071573641</v>
      </c>
      <c r="O529" t="n">
        <v>9.450435944365921</v>
      </c>
      <c r="P529" t="n">
        <v>34.64026148930208</v>
      </c>
      <c r="Q529" t="n">
        <v>-17.16564314442739</v>
      </c>
      <c r="R529" t="n">
        <v>62.54156680911596</v>
      </c>
      <c r="S529" t="n">
        <v>11.144</v>
      </c>
      <c r="T529" t="n">
        <v>2.131</v>
      </c>
      <c r="U529" t="n">
        <v>9.013</v>
      </c>
      <c r="V529" t="n">
        <v>863906000000</v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n">
        <v>2018</v>
      </c>
      <c r="E530" t="n">
        <v>-41.33845213022326</v>
      </c>
      <c r="F530" t="n">
        <v>3.468</v>
      </c>
      <c r="G530" t="n">
        <v>20.781976</v>
      </c>
      <c r="H530" t="n">
        <v>-6.55025</v>
      </c>
      <c r="I530" t="n">
        <v>38.35793578098204</v>
      </c>
      <c r="J530" t="inlineStr">
        <is>
          <t>Turkey|TURL.L|2018</t>
        </is>
      </c>
      <c r="K530" t="inlineStr">
        <is>
          <t>Turkey|2018</t>
        </is>
      </c>
      <c r="L530" t="inlineStr">
        <is>
          <t>GBp</t>
        </is>
      </c>
      <c r="M530" t="n">
        <v>-41.33845213022326</v>
      </c>
      <c r="N530" t="n">
        <v>-6.085304224640065</v>
      </c>
      <c r="O530" t="n">
        <v>-5.756316180609423</v>
      </c>
      <c r="P530" t="n">
        <v>-44.90818578098204</v>
      </c>
      <c r="Q530" t="n">
        <v>-22.62939105235521</v>
      </c>
      <c r="R530" t="n">
        <v>-28.79490678909152</v>
      </c>
      <c r="S530" t="n">
        <v>16.332</v>
      </c>
      <c r="T530" t="n">
        <v>2.439</v>
      </c>
      <c r="U530" t="n">
        <v>13.893</v>
      </c>
      <c r="V530" t="n">
        <v>807318000000</v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n">
        <v>2019</v>
      </c>
      <c r="E531" t="n">
        <v>-0.8868204404142599</v>
      </c>
      <c r="F531" t="n">
        <v>1.302</v>
      </c>
      <c r="G531" t="n">
        <v>15.646244</v>
      </c>
      <c r="H531" t="n">
        <v>-3.975509</v>
      </c>
      <c r="I531" t="n">
        <v>-6.006446063195659</v>
      </c>
      <c r="J531" t="inlineStr">
        <is>
          <t>Turkey|TURL.L|2019</t>
        </is>
      </c>
      <c r="K531" t="inlineStr">
        <is>
          <t>Turkey|2019</t>
        </is>
      </c>
      <c r="L531" t="inlineStr">
        <is>
          <t>GBp</t>
        </is>
      </c>
      <c r="M531" t="n">
        <v>-0.8868204404142599</v>
      </c>
      <c r="N531" t="n">
        <v>2.94386429390634</v>
      </c>
      <c r="O531" t="n">
        <v>4.118031584084703</v>
      </c>
      <c r="P531" t="n">
        <v>2.030937063195659</v>
      </c>
      <c r="Q531" t="n">
        <v>-16.9670475440615</v>
      </c>
      <c r="R531" t="n">
        <v>22.88005429812754</v>
      </c>
      <c r="S531" t="n">
        <v>15.177</v>
      </c>
      <c r="T531" t="n">
        <v>1.813</v>
      </c>
      <c r="U531" t="n">
        <v>13.364</v>
      </c>
      <c r="V531" t="n">
        <v>775223000000</v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n">
        <v>2020</v>
      </c>
      <c r="E532" t="n">
        <v>-14.3073700427641</v>
      </c>
      <c r="F532" t="n">
        <v>1.803</v>
      </c>
      <c r="G532" t="n">
        <v>16.802649</v>
      </c>
      <c r="H532" t="n">
        <v>-5.789044</v>
      </c>
      <c r="I532" t="n">
        <v>6.140185579564416</v>
      </c>
      <c r="J532" t="inlineStr">
        <is>
          <t>Turkey|TURL.L|2020</t>
        </is>
      </c>
      <c r="K532" t="inlineStr">
        <is>
          <t>Turkey|2020</t>
        </is>
      </c>
      <c r="L532" t="inlineStr">
        <is>
          <t>GBp</t>
        </is>
      </c>
      <c r="M532" t="n">
        <v>-14.3073700427641</v>
      </c>
      <c r="N532" t="n">
        <v>2.775198362317122</v>
      </c>
      <c r="O532" t="n">
        <v>3.094474617937659</v>
      </c>
      <c r="P532" t="n">
        <v>-11.92922957956442</v>
      </c>
      <c r="Q532" t="n">
        <v>-19.34176401933071</v>
      </c>
      <c r="R532" t="n">
        <v>9.190052757343704</v>
      </c>
      <c r="S532" t="n">
        <v>12.279</v>
      </c>
      <c r="T532" t="n">
        <v>1.253</v>
      </c>
      <c r="U532" t="n">
        <v>11.026</v>
      </c>
      <c r="V532" t="n">
        <v>730345000000</v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n">
        <v>2021</v>
      </c>
      <c r="E533" t="n">
        <v>-26.40840105068237</v>
      </c>
      <c r="F533" t="n">
        <v>11.811</v>
      </c>
      <c r="G533" t="n">
        <v>44.578332</v>
      </c>
      <c r="H533" t="n">
        <v>13.326305</v>
      </c>
      <c r="I533" t="n">
        <v>40.67463304965631</v>
      </c>
      <c r="J533" t="inlineStr">
        <is>
          <t>Turkey|TURL.L|2021</t>
        </is>
      </c>
      <c r="K533" t="inlineStr">
        <is>
          <t>Turkey|2021</t>
        </is>
      </c>
      <c r="L533" t="inlineStr">
        <is>
          <t>GBp</t>
        </is>
      </c>
      <c r="M533" t="n">
        <v>-26.40840105068237</v>
      </c>
      <c r="N533" t="n">
        <v>-1.277220514832489</v>
      </c>
      <c r="O533" t="n">
        <v>-1.102343119945948</v>
      </c>
      <c r="P533" t="n">
        <v>-27.34832804965631</v>
      </c>
      <c r="Q533" t="n">
        <v>-21.61598275145341</v>
      </c>
      <c r="R533" t="n">
        <v>-7.313155793005988</v>
      </c>
      <c r="S533" t="n">
        <v>19.596</v>
      </c>
      <c r="T533" t="n">
        <v>4.679</v>
      </c>
      <c r="U533" t="n">
        <v>14.917</v>
      </c>
      <c r="V533" t="n">
        <v>827673000000</v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n">
        <v>2022</v>
      </c>
      <c r="E534" t="n">
        <v>109.6554391742339</v>
      </c>
      <c r="F534" t="n">
        <v>5.441</v>
      </c>
      <c r="G534" t="n">
        <v>106.164519</v>
      </c>
      <c r="H534" t="n">
        <v>11.729149</v>
      </c>
      <c r="I534" t="n">
        <v>-75.19744551406782</v>
      </c>
      <c r="J534" t="inlineStr">
        <is>
          <t>Turkey|TURL.L|2022</t>
        </is>
      </c>
      <c r="K534" t="inlineStr">
        <is>
          <t>Turkey|2022</t>
        </is>
      </c>
      <c r="L534" t="inlineStr">
        <is>
          <t>GBp</t>
        </is>
      </c>
      <c r="M534" t="n">
        <v>109.6554391742339</v>
      </c>
      <c r="N534" t="n">
        <v>-10.84104698150823</v>
      </c>
      <c r="O534" t="n">
        <v>-10.36772851390696</v>
      </c>
      <c r="P534" t="n">
        <v>86.92659451406782</v>
      </c>
      <c r="Q534" t="n">
        <v>-45.80583035725595</v>
      </c>
      <c r="R534" t="n">
        <v>244.9201191683819</v>
      </c>
      <c r="S534" t="n">
        <v>72.309</v>
      </c>
      <c r="T534" t="n">
        <v>7.993</v>
      </c>
      <c r="U534" t="n">
        <v>64.316</v>
      </c>
      <c r="V534" t="n">
        <v>924752000000</v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n">
        <v>2023</v>
      </c>
      <c r="E535" t="n">
        <v>-19.83238917593529</v>
      </c>
      <c r="F535" t="n">
        <v>5.045</v>
      </c>
      <c r="G535" t="n">
        <v>76.769673</v>
      </c>
      <c r="H535" t="n">
        <v>24.713977</v>
      </c>
      <c r="I535" t="n">
        <v>40.48745543990434</v>
      </c>
      <c r="J535" t="inlineStr">
        <is>
          <t>Turkey|TURL.L|2023</t>
        </is>
      </c>
      <c r="K535" t="inlineStr">
        <is>
          <t>Turkey|2023</t>
        </is>
      </c>
      <c r="L535" t="inlineStr">
        <is>
          <t>GBp</t>
        </is>
      </c>
      <c r="M535" t="n">
        <v>-19.83238917593529</v>
      </c>
      <c r="N535" t="n">
        <v>5.06303068571996</v>
      </c>
      <c r="O535" t="n">
        <v>5.030130998783355</v>
      </c>
      <c r="P535" t="n">
        <v>-15.77347843990434</v>
      </c>
      <c r="Q535" t="n">
        <v>-29.44831792718424</v>
      </c>
      <c r="R535" t="n">
        <v>19.38272637237226</v>
      </c>
      <c r="S535" t="n">
        <v>53.859</v>
      </c>
      <c r="T535" t="n">
        <v>4.128</v>
      </c>
      <c r="U535" t="n">
        <v>49.731</v>
      </c>
      <c r="V535" t="n">
        <v>1153295000000</v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n">
        <v>2024</v>
      </c>
      <c r="E536" t="n">
        <v>0</v>
      </c>
      <c r="F536" t="n">
        <v>3.328</v>
      </c>
      <c r="G536" t="n">
        <v>64.580319</v>
      </c>
      <c r="H536" t="n">
        <v>17.771342</v>
      </c>
      <c r="I536" t="n">
        <v>19.19239552366492</v>
      </c>
      <c r="J536" t="inlineStr">
        <is>
          <t>Turkey|TURL.L|2024</t>
        </is>
      </c>
      <c r="K536" t="inlineStr">
        <is>
          <t>Turkey|2024</t>
        </is>
      </c>
      <c r="L536" t="inlineStr">
        <is>
          <t>GBp</t>
        </is>
      </c>
      <c r="M536" t="n">
        <v>0</v>
      </c>
      <c r="N536" t="n">
        <v>-1.421053523664917</v>
      </c>
      <c r="O536" t="n">
        <v>-1.655539060617606</v>
      </c>
      <c r="P536" t="n">
        <v>-1.421053523664917</v>
      </c>
      <c r="Q536" t="n">
        <v>-28.44141808932529</v>
      </c>
      <c r="R536" t="n">
        <v>37.7597820473712</v>
      </c>
      <c r="S536" t="n">
        <v>58.506</v>
      </c>
      <c r="T536" t="n">
        <v>2.952</v>
      </c>
      <c r="U536" t="n">
        <v>55.554</v>
      </c>
      <c r="V536" t="n">
        <v>1358251000000</v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n">
        <v>2025</v>
      </c>
      <c r="E537" t="n">
        <v>0</v>
      </c>
      <c r="F537" t="n">
        <v>3.494</v>
      </c>
      <c r="G537" t="n">
        <v>39.453331</v>
      </c>
      <c r="H537" t="n">
        <v>15.256385</v>
      </c>
      <c r="I537" t="n">
        <v>7.684455444729715</v>
      </c>
      <c r="J537" t="inlineStr">
        <is>
          <t>Turkey|TURL.L|2025</t>
        </is>
      </c>
      <c r="K537" t="inlineStr">
        <is>
          <t>Turkey|2025</t>
        </is>
      </c>
      <c r="L537" t="inlineStr">
        <is>
          <t>GBp</t>
        </is>
      </c>
      <c r="M537" t="n">
        <v>0</v>
      </c>
      <c r="N537" t="n">
        <v>7.571929555270285</v>
      </c>
      <c r="O537" t="n">
        <v>7.623377354227179</v>
      </c>
      <c r="P537" t="n">
        <v>7.571929555270285</v>
      </c>
      <c r="Q537" t="n">
        <v>-17.35128607190518</v>
      </c>
      <c r="R537" t="n">
        <v>30.15560006034566</v>
      </c>
      <c r="S537" t="n">
        <v>34.89</v>
      </c>
      <c r="T537" t="n">
        <v>2.715</v>
      </c>
      <c r="U537" t="n">
        <v>32.175</v>
      </c>
      <c r="V537" t="n">
        <v>1565471000000</v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n">
        <v>2026</v>
      </c>
      <c r="E538" t="n">
        <v>0</v>
      </c>
      <c r="F538" t="n">
        <v>3.693</v>
      </c>
      <c r="G538" t="n">
        <v>28.538319</v>
      </c>
      <c r="H538" t="n">
        <v>0.679604</v>
      </c>
      <c r="I538" t="n">
        <v>2.231029714666665</v>
      </c>
      <c r="J538" t="inlineStr">
        <is>
          <t>Turkey|TURL.L|2026</t>
        </is>
      </c>
      <c r="K538" t="inlineStr">
        <is>
          <t>Turkey|2026</t>
        </is>
      </c>
      <c r="L538" t="inlineStr">
        <is>
          <t>GBp</t>
        </is>
      </c>
      <c r="M538" t="n">
        <v>0</v>
      </c>
      <c r="N538" t="n">
        <v>-1.551425714666665</v>
      </c>
      <c r="O538" t="inlineStr"/>
      <c r="P538" t="n">
        <v>-1.551425714666665</v>
      </c>
      <c r="Q538" t="n">
        <v>-21.67347080086092</v>
      </c>
      <c r="R538" t="n">
        <v>25.68994859332465</v>
      </c>
      <c r="S538" t="n">
        <v>24.744</v>
      </c>
      <c r="T538" t="n">
        <v>2.435</v>
      </c>
      <c r="U538" t="n">
        <v>22.309</v>
      </c>
      <c r="V538" t="n">
        <v>1576110000000</v>
      </c>
    </row>
    <row r="539">
      <c r="A539" t="inlineStr">
        <is>
          <t>Turkey</t>
        </is>
      </c>
      <c r="B539" t="inlineStr">
        <is>
          <t>TUR</t>
        </is>
      </c>
      <c r="C539" t="inlineStr">
        <is>
          <t>TURL.L</t>
        </is>
      </c>
      <c r="D539" t="n">
        <v>2027</v>
      </c>
      <c r="E539" t="inlineStr"/>
      <c r="F539" t="n">
        <v>3.725</v>
      </c>
      <c r="G539" t="n">
        <v>22.873771</v>
      </c>
      <c r="H539" t="n">
        <v>4.108343</v>
      </c>
      <c r="I539" t="inlineStr"/>
      <c r="J539" t="inlineStr">
        <is>
          <t>Turkey|TURL.L|2027</t>
        </is>
      </c>
      <c r="K539" t="inlineStr">
        <is>
          <t>Turkey|2027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-15.27211901748565</v>
      </c>
      <c r="R539" t="inlineStr"/>
      <c r="S539" t="n">
        <v>19.47</v>
      </c>
      <c r="T539" t="n">
        <v>2.185</v>
      </c>
      <c r="U539" t="n">
        <v>17.285</v>
      </c>
      <c r="V539" t="n">
        <v>1640862000000</v>
      </c>
    </row>
    <row r="540">
      <c r="A540" t="inlineStr">
        <is>
          <t>Turkey</t>
        </is>
      </c>
      <c r="B540" t="inlineStr">
        <is>
          <t>TUR</t>
        </is>
      </c>
      <c r="C540" t="inlineStr">
        <is>
          <t>TURL.L</t>
        </is>
      </c>
      <c r="D540" t="n">
        <v>2028</v>
      </c>
      <c r="E540" t="inlineStr"/>
      <c r="F540" t="n">
        <v>3.82</v>
      </c>
      <c r="G540" t="n">
        <v>22.204735</v>
      </c>
      <c r="H540" t="n">
        <v>7.287084</v>
      </c>
      <c r="I540" t="inlineStr"/>
      <c r="J540" t="inlineStr">
        <is>
          <t>Turkey|TURL.L|2028</t>
        </is>
      </c>
      <c r="K540" t="inlineStr">
        <is>
          <t>Turkey|2028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-12.20709699606487</v>
      </c>
      <c r="R540" t="inlineStr"/>
      <c r="S540" t="n">
        <v>16.218</v>
      </c>
      <c r="T540" t="n">
        <v>2.206</v>
      </c>
      <c r="U540" t="n">
        <v>14.012</v>
      </c>
      <c r="V540" t="n">
        <v>1760433000000</v>
      </c>
    </row>
    <row r="541">
      <c r="A541" t="inlineStr">
        <is>
          <t>Turkey</t>
        </is>
      </c>
      <c r="B541" t="inlineStr">
        <is>
          <t>TUR</t>
        </is>
      </c>
      <c r="C541" t="inlineStr">
        <is>
          <t>TURL.L</t>
        </is>
      </c>
      <c r="D541" t="n">
        <v>2029</v>
      </c>
      <c r="E541" t="inlineStr"/>
      <c r="F541" t="n">
        <v>3.792</v>
      </c>
      <c r="G541" t="n">
        <v>19.429834</v>
      </c>
      <c r="H541" t="n">
        <v>6.013521</v>
      </c>
      <c r="I541" t="inlineStr"/>
      <c r="J541" t="inlineStr">
        <is>
          <t>Turkey|TURL.L|2029</t>
        </is>
      </c>
      <c r="K541" t="inlineStr">
        <is>
          <t>Turkey|2029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-11.2336367617882</v>
      </c>
      <c r="R541" t="inlineStr"/>
      <c r="S541" t="n">
        <v>15.004</v>
      </c>
      <c r="T541" t="n">
        <v>2.203</v>
      </c>
      <c r="U541" t="n">
        <v>12.801</v>
      </c>
      <c r="V541" t="n">
        <v>1866297000000</v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n">
        <v>2015</v>
      </c>
      <c r="E542" t="n">
        <v>-2.0339794209141</v>
      </c>
      <c r="F542" t="n">
        <v>2.223</v>
      </c>
      <c r="G542" t="inlineStr"/>
      <c r="H542" t="inlineStr"/>
      <c r="I542" t="inlineStr"/>
      <c r="J542" t="inlineStr">
        <is>
          <t>United Kingdom|CSUK.L|2015</t>
        </is>
      </c>
      <c r="K542" t="inlineStr">
        <is>
          <t>United Kingdom|2015</t>
        </is>
      </c>
      <c r="L542" t="inlineStr">
        <is>
          <t>GBp</t>
        </is>
      </c>
      <c r="M542" t="n">
        <v>-2.0339794209141</v>
      </c>
      <c r="N542" t="n">
        <v>-4.888855870697362</v>
      </c>
      <c r="O542" t="n">
        <v>-5.407515212426162</v>
      </c>
      <c r="P542" t="n">
        <v>-6.823396969283325</v>
      </c>
      <c r="Q542" t="inlineStr"/>
      <c r="R542" t="inlineStr"/>
      <c r="S542" t="n">
        <v>0.04</v>
      </c>
      <c r="T542" t="n">
        <v>0.121</v>
      </c>
      <c r="U542" t="n">
        <v>-0.08099999999999999</v>
      </c>
      <c r="V542" t="n">
        <v>2928558000000</v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n">
        <v>2016</v>
      </c>
      <c r="E543" t="n">
        <v>21.43933685003767</v>
      </c>
      <c r="F543" t="n">
        <v>1.922</v>
      </c>
      <c r="G543" t="n">
        <v>3.923607</v>
      </c>
      <c r="H543" t="n">
        <v>-7.835665</v>
      </c>
      <c r="I543" t="n">
        <v>-9.084851567149119</v>
      </c>
      <c r="J543" t="inlineStr">
        <is>
          <t>United Kingdom|CSUK.L|2016</t>
        </is>
      </c>
      <c r="K543" t="inlineStr">
        <is>
          <t>United Kingdom|2016</t>
        </is>
      </c>
      <c r="L543" t="inlineStr">
        <is>
          <t>GBp</t>
        </is>
      </c>
      <c r="M543" t="n">
        <v>21.43933685003767</v>
      </c>
      <c r="N543" t="n">
        <v>-16.62570861023462</v>
      </c>
      <c r="O543" t="n">
        <v>-16.21181156312136</v>
      </c>
      <c r="P543" t="n">
        <v>1.249186567149119</v>
      </c>
      <c r="Q543" t="n">
        <v>-11.31530388385849</v>
      </c>
      <c r="R543" t="n">
        <v>14.16759711794371</v>
      </c>
      <c r="S543" t="n">
        <v>0.66</v>
      </c>
      <c r="T543" t="n">
        <v>1.267</v>
      </c>
      <c r="U543" t="n">
        <v>-0.6069999999999999</v>
      </c>
      <c r="V543" t="n">
        <v>2699086000000</v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n">
        <v>2017</v>
      </c>
      <c r="E544" t="n">
        <v>10.78797808611951</v>
      </c>
      <c r="F544" t="n">
        <v>2.657</v>
      </c>
      <c r="G544" t="n">
        <v>4.560903</v>
      </c>
      <c r="H544" t="n">
        <v>-0.618802</v>
      </c>
      <c r="I544" t="n">
        <v>-21.20197516536329</v>
      </c>
      <c r="J544" t="inlineStr">
        <is>
          <t>United Kingdom|CSUK.L|2017</t>
        </is>
      </c>
      <c r="K544" t="inlineStr">
        <is>
          <t>United Kingdom|2017</t>
        </is>
      </c>
      <c r="L544" t="inlineStr">
        <is>
          <t>GBp</t>
        </is>
      </c>
      <c r="M544" t="n">
        <v>10.78797808611951</v>
      </c>
      <c r="N544" t="n">
        <v>8.841388071573641</v>
      </c>
      <c r="O544" t="n">
        <v>9.450435944365921</v>
      </c>
      <c r="P544" t="n">
        <v>20.58317316536329</v>
      </c>
      <c r="Q544" t="n">
        <v>-4.953768650015422</v>
      </c>
      <c r="R544" t="n">
        <v>26.86791622631006</v>
      </c>
      <c r="S544" t="n">
        <v>2.683</v>
      </c>
      <c r="T544" t="n">
        <v>2.131</v>
      </c>
      <c r="U544" t="n">
        <v>0.552</v>
      </c>
      <c r="V544" t="n">
        <v>2682384000000</v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n">
        <v>2018</v>
      </c>
      <c r="E545" t="n">
        <v>-8.762214983713356</v>
      </c>
      <c r="F545" t="n">
        <v>1.405</v>
      </c>
      <c r="G545" t="n">
        <v>3.352826</v>
      </c>
      <c r="H545" t="n">
        <v>7.181671</v>
      </c>
      <c r="I545" t="n">
        <v>21.49598276977746</v>
      </c>
      <c r="J545" t="inlineStr">
        <is>
          <t>United Kingdom|CSUK.L|2018</t>
        </is>
      </c>
      <c r="K545" t="inlineStr">
        <is>
          <t>United Kingdom|2018</t>
        </is>
      </c>
      <c r="L545" t="inlineStr">
        <is>
          <t>GBp</t>
        </is>
      </c>
      <c r="M545" t="n">
        <v>-8.762214983713356</v>
      </c>
      <c r="N545" t="n">
        <v>-6.085304224640065</v>
      </c>
      <c r="O545" t="n">
        <v>-5.756316180609423</v>
      </c>
      <c r="P545" t="n">
        <v>-14.31431176977746</v>
      </c>
      <c r="Q545" t="n">
        <v>3.704635156519487</v>
      </c>
      <c r="R545" t="n">
        <v>-17.37525704526253</v>
      </c>
      <c r="S545" t="n">
        <v>2.478</v>
      </c>
      <c r="T545" t="n">
        <v>2.439</v>
      </c>
      <c r="U545" t="n">
        <v>0.03900000000000015</v>
      </c>
      <c r="V545" t="n">
        <v>2875024000000</v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n">
        <v>2019</v>
      </c>
      <c r="E546" t="n">
        <v>16.07315706352846</v>
      </c>
      <c r="F546" t="n">
        <v>1.624</v>
      </c>
      <c r="G546" t="n">
        <v>3.792076</v>
      </c>
      <c r="H546" t="n">
        <v>-0.763472</v>
      </c>
      <c r="I546" t="n">
        <v>-20.25366528913149</v>
      </c>
      <c r="J546" t="inlineStr">
        <is>
          <t>United Kingdom|CSUK.L|2019</t>
        </is>
      </c>
      <c r="K546" t="inlineStr">
        <is>
          <t>United Kingdom|2019</t>
        </is>
      </c>
      <c r="L546" t="inlineStr">
        <is>
          <t>GBp</t>
        </is>
      </c>
      <c r="M546" t="n">
        <v>16.07315706352846</v>
      </c>
      <c r="N546" t="n">
        <v>2.94386429390634</v>
      </c>
      <c r="O546" t="n">
        <v>4.118031584084703</v>
      </c>
      <c r="P546" t="n">
        <v>19.49019328913149</v>
      </c>
      <c r="Q546" t="n">
        <v>-4.389109372013511</v>
      </c>
      <c r="R546" t="n">
        <v>24.97550488684104</v>
      </c>
      <c r="S546" t="n">
        <v>1.791</v>
      </c>
      <c r="T546" t="n">
        <v>1.813</v>
      </c>
      <c r="U546" t="n">
        <v>-0.02200000000000002</v>
      </c>
      <c r="V546" t="n">
        <v>2853074000000</v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n">
        <v>2020</v>
      </c>
      <c r="E547" t="n">
        <v>-13.76937815711548</v>
      </c>
      <c r="F547" t="n">
        <v>-10.297</v>
      </c>
      <c r="G547" t="n">
        <v>-5.838837</v>
      </c>
      <c r="H547" t="n">
        <v>-5.41062</v>
      </c>
      <c r="I547" t="n">
        <v>5.965687351915872</v>
      </c>
      <c r="J547" t="inlineStr">
        <is>
          <t>United Kingdom|CSUK.L|2020</t>
        </is>
      </c>
      <c r="K547" t="inlineStr">
        <is>
          <t>United Kingdom|2020</t>
        </is>
      </c>
      <c r="L547" t="inlineStr">
        <is>
          <t>GBp</t>
        </is>
      </c>
      <c r="M547" t="n">
        <v>-13.76937815711548</v>
      </c>
      <c r="N547" t="n">
        <v>2.775198362317122</v>
      </c>
      <c r="O547" t="n">
        <v>3.094474617937659</v>
      </c>
      <c r="P547" t="n">
        <v>-11.37630735191587</v>
      </c>
      <c r="Q547" t="n">
        <v>0.4547697339148282</v>
      </c>
      <c r="R547" t="n">
        <v>-11.77751650535751</v>
      </c>
      <c r="S547" t="n">
        <v>0.851</v>
      </c>
      <c r="T547" t="n">
        <v>1.253</v>
      </c>
      <c r="U547" t="n">
        <v>-0.4019999999999999</v>
      </c>
      <c r="V547" t="n">
        <v>2698705000000</v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CSUK.L</t>
        </is>
      </c>
      <c r="D548" t="n">
        <v>2021</v>
      </c>
      <c r="E548" t="n">
        <v>16.31212723658053</v>
      </c>
      <c r="F548" t="n">
        <v>8.576000000000001</v>
      </c>
      <c r="G548" t="n">
        <v>8.648215</v>
      </c>
      <c r="H548" t="n">
        <v>16.503249</v>
      </c>
      <c r="I548" t="n">
        <v>1.676684113723152</v>
      </c>
      <c r="J548" t="inlineStr">
        <is>
          <t>United Kingdom|CSUK.L|2021</t>
        </is>
      </c>
      <c r="K548" t="inlineStr">
        <is>
          <t>United Kingdom|2021</t>
        </is>
      </c>
      <c r="L548" t="inlineStr">
        <is>
          <t>GBp</t>
        </is>
      </c>
      <c r="M548" t="n">
        <v>16.31212723658053</v>
      </c>
      <c r="N548" t="n">
        <v>-1.277220514832489</v>
      </c>
      <c r="O548" t="n">
        <v>-1.102343119945948</v>
      </c>
      <c r="P548" t="n">
        <v>14.82656488627685</v>
      </c>
      <c r="Q548" t="n">
        <v>7.229785929884969</v>
      </c>
      <c r="R548" t="n">
        <v>7.084579056568518</v>
      </c>
      <c r="S548" t="n">
        <v>2.588</v>
      </c>
      <c r="T548" t="n">
        <v>4.679</v>
      </c>
      <c r="U548" t="n">
        <v>-2.091</v>
      </c>
      <c r="V548" t="n">
        <v>3144079000000</v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CSUK.L</t>
        </is>
      </c>
      <c r="D549" t="n">
        <v>2022</v>
      </c>
      <c r="E549" t="n">
        <v>5.392692146157074</v>
      </c>
      <c r="F549" t="n">
        <v>4.839</v>
      </c>
      <c r="G549" t="n">
        <v>10.546425</v>
      </c>
      <c r="H549" t="n">
        <v>-0.593974</v>
      </c>
      <c r="I549" t="n">
        <v>5.43900512448415</v>
      </c>
      <c r="J549" t="inlineStr">
        <is>
          <t>United Kingdom|CSUK.L|2022</t>
        </is>
      </c>
      <c r="K549" t="inlineStr">
        <is>
          <t>United Kingdom|2022</t>
        </is>
      </c>
      <c r="L549" t="inlineStr">
        <is>
          <t>GBp</t>
        </is>
      </c>
      <c r="M549" t="n">
        <v>5.392692146157074</v>
      </c>
      <c r="N549" t="n">
        <v>-10.84104698150823</v>
      </c>
      <c r="O549" t="n">
        <v>-10.36772851390696</v>
      </c>
      <c r="P549" t="n">
        <v>-6.03297912448415</v>
      </c>
      <c r="Q549" t="n">
        <v>-10.07757486930515</v>
      </c>
      <c r="R549" t="n">
        <v>4.497872181430296</v>
      </c>
      <c r="S549" t="n">
        <v>9.067</v>
      </c>
      <c r="T549" t="n">
        <v>7.993</v>
      </c>
      <c r="U549" t="n">
        <v>1.074</v>
      </c>
      <c r="V549" t="n">
        <v>3125404000000</v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CSUK.L</t>
        </is>
      </c>
      <c r="D550" t="n">
        <v>2023</v>
      </c>
      <c r="E550" t="n">
        <v>5.633026077365488</v>
      </c>
      <c r="F550" t="n">
        <v>0.397</v>
      </c>
      <c r="G550" t="n">
        <v>7.312973</v>
      </c>
      <c r="H550" t="n">
        <v>7.861832</v>
      </c>
      <c r="I550" t="n">
        <v>-3.119426601917077</v>
      </c>
      <c r="J550" t="inlineStr">
        <is>
          <t>United Kingdom|CSUK.L|2023</t>
        </is>
      </c>
      <c r="K550" t="inlineStr">
        <is>
          <t>United Kingdom|2023</t>
        </is>
      </c>
      <c r="L550" t="inlineStr">
        <is>
          <t>GBp</t>
        </is>
      </c>
      <c r="M550" t="n">
        <v>5.633026077365488</v>
      </c>
      <c r="N550" t="n">
        <v>5.06303068571996</v>
      </c>
      <c r="O550" t="n">
        <v>5.030130998783355</v>
      </c>
      <c r="P550" t="n">
        <v>10.98125860191708</v>
      </c>
      <c r="Q550" t="n">
        <v>0.5114558918467793</v>
      </c>
      <c r="R550" t="n">
        <v>10.41652677017841</v>
      </c>
      <c r="S550" t="n">
        <v>7.303</v>
      </c>
      <c r="T550" t="n">
        <v>4.128</v>
      </c>
      <c r="U550" t="n">
        <v>3.175</v>
      </c>
      <c r="V550" t="n">
        <v>3371118000000</v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CSUK.L</t>
        </is>
      </c>
      <c r="D551" t="n">
        <v>2024</v>
      </c>
      <c r="E551" t="n">
        <v>8.961349052380241</v>
      </c>
      <c r="F551" t="n">
        <v>1.101</v>
      </c>
      <c r="G551" t="n">
        <v>5.156564</v>
      </c>
      <c r="H551" t="n">
        <v>8.113569</v>
      </c>
      <c r="I551" t="n">
        <v>0.7006190377614425</v>
      </c>
      <c r="J551" t="inlineStr">
        <is>
          <t>United Kingdom|CSUK.L|2024</t>
        </is>
      </c>
      <c r="K551" t="inlineStr">
        <is>
          <t>United Kingdom|2024</t>
        </is>
      </c>
      <c r="L551" t="inlineStr">
        <is>
          <t>GBp</t>
        </is>
      </c>
      <c r="M551" t="n">
        <v>8.961349052380241</v>
      </c>
      <c r="N551" t="n">
        <v>-1.421053523664917</v>
      </c>
      <c r="O551" t="n">
        <v>-1.655539060617606</v>
      </c>
      <c r="P551" t="n">
        <v>7.412949962238558</v>
      </c>
      <c r="Q551" t="n">
        <v>2.812002352695675</v>
      </c>
      <c r="R551" t="n">
        <v>4.475107481867124</v>
      </c>
      <c r="S551" t="n">
        <v>2.53</v>
      </c>
      <c r="T551" t="n">
        <v>2.952</v>
      </c>
      <c r="U551" t="n">
        <v>-0.4220000000000002</v>
      </c>
      <c r="V551" t="n">
        <v>3644636000000</v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CSUK.L</t>
        </is>
      </c>
      <c r="D552" t="n">
        <v>2025</v>
      </c>
      <c r="E552" t="n">
        <v>23.79534380075798</v>
      </c>
      <c r="F552" t="n">
        <v>1.308</v>
      </c>
      <c r="G552" t="n">
        <v>4.886901</v>
      </c>
      <c r="H552" t="n">
        <v>8.619351999999999</v>
      </c>
      <c r="I552" t="n">
        <v>-24.54968802605603</v>
      </c>
      <c r="J552" t="inlineStr">
        <is>
          <t>United Kingdom|CSUK.L|2025</t>
        </is>
      </c>
      <c r="K552" t="inlineStr">
        <is>
          <t>United Kingdom|2025</t>
        </is>
      </c>
      <c r="L552" t="inlineStr">
        <is>
          <t>GBp</t>
        </is>
      </c>
      <c r="M552" t="n">
        <v>23.79534380075798</v>
      </c>
      <c r="N552" t="n">
        <v>7.571929555270285</v>
      </c>
      <c r="O552" t="n">
        <v>7.623377354227179</v>
      </c>
      <c r="P552" t="n">
        <v>33.16904002605603</v>
      </c>
      <c r="Q552" t="n">
        <v>3.558548457791244</v>
      </c>
      <c r="R552" t="n">
        <v>28.59299595178619</v>
      </c>
      <c r="S552" t="n">
        <v>3.402</v>
      </c>
      <c r="T552" t="n">
        <v>2.715</v>
      </c>
      <c r="U552" t="n">
        <v>0.6870000000000003</v>
      </c>
      <c r="V552" t="n">
        <v>3958780000000</v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CSUK.L</t>
        </is>
      </c>
      <c r="D553" t="n">
        <v>2026</v>
      </c>
      <c r="E553" t="n">
        <v>9.790513404971257</v>
      </c>
      <c r="F553" t="n">
        <v>1.264</v>
      </c>
      <c r="G553" t="n">
        <v>3.62701</v>
      </c>
      <c r="H553" t="n">
        <v>6.74094</v>
      </c>
      <c r="I553" t="n">
        <v>-1.346255147741987</v>
      </c>
      <c r="J553" t="inlineStr">
        <is>
          <t>United Kingdom|CSUK.L|2026</t>
        </is>
      </c>
      <c r="K553" t="inlineStr">
        <is>
          <t>United Kingdom|2026</t>
        </is>
      </c>
      <c r="L553" t="inlineStr">
        <is>
          <t>GBp</t>
        </is>
      </c>
      <c r="M553" t="n">
        <v>9.790513404971257</v>
      </c>
      <c r="N553" t="n">
        <v>-1.551425714666665</v>
      </c>
      <c r="O553" t="inlineStr"/>
      <c r="P553" t="n">
        <v>8.087195147741987</v>
      </c>
      <c r="Q553" t="n">
        <v>3.004940479200879</v>
      </c>
      <c r="R553" t="n">
        <v>4.933991170615104</v>
      </c>
      <c r="S553" t="n">
        <v>2.546</v>
      </c>
      <c r="T553" t="n">
        <v>2.435</v>
      </c>
      <c r="U553" t="n">
        <v>0.1109999999999998</v>
      </c>
      <c r="V553" t="n">
        <v>4225639000000</v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CSUK.L</t>
        </is>
      </c>
      <c r="D554" t="n">
        <v>2027</v>
      </c>
      <c r="E554" t="inlineStr"/>
      <c r="F554" t="n">
        <v>1.54</v>
      </c>
      <c r="G554" t="n">
        <v>3.68662</v>
      </c>
      <c r="H554" t="n">
        <v>5.117143</v>
      </c>
      <c r="I554" t="inlineStr"/>
      <c r="J554" t="inlineStr">
        <is>
          <t>United Kingdom|CSUK.L|2027</t>
        </is>
      </c>
      <c r="K554" t="inlineStr">
        <is>
          <t>United Kingdom|2027</t>
        </is>
      </c>
      <c r="L554" t="inlineStr">
        <is>
          <t>GBp</t>
        </is>
      </c>
      <c r="M554" t="inlineStr"/>
      <c r="N554" t="inlineStr"/>
      <c r="O554" t="inlineStr"/>
      <c r="P554" t="inlineStr"/>
      <c r="Q554" t="n">
        <v>1.3796599258461</v>
      </c>
      <c r="R554" t="inlineStr"/>
      <c r="S554" t="n">
        <v>2</v>
      </c>
      <c r="T554" t="n">
        <v>2.185</v>
      </c>
      <c r="U554" t="n">
        <v>-0.1850000000000001</v>
      </c>
      <c r="V554" t="n">
        <v>4441871000000</v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CSUK.L</t>
        </is>
      </c>
      <c r="D555" t="n">
        <v>2028</v>
      </c>
      <c r="E555" t="inlineStr"/>
      <c r="F555" t="n">
        <v>1.439</v>
      </c>
      <c r="G555" t="n">
        <v>3.540633</v>
      </c>
      <c r="H555" t="n">
        <v>5.211498</v>
      </c>
      <c r="I555" t="inlineStr"/>
      <c r="J555" t="inlineStr">
        <is>
          <t>United Kingdom|CSUK.L|2028</t>
        </is>
      </c>
      <c r="K555" t="inlineStr">
        <is>
          <t>United Kingdom|2028</t>
        </is>
      </c>
      <c r="L555" t="inlineStr">
        <is>
          <t>GBp</t>
        </is>
      </c>
      <c r="M555" t="inlineStr"/>
      <c r="N555" t="inlineStr"/>
      <c r="O555" t="inlineStr"/>
      <c r="P555" t="inlineStr"/>
      <c r="Q555" t="n">
        <v>1.613728343961585</v>
      </c>
      <c r="R555" t="inlineStr"/>
      <c r="S555" t="n">
        <v>2</v>
      </c>
      <c r="T555" t="n">
        <v>2.206</v>
      </c>
      <c r="U555" t="n">
        <v>-0.206</v>
      </c>
      <c r="V555" t="n">
        <v>4673359000000</v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CSUK.L</t>
        </is>
      </c>
      <c r="D556" t="n">
        <v>2029</v>
      </c>
      <c r="E556" t="inlineStr"/>
      <c r="F556" t="n">
        <v>1.432</v>
      </c>
      <c r="G556" t="n">
        <v>3.653419</v>
      </c>
      <c r="H556" t="n">
        <v>5.462345</v>
      </c>
      <c r="I556" t="inlineStr"/>
      <c r="J556" t="inlineStr">
        <is>
          <t>United Kingdom|CSUK.L|2029</t>
        </is>
      </c>
      <c r="K556" t="inlineStr">
        <is>
          <t>United Kingdom|2029</t>
        </is>
      </c>
      <c r="L556" t="inlineStr">
        <is>
          <t>GBp</t>
        </is>
      </c>
      <c r="M556" t="inlineStr"/>
      <c r="N556" t="inlineStr"/>
      <c r="O556" t="inlineStr"/>
      <c r="P556" t="inlineStr"/>
      <c r="Q556" t="n">
        <v>1.745167688599203</v>
      </c>
      <c r="R556" t="inlineStr"/>
      <c r="S556" t="n">
        <v>2</v>
      </c>
      <c r="T556" t="n">
        <v>2.203</v>
      </c>
      <c r="U556" t="n">
        <v>-0.2029999999999998</v>
      </c>
      <c r="V556" t="n">
        <v>4928634000000</v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CUKX.L</t>
        </is>
      </c>
      <c r="D557" t="n">
        <v>2015</v>
      </c>
      <c r="E557" t="n">
        <v>-1.165381319622971</v>
      </c>
      <c r="F557" t="n">
        <v>2.223</v>
      </c>
      <c r="G557" t="inlineStr"/>
      <c r="H557" t="inlineStr"/>
      <c r="I557" t="inlineStr"/>
      <c r="J557" t="inlineStr">
        <is>
          <t>United Kingdom|CUKX.L|2015</t>
        </is>
      </c>
      <c r="K557" t="inlineStr">
        <is>
          <t>United Kingdom|2015</t>
        </is>
      </c>
      <c r="L557" t="inlineStr">
        <is>
          <t>GBp</t>
        </is>
      </c>
      <c r="M557" t="n">
        <v>-1.165381319622971</v>
      </c>
      <c r="N557" t="n">
        <v>-4.888855870697362</v>
      </c>
      <c r="O557" t="n">
        <v>-5.407515212426162</v>
      </c>
      <c r="P557" t="n">
        <v>-5.997263377259932</v>
      </c>
      <c r="Q557" t="inlineStr"/>
      <c r="R557" t="inlineStr"/>
      <c r="S557" t="n">
        <v>0.04</v>
      </c>
      <c r="T557" t="n">
        <v>0.121</v>
      </c>
      <c r="U557" t="n">
        <v>-0.08099999999999999</v>
      </c>
      <c r="V557" t="n">
        <v>2928558000000</v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CUKX.L</t>
        </is>
      </c>
      <c r="D558" t="n">
        <v>2016</v>
      </c>
      <c r="E558" t="n">
        <v>22.1086413883276</v>
      </c>
      <c r="F558" t="n">
        <v>1.922</v>
      </c>
      <c r="G558" t="n">
        <v>3.923607</v>
      </c>
      <c r="H558" t="n">
        <v>-7.835665</v>
      </c>
      <c r="I558" t="n">
        <v>-9.642879483187901</v>
      </c>
      <c r="J558" t="inlineStr">
        <is>
          <t>United Kingdom|CUKX.L|2016</t>
        </is>
      </c>
      <c r="K558" t="inlineStr">
        <is>
          <t>United Kingdom|2016</t>
        </is>
      </c>
      <c r="L558" t="inlineStr">
        <is>
          <t>GBp</t>
        </is>
      </c>
      <c r="M558" t="n">
        <v>22.1086413883276</v>
      </c>
      <c r="N558" t="n">
        <v>-16.62570861023462</v>
      </c>
      <c r="O558" t="n">
        <v>-16.21181156312136</v>
      </c>
      <c r="P558" t="n">
        <v>1.807214483187902</v>
      </c>
      <c r="Q558" t="n">
        <v>-11.31530388385849</v>
      </c>
      <c r="R558" t="n">
        <v>14.79682396369846</v>
      </c>
      <c r="S558" t="n">
        <v>0.66</v>
      </c>
      <c r="T558" t="n">
        <v>1.267</v>
      </c>
      <c r="U558" t="n">
        <v>-0.6069999999999999</v>
      </c>
      <c r="V558" t="n">
        <v>2699086000000</v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CUKX.L</t>
        </is>
      </c>
      <c r="D559" t="n">
        <v>2017</v>
      </c>
      <c r="E559" t="n">
        <v>11.49447473821359</v>
      </c>
      <c r="F559" t="n">
        <v>2.657</v>
      </c>
      <c r="G559" t="n">
        <v>4.560903</v>
      </c>
      <c r="H559" t="n">
        <v>-0.618802</v>
      </c>
      <c r="I559" t="n">
        <v>-21.97093592818169</v>
      </c>
      <c r="J559" t="inlineStr">
        <is>
          <t>United Kingdom|CUKX.L|2017</t>
        </is>
      </c>
      <c r="K559" t="inlineStr">
        <is>
          <t>United Kingdom|2017</t>
        </is>
      </c>
      <c r="L559" t="inlineStr">
        <is>
          <t>GBp</t>
        </is>
      </c>
      <c r="M559" t="n">
        <v>11.49447473821359</v>
      </c>
      <c r="N559" t="n">
        <v>8.841388071573641</v>
      </c>
      <c r="O559" t="n">
        <v>9.450435944365921</v>
      </c>
      <c r="P559" t="n">
        <v>21.35213392818169</v>
      </c>
      <c r="Q559" t="n">
        <v>-4.953768650015422</v>
      </c>
      <c r="R559" t="n">
        <v>27.67695489296367</v>
      </c>
      <c r="S559" t="n">
        <v>2.683</v>
      </c>
      <c r="T559" t="n">
        <v>2.131</v>
      </c>
      <c r="U559" t="n">
        <v>0.552</v>
      </c>
      <c r="V559" t="n">
        <v>2682384000000</v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CUKX.L</t>
        </is>
      </c>
      <c r="D560" t="n">
        <v>2018</v>
      </c>
      <c r="E560" t="n">
        <v>-8.379839553540302</v>
      </c>
      <c r="F560" t="n">
        <v>1.405</v>
      </c>
      <c r="G560" t="n">
        <v>3.352826</v>
      </c>
      <c r="H560" t="n">
        <v>7.181671</v>
      </c>
      <c r="I560" t="n">
        <v>21.13687604781072</v>
      </c>
      <c r="J560" t="inlineStr">
        <is>
          <t>United Kingdom|CUKX.L|2018</t>
        </is>
      </c>
      <c r="K560" t="inlineStr">
        <is>
          <t>United Kingdom|2018</t>
        </is>
      </c>
      <c r="L560" t="inlineStr">
        <is>
          <t>GBp</t>
        </is>
      </c>
      <c r="M560" t="n">
        <v>-8.379839553540302</v>
      </c>
      <c r="N560" t="n">
        <v>-6.085304224640065</v>
      </c>
      <c r="O560" t="n">
        <v>-5.756316180609423</v>
      </c>
      <c r="P560" t="n">
        <v>-13.95520504781071</v>
      </c>
      <c r="Q560" t="n">
        <v>3.704635156519487</v>
      </c>
      <c r="R560" t="n">
        <v>-17.0289786735921</v>
      </c>
      <c r="S560" t="n">
        <v>2.478</v>
      </c>
      <c r="T560" t="n">
        <v>2.439</v>
      </c>
      <c r="U560" t="n">
        <v>0.03900000000000015</v>
      </c>
      <c r="V560" t="n">
        <v>2875024000000</v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CUKX.L</t>
        </is>
      </c>
      <c r="D561" t="n">
        <v>2019</v>
      </c>
      <c r="E561" t="n">
        <v>17.23776889396536</v>
      </c>
      <c r="F561" t="n">
        <v>1.624</v>
      </c>
      <c r="G561" t="n">
        <v>3.792076</v>
      </c>
      <c r="H561" t="n">
        <v>-0.763472</v>
      </c>
      <c r="I561" t="n">
        <v>-21.45256171140724</v>
      </c>
      <c r="J561" t="inlineStr">
        <is>
          <t>United Kingdom|CUKX.L|2019</t>
        </is>
      </c>
      <c r="K561" t="inlineStr">
        <is>
          <t>United Kingdom|2019</t>
        </is>
      </c>
      <c r="L561" t="inlineStr">
        <is>
          <t>GBp</t>
        </is>
      </c>
      <c r="M561" t="n">
        <v>17.23776889396536</v>
      </c>
      <c r="N561" t="n">
        <v>2.94386429390634</v>
      </c>
      <c r="O561" t="n">
        <v>4.118031584084703</v>
      </c>
      <c r="P561" t="n">
        <v>20.68908971140724</v>
      </c>
      <c r="Q561" t="n">
        <v>-4.389109372013511</v>
      </c>
      <c r="R561" t="n">
        <v>26.22943779594922</v>
      </c>
      <c r="S561" t="n">
        <v>1.791</v>
      </c>
      <c r="T561" t="n">
        <v>1.813</v>
      </c>
      <c r="U561" t="n">
        <v>-0.02200000000000002</v>
      </c>
      <c r="V561" t="n">
        <v>2853074000000</v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CUKX.L</t>
        </is>
      </c>
      <c r="D562" t="n">
        <v>2020</v>
      </c>
      <c r="E562" t="n">
        <v>-12.13315108145051</v>
      </c>
      <c r="F562" t="n">
        <v>-10.297</v>
      </c>
      <c r="G562" t="n">
        <v>-5.838837</v>
      </c>
      <c r="H562" t="n">
        <v>-5.41062</v>
      </c>
      <c r="I562" t="n">
        <v>4.284051729243265</v>
      </c>
      <c r="J562" t="inlineStr">
        <is>
          <t>United Kingdom|CUKX.L|2020</t>
        </is>
      </c>
      <c r="K562" t="inlineStr">
        <is>
          <t>United Kingdom|2020</t>
        </is>
      </c>
      <c r="L562" t="inlineStr">
        <is>
          <t>GBp</t>
        </is>
      </c>
      <c r="M562" t="n">
        <v>-12.13315108145051</v>
      </c>
      <c r="N562" t="n">
        <v>2.775198362317122</v>
      </c>
      <c r="O562" t="n">
        <v>3.094474617937659</v>
      </c>
      <c r="P562" t="n">
        <v>-9.694671729243264</v>
      </c>
      <c r="Q562" t="n">
        <v>0.4547697339148282</v>
      </c>
      <c r="R562" t="n">
        <v>-10.10349383114609</v>
      </c>
      <c r="S562" t="n">
        <v>0.851</v>
      </c>
      <c r="T562" t="n">
        <v>1.253</v>
      </c>
      <c r="U562" t="n">
        <v>-0.4019999999999999</v>
      </c>
      <c r="V562" t="n">
        <v>2698705000000</v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CUKX.L</t>
        </is>
      </c>
      <c r="D563" t="n">
        <v>2021</v>
      </c>
      <c r="E563" t="n">
        <v>15.65765765765765</v>
      </c>
      <c r="F563" t="n">
        <v>8.576000000000001</v>
      </c>
      <c r="G563" t="n">
        <v>8.648215</v>
      </c>
      <c r="H563" t="n">
        <v>16.503249</v>
      </c>
      <c r="I563" t="n">
        <v>2.322794672920672</v>
      </c>
      <c r="J563" t="inlineStr">
        <is>
          <t>United Kingdom|CUKX.L|2021</t>
        </is>
      </c>
      <c r="K563" t="inlineStr">
        <is>
          <t>United Kingdom|2021</t>
        </is>
      </c>
      <c r="L563" t="inlineStr">
        <is>
          <t>GBp</t>
        </is>
      </c>
      <c r="M563" t="n">
        <v>15.65765765765765</v>
      </c>
      <c r="N563" t="n">
        <v>-1.277220514832489</v>
      </c>
      <c r="O563" t="n">
        <v>-1.102343119945948</v>
      </c>
      <c r="P563" t="n">
        <v>14.18045432707933</v>
      </c>
      <c r="Q563" t="n">
        <v>7.229785929884969</v>
      </c>
      <c r="R563" t="n">
        <v>6.482031402859678</v>
      </c>
      <c r="S563" t="n">
        <v>2.588</v>
      </c>
      <c r="T563" t="n">
        <v>4.679</v>
      </c>
      <c r="U563" t="n">
        <v>-2.091</v>
      </c>
      <c r="V563" t="n">
        <v>3144079000000</v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CUKX.L</t>
        </is>
      </c>
      <c r="D564" t="n">
        <v>2022</v>
      </c>
      <c r="E564" t="n">
        <v>3.343558282208581</v>
      </c>
      <c r="F564" t="n">
        <v>4.839</v>
      </c>
      <c r="G564" t="n">
        <v>10.546425</v>
      </c>
      <c r="H564" t="n">
        <v>-0.593974</v>
      </c>
      <c r="I564" t="n">
        <v>7.265991423527992</v>
      </c>
      <c r="J564" t="inlineStr">
        <is>
          <t>United Kingdom|CUKX.L|2022</t>
        </is>
      </c>
      <c r="K564" t="inlineStr">
        <is>
          <t>United Kingdom|2022</t>
        </is>
      </c>
      <c r="L564" t="inlineStr">
        <is>
          <t>GBp</t>
        </is>
      </c>
      <c r="M564" t="n">
        <v>3.343558282208581</v>
      </c>
      <c r="N564" t="n">
        <v>-10.84104698150823</v>
      </c>
      <c r="O564" t="n">
        <v>-10.36772851390696</v>
      </c>
      <c r="P564" t="n">
        <v>-7.859965423527992</v>
      </c>
      <c r="Q564" t="n">
        <v>-10.07757486930515</v>
      </c>
      <c r="R564" t="n">
        <v>2.466136164092592</v>
      </c>
      <c r="S564" t="n">
        <v>9.067</v>
      </c>
      <c r="T564" t="n">
        <v>7.993</v>
      </c>
      <c r="U564" t="n">
        <v>1.074</v>
      </c>
      <c r="V564" t="n">
        <v>3125404000000</v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CUKX.L</t>
        </is>
      </c>
      <c r="D565" t="n">
        <v>2023</v>
      </c>
      <c r="E565" t="n">
        <v>6.578560939794431</v>
      </c>
      <c r="F565" t="n">
        <v>0.397</v>
      </c>
      <c r="G565" t="n">
        <v>7.312973</v>
      </c>
      <c r="H565" t="n">
        <v>7.861832</v>
      </c>
      <c r="I565" t="n">
        <v>-4.112834184574968</v>
      </c>
      <c r="J565" t="inlineStr">
        <is>
          <t>United Kingdom|CUKX.L|2023</t>
        </is>
      </c>
      <c r="K565" t="inlineStr">
        <is>
          <t>United Kingdom|2023</t>
        </is>
      </c>
      <c r="L565" t="inlineStr">
        <is>
          <t>GBp</t>
        </is>
      </c>
      <c r="M565" t="n">
        <v>6.578560939794431</v>
      </c>
      <c r="N565" t="n">
        <v>5.06303068571996</v>
      </c>
      <c r="O565" t="n">
        <v>5.030130998783355</v>
      </c>
      <c r="P565" t="n">
        <v>11.97466618457497</v>
      </c>
      <c r="Q565" t="n">
        <v>0.5114558918467793</v>
      </c>
      <c r="R565" t="n">
        <v>11.40487936525656</v>
      </c>
      <c r="S565" t="n">
        <v>7.303</v>
      </c>
      <c r="T565" t="n">
        <v>4.128</v>
      </c>
      <c r="U565" t="n">
        <v>3.175</v>
      </c>
      <c r="V565" t="n">
        <v>3371118000000</v>
      </c>
    </row>
    <row r="566">
      <c r="A566" t="inlineStr">
        <is>
          <t>United Kingdom</t>
        </is>
      </c>
      <c r="B566" t="inlineStr">
        <is>
          <t>GBR</t>
        </is>
      </c>
      <c r="C566" t="inlineStr">
        <is>
          <t>CUKX.L</t>
        </is>
      </c>
      <c r="D566" t="n">
        <v>2024</v>
      </c>
      <c r="E566" t="n">
        <v>9.390512961941532</v>
      </c>
      <c r="F566" t="n">
        <v>1.101</v>
      </c>
      <c r="G566" t="n">
        <v>5.156564</v>
      </c>
      <c r="H566" t="n">
        <v>8.113569</v>
      </c>
      <c r="I566" t="n">
        <v>0.2775537770592713</v>
      </c>
      <c r="J566" t="inlineStr">
        <is>
          <t>United Kingdom|CUKX.L|2024</t>
        </is>
      </c>
      <c r="K566" t="inlineStr">
        <is>
          <t>United Kingdom|2024</t>
        </is>
      </c>
      <c r="L566" t="inlineStr">
        <is>
          <t>GBp</t>
        </is>
      </c>
      <c r="M566" t="n">
        <v>9.390512961941532</v>
      </c>
      <c r="N566" t="n">
        <v>-1.421053523664917</v>
      </c>
      <c r="O566" t="n">
        <v>-1.655539060617606</v>
      </c>
      <c r="P566" t="n">
        <v>7.836015222940729</v>
      </c>
      <c r="Q566" t="n">
        <v>2.812002352695675</v>
      </c>
      <c r="R566" t="n">
        <v>4.886601520521139</v>
      </c>
      <c r="S566" t="n">
        <v>2.53</v>
      </c>
      <c r="T566" t="n">
        <v>2.952</v>
      </c>
      <c r="U566" t="n">
        <v>-0.4220000000000002</v>
      </c>
      <c r="V566" t="n">
        <v>3644636000000</v>
      </c>
    </row>
    <row r="567">
      <c r="A567" t="inlineStr">
        <is>
          <t>United Kingdom</t>
        </is>
      </c>
      <c r="B567" t="inlineStr">
        <is>
          <t>GBR</t>
        </is>
      </c>
      <c r="C567" t="inlineStr">
        <is>
          <t>CUKX.L</t>
        </is>
      </c>
      <c r="D567" t="n">
        <v>2025</v>
      </c>
      <c r="E567" t="n">
        <v>24.46052139204191</v>
      </c>
      <c r="F567" t="n">
        <v>1.308</v>
      </c>
      <c r="G567" t="n">
        <v>4.886901</v>
      </c>
      <c r="H567" t="n">
        <v>8.619351999999999</v>
      </c>
      <c r="I567" t="n">
        <v>-25.26523239596942</v>
      </c>
      <c r="J567" t="inlineStr">
        <is>
          <t>United Kingdom|CUKX.L|2025</t>
        </is>
      </c>
      <c r="K567" t="inlineStr">
        <is>
          <t>United Kingdom|2025</t>
        </is>
      </c>
      <c r="L567" t="inlineStr">
        <is>
          <t>GBp</t>
        </is>
      </c>
      <c r="M567" t="n">
        <v>24.46052139204191</v>
      </c>
      <c r="N567" t="n">
        <v>7.571929555270285</v>
      </c>
      <c r="O567" t="n">
        <v>7.623377354227179</v>
      </c>
      <c r="P567" t="n">
        <v>33.88458439596942</v>
      </c>
      <c r="Q567" t="n">
        <v>3.558548457791244</v>
      </c>
      <c r="R567" t="n">
        <v>29.28395230504661</v>
      </c>
      <c r="S567" t="n">
        <v>3.402</v>
      </c>
      <c r="T567" t="n">
        <v>2.715</v>
      </c>
      <c r="U567" t="n">
        <v>0.6870000000000003</v>
      </c>
      <c r="V567" t="n">
        <v>3958780000000</v>
      </c>
    </row>
    <row r="568">
      <c r="A568" t="inlineStr">
        <is>
          <t>United Kingdom</t>
        </is>
      </c>
      <c r="B568" t="inlineStr">
        <is>
          <t>GBR</t>
        </is>
      </c>
      <c r="C568" t="inlineStr">
        <is>
          <t>CUKX.L</t>
        </is>
      </c>
      <c r="D568" t="n">
        <v>2026</v>
      </c>
      <c r="E568" t="n">
        <v>9.897781101969571</v>
      </c>
      <c r="F568" t="n">
        <v>1.264</v>
      </c>
      <c r="G568" t="n">
        <v>3.62701</v>
      </c>
      <c r="H568" t="n">
        <v>6.74094</v>
      </c>
      <c r="I568" t="n">
        <v>-1.451858666105538</v>
      </c>
      <c r="J568" t="inlineStr">
        <is>
          <t>United Kingdom|CUKX.L|2026</t>
        </is>
      </c>
      <c r="K568" t="inlineStr">
        <is>
          <t>United Kingdom|2026</t>
        </is>
      </c>
      <c r="L568" t="inlineStr">
        <is>
          <t>GBp</t>
        </is>
      </c>
      <c r="M568" t="n">
        <v>9.897781101969571</v>
      </c>
      <c r="N568" t="n">
        <v>-1.551425714666665</v>
      </c>
      <c r="O568" t="inlineStr"/>
      <c r="P568" t="n">
        <v>8.192798666105539</v>
      </c>
      <c r="Q568" t="n">
        <v>3.004940479200879</v>
      </c>
      <c r="R568" t="n">
        <v>5.036513940758214</v>
      </c>
      <c r="S568" t="n">
        <v>2.546</v>
      </c>
      <c r="T568" t="n">
        <v>2.435</v>
      </c>
      <c r="U568" t="n">
        <v>0.1109999999999998</v>
      </c>
      <c r="V568" t="n">
        <v>4225639000000</v>
      </c>
    </row>
    <row r="569">
      <c r="A569" t="inlineStr">
        <is>
          <t>United Kingdom</t>
        </is>
      </c>
      <c r="B569" t="inlineStr">
        <is>
          <t>GBR</t>
        </is>
      </c>
      <c r="C569" t="inlineStr">
        <is>
          <t>CUKX.L</t>
        </is>
      </c>
      <c r="D569" t="n">
        <v>2027</v>
      </c>
      <c r="E569" t="inlineStr"/>
      <c r="F569" t="n">
        <v>1.54</v>
      </c>
      <c r="G569" t="n">
        <v>3.68662</v>
      </c>
      <c r="H569" t="n">
        <v>5.117143</v>
      </c>
      <c r="I569" t="inlineStr"/>
      <c r="J569" t="inlineStr">
        <is>
          <t>United Kingdom|CUKX.L|2027</t>
        </is>
      </c>
      <c r="K569" t="inlineStr">
        <is>
          <t>United Kingdom|2027</t>
        </is>
      </c>
      <c r="L569" t="inlineStr">
        <is>
          <t>GBp</t>
        </is>
      </c>
      <c r="M569" t="inlineStr"/>
      <c r="N569" t="inlineStr"/>
      <c r="O569" t="inlineStr"/>
      <c r="P569" t="inlineStr"/>
      <c r="Q569" t="n">
        <v>1.3796599258461</v>
      </c>
      <c r="R569" t="inlineStr"/>
      <c r="S569" t="n">
        <v>2</v>
      </c>
      <c r="T569" t="n">
        <v>2.185</v>
      </c>
      <c r="U569" t="n">
        <v>-0.1850000000000001</v>
      </c>
      <c r="V569" t="n">
        <v>4441871000000</v>
      </c>
    </row>
    <row r="570">
      <c r="A570" t="inlineStr">
        <is>
          <t>United Kingdom</t>
        </is>
      </c>
      <c r="B570" t="inlineStr">
        <is>
          <t>GBR</t>
        </is>
      </c>
      <c r="C570" t="inlineStr">
        <is>
          <t>CUKX.L</t>
        </is>
      </c>
      <c r="D570" t="n">
        <v>2028</v>
      </c>
      <c r="E570" t="inlineStr"/>
      <c r="F570" t="n">
        <v>1.439</v>
      </c>
      <c r="G570" t="n">
        <v>3.540633</v>
      </c>
      <c r="H570" t="n">
        <v>5.211498</v>
      </c>
      <c r="I570" t="inlineStr"/>
      <c r="J570" t="inlineStr">
        <is>
          <t>United Kingdom|CUKX.L|2028</t>
        </is>
      </c>
      <c r="K570" t="inlineStr">
        <is>
          <t>United Kingdom|2028</t>
        </is>
      </c>
      <c r="L570" t="inlineStr">
        <is>
          <t>GBp</t>
        </is>
      </c>
      <c r="M570" t="inlineStr"/>
      <c r="N570" t="inlineStr"/>
      <c r="O570" t="inlineStr"/>
      <c r="P570" t="inlineStr"/>
      <c r="Q570" t="n">
        <v>1.613728343961585</v>
      </c>
      <c r="R570" t="inlineStr"/>
      <c r="S570" t="n">
        <v>2</v>
      </c>
      <c r="T570" t="n">
        <v>2.206</v>
      </c>
      <c r="U570" t="n">
        <v>-0.206</v>
      </c>
      <c r="V570" t="n">
        <v>4673359000000</v>
      </c>
    </row>
    <row r="571">
      <c r="A571" t="inlineStr">
        <is>
          <t>United Kingdom</t>
        </is>
      </c>
      <c r="B571" t="inlineStr">
        <is>
          <t>GBR</t>
        </is>
      </c>
      <c r="C571" t="inlineStr">
        <is>
          <t>CUKX.L</t>
        </is>
      </c>
      <c r="D571" t="n">
        <v>2029</v>
      </c>
      <c r="E571" t="inlineStr"/>
      <c r="F571" t="n">
        <v>1.432</v>
      </c>
      <c r="G571" t="n">
        <v>3.653419</v>
      </c>
      <c r="H571" t="n">
        <v>5.462345</v>
      </c>
      <c r="I571" t="inlineStr"/>
      <c r="J571" t="inlineStr">
        <is>
          <t>United Kingdom|CUKX.L|2029</t>
        </is>
      </c>
      <c r="K571" t="inlineStr">
        <is>
          <t>United Kingdom|2029</t>
        </is>
      </c>
      <c r="L571" t="inlineStr">
        <is>
          <t>GBp</t>
        </is>
      </c>
      <c r="M571" t="inlineStr"/>
      <c r="N571" t="inlineStr"/>
      <c r="O571" t="inlineStr"/>
      <c r="P571" t="inlineStr"/>
      <c r="Q571" t="n">
        <v>1.745167688599203</v>
      </c>
      <c r="R571" t="inlineStr"/>
      <c r="S571" t="n">
        <v>2</v>
      </c>
      <c r="T571" t="n">
        <v>2.203</v>
      </c>
      <c r="U571" t="n">
        <v>-0.2029999999999998</v>
      </c>
      <c r="V571" t="n">
        <v>4928634000000</v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n">
        <v>2015</v>
      </c>
      <c r="E572" t="n">
        <v>2.070451140200924</v>
      </c>
      <c r="F572" t="n">
        <v>2.946</v>
      </c>
      <c r="G572" t="inlineStr"/>
      <c r="H572" t="inlineStr"/>
      <c r="I572" t="inlineStr"/>
      <c r="J572" t="inlineStr">
        <is>
          <t>United States|CSPX.L|2015</t>
        </is>
      </c>
      <c r="K572" t="inlineStr">
        <is>
          <t>United States|2015</t>
        </is>
      </c>
      <c r="L572" t="inlineStr">
        <is>
          <t>USD</t>
        </is>
      </c>
      <c r="M572" t="n">
        <v>2.070451140200924</v>
      </c>
      <c r="N572" t="n">
        <v>0</v>
      </c>
      <c r="O572" t="n">
        <v>0</v>
      </c>
      <c r="P572" t="n">
        <v>2.070451140200924</v>
      </c>
      <c r="Q572" t="inlineStr"/>
      <c r="R572" t="inlineStr"/>
      <c r="S572" t="n">
        <v>0.121</v>
      </c>
      <c r="T572" t="n">
        <v>0.121</v>
      </c>
      <c r="U572" t="n">
        <v>0</v>
      </c>
      <c r="V572" t="n">
        <v>18295000000000</v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n">
        <v>2016</v>
      </c>
      <c r="E573" t="n">
        <v>15.09546206966357</v>
      </c>
      <c r="F573" t="n">
        <v>1.82</v>
      </c>
      <c r="G573" t="n">
        <v>2.7871</v>
      </c>
      <c r="H573" t="n">
        <v>2.7871</v>
      </c>
      <c r="I573" t="n">
        <v>-12.30836206966357</v>
      </c>
      <c r="J573" t="inlineStr">
        <is>
          <t>United States|CSPX.L|2016</t>
        </is>
      </c>
      <c r="K573" t="inlineStr">
        <is>
          <t>United States|2016</t>
        </is>
      </c>
      <c r="L573" t="inlineStr">
        <is>
          <t>USD</t>
        </is>
      </c>
      <c r="M573" t="n">
        <v>15.09546206966357</v>
      </c>
      <c r="N573" t="n">
        <v>0</v>
      </c>
      <c r="O573" t="n">
        <v>0</v>
      </c>
      <c r="P573" t="n">
        <v>15.09546206966357</v>
      </c>
      <c r="Q573" t="n">
        <v>0</v>
      </c>
      <c r="R573" t="n">
        <v>15.09546206966357</v>
      </c>
      <c r="S573" t="n">
        <v>1.267</v>
      </c>
      <c r="T573" t="n">
        <v>1.267</v>
      </c>
      <c r="U573" t="n">
        <v>0</v>
      </c>
      <c r="V573" t="n">
        <v>18804900000000</v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n">
        <v>2017</v>
      </c>
      <c r="E574" t="n">
        <v>21.75331032463907</v>
      </c>
      <c r="F574" t="n">
        <v>2.458</v>
      </c>
      <c r="G574" t="n">
        <v>4.292498</v>
      </c>
      <c r="H574" t="n">
        <v>4.292498</v>
      </c>
      <c r="I574" t="n">
        <v>-17.46081232463907</v>
      </c>
      <c r="J574" t="inlineStr">
        <is>
          <t>United States|CSPX.L|2017</t>
        </is>
      </c>
      <c r="K574" t="inlineStr">
        <is>
          <t>United States|2017</t>
        </is>
      </c>
      <c r="L574" t="inlineStr">
        <is>
          <t>USD</t>
        </is>
      </c>
      <c r="M574" t="n">
        <v>21.75331032463907</v>
      </c>
      <c r="N574" t="n">
        <v>0</v>
      </c>
      <c r="O574" t="n">
        <v>0</v>
      </c>
      <c r="P574" t="n">
        <v>21.75331032463907</v>
      </c>
      <c r="Q574" t="n">
        <v>0</v>
      </c>
      <c r="R574" t="n">
        <v>21.75331032463907</v>
      </c>
      <c r="S574" t="n">
        <v>2.131</v>
      </c>
      <c r="T574" t="n">
        <v>2.131</v>
      </c>
      <c r="U574" t="n">
        <v>0</v>
      </c>
      <c r="V574" t="n">
        <v>19612100000000</v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CSPX.L</t>
        </is>
      </c>
      <c r="D575" t="n">
        <v>2018</v>
      </c>
      <c r="E575" t="n">
        <v>-5.182610110960129</v>
      </c>
      <c r="F575" t="n">
        <v>2.967</v>
      </c>
      <c r="G575" t="n">
        <v>5.325411</v>
      </c>
      <c r="H575" t="n">
        <v>5.325411</v>
      </c>
      <c r="I575" t="n">
        <v>10.50802111096013</v>
      </c>
      <c r="J575" t="inlineStr">
        <is>
          <t>United States|CSPX.L|2018</t>
        </is>
      </c>
      <c r="K575" t="inlineStr">
        <is>
          <t>United States|2018</t>
        </is>
      </c>
      <c r="L575" t="inlineStr">
        <is>
          <t>USD</t>
        </is>
      </c>
      <c r="M575" t="n">
        <v>-5.182610110960129</v>
      </c>
      <c r="N575" t="n">
        <v>0</v>
      </c>
      <c r="O575" t="n">
        <v>0</v>
      </c>
      <c r="P575" t="n">
        <v>-5.182610110960129</v>
      </c>
      <c r="Q575" t="n">
        <v>0</v>
      </c>
      <c r="R575" t="n">
        <v>-5.182610110960129</v>
      </c>
      <c r="S575" t="n">
        <v>2.439</v>
      </c>
      <c r="T575" t="n">
        <v>2.439</v>
      </c>
      <c r="U575" t="n">
        <v>0</v>
      </c>
      <c r="V575" t="n">
        <v>20656525000000</v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CSPX.L</t>
        </is>
      </c>
      <c r="D576" t="n">
        <v>2019</v>
      </c>
      <c r="E576" t="n">
        <v>30.78807504109404</v>
      </c>
      <c r="F576" t="n">
        <v>2.584</v>
      </c>
      <c r="G576" t="n">
        <v>4.276857</v>
      </c>
      <c r="H576" t="n">
        <v>4.276857</v>
      </c>
      <c r="I576" t="n">
        <v>-26.51121804109404</v>
      </c>
      <c r="J576" t="inlineStr">
        <is>
          <t>United States|CSPX.L|2019</t>
        </is>
      </c>
      <c r="K576" t="inlineStr">
        <is>
          <t>United States|2019</t>
        </is>
      </c>
      <c r="L576" t="inlineStr">
        <is>
          <t>USD</t>
        </is>
      </c>
      <c r="M576" t="n">
        <v>30.78807504109404</v>
      </c>
      <c r="N576" t="n">
        <v>0</v>
      </c>
      <c r="O576" t="n">
        <v>0</v>
      </c>
      <c r="P576" t="n">
        <v>30.78807504109404</v>
      </c>
      <c r="Q576" t="n">
        <v>0</v>
      </c>
      <c r="R576" t="n">
        <v>30.78807504109404</v>
      </c>
      <c r="S576" t="n">
        <v>1.813</v>
      </c>
      <c r="T576" t="n">
        <v>1.813</v>
      </c>
      <c r="U576" t="n">
        <v>0</v>
      </c>
      <c r="V576" t="n">
        <v>21539975000000</v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CSPX.L</t>
        </is>
      </c>
      <c r="D577" t="n">
        <v>2020</v>
      </c>
      <c r="E577" t="n">
        <v>17.10129211912717</v>
      </c>
      <c r="F577" t="n">
        <v>-2.081</v>
      </c>
      <c r="G577" t="n">
        <v>-0.764625</v>
      </c>
      <c r="H577" t="n">
        <v>-0.764625</v>
      </c>
      <c r="I577" t="n">
        <v>-17.86591711912716</v>
      </c>
      <c r="J577" t="inlineStr">
        <is>
          <t>United States|CSPX.L|2020</t>
        </is>
      </c>
      <c r="K577" t="inlineStr">
        <is>
          <t>United States|2020</t>
        </is>
      </c>
      <c r="L577" t="inlineStr">
        <is>
          <t>USD</t>
        </is>
      </c>
      <c r="M577" t="n">
        <v>17.10129211912717</v>
      </c>
      <c r="N577" t="n">
        <v>0</v>
      </c>
      <c r="O577" t="n">
        <v>0</v>
      </c>
      <c r="P577" t="n">
        <v>17.10129211912717</v>
      </c>
      <c r="Q577" t="n">
        <v>0</v>
      </c>
      <c r="R577" t="n">
        <v>17.10129211912717</v>
      </c>
      <c r="S577" t="n">
        <v>1.253</v>
      </c>
      <c r="T577" t="n">
        <v>1.253</v>
      </c>
      <c r="U577" t="n">
        <v>0</v>
      </c>
      <c r="V577" t="n">
        <v>21375275000000</v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CSPX.L</t>
        </is>
      </c>
      <c r="D578" t="n">
        <v>2021</v>
      </c>
      <c r="E578" t="n">
        <v>30.40325324854079</v>
      </c>
      <c r="F578" t="n">
        <v>6.152</v>
      </c>
      <c r="G578" t="n">
        <v>10.995765</v>
      </c>
      <c r="H578" t="n">
        <v>10.995765</v>
      </c>
      <c r="I578" t="n">
        <v>-19.40748824854079</v>
      </c>
      <c r="J578" t="inlineStr">
        <is>
          <t>United States|CSPX.L|2021</t>
        </is>
      </c>
      <c r="K578" t="inlineStr">
        <is>
          <t>United States|2021</t>
        </is>
      </c>
      <c r="L578" t="inlineStr">
        <is>
          <t>USD</t>
        </is>
      </c>
      <c r="M578" t="n">
        <v>30.40325324854079</v>
      </c>
      <c r="N578" t="n">
        <v>0</v>
      </c>
      <c r="O578" t="n">
        <v>0</v>
      </c>
      <c r="P578" t="n">
        <v>30.40325324854079</v>
      </c>
      <c r="Q578" t="n">
        <v>0</v>
      </c>
      <c r="R578" t="n">
        <v>30.40325324854079</v>
      </c>
      <c r="S578" t="n">
        <v>4.679</v>
      </c>
      <c r="T578" t="n">
        <v>4.679</v>
      </c>
      <c r="U578" t="n">
        <v>0</v>
      </c>
      <c r="V578" t="n">
        <v>23725650000000</v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CSPX.L</t>
        </is>
      </c>
      <c r="D579" t="n">
        <v>2022</v>
      </c>
      <c r="E579" t="n">
        <v>-19.03146132154795</v>
      </c>
      <c r="F579" t="n">
        <v>2.524</v>
      </c>
      <c r="G579" t="n">
        <v>9.816169</v>
      </c>
      <c r="H579" t="n">
        <v>9.816169</v>
      </c>
      <c r="I579" t="n">
        <v>28.84763032154795</v>
      </c>
      <c r="J579" t="inlineStr">
        <is>
          <t>United States|CSPX.L|2022</t>
        </is>
      </c>
      <c r="K579" t="inlineStr">
        <is>
          <t>United States|2022</t>
        </is>
      </c>
      <c r="L579" t="inlineStr">
        <is>
          <t>USD</t>
        </is>
      </c>
      <c r="M579" t="n">
        <v>-19.03146132154795</v>
      </c>
      <c r="N579" t="n">
        <v>0</v>
      </c>
      <c r="O579" t="n">
        <v>0</v>
      </c>
      <c r="P579" t="n">
        <v>-19.03146132154795</v>
      </c>
      <c r="Q579" t="n">
        <v>0</v>
      </c>
      <c r="R579" t="n">
        <v>-19.03146132154795</v>
      </c>
      <c r="S579" t="n">
        <v>7.993</v>
      </c>
      <c r="T579" t="n">
        <v>7.993</v>
      </c>
      <c r="U579" t="n">
        <v>0</v>
      </c>
      <c r="V579" t="n">
        <v>26054600000000</v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CSPX.L</t>
        </is>
      </c>
      <c r="D580" t="n">
        <v>2023</v>
      </c>
      <c r="E580" t="n">
        <v>27.32068620122947</v>
      </c>
      <c r="F580" t="n">
        <v>2.935</v>
      </c>
      <c r="G580" t="n">
        <v>6.743147</v>
      </c>
      <c r="H580" t="n">
        <v>6.743147</v>
      </c>
      <c r="I580" t="n">
        <v>-20.57753920122947</v>
      </c>
      <c r="J580" t="inlineStr">
        <is>
          <t>United States|CSPX.L|2023</t>
        </is>
      </c>
      <c r="K580" t="inlineStr">
        <is>
          <t>United States|2023</t>
        </is>
      </c>
      <c r="L580" t="inlineStr">
        <is>
          <t>USD</t>
        </is>
      </c>
      <c r="M580" t="n">
        <v>27.32068620122947</v>
      </c>
      <c r="N580" t="n">
        <v>0</v>
      </c>
      <c r="O580" t="n">
        <v>0</v>
      </c>
      <c r="P580" t="n">
        <v>27.32068620122947</v>
      </c>
      <c r="Q580" t="n">
        <v>0</v>
      </c>
      <c r="R580" t="n">
        <v>27.32068620122947</v>
      </c>
      <c r="S580" t="n">
        <v>4.128</v>
      </c>
      <c r="T580" t="n">
        <v>4.128</v>
      </c>
      <c r="U580" t="n">
        <v>0</v>
      </c>
      <c r="V580" t="n">
        <v>27811500000000</v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CSPX.L</t>
        </is>
      </c>
      <c r="D581" t="n">
        <v>2024</v>
      </c>
      <c r="E581" t="n">
        <v>26.3650865018394</v>
      </c>
      <c r="F581" t="n">
        <v>2.793</v>
      </c>
      <c r="G581" t="n">
        <v>5.345001</v>
      </c>
      <c r="H581" t="n">
        <v>5.345001</v>
      </c>
      <c r="I581" t="n">
        <v>-21.0200855018394</v>
      </c>
      <c r="J581" t="inlineStr">
        <is>
          <t>United States|CSPX.L|2024</t>
        </is>
      </c>
      <c r="K581" t="inlineStr">
        <is>
          <t>United States|2024</t>
        </is>
      </c>
      <c r="L581" t="inlineStr">
        <is>
          <t>USD</t>
        </is>
      </c>
      <c r="M581" t="n">
        <v>26.3650865018394</v>
      </c>
      <c r="N581" t="n">
        <v>0</v>
      </c>
      <c r="O581" t="n">
        <v>0</v>
      </c>
      <c r="P581" t="n">
        <v>26.3650865018394</v>
      </c>
      <c r="Q581" t="n">
        <v>0</v>
      </c>
      <c r="R581" t="n">
        <v>26.3650865018394</v>
      </c>
      <c r="S581" t="n">
        <v>2.952</v>
      </c>
      <c r="T581" t="n">
        <v>2.952</v>
      </c>
      <c r="U581" t="n">
        <v>0</v>
      </c>
      <c r="V581" t="n">
        <v>29298025000000</v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CSPX.L</t>
        </is>
      </c>
      <c r="D582" t="n">
        <v>2025</v>
      </c>
      <c r="E582" t="n">
        <v>18.0137493932327</v>
      </c>
      <c r="F582" t="n">
        <v>2.017</v>
      </c>
      <c r="G582" t="n">
        <v>4.497634</v>
      </c>
      <c r="H582" t="n">
        <v>4.497634</v>
      </c>
      <c r="I582" t="n">
        <v>-13.5161153932327</v>
      </c>
      <c r="J582" t="inlineStr">
        <is>
          <t>United States|CSPX.L|2025</t>
        </is>
      </c>
      <c r="K582" t="inlineStr">
        <is>
          <t>United States|2025</t>
        </is>
      </c>
      <c r="L582" t="inlineStr">
        <is>
          <t>USD</t>
        </is>
      </c>
      <c r="M582" t="n">
        <v>18.0137493932327</v>
      </c>
      <c r="N582" t="n">
        <v>0</v>
      </c>
      <c r="O582" t="n">
        <v>0</v>
      </c>
      <c r="P582" t="n">
        <v>18.0137493932327</v>
      </c>
      <c r="Q582" t="n">
        <v>0</v>
      </c>
      <c r="R582" t="n">
        <v>18.0137493932327</v>
      </c>
      <c r="S582" t="n">
        <v>2.715</v>
      </c>
      <c r="T582" t="n">
        <v>2.715</v>
      </c>
      <c r="U582" t="n">
        <v>0</v>
      </c>
      <c r="V582" t="n">
        <v>30615743000000</v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CSPX.L</t>
        </is>
      </c>
      <c r="D583" t="n">
        <v>2026</v>
      </c>
      <c r="E583" t="n">
        <v>0.5889419796585083</v>
      </c>
      <c r="F583" t="n">
        <v>2.102</v>
      </c>
      <c r="G583" t="n">
        <v>3.93768</v>
      </c>
      <c r="H583" t="n">
        <v>3.93768</v>
      </c>
      <c r="I583" t="n">
        <v>3.348738020341492</v>
      </c>
      <c r="J583" t="inlineStr">
        <is>
          <t>United States|CSPX.L|2026</t>
        </is>
      </c>
      <c r="K583" t="inlineStr">
        <is>
          <t>United States|2026</t>
        </is>
      </c>
      <c r="L583" t="inlineStr">
        <is>
          <t>USD</t>
        </is>
      </c>
      <c r="M583" t="n">
        <v>0.5889419796585083</v>
      </c>
      <c r="N583" t="n">
        <v>0</v>
      </c>
      <c r="O583" t="n">
        <v>0</v>
      </c>
      <c r="P583" t="n">
        <v>0.5889419796585083</v>
      </c>
      <c r="Q583" t="n">
        <v>0</v>
      </c>
      <c r="R583" t="n">
        <v>0.5889419796585083</v>
      </c>
      <c r="S583" t="n">
        <v>2.435</v>
      </c>
      <c r="T583" t="n">
        <v>2.435</v>
      </c>
      <c r="U583" t="n">
        <v>0</v>
      </c>
      <c r="V583" t="n">
        <v>31821293000000</v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CSPX.L</t>
        </is>
      </c>
      <c r="D584" t="n">
        <v>2027</v>
      </c>
      <c r="E584" t="inlineStr"/>
      <c r="F584" t="n">
        <v>2.055</v>
      </c>
      <c r="G584" t="n">
        <v>3.766927</v>
      </c>
      <c r="H584" t="n">
        <v>3.766927</v>
      </c>
      <c r="I584" t="inlineStr"/>
      <c r="J584" t="inlineStr">
        <is>
          <t>United States|CSPX.L|2027</t>
        </is>
      </c>
      <c r="K584" t="inlineStr">
        <is>
          <t>United States|2027</t>
        </is>
      </c>
      <c r="L584" t="inlineStr">
        <is>
          <t>USD</t>
        </is>
      </c>
      <c r="M584" t="inlineStr"/>
      <c r="N584" t="inlineStr"/>
      <c r="O584" t="inlineStr"/>
      <c r="P584" t="inlineStr"/>
      <c r="Q584" t="n">
        <v>0</v>
      </c>
      <c r="R584" t="inlineStr"/>
      <c r="S584" t="n">
        <v>2.185</v>
      </c>
      <c r="T584" t="n">
        <v>2.185</v>
      </c>
      <c r="U584" t="n">
        <v>0</v>
      </c>
      <c r="V584" t="n">
        <v>33019978000000</v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CSPX.L</t>
        </is>
      </c>
      <c r="D585" t="n">
        <v>2028</v>
      </c>
      <c r="E585" t="inlineStr"/>
      <c r="F585" t="n">
        <v>2.093</v>
      </c>
      <c r="G585" t="n">
        <v>3.750526</v>
      </c>
      <c r="H585" t="n">
        <v>3.750526</v>
      </c>
      <c r="I585" t="inlineStr"/>
      <c r="J585" t="inlineStr">
        <is>
          <t>United States|CSPX.L|2028</t>
        </is>
      </c>
      <c r="K585" t="inlineStr">
        <is>
          <t>United States|2028</t>
        </is>
      </c>
      <c r="L585" t="inlineStr">
        <is>
          <t>USD</t>
        </is>
      </c>
      <c r="M585" t="inlineStr"/>
      <c r="N585" t="inlineStr"/>
      <c r="O585" t="inlineStr"/>
      <c r="P585" t="inlineStr"/>
      <c r="Q585" t="n">
        <v>0</v>
      </c>
      <c r="R585" t="inlineStr"/>
      <c r="S585" t="n">
        <v>2.206</v>
      </c>
      <c r="T585" t="n">
        <v>2.206</v>
      </c>
      <c r="U585" t="n">
        <v>0</v>
      </c>
      <c r="V585" t="n">
        <v>34258401000000</v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CSPX.L</t>
        </is>
      </c>
      <c r="D586" t="n">
        <v>2029</v>
      </c>
      <c r="E586" t="inlineStr"/>
      <c r="F586" t="n">
        <v>1.881</v>
      </c>
      <c r="G586" t="n">
        <v>3.66459</v>
      </c>
      <c r="H586" t="n">
        <v>3.66459</v>
      </c>
      <c r="I586" t="inlineStr"/>
      <c r="J586" t="inlineStr">
        <is>
          <t>United States|CSPX.L|2029</t>
        </is>
      </c>
      <c r="K586" t="inlineStr">
        <is>
          <t>United States|2029</t>
        </is>
      </c>
      <c r="L586" t="inlineStr">
        <is>
          <t>USD</t>
        </is>
      </c>
      <c r="M586" t="inlineStr"/>
      <c r="N586" t="inlineStr"/>
      <c r="O586" t="inlineStr"/>
      <c r="P586" t="inlineStr"/>
      <c r="Q586" t="n">
        <v>0</v>
      </c>
      <c r="R586" t="inlineStr"/>
      <c r="S586" t="n">
        <v>2.203</v>
      </c>
      <c r="T586" t="n">
        <v>2.203</v>
      </c>
      <c r="U586" t="n">
        <v>0</v>
      </c>
      <c r="V586" t="n">
        <v>35513831000000</v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CSUS.L</t>
        </is>
      </c>
      <c r="D587" t="n">
        <v>2015</v>
      </c>
      <c r="E587" t="n">
        <v>1.605275913034609</v>
      </c>
      <c r="F587" t="n">
        <v>2.946</v>
      </c>
      <c r="G587" t="inlineStr"/>
      <c r="H587" t="inlineStr"/>
      <c r="I587" t="inlineStr"/>
      <c r="J587" t="inlineStr">
        <is>
          <t>United States|CSUS.L|2015</t>
        </is>
      </c>
      <c r="K587" t="inlineStr">
        <is>
          <t>United States|2015</t>
        </is>
      </c>
      <c r="L587" t="inlineStr">
        <is>
          <t>USD</t>
        </is>
      </c>
      <c r="M587" t="n">
        <v>1.605275913034609</v>
      </c>
      <c r="N587" t="n">
        <v>0</v>
      </c>
      <c r="O587" t="n">
        <v>0</v>
      </c>
      <c r="P587" t="n">
        <v>1.605275913034609</v>
      </c>
      <c r="Q587" t="inlineStr"/>
      <c r="R587" t="inlineStr"/>
      <c r="S587" t="n">
        <v>0.121</v>
      </c>
      <c r="T587" t="n">
        <v>0.121</v>
      </c>
      <c r="U587" t="n">
        <v>0</v>
      </c>
      <c r="V587" t="n">
        <v>18295000000000</v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CSUS.L</t>
        </is>
      </c>
      <c r="D588" t="n">
        <v>2016</v>
      </c>
      <c r="E588" t="n">
        <v>14.42537406556417</v>
      </c>
      <c r="F588" t="n">
        <v>1.82</v>
      </c>
      <c r="G588" t="n">
        <v>2.7871</v>
      </c>
      <c r="H588" t="n">
        <v>2.7871</v>
      </c>
      <c r="I588" t="n">
        <v>-11.63827406556417</v>
      </c>
      <c r="J588" t="inlineStr">
        <is>
          <t>United States|CSUS.L|2016</t>
        </is>
      </c>
      <c r="K588" t="inlineStr">
        <is>
          <t>United States|2016</t>
        </is>
      </c>
      <c r="L588" t="inlineStr">
        <is>
          <t>USD</t>
        </is>
      </c>
      <c r="M588" t="n">
        <v>14.42537406556417</v>
      </c>
      <c r="N588" t="n">
        <v>0</v>
      </c>
      <c r="O588" t="n">
        <v>0</v>
      </c>
      <c r="P588" t="n">
        <v>14.42537406556417</v>
      </c>
      <c r="Q588" t="n">
        <v>0</v>
      </c>
      <c r="R588" t="n">
        <v>14.42537406556417</v>
      </c>
      <c r="S588" t="n">
        <v>1.267</v>
      </c>
      <c r="T588" t="n">
        <v>1.267</v>
      </c>
      <c r="U588" t="n">
        <v>0</v>
      </c>
      <c r="V588" t="n">
        <v>18804900000000</v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CSUS.L</t>
        </is>
      </c>
      <c r="D589" t="n">
        <v>2017</v>
      </c>
      <c r="E589" t="n">
        <v>21.5970017467853</v>
      </c>
      <c r="F589" t="n">
        <v>2.458</v>
      </c>
      <c r="G589" t="n">
        <v>4.292498</v>
      </c>
      <c r="H589" t="n">
        <v>4.292498</v>
      </c>
      <c r="I589" t="n">
        <v>-17.30450374678529</v>
      </c>
      <c r="J589" t="inlineStr">
        <is>
          <t>United States|CSUS.L|2017</t>
        </is>
      </c>
      <c r="K589" t="inlineStr">
        <is>
          <t>United States|2017</t>
        </is>
      </c>
      <c r="L589" t="inlineStr">
        <is>
          <t>USD</t>
        </is>
      </c>
      <c r="M589" t="n">
        <v>21.5970017467853</v>
      </c>
      <c r="N589" t="n">
        <v>0</v>
      </c>
      <c r="O589" t="n">
        <v>0</v>
      </c>
      <c r="P589" t="n">
        <v>21.5970017467853</v>
      </c>
      <c r="Q589" t="n">
        <v>0</v>
      </c>
      <c r="R589" t="n">
        <v>21.5970017467853</v>
      </c>
      <c r="S589" t="n">
        <v>2.131</v>
      </c>
      <c r="T589" t="n">
        <v>2.131</v>
      </c>
      <c r="U589" t="n">
        <v>0</v>
      </c>
      <c r="V589" t="n">
        <v>19612100000000</v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CSUS.L</t>
        </is>
      </c>
      <c r="D590" t="n">
        <v>2018</v>
      </c>
      <c r="E590" t="n">
        <v>-5.524486620253488</v>
      </c>
      <c r="F590" t="n">
        <v>2.967</v>
      </c>
      <c r="G590" t="n">
        <v>5.325411</v>
      </c>
      <c r="H590" t="n">
        <v>5.325411</v>
      </c>
      <c r="I590" t="n">
        <v>10.84989762025349</v>
      </c>
      <c r="J590" t="inlineStr">
        <is>
          <t>United States|CSUS.L|2018</t>
        </is>
      </c>
      <c r="K590" t="inlineStr">
        <is>
          <t>United States|2018</t>
        </is>
      </c>
      <c r="L590" t="inlineStr">
        <is>
          <t>USD</t>
        </is>
      </c>
      <c r="M590" t="n">
        <v>-5.524486620253488</v>
      </c>
      <c r="N590" t="n">
        <v>0</v>
      </c>
      <c r="O590" t="n">
        <v>0</v>
      </c>
      <c r="P590" t="n">
        <v>-5.524486620253488</v>
      </c>
      <c r="Q590" t="n">
        <v>0</v>
      </c>
      <c r="R590" t="n">
        <v>-5.524486620253488</v>
      </c>
      <c r="S590" t="n">
        <v>2.439</v>
      </c>
      <c r="T590" t="n">
        <v>2.439</v>
      </c>
      <c r="U590" t="n">
        <v>0</v>
      </c>
      <c r="V590" t="n">
        <v>20656525000000</v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CSUS.L</t>
        </is>
      </c>
      <c r="D591" t="n">
        <v>2019</v>
      </c>
      <c r="E591" t="n">
        <v>30.75400503868304</v>
      </c>
      <c r="F591" t="n">
        <v>2.584</v>
      </c>
      <c r="G591" t="n">
        <v>4.276857</v>
      </c>
      <c r="H591" t="n">
        <v>4.276857</v>
      </c>
      <c r="I591" t="n">
        <v>-26.47714803868304</v>
      </c>
      <c r="J591" t="inlineStr">
        <is>
          <t>United States|CSUS.L|2019</t>
        </is>
      </c>
      <c r="K591" t="inlineStr">
        <is>
          <t>United States|2019</t>
        </is>
      </c>
      <c r="L591" t="inlineStr">
        <is>
          <t>USD</t>
        </is>
      </c>
      <c r="M591" t="n">
        <v>30.75400503868304</v>
      </c>
      <c r="N591" t="n">
        <v>0</v>
      </c>
      <c r="O591" t="n">
        <v>0</v>
      </c>
      <c r="P591" t="n">
        <v>30.75400503868304</v>
      </c>
      <c r="Q591" t="n">
        <v>0</v>
      </c>
      <c r="R591" t="n">
        <v>30.75400503868304</v>
      </c>
      <c r="S591" t="n">
        <v>1.813</v>
      </c>
      <c r="T591" t="n">
        <v>1.813</v>
      </c>
      <c r="U591" t="n">
        <v>0</v>
      </c>
      <c r="V591" t="n">
        <v>21539975000000</v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CSUS.L</t>
        </is>
      </c>
      <c r="D592" t="n">
        <v>2020</v>
      </c>
      <c r="E592" t="n">
        <v>19.75704880856335</v>
      </c>
      <c r="F592" t="n">
        <v>-2.081</v>
      </c>
      <c r="G592" t="n">
        <v>-0.764625</v>
      </c>
      <c r="H592" t="n">
        <v>-0.764625</v>
      </c>
      <c r="I592" t="n">
        <v>-20.52167380856335</v>
      </c>
      <c r="J592" t="inlineStr">
        <is>
          <t>United States|CSUS.L|2020</t>
        </is>
      </c>
      <c r="K592" t="inlineStr">
        <is>
          <t>United States|2020</t>
        </is>
      </c>
      <c r="L592" t="inlineStr">
        <is>
          <t>USD</t>
        </is>
      </c>
      <c r="M592" t="n">
        <v>19.75704880856335</v>
      </c>
      <c r="N592" t="n">
        <v>0</v>
      </c>
      <c r="O592" t="n">
        <v>0</v>
      </c>
      <c r="P592" t="n">
        <v>19.75704880856335</v>
      </c>
      <c r="Q592" t="n">
        <v>0</v>
      </c>
      <c r="R592" t="n">
        <v>19.75704880856335</v>
      </c>
      <c r="S592" t="n">
        <v>1.253</v>
      </c>
      <c r="T592" t="n">
        <v>1.253</v>
      </c>
      <c r="U592" t="n">
        <v>0</v>
      </c>
      <c r="V592" t="n">
        <v>21375275000000</v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CSUS.L</t>
        </is>
      </c>
      <c r="D593" t="n">
        <v>2021</v>
      </c>
      <c r="E593" t="n">
        <v>28.30945813978041</v>
      </c>
      <c r="F593" t="n">
        <v>6.152</v>
      </c>
      <c r="G593" t="n">
        <v>10.995765</v>
      </c>
      <c r="H593" t="n">
        <v>10.995765</v>
      </c>
      <c r="I593" t="n">
        <v>-17.3136931397804</v>
      </c>
      <c r="J593" t="inlineStr">
        <is>
          <t>United States|CSUS.L|2021</t>
        </is>
      </c>
      <c r="K593" t="inlineStr">
        <is>
          <t>United States|2021</t>
        </is>
      </c>
      <c r="L593" t="inlineStr">
        <is>
          <t>USD</t>
        </is>
      </c>
      <c r="M593" t="n">
        <v>28.30945813978041</v>
      </c>
      <c r="N593" t="n">
        <v>0</v>
      </c>
      <c r="O593" t="n">
        <v>0</v>
      </c>
      <c r="P593" t="n">
        <v>28.30945813978041</v>
      </c>
      <c r="Q593" t="n">
        <v>0</v>
      </c>
      <c r="R593" t="n">
        <v>28.30945813978041</v>
      </c>
      <c r="S593" t="n">
        <v>4.679</v>
      </c>
      <c r="T593" t="n">
        <v>4.679</v>
      </c>
      <c r="U593" t="n">
        <v>0</v>
      </c>
      <c r="V593" t="n">
        <v>23725650000000</v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CSUS.L</t>
        </is>
      </c>
      <c r="D594" t="n">
        <v>2022</v>
      </c>
      <c r="E594" t="n">
        <v>-20.35076946152596</v>
      </c>
      <c r="F594" t="n">
        <v>2.524</v>
      </c>
      <c r="G594" t="n">
        <v>9.816169</v>
      </c>
      <c r="H594" t="n">
        <v>9.816169</v>
      </c>
      <c r="I594" t="n">
        <v>30.16693846152597</v>
      </c>
      <c r="J594" t="inlineStr">
        <is>
          <t>United States|CSUS.L|2022</t>
        </is>
      </c>
      <c r="K594" t="inlineStr">
        <is>
          <t>United States|2022</t>
        </is>
      </c>
      <c r="L594" t="inlineStr">
        <is>
          <t>USD</t>
        </is>
      </c>
      <c r="M594" t="n">
        <v>-20.35076946152596</v>
      </c>
      <c r="N594" t="n">
        <v>0</v>
      </c>
      <c r="O594" t="n">
        <v>0</v>
      </c>
      <c r="P594" t="n">
        <v>-20.35076946152596</v>
      </c>
      <c r="Q594" t="n">
        <v>0</v>
      </c>
      <c r="R594" t="n">
        <v>-20.35076946152596</v>
      </c>
      <c r="S594" t="n">
        <v>7.993</v>
      </c>
      <c r="T594" t="n">
        <v>7.993</v>
      </c>
      <c r="U594" t="n">
        <v>0</v>
      </c>
      <c r="V594" t="n">
        <v>26054600000000</v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CSUS.L</t>
        </is>
      </c>
      <c r="D595" t="n">
        <v>2023</v>
      </c>
      <c r="E595" t="n">
        <v>28.12120170617412</v>
      </c>
      <c r="F595" t="n">
        <v>2.935</v>
      </c>
      <c r="G595" t="n">
        <v>6.743147</v>
      </c>
      <c r="H595" t="n">
        <v>6.743147</v>
      </c>
      <c r="I595" t="n">
        <v>-21.37805470617412</v>
      </c>
      <c r="J595" t="inlineStr">
        <is>
          <t>United States|CSUS.L|2023</t>
        </is>
      </c>
      <c r="K595" t="inlineStr">
        <is>
          <t>United States|2023</t>
        </is>
      </c>
      <c r="L595" t="inlineStr">
        <is>
          <t>USD</t>
        </is>
      </c>
      <c r="M595" t="n">
        <v>28.12120170617412</v>
      </c>
      <c r="N595" t="n">
        <v>0</v>
      </c>
      <c r="O595" t="n">
        <v>0</v>
      </c>
      <c r="P595" t="n">
        <v>28.12120170617412</v>
      </c>
      <c r="Q595" t="n">
        <v>0</v>
      </c>
      <c r="R595" t="n">
        <v>28.12120170617412</v>
      </c>
      <c r="S595" t="n">
        <v>4.128</v>
      </c>
      <c r="T595" t="n">
        <v>4.128</v>
      </c>
      <c r="U595" t="n">
        <v>0</v>
      </c>
      <c r="V595" t="n">
        <v>27811500000000</v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CSUS.L</t>
        </is>
      </c>
      <c r="D596" t="n">
        <v>2024</v>
      </c>
      <c r="E596" t="n">
        <v>26.52359231096537</v>
      </c>
      <c r="F596" t="n">
        <v>2.793</v>
      </c>
      <c r="G596" t="n">
        <v>5.345001</v>
      </c>
      <c r="H596" t="n">
        <v>5.345001</v>
      </c>
      <c r="I596" t="n">
        <v>-21.17859131096537</v>
      </c>
      <c r="J596" t="inlineStr">
        <is>
          <t>United States|CSUS.L|2024</t>
        </is>
      </c>
      <c r="K596" t="inlineStr">
        <is>
          <t>United States|2024</t>
        </is>
      </c>
      <c r="L596" t="inlineStr">
        <is>
          <t>USD</t>
        </is>
      </c>
      <c r="M596" t="n">
        <v>26.52359231096537</v>
      </c>
      <c r="N596" t="n">
        <v>0</v>
      </c>
      <c r="O596" t="n">
        <v>0</v>
      </c>
      <c r="P596" t="n">
        <v>26.52359231096537</v>
      </c>
      <c r="Q596" t="n">
        <v>0</v>
      </c>
      <c r="R596" t="n">
        <v>26.52359231096537</v>
      </c>
      <c r="S596" t="n">
        <v>2.952</v>
      </c>
      <c r="T596" t="n">
        <v>2.952</v>
      </c>
      <c r="U596" t="n">
        <v>0</v>
      </c>
      <c r="V596" t="n">
        <v>29298025000000</v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CSUS.L</t>
        </is>
      </c>
      <c r="D597" t="n">
        <v>2025</v>
      </c>
      <c r="E597" t="n">
        <v>17.75908204481222</v>
      </c>
      <c r="F597" t="n">
        <v>2.017</v>
      </c>
      <c r="G597" t="n">
        <v>4.497634</v>
      </c>
      <c r="H597" t="n">
        <v>4.497634</v>
      </c>
      <c r="I597" t="n">
        <v>-13.26144804481222</v>
      </c>
      <c r="J597" t="inlineStr">
        <is>
          <t>United States|CSUS.L|2025</t>
        </is>
      </c>
      <c r="K597" t="inlineStr">
        <is>
          <t>United States|2025</t>
        </is>
      </c>
      <c r="L597" t="inlineStr">
        <is>
          <t>USD</t>
        </is>
      </c>
      <c r="M597" t="n">
        <v>17.75908204481222</v>
      </c>
      <c r="N597" t="n">
        <v>0</v>
      </c>
      <c r="O597" t="n">
        <v>0</v>
      </c>
      <c r="P597" t="n">
        <v>17.75908204481222</v>
      </c>
      <c r="Q597" t="n">
        <v>0</v>
      </c>
      <c r="R597" t="n">
        <v>17.75908204481222</v>
      </c>
      <c r="S597" t="n">
        <v>2.715</v>
      </c>
      <c r="T597" t="n">
        <v>2.715</v>
      </c>
      <c r="U597" t="n">
        <v>0</v>
      </c>
      <c r="V597" t="n">
        <v>30615743000000</v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CSUS.L</t>
        </is>
      </c>
      <c r="D598" t="n">
        <v>2026</v>
      </c>
      <c r="E598" t="n">
        <v>0.2262175383441534</v>
      </c>
      <c r="F598" t="n">
        <v>2.102</v>
      </c>
      <c r="G598" t="n">
        <v>3.93768</v>
      </c>
      <c r="H598" t="n">
        <v>3.93768</v>
      </c>
      <c r="I598" t="n">
        <v>3.711462461655846</v>
      </c>
      <c r="J598" t="inlineStr">
        <is>
          <t>United States|CSUS.L|2026</t>
        </is>
      </c>
      <c r="K598" t="inlineStr">
        <is>
          <t>United States|2026</t>
        </is>
      </c>
      <c r="L598" t="inlineStr">
        <is>
          <t>USD</t>
        </is>
      </c>
      <c r="M598" t="n">
        <v>0.2262175383441534</v>
      </c>
      <c r="N598" t="n">
        <v>0</v>
      </c>
      <c r="O598" t="n">
        <v>0</v>
      </c>
      <c r="P598" t="n">
        <v>0.2262175383441534</v>
      </c>
      <c r="Q598" t="n">
        <v>0</v>
      </c>
      <c r="R598" t="n">
        <v>0.2262175383441534</v>
      </c>
      <c r="S598" t="n">
        <v>2.435</v>
      </c>
      <c r="T598" t="n">
        <v>2.435</v>
      </c>
      <c r="U598" t="n">
        <v>0</v>
      </c>
      <c r="V598" t="n">
        <v>31821293000000</v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CSUS.L</t>
        </is>
      </c>
      <c r="D599" t="n">
        <v>2027</v>
      </c>
      <c r="E599" t="inlineStr"/>
      <c r="F599" t="n">
        <v>2.055</v>
      </c>
      <c r="G599" t="n">
        <v>3.766927</v>
      </c>
      <c r="H599" t="n">
        <v>3.766927</v>
      </c>
      <c r="I599" t="inlineStr"/>
      <c r="J599" t="inlineStr">
        <is>
          <t>United States|CSUS.L|2027</t>
        </is>
      </c>
      <c r="K599" t="inlineStr">
        <is>
          <t>United States|2027</t>
        </is>
      </c>
      <c r="L599" t="inlineStr">
        <is>
          <t>USD</t>
        </is>
      </c>
      <c r="M599" t="inlineStr"/>
      <c r="N599" t="inlineStr"/>
      <c r="O599" t="inlineStr"/>
      <c r="P599" t="inlineStr"/>
      <c r="Q599" t="n">
        <v>0</v>
      </c>
      <c r="R599" t="inlineStr"/>
      <c r="S599" t="n">
        <v>2.185</v>
      </c>
      <c r="T599" t="n">
        <v>2.185</v>
      </c>
      <c r="U599" t="n">
        <v>0</v>
      </c>
      <c r="V599" t="n">
        <v>33019978000000</v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CSUS.L</t>
        </is>
      </c>
      <c r="D600" t="n">
        <v>2028</v>
      </c>
      <c r="E600" t="inlineStr"/>
      <c r="F600" t="n">
        <v>2.093</v>
      </c>
      <c r="G600" t="n">
        <v>3.750526</v>
      </c>
      <c r="H600" t="n">
        <v>3.750526</v>
      </c>
      <c r="I600" t="inlineStr"/>
      <c r="J600" t="inlineStr">
        <is>
          <t>United States|CSUS.L|2028</t>
        </is>
      </c>
      <c r="K600" t="inlineStr">
        <is>
          <t>United States|2028</t>
        </is>
      </c>
      <c r="L600" t="inlineStr">
        <is>
          <t>USD</t>
        </is>
      </c>
      <c r="M600" t="inlineStr"/>
      <c r="N600" t="inlineStr"/>
      <c r="O600" t="inlineStr"/>
      <c r="P600" t="inlineStr"/>
      <c r="Q600" t="n">
        <v>0</v>
      </c>
      <c r="R600" t="inlineStr"/>
      <c r="S600" t="n">
        <v>2.206</v>
      </c>
      <c r="T600" t="n">
        <v>2.206</v>
      </c>
      <c r="U600" t="n">
        <v>0</v>
      </c>
      <c r="V600" t="n">
        <v>34258401000000</v>
      </c>
    </row>
    <row r="601">
      <c r="A601" t="inlineStr">
        <is>
          <t>United States</t>
        </is>
      </c>
      <c r="B601" t="inlineStr">
        <is>
          <t>USA</t>
        </is>
      </c>
      <c r="C601" t="inlineStr">
        <is>
          <t>CSUS.L</t>
        </is>
      </c>
      <c r="D601" t="n">
        <v>2029</v>
      </c>
      <c r="E601" t="inlineStr"/>
      <c r="F601" t="n">
        <v>1.881</v>
      </c>
      <c r="G601" t="n">
        <v>3.66459</v>
      </c>
      <c r="H601" t="n">
        <v>3.66459</v>
      </c>
      <c r="I601" t="inlineStr"/>
      <c r="J601" t="inlineStr">
        <is>
          <t>United States|CSUS.L|2029</t>
        </is>
      </c>
      <c r="K601" t="inlineStr">
        <is>
          <t>United States|2029</t>
        </is>
      </c>
      <c r="L601" t="inlineStr">
        <is>
          <t>USD</t>
        </is>
      </c>
      <c r="M601" t="inlineStr"/>
      <c r="N601" t="inlineStr"/>
      <c r="O601" t="inlineStr"/>
      <c r="P601" t="inlineStr"/>
      <c r="Q601" t="n">
        <v>0</v>
      </c>
      <c r="R601" t="inlineStr"/>
      <c r="S601" t="n">
        <v>2.203</v>
      </c>
      <c r="T601" t="n">
        <v>2.203</v>
      </c>
      <c r="U601" t="n">
        <v>0</v>
      </c>
      <c r="V601" t="n">
        <v>35513831000000</v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n">
        <v>2015</v>
      </c>
      <c r="E602" t="n">
        <v>-13.48618627171746</v>
      </c>
      <c r="F602" t="n">
        <v>6.987</v>
      </c>
      <c r="G602" t="inlineStr"/>
      <c r="H602" t="inlineStr"/>
      <c r="I602" t="inlineStr"/>
      <c r="J602" t="inlineStr">
        <is>
          <t>Vietnam|XFVT.L|2015</t>
        </is>
      </c>
      <c r="K602" t="inlineStr">
        <is>
          <t>Vietnam|2015</t>
        </is>
      </c>
      <c r="L602" t="inlineStr">
        <is>
          <t>GBp</t>
        </is>
      </c>
      <c r="M602" t="n">
        <v>-13.48618627171746</v>
      </c>
      <c r="N602" t="n">
        <v>-4.888855870697362</v>
      </c>
      <c r="O602" t="n">
        <v>-5.407515212426162</v>
      </c>
      <c r="P602" t="n">
        <v>-17.71572193313678</v>
      </c>
      <c r="Q602" t="inlineStr"/>
      <c r="R602" t="inlineStr"/>
      <c r="S602" t="n">
        <v>0.647</v>
      </c>
      <c r="T602" t="n">
        <v>0.121</v>
      </c>
      <c r="U602" t="n">
        <v>0.526</v>
      </c>
      <c r="V602" t="n">
        <v>236795000000</v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n">
        <v>2016</v>
      </c>
      <c r="E603" t="n">
        <v>16.79276315789475</v>
      </c>
      <c r="F603" t="n">
        <v>6.69</v>
      </c>
      <c r="G603" t="n">
        <v>8.631271999999999</v>
      </c>
      <c r="H603" t="n">
        <v>6.482823</v>
      </c>
      <c r="I603" t="n">
        <v>9.107684322578287</v>
      </c>
      <c r="J603" t="inlineStr">
        <is>
          <t>Vietnam|XFVT.L|2016</t>
        </is>
      </c>
      <c r="K603" t="inlineStr">
        <is>
          <t>Vietnam|2016</t>
        </is>
      </c>
      <c r="L603" t="inlineStr">
        <is>
          <t>GBp</t>
        </is>
      </c>
      <c r="M603" t="n">
        <v>16.79276315789475</v>
      </c>
      <c r="N603" t="n">
        <v>-16.62570861023462</v>
      </c>
      <c r="O603" t="n">
        <v>-16.21181156312136</v>
      </c>
      <c r="P603" t="n">
        <v>-2.624861322578287</v>
      </c>
      <c r="Q603" t="n">
        <v>-1.977744747613219</v>
      </c>
      <c r="R603" t="n">
        <v>-0.6601731140534084</v>
      </c>
      <c r="S603" t="n">
        <v>2.675</v>
      </c>
      <c r="T603" t="n">
        <v>1.267</v>
      </c>
      <c r="U603" t="n">
        <v>1.408</v>
      </c>
      <c r="V603" t="n">
        <v>252146000000</v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n">
        <v>2017</v>
      </c>
      <c r="E604" t="n">
        <v>33.44334433443345</v>
      </c>
      <c r="F604" t="n">
        <v>6.94</v>
      </c>
      <c r="G604" t="n">
        <v>11.605905</v>
      </c>
      <c r="H604" t="n">
        <v>9.885146000000001</v>
      </c>
      <c r="I604" t="n">
        <v>-35.35644226272699</v>
      </c>
      <c r="J604" t="inlineStr">
        <is>
          <t>Vietnam|XFVT.L|2017</t>
        </is>
      </c>
      <c r="K604" t="inlineStr">
        <is>
          <t>Vietnam|2017</t>
        </is>
      </c>
      <c r="L604" t="inlineStr">
        <is>
          <t>GBp</t>
        </is>
      </c>
      <c r="M604" t="n">
        <v>33.44334433443345</v>
      </c>
      <c r="N604" t="n">
        <v>8.841388071573641</v>
      </c>
      <c r="O604" t="n">
        <v>9.450435944365921</v>
      </c>
      <c r="P604" t="n">
        <v>45.24158826272699</v>
      </c>
      <c r="Q604" t="n">
        <v>-1.541817675632007</v>
      </c>
      <c r="R604" t="n">
        <v>47.51601627605946</v>
      </c>
      <c r="S604" t="n">
        <v>3.521</v>
      </c>
      <c r="T604" t="n">
        <v>2.131</v>
      </c>
      <c r="U604" t="n">
        <v>1.39</v>
      </c>
      <c r="V604" t="n">
        <v>277071000000</v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n">
        <v>2018</v>
      </c>
      <c r="E605" t="n">
        <v>-7.244752394538412</v>
      </c>
      <c r="F605" t="n">
        <v>7.465</v>
      </c>
      <c r="G605" t="n">
        <v>11.362384</v>
      </c>
      <c r="H605" t="n">
        <v>9.888801000000001</v>
      </c>
      <c r="I605" t="n">
        <v>22.77799239564892</v>
      </c>
      <c r="J605" t="inlineStr">
        <is>
          <t>Vietnam|XFVT.L|2018</t>
        </is>
      </c>
      <c r="K605" t="inlineStr">
        <is>
          <t>Vietnam|2018</t>
        </is>
      </c>
      <c r="L605" t="inlineStr">
        <is>
          <t>GBp</t>
        </is>
      </c>
      <c r="M605" t="n">
        <v>-7.244752394538412</v>
      </c>
      <c r="N605" t="n">
        <v>-6.085304224640065</v>
      </c>
      <c r="O605" t="n">
        <v>-5.756316180609423</v>
      </c>
      <c r="P605" t="n">
        <v>-12.88919139564891</v>
      </c>
      <c r="Q605" t="n">
        <v>-1.32323187793989</v>
      </c>
      <c r="R605" t="n">
        <v>-11.72105627071439</v>
      </c>
      <c r="S605" t="n">
        <v>3.54</v>
      </c>
      <c r="T605" t="n">
        <v>2.439</v>
      </c>
      <c r="U605" t="n">
        <v>1.101</v>
      </c>
      <c r="V605" t="n">
        <v>304470000000</v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n">
        <v>2019</v>
      </c>
      <c r="E606" t="n">
        <v>-1.198186528497414</v>
      </c>
      <c r="F606" t="n">
        <v>7.359</v>
      </c>
      <c r="G606" t="n">
        <v>9.960820999999999</v>
      </c>
      <c r="H606" t="n">
        <v>8.982165999999999</v>
      </c>
      <c r="I606" t="n">
        <v>7.271761219977909</v>
      </c>
      <c r="J606" t="inlineStr">
        <is>
          <t>Vietnam|XFVT.L|2019</t>
        </is>
      </c>
      <c r="K606" t="inlineStr">
        <is>
          <t>Vietnam|2019</t>
        </is>
      </c>
      <c r="L606" t="inlineStr">
        <is>
          <t>GBp</t>
        </is>
      </c>
      <c r="M606" t="n">
        <v>-1.198186528497414</v>
      </c>
      <c r="N606" t="n">
        <v>2.94386429390634</v>
      </c>
      <c r="O606" t="n">
        <v>4.118031584084703</v>
      </c>
      <c r="P606" t="n">
        <v>1.71040478002209</v>
      </c>
      <c r="Q606" t="n">
        <v>-0.8900038557951184</v>
      </c>
      <c r="R606" t="n">
        <v>2.62376020278885</v>
      </c>
      <c r="S606" t="n">
        <v>2.795</v>
      </c>
      <c r="T606" t="n">
        <v>1.813</v>
      </c>
      <c r="U606" t="n">
        <v>0.982</v>
      </c>
      <c r="V606" t="n">
        <v>331818000000</v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n">
        <v>2020</v>
      </c>
      <c r="E607" t="n">
        <v>12.24511813572122</v>
      </c>
      <c r="F607" t="n">
        <v>2.865</v>
      </c>
      <c r="G607" t="n">
        <v>4.374941</v>
      </c>
      <c r="H607" t="n">
        <v>4.367454</v>
      </c>
      <c r="I607" t="n">
        <v>-10.99268881600469</v>
      </c>
      <c r="J607" t="inlineStr">
        <is>
          <t>Vietnam|XFVT.L|2020</t>
        </is>
      </c>
      <c r="K607" t="inlineStr">
        <is>
          <t>Vietnam|2020</t>
        </is>
      </c>
      <c r="L607" t="inlineStr">
        <is>
          <t>GBp</t>
        </is>
      </c>
      <c r="M607" t="n">
        <v>12.24511813572122</v>
      </c>
      <c r="N607" t="n">
        <v>2.775198362317122</v>
      </c>
      <c r="O607" t="n">
        <v>3.094474617937659</v>
      </c>
      <c r="P607" t="n">
        <v>15.36014281600469</v>
      </c>
      <c r="Q607" t="n">
        <v>-0.007172432347701818</v>
      </c>
      <c r="R607" t="n">
        <v>15.36841753770319</v>
      </c>
      <c r="S607" t="n">
        <v>3.22</v>
      </c>
      <c r="T607" t="n">
        <v>1.253</v>
      </c>
      <c r="U607" t="n">
        <v>1.967</v>
      </c>
      <c r="V607" t="n">
        <v>346310000000</v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n">
        <v>2021</v>
      </c>
      <c r="E608" t="n">
        <v>31.4366729678639</v>
      </c>
      <c r="F608" t="n">
        <v>2.554</v>
      </c>
      <c r="G608" t="n">
        <v>5.508063</v>
      </c>
      <c r="H608" t="n">
        <v>6.862638</v>
      </c>
      <c r="I608" t="n">
        <v>-22.89529881670504</v>
      </c>
      <c r="J608" t="inlineStr">
        <is>
          <t>Vietnam|XFVT.L|2021</t>
        </is>
      </c>
      <c r="K608" t="inlineStr">
        <is>
          <t>Vietnam|2021</t>
        </is>
      </c>
      <c r="L608" t="inlineStr">
        <is>
          <t>GBp</t>
        </is>
      </c>
      <c r="M608" t="n">
        <v>31.4366729678639</v>
      </c>
      <c r="N608" t="n">
        <v>-1.277220514832489</v>
      </c>
      <c r="O608" t="n">
        <v>-1.102343119945948</v>
      </c>
      <c r="P608" t="n">
        <v>29.75793681670504</v>
      </c>
      <c r="Q608" t="n">
        <v>1.283858341398436</v>
      </c>
      <c r="R608" t="n">
        <v>28.11314551162612</v>
      </c>
      <c r="S608" t="n">
        <v>1.837</v>
      </c>
      <c r="T608" t="n">
        <v>4.679</v>
      </c>
      <c r="U608" t="n">
        <v>-2.842000000000001</v>
      </c>
      <c r="V608" t="n">
        <v>370076000000</v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n">
        <v>2022</v>
      </c>
      <c r="E609" t="n">
        <v>-39.70095025153717</v>
      </c>
      <c r="F609" t="n">
        <v>8.538</v>
      </c>
      <c r="G609" t="n">
        <v>13.35964</v>
      </c>
      <c r="H609" t="n">
        <v>11.076644</v>
      </c>
      <c r="I609" t="n">
        <v>57.31464256417105</v>
      </c>
      <c r="J609" t="inlineStr">
        <is>
          <t>Vietnam|XFVT.L|2022</t>
        </is>
      </c>
      <c r="K609" t="inlineStr">
        <is>
          <t>Vietnam|2022</t>
        </is>
      </c>
      <c r="L609" t="inlineStr">
        <is>
          <t>GBp</t>
        </is>
      </c>
      <c r="M609" t="n">
        <v>-39.70095025153717</v>
      </c>
      <c r="N609" t="n">
        <v>-10.84104698150823</v>
      </c>
      <c r="O609" t="n">
        <v>-10.36772851390696</v>
      </c>
      <c r="P609" t="n">
        <v>-46.23799856417104</v>
      </c>
      <c r="Q609" t="n">
        <v>-2.01394136818035</v>
      </c>
      <c r="R609" t="n">
        <v>-45.13300954594119</v>
      </c>
      <c r="S609" t="n">
        <v>3.157</v>
      </c>
      <c r="T609" t="n">
        <v>7.993</v>
      </c>
      <c r="U609" t="n">
        <v>-4.836</v>
      </c>
      <c r="V609" t="n">
        <v>411068000000</v>
      </c>
    </row>
    <row r="610">
      <c r="A610" t="inlineStr">
        <is>
          <t>Vietnam</t>
        </is>
      </c>
      <c r="B610" t="inlineStr">
        <is>
          <t>VNM</t>
        </is>
      </c>
      <c r="C610" t="inlineStr">
        <is>
          <t>XFVT.L</t>
        </is>
      </c>
      <c r="D610" t="n">
        <v>2023</v>
      </c>
      <c r="E610" t="n">
        <v>-5.490410958904112</v>
      </c>
      <c r="F610" t="n">
        <v>5.065</v>
      </c>
      <c r="G610" t="n">
        <v>7.264446</v>
      </c>
      <c r="H610" t="n">
        <v>5.337316</v>
      </c>
      <c r="I610" t="n">
        <v>6.042677464805599</v>
      </c>
      <c r="J610" t="inlineStr">
        <is>
          <t>Vietnam|XFVT.L|2023</t>
        </is>
      </c>
      <c r="K610" t="inlineStr">
        <is>
          <t>Vietnam|2023</t>
        </is>
      </c>
      <c r="L610" t="inlineStr">
        <is>
          <t>GBp</t>
        </is>
      </c>
      <c r="M610" t="n">
        <v>-5.490410958904112</v>
      </c>
      <c r="N610" t="n">
        <v>5.06303068571996</v>
      </c>
      <c r="O610" t="n">
        <v>5.030130998783355</v>
      </c>
      <c r="P610" t="n">
        <v>-0.7053614648055984</v>
      </c>
      <c r="Q610" t="n">
        <v>-1.796615007646363</v>
      </c>
      <c r="R610" t="n">
        <v>1.111217849492396</v>
      </c>
      <c r="S610" t="n">
        <v>3.253</v>
      </c>
      <c r="T610" t="n">
        <v>4.128</v>
      </c>
      <c r="U610" t="n">
        <v>-0.875</v>
      </c>
      <c r="V610" t="n">
        <v>433008000000</v>
      </c>
    </row>
    <row r="611">
      <c r="A611" t="inlineStr">
        <is>
          <t>Vietnam</t>
        </is>
      </c>
      <c r="B611" t="inlineStr">
        <is>
          <t>VNM</t>
        </is>
      </c>
      <c r="C611" t="inlineStr">
        <is>
          <t>XFVT.L</t>
        </is>
      </c>
      <c r="D611" t="n">
        <v>2024</v>
      </c>
      <c r="E611" t="n">
        <v>-8.879860708067334</v>
      </c>
      <c r="F611" t="n">
        <v>7.091</v>
      </c>
      <c r="G611" t="n">
        <v>11.545738</v>
      </c>
      <c r="H611" t="n">
        <v>6.111665</v>
      </c>
      <c r="I611" t="n">
        <v>16.28639165824373</v>
      </c>
      <c r="J611" t="inlineStr">
        <is>
          <t>Vietnam|XFVT.L|2024</t>
        </is>
      </c>
      <c r="K611" t="inlineStr">
        <is>
          <t>Vietnam|2024</t>
        </is>
      </c>
      <c r="L611" t="inlineStr">
        <is>
          <t>GBp</t>
        </is>
      </c>
      <c r="M611" t="n">
        <v>-8.879860708067334</v>
      </c>
      <c r="N611" t="n">
        <v>-1.421053523664917</v>
      </c>
      <c r="O611" t="n">
        <v>-1.655539060617606</v>
      </c>
      <c r="P611" t="n">
        <v>-10.17472665824373</v>
      </c>
      <c r="Q611" t="n">
        <v>-4.871609165459379</v>
      </c>
      <c r="R611" t="n">
        <v>-5.574694837431027</v>
      </c>
      <c r="S611" t="n">
        <v>3.624</v>
      </c>
      <c r="T611" t="n">
        <v>2.952</v>
      </c>
      <c r="U611" t="n">
        <v>0.6720000000000002</v>
      </c>
      <c r="V611" t="n">
        <v>459472000000</v>
      </c>
    </row>
    <row r="612">
      <c r="A612" t="inlineStr">
        <is>
          <t>Vietnam</t>
        </is>
      </c>
      <c r="B612" t="inlineStr">
        <is>
          <t>VNM</t>
        </is>
      </c>
      <c r="C612" t="inlineStr">
        <is>
          <t>XFVT.L</t>
        </is>
      </c>
      <c r="D612" t="n">
        <v>2025</v>
      </c>
      <c r="E612" t="n">
        <v>55.06464164679304</v>
      </c>
      <c r="F612" t="n">
        <v>6.457</v>
      </c>
      <c r="G612" t="n">
        <v>9.991490000000001</v>
      </c>
      <c r="H612" t="n">
        <v>5.496309</v>
      </c>
      <c r="I612" t="n">
        <v>-61.30971807742051</v>
      </c>
      <c r="J612" t="inlineStr">
        <is>
          <t>Vietnam|XFVT.L|2025</t>
        </is>
      </c>
      <c r="K612" t="inlineStr">
        <is>
          <t>Vietnam|2025</t>
        </is>
      </c>
      <c r="L612" t="inlineStr">
        <is>
          <t>GBp</t>
        </is>
      </c>
      <c r="M612" t="n">
        <v>55.06464164679304</v>
      </c>
      <c r="N612" t="n">
        <v>7.571929555270285</v>
      </c>
      <c r="O612" t="n">
        <v>7.623377354227179</v>
      </c>
      <c r="P612" t="n">
        <v>66.80602707742051</v>
      </c>
      <c r="Q612" t="n">
        <v>-4.086844476972007</v>
      </c>
      <c r="R612" t="n">
        <v>73.9136056652538</v>
      </c>
      <c r="S612" t="n">
        <v>3.402</v>
      </c>
      <c r="T612" t="n">
        <v>2.715</v>
      </c>
      <c r="U612" t="n">
        <v>0.6870000000000003</v>
      </c>
      <c r="V612" t="n">
        <v>484726000000</v>
      </c>
    </row>
    <row r="613">
      <c r="A613" t="inlineStr">
        <is>
          <t>Vietnam</t>
        </is>
      </c>
      <c r="B613" t="inlineStr">
        <is>
          <t>VNM</t>
        </is>
      </c>
      <c r="C613" t="inlineStr">
        <is>
          <t>XFVT.L</t>
        </is>
      </c>
      <c r="D613" t="n">
        <v>2026</v>
      </c>
      <c r="E613" t="n">
        <v>0.723589001447178</v>
      </c>
      <c r="F613" t="n">
        <v>5.595</v>
      </c>
      <c r="G613" t="n">
        <v>9.35421</v>
      </c>
      <c r="H613" t="n">
        <v>5.432554</v>
      </c>
      <c r="I613" t="n">
        <v>6.271616659056444</v>
      </c>
      <c r="J613" t="inlineStr">
        <is>
          <t>Vietnam|XFVT.L|2026</t>
        </is>
      </c>
      <c r="K613" t="inlineStr">
        <is>
          <t>Vietnam|2026</t>
        </is>
      </c>
      <c r="L613" t="inlineStr">
        <is>
          <t>GBp</t>
        </is>
      </c>
      <c r="M613" t="n">
        <v>0.723589001447178</v>
      </c>
      <c r="N613" t="n">
        <v>-1.551425714666665</v>
      </c>
      <c r="O613" t="inlineStr"/>
      <c r="P613" t="n">
        <v>-0.8390626590564443</v>
      </c>
      <c r="Q613" t="n">
        <v>-3.586195770893719</v>
      </c>
      <c r="R613" t="n">
        <v>2.849315130548447</v>
      </c>
      <c r="S613" t="n">
        <v>3.161</v>
      </c>
      <c r="T613" t="n">
        <v>2.435</v>
      </c>
      <c r="U613" t="n">
        <v>0.726</v>
      </c>
      <c r="V613" t="n">
        <v>511059000000</v>
      </c>
    </row>
    <row r="614">
      <c r="A614" t="inlineStr">
        <is>
          <t>Vietnam</t>
        </is>
      </c>
      <c r="B614" t="inlineStr">
        <is>
          <t>VNM</t>
        </is>
      </c>
      <c r="C614" t="inlineStr">
        <is>
          <t>XFVT.L</t>
        </is>
      </c>
      <c r="D614" t="n">
        <v>2027</v>
      </c>
      <c r="E614" t="inlineStr"/>
      <c r="F614" t="n">
        <v>5.76</v>
      </c>
      <c r="G614" t="n">
        <v>8.918058</v>
      </c>
      <c r="H614" t="n">
        <v>6.682986</v>
      </c>
      <c r="I614" t="inlineStr"/>
      <c r="J614" t="inlineStr">
        <is>
          <t>Vietnam|XFVT.L|2027</t>
        </is>
      </c>
      <c r="K614" t="inlineStr">
        <is>
          <t>Vietnam|2027</t>
        </is>
      </c>
      <c r="L614" t="inlineStr">
        <is>
          <t>GBp</t>
        </is>
      </c>
      <c r="M614" t="inlineStr"/>
      <c r="N614" t="inlineStr"/>
      <c r="O614" t="inlineStr"/>
      <c r="P614" t="inlineStr"/>
      <c r="Q614" t="n">
        <v>-2.052067714226302</v>
      </c>
      <c r="R614" t="inlineStr"/>
      <c r="S614" t="n">
        <v>3.3</v>
      </c>
      <c r="T614" t="n">
        <v>2.185</v>
      </c>
      <c r="U614" t="n">
        <v>1.115</v>
      </c>
      <c r="V614" t="n">
        <v>545213000000</v>
      </c>
    </row>
    <row r="615">
      <c r="A615" t="inlineStr">
        <is>
          <t>Vietnam</t>
        </is>
      </c>
      <c r="B615" t="inlineStr">
        <is>
          <t>VNM</t>
        </is>
      </c>
      <c r="C615" t="inlineStr">
        <is>
          <t>XFVT.L</t>
        </is>
      </c>
      <c r="D615" t="n">
        <v>2028</v>
      </c>
      <c r="E615" t="inlineStr"/>
      <c r="F615" t="n">
        <v>5.6</v>
      </c>
      <c r="G615" t="n">
        <v>8.569962</v>
      </c>
      <c r="H615" t="n">
        <v>7.064762</v>
      </c>
      <c r="I615" t="inlineStr"/>
      <c r="J615" t="inlineStr">
        <is>
          <t>Vietnam|XFVT.L|2028</t>
        </is>
      </c>
      <c r="K615" t="inlineStr">
        <is>
          <t>Vietnam|2028</t>
        </is>
      </c>
      <c r="L615" t="inlineStr">
        <is>
          <t>GBp</t>
        </is>
      </c>
      <c r="M615" t="inlineStr"/>
      <c r="N615" t="inlineStr"/>
      <c r="O615" t="inlineStr"/>
      <c r="P615" t="inlineStr"/>
      <c r="Q615" t="n">
        <v>-1.386387438553505</v>
      </c>
      <c r="R615" t="inlineStr"/>
      <c r="S615" t="n">
        <v>3.3</v>
      </c>
      <c r="T615" t="n">
        <v>2.206</v>
      </c>
      <c r="U615" t="n">
        <v>1.094</v>
      </c>
      <c r="V615" t="n">
        <v>583731000000</v>
      </c>
    </row>
    <row r="616">
      <c r="A616" t="inlineStr">
        <is>
          <t>Vietnam</t>
        </is>
      </c>
      <c r="B616" t="inlineStr">
        <is>
          <t>VNM</t>
        </is>
      </c>
      <c r="C616" t="inlineStr">
        <is>
          <t>XFVT.L</t>
        </is>
      </c>
      <c r="D616" t="n">
        <v>2029</v>
      </c>
      <c r="E616" t="inlineStr"/>
      <c r="F616" t="n">
        <v>5.3</v>
      </c>
      <c r="G616" t="n">
        <v>8.106811</v>
      </c>
      <c r="H616" t="n">
        <v>6.916199</v>
      </c>
      <c r="I616" t="inlineStr"/>
      <c r="J616" t="inlineStr">
        <is>
          <t>Vietnam|XFVT.L|2029</t>
        </is>
      </c>
      <c r="K616" t="inlineStr">
        <is>
          <t>Vietnam|2029</t>
        </is>
      </c>
      <c r="L616" t="inlineStr">
        <is>
          <t>GBp</t>
        </is>
      </c>
      <c r="M616" t="inlineStr"/>
      <c r="N616" t="inlineStr"/>
      <c r="O616" t="inlineStr"/>
      <c r="P616" t="inlineStr"/>
      <c r="Q616" t="n">
        <v>-1.101329128657602</v>
      </c>
      <c r="R616" t="inlineStr"/>
      <c r="S616" t="n">
        <v>3.3</v>
      </c>
      <c r="T616" t="n">
        <v>2.203</v>
      </c>
      <c r="U616" t="n">
        <v>1.097</v>
      </c>
      <c r="V616" t="n">
        <v>624103000000</v>
      </c>
    </row>
  </sheetData>
  <autoFilter ref="A1:V6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46080</v>
      </c>
      <c r="E6" t="inlineStr">
        <is>
          <t>1Y</t>
        </is>
      </c>
      <c r="F6" t="n">
        <v>27.14717105091646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-25.25264805091647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46080</v>
      </c>
      <c r="E7" t="inlineStr">
        <is>
          <t>3Y</t>
        </is>
      </c>
      <c r="F7" t="n">
        <v>6.041644455770334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-4.070160956421542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46080</v>
      </c>
      <c r="E8" t="inlineStr">
        <is>
          <t>5Y</t>
        </is>
      </c>
      <c r="F8" t="n">
        <v>8.530409046684806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-2.461270307032692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46080</v>
      </c>
      <c r="E9" t="inlineStr">
        <is>
          <t>10Y</t>
        </is>
      </c>
      <c r="F9" t="n">
        <v>8.985342096047733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-4.968194042879426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46080</v>
      </c>
      <c r="E14" t="inlineStr">
        <is>
          <t>1Y</t>
        </is>
      </c>
      <c r="F14" t="n">
        <v>59.85631234682993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-51.74494434682993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46080</v>
      </c>
      <c r="E15" t="inlineStr">
        <is>
          <t>3Y</t>
        </is>
      </c>
      <c r="F15" t="n">
        <v>27.86236617123585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-21.60388719582558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46080</v>
      </c>
      <c r="E16" t="inlineStr">
        <is>
          <t>5Y</t>
        </is>
      </c>
      <c r="F16" t="n">
        <v>17.47403220307389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-12.0049215241304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46080</v>
      </c>
      <c r="E17" t="inlineStr">
        <is>
          <t>10Y</t>
        </is>
      </c>
      <c r="F17" t="n">
        <v>14.1909414653413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-10.10649708633127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46080</v>
      </c>
      <c r="E22" t="inlineStr">
        <is>
          <t>1Y</t>
        </is>
      </c>
      <c r="F22" t="n">
        <v>40.10996021003182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-32.19036821003181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46080</v>
      </c>
      <c r="E23" t="inlineStr">
        <is>
          <t>3Y</t>
        </is>
      </c>
      <c r="F23" t="n">
        <v>15.20948499986159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-8.741150846574275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46080</v>
      </c>
      <c r="E24" t="inlineStr">
        <is>
          <t>5Y</t>
        </is>
      </c>
      <c r="F24" t="n">
        <v>9.415581868166845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-3.156485846195589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46080</v>
      </c>
      <c r="E25" t="inlineStr">
        <is>
          <t>10Y</t>
        </is>
      </c>
      <c r="F25" t="n">
        <v>7.552638165935122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-3.03922298007453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46080</v>
      </c>
      <c r="E30" t="inlineStr">
        <is>
          <t>1Y</t>
        </is>
      </c>
      <c r="F30" t="n">
        <v>64.70687731855639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-61.1510113185564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46080</v>
      </c>
      <c r="E31" t="inlineStr">
        <is>
          <t>3Y</t>
        </is>
      </c>
      <c r="F31" t="n">
        <v>18.74454105504966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-13.78481832058027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46080</v>
      </c>
      <c r="E32" t="inlineStr">
        <is>
          <t>5Y</t>
        </is>
      </c>
      <c r="F32" t="n">
        <v>12.26622914224267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-3.403263068109585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46080</v>
      </c>
      <c r="E33" t="inlineStr">
        <is>
          <t>10Y</t>
        </is>
      </c>
      <c r="F33" t="n">
        <v>11.51817386187837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-9.230556077235374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46080</v>
      </c>
      <c r="E38" t="inlineStr">
        <is>
          <t>1Y</t>
        </is>
      </c>
      <c r="F38" t="n">
        <v>41.49887038793398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-39.71774438793398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46080</v>
      </c>
      <c r="E39" t="inlineStr">
        <is>
          <t>3Y</t>
        </is>
      </c>
      <c r="F39" t="n">
        <v>20.56152970011318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-19.16305733423818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46080</v>
      </c>
      <c r="E40" t="inlineStr">
        <is>
          <t>5Y</t>
        </is>
      </c>
      <c r="F40" t="n">
        <v>14.39681791527294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-7.754782115562752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46080</v>
      </c>
      <c r="E41" t="inlineStr">
        <is>
          <t>10Y</t>
        </is>
      </c>
      <c r="F41" t="n">
        <v>11.12107212177868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-7.213583305007053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46080</v>
      </c>
      <c r="E46" t="inlineStr">
        <is>
          <t>1Y</t>
        </is>
      </c>
      <c r="F46" t="n">
        <v>29.07650217035172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-25.61609517035171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46080</v>
      </c>
      <c r="E47" t="inlineStr">
        <is>
          <t>3Y</t>
        </is>
      </c>
      <c r="F47" t="n">
        <v>6.086038763276358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-4.138257558088343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46080</v>
      </c>
      <c r="E48" t="inlineStr">
        <is>
          <t>5Y</t>
        </is>
      </c>
      <c r="F48" t="n">
        <v>-1.220693892143798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6.353747252567199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46080</v>
      </c>
      <c r="E49" t="inlineStr">
        <is>
          <t>10Y</t>
        </is>
      </c>
      <c r="F49" t="n">
        <v>4.929039839511384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0.6168633958259617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46080</v>
      </c>
      <c r="E54" t="inlineStr">
        <is>
          <t>1Y</t>
        </is>
      </c>
      <c r="F54" t="n">
        <v>23.83299428885566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-17.48496428885566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46080</v>
      </c>
      <c r="E55" t="inlineStr">
        <is>
          <t>3Y</t>
        </is>
      </c>
      <c r="F55" t="n">
        <v>11.82232136443369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-5.501902937781433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46080</v>
      </c>
      <c r="E56" t="inlineStr">
        <is>
          <t>5Y</t>
        </is>
      </c>
      <c r="F56" t="n">
        <v>10.49097928834433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-5.58590480328145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46080</v>
      </c>
      <c r="E57" t="inlineStr">
        <is>
          <t>10Y</t>
        </is>
      </c>
      <c r="F57" t="n">
        <v>9.693073422532695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-6.448678416581256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46080</v>
      </c>
      <c r="E62" t="inlineStr">
        <is>
          <t>1Y</t>
        </is>
      </c>
      <c r="F62" t="n">
        <v>23.51273783604086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-16.48073083604087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46080</v>
      </c>
      <c r="E63" t="inlineStr">
        <is>
          <t>3Y</t>
        </is>
      </c>
      <c r="F63" t="n">
        <v>20.25703124684011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-14.21363024222275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46080</v>
      </c>
      <c r="E64" t="inlineStr">
        <is>
          <t>5Y</t>
        </is>
      </c>
      <c r="F64" t="n">
        <v>10.82507172078011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-5.878329376477853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46080</v>
      </c>
      <c r="E65" t="inlineStr">
        <is>
          <t>10Y</t>
        </is>
      </c>
      <c r="F65" t="n">
        <v>10.14685237202821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-6.264199807421366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46080</v>
      </c>
      <c r="E66" t="inlineStr">
        <is>
          <t>1Y</t>
        </is>
      </c>
      <c r="F66" t="n">
        <v>26.10246960579203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-19.07046260579204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46080</v>
      </c>
      <c r="E67" t="inlineStr">
        <is>
          <t>3Y</t>
        </is>
      </c>
      <c r="F67" t="n">
        <v>20.93410523608756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-14.89070423147021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46080</v>
      </c>
      <c r="E68" t="inlineStr">
        <is>
          <t>5Y</t>
        </is>
      </c>
      <c r="F68" t="n">
        <v>11.86058614073748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-6.913843796435226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46080</v>
      </c>
      <c r="E69" t="inlineStr">
        <is>
          <t>10Y</t>
        </is>
      </c>
      <c r="F69" t="n">
        <v>6.840117723122163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-2.957465158515316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46080</v>
      </c>
      <c r="E74" t="inlineStr">
        <is>
          <t>1Y</t>
        </is>
      </c>
      <c r="F74" t="n">
        <v>74.29811903889059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-64.59170003889059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46080</v>
      </c>
      <c r="E75" t="inlineStr">
        <is>
          <t>3Y</t>
        </is>
      </c>
      <c r="F75" t="n">
        <v>34.32602663812072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-25.53918017908417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46080</v>
      </c>
      <c r="E76" t="inlineStr">
        <is>
          <t>5Y</t>
        </is>
      </c>
      <c r="F76" t="n">
        <v>27.158651981286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-19.07660690339235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46080</v>
      </c>
      <c r="E77" t="inlineStr">
        <is>
          <t>10Y</t>
        </is>
      </c>
      <c r="F77" t="n">
        <v>17.27988728910077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-13.49922102149381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46080</v>
      </c>
      <c r="E82" t="inlineStr">
        <is>
          <t>1Y</t>
        </is>
      </c>
      <c r="F82" t="n">
        <v>44.63970412531009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-39.38732212531009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46080</v>
      </c>
      <c r="E83" t="inlineStr">
        <is>
          <t>3Y</t>
        </is>
      </c>
      <c r="F83" t="n">
        <v>10.63120916516371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-4.545311475432535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46080</v>
      </c>
      <c r="E84" t="inlineStr">
        <is>
          <t>5Y</t>
        </is>
      </c>
      <c r="F84" t="n">
        <v>2.140689992117628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2.280120959778853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46080</v>
      </c>
      <c r="E85" t="inlineStr">
        <is>
          <t>10Y</t>
        </is>
      </c>
      <c r="F85" t="n">
        <v>6.573255589129134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-3.269063190252441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46080</v>
      </c>
      <c r="E90" t="inlineStr">
        <is>
          <t>1Y</t>
        </is>
      </c>
      <c r="F90" t="n">
        <v>7.698927489282092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-2.191844489282091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46080</v>
      </c>
      <c r="E91" t="inlineStr">
        <is>
          <t>3Y</t>
        </is>
      </c>
      <c r="F91" t="n">
        <v>11.00922462277298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-3.782711401760385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46080</v>
      </c>
      <c r="E92" t="inlineStr">
        <is>
          <t>5Y</t>
        </is>
      </c>
      <c r="F92" t="n">
        <v>7.0350875072273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2.015829865133024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46080</v>
      </c>
      <c r="E93" t="inlineStr">
        <is>
          <t>10Y</t>
        </is>
      </c>
      <c r="F93" t="n">
        <v>9.172060504887192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-2.205367658883794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46080</v>
      </c>
      <c r="E98" t="inlineStr">
        <is>
          <t>1Y</t>
        </is>
      </c>
      <c r="F98" t="n">
        <v>2.166173408725047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1.19671459127495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46080</v>
      </c>
      <c r="E99" t="inlineStr">
        <is>
          <t>3Y</t>
        </is>
      </c>
      <c r="F99" t="n">
        <v>-7.360859816222797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10.40463831043355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46080</v>
      </c>
      <c r="E100" t="inlineStr">
        <is>
          <t>5Y</t>
        </is>
      </c>
      <c r="F100" t="n">
        <v>-2.775759747267337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9.161880270955036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46080</v>
      </c>
      <c r="E101" t="inlineStr">
        <is>
          <t>10Y</t>
        </is>
      </c>
      <c r="F101" t="n">
        <v>0.384040026489374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4.919115986026767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46080</v>
      </c>
      <c r="E106" t="inlineStr">
        <is>
          <t>1Y</t>
        </is>
      </c>
      <c r="F106" t="n">
        <v>45.54175647592675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-38.30677647592675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46080</v>
      </c>
      <c r="E107" t="inlineStr">
        <is>
          <t>3Y</t>
        </is>
      </c>
      <c r="F107" t="n">
        <v>28.37276438763659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-21.87179173823033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46080</v>
      </c>
      <c r="E108" t="inlineStr">
        <is>
          <t>5Y</t>
        </is>
      </c>
      <c r="F108" t="n">
        <v>17.98072214525261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-12.03831943140625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46080</v>
      </c>
      <c r="E109" t="inlineStr">
        <is>
          <t>10Y</t>
        </is>
      </c>
      <c r="F109" t="n">
        <v>13.50246614251134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-10.24247459551571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46080</v>
      </c>
      <c r="E114" t="inlineStr">
        <is>
          <t>1Y</t>
        </is>
      </c>
      <c r="F114" t="n">
        <v>39.67143260840227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-33.19168060840228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46080</v>
      </c>
      <c r="E115" t="inlineStr">
        <is>
          <t>3Y</t>
        </is>
      </c>
      <c r="F115" t="n">
        <v>22.09285915187091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-21.96325886435764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46080</v>
      </c>
      <c r="E116" t="inlineStr">
        <is>
          <t>5Y</t>
        </is>
      </c>
      <c r="F116" t="n">
        <v>9.028827131385576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-12.29975338320765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46080</v>
      </c>
      <c r="E117" t="inlineStr">
        <is>
          <t>10Y</t>
        </is>
      </c>
      <c r="F117" t="n">
        <v>9.944987835232123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-10.32278774028542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46080</v>
      </c>
      <c r="E122" t="inlineStr">
        <is>
          <t>1Y</t>
        </is>
      </c>
      <c r="F122" t="n">
        <v>25.92492339988382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-14.47492139988382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46080</v>
      </c>
      <c r="E123" t="inlineStr">
        <is>
          <t>3Y</t>
        </is>
      </c>
      <c r="F123" t="n">
        <v>13.14077812889669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-8.255233645571458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46080</v>
      </c>
      <c r="E124" t="inlineStr">
        <is>
          <t>5Y</t>
        </is>
      </c>
      <c r="F124" t="n">
        <v>5.563593180865301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1.312799110512608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46080</v>
      </c>
      <c r="E125" t="inlineStr">
        <is>
          <t>10Y</t>
        </is>
      </c>
      <c r="F125" t="n">
        <v>2.190096053146084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2.367302119075343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46080</v>
      </c>
      <c r="E130" t="inlineStr">
        <is>
          <t>1Y</t>
        </is>
      </c>
      <c r="F130" t="n">
        <v>66.74255643230553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-66.39919743230554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46080</v>
      </c>
      <c r="E131" t="inlineStr">
        <is>
          <t>3Y</t>
        </is>
      </c>
      <c r="F131" t="n">
        <v>15.73735157150546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-7.449320874981911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46080</v>
      </c>
      <c r="E132" t="inlineStr">
        <is>
          <t>5Y</t>
        </is>
      </c>
      <c r="F132" t="n">
        <v>17.96657635047303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-7.277620833263487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46080</v>
      </c>
      <c r="E133" t="inlineStr">
        <is>
          <t>10Y</t>
        </is>
      </c>
      <c r="F133" t="n">
        <v>6.879983205526341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-2.499664435919891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46080</v>
      </c>
      <c r="E138" t="inlineStr">
        <is>
          <t>1Y</t>
        </is>
      </c>
      <c r="F138" t="n">
        <v>40.34137887734182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-31.60794287734181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46080</v>
      </c>
      <c r="E139" t="inlineStr">
        <is>
          <t>3Y</t>
        </is>
      </c>
      <c r="F139" t="n">
        <v>18.56184903526044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-10.52753487221823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46080</v>
      </c>
      <c r="E140" t="inlineStr">
        <is>
          <t>5Y</t>
        </is>
      </c>
      <c r="F140" t="n">
        <v>9.935221038632314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-2.711539733656965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46080</v>
      </c>
      <c r="E141" t="inlineStr">
        <is>
          <t>10Y</t>
        </is>
      </c>
      <c r="F141" t="n">
        <v>13.17781025206726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-7.714336747716266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46080</v>
      </c>
      <c r="E146" t="inlineStr">
        <is>
          <t>1Y</t>
        </is>
      </c>
      <c r="F146" t="n">
        <v>33.58005524029566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-23.05604924029565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46080</v>
      </c>
      <c r="E147" t="inlineStr">
        <is>
          <t>3Y</t>
        </is>
      </c>
      <c r="F147" t="n">
        <v>41.90425013382788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-38.83001531350658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46080</v>
      </c>
      <c r="E148" t="inlineStr">
        <is>
          <t>5Y</t>
        </is>
      </c>
      <c r="F148" t="n">
        <v>7.758390926753544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-1.315000815031553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46080</v>
      </c>
      <c r="E149" t="inlineStr">
        <is>
          <t>10Y</t>
        </is>
      </c>
      <c r="F149" t="n">
        <v>0.3235611500366442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2.864344319883427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46080</v>
      </c>
      <c r="E154" t="inlineStr">
        <is>
          <t>1Y</t>
        </is>
      </c>
      <c r="F154" t="n">
        <v>14.89954265560181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-7.850192655601807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46080</v>
      </c>
      <c r="E155" t="inlineStr">
        <is>
          <t>3Y</t>
        </is>
      </c>
      <c r="F155" t="n">
        <v>2.843667928661531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4.070449117522301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46080</v>
      </c>
      <c r="E156" t="inlineStr">
        <is>
          <t>5Y</t>
        </is>
      </c>
      <c r="F156" t="n">
        <v>-0.2772582830698589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6.713913494245749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46080</v>
      </c>
      <c r="E157" t="inlineStr">
        <is>
          <t>10Y</t>
        </is>
      </c>
      <c r="F157" t="n">
        <v>-1.609352794367369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6.503483307482416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46080</v>
      </c>
      <c r="E162" t="inlineStr">
        <is>
          <t>1Y</t>
        </is>
      </c>
      <c r="F162" t="n">
        <v>54.27677725352493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-40.60168125352492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46080</v>
      </c>
      <c r="E163" t="inlineStr">
        <is>
          <t>3Y</t>
        </is>
      </c>
      <c r="F163" t="n">
        <v>38.38068452751728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-24.05503954323948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46080</v>
      </c>
      <c r="E164" t="inlineStr">
        <is>
          <t>5Y</t>
        </is>
      </c>
      <c r="F164" t="n">
        <v>16.7964628080389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-5.395139437893427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46080</v>
      </c>
      <c r="E165" t="inlineStr">
        <is>
          <t>10Y</t>
        </is>
      </c>
      <c r="F165" t="n">
        <v>8.893664303591752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-0.8528564387723314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46080</v>
      </c>
      <c r="E166" t="inlineStr">
        <is>
          <t>1Y</t>
        </is>
      </c>
      <c r="F166" t="n">
        <v>53.58881330731815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-39.91371730731814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46080</v>
      </c>
      <c r="E167" t="inlineStr">
        <is>
          <t>3Y</t>
        </is>
      </c>
      <c r="F167" t="n">
        <v>37.53608245939826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-23.21043747512046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46080</v>
      </c>
      <c r="E168" t="inlineStr">
        <is>
          <t>5Y</t>
        </is>
      </c>
      <c r="F168" t="n">
        <v>16.83201455923253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-5.430691189087057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46080</v>
      </c>
      <c r="E169" t="inlineStr">
        <is>
          <t>10Y</t>
        </is>
      </c>
      <c r="F169" t="n">
        <v>7.744456006400569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0.296351858418852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46080</v>
      </c>
      <c r="E174" t="inlineStr">
        <is>
          <t>1Y</t>
        </is>
      </c>
      <c r="F174" t="n">
        <v>-3.231816508079044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5.549116508079033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46080</v>
      </c>
      <c r="E175" t="inlineStr">
        <is>
          <t>3Y</t>
        </is>
      </c>
      <c r="F175" t="n">
        <v>4.628447639928512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-3.842120248571224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46080</v>
      </c>
      <c r="E176" t="inlineStr">
        <is>
          <t>5Y</t>
        </is>
      </c>
      <c r="F176" t="n">
        <v>5.351221869807543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5.226365816714451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46080</v>
      </c>
      <c r="E181" t="inlineStr">
        <is>
          <t>1Y</t>
        </is>
      </c>
      <c r="F181" t="n">
        <v>29.09850461146601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-24.20288261146601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46080</v>
      </c>
      <c r="E182" t="inlineStr">
        <is>
          <t>3Y</t>
        </is>
      </c>
      <c r="F182" t="n">
        <v>20.62746405336464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-16.53013951236322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46080</v>
      </c>
      <c r="E183" t="inlineStr">
        <is>
          <t>5Y</t>
        </is>
      </c>
      <c r="F183" t="n">
        <v>10.51299845445401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-0.0532680976798261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46080</v>
      </c>
      <c r="E184" t="inlineStr">
        <is>
          <t>10Y</t>
        </is>
      </c>
      <c r="F184" t="n">
        <v>8.650030996106395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-2.223414979936611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46080</v>
      </c>
      <c r="E189" t="inlineStr">
        <is>
          <t>1Y</t>
        </is>
      </c>
      <c r="F189" t="n">
        <v>93.32973820178168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-87.01996120178168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46080</v>
      </c>
      <c r="E190" t="inlineStr">
        <is>
          <t>3Y</t>
        </is>
      </c>
      <c r="F190" t="n">
        <v>33.76016811136844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-32.23299538095474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46080</v>
      </c>
      <c r="E191" t="inlineStr">
        <is>
          <t>5Y</t>
        </is>
      </c>
      <c r="F191" t="n">
        <v>16.58357145590548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-11.82043145606886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46080</v>
      </c>
      <c r="E192" t="inlineStr">
        <is>
          <t>10Y</t>
        </is>
      </c>
      <c r="F192" t="n">
        <v>11.76839822577316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-9.6769797241685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46080</v>
      </c>
      <c r="E193" t="inlineStr">
        <is>
          <t>1Y</t>
        </is>
      </c>
      <c r="F193" t="n">
        <v>93.46974984463286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-87.15997284463286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46080</v>
      </c>
      <c r="E194" t="inlineStr">
        <is>
          <t>3Y</t>
        </is>
      </c>
      <c r="F194" t="n">
        <v>33.02076352567678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-31.49359079526308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46080</v>
      </c>
      <c r="E195" t="inlineStr">
        <is>
          <t>5Y</t>
        </is>
      </c>
      <c r="F195" t="n">
        <v>16.50336786419309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-11.74022786435647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46080</v>
      </c>
      <c r="E196" t="inlineStr">
        <is>
          <t>10Y</t>
        </is>
      </c>
      <c r="F196" t="n">
        <v>10.59627206811971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-8.504853566515049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46080</v>
      </c>
      <c r="E201" t="inlineStr">
        <is>
          <t>1Y</t>
        </is>
      </c>
      <c r="F201" t="n">
        <v>179.5913563286373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-180.4880243286373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46080</v>
      </c>
      <c r="E202" t="inlineStr">
        <is>
          <t>3Y</t>
        </is>
      </c>
      <c r="F202" t="n">
        <v>40.48268663316261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-39.39765111340246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46080</v>
      </c>
      <c r="E203" t="inlineStr">
        <is>
          <t>5Y</t>
        </is>
      </c>
      <c r="F203" t="n">
        <v>13.19412087204308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-11.91873107868595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46080</v>
      </c>
      <c r="E204" t="inlineStr">
        <is>
          <t>10Y</t>
        </is>
      </c>
      <c r="F204" t="n">
        <v>15.06747211802062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-13.16420822308773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46080</v>
      </c>
      <c r="E209" t="inlineStr">
        <is>
          <t>1Y</t>
        </is>
      </c>
      <c r="F209" t="n">
        <v>60.6840793332333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-51.0490443332333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46080</v>
      </c>
      <c r="E210" t="inlineStr">
        <is>
          <t>3Y</t>
        </is>
      </c>
      <c r="F210" t="n">
        <v>32.73756539897341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-23.47520638040885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46080</v>
      </c>
      <c r="E211" t="inlineStr">
        <is>
          <t>5Y</t>
        </is>
      </c>
      <c r="F211" t="n">
        <v>19.99655761577566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-12.0219730003108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46080</v>
      </c>
      <c r="E212" t="inlineStr">
        <is>
          <t>10Y</t>
        </is>
      </c>
      <c r="F212" t="n">
        <v>12.97504085811529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-8.374818532508943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46080</v>
      </c>
      <c r="E217" t="inlineStr">
        <is>
          <t>1Y</t>
        </is>
      </c>
      <c r="F217" t="n">
        <v>31.54368029075016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-21.83661629075015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46080</v>
      </c>
      <c r="E218" t="inlineStr">
        <is>
          <t>3Y</t>
        </is>
      </c>
      <c r="F218" t="n">
        <v>18.22213582477834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-13.4011201329201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46080</v>
      </c>
      <c r="E219" t="inlineStr">
        <is>
          <t>5Y</t>
        </is>
      </c>
      <c r="F219" t="n">
        <v>8.89604844959997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-4.891802229305299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46080</v>
      </c>
      <c r="E220" t="inlineStr">
        <is>
          <t>10Y</t>
        </is>
      </c>
      <c r="F220" t="n">
        <v>10.738845648891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-7.920472090760788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46080</v>
      </c>
      <c r="E225" t="inlineStr">
        <is>
          <t>1Y</t>
        </is>
      </c>
      <c r="F225" t="n">
        <v>26.03264689459004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-19.15604989459003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46080</v>
      </c>
      <c r="E226" t="inlineStr">
        <is>
          <t>3Y</t>
        </is>
      </c>
      <c r="F226" t="n">
        <v>15.10522749132315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-8.539148201505121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46080</v>
      </c>
      <c r="E227" t="inlineStr">
        <is>
          <t>5Y</t>
        </is>
      </c>
      <c r="F227" t="n">
        <v>9.830007537681107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-3.603264927450822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46080</v>
      </c>
      <c r="E228" t="inlineStr">
        <is>
          <t>10Y</t>
        </is>
      </c>
      <c r="F228" t="n">
        <v>-23.81044632679553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27.56121511847344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46080</v>
      </c>
      <c r="E229" t="inlineStr">
        <is>
          <t>1Y</t>
        </is>
      </c>
      <c r="F229" t="n">
        <v>28.35905012925934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-21.48245312925934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46080</v>
      </c>
      <c r="E230" t="inlineStr">
        <is>
          <t>3Y</t>
        </is>
      </c>
      <c r="F230" t="n">
        <v>15.65190130220333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-9.085822012385304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46080</v>
      </c>
      <c r="E231" t="inlineStr">
        <is>
          <t>5Y</t>
        </is>
      </c>
      <c r="F231" t="n">
        <v>-47.06264443661428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53.28938704684457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46080</v>
      </c>
      <c r="E232" t="inlineStr">
        <is>
          <t>10Y</t>
        </is>
      </c>
      <c r="F232" t="n">
        <v>5.748820751484374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-1.998051959806468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EWL</t>
        </is>
      </c>
      <c r="D233" s="2" t="n">
        <v>46080</v>
      </c>
      <c r="E233" t="inlineStr">
        <is>
          <t>1Y</t>
        </is>
      </c>
      <c r="F233" t="n">
        <v>29.18064266497657</v>
      </c>
      <c r="G233" t="n">
        <v>0.9460000000000024</v>
      </c>
      <c r="H233" t="n">
        <v>1.031491999999989</v>
      </c>
      <c r="I233" t="n">
        <v>6.876597000000007</v>
      </c>
      <c r="J233" t="n">
        <v>5.785428671851567</v>
      </c>
      <c r="K233" t="n">
        <v>14.61056742277083</v>
      </c>
      <c r="L233" t="n">
        <v>0.1419999999999977</v>
      </c>
      <c r="M233" t="n">
        <v>2.715000000000001</v>
      </c>
      <c r="N233" t="n">
        <v>-2.573000000000003</v>
      </c>
      <c r="O233" t="n">
        <v>-22.30404566497657</v>
      </c>
      <c r="P233" t="inlineStr">
        <is>
          <t>Switzerland|EWL|1Y</t>
        </is>
      </c>
      <c r="Q233" t="inlineStr">
        <is>
          <t>Switzerland|1Y</t>
        </is>
      </c>
      <c r="R233" t="inlineStr">
        <is>
          <t>USD</t>
        </is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EWL</t>
        </is>
      </c>
      <c r="D234" s="2" t="n">
        <v>46080</v>
      </c>
      <c r="E234" t="inlineStr">
        <is>
          <t>3Y</t>
        </is>
      </c>
      <c r="F234" t="n">
        <v>16.20469667418995</v>
      </c>
      <c r="G234" t="n">
        <v>1.014998373451514</v>
      </c>
      <c r="H234" t="n">
        <v>1.79693154984033</v>
      </c>
      <c r="I234" t="n">
        <v>6.566079289818028</v>
      </c>
      <c r="J234" t="n">
        <v>4.684962106572099</v>
      </c>
      <c r="K234" t="n">
        <v>5.263734642195783</v>
      </c>
      <c r="L234" t="n">
        <v>1.109054521385811</v>
      </c>
      <c r="M234" t="n">
        <v>3.263156230678832</v>
      </c>
      <c r="N234" t="n">
        <v>-2.154101709293021</v>
      </c>
      <c r="O234" t="n">
        <v>-9.638617384371926</v>
      </c>
      <c r="P234" t="inlineStr">
        <is>
          <t>Switzerland|EWL|3Y</t>
        </is>
      </c>
      <c r="Q234" t="inlineStr">
        <is>
          <t>Switzerland|3Y</t>
        </is>
      </c>
      <c r="R234" t="inlineStr">
        <is>
          <t>USD</t>
        </is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EWL</t>
        </is>
      </c>
      <c r="D235" s="2" t="n">
        <v>46080</v>
      </c>
      <c r="E235" t="inlineStr">
        <is>
          <t>5Y</t>
        </is>
      </c>
      <c r="F235" t="n">
        <v>10.70217973308547</v>
      </c>
      <c r="G235" t="n">
        <v>2.332607250104335</v>
      </c>
      <c r="H235" t="n">
        <v>3.695225959222448</v>
      </c>
      <c r="I235" t="n">
        <v>6.226742610230285</v>
      </c>
      <c r="J235" t="n">
        <v>2.441304850727843</v>
      </c>
      <c r="K235" t="n">
        <v>2.545502567937263</v>
      </c>
      <c r="L235" t="n">
        <v>1.345925338791432</v>
      </c>
      <c r="M235" t="n">
        <v>4.476417270751631</v>
      </c>
      <c r="N235" t="n">
        <v>-3.1304919319602</v>
      </c>
      <c r="O235" t="n">
        <v>-4.475437122855186</v>
      </c>
      <c r="P235" t="inlineStr">
        <is>
          <t>Switzerland|EWL|5Y</t>
        </is>
      </c>
      <c r="Q235" t="inlineStr">
        <is>
          <t>Switzerland|5Y</t>
        </is>
      </c>
      <c r="R235" t="inlineStr">
        <is>
          <t>USD</t>
        </is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EWL</t>
        </is>
      </c>
      <c r="D236" s="2" t="n">
        <v>46080</v>
      </c>
      <c r="E236" t="inlineStr">
        <is>
          <t>10Y</t>
        </is>
      </c>
      <c r="F236" t="n">
        <v>10.88469377840102</v>
      </c>
      <c r="G236" t="n">
        <v>1.682160098409158</v>
      </c>
      <c r="H236" t="n">
        <v>2.25487036017904</v>
      </c>
      <c r="I236" t="n">
        <v>3.750768791677905</v>
      </c>
      <c r="J236" t="n">
        <v>1.46291159328249</v>
      </c>
      <c r="K236" t="n">
        <v>2.372866740815294</v>
      </c>
      <c r="L236" t="n">
        <v>0.7376811243145376</v>
      </c>
      <c r="M236" t="n">
        <v>3.119152472830278</v>
      </c>
      <c r="N236" t="n">
        <v>-2.38147134851574</v>
      </c>
      <c r="O236" t="n">
        <v>-7.133924986723117</v>
      </c>
      <c r="P236" t="inlineStr">
        <is>
          <t>Switzerland|EWL|10Y</t>
        </is>
      </c>
      <c r="Q236" t="inlineStr">
        <is>
          <t>Switzerland|10Y</t>
        </is>
      </c>
      <c r="R236" t="inlineStr">
        <is>
          <t>USD</t>
        </is>
      </c>
    </row>
    <row r="237">
      <c r="A237" t="inlineStr">
        <is>
          <t>Taiwan</t>
        </is>
      </c>
      <c r="B237" t="inlineStr">
        <is>
          <t>TWN</t>
        </is>
      </c>
      <c r="C237" t="inlineStr"/>
      <c r="D237" s="2" t="n">
        <v>46022</v>
      </c>
      <c r="E237" t="inlineStr">
        <is>
          <t>1Y</t>
        </is>
      </c>
      <c r="F237" t="inlineStr"/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inlineStr"/>
      <c r="P237" t="inlineStr">
        <is>
          <t>Taiwan||1Y</t>
        </is>
      </c>
      <c r="Q237" t="inlineStr">
        <is>
          <t>Taiwan|1Y</t>
        </is>
      </c>
      <c r="R237" t="inlineStr"/>
    </row>
    <row r="238">
      <c r="A238" t="inlineStr">
        <is>
          <t>Taiwan</t>
        </is>
      </c>
      <c r="B238" t="inlineStr">
        <is>
          <t>TWN</t>
        </is>
      </c>
      <c r="C238" t="inlineStr"/>
      <c r="D238" s="2" t="n">
        <v>46022</v>
      </c>
      <c r="E238" t="inlineStr">
        <is>
          <t>3Y</t>
        </is>
      </c>
      <c r="F238" t="inlineStr"/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inlineStr"/>
      <c r="P238" t="inlineStr">
        <is>
          <t>Taiwan||3Y</t>
        </is>
      </c>
      <c r="Q238" t="inlineStr">
        <is>
          <t>Taiwan|3Y</t>
        </is>
      </c>
      <c r="R238" t="inlineStr"/>
    </row>
    <row r="239">
      <c r="A239" t="inlineStr">
        <is>
          <t>Taiwan</t>
        </is>
      </c>
      <c r="B239" t="inlineStr">
        <is>
          <t>TWN</t>
        </is>
      </c>
      <c r="C239" t="inlineStr"/>
      <c r="D239" s="2" t="n">
        <v>46022</v>
      </c>
      <c r="E239" t="inlineStr">
        <is>
          <t>5Y</t>
        </is>
      </c>
      <c r="F239" t="inlineStr"/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inlineStr"/>
      <c r="P239" t="inlineStr">
        <is>
          <t>Taiwan||5Y</t>
        </is>
      </c>
      <c r="Q239" t="inlineStr">
        <is>
          <t>Taiwan|5Y</t>
        </is>
      </c>
      <c r="R239" t="inlineStr"/>
    </row>
    <row r="240">
      <c r="A240" t="inlineStr">
        <is>
          <t>Taiwan</t>
        </is>
      </c>
      <c r="B240" t="inlineStr">
        <is>
          <t>TWN</t>
        </is>
      </c>
      <c r="C240" t="inlineStr"/>
      <c r="D240" s="2" t="n">
        <v>46022</v>
      </c>
      <c r="E240" t="inlineStr">
        <is>
          <t>10Y</t>
        </is>
      </c>
      <c r="F240" t="inlineStr"/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inlineStr"/>
      <c r="P240" t="inlineStr">
        <is>
          <t>Taiwan||10Y</t>
        </is>
      </c>
      <c r="Q240" t="inlineStr">
        <is>
          <t>Taiwan|10Y</t>
        </is>
      </c>
      <c r="R240" t="inlineStr"/>
    </row>
    <row r="241">
      <c r="A241" t="inlineStr">
        <is>
          <t>Taiwan</t>
        </is>
      </c>
      <c r="B241" t="inlineStr">
        <is>
          <t>TWN</t>
        </is>
      </c>
      <c r="C241" t="inlineStr">
        <is>
          <t>XMTW.L</t>
        </is>
      </c>
      <c r="D241" s="2" t="n">
        <v>46080</v>
      </c>
      <c r="E241" t="inlineStr">
        <is>
          <t>1Y</t>
        </is>
      </c>
      <c r="F241" t="n">
        <v>60.38930102026377</v>
      </c>
      <c r="G241" t="n">
        <v>3.673999999999999</v>
      </c>
      <c r="H241" t="n">
        <v>5.468292000000008</v>
      </c>
      <c r="I241" t="n">
        <v>10.96393499999999</v>
      </c>
      <c r="J241" t="n">
        <v>5.210706253215691</v>
      </c>
      <c r="K241" t="n">
        <v>4.783810519335341</v>
      </c>
      <c r="L241" t="n">
        <v>1.730000000000009</v>
      </c>
      <c r="M241" t="n">
        <v>2.715000000000001</v>
      </c>
      <c r="N241" t="n">
        <v>-0.9849999999999914</v>
      </c>
      <c r="O241" t="n">
        <v>-49.42536602026377</v>
      </c>
      <c r="P241" t="inlineStr">
        <is>
          <t>Taiwan|XMTW.L|1Y</t>
        </is>
      </c>
      <c r="Q241" t="inlineStr">
        <is>
          <t>Taiwan|1Y</t>
        </is>
      </c>
      <c r="R241" t="inlineStr">
        <is>
          <t>GBp</t>
        </is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s="2" t="n">
        <v>46080</v>
      </c>
      <c r="E242" t="inlineStr">
        <is>
          <t>3Y</t>
        </is>
      </c>
      <c r="F242" t="n">
        <v>31.46105255267011</v>
      </c>
      <c r="G242" t="n">
        <v>3.199286997583917</v>
      </c>
      <c r="H242" t="n">
        <v>5.756142806055453</v>
      </c>
      <c r="I242" t="n">
        <v>4.924185071867271</v>
      </c>
      <c r="J242" t="n">
        <v>-0.7866758783641514</v>
      </c>
      <c r="K242" t="n">
        <v>-0.703147389105141</v>
      </c>
      <c r="L242" t="n">
        <v>2.133854026342386</v>
      </c>
      <c r="M242" t="n">
        <v>3.263156230678832</v>
      </c>
      <c r="N242" t="n">
        <v>-1.129302204336446</v>
      </c>
      <c r="O242" t="n">
        <v>-26.53686748080284</v>
      </c>
      <c r="P242" t="inlineStr">
        <is>
          <t>Taiwan|XMTW.L|3Y</t>
        </is>
      </c>
      <c r="Q242" t="inlineStr">
        <is>
          <t>Taiwan|3Y</t>
        </is>
      </c>
      <c r="R242" t="inlineStr">
        <is>
          <t>GBp</t>
        </is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s="2" t="n">
        <v>46080</v>
      </c>
      <c r="E243" t="inlineStr">
        <is>
          <t>5Y</t>
        </is>
      </c>
      <c r="F243" t="n">
        <v>15.67341853780546</v>
      </c>
      <c r="G243" t="n">
        <v>3.790053779043401</v>
      </c>
      <c r="H243" t="n">
        <v>6.154652973093233</v>
      </c>
      <c r="I243" t="n">
        <v>5.494197356395891</v>
      </c>
      <c r="J243" t="n">
        <v>-0.6221636968846589</v>
      </c>
      <c r="K243" t="n">
        <v>-2.150903326260079</v>
      </c>
      <c r="L243" t="n">
        <v>2.263324437219949</v>
      </c>
      <c r="M243" t="n">
        <v>4.476417270751631</v>
      </c>
      <c r="N243" t="n">
        <v>-2.213092833531682</v>
      </c>
      <c r="O243" t="n">
        <v>-10.17922118140957</v>
      </c>
      <c r="P243" t="inlineStr">
        <is>
          <t>Taiwan|XMTW.L|5Y</t>
        </is>
      </c>
      <c r="Q243" t="inlineStr">
        <is>
          <t>Taiwan|5Y</t>
        </is>
      </c>
      <c r="R243" t="inlineStr">
        <is>
          <t>GBp</t>
        </is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s="2" t="n">
        <v>46080</v>
      </c>
      <c r="E244" t="inlineStr">
        <is>
          <t>10Y</t>
        </is>
      </c>
      <c r="F244" t="n">
        <v>17.83196603878963</v>
      </c>
      <c r="G244" t="n">
        <v>3.414407627179994</v>
      </c>
      <c r="H244" t="n">
        <v>4.698072696184274</v>
      </c>
      <c r="I244" t="n">
        <v>5.164278093211339</v>
      </c>
      <c r="J244" t="n">
        <v>0.4452856452293874</v>
      </c>
      <c r="K244" t="n">
        <v>0.2412670360182334</v>
      </c>
      <c r="L244" t="n">
        <v>1.496491490317919</v>
      </c>
      <c r="M244" t="n">
        <v>3.119152472830278</v>
      </c>
      <c r="N244" t="n">
        <v>-1.622660982512358</v>
      </c>
      <c r="O244" t="n">
        <v>-12.66768794557829</v>
      </c>
      <c r="P244" t="inlineStr">
        <is>
          <t>Taiwan|XMTW.L|10Y</t>
        </is>
      </c>
      <c r="Q244" t="inlineStr">
        <is>
          <t>Taiwan|10Y</t>
        </is>
      </c>
      <c r="R244" t="inlineStr">
        <is>
          <t>GBp</t>
        </is>
      </c>
    </row>
    <row r="245">
      <c r="A245" t="inlineStr">
        <is>
          <t>Thailand</t>
        </is>
      </c>
      <c r="B245" t="inlineStr">
        <is>
          <t>THA</t>
        </is>
      </c>
      <c r="C245" t="inlineStr"/>
      <c r="D245" s="2" t="n">
        <v>46022</v>
      </c>
      <c r="E245" t="inlineStr">
        <is>
          <t>1Y</t>
        </is>
      </c>
      <c r="F245" t="inlineStr"/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inlineStr"/>
      <c r="P245" t="inlineStr">
        <is>
          <t>Thailand||1Y</t>
        </is>
      </c>
      <c r="Q245" t="inlineStr">
        <is>
          <t>Thailand|1Y</t>
        </is>
      </c>
      <c r="R245" t="inlineStr"/>
    </row>
    <row r="246">
      <c r="A246" t="inlineStr">
        <is>
          <t>Thailand</t>
        </is>
      </c>
      <c r="B246" t="inlineStr">
        <is>
          <t>THA</t>
        </is>
      </c>
      <c r="C246" t="inlineStr"/>
      <c r="D246" s="2" t="n">
        <v>46022</v>
      </c>
      <c r="E246" t="inlineStr">
        <is>
          <t>3Y</t>
        </is>
      </c>
      <c r="F246" t="inlineStr"/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inlineStr"/>
      <c r="P246" t="inlineStr">
        <is>
          <t>Thailand||3Y</t>
        </is>
      </c>
      <c r="Q246" t="inlineStr">
        <is>
          <t>Thailand|3Y</t>
        </is>
      </c>
      <c r="R246" t="inlineStr"/>
    </row>
    <row r="247">
      <c r="A247" t="inlineStr">
        <is>
          <t>Thailand</t>
        </is>
      </c>
      <c r="B247" t="inlineStr">
        <is>
          <t>THA</t>
        </is>
      </c>
      <c r="C247" t="inlineStr"/>
      <c r="D247" s="2" t="n">
        <v>46022</v>
      </c>
      <c r="E247" t="inlineStr">
        <is>
          <t>5Y</t>
        </is>
      </c>
      <c r="F247" t="inlineStr"/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inlineStr"/>
      <c r="P247" t="inlineStr">
        <is>
          <t>Thailand||5Y</t>
        </is>
      </c>
      <c r="Q247" t="inlineStr">
        <is>
          <t>Thailand|5Y</t>
        </is>
      </c>
      <c r="R247" t="inlineStr"/>
    </row>
    <row r="248">
      <c r="A248" t="inlineStr">
        <is>
          <t>Thailand</t>
        </is>
      </c>
      <c r="B248" t="inlineStr">
        <is>
          <t>THA</t>
        </is>
      </c>
      <c r="C248" t="inlineStr"/>
      <c r="D248" s="2" t="n">
        <v>46022</v>
      </c>
      <c r="E248" t="inlineStr">
        <is>
          <t>10Y</t>
        </is>
      </c>
      <c r="F248" t="inlineStr"/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inlineStr"/>
      <c r="P248" t="inlineStr">
        <is>
          <t>Thailand||10Y</t>
        </is>
      </c>
      <c r="Q248" t="inlineStr">
        <is>
          <t>Thailand|10Y</t>
        </is>
      </c>
      <c r="R248" t="inlineStr"/>
    </row>
    <row r="249">
      <c r="A249" t="inlineStr">
        <is>
          <t>Thailand</t>
        </is>
      </c>
      <c r="B249" t="inlineStr">
        <is>
          <t>THA</t>
        </is>
      </c>
      <c r="C249" t="inlineStr">
        <is>
          <t>XCX4.L</t>
        </is>
      </c>
      <c r="D249" s="2" t="n">
        <v>46080</v>
      </c>
      <c r="E249" t="inlineStr">
        <is>
          <t>1Y</t>
        </is>
      </c>
      <c r="F249" t="n">
        <v>52.00766434779482</v>
      </c>
      <c r="G249" t="n">
        <v>2.000000000000002</v>
      </c>
      <c r="H249" t="n">
        <v>2.200039000000009</v>
      </c>
      <c r="I249" t="n">
        <v>6.088110999999996</v>
      </c>
      <c r="J249" t="n">
        <v>3.804374281499756</v>
      </c>
      <c r="K249" t="n">
        <v>8.857154955965708</v>
      </c>
      <c r="L249" t="n">
        <v>0.1530000000000031</v>
      </c>
      <c r="M249" t="n">
        <v>2.715000000000001</v>
      </c>
      <c r="N249" t="n">
        <v>-2.561999999999998</v>
      </c>
      <c r="O249" t="n">
        <v>-45.91955334779482</v>
      </c>
      <c r="P249" t="inlineStr">
        <is>
          <t>Thailand|XCX4.L|1Y</t>
        </is>
      </c>
      <c r="Q249" t="inlineStr">
        <is>
          <t>Thailand|1Y</t>
        </is>
      </c>
      <c r="R249" t="inlineStr">
        <is>
          <t>GBp</t>
        </is>
      </c>
    </row>
    <row r="250">
      <c r="A250" t="inlineStr">
        <is>
          <t>Thailand</t>
        </is>
      </c>
      <c r="B250" t="inlineStr">
        <is>
          <t>THA</t>
        </is>
      </c>
      <c r="C250" t="inlineStr">
        <is>
          <t>XCX4.L</t>
        </is>
      </c>
      <c r="D250" s="2" t="n">
        <v>46080</v>
      </c>
      <c r="E250" t="inlineStr">
        <is>
          <t>3Y</t>
        </is>
      </c>
      <c r="F250" t="n">
        <v>7.983873617920856</v>
      </c>
      <c r="G250" t="n">
        <v>2.182688480328676</v>
      </c>
      <c r="H250" t="n">
        <v>3.003779255805794</v>
      </c>
      <c r="I250" t="n">
        <v>4.06461227936048</v>
      </c>
      <c r="J250" t="n">
        <v>1.02989682499437</v>
      </c>
      <c r="K250" t="n">
        <v>3.022041696769251</v>
      </c>
      <c r="L250" t="n">
        <v>0.592281175698206</v>
      </c>
      <c r="M250" t="n">
        <v>3.263156230678832</v>
      </c>
      <c r="N250" t="n">
        <v>-2.670875054980626</v>
      </c>
      <c r="O250" t="n">
        <v>-3.919261338560376</v>
      </c>
      <c r="P250" t="inlineStr">
        <is>
          <t>Thailand|XCX4.L|3Y</t>
        </is>
      </c>
      <c r="Q250" t="inlineStr">
        <is>
          <t>Thailand|3Y</t>
        </is>
      </c>
      <c r="R250" t="inlineStr">
        <is>
          <t>GBp</t>
        </is>
      </c>
    </row>
    <row r="251">
      <c r="A251" t="inlineStr">
        <is>
          <t>Thailand</t>
        </is>
      </c>
      <c r="B251" t="inlineStr">
        <is>
          <t>THA</t>
        </is>
      </c>
      <c r="C251" t="inlineStr">
        <is>
          <t>XCX4.L</t>
        </is>
      </c>
      <c r="D251" s="2" t="n">
        <v>46080</v>
      </c>
      <c r="E251" t="inlineStr">
        <is>
          <t>5Y</t>
        </is>
      </c>
      <c r="F251" t="n">
        <v>4.865303981793212</v>
      </c>
      <c r="G251" t="n">
        <v>2.142824827726608</v>
      </c>
      <c r="H251" t="n">
        <v>3.93129222977171</v>
      </c>
      <c r="I251" t="n">
        <v>2.221386476761178</v>
      </c>
      <c r="J251" t="n">
        <v>-1.645227450314057</v>
      </c>
      <c r="K251" t="n">
        <v>-1.036501738602258</v>
      </c>
      <c r="L251" t="n">
        <v>1.794643676338215</v>
      </c>
      <c r="M251" t="n">
        <v>4.476417270751631</v>
      </c>
      <c r="N251" t="n">
        <v>-2.681773594413417</v>
      </c>
      <c r="O251" t="n">
        <v>-2.643917505032034</v>
      </c>
      <c r="P251" t="inlineStr">
        <is>
          <t>Thailand|XCX4.L|5Y</t>
        </is>
      </c>
      <c r="Q251" t="inlineStr">
        <is>
          <t>Thailand|5Y</t>
        </is>
      </c>
      <c r="R251" t="inlineStr">
        <is>
          <t>GBp</t>
        </is>
      </c>
    </row>
    <row r="252">
      <c r="A252" t="inlineStr">
        <is>
          <t>Thailand</t>
        </is>
      </c>
      <c r="B252" t="inlineStr">
        <is>
          <t>THA</t>
        </is>
      </c>
      <c r="C252" t="inlineStr">
        <is>
          <t>XCX4.L</t>
        </is>
      </c>
      <c r="D252" s="2" t="n">
        <v>46080</v>
      </c>
      <c r="E252" t="inlineStr">
        <is>
          <t>10Y</t>
        </is>
      </c>
      <c r="F252" t="n">
        <v>4.700370935832643</v>
      </c>
      <c r="G252" t="n">
        <v>1.822387316345764</v>
      </c>
      <c r="H252" t="n">
        <v>3.287139139093043</v>
      </c>
      <c r="I252" t="n">
        <v>3.362144523071686</v>
      </c>
      <c r="J252" t="n">
        <v>0.07261820181074796</v>
      </c>
      <c r="K252" t="n">
        <v>1.180082851420816</v>
      </c>
      <c r="L252" t="n">
        <v>1.071353436101807</v>
      </c>
      <c r="M252" t="n">
        <v>3.119152472830278</v>
      </c>
      <c r="N252" t="n">
        <v>-2.04779903672847</v>
      </c>
      <c r="O252" t="n">
        <v>-1.338226412760957</v>
      </c>
      <c r="P252" t="inlineStr">
        <is>
          <t>Thailand|XCX4.L|10Y</t>
        </is>
      </c>
      <c r="Q252" t="inlineStr">
        <is>
          <t>Thailand|10Y</t>
        </is>
      </c>
      <c r="R252" t="inlineStr">
        <is>
          <t>GBp</t>
        </is>
      </c>
    </row>
    <row r="253">
      <c r="A253" t="inlineStr">
        <is>
          <t>Turkey</t>
        </is>
      </c>
      <c r="B253" t="inlineStr">
        <is>
          <t>TUR</t>
        </is>
      </c>
      <c r="C253" t="inlineStr"/>
      <c r="D253" s="2" t="n">
        <v>46022</v>
      </c>
      <c r="E253" t="inlineStr">
        <is>
          <t>1Y</t>
        </is>
      </c>
      <c r="F253" t="inlineStr"/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inlineStr"/>
      <c r="P253" t="inlineStr">
        <is>
          <t>Turkey||1Y</t>
        </is>
      </c>
      <c r="Q253" t="inlineStr">
        <is>
          <t>Turkey|1Y</t>
        </is>
      </c>
      <c r="R253" t="inlineStr"/>
    </row>
    <row r="254">
      <c r="A254" t="inlineStr">
        <is>
          <t>Turkey</t>
        </is>
      </c>
      <c r="B254" t="inlineStr">
        <is>
          <t>TUR</t>
        </is>
      </c>
      <c r="C254" t="inlineStr"/>
      <c r="D254" s="2" t="n">
        <v>46022</v>
      </c>
      <c r="E254" t="inlineStr">
        <is>
          <t>3Y</t>
        </is>
      </c>
      <c r="F254" t="inlineStr"/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inlineStr"/>
      <c r="P254" t="inlineStr">
        <is>
          <t>Turkey||3Y</t>
        </is>
      </c>
      <c r="Q254" t="inlineStr">
        <is>
          <t>Turkey|3Y</t>
        </is>
      </c>
      <c r="R254" t="inlineStr"/>
    </row>
    <row r="255">
      <c r="A255" t="inlineStr">
        <is>
          <t>Turkey</t>
        </is>
      </c>
      <c r="B255" t="inlineStr">
        <is>
          <t>TUR</t>
        </is>
      </c>
      <c r="C255" t="inlineStr"/>
      <c r="D255" s="2" t="n">
        <v>46022</v>
      </c>
      <c r="E255" t="inlineStr">
        <is>
          <t>5Y</t>
        </is>
      </c>
      <c r="F255" t="inlineStr"/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inlineStr"/>
      <c r="P255" t="inlineStr">
        <is>
          <t>Turkey||5Y</t>
        </is>
      </c>
      <c r="Q255" t="inlineStr">
        <is>
          <t>Turkey|5Y</t>
        </is>
      </c>
      <c r="R255" t="inlineStr"/>
    </row>
    <row r="256">
      <c r="A256" t="inlineStr">
        <is>
          <t>Turkey</t>
        </is>
      </c>
      <c r="B256" t="inlineStr">
        <is>
          <t>TUR</t>
        </is>
      </c>
      <c r="C256" t="inlineStr"/>
      <c r="D256" s="2" t="n">
        <v>46022</v>
      </c>
      <c r="E256" t="inlineStr">
        <is>
          <t>10Y</t>
        </is>
      </c>
      <c r="F256" t="inlineStr"/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inlineStr"/>
      <c r="P256" t="inlineStr">
        <is>
          <t>Turkey||10Y</t>
        </is>
      </c>
      <c r="Q256" t="inlineStr">
        <is>
          <t>Turkey|10Y</t>
        </is>
      </c>
      <c r="R256" t="inlineStr"/>
    </row>
    <row r="257">
      <c r="A257" t="inlineStr">
        <is>
          <t>Turkey</t>
        </is>
      </c>
      <c r="B257" t="inlineStr">
        <is>
          <t>TUR</t>
        </is>
      </c>
      <c r="C257" t="inlineStr">
        <is>
          <t>TUR</t>
        </is>
      </c>
      <c r="D257" s="2" t="n">
        <v>46080</v>
      </c>
      <c r="E257" t="inlineStr">
        <is>
          <t>1Y</t>
        </is>
      </c>
      <c r="F257" t="n">
        <v>20.6344375631436</v>
      </c>
      <c r="G257" t="n">
        <v>3.493999999999997</v>
      </c>
      <c r="H257" t="n">
        <v>39.45333099999999</v>
      </c>
      <c r="I257" t="n">
        <v>15.25638499999999</v>
      </c>
      <c r="J257" t="n">
        <v>-17.35128607190518</v>
      </c>
      <c r="K257" t="n">
        <v>-17.72339999915662</v>
      </c>
      <c r="L257" t="n">
        <v>34.89</v>
      </c>
      <c r="M257" t="n">
        <v>2.715000000000001</v>
      </c>
      <c r="N257" t="n">
        <v>32.175</v>
      </c>
      <c r="O257" t="n">
        <v>-5.378052563143608</v>
      </c>
      <c r="P257" t="inlineStr">
        <is>
          <t>Turkey|TUR|1Y</t>
        </is>
      </c>
      <c r="Q257" t="inlineStr">
        <is>
          <t>Turkey|1Y</t>
        </is>
      </c>
      <c r="R257" t="inlineStr">
        <is>
          <t>USD</t>
        </is>
      </c>
    </row>
    <row r="258">
      <c r="A258" t="inlineStr">
        <is>
          <t>Turkey</t>
        </is>
      </c>
      <c r="B258" t="inlineStr">
        <is>
          <t>TUR</t>
        </is>
      </c>
      <c r="C258" t="inlineStr">
        <is>
          <t>TUR</t>
        </is>
      </c>
      <c r="D258" s="2" t="n">
        <v>46080</v>
      </c>
      <c r="E258" t="inlineStr">
        <is>
          <t>3Y</t>
        </is>
      </c>
      <c r="F258" t="n">
        <v>7.577937039900218</v>
      </c>
      <c r="G258" t="n">
        <v>3.95280050096356</v>
      </c>
      <c r="H258" t="n">
        <v>59.49173539936783</v>
      </c>
      <c r="I258" t="n">
        <v>19.18087843836862</v>
      </c>
      <c r="J258" t="n">
        <v>-25.27457403819189</v>
      </c>
      <c r="K258" t="n">
        <v>-24.30809848352511</v>
      </c>
      <c r="L258" t="n">
        <v>48.72459290774773</v>
      </c>
      <c r="M258" t="n">
        <v>3.263156230678832</v>
      </c>
      <c r="N258" t="n">
        <v>45.4614366770689</v>
      </c>
      <c r="O258" t="n">
        <v>11.6029413984684</v>
      </c>
      <c r="P258" t="inlineStr">
        <is>
          <t>Turkey|TUR|3Y</t>
        </is>
      </c>
      <c r="Q258" t="inlineStr">
        <is>
          <t>Turkey|3Y</t>
        </is>
      </c>
      <c r="R258" t="inlineStr">
        <is>
          <t>USD</t>
        </is>
      </c>
    </row>
    <row r="259">
      <c r="A259" t="inlineStr">
        <is>
          <t>Turkey</t>
        </is>
      </c>
      <c r="B259" t="inlineStr">
        <is>
          <t>TUR</t>
        </is>
      </c>
      <c r="C259" t="inlineStr">
        <is>
          <t>TUR</t>
        </is>
      </c>
      <c r="D259" s="2" t="n">
        <v>46080</v>
      </c>
      <c r="E259" t="inlineStr">
        <is>
          <t>5Y</t>
        </is>
      </c>
      <c r="F259" t="n">
        <v>12.1261065348228</v>
      </c>
      <c r="G259" t="n">
        <v>5.77926032137992</v>
      </c>
      <c r="H259" t="n">
        <v>64.62899885264861</v>
      </c>
      <c r="I259" t="n">
        <v>16.47249888199764</v>
      </c>
      <c r="J259" t="n">
        <v>-29.25152932308978</v>
      </c>
      <c r="K259" t="n">
        <v>-29.60195263197215</v>
      </c>
      <c r="L259" t="n">
        <v>46.63397124601288</v>
      </c>
      <c r="M259" t="n">
        <v>4.476417270751631</v>
      </c>
      <c r="N259" t="n">
        <v>42.15755397526124</v>
      </c>
      <c r="O259" t="n">
        <v>4.346392347174845</v>
      </c>
      <c r="P259" t="inlineStr">
        <is>
          <t>Turkey|TUR|5Y</t>
        </is>
      </c>
      <c r="Q259" t="inlineStr">
        <is>
          <t>Turkey|5Y</t>
        </is>
      </c>
      <c r="R259" t="inlineStr">
        <is>
          <t>USD</t>
        </is>
      </c>
    </row>
    <row r="260">
      <c r="A260" t="inlineStr">
        <is>
          <t>Turkey</t>
        </is>
      </c>
      <c r="B260" t="inlineStr">
        <is>
          <t>TUR</t>
        </is>
      </c>
      <c r="C260" t="inlineStr">
        <is>
          <t>TUR</t>
        </is>
      </c>
      <c r="D260" s="2" t="n">
        <v>46080</v>
      </c>
      <c r="E260" t="inlineStr">
        <is>
          <t>10Y</t>
        </is>
      </c>
      <c r="F260" t="n">
        <v>3.959976229237139</v>
      </c>
      <c r="G260" t="n">
        <v>4.643244943240665</v>
      </c>
      <c r="H260" t="n">
        <v>38.7337739966562</v>
      </c>
      <c r="I260" t="n">
        <v>6.072382672649201</v>
      </c>
      <c r="J260" t="n">
        <v>-23.5424945946352</v>
      </c>
      <c r="K260" t="n">
        <v>-23.60290197661619</v>
      </c>
      <c r="L260" t="n">
        <v>28.43815342456906</v>
      </c>
      <c r="M260" t="n">
        <v>3.119152472830278</v>
      </c>
      <c r="N260" t="n">
        <v>25.31900095173878</v>
      </c>
      <c r="O260" t="n">
        <v>2.112406443412063</v>
      </c>
      <c r="P260" t="inlineStr">
        <is>
          <t>Turkey|TUR|10Y</t>
        </is>
      </c>
      <c r="Q260" t="inlineStr">
        <is>
          <t>Turkey|10Y</t>
        </is>
      </c>
      <c r="R260" t="inlineStr">
        <is>
          <t>USD</t>
        </is>
      </c>
    </row>
    <row r="261">
      <c r="A261" t="inlineStr">
        <is>
          <t>Turkey</t>
        </is>
      </c>
      <c r="B261" t="inlineStr">
        <is>
          <t>TUR</t>
        </is>
      </c>
      <c r="C261" t="inlineStr">
        <is>
          <t>TURL.L</t>
        </is>
      </c>
      <c r="D261" s="2" t="n">
        <v>46080</v>
      </c>
      <c r="E261" t="inlineStr">
        <is>
          <t>1Y</t>
        </is>
      </c>
      <c r="F261" t="n">
        <v>5.903030978386714</v>
      </c>
      <c r="G261" t="n">
        <v>3.493999999999997</v>
      </c>
      <c r="H261" t="n">
        <v>39.45333099999999</v>
      </c>
      <c r="I261" t="n">
        <v>15.25638499999999</v>
      </c>
      <c r="J261" t="n">
        <v>-17.35128607190518</v>
      </c>
      <c r="K261" t="n">
        <v>-17.72339999915662</v>
      </c>
      <c r="L261" t="n">
        <v>34.89</v>
      </c>
      <c r="M261" t="n">
        <v>2.715000000000001</v>
      </c>
      <c r="N261" t="n">
        <v>32.175</v>
      </c>
      <c r="O261" t="n">
        <v>9.353354021613281</v>
      </c>
      <c r="P261" t="inlineStr">
        <is>
          <t>Turkey|TURL.L|1Y</t>
        </is>
      </c>
      <c r="Q261" t="inlineStr">
        <is>
          <t>Turkey|1Y</t>
        </is>
      </c>
      <c r="R261" t="inlineStr">
        <is>
          <t>GBp</t>
        </is>
      </c>
    </row>
    <row r="262">
      <c r="A262" t="inlineStr">
        <is>
          <t>Turkey</t>
        </is>
      </c>
      <c r="B262" t="inlineStr">
        <is>
          <t>TUR</t>
        </is>
      </c>
      <c r="C262" t="inlineStr">
        <is>
          <t>TURL.L</t>
        </is>
      </c>
      <c r="D262" s="2" t="n">
        <v>46080</v>
      </c>
      <c r="E262" t="inlineStr">
        <is>
          <t>3Y</t>
        </is>
      </c>
      <c r="F262" t="n">
        <v>-2.523087224543952</v>
      </c>
      <c r="G262" t="n">
        <v>3.95280050096356</v>
      </c>
      <c r="H262" t="n">
        <v>59.49173539936783</v>
      </c>
      <c r="I262" t="n">
        <v>19.18087843836862</v>
      </c>
      <c r="J262" t="n">
        <v>-25.27457403819189</v>
      </c>
      <c r="K262" t="n">
        <v>-24.30809848352511</v>
      </c>
      <c r="L262" t="n">
        <v>48.72459290774773</v>
      </c>
      <c r="M262" t="n">
        <v>3.263156230678832</v>
      </c>
      <c r="N262" t="n">
        <v>45.4614366770689</v>
      </c>
      <c r="O262" t="n">
        <v>21.70396566291257</v>
      </c>
      <c r="P262" t="inlineStr">
        <is>
          <t>Turkey|TURL.L|3Y</t>
        </is>
      </c>
      <c r="Q262" t="inlineStr">
        <is>
          <t>Turkey|3Y</t>
        </is>
      </c>
      <c r="R262" t="inlineStr">
        <is>
          <t>GBp</t>
        </is>
      </c>
    </row>
    <row r="263">
      <c r="A263" t="inlineStr">
        <is>
          <t>Turkey</t>
        </is>
      </c>
      <c r="B263" t="inlineStr">
        <is>
          <t>TUR</t>
        </is>
      </c>
      <c r="C263" t="inlineStr">
        <is>
          <t>TURL.L</t>
        </is>
      </c>
      <c r="D263" s="2" t="n">
        <v>46080</v>
      </c>
      <c r="E263" t="inlineStr">
        <is>
          <t>5Y</t>
        </is>
      </c>
      <c r="F263" t="n">
        <v>6.101297315425391</v>
      </c>
      <c r="G263" t="n">
        <v>5.77926032137992</v>
      </c>
      <c r="H263" t="n">
        <v>64.62899885264861</v>
      </c>
      <c r="I263" t="n">
        <v>16.47249888199764</v>
      </c>
      <c r="J263" t="n">
        <v>-29.25152932308978</v>
      </c>
      <c r="K263" t="n">
        <v>-29.60195263197215</v>
      </c>
      <c r="L263" t="n">
        <v>46.63397124601288</v>
      </c>
      <c r="M263" t="n">
        <v>4.476417270751631</v>
      </c>
      <c r="N263" t="n">
        <v>42.15755397526124</v>
      </c>
      <c r="O263" t="n">
        <v>10.37120156657225</v>
      </c>
      <c r="P263" t="inlineStr">
        <is>
          <t>Turkey|TURL.L|5Y</t>
        </is>
      </c>
      <c r="Q263" t="inlineStr">
        <is>
          <t>Turkey|5Y</t>
        </is>
      </c>
      <c r="R263" t="inlineStr">
        <is>
          <t>GBp</t>
        </is>
      </c>
    </row>
    <row r="264">
      <c r="A264" t="inlineStr">
        <is>
          <t>Turkey</t>
        </is>
      </c>
      <c r="B264" t="inlineStr">
        <is>
          <t>TUR</t>
        </is>
      </c>
      <c r="C264" t="inlineStr">
        <is>
          <t>TURL.L</t>
        </is>
      </c>
      <c r="D264" s="2" t="n">
        <v>46080</v>
      </c>
      <c r="E264" t="inlineStr">
        <is>
          <t>10Y</t>
        </is>
      </c>
      <c r="F264" t="n">
        <v>-4.541736591027201</v>
      </c>
      <c r="G264" t="n">
        <v>4.643244943240665</v>
      </c>
      <c r="H264" t="n">
        <v>38.7337739966562</v>
      </c>
      <c r="I264" t="n">
        <v>6.072382672649201</v>
      </c>
      <c r="J264" t="n">
        <v>-23.5424945946352</v>
      </c>
      <c r="K264" t="n">
        <v>-23.60290197661619</v>
      </c>
      <c r="L264" t="n">
        <v>28.43815342456906</v>
      </c>
      <c r="M264" t="n">
        <v>3.119152472830278</v>
      </c>
      <c r="N264" t="n">
        <v>25.31900095173878</v>
      </c>
      <c r="O264" t="n">
        <v>10.6141192636764</v>
      </c>
      <c r="P264" t="inlineStr">
        <is>
          <t>Turkey|TURL.L|10Y</t>
        </is>
      </c>
      <c r="Q264" t="inlineStr">
        <is>
          <t>Turkey|10Y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/>
      <c r="D265" s="2" t="n">
        <v>46022</v>
      </c>
      <c r="E265" t="inlineStr">
        <is>
          <t>1Y</t>
        </is>
      </c>
      <c r="F265" t="inlineStr"/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inlineStr"/>
      <c r="P265" t="inlineStr">
        <is>
          <t>United Kingdom||1Y</t>
        </is>
      </c>
      <c r="Q265" t="inlineStr">
        <is>
          <t>United Kingdom|1Y</t>
        </is>
      </c>
      <c r="R265" t="inlineStr"/>
    </row>
    <row r="266">
      <c r="A266" t="inlineStr">
        <is>
          <t>United Kingdom</t>
        </is>
      </c>
      <c r="B266" t="inlineStr">
        <is>
          <t>GBR</t>
        </is>
      </c>
      <c r="C266" t="inlineStr"/>
      <c r="D266" s="2" t="n">
        <v>46022</v>
      </c>
      <c r="E266" t="inlineStr">
        <is>
          <t>3Y</t>
        </is>
      </c>
      <c r="F266" t="inlineStr"/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inlineStr"/>
      <c r="P266" t="inlineStr">
        <is>
          <t>United Kingdom||3Y</t>
        </is>
      </c>
      <c r="Q266" t="inlineStr">
        <is>
          <t>United Kingdom|3Y</t>
        </is>
      </c>
      <c r="R266" t="inlineStr"/>
    </row>
    <row r="267">
      <c r="A267" t="inlineStr">
        <is>
          <t>United Kingdom</t>
        </is>
      </c>
      <c r="B267" t="inlineStr">
        <is>
          <t>GBR</t>
        </is>
      </c>
      <c r="C267" t="inlineStr"/>
      <c r="D267" s="2" t="n">
        <v>46022</v>
      </c>
      <c r="E267" t="inlineStr">
        <is>
          <t>5Y</t>
        </is>
      </c>
      <c r="F267" t="inlineStr"/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inlineStr"/>
      <c r="P267" t="inlineStr">
        <is>
          <t>United Kingdom||5Y</t>
        </is>
      </c>
      <c r="Q267" t="inlineStr">
        <is>
          <t>United Kingdom|5Y</t>
        </is>
      </c>
      <c r="R267" t="inlineStr"/>
    </row>
    <row r="268">
      <c r="A268" t="inlineStr">
        <is>
          <t>United Kingdom</t>
        </is>
      </c>
      <c r="B268" t="inlineStr">
        <is>
          <t>GBR</t>
        </is>
      </c>
      <c r="C268" t="inlineStr"/>
      <c r="D268" s="2" t="n">
        <v>46022</v>
      </c>
      <c r="E268" t="inlineStr">
        <is>
          <t>10Y</t>
        </is>
      </c>
      <c r="F268" t="inlineStr"/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inlineStr"/>
      <c r="P268" t="inlineStr">
        <is>
          <t>United Kingdom||10Y</t>
        </is>
      </c>
      <c r="Q268" t="inlineStr">
        <is>
          <t>United Kingdom|10Y</t>
        </is>
      </c>
      <c r="R268" t="inlineStr"/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CSUK.L</t>
        </is>
      </c>
      <c r="D269" s="2" t="n">
        <v>46080</v>
      </c>
      <c r="E269" t="inlineStr">
        <is>
          <t>1Y</t>
        </is>
      </c>
      <c r="F269" t="n">
        <v>36.25148287285442</v>
      </c>
      <c r="G269" t="n">
        <v>1.307999999999998</v>
      </c>
      <c r="H269" t="n">
        <v>4.886900999999999</v>
      </c>
      <c r="I269" t="n">
        <v>8.619351999999992</v>
      </c>
      <c r="J269" t="n">
        <v>3.558548457791244</v>
      </c>
      <c r="K269" t="n">
        <v>7.623377354227179</v>
      </c>
      <c r="L269" t="n">
        <v>3.401999999999994</v>
      </c>
      <c r="M269" t="n">
        <v>2.715000000000001</v>
      </c>
      <c r="N269" t="n">
        <v>0.6869999999999932</v>
      </c>
      <c r="O269" t="n">
        <v>-27.63213087285443</v>
      </c>
      <c r="P269" t="inlineStr">
        <is>
          <t>United Kingdom|CSUK.L|1Y</t>
        </is>
      </c>
      <c r="Q269" t="inlineStr">
        <is>
          <t>United Kingdom|1Y</t>
        </is>
      </c>
      <c r="R269" t="inlineStr">
        <is>
          <t>GBp</t>
        </is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CSUK.L</t>
        </is>
      </c>
      <c r="D270" s="2" t="n">
        <v>46080</v>
      </c>
      <c r="E270" t="inlineStr">
        <is>
          <t>3Y</t>
        </is>
      </c>
      <c r="F270" t="n">
        <v>18.38086972021113</v>
      </c>
      <c r="G270" t="n">
        <v>0.934579070475805</v>
      </c>
      <c r="H270" t="n">
        <v>5.779933394896974</v>
      </c>
      <c r="I270" t="n">
        <v>8.197792806603864</v>
      </c>
      <c r="J270" t="n">
        <v>2.285744808393497</v>
      </c>
      <c r="K270" t="n">
        <v>3.591345982133687</v>
      </c>
      <c r="L270" t="n">
        <v>4.391207274119235</v>
      </c>
      <c r="M270" t="n">
        <v>3.263156230678832</v>
      </c>
      <c r="N270" t="n">
        <v>1.128051043440403</v>
      </c>
      <c r="O270" t="n">
        <v>-10.18307691360727</v>
      </c>
      <c r="P270" t="inlineStr">
        <is>
          <t>United Kingdom|CSUK.L|3Y</t>
        </is>
      </c>
      <c r="Q270" t="inlineStr">
        <is>
          <t>United Kingdom|3Y</t>
        </is>
      </c>
      <c r="R270" t="inlineStr">
        <is>
          <t>GBp</t>
        </is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CSUK.L</t>
        </is>
      </c>
      <c r="D271" s="2" t="n">
        <v>46080</v>
      </c>
      <c r="E271" t="inlineStr">
        <is>
          <t>5Y</t>
        </is>
      </c>
      <c r="F271" t="n">
        <v>14.43239211556673</v>
      </c>
      <c r="G271" t="n">
        <v>3.198961574222303</v>
      </c>
      <c r="H271" t="n">
        <v>7.289058230505674</v>
      </c>
      <c r="I271" t="n">
        <v>7.964552917353718</v>
      </c>
      <c r="J271" t="n">
        <v>0.6296024866336847</v>
      </c>
      <c r="K271" t="n">
        <v>-0.2933404216605595</v>
      </c>
      <c r="L271" t="n">
        <v>4.943691833111097</v>
      </c>
      <c r="M271" t="n">
        <v>4.476417270751631</v>
      </c>
      <c r="N271" t="n">
        <v>0.4672745623594654</v>
      </c>
      <c r="O271" t="n">
        <v>-6.46783919821301</v>
      </c>
      <c r="P271" t="inlineStr">
        <is>
          <t>United Kingdom|CSUK.L|5Y</t>
        </is>
      </c>
      <c r="Q271" t="inlineStr">
        <is>
          <t>United Kingdom|5Y</t>
        </is>
      </c>
      <c r="R271" t="inlineStr">
        <is>
          <t>GBp</t>
        </is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CSUK.L</t>
        </is>
      </c>
      <c r="D272" s="2" t="n">
        <v>46080</v>
      </c>
      <c r="E272" t="inlineStr">
        <is>
          <t>10Y</t>
        </is>
      </c>
      <c r="F272" t="n">
        <v>8.109874673124938</v>
      </c>
      <c r="G272" t="n">
        <v>1.248728139241617</v>
      </c>
      <c r="H272" t="n">
        <v>4.549487231423588</v>
      </c>
      <c r="I272" t="n">
        <v>3.060146113533135</v>
      </c>
      <c r="J272" t="n">
        <v>-1.424532290257197</v>
      </c>
      <c r="K272" t="n">
        <v>-0.893195788090595</v>
      </c>
      <c r="L272" t="n">
        <v>3.303667380071795</v>
      </c>
      <c r="M272" t="n">
        <v>3.119152472830278</v>
      </c>
      <c r="N272" t="n">
        <v>0.1845149072415175</v>
      </c>
      <c r="O272" t="n">
        <v>-5.049728559591803</v>
      </c>
      <c r="P272" t="inlineStr">
        <is>
          <t>United Kingdom|CSUK.L|10Y</t>
        </is>
      </c>
      <c r="Q272" t="inlineStr">
        <is>
          <t>United Kingdom|10Y</t>
        </is>
      </c>
      <c r="R272" t="inlineStr">
        <is>
          <t>GBp</t>
        </is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s="2" t="n">
        <v>46080</v>
      </c>
      <c r="E273" t="inlineStr">
        <is>
          <t>1Y</t>
        </is>
      </c>
      <c r="F273" t="n">
        <v>36.6570727613374</v>
      </c>
      <c r="G273" t="n">
        <v>1.307999999999998</v>
      </c>
      <c r="H273" t="n">
        <v>4.886900999999999</v>
      </c>
      <c r="I273" t="n">
        <v>8.619351999999992</v>
      </c>
      <c r="J273" t="n">
        <v>3.558548457791244</v>
      </c>
      <c r="K273" t="n">
        <v>7.623377354227179</v>
      </c>
      <c r="L273" t="n">
        <v>3.401999999999994</v>
      </c>
      <c r="M273" t="n">
        <v>2.715000000000001</v>
      </c>
      <c r="N273" t="n">
        <v>0.6869999999999932</v>
      </c>
      <c r="O273" t="n">
        <v>-28.03772076133741</v>
      </c>
      <c r="P273" t="inlineStr">
        <is>
          <t>United Kingdom|CUKX.L|1Y</t>
        </is>
      </c>
      <c r="Q273" t="inlineStr">
        <is>
          <t>United Kingdom|1Y</t>
        </is>
      </c>
      <c r="R273" t="inlineStr">
        <is>
          <t>GBp</t>
        </is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s="2" t="n">
        <v>46080</v>
      </c>
      <c r="E274" t="inlineStr">
        <is>
          <t>3Y</t>
        </is>
      </c>
      <c r="F274" t="n">
        <v>18.91831345179465</v>
      </c>
      <c r="G274" t="n">
        <v>0.934579070475805</v>
      </c>
      <c r="H274" t="n">
        <v>5.779933394896974</v>
      </c>
      <c r="I274" t="n">
        <v>8.197792806603864</v>
      </c>
      <c r="J274" t="n">
        <v>2.285744808393497</v>
      </c>
      <c r="K274" t="n">
        <v>3.591345982133687</v>
      </c>
      <c r="L274" t="n">
        <v>4.391207274119235</v>
      </c>
      <c r="M274" t="n">
        <v>3.263156230678832</v>
      </c>
      <c r="N274" t="n">
        <v>1.128051043440403</v>
      </c>
      <c r="O274" t="n">
        <v>-10.72052064519078</v>
      </c>
      <c r="P274" t="inlineStr">
        <is>
          <t>United Kingdom|CUKX.L|3Y</t>
        </is>
      </c>
      <c r="Q274" t="inlineStr">
        <is>
          <t>United Kingdom|3Y</t>
        </is>
      </c>
      <c r="R274" t="inlineStr">
        <is>
          <t>GBp</t>
        </is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s="2" t="n">
        <v>46080</v>
      </c>
      <c r="E275" t="inlineStr">
        <is>
          <t>5Y</t>
        </is>
      </c>
      <c r="F275" t="n">
        <v>14.16841104185864</v>
      </c>
      <c r="G275" t="n">
        <v>3.198961574222303</v>
      </c>
      <c r="H275" t="n">
        <v>7.289058230505674</v>
      </c>
      <c r="I275" t="n">
        <v>7.964552917353718</v>
      </c>
      <c r="J275" t="n">
        <v>0.6296024866336847</v>
      </c>
      <c r="K275" t="n">
        <v>-0.2933404216605595</v>
      </c>
      <c r="L275" t="n">
        <v>4.943691833111097</v>
      </c>
      <c r="M275" t="n">
        <v>4.476417270751631</v>
      </c>
      <c r="N275" t="n">
        <v>0.4672745623594654</v>
      </c>
      <c r="O275" t="n">
        <v>-6.203858124504924</v>
      </c>
      <c r="P275" t="inlineStr">
        <is>
          <t>United Kingdom|CUKX.L|5Y</t>
        </is>
      </c>
      <c r="Q275" t="inlineStr">
        <is>
          <t>United Kingdom|5Y</t>
        </is>
      </c>
      <c r="R275" t="inlineStr">
        <is>
          <t>GBp</t>
        </is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s="2" t="n">
        <v>46080</v>
      </c>
      <c r="E276" t="inlineStr">
        <is>
          <t>10Y</t>
        </is>
      </c>
      <c r="F276" t="n">
        <v>8.463242510985625</v>
      </c>
      <c r="G276" t="n">
        <v>1.248728139241617</v>
      </c>
      <c r="H276" t="n">
        <v>4.549487231423588</v>
      </c>
      <c r="I276" t="n">
        <v>3.060146113533135</v>
      </c>
      <c r="J276" t="n">
        <v>-1.424532290257197</v>
      </c>
      <c r="K276" t="n">
        <v>-0.893195788090595</v>
      </c>
      <c r="L276" t="n">
        <v>3.303667380071795</v>
      </c>
      <c r="M276" t="n">
        <v>3.119152472830278</v>
      </c>
      <c r="N276" t="n">
        <v>0.1845149072415175</v>
      </c>
      <c r="O276" t="n">
        <v>-5.403096397452489</v>
      </c>
      <c r="P276" t="inlineStr">
        <is>
          <t>United Kingdom|CUKX.L|10Y</t>
        </is>
      </c>
      <c r="Q276" t="inlineStr">
        <is>
          <t>United Kingdom|10Y</t>
        </is>
      </c>
      <c r="R276" t="inlineStr">
        <is>
          <t>GBp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/>
      <c r="D277" s="2" t="n">
        <v>46022</v>
      </c>
      <c r="E277" t="inlineStr">
        <is>
          <t>1Y</t>
        </is>
      </c>
      <c r="F277" t="inlineStr"/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inlineStr"/>
      <c r="P277" t="inlineStr">
        <is>
          <t>United States||1Y</t>
        </is>
      </c>
      <c r="Q277" t="inlineStr">
        <is>
          <t>United States|1Y</t>
        </is>
      </c>
      <c r="R277" t="inlineStr"/>
    </row>
    <row r="278">
      <c r="A278" t="inlineStr">
        <is>
          <t>United States</t>
        </is>
      </c>
      <c r="B278" t="inlineStr">
        <is>
          <t>USA</t>
        </is>
      </c>
      <c r="C278" t="inlineStr"/>
      <c r="D278" s="2" t="n">
        <v>46022</v>
      </c>
      <c r="E278" t="inlineStr">
        <is>
          <t>3Y</t>
        </is>
      </c>
      <c r="F278" t="inlineStr"/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inlineStr"/>
      <c r="P278" t="inlineStr">
        <is>
          <t>United States||3Y</t>
        </is>
      </c>
      <c r="Q278" t="inlineStr">
        <is>
          <t>United States|3Y</t>
        </is>
      </c>
      <c r="R278" t="inlineStr"/>
    </row>
    <row r="279">
      <c r="A279" t="inlineStr">
        <is>
          <t>United States</t>
        </is>
      </c>
      <c r="B279" t="inlineStr">
        <is>
          <t>USA</t>
        </is>
      </c>
      <c r="C279" t="inlineStr"/>
      <c r="D279" s="2" t="n">
        <v>46022</v>
      </c>
      <c r="E279" t="inlineStr">
        <is>
          <t>5Y</t>
        </is>
      </c>
      <c r="F279" t="inlineStr"/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inlineStr"/>
      <c r="P279" t="inlineStr">
        <is>
          <t>United States||5Y</t>
        </is>
      </c>
      <c r="Q279" t="inlineStr">
        <is>
          <t>United States|5Y</t>
        </is>
      </c>
      <c r="R279" t="inlineStr"/>
    </row>
    <row r="280">
      <c r="A280" t="inlineStr">
        <is>
          <t>United States</t>
        </is>
      </c>
      <c r="B280" t="inlineStr">
        <is>
          <t>USA</t>
        </is>
      </c>
      <c r="C280" t="inlineStr"/>
      <c r="D280" s="2" t="n">
        <v>46022</v>
      </c>
      <c r="E280" t="inlineStr">
        <is>
          <t>10Y</t>
        </is>
      </c>
      <c r="F280" t="inlineStr"/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inlineStr"/>
      <c r="P280" t="inlineStr">
        <is>
          <t>United States||10Y</t>
        </is>
      </c>
      <c r="Q280" t="inlineStr">
        <is>
          <t>United States|10Y</t>
        </is>
      </c>
      <c r="R280" t="inlineStr"/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s="2" t="n">
        <v>46080</v>
      </c>
      <c r="E281" t="inlineStr">
        <is>
          <t>1Y</t>
        </is>
      </c>
      <c r="F281" t="n">
        <v>16.50534962338155</v>
      </c>
      <c r="G281" t="n">
        <v>2.017000000000002</v>
      </c>
      <c r="H281" t="n">
        <v>4.497634000000006</v>
      </c>
      <c r="I281" t="n">
        <v>4.497634000000006</v>
      </c>
      <c r="J281" t="n">
        <v>0</v>
      </c>
      <c r="K281" t="n">
        <v>0</v>
      </c>
      <c r="L281" t="n">
        <v>2.715000000000001</v>
      </c>
      <c r="M281" t="n">
        <v>2.715000000000001</v>
      </c>
      <c r="N281" t="n">
        <v>0</v>
      </c>
      <c r="O281" t="n">
        <v>-12.00771562338154</v>
      </c>
      <c r="P281" t="inlineStr">
        <is>
          <t>United States|CSPX.L|1Y</t>
        </is>
      </c>
      <c r="Q281" t="inlineStr">
        <is>
          <t>United States|1Y</t>
        </is>
      </c>
      <c r="R281" t="inlineStr">
        <is>
          <t>USD</t>
        </is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s="2" t="n">
        <v>46080</v>
      </c>
      <c r="E282" t="inlineStr">
        <is>
          <t>3Y</t>
        </is>
      </c>
      <c r="F282" t="n">
        <v>21.33903722587558</v>
      </c>
      <c r="G282" t="n">
        <v>2.580871884428859</v>
      </c>
      <c r="H282" t="n">
        <v>5.524539071077084</v>
      </c>
      <c r="I282" t="n">
        <v>5.524539071077084</v>
      </c>
      <c r="J282" t="n">
        <v>0</v>
      </c>
      <c r="K282" t="n">
        <v>0</v>
      </c>
      <c r="L282" t="n">
        <v>3.263156230678832</v>
      </c>
      <c r="M282" t="n">
        <v>3.263156230678832</v>
      </c>
      <c r="N282" t="n">
        <v>0</v>
      </c>
      <c r="O282" t="n">
        <v>-15.8144981547985</v>
      </c>
      <c r="P282" t="inlineStr">
        <is>
          <t>United States|CSPX.L|3Y</t>
        </is>
      </c>
      <c r="Q282" t="inlineStr">
        <is>
          <t>United States|3Y</t>
        </is>
      </c>
      <c r="R282" t="inlineStr">
        <is>
          <t>USD</t>
        </is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s="2" t="n">
        <v>46080</v>
      </c>
      <c r="E283" t="inlineStr">
        <is>
          <t>5Y</t>
        </is>
      </c>
      <c r="F283" t="n">
        <v>13.6914100046055</v>
      </c>
      <c r="G283" t="n">
        <v>3.273899606073449</v>
      </c>
      <c r="H283" t="n">
        <v>7.450048996640191</v>
      </c>
      <c r="I283" t="n">
        <v>7.450048996640191</v>
      </c>
      <c r="J283" t="n">
        <v>0</v>
      </c>
      <c r="K283" t="n">
        <v>0</v>
      </c>
      <c r="L283" t="n">
        <v>4.476417270751631</v>
      </c>
      <c r="M283" t="n">
        <v>4.476417270751631</v>
      </c>
      <c r="N283" t="n">
        <v>0</v>
      </c>
      <c r="O283" t="n">
        <v>-6.241361007965307</v>
      </c>
      <c r="P283" t="inlineStr">
        <is>
          <t>United States|CSPX.L|5Y</t>
        </is>
      </c>
      <c r="Q283" t="inlineStr">
        <is>
          <t>United States|5Y</t>
        </is>
      </c>
      <c r="R283" t="inlineStr">
        <is>
          <t>USD</t>
        </is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s="2" t="n">
        <v>46080</v>
      </c>
      <c r="E284" t="inlineStr">
        <is>
          <t>10Y</t>
        </is>
      </c>
      <c r="F284" t="n">
        <v>15.0099524249528</v>
      </c>
      <c r="G284" t="n">
        <v>2.399456279066103</v>
      </c>
      <c r="H284" t="n">
        <v>5.283724060684203</v>
      </c>
      <c r="I284" t="n">
        <v>5.283724060684203</v>
      </c>
      <c r="J284" t="n">
        <v>0</v>
      </c>
      <c r="K284" t="n">
        <v>0</v>
      </c>
      <c r="L284" t="n">
        <v>3.119152472830278</v>
      </c>
      <c r="M284" t="n">
        <v>3.119152472830278</v>
      </c>
      <c r="N284" t="n">
        <v>0</v>
      </c>
      <c r="O284" t="n">
        <v>-9.726228364268596</v>
      </c>
      <c r="P284" t="inlineStr">
        <is>
          <t>United States|CSPX.L|10Y</t>
        </is>
      </c>
      <c r="Q284" t="inlineStr">
        <is>
          <t>United States|10Y</t>
        </is>
      </c>
      <c r="R284" t="inlineStr">
        <is>
          <t>USD</t>
        </is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CSUS.L</t>
        </is>
      </c>
      <c r="D285" s="2" t="n">
        <v>46080</v>
      </c>
      <c r="E285" t="inlineStr">
        <is>
          <t>1Y</t>
        </is>
      </c>
      <c r="F285" t="n">
        <v>16.04001499028538</v>
      </c>
      <c r="G285" t="n">
        <v>2.017000000000002</v>
      </c>
      <c r="H285" t="n">
        <v>4.497634000000006</v>
      </c>
      <c r="I285" t="n">
        <v>4.497634000000006</v>
      </c>
      <c r="J285" t="n">
        <v>0</v>
      </c>
      <c r="K285" t="n">
        <v>0</v>
      </c>
      <c r="L285" t="n">
        <v>2.715000000000001</v>
      </c>
      <c r="M285" t="n">
        <v>2.715000000000001</v>
      </c>
      <c r="N285" t="n">
        <v>0</v>
      </c>
      <c r="O285" t="n">
        <v>-11.54238099028537</v>
      </c>
      <c r="P285" t="inlineStr">
        <is>
          <t>United States|CSUS.L|1Y</t>
        </is>
      </c>
      <c r="Q285" t="inlineStr">
        <is>
          <t>United States|1Y</t>
        </is>
      </c>
      <c r="R285" t="inlineStr">
        <is>
          <t>USD</t>
        </is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CSUS.L</t>
        </is>
      </c>
      <c r="D286" s="2" t="n">
        <v>46080</v>
      </c>
      <c r="E286" t="inlineStr">
        <is>
          <t>3Y</t>
        </is>
      </c>
      <c r="F286" t="n">
        <v>21.34624383317087</v>
      </c>
      <c r="G286" t="n">
        <v>2.580871884428859</v>
      </c>
      <c r="H286" t="n">
        <v>5.524539071077084</v>
      </c>
      <c r="I286" t="n">
        <v>5.524539071077084</v>
      </c>
      <c r="J286" t="n">
        <v>0</v>
      </c>
      <c r="K286" t="n">
        <v>0</v>
      </c>
      <c r="L286" t="n">
        <v>3.263156230678832</v>
      </c>
      <c r="M286" t="n">
        <v>3.263156230678832</v>
      </c>
      <c r="N286" t="n">
        <v>0</v>
      </c>
      <c r="O286" t="n">
        <v>-15.82170476209379</v>
      </c>
      <c r="P286" t="inlineStr">
        <is>
          <t>United States|CSUS.L|3Y</t>
        </is>
      </c>
      <c r="Q286" t="inlineStr">
        <is>
          <t>United States|3Y</t>
        </is>
      </c>
      <c r="R286" t="inlineStr">
        <is>
          <t>USD</t>
        </is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CSUS.L</t>
        </is>
      </c>
      <c r="D287" s="2" t="n">
        <v>46080</v>
      </c>
      <c r="E287" t="inlineStr">
        <is>
          <t>5Y</t>
        </is>
      </c>
      <c r="F287" t="n">
        <v>13.04366570706725</v>
      </c>
      <c r="G287" t="n">
        <v>3.273899606073449</v>
      </c>
      <c r="H287" t="n">
        <v>7.450048996640191</v>
      </c>
      <c r="I287" t="n">
        <v>7.450048996640191</v>
      </c>
      <c r="J287" t="n">
        <v>0</v>
      </c>
      <c r="K287" t="n">
        <v>0</v>
      </c>
      <c r="L287" t="n">
        <v>4.476417270751631</v>
      </c>
      <c r="M287" t="n">
        <v>4.476417270751631</v>
      </c>
      <c r="N287" t="n">
        <v>0</v>
      </c>
      <c r="O287" t="n">
        <v>-5.593616710427063</v>
      </c>
      <c r="P287" t="inlineStr">
        <is>
          <t>United States|CSUS.L|5Y</t>
        </is>
      </c>
      <c r="Q287" t="inlineStr">
        <is>
          <t>United States|5Y</t>
        </is>
      </c>
      <c r="R287" t="inlineStr">
        <is>
          <t>USD</t>
        </is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CSUS.L</t>
        </is>
      </c>
      <c r="D288" s="2" t="n">
        <v>46080</v>
      </c>
      <c r="E288" t="inlineStr">
        <is>
          <t>10Y</t>
        </is>
      </c>
      <c r="F288" t="n">
        <v>14.81456480218495</v>
      </c>
      <c r="G288" t="n">
        <v>2.399456279066103</v>
      </c>
      <c r="H288" t="n">
        <v>5.283724060684203</v>
      </c>
      <c r="I288" t="n">
        <v>5.283724060684203</v>
      </c>
      <c r="J288" t="n">
        <v>0</v>
      </c>
      <c r="K288" t="n">
        <v>0</v>
      </c>
      <c r="L288" t="n">
        <v>3.119152472830278</v>
      </c>
      <c r="M288" t="n">
        <v>3.119152472830278</v>
      </c>
      <c r="N288" t="n">
        <v>0</v>
      </c>
      <c r="O288" t="n">
        <v>-9.530840741500747</v>
      </c>
      <c r="P288" t="inlineStr">
        <is>
          <t>United States|CSUS.L|10Y</t>
        </is>
      </c>
      <c r="Q288" t="inlineStr">
        <is>
          <t>United States|10Y</t>
        </is>
      </c>
      <c r="R288" t="inlineStr">
        <is>
          <t>USD</t>
        </is>
      </c>
    </row>
    <row r="289">
      <c r="A289" t="inlineStr">
        <is>
          <t>Vietnam</t>
        </is>
      </c>
      <c r="B289" t="inlineStr">
        <is>
          <t>VNM</t>
        </is>
      </c>
      <c r="C289" t="inlineStr"/>
      <c r="D289" s="2" t="n">
        <v>46022</v>
      </c>
      <c r="E289" t="inlineStr">
        <is>
          <t>1Y</t>
        </is>
      </c>
      <c r="F289" t="inlineStr"/>
      <c r="G289" t="n">
        <v>6.457000000000002</v>
      </c>
      <c r="H289" t="n">
        <v>9.991489999999992</v>
      </c>
      <c r="I289" t="n">
        <v>5.496308999999999</v>
      </c>
      <c r="J289" t="n">
        <v>-4.086844476972007</v>
      </c>
      <c r="K289" t="n">
        <v>-3.099447561440327</v>
      </c>
      <c r="L289" t="n">
        <v>3.401999999999994</v>
      </c>
      <c r="M289" t="n">
        <v>2.715000000000001</v>
      </c>
      <c r="N289" t="n">
        <v>0.6869999999999932</v>
      </c>
      <c r="O289" t="inlineStr"/>
      <c r="P289" t="inlineStr">
        <is>
          <t>Vietnam||1Y</t>
        </is>
      </c>
      <c r="Q289" t="inlineStr">
        <is>
          <t>Vietnam|1Y</t>
        </is>
      </c>
      <c r="R289" t="inlineStr"/>
    </row>
    <row r="290">
      <c r="A290" t="inlineStr">
        <is>
          <t>Vietnam</t>
        </is>
      </c>
      <c r="B290" t="inlineStr">
        <is>
          <t>VNM</t>
        </is>
      </c>
      <c r="C290" t="inlineStr"/>
      <c r="D290" s="2" t="n">
        <v>46022</v>
      </c>
      <c r="E290" t="inlineStr">
        <is>
          <t>3Y</t>
        </is>
      </c>
      <c r="F290" t="inlineStr"/>
      <c r="G290" t="n">
        <v>6.200954667276259</v>
      </c>
      <c r="H290" t="n">
        <v>9.586221664232486</v>
      </c>
      <c r="I290" t="n">
        <v>5.647902927923876</v>
      </c>
      <c r="J290" t="n">
        <v>-3.593807899927282</v>
      </c>
      <c r="K290" t="n">
        <v>-3.526595966874346</v>
      </c>
      <c r="L290" t="n">
        <v>3.426221026956733</v>
      </c>
      <c r="M290" t="n">
        <v>3.263156230678832</v>
      </c>
      <c r="N290" t="n">
        <v>0.1630647962779008</v>
      </c>
      <c r="O290" t="inlineStr"/>
      <c r="P290" t="inlineStr">
        <is>
          <t>Vietnam||3Y</t>
        </is>
      </c>
      <c r="Q290" t="inlineStr">
        <is>
          <t>Vietnam|3Y</t>
        </is>
      </c>
      <c r="R290" t="inlineStr"/>
    </row>
    <row r="291">
      <c r="A291" t="inlineStr">
        <is>
          <t>Vietnam</t>
        </is>
      </c>
      <c r="B291" t="inlineStr">
        <is>
          <t>VNM</t>
        </is>
      </c>
      <c r="C291" t="inlineStr"/>
      <c r="D291" s="2" t="n">
        <v>46022</v>
      </c>
      <c r="E291" t="inlineStr">
        <is>
          <t>5Y</t>
        </is>
      </c>
      <c r="F291" t="inlineStr"/>
      <c r="G291" t="n">
        <v>5.92145460004414</v>
      </c>
      <c r="H291" t="n">
        <v>9.497043660655734</v>
      </c>
      <c r="I291" t="n">
        <v>6.956271913500278</v>
      </c>
      <c r="J291" t="n">
        <v>-2.320402186641246</v>
      </c>
      <c r="K291" t="n">
        <v>-2.582969157664805</v>
      </c>
      <c r="L291" t="n">
        <v>3.052671364630988</v>
      </c>
      <c r="M291" t="n">
        <v>4.476417270751631</v>
      </c>
      <c r="N291" t="n">
        <v>-1.423745906120644</v>
      </c>
      <c r="O291" t="inlineStr"/>
      <c r="P291" t="inlineStr">
        <is>
          <t>Vietnam||5Y</t>
        </is>
      </c>
      <c r="Q291" t="inlineStr">
        <is>
          <t>Vietnam|5Y</t>
        </is>
      </c>
      <c r="R291" t="inlineStr"/>
    </row>
    <row r="292">
      <c r="A292" t="inlineStr">
        <is>
          <t>Vietnam</t>
        </is>
      </c>
      <c r="B292" t="inlineStr">
        <is>
          <t>VNM</t>
        </is>
      </c>
      <c r="C292" t="inlineStr"/>
      <c r="D292" s="2" t="n">
        <v>46022</v>
      </c>
      <c r="E292" t="inlineStr">
        <is>
          <t>10Y</t>
        </is>
      </c>
      <c r="F292" t="inlineStr"/>
      <c r="G292" t="n">
        <v>6.085412813467572</v>
      </c>
      <c r="H292" t="n">
        <v>9.325802594010124</v>
      </c>
      <c r="I292" t="n">
        <v>7.426735577916199</v>
      </c>
      <c r="J292" t="n">
        <v>-1.7370712221633</v>
      </c>
      <c r="K292" t="n">
        <v>-1.687478250702557</v>
      </c>
      <c r="L292" t="n">
        <v>3.101110889575409</v>
      </c>
      <c r="M292" t="n">
        <v>3.119152472830278</v>
      </c>
      <c r="N292" t="n">
        <v>-0.0180415832548686</v>
      </c>
      <c r="O292" t="inlineStr"/>
      <c r="P292" t="inlineStr">
        <is>
          <t>Vietnam||10Y</t>
        </is>
      </c>
      <c r="Q292" t="inlineStr">
        <is>
          <t>Vietnam|10Y</t>
        </is>
      </c>
      <c r="R292" t="inlineStr"/>
    </row>
    <row r="293">
      <c r="A293" t="inlineStr">
        <is>
          <t>Vietnam</t>
        </is>
      </c>
      <c r="B293" t="inlineStr">
        <is>
          <t>VNM</t>
        </is>
      </c>
      <c r="C293" t="inlineStr">
        <is>
          <t>XFVT.L</t>
        </is>
      </c>
      <c r="D293" s="2" t="n">
        <v>46080</v>
      </c>
      <c r="E293" t="inlineStr">
        <is>
          <t>1Y</t>
        </is>
      </c>
      <c r="F293" t="n">
        <v>66.21813732112618</v>
      </c>
      <c r="G293" t="n">
        <v>6.457000000000002</v>
      </c>
      <c r="H293" t="n">
        <v>9.991489999999992</v>
      </c>
      <c r="I293" t="n">
        <v>5.496308999999999</v>
      </c>
      <c r="J293" t="n">
        <v>-4.086844476972007</v>
      </c>
      <c r="K293" t="n">
        <v>-3.099447561440327</v>
      </c>
      <c r="L293" t="n">
        <v>3.401999999999994</v>
      </c>
      <c r="M293" t="n">
        <v>2.715000000000001</v>
      </c>
      <c r="N293" t="n">
        <v>0.6869999999999932</v>
      </c>
      <c r="O293" t="n">
        <v>-60.72182832112618</v>
      </c>
      <c r="P293" t="inlineStr">
        <is>
          <t>Vietnam|XFVT.L|1Y</t>
        </is>
      </c>
      <c r="Q293" t="inlineStr">
        <is>
          <t>Vietnam|1Y</t>
        </is>
      </c>
      <c r="R293" t="inlineStr">
        <is>
          <t>GBp</t>
        </is>
      </c>
    </row>
    <row r="294">
      <c r="A294" t="inlineStr">
        <is>
          <t>Vietnam</t>
        </is>
      </c>
      <c r="B294" t="inlineStr">
        <is>
          <t>VNM</t>
        </is>
      </c>
      <c r="C294" t="inlineStr">
        <is>
          <t>XFVT.L</t>
        </is>
      </c>
      <c r="D294" s="2" t="n">
        <v>46080</v>
      </c>
      <c r="E294" t="inlineStr">
        <is>
          <t>3Y</t>
        </is>
      </c>
      <c r="F294" t="n">
        <v>18.58090826665109</v>
      </c>
      <c r="G294" t="n">
        <v>6.200954667276259</v>
      </c>
      <c r="H294" t="n">
        <v>9.586221664232486</v>
      </c>
      <c r="I294" t="n">
        <v>5.647902927923876</v>
      </c>
      <c r="J294" t="n">
        <v>-3.593807899927282</v>
      </c>
      <c r="K294" t="n">
        <v>-3.526595966874346</v>
      </c>
      <c r="L294" t="n">
        <v>3.426221026956733</v>
      </c>
      <c r="M294" t="n">
        <v>3.263156230678832</v>
      </c>
      <c r="N294" t="n">
        <v>0.1630647962779008</v>
      </c>
      <c r="O294" t="n">
        <v>-12.93300533872721</v>
      </c>
      <c r="P294" t="inlineStr">
        <is>
          <t>Vietnam|XFVT.L|3Y</t>
        </is>
      </c>
      <c r="Q294" t="inlineStr">
        <is>
          <t>Vietnam|3Y</t>
        </is>
      </c>
      <c r="R294" t="inlineStr">
        <is>
          <t>GBp</t>
        </is>
      </c>
    </row>
    <row r="295">
      <c r="A295" t="inlineStr">
        <is>
          <t>Vietnam</t>
        </is>
      </c>
      <c r="B295" t="inlineStr">
        <is>
          <t>VNM</t>
        </is>
      </c>
      <c r="C295" t="inlineStr">
        <is>
          <t>XFVT.L</t>
        </is>
      </c>
      <c r="D295" s="2" t="n">
        <v>46080</v>
      </c>
      <c r="E295" t="inlineStr">
        <is>
          <t>5Y</t>
        </is>
      </c>
      <c r="F295" t="n">
        <v>2.279435053788847</v>
      </c>
      <c r="G295" t="n">
        <v>5.92145460004414</v>
      </c>
      <c r="H295" t="n">
        <v>9.497043660655734</v>
      </c>
      <c r="I295" t="n">
        <v>6.956271913500278</v>
      </c>
      <c r="J295" t="n">
        <v>-2.320402186641246</v>
      </c>
      <c r="K295" t="n">
        <v>-2.582969157664805</v>
      </c>
      <c r="L295" t="n">
        <v>3.052671364630988</v>
      </c>
      <c r="M295" t="n">
        <v>4.476417270751631</v>
      </c>
      <c r="N295" t="n">
        <v>-1.423745906120644</v>
      </c>
      <c r="O295" t="n">
        <v>4.676836859711431</v>
      </c>
      <c r="P295" t="inlineStr">
        <is>
          <t>Vietnam|XFVT.L|5Y</t>
        </is>
      </c>
      <c r="Q295" t="inlineStr">
        <is>
          <t>Vietnam|5Y</t>
        </is>
      </c>
      <c r="R295" t="inlineStr">
        <is>
          <t>GBp</t>
        </is>
      </c>
    </row>
    <row r="296">
      <c r="A296" t="inlineStr">
        <is>
          <t>Vietnam</t>
        </is>
      </c>
      <c r="B296" t="inlineStr">
        <is>
          <t>VNM</t>
        </is>
      </c>
      <c r="C296" t="inlineStr">
        <is>
          <t>XFVT.L</t>
        </is>
      </c>
      <c r="D296" s="2" t="n">
        <v>46080</v>
      </c>
      <c r="E296" t="inlineStr">
        <is>
          <t>10Y</t>
        </is>
      </c>
      <c r="F296" t="n">
        <v>5.550621031345693</v>
      </c>
      <c r="G296" t="n">
        <v>6.085412813467572</v>
      </c>
      <c r="H296" t="n">
        <v>9.325802594010124</v>
      </c>
      <c r="I296" t="n">
        <v>7.426735577916199</v>
      </c>
      <c r="J296" t="n">
        <v>-1.7370712221633</v>
      </c>
      <c r="K296" t="n">
        <v>-1.687478250702557</v>
      </c>
      <c r="L296" t="n">
        <v>3.101110889575409</v>
      </c>
      <c r="M296" t="n">
        <v>3.119152472830278</v>
      </c>
      <c r="N296" t="n">
        <v>-0.0180415832548686</v>
      </c>
      <c r="O296" t="n">
        <v>1.876114546570506</v>
      </c>
      <c r="P296" t="inlineStr">
        <is>
          <t>Vietnam|XFVT.L|10Y</t>
        </is>
      </c>
      <c r="Q296" t="inlineStr">
        <is>
          <t>Vietnam|10Y</t>
        </is>
      </c>
      <c r="R296" t="inlineStr">
        <is>
          <t>GBp</t>
        </is>
      </c>
    </row>
  </sheetData>
  <autoFilter ref="A1:R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EWL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EWL</t>
        </is>
      </c>
      <c r="K15" t="inlineStr">
        <is>
          <t>EWL*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EWN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EWN</t>
        </is>
      </c>
      <c r="K16" t="inlineStr">
        <is>
          <t>EWN*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EWO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EWO</t>
        </is>
      </c>
      <c r="K17" t="inlineStr">
        <is>
          <t>EWO*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EWS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EWS</t>
        </is>
      </c>
      <c r="K18" t="inlineStr">
        <is>
          <t>EWS*</t>
        </is>
      </c>
      <c r="L18" t="inlineStr">
        <is>
          <t>NYSE Arca</t>
        </is>
      </c>
      <c r="M18" t="inlineStr">
        <is>
          <t>USD</t>
        </is>
      </c>
    </row>
    <row r="19">
      <c r="A19" t="inlineStr">
        <is>
          <t>Pakistan</t>
        </is>
      </c>
      <c r="B19" t="inlineStr">
        <is>
          <t>EXS1.DE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EXS1.DE</t>
        </is>
      </c>
      <c r="K19" t="inlineStr">
        <is>
          <t>EXS1.DE</t>
        </is>
      </c>
      <c r="L19" t="inlineStr">
        <is>
          <t>GER</t>
        </is>
      </c>
      <c r="M19" t="inlineStr">
        <is>
          <t>EUR</t>
        </is>
      </c>
    </row>
    <row r="20">
      <c r="A20" t="inlineStr">
        <is>
          <t>Philippines</t>
        </is>
      </c>
      <c r="B20" t="inlineStr">
        <is>
          <t>GREK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GREK</t>
        </is>
      </c>
      <c r="K20" t="inlineStr">
        <is>
          <t>GREK*</t>
        </is>
      </c>
      <c r="L20" t="inlineStr">
        <is>
          <t>NYSE Arca</t>
        </is>
      </c>
      <c r="M20" t="inlineStr">
        <is>
          <t>USD</t>
        </is>
      </c>
    </row>
    <row r="21">
      <c r="A21" t="inlineStr">
        <is>
          <t>Poland</t>
        </is>
      </c>
      <c r="B21" t="inlineStr">
        <is>
          <t>IASH.L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IASH.L</t>
        </is>
      </c>
      <c r="K21" t="inlineStr">
        <is>
          <t>IASH.L</t>
        </is>
      </c>
      <c r="L21" t="inlineStr">
        <is>
          <t>London Stock Exchange</t>
        </is>
      </c>
      <c r="M21" t="inlineStr">
        <is>
          <t>GBp</t>
        </is>
      </c>
    </row>
    <row r="22">
      <c r="A22" t="inlineStr">
        <is>
          <t>Saudi Arabia</t>
        </is>
      </c>
      <c r="B22" t="inlineStr">
        <is>
          <t>IKSA.L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IKSA.L</t>
        </is>
      </c>
      <c r="K22" t="inlineStr">
        <is>
          <t>IKSA.L</t>
        </is>
      </c>
      <c r="L22" t="inlineStr">
        <is>
          <t>London Stock Exchange</t>
        </is>
      </c>
      <c r="M22" t="inlineStr">
        <is>
          <t>USD</t>
        </is>
      </c>
    </row>
    <row r="23">
      <c r="A23" t="inlineStr">
        <is>
          <t>Singapore</t>
        </is>
      </c>
      <c r="B23" t="inlineStr">
        <is>
          <t>INDO.PA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INDO.PA</t>
        </is>
      </c>
      <c r="K23" t="inlineStr">
        <is>
          <t>INDO.PA</t>
        </is>
      </c>
      <c r="L23" t="inlineStr">
        <is>
          <t>PAR</t>
        </is>
      </c>
      <c r="M23" t="inlineStr">
        <is>
          <t>EUR</t>
        </is>
      </c>
    </row>
    <row r="24">
      <c r="A24" t="inlineStr">
        <is>
          <t>South Africa</t>
        </is>
      </c>
      <c r="B24" t="inlineStr">
        <is>
          <t>IPOL.L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IPOL.L</t>
        </is>
      </c>
      <c r="K24" t="inlineStr">
        <is>
          <t>IPOL.L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IRSA.L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IRSA.L</t>
        </is>
      </c>
      <c r="K25" t="inlineStr">
        <is>
          <t>IRSA.L</t>
        </is>
      </c>
      <c r="L25" t="inlineStr">
        <is>
          <t>London Stock Exchange</t>
        </is>
      </c>
      <c r="M25" t="inlineStr">
        <is>
          <t>USD</t>
        </is>
      </c>
    </row>
    <row r="26">
      <c r="A26" t="inlineStr">
        <is>
          <t>Spain</t>
        </is>
      </c>
      <c r="B26" t="inlineStr">
        <is>
          <t>ISFR.L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ISFR.L</t>
        </is>
      </c>
      <c r="K26" t="inlineStr">
        <is>
          <t>ISFR.L</t>
        </is>
      </c>
      <c r="L26" t="inlineStr">
        <is>
          <t>London Stock Exchange</t>
        </is>
      </c>
      <c r="M26" t="inlineStr">
        <is>
          <t>GBp</t>
        </is>
      </c>
    </row>
    <row r="27">
      <c r="A27" t="inlineStr">
        <is>
          <t>Sweden</t>
        </is>
      </c>
      <c r="B27" t="inlineStr">
        <is>
          <t>LYINR.SW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LYINR.SW</t>
        </is>
      </c>
      <c r="K27" t="inlineStr">
        <is>
          <t>LYINR.SW</t>
        </is>
      </c>
      <c r="L27" t="inlineStr">
        <is>
          <t>EBS</t>
        </is>
      </c>
      <c r="M27" t="inlineStr">
        <is>
          <t>USD</t>
        </is>
      </c>
    </row>
    <row r="28">
      <c r="A28" t="inlineStr">
        <is>
          <t>Switzerland</t>
        </is>
      </c>
      <c r="B28" t="inlineStr">
        <is>
          <t>SAUS.L</t>
        </is>
      </c>
      <c r="C28" t="inlineStr">
        <is>
          <t>Switzerland</t>
        </is>
      </c>
      <c r="D28" t="inlineStr">
        <is>
          <t>EWL*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SAUS.L</t>
        </is>
      </c>
      <c r="K28" t="inlineStr">
        <is>
          <t>SAUS.L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SPOL.L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SPOL.L</t>
        </is>
      </c>
      <c r="K29" t="inlineStr">
        <is>
          <t>SPOL.L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SRSA.L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SRSA.L</t>
        </is>
      </c>
      <c r="K30" t="inlineStr">
        <is>
          <t>SRSA.L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TUR</t>
        </is>
      </c>
      <c r="C31" t="inlineStr">
        <is>
          <t>Turkey</t>
        </is>
      </c>
      <c r="D31" t="inlineStr">
        <is>
          <t>TUR*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TUR</t>
        </is>
      </c>
      <c r="K31" t="inlineStr">
        <is>
          <t>TUR*</t>
        </is>
      </c>
      <c r="L31" t="inlineStr">
        <is>
          <t>Nasdaq Global Market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TURL.L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TURL.L</t>
        </is>
      </c>
      <c r="K32" t="inlineStr">
        <is>
          <t>TURL.L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XBAK.L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Switzerland</t>
        </is>
      </c>
      <c r="G33" t="inlineStr">
        <is>
          <t>EWL</t>
        </is>
      </c>
      <c r="H33" t="inlineStr">
        <is>
          <t>EWL*</t>
        </is>
      </c>
      <c r="J33" t="inlineStr">
        <is>
          <t>XBAK.L</t>
        </is>
      </c>
      <c r="K33" t="inlineStr">
        <is>
          <t>XBAK.L</t>
        </is>
      </c>
      <c r="L33" t="inlineStr">
        <is>
          <t>London Stock Exchange</t>
        </is>
      </c>
      <c r="M33" t="inlineStr">
        <is>
          <t>USD</t>
        </is>
      </c>
    </row>
    <row r="34">
      <c r="A34" t="inlineStr">
        <is>
          <t>Vietnam</t>
        </is>
      </c>
      <c r="B34" t="inlineStr">
        <is>
          <t>XCX3.L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Taiwan</t>
        </is>
      </c>
      <c r="G34" t="inlineStr">
        <is>
          <t>XMTW.L</t>
        </is>
      </c>
      <c r="H34" t="inlineStr">
        <is>
          <t>XMTW.L</t>
        </is>
      </c>
      <c r="J34" t="inlineStr">
        <is>
          <t>XCX3.L</t>
        </is>
      </c>
      <c r="K34" t="inlineStr">
        <is>
          <t>XCX3.L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XCX4.L</t>
        </is>
      </c>
      <c r="C35" t="inlineStr"/>
      <c r="D35" t="inlineStr"/>
      <c r="E35" t="inlineStr">
        <is>
          <t>Other</t>
        </is>
      </c>
      <c r="F35" t="inlineStr">
        <is>
          <t>Thailand</t>
        </is>
      </c>
      <c r="G35" t="inlineStr">
        <is>
          <t>XCX4.L</t>
        </is>
      </c>
      <c r="H35" t="inlineStr">
        <is>
          <t>XCX4.L</t>
        </is>
      </c>
      <c r="J35" t="inlineStr">
        <is>
          <t>XCX4.L</t>
        </is>
      </c>
      <c r="K35" t="inlineStr">
        <is>
          <t>XCX4.L</t>
        </is>
      </c>
      <c r="L35" t="inlineStr">
        <is>
          <t>London Stock Exchange</t>
        </is>
      </c>
      <c r="M35" t="inlineStr">
        <is>
          <t>GBp</t>
        </is>
      </c>
    </row>
    <row r="36">
      <c r="A36" t="inlineStr"/>
      <c r="B36" t="inlineStr">
        <is>
          <t>XDAX.L</t>
        </is>
      </c>
      <c r="C36" t="inlineStr"/>
      <c r="D36" t="inlineStr"/>
      <c r="E36" t="inlineStr">
        <is>
          <t>Other</t>
        </is>
      </c>
      <c r="F36" t="inlineStr">
        <is>
          <t>Turkey</t>
        </is>
      </c>
      <c r="G36" t="inlineStr">
        <is>
          <t>TUR</t>
        </is>
      </c>
      <c r="H36" t="inlineStr">
        <is>
          <t>TUR*</t>
        </is>
      </c>
      <c r="J36" t="inlineStr">
        <is>
          <t>XDAX.L</t>
        </is>
      </c>
      <c r="K36" t="inlineStr">
        <is>
          <t>XDAX.L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XESP.DE</t>
        </is>
      </c>
      <c r="C37" t="inlineStr"/>
      <c r="D37" t="inlineStr"/>
      <c r="E37" t="inlineStr">
        <is>
          <t>Other</t>
        </is>
      </c>
      <c r="F37" t="inlineStr">
        <is>
          <t>Turkey</t>
        </is>
      </c>
      <c r="G37" t="inlineStr">
        <is>
          <t>TURL.L</t>
        </is>
      </c>
      <c r="H37" t="inlineStr">
        <is>
          <t>TURL.L</t>
        </is>
      </c>
      <c r="J37" t="inlineStr">
        <is>
          <t>XESP.DE</t>
        </is>
      </c>
      <c r="K37" t="inlineStr">
        <is>
          <t>XESP.DE</t>
        </is>
      </c>
      <c r="L37" t="inlineStr">
        <is>
          <t>GER</t>
        </is>
      </c>
      <c r="M37" t="inlineStr">
        <is>
          <t>EUR</t>
        </is>
      </c>
    </row>
    <row r="38">
      <c r="A38" t="inlineStr"/>
      <c r="B38" t="inlineStr">
        <is>
          <t>XFVT.L</t>
        </is>
      </c>
      <c r="C38" t="inlineStr"/>
      <c r="D38" t="inlineStr"/>
      <c r="E38" t="inlineStr">
        <is>
          <t>Other</t>
        </is>
      </c>
      <c r="F38" t="inlineStr">
        <is>
          <t>United Kingdom</t>
        </is>
      </c>
      <c r="G38" t="inlineStr">
        <is>
          <t>CSUK.L</t>
        </is>
      </c>
      <c r="H38" t="inlineStr">
        <is>
          <t>CSUK.L</t>
        </is>
      </c>
      <c r="J38" t="inlineStr">
        <is>
          <t>XFVT.L</t>
        </is>
      </c>
      <c r="K38" t="inlineStr">
        <is>
          <t>XFVT.L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XMBR.L</t>
        </is>
      </c>
      <c r="C39" t="inlineStr"/>
      <c r="D39" t="inlineStr"/>
      <c r="E39" t="inlineStr">
        <is>
          <t>Other</t>
        </is>
      </c>
      <c r="F39" t="inlineStr">
        <is>
          <t>United Kingdom</t>
        </is>
      </c>
      <c r="G39" t="inlineStr">
        <is>
          <t>CUKX.L</t>
        </is>
      </c>
      <c r="H39" t="inlineStr">
        <is>
          <t>CUKX.L</t>
        </is>
      </c>
      <c r="J39" t="inlineStr">
        <is>
          <t>XMBR.L</t>
        </is>
      </c>
      <c r="K39" t="inlineStr">
        <is>
          <t>XMBR.L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XMEX.L</t>
        </is>
      </c>
      <c r="C40" t="inlineStr"/>
      <c r="D40" t="inlineStr"/>
      <c r="E40" t="inlineStr">
        <is>
          <t>Other</t>
        </is>
      </c>
      <c r="F40" t="inlineStr">
        <is>
          <t>United States</t>
        </is>
      </c>
      <c r="G40" t="inlineStr">
        <is>
          <t>CSPX.L</t>
        </is>
      </c>
      <c r="H40" t="inlineStr">
        <is>
          <t>CSPX.L</t>
        </is>
      </c>
      <c r="J40" t="inlineStr">
        <is>
          <t>XMEX.L</t>
        </is>
      </c>
      <c r="K40" t="inlineStr">
        <is>
          <t>XMEX.L</t>
        </is>
      </c>
      <c r="L40" t="inlineStr">
        <is>
          <t>London Stock Exchange</t>
        </is>
      </c>
      <c r="M40" t="inlineStr">
        <is>
          <t>GBp</t>
        </is>
      </c>
    </row>
    <row r="41">
      <c r="A41" t="inlineStr"/>
      <c r="B41" t="inlineStr">
        <is>
          <t>XMTW.L</t>
        </is>
      </c>
      <c r="C41" t="inlineStr"/>
      <c r="D41" t="inlineStr"/>
      <c r="E41" t="inlineStr">
        <is>
          <t>Other</t>
        </is>
      </c>
      <c r="F41" t="inlineStr">
        <is>
          <t>United States</t>
        </is>
      </c>
      <c r="G41" t="inlineStr">
        <is>
          <t>CSUS.L</t>
        </is>
      </c>
      <c r="H41" t="inlineStr">
        <is>
          <t>CSUS.L</t>
        </is>
      </c>
      <c r="J41" t="inlineStr">
        <is>
          <t>XMTW.L</t>
        </is>
      </c>
      <c r="K41" t="inlineStr">
        <is>
          <t>XMTW.L</t>
        </is>
      </c>
      <c r="L41" t="inlineStr">
        <is>
          <t>London Stock Exchange</t>
        </is>
      </c>
      <c r="M41" t="inlineStr">
        <is>
          <t>GBp</t>
        </is>
      </c>
    </row>
    <row r="42">
      <c r="A42" t="inlineStr"/>
      <c r="B42" t="inlineStr">
        <is>
          <t>XPHG.L</t>
        </is>
      </c>
      <c r="C42" t="inlineStr"/>
      <c r="D42" t="inlineStr"/>
      <c r="E42" t="inlineStr">
        <is>
          <t>Other</t>
        </is>
      </c>
      <c r="F42" t="inlineStr">
        <is>
          <t>Vietnam</t>
        </is>
      </c>
      <c r="G42" t="inlineStr">
        <is>
          <t>XFVT.L</t>
        </is>
      </c>
      <c r="H42" t="inlineStr">
        <is>
          <t>XFVT.L</t>
        </is>
      </c>
      <c r="J42" t="inlineStr">
        <is>
          <t>XPHG.L</t>
        </is>
      </c>
      <c r="K42" t="inlineStr">
        <is>
          <t>XPHG.L</t>
        </is>
      </c>
      <c r="L42" t="inlineStr">
        <is>
          <t>London Stock Exchange</t>
        </is>
      </c>
      <c r="M4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  <col width="15" customWidth="1" min="8" max="8"/>
    <col width="12" customWidth="1" min="9" max="9"/>
    <col width="12" customWidth="1" min="10" max="10"/>
    <col hidden="1" width="15" customWidth="1" min="11" max="11"/>
    <col width="15" customWidth="1" min="13" max="13"/>
    <col width="15" customWidth="1" min="14" max="14"/>
    <col width="15" customWidth="1" min="15" max="15"/>
    <col width="12" customWidth="1" min="17" max="17"/>
    <col width="15" customWidth="1" min="18" max="18"/>
    <col width="15" customWidth="1" min="19" max="19"/>
    <col hidden="1" width="15" customWidth="1" min="20" max="20"/>
    <col width="15" customWidth="1" min="22" max="22"/>
    <col width="15" customWidth="1" min="24" max="24"/>
    <col width="12" customWidth="1" min="26" max="26"/>
    <col width="12" customWidth="1" min="27" max="27"/>
    <col width="20" customWidth="1" min="29" max="29"/>
    <col width="12" customWidth="1" min="30" max="30"/>
    <col width="20" customWidth="1" min="31" max="31"/>
  </cols>
  <sheetData>
    <row r="1">
      <c r="A1" s="3" t="inlineStr">
        <is>
          <t>Country Disconnect Dashboard (As of Feb 27, 2026)</t>
        </is>
      </c>
    </row>
    <row r="2">
      <c r="A2" s="4" t="inlineStr">
        <is>
          <t>Horizon</t>
        </is>
      </c>
      <c r="B2" t="inlineStr">
        <is>
          <t>10Y</t>
        </is>
      </c>
      <c r="D2" t="inlineStr">
        <is>
          <t>Sort by (choice of GDP size)</t>
        </is>
      </c>
      <c r="E2" t="inlineStr">
        <is>
          <t>nGDP</t>
        </is>
      </c>
    </row>
    <row r="4">
      <c r="A4" s="4" t="inlineStr">
        <is>
          <t>Country</t>
        </is>
      </c>
      <c r="B4" s="4" t="inlineStr">
        <is>
          <t>ETF Ticker</t>
        </is>
      </c>
      <c r="C4" s="4" t="inlineStr">
        <is>
          <t>nGDP (USD) CAGR (%)</t>
        </is>
      </c>
      <c r="D4" s="4" t="inlineStr">
        <is>
          <t>ETF Return (USD) CAGR (%)</t>
        </is>
      </c>
      <c r="E4" s="4" t="inlineStr">
        <is>
          <t>MSCI Index Retrun (USD) CAGR (%)</t>
        </is>
      </c>
      <c r="F4" s="4" t="inlineStr">
        <is>
          <t>Macro Gap (%)</t>
        </is>
      </c>
      <c r="G4" s="4" t="inlineStr">
        <is>
          <t>Projected Growth (2026-28) CAGR (%)</t>
        </is>
      </c>
      <c r="H4" s="4" t="inlineStr">
        <is>
          <t>Impact of $10 Oil Price change relative to GDP (%)</t>
        </is>
      </c>
      <c r="I4" s="4" t="inlineStr">
        <is>
          <t>REER Index</t>
        </is>
      </c>
      <c r="J4" s="4" t="inlineStr">
        <is>
          <t>REER vs 10Y</t>
        </is>
      </c>
      <c r="K4" s="4" t="inlineStr">
        <is>
          <t>Futures rate for USD/LCU 2 years out (%)</t>
        </is>
      </c>
      <c r="L4" s="4" t="inlineStr">
        <is>
          <t>GDP Metrics</t>
        </is>
      </c>
      <c r="M4" s="4" t="inlineStr">
        <is>
          <t>nGDP (USD) 2025</t>
        </is>
      </c>
      <c r="N4" s="4" t="inlineStr">
        <is>
          <t>nGDP (LCU) CAGR (%)</t>
        </is>
      </c>
      <c r="O4" s="4" t="inlineStr">
        <is>
          <t>rGDP (LCU) CAGR (%)</t>
        </is>
      </c>
      <c r="P4" s="4" t="inlineStr">
        <is>
          <t>Exchange Rate Metrics</t>
        </is>
      </c>
      <c r="Q4" s="4" t="inlineStr">
        <is>
          <t>FX CAGR %</t>
        </is>
      </c>
      <c r="R4" s="4" t="inlineStr">
        <is>
          <t>FX Jan 1st CAGR %</t>
        </is>
      </c>
      <c r="S4" s="4" t="inlineStr">
        <is>
          <t>USD/LCU spot rate as of "today"</t>
        </is>
      </c>
      <c r="T4" s="4" t="inlineStr">
        <is>
          <t>Futures rate for USD/LCU (2 years out from "today")</t>
        </is>
      </c>
      <c r="U4" s="4" t="inlineStr">
        <is>
          <t>Inflation Metrics</t>
        </is>
      </c>
      <c r="V4" s="4" t="inlineStr">
        <is>
          <t>Inf. Diff CAGR %</t>
        </is>
      </c>
      <c r="W4" s="4" t="inlineStr">
        <is>
          <t>Differential</t>
        </is>
      </c>
      <c r="X4" s="4" t="inlineStr">
        <is>
          <t>Currency Gap %</t>
        </is>
      </c>
      <c r="Y4" s="4" t="inlineStr">
        <is>
          <t>Country Info</t>
        </is>
      </c>
      <c r="Z4" s="4" t="inlineStr">
        <is>
          <t>Region</t>
        </is>
      </c>
      <c r="AA4" s="4" t="inlineStr">
        <is>
          <t>Local Currency Unit (LCU)</t>
        </is>
      </c>
      <c r="AB4" s="4" t="inlineStr">
        <is>
          <t>ETF Info</t>
        </is>
      </c>
      <c r="AC4" s="4" t="inlineStr">
        <is>
          <t>Exchange name for ETF ticker</t>
        </is>
      </c>
      <c r="AD4" s="4" t="inlineStr">
        <is>
          <t>ETF ticker currency</t>
        </is>
      </c>
      <c r="AE4" s="4" t="inlineStr">
        <is>
          <t>MSCI Factsheet Link</t>
        </is>
      </c>
    </row>
    <row r="5">
      <c r="A5" t="inlineStr">
        <is>
          <t>Australia</t>
        </is>
      </c>
      <c r="B5" t="inlineStr">
        <is>
          <t>SAUS.L</t>
        </is>
      </c>
      <c r="C5" s="5">
        <f>IFERROR(1*INDEX(CAGR!$I:$I, MATCH($A5&amp;"|"&amp;$B$2, CAGR!$Q:$Q, 0)), NA())</f>
        <v/>
      </c>
      <c r="D5" s="5">
        <f>IFERROR(1*INDEX(CAGR!$F:$F, MATCH($A5&amp;"|"&amp;$B5&amp;"|"&amp;$B$2, CAGR!$P:$P, 0)), NA())</f>
        <v/>
      </c>
      <c r="E5" s="6">
        <f>IFERROR(INDEX(MSCI!$B:$E, MATCH("Australia", MSCI!$A:$A, 0), MATCH($B$2, MSCI!$B$1:$E$1, 0)), NA())</f>
        <v/>
      </c>
      <c r="F5" s="5">
        <f>IF(AND(ISNUMBER(C5),ISNUMBER(D5)),C5-D5,NA())</f>
        <v/>
      </c>
      <c r="G5" s="5">
        <f>IFERROR((( (1+INDEX(Annual!$H:$H, MATCH($A5&amp;"|2026", Annual!$K:$K, 0))/100)*(1+INDEX(Annual!$H:$H, MATCH($A5&amp;"|2027", Annual!$K:$K, 0))/100)*(1+INDEX(Annual!$H:$H, MATCH($A5&amp;"|2028", Annual!$K:$K, 0))/100) )^(1/3)-1)*100, NA())</f>
        <v/>
      </c>
      <c r="H5" s="5">
        <f>IFERROR(INDEX(Crude_Oil_Impact!$H:$H, MATCH($A5, Crude_Oil_Impact!$A:$A, 0)), NA())</f>
        <v/>
      </c>
      <c r="I5" s="5">
        <f>IFERROR(INDEX(REER_Data!$C:$C, MATCH($A5, REER_Data!$A:$A, 0)), NA())</f>
        <v/>
      </c>
      <c r="J5" s="5">
        <f>IFERROR(INDEX(REER_Data!$E:$E, MATCH($A5, REER_Data!$A:$A, 0)) / 100, NA())</f>
        <v/>
      </c>
      <c r="K5" t="inlineStr">
        <is>
          <t>NA()</t>
        </is>
      </c>
      <c r="M5" t="n">
        <v>1829508000000</v>
      </c>
      <c r="N5" s="5">
        <f>IFERROR(1*INDEX(CAGR!$H:$H, MATCH($A5&amp;"|"&amp;$B$2, CAGR!$Q:$Q, 0)), NA())</f>
        <v/>
      </c>
      <c r="O5" s="5">
        <f>IFERROR(1*INDEX(CAGR!$G:$G, MATCH($A5&amp;"|"&amp;$B$2, CAGR!$Q:$Q, 0)), NA())</f>
        <v/>
      </c>
      <c r="Q5" s="5">
        <f>IFERROR(1*INDEX(CAGR!$J:$J, MATCH($A5&amp;"|"&amp;$B$2, CAGR!$Q:$Q, 0)), NA())</f>
        <v/>
      </c>
      <c r="R5" s="5">
        <f>IFERROR(1*INDEX(CAGR!$K:$K, MATCH($A5&amp;"|"&amp;$B$2, CAGR!$Q:$Q, 0)), NA())</f>
        <v/>
      </c>
      <c r="S5" s="7" t="n"/>
      <c r="T5" t="inlineStr">
        <is>
          <t>NA()</t>
        </is>
      </c>
      <c r="V5" s="5">
        <f>IFERROR(1*INDEX(CAGR!$N:$N, MATCH($A5&amp;"|"&amp;$B$2, CAGR!$Q:$Q, 0)), NA())</f>
        <v/>
      </c>
      <c r="X5" s="5">
        <f>IF(AND(ISNUMBER(Q5),ISNUMBER(V5)),Q5+V5,NA())</f>
        <v/>
      </c>
      <c r="Z5" t="inlineStr">
        <is>
          <t>Oceania</t>
        </is>
      </c>
      <c r="AA5" t="inlineStr">
        <is>
          <t>AUD</t>
        </is>
      </c>
      <c r="AC5">
        <f>IFERROR(INDEX(Lists!$J$2:$J$42, MATCH($B5, Lists!$I$2:$I$42, 0)),"")</f>
        <v/>
      </c>
      <c r="AD5">
        <f>IFERROR(INDEX(Lists!$K$2:$K$42, MATCH($B5, Lists!$I$2:$I$42, 0)),"")</f>
        <v/>
      </c>
      <c r="AE5" t="inlineStr">
        <is>
          <t>https://www.msci.com/documents/10199/255599/msci-australia-index.pdf</t>
        </is>
      </c>
    </row>
    <row r="6">
      <c r="A6" t="inlineStr">
        <is>
          <t>Austria</t>
        </is>
      </c>
      <c r="B6" t="inlineStr">
        <is>
          <t>EWO</t>
        </is>
      </c>
      <c r="C6" s="5">
        <f>IFERROR(1*INDEX(CAGR!$I:$I, MATCH($A6&amp;"|"&amp;$B$2, CAGR!$Q:$Q, 0)), NA())</f>
        <v/>
      </c>
      <c r="D6" s="5">
        <f>IFERROR(1*INDEX(CAGR!$F:$F, MATCH($A6&amp;"|"&amp;$B6&amp;"|"&amp;$B$2, CAGR!$P:$P, 0)), NA())</f>
        <v/>
      </c>
      <c r="E6" s="6">
        <f>IFERROR(INDEX(MSCI!$B:$E, MATCH("Austria", MSCI!$A:$A, 0), MATCH($B$2, MSCI!$B$1:$E$1, 0)), NA())</f>
        <v/>
      </c>
      <c r="F6" s="5">
        <f>IF(AND(ISNUMBER(C6),ISNUMBER(D6)),C6-D6,NA())</f>
        <v/>
      </c>
      <c r="G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H6" s="5">
        <f>IFERROR(INDEX(Crude_Oil_Impact!$H:$H, MATCH($A6, Crude_Oil_Impact!$A:$A, 0)), NA())</f>
        <v/>
      </c>
      <c r="I6" s="5">
        <f>IFERROR(INDEX(REER_Data!$C:$C, MATCH($A6, REER_Data!$A:$A, 0)), NA())</f>
        <v/>
      </c>
      <c r="J6" s="5">
        <f>IFERROR(INDEX(REER_Data!$E:$E, MATCH($A6, REER_Data!$A:$A, 0)) / 100, NA())</f>
        <v/>
      </c>
      <c r="K6" t="inlineStr">
        <is>
          <t>NA()</t>
        </is>
      </c>
      <c r="M6" t="n">
        <v>566456000000</v>
      </c>
      <c r="N6" s="5">
        <f>IFERROR(1*INDEX(CAGR!$H:$H, MATCH($A6&amp;"|"&amp;$B$2, CAGR!$Q:$Q, 0)), NA())</f>
        <v/>
      </c>
      <c r="O6" s="5">
        <f>IFERROR(1*INDEX(CAGR!$G:$G, MATCH($A6&amp;"|"&amp;$B$2, CAGR!$Q:$Q, 0)), NA())</f>
        <v/>
      </c>
      <c r="Q6" s="5">
        <f>IFERROR(1*INDEX(CAGR!$J:$J, MATCH($A6&amp;"|"&amp;$B$2, CAGR!$Q:$Q, 0)), NA())</f>
        <v/>
      </c>
      <c r="R6" s="5">
        <f>IFERROR(1*INDEX(CAGR!$K:$K, MATCH($A6&amp;"|"&amp;$B$2, CAGR!$Q:$Q, 0)), NA())</f>
        <v/>
      </c>
      <c r="S6" s="7" t="n">
        <v>1</v>
      </c>
      <c r="T6" t="inlineStr">
        <is>
          <t>NA()</t>
        </is>
      </c>
      <c r="V6" s="5">
        <f>IFERROR(1*INDEX(CAGR!$N:$N, MATCH($A6&amp;"|"&amp;$B$2, CAGR!$Q:$Q, 0)), NA())</f>
        <v/>
      </c>
      <c r="X6" s="5">
        <f>IF(AND(ISNUMBER(Q6),ISNUMBER(V6)),Q6+V6,NA())</f>
        <v/>
      </c>
      <c r="Z6" t="inlineStr">
        <is>
          <t>Europe</t>
        </is>
      </c>
      <c r="AA6" t="inlineStr">
        <is>
          <t>EUR</t>
        </is>
      </c>
      <c r="AC6">
        <f>IFERROR(INDEX(Lists!$J$2:$J$42, MATCH($B6, Lists!$I$2:$I$42, 0)),"")</f>
        <v/>
      </c>
      <c r="AD6">
        <f>IFERROR(INDEX(Lists!$K$2:$K$42, MATCH($B6, Lists!$I$2:$I$42, 0)),"")</f>
        <v/>
      </c>
      <c r="AE6" t="inlineStr">
        <is>
          <t>https://www.msci.com/documents/10199/255599/msci-austria-index-usd-gross.pdf</t>
        </is>
      </c>
    </row>
    <row r="7">
      <c r="A7" t="inlineStr">
        <is>
          <t>Belgium</t>
        </is>
      </c>
      <c r="B7" t="inlineStr">
        <is>
          <t>EWK</t>
        </is>
      </c>
      <c r="C7" s="5">
        <f>IFERROR(1*INDEX(CAGR!$I:$I, MATCH($A7&amp;"|"&amp;$B$2, CAGR!$Q:$Q, 0)), NA())</f>
        <v/>
      </c>
      <c r="D7" s="5">
        <f>IFERROR(1*INDEX(CAGR!$F:$F, MATCH($A7&amp;"|"&amp;$B7&amp;"|"&amp;$B$2, CAGR!$P:$P, 0)), NA())</f>
        <v/>
      </c>
      <c r="E7" s="6">
        <f>IFERROR(INDEX(MSCI!$B:$E, MATCH("Belgium", MSCI!$A:$A, 0), MATCH($B$2, MSCI!$B$1:$E$1, 0)), NA())</f>
        <v/>
      </c>
      <c r="F7" s="5">
        <f>IF(AND(ISNUMBER(C7),ISNUMBER(D7)),C7-D7,NA())</f>
        <v/>
      </c>
      <c r="G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H7" s="5">
        <f>IFERROR(INDEX(Crude_Oil_Impact!$H:$H, MATCH($A7, Crude_Oil_Impact!$A:$A, 0)), NA())</f>
        <v/>
      </c>
      <c r="I7" s="5">
        <f>IFERROR(INDEX(REER_Data!$C:$C, MATCH($A7, REER_Data!$A:$A, 0)), NA())</f>
        <v/>
      </c>
      <c r="J7" s="5">
        <f>IFERROR(INDEX(REER_Data!$E:$E, MATCH($A7, REER_Data!$A:$A, 0)) / 100, NA())</f>
        <v/>
      </c>
      <c r="K7" t="inlineStr">
        <is>
          <t>NA()</t>
        </is>
      </c>
      <c r="M7" t="n">
        <v>716980000000</v>
      </c>
      <c r="N7" s="5">
        <f>IFERROR(1*INDEX(CAGR!$H:$H, MATCH($A7&amp;"|"&amp;$B$2, CAGR!$Q:$Q, 0)), NA())</f>
        <v/>
      </c>
      <c r="O7" s="5">
        <f>IFERROR(1*INDEX(CAGR!$G:$G, MATCH($A7&amp;"|"&amp;$B$2, CAGR!$Q:$Q, 0)), NA())</f>
        <v/>
      </c>
      <c r="Q7" s="5">
        <f>IFERROR(1*INDEX(CAGR!$J:$J, MATCH($A7&amp;"|"&amp;$B$2, CAGR!$Q:$Q, 0)), NA())</f>
        <v/>
      </c>
      <c r="R7" s="5">
        <f>IFERROR(1*INDEX(CAGR!$K:$K, MATCH($A7&amp;"|"&amp;$B$2, CAGR!$Q:$Q, 0)), NA())</f>
        <v/>
      </c>
      <c r="S7" s="7" t="n">
        <v>1</v>
      </c>
      <c r="T7" t="inlineStr">
        <is>
          <t>NA()</t>
        </is>
      </c>
      <c r="V7" s="5">
        <f>IFERROR(1*INDEX(CAGR!$N:$N, MATCH($A7&amp;"|"&amp;$B$2, CAGR!$Q:$Q, 0)), NA())</f>
        <v/>
      </c>
      <c r="X7" s="5">
        <f>IF(AND(ISNUMBER(Q7),ISNUMBER(V7)),Q7+V7,NA())</f>
        <v/>
      </c>
      <c r="Z7" t="inlineStr">
        <is>
          <t>Europe</t>
        </is>
      </c>
      <c r="AA7" t="inlineStr">
        <is>
          <t>EUR</t>
        </is>
      </c>
      <c r="AC7">
        <f>IFERROR(INDEX(Lists!$J$2:$J$42, MATCH($B7, Lists!$I$2:$I$42, 0)),"")</f>
        <v/>
      </c>
      <c r="AD7">
        <f>IFERROR(INDEX(Lists!$K$2:$K$42, MATCH($B7, Lists!$I$2:$I$42, 0)),"")</f>
        <v/>
      </c>
      <c r="AE7" t="inlineStr">
        <is>
          <t>https://www.msci.com/documents/10199/255599/msci-belgium-index-usd-net.pdf</t>
        </is>
      </c>
    </row>
    <row r="8">
      <c r="A8" t="inlineStr">
        <is>
          <t>Brazil</t>
        </is>
      </c>
      <c r="B8" t="inlineStr">
        <is>
          <t>XMBR.L</t>
        </is>
      </c>
      <c r="C8" s="5">
        <f>IFERROR(1*INDEX(CAGR!$I:$I, MATCH($A8&amp;"|"&amp;$B$2, CAGR!$Q:$Q, 0)), NA())</f>
        <v/>
      </c>
      <c r="D8" s="5">
        <f>IFERROR(1*INDEX(CAGR!$F:$F, MATCH($A8&amp;"|"&amp;$B8&amp;"|"&amp;$B$2, CAGR!$P:$P, 0)), NA())</f>
        <v/>
      </c>
      <c r="E8" s="6">
        <f>IFERROR(INDEX(MSCI!$B:$E, MATCH("Brazil", MSCI!$A:$A, 0), MATCH($B$2, MSCI!$B$1:$E$1, 0)), NA())</f>
        <v/>
      </c>
      <c r="F8" s="5">
        <f>IF(AND(ISNUMBER(C8),ISNUMBER(D8)),C8-D8,NA())</f>
        <v/>
      </c>
      <c r="G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H8" s="8">
        <f>IFERROR(INDEX(Crude_Oil_Impact!$H:$H, MATCH($A8, Crude_Oil_Impact!$A:$A, 0)), NA())</f>
        <v/>
      </c>
      <c r="I8" s="5">
        <f>IFERROR(INDEX(REER_Data!$C:$C, MATCH($A8, REER_Data!$A:$A, 0)), NA())</f>
        <v/>
      </c>
      <c r="J8" s="5">
        <f>IFERROR(INDEX(REER_Data!$E:$E, MATCH($A8, REER_Data!$A:$A, 0)) / 100, NA())</f>
        <v/>
      </c>
      <c r="K8" t="inlineStr">
        <is>
          <t>NA()</t>
        </is>
      </c>
      <c r="M8" t="n">
        <v>2256910000000</v>
      </c>
      <c r="N8" s="5">
        <f>IFERROR(1*INDEX(CAGR!$H:$H, MATCH($A8&amp;"|"&amp;$B$2, CAGR!$Q:$Q, 0)), NA())</f>
        <v/>
      </c>
      <c r="O8" s="5">
        <f>IFERROR(1*INDEX(CAGR!$G:$G, MATCH($A8&amp;"|"&amp;$B$2, CAGR!$Q:$Q, 0)), NA())</f>
        <v/>
      </c>
      <c r="Q8" s="5">
        <f>IFERROR(1*INDEX(CAGR!$J:$J, MATCH($A8&amp;"|"&amp;$B$2, CAGR!$Q:$Q, 0)), NA())</f>
        <v/>
      </c>
      <c r="R8" s="5">
        <f>IFERROR(1*INDEX(CAGR!$K:$K, MATCH($A8&amp;"|"&amp;$B$2, CAGR!$Q:$Q, 0)), NA())</f>
        <v/>
      </c>
      <c r="S8" s="7" t="n"/>
      <c r="T8" t="inlineStr">
        <is>
          <t>NA()</t>
        </is>
      </c>
      <c r="V8" s="5">
        <f>IFERROR(1*INDEX(CAGR!$N:$N, MATCH($A8&amp;"|"&amp;$B$2, CAGR!$Q:$Q, 0)), NA())</f>
        <v/>
      </c>
      <c r="X8" s="5">
        <f>IF(AND(ISNUMBER(Q8),ISNUMBER(V8)),Q8+V8,NA())</f>
        <v/>
      </c>
      <c r="Z8" t="inlineStr">
        <is>
          <t>Latin America</t>
        </is>
      </c>
      <c r="AA8" t="inlineStr">
        <is>
          <t>BRL</t>
        </is>
      </c>
      <c r="AC8">
        <f>IFERROR(INDEX(Lists!$J$2:$J$42, MATCH($B8, Lists!$I$2:$I$42, 0)),"")</f>
        <v/>
      </c>
      <c r="AD8">
        <f>IFERROR(INDEX(Lists!$K$2:$K$42, MATCH($B8, Lists!$I$2:$I$42, 0)),"")</f>
        <v/>
      </c>
      <c r="AE8" t="inlineStr">
        <is>
          <t>https://www.msci.com/documents/10199/255599/msci-brazil-index.pdf</t>
        </is>
      </c>
    </row>
    <row r="9">
      <c r="A9" t="inlineStr">
        <is>
          <t>Canada</t>
        </is>
      </c>
      <c r="B9" t="inlineStr">
        <is>
          <t>CSCA.L</t>
        </is>
      </c>
      <c r="C9" s="5">
        <f>IFERROR(1*INDEX(CAGR!$I:$I, MATCH($A9&amp;"|"&amp;$B$2, CAGR!$Q:$Q, 0)), NA())</f>
        <v/>
      </c>
      <c r="D9" s="5">
        <f>IFERROR(1*INDEX(CAGR!$F:$F, MATCH($A9&amp;"|"&amp;$B9&amp;"|"&amp;$B$2, CAGR!$P:$P, 0)), NA())</f>
        <v/>
      </c>
      <c r="E9" s="6">
        <f>IFERROR(INDEX(MSCI!$B:$E, MATCH("Canada", MSCI!$A:$A, 0), MATCH($B$2, MSCI!$B$1:$E$1, 0)), NA())</f>
        <v/>
      </c>
      <c r="F9" s="5">
        <f>IF(AND(ISNUMBER(C9),ISNUMBER(D9)),C9-D9,NA())</f>
        <v/>
      </c>
      <c r="G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H9" s="5">
        <f>IFERROR(INDEX(Crude_Oil_Impact!$H:$H, MATCH($A9, Crude_Oil_Impact!$A:$A, 0)), NA())</f>
        <v/>
      </c>
      <c r="I9" s="5">
        <f>IFERROR(INDEX(REER_Data!$C:$C, MATCH($A9, REER_Data!$A:$A, 0)), NA())</f>
        <v/>
      </c>
      <c r="J9" s="5">
        <f>IFERROR(INDEX(REER_Data!$E:$E, MATCH($A9, REER_Data!$A:$A, 0)) / 100, NA())</f>
        <v/>
      </c>
      <c r="K9" t="inlineStr">
        <is>
          <t>NA()</t>
        </is>
      </c>
      <c r="M9" t="n">
        <v>2283599000000</v>
      </c>
      <c r="N9" s="5">
        <f>IFERROR(1*INDEX(CAGR!$H:$H, MATCH($A9&amp;"|"&amp;$B$2, CAGR!$Q:$Q, 0)), NA())</f>
        <v/>
      </c>
      <c r="O9" s="5">
        <f>IFERROR(1*INDEX(CAGR!$G:$G, MATCH($A9&amp;"|"&amp;$B$2, CAGR!$Q:$Q, 0)), NA())</f>
        <v/>
      </c>
      <c r="Q9" s="5">
        <f>IFERROR(1*INDEX(CAGR!$J:$J, MATCH($A9&amp;"|"&amp;$B$2, CAGR!$Q:$Q, 0)), NA())</f>
        <v/>
      </c>
      <c r="R9" s="5">
        <f>IFERROR(1*INDEX(CAGR!$K:$K, MATCH($A9&amp;"|"&amp;$B$2, CAGR!$Q:$Q, 0)), NA())</f>
        <v/>
      </c>
      <c r="S9" s="7" t="n"/>
      <c r="T9" t="inlineStr">
        <is>
          <t>NA()</t>
        </is>
      </c>
      <c r="V9" s="5">
        <f>IFERROR(1*INDEX(CAGR!$N:$N, MATCH($A9&amp;"|"&amp;$B$2, CAGR!$Q:$Q, 0)), NA())</f>
        <v/>
      </c>
      <c r="X9" s="5">
        <f>IF(AND(ISNUMBER(Q9),ISNUMBER(V9)),Q9+V9,NA())</f>
        <v/>
      </c>
      <c r="Z9" t="inlineStr">
        <is>
          <t>North America</t>
        </is>
      </c>
      <c r="AA9" t="inlineStr">
        <is>
          <t>CAD</t>
        </is>
      </c>
      <c r="AC9">
        <f>IFERROR(INDEX(Lists!$J$2:$J$42, MATCH($B9, Lists!$I$2:$I$42, 0)),"")</f>
        <v/>
      </c>
      <c r="AD9">
        <f>IFERROR(INDEX(Lists!$K$2:$K$42, MATCH($B9, Lists!$I$2:$I$42, 0)),"")</f>
        <v/>
      </c>
      <c r="AE9" t="inlineStr">
        <is>
          <t>https://www.msci.com/documents/10199/255599/msci-canada-index-gross-usd.pdf</t>
        </is>
      </c>
    </row>
    <row r="10">
      <c r="A10" t="inlineStr">
        <is>
          <t>China</t>
        </is>
      </c>
      <c r="B10" t="inlineStr">
        <is>
          <t>IASH.L</t>
        </is>
      </c>
      <c r="C10" s="5">
        <f>IFERROR(1*INDEX(CAGR!$I:$I, MATCH($A10&amp;"|"&amp;$B$2, CAGR!$Q:$Q, 0)), NA())</f>
        <v/>
      </c>
      <c r="D10" s="5">
        <f>IFERROR(1*INDEX(CAGR!$F:$F, MATCH($A10&amp;"|"&amp;$B10&amp;"|"&amp;$B$2, CAGR!$P:$P, 0)), NA())</f>
        <v/>
      </c>
      <c r="E10" s="6">
        <f>IFERROR(INDEX(MSCI!$B:$E, MATCH("China", MSCI!$A:$A, 0), MATCH($B$2, MSCI!$B$1:$E$1, 0)), NA())</f>
        <v/>
      </c>
      <c r="F10" s="5">
        <f>IF(AND(ISNUMBER(C10),ISNUMBER(D10)),C10-D10,NA())</f>
        <v/>
      </c>
      <c r="G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H10" s="5">
        <f>IFERROR(INDEX(Crude_Oil_Impact!$H:$H, MATCH($A10, Crude_Oil_Impact!$A:$A, 0)), NA())</f>
        <v/>
      </c>
      <c r="I10" s="5">
        <f>IFERROR(INDEX(REER_Data!$C:$C, MATCH($A10, REER_Data!$A:$A, 0)), NA())</f>
        <v/>
      </c>
      <c r="J10" s="5">
        <f>IFERROR(INDEX(REER_Data!$E:$E, MATCH($A10, REER_Data!$A:$A, 0)) / 100, NA())</f>
        <v/>
      </c>
      <c r="K10" t="inlineStr">
        <is>
          <t>NA()</t>
        </is>
      </c>
      <c r="M10" t="n">
        <v>19398577000000</v>
      </c>
      <c r="N10" s="5">
        <f>IFERROR(1*INDEX(CAGR!$H:$H, MATCH($A10&amp;"|"&amp;$B$2, CAGR!$Q:$Q, 0)), NA())</f>
        <v/>
      </c>
      <c r="O10" s="5">
        <f>IFERROR(1*INDEX(CAGR!$G:$G, MATCH($A10&amp;"|"&amp;$B$2, CAGR!$Q:$Q, 0)), NA())</f>
        <v/>
      </c>
      <c r="Q10" s="5">
        <f>IFERROR(1*INDEX(CAGR!$J:$J, MATCH($A10&amp;"|"&amp;$B$2, CAGR!$Q:$Q, 0)), NA())</f>
        <v/>
      </c>
      <c r="R10" s="5">
        <f>IFERROR(1*INDEX(CAGR!$K:$K, MATCH($A10&amp;"|"&amp;$B$2, CAGR!$Q:$Q, 0)), NA())</f>
        <v/>
      </c>
      <c r="S10" s="7" t="n"/>
      <c r="T10" t="inlineStr">
        <is>
          <t>NA()</t>
        </is>
      </c>
      <c r="V10" s="5">
        <f>IFERROR(1*INDEX(CAGR!$N:$N, MATCH($A10&amp;"|"&amp;$B$2, CAGR!$Q:$Q, 0)), NA())</f>
        <v/>
      </c>
      <c r="X10" s="5">
        <f>IF(AND(ISNUMBER(Q10),ISNUMBER(V10)),Q10+V10,NA())</f>
        <v/>
      </c>
      <c r="Z10" t="inlineStr">
        <is>
          <t>Asia</t>
        </is>
      </c>
      <c r="AA10" t="inlineStr">
        <is>
          <t>CNY</t>
        </is>
      </c>
      <c r="AC10">
        <f>IFERROR(INDEX(Lists!$J$2:$J$42, MATCH($B10, Lists!$I$2:$I$42, 0)),"")</f>
        <v/>
      </c>
      <c r="AD10">
        <f>IFERROR(INDEX(Lists!$K$2:$K$42, MATCH($B10, Lists!$I$2:$I$42, 0)),"")</f>
        <v/>
      </c>
      <c r="AE10" t="inlineStr">
        <is>
          <t>https://www.msci.com/documents/10199/255599/msci-china-index.pdf</t>
        </is>
      </c>
    </row>
    <row r="11">
      <c r="A11" t="inlineStr">
        <is>
          <t>France</t>
        </is>
      </c>
      <c r="B11" t="inlineStr">
        <is>
          <t>ISFR.L</t>
        </is>
      </c>
      <c r="C11" s="5">
        <f>IFERROR(1*INDEX(CAGR!$I:$I, MATCH($A11&amp;"|"&amp;$B$2, CAGR!$Q:$Q, 0)), NA())</f>
        <v/>
      </c>
      <c r="D11" s="5">
        <f>IFERROR(1*INDEX(CAGR!$F:$F, MATCH($A11&amp;"|"&amp;$B11&amp;"|"&amp;$B$2, CAGR!$P:$P, 0)), NA())</f>
        <v/>
      </c>
      <c r="E11" s="6">
        <f>IFERROR(INDEX(MSCI!$B:$E, MATCH("France", MSCI!$A:$A, 0), MATCH($B$2, MSCI!$B$1:$E$1, 0)), NA())</f>
        <v/>
      </c>
      <c r="F11" s="5">
        <f>IF(AND(ISNUMBER(C11),ISNUMBER(D11)),C11-D11,NA())</f>
        <v/>
      </c>
      <c r="G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H11" s="5">
        <f>IFERROR(INDEX(Crude_Oil_Impact!$H:$H, MATCH($A11, Crude_Oil_Impact!$A:$A, 0)), NA())</f>
        <v/>
      </c>
      <c r="I11" s="5">
        <f>IFERROR(INDEX(REER_Data!$C:$C, MATCH($A11, REER_Data!$A:$A, 0)), NA())</f>
        <v/>
      </c>
      <c r="J11" s="5">
        <f>IFERROR(INDEX(REER_Data!$E:$E, MATCH($A11, REER_Data!$A:$A, 0)) / 100, NA())</f>
        <v/>
      </c>
      <c r="K11" t="inlineStr">
        <is>
          <t>NA()</t>
        </is>
      </c>
      <c r="M11" t="n">
        <v>3361557000000</v>
      </c>
      <c r="N11" s="5">
        <f>IFERROR(1*INDEX(CAGR!$H:$H, MATCH($A11&amp;"|"&amp;$B$2, CAGR!$Q:$Q, 0)), NA())</f>
        <v/>
      </c>
      <c r="O11" s="5">
        <f>IFERROR(1*INDEX(CAGR!$G:$G, MATCH($A11&amp;"|"&amp;$B$2, CAGR!$Q:$Q, 0)), NA())</f>
        <v/>
      </c>
      <c r="Q11" s="5">
        <f>IFERROR(1*INDEX(CAGR!$J:$J, MATCH($A11&amp;"|"&amp;$B$2, CAGR!$Q:$Q, 0)), NA())</f>
        <v/>
      </c>
      <c r="R11" s="5">
        <f>IFERROR(1*INDEX(CAGR!$K:$K, MATCH($A11&amp;"|"&amp;$B$2, CAGR!$Q:$Q, 0)), NA())</f>
        <v/>
      </c>
      <c r="S11" s="7" t="n"/>
      <c r="T11" t="inlineStr">
        <is>
          <t>NA()</t>
        </is>
      </c>
      <c r="V11" s="5">
        <f>IFERROR(1*INDEX(CAGR!$N:$N, MATCH($A11&amp;"|"&amp;$B$2, CAGR!$Q:$Q, 0)), NA())</f>
        <v/>
      </c>
      <c r="X11" s="5">
        <f>IF(AND(ISNUMBER(Q11),ISNUMBER(V11)),Q11+V11,NA())</f>
        <v/>
      </c>
      <c r="Z11" t="inlineStr">
        <is>
          <t>Europe</t>
        </is>
      </c>
      <c r="AA11" t="inlineStr">
        <is>
          <t>EUR</t>
        </is>
      </c>
      <c r="AC11">
        <f>IFERROR(INDEX(Lists!$J$2:$J$42, MATCH($B11, Lists!$I$2:$I$42, 0)),"")</f>
        <v/>
      </c>
      <c r="AD11">
        <f>IFERROR(INDEX(Lists!$K$2:$K$42, MATCH($B11, Lists!$I$2:$I$42, 0)),"")</f>
        <v/>
      </c>
      <c r="AE11" t="inlineStr">
        <is>
          <t>https://www.msci.com/documents/10199/255599/msci-france-index.pdf</t>
        </is>
      </c>
    </row>
    <row r="12">
      <c r="A12" t="inlineStr">
        <is>
          <t>Germany</t>
        </is>
      </c>
      <c r="B12" t="inlineStr">
        <is>
          <t>EXS1.DE</t>
        </is>
      </c>
      <c r="C12" s="5">
        <f>IFERROR(1*INDEX(CAGR!$I:$I, MATCH($A12&amp;"|"&amp;$B$2, CAGR!$Q:$Q, 0)), NA())</f>
        <v/>
      </c>
      <c r="D12" s="5">
        <f>IFERROR(1*INDEX(CAGR!$F:$F, MATCH($A12&amp;"|"&amp;$B12&amp;"|"&amp;$B$2, CAGR!$P:$P, 0)), NA())</f>
        <v/>
      </c>
      <c r="E12" s="6">
        <f>IFERROR(INDEX(MSCI!$B:$E, MATCH("Germany", MSCI!$A:$A, 0), MATCH($B$2, MSCI!$B$1:$E$1, 0)), NA())</f>
        <v/>
      </c>
      <c r="F12" s="5">
        <f>IF(AND(ISNUMBER(C12),ISNUMBER(D12)),C12-D12,NA())</f>
        <v/>
      </c>
      <c r="G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H12" s="5">
        <f>IFERROR(INDEX(Crude_Oil_Impact!$H:$H, MATCH($A12, Crude_Oil_Impact!$A:$A, 0)), NA())</f>
        <v/>
      </c>
      <c r="I12" s="5">
        <f>IFERROR(INDEX(REER_Data!$C:$C, MATCH($A12, REER_Data!$A:$A, 0)), NA())</f>
        <v/>
      </c>
      <c r="J12" s="5">
        <f>IFERROR(INDEX(REER_Data!$E:$E, MATCH($A12, REER_Data!$A:$A, 0)) / 100, NA())</f>
        <v/>
      </c>
      <c r="K12" t="inlineStr">
        <is>
          <t>NA()</t>
        </is>
      </c>
      <c r="M12" t="n">
        <v>5013574000000</v>
      </c>
      <c r="N12" s="5">
        <f>IFERROR(1*INDEX(CAGR!$H:$H, MATCH($A12&amp;"|"&amp;$B$2, CAGR!$Q:$Q, 0)), NA())</f>
        <v/>
      </c>
      <c r="O12" s="5">
        <f>IFERROR(1*INDEX(CAGR!$G:$G, MATCH($A12&amp;"|"&amp;$B$2, CAGR!$Q:$Q, 0)), NA())</f>
        <v/>
      </c>
      <c r="Q12" s="5">
        <f>IFERROR(1*INDEX(CAGR!$J:$J, MATCH($A12&amp;"|"&amp;$B$2, CAGR!$Q:$Q, 0)), NA())</f>
        <v/>
      </c>
      <c r="R12" s="5">
        <f>IFERROR(1*INDEX(CAGR!$K:$K, MATCH($A12&amp;"|"&amp;$B$2, CAGR!$Q:$Q, 0)), NA())</f>
        <v/>
      </c>
      <c r="S12" s="7" t="n">
        <v>0.8721000201687102</v>
      </c>
      <c r="T12" t="inlineStr">
        <is>
          <t>NA()</t>
        </is>
      </c>
      <c r="V12" s="5">
        <f>IFERROR(1*INDEX(CAGR!$N:$N, MATCH($A12&amp;"|"&amp;$B$2, CAGR!$Q:$Q, 0)), NA())</f>
        <v/>
      </c>
      <c r="X12" s="5">
        <f>IF(AND(ISNUMBER(Q12),ISNUMBER(V12)),Q12+V12,NA())</f>
        <v/>
      </c>
      <c r="Z12" t="inlineStr">
        <is>
          <t>Europe</t>
        </is>
      </c>
      <c r="AA12" t="inlineStr">
        <is>
          <t>EUR</t>
        </is>
      </c>
      <c r="AC12">
        <f>IFERROR(INDEX(Lists!$J$2:$J$42, MATCH($B12, Lists!$I$2:$I$42, 0)),"")</f>
        <v/>
      </c>
      <c r="AD12">
        <f>IFERROR(INDEX(Lists!$K$2:$K$42, MATCH($B12, Lists!$I$2:$I$42, 0)),"")</f>
        <v/>
      </c>
      <c r="AE12" t="inlineStr">
        <is>
          <t>https://www.msci.com/documents/10199/255599/msci-germany-index.pdf</t>
        </is>
      </c>
    </row>
    <row r="13">
      <c r="A13" t="inlineStr">
        <is>
          <t>Greece</t>
        </is>
      </c>
      <c r="B13" t="inlineStr">
        <is>
          <t>GREK</t>
        </is>
      </c>
      <c r="C13" s="5">
        <f>IFERROR(1*INDEX(CAGR!$I:$I, MATCH($A13&amp;"|"&amp;$B$2, CAGR!$Q:$Q, 0)), NA())</f>
        <v/>
      </c>
      <c r="D13" s="5">
        <f>IFERROR(1*INDEX(CAGR!$F:$F, MATCH($A13&amp;"|"&amp;$B13&amp;"|"&amp;$B$2, CAGR!$P:$P, 0)), NA())</f>
        <v/>
      </c>
      <c r="E13" s="6">
        <f>IFERROR(INDEX(MSCI!$B:$E, MATCH("Greece", MSCI!$A:$A, 0), MATCH($B$2, MSCI!$B$1:$E$1, 0)), NA())</f>
        <v/>
      </c>
      <c r="F13" s="5">
        <f>IF(AND(ISNUMBER(C13),ISNUMBER(D13)),C13-D13,NA())</f>
        <v/>
      </c>
      <c r="G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H13" s="5">
        <f>IFERROR(INDEX(Crude_Oil_Impact!$H:$H, MATCH($A13, Crude_Oil_Impact!$A:$A, 0)), NA())</f>
        <v/>
      </c>
      <c r="I13" s="5">
        <f>IFERROR(INDEX(REER_Data!$C:$C, MATCH($A13, REER_Data!$A:$A, 0)), NA())</f>
        <v/>
      </c>
      <c r="J13" s="5">
        <f>IFERROR(INDEX(REER_Data!$E:$E, MATCH($A13, REER_Data!$A:$A, 0)) / 100, NA())</f>
        <v/>
      </c>
      <c r="K13" t="inlineStr">
        <is>
          <t>NA()</t>
        </is>
      </c>
      <c r="M13" t="n">
        <v>282019000000</v>
      </c>
      <c r="N13" s="5">
        <f>IFERROR(1*INDEX(CAGR!$H:$H, MATCH($A13&amp;"|"&amp;$B$2, CAGR!$Q:$Q, 0)), NA())</f>
        <v/>
      </c>
      <c r="O13" s="5">
        <f>IFERROR(1*INDEX(CAGR!$G:$G, MATCH($A13&amp;"|"&amp;$B$2, CAGR!$Q:$Q, 0)), NA())</f>
        <v/>
      </c>
      <c r="Q13" s="5">
        <f>IFERROR(1*INDEX(CAGR!$J:$J, MATCH($A13&amp;"|"&amp;$B$2, CAGR!$Q:$Q, 0)), NA())</f>
        <v/>
      </c>
      <c r="R13" s="5">
        <f>IFERROR(1*INDEX(CAGR!$K:$K, MATCH($A13&amp;"|"&amp;$B$2, CAGR!$Q:$Q, 0)), NA())</f>
        <v/>
      </c>
      <c r="S13" s="7" t="n">
        <v>1</v>
      </c>
      <c r="T13" t="inlineStr">
        <is>
          <t>NA()</t>
        </is>
      </c>
      <c r="V13" s="5">
        <f>IFERROR(1*INDEX(CAGR!$N:$N, MATCH($A13&amp;"|"&amp;$B$2, CAGR!$Q:$Q, 0)), NA())</f>
        <v/>
      </c>
      <c r="X13" s="5">
        <f>IF(AND(ISNUMBER(Q13),ISNUMBER(V13)),Q13+V13,NA())</f>
        <v/>
      </c>
      <c r="Z13" t="inlineStr">
        <is>
          <t>Europe</t>
        </is>
      </c>
      <c r="AA13" t="inlineStr">
        <is>
          <t>EUR</t>
        </is>
      </c>
      <c r="AC13">
        <f>IFERROR(INDEX(Lists!$J$2:$J$42, MATCH($B13, Lists!$I$2:$I$42, 0)),"")</f>
        <v/>
      </c>
      <c r="AD13">
        <f>IFERROR(INDEX(Lists!$K$2:$K$42, MATCH($B13, Lists!$I$2:$I$42, 0)),"")</f>
        <v/>
      </c>
      <c r="AE13" t="inlineStr">
        <is>
          <t>https://www.msci.com/documents/10199/255599/msci-greece-index-usd-net.pdf</t>
        </is>
      </c>
    </row>
    <row r="14">
      <c r="A14" t="inlineStr">
        <is>
          <t>Hong Kong</t>
        </is>
      </c>
      <c r="B14" t="inlineStr">
        <is>
          <t>EWH</t>
        </is>
      </c>
      <c r="C14" s="5">
        <f>IFERROR(1*INDEX(CAGR!$I:$I, MATCH($A14&amp;"|"&amp;$B$2, CAGR!$Q:$Q, 0)), NA())</f>
        <v/>
      </c>
      <c r="D14" s="5">
        <f>IFERROR(1*INDEX(CAGR!$F:$F, MATCH($A14&amp;"|"&amp;$B14&amp;"|"&amp;$B$2, CAGR!$P:$P, 0)), NA())</f>
        <v/>
      </c>
      <c r="E14" s="6">
        <f>IFERROR(INDEX(MSCI!$B:$E, MATCH("Hong Kong", MSCI!$A:$A, 0), MATCH($B$2, MSCI!$B$1:$E$1, 0)), NA())</f>
        <v/>
      </c>
      <c r="F14" s="5">
        <f>IF(AND(ISNUMBER(C14),ISNUMBER(D14)),C14-D14,NA())</f>
        <v/>
      </c>
      <c r="G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H14" s="5">
        <f>IFERROR(INDEX(Crude_Oil_Impact!$H:$H, MATCH($A14, Crude_Oil_Impact!$A:$A, 0)), NA())</f>
        <v/>
      </c>
      <c r="I14" s="5">
        <f>IFERROR(INDEX(REER_Data!$C:$C, MATCH($A14, REER_Data!$A:$A, 0)), NA())</f>
        <v/>
      </c>
      <c r="J14" s="5">
        <f>IFERROR(INDEX(REER_Data!$E:$E, MATCH($A14, REER_Data!$A:$A, 0)) / 100, NA())</f>
        <v/>
      </c>
      <c r="K14" t="inlineStr">
        <is>
          <t>NA()</t>
        </is>
      </c>
      <c r="M14" t="n">
        <v>428233000000</v>
      </c>
      <c r="N14" s="5">
        <f>IFERROR(1*INDEX(CAGR!$H:$H, MATCH($A14&amp;"|"&amp;$B$2, CAGR!$Q:$Q, 0)), NA())</f>
        <v/>
      </c>
      <c r="O14" s="5">
        <f>IFERROR(1*INDEX(CAGR!$G:$G, MATCH($A14&amp;"|"&amp;$B$2, CAGR!$Q:$Q, 0)), NA())</f>
        <v/>
      </c>
      <c r="Q14" s="5">
        <f>IFERROR(1*INDEX(CAGR!$J:$J, MATCH($A14&amp;"|"&amp;$B$2, CAGR!$Q:$Q, 0)), NA())</f>
        <v/>
      </c>
      <c r="R14" s="5">
        <f>IFERROR(1*INDEX(CAGR!$K:$K, MATCH($A14&amp;"|"&amp;$B$2, CAGR!$Q:$Q, 0)), NA())</f>
        <v/>
      </c>
      <c r="S14" s="7" t="n">
        <v>1</v>
      </c>
      <c r="T14" t="inlineStr">
        <is>
          <t>NA()</t>
        </is>
      </c>
      <c r="V14" s="5">
        <f>IFERROR(1*INDEX(CAGR!$N:$N, MATCH($A14&amp;"|"&amp;$B$2, CAGR!$Q:$Q, 0)), NA())</f>
        <v/>
      </c>
      <c r="X14" s="5">
        <f>IF(AND(ISNUMBER(Q14),ISNUMBER(V14)),Q14+V14,NA())</f>
        <v/>
      </c>
      <c r="Z14" t="inlineStr">
        <is>
          <t>Asia</t>
        </is>
      </c>
      <c r="AA14" t="inlineStr">
        <is>
          <t>HKD</t>
        </is>
      </c>
      <c r="AC14">
        <f>IFERROR(INDEX(Lists!$J$2:$J$42, MATCH($B14, Lists!$I$2:$I$42, 0)),"")</f>
        <v/>
      </c>
      <c r="AD14">
        <f>IFERROR(INDEX(Lists!$K$2:$K$42, MATCH($B14, Lists!$I$2:$I$42, 0)),"")</f>
        <v/>
      </c>
      <c r="AE14" t="inlineStr">
        <is>
          <t>https://www.msci.com/documents/10199/255599/msci-hong-kong-index.pdf</t>
        </is>
      </c>
    </row>
    <row r="15">
      <c r="A15" t="inlineStr">
        <is>
          <t>India</t>
        </is>
      </c>
      <c r="B15" t="inlineStr">
        <is>
          <t>LYINR.SW</t>
        </is>
      </c>
      <c r="C15" s="5">
        <f>IFERROR(1*INDEX(CAGR!$I:$I, MATCH($A15&amp;"|"&amp;$B$2, CAGR!$Q:$Q, 0)), NA())</f>
        <v/>
      </c>
      <c r="D15" s="5">
        <f>IFERROR(1*INDEX(CAGR!$F:$F, MATCH($A15&amp;"|"&amp;$B15&amp;"|"&amp;$B$2, CAGR!$P:$P, 0)), NA())</f>
        <v/>
      </c>
      <c r="E15" s="6">
        <f>IFERROR(INDEX(MSCI!$B:$E, MATCH("India", MSCI!$A:$A, 0), MATCH($B$2, MSCI!$B$1:$E$1, 0)), NA())</f>
        <v/>
      </c>
      <c r="F15" s="5">
        <f>IF(AND(ISNUMBER(C15),ISNUMBER(D15)),C15-D15,NA())</f>
        <v/>
      </c>
      <c r="G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H15" s="5">
        <f>IFERROR(INDEX(Crude_Oil_Impact!$H:$H, MATCH($A15, Crude_Oil_Impact!$A:$A, 0)), NA())</f>
        <v/>
      </c>
      <c r="I15" s="5">
        <f>IFERROR(INDEX(REER_Data!$C:$C, MATCH($A15, REER_Data!$A:$A, 0)), NA())</f>
        <v/>
      </c>
      <c r="J15" s="5">
        <f>IFERROR(INDEX(REER_Data!$E:$E, MATCH($A15, REER_Data!$A:$A, 0)) / 100, NA())</f>
        <v/>
      </c>
      <c r="K15" t="inlineStr">
        <is>
          <t>NA()</t>
        </is>
      </c>
      <c r="M15" t="n">
        <v>4125213000000</v>
      </c>
      <c r="N15" s="5">
        <f>IFERROR(1*INDEX(CAGR!$H:$H, MATCH($A15&amp;"|"&amp;$B$2, CAGR!$Q:$Q, 0)), NA())</f>
        <v/>
      </c>
      <c r="O15" s="5">
        <f>IFERROR(1*INDEX(CAGR!$G:$G, MATCH($A15&amp;"|"&amp;$B$2, CAGR!$Q:$Q, 0)), NA())</f>
        <v/>
      </c>
      <c r="Q15" s="5">
        <f>IFERROR(1*INDEX(CAGR!$J:$J, MATCH($A15&amp;"|"&amp;$B$2, CAGR!$Q:$Q, 0)), NA())</f>
        <v/>
      </c>
      <c r="R15" s="5">
        <f>IFERROR(1*INDEX(CAGR!$K:$K, MATCH($A15&amp;"|"&amp;$B$2, CAGR!$Q:$Q, 0)), NA())</f>
        <v/>
      </c>
      <c r="S15" s="7" t="n">
        <v>1</v>
      </c>
      <c r="T15" t="inlineStr">
        <is>
          <t>NA()</t>
        </is>
      </c>
      <c r="V15" s="5">
        <f>IFERROR(1*INDEX(CAGR!$N:$N, MATCH($A15&amp;"|"&amp;$B$2, CAGR!$Q:$Q, 0)), NA())</f>
        <v/>
      </c>
      <c r="X15" s="5">
        <f>IF(AND(ISNUMBER(Q15),ISNUMBER(V15)),Q15+V15,NA())</f>
        <v/>
      </c>
      <c r="Z15" t="inlineStr">
        <is>
          <t>Asia</t>
        </is>
      </c>
      <c r="AA15" t="inlineStr">
        <is>
          <t>INR</t>
        </is>
      </c>
      <c r="AC15">
        <f>IFERROR(INDEX(Lists!$J$2:$J$42, MATCH($B15, Lists!$I$2:$I$42, 0)),"")</f>
        <v/>
      </c>
      <c r="AD15">
        <f>IFERROR(INDEX(Lists!$K$2:$K$42, MATCH($B15, Lists!$I$2:$I$42, 0)),"")</f>
        <v/>
      </c>
      <c r="AE15" t="inlineStr">
        <is>
          <t>https://www.msci.com/documents/10199/255599/msci-india-index-gross-usd.pdf</t>
        </is>
      </c>
    </row>
    <row r="16">
      <c r="A16" t="inlineStr">
        <is>
          <t>Indonesia</t>
        </is>
      </c>
      <c r="B16" t="inlineStr">
        <is>
          <t>INDO.PA</t>
        </is>
      </c>
      <c r="C16" s="5">
        <f>IFERROR(1*INDEX(CAGR!$I:$I, MATCH($A16&amp;"|"&amp;$B$2, CAGR!$Q:$Q, 0)), NA())</f>
        <v/>
      </c>
      <c r="D16" s="5">
        <f>IFERROR(1*INDEX(CAGR!$F:$F, MATCH($A16&amp;"|"&amp;$B16&amp;"|"&amp;$B$2, CAGR!$P:$P, 0)), NA())</f>
        <v/>
      </c>
      <c r="E16" s="6">
        <f>IFERROR(INDEX(MSCI!$B:$E, MATCH("Indonesia", MSCI!$A:$A, 0), MATCH($B$2, MSCI!$B$1:$E$1, 0)), NA())</f>
        <v/>
      </c>
      <c r="F16" s="5">
        <f>IF(AND(ISNUMBER(C16),ISNUMBER(D16)),C16-D16,NA())</f>
        <v/>
      </c>
      <c r="G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H16" s="8">
        <f>IFERROR(INDEX(Crude_Oil_Impact!$H:$H, MATCH($A16, Crude_Oil_Impact!$A:$A, 0)), NA())</f>
        <v/>
      </c>
      <c r="I16" s="5">
        <f>IFERROR(INDEX(REER_Data!$C:$C, MATCH($A16, REER_Data!$A:$A, 0)), NA())</f>
        <v/>
      </c>
      <c r="J16" s="5">
        <f>IFERROR(INDEX(REER_Data!$E:$E, MATCH($A16, REER_Data!$A:$A, 0)) / 100, NA())</f>
        <v/>
      </c>
      <c r="K16" t="inlineStr">
        <is>
          <t>NA()</t>
        </is>
      </c>
      <c r="M16" t="n">
        <v>1443256000000</v>
      </c>
      <c r="N16" s="5">
        <f>IFERROR(1*INDEX(CAGR!$H:$H, MATCH($A16&amp;"|"&amp;$B$2, CAGR!$Q:$Q, 0)), NA())</f>
        <v/>
      </c>
      <c r="O16" s="5">
        <f>IFERROR(1*INDEX(CAGR!$G:$G, MATCH($A16&amp;"|"&amp;$B$2, CAGR!$Q:$Q, 0)), NA())</f>
        <v/>
      </c>
      <c r="Q16" s="5">
        <f>IFERROR(1*INDEX(CAGR!$J:$J, MATCH($A16&amp;"|"&amp;$B$2, CAGR!$Q:$Q, 0)), NA())</f>
        <v/>
      </c>
      <c r="R16" s="5">
        <f>IFERROR(1*INDEX(CAGR!$K:$K, MATCH($A16&amp;"|"&amp;$B$2, CAGR!$Q:$Q, 0)), NA())</f>
        <v/>
      </c>
      <c r="S16" s="7" t="n">
        <v>0.8721000201687102</v>
      </c>
      <c r="T16" t="inlineStr">
        <is>
          <t>NA()</t>
        </is>
      </c>
      <c r="V16" s="5">
        <f>IFERROR(1*INDEX(CAGR!$N:$N, MATCH($A16&amp;"|"&amp;$B$2, CAGR!$Q:$Q, 0)), NA())</f>
        <v/>
      </c>
      <c r="X16" s="5">
        <f>IF(AND(ISNUMBER(Q16),ISNUMBER(V16)),Q16+V16,NA())</f>
        <v/>
      </c>
      <c r="Z16" t="inlineStr">
        <is>
          <t>Asia</t>
        </is>
      </c>
      <c r="AA16" t="inlineStr">
        <is>
          <t>IDR</t>
        </is>
      </c>
      <c r="AC16">
        <f>IFERROR(INDEX(Lists!$J$2:$J$42, MATCH($B16, Lists!$I$2:$I$42, 0)),"")</f>
        <v/>
      </c>
      <c r="AD16">
        <f>IFERROR(INDEX(Lists!$K$2:$K$42, MATCH($B16, Lists!$I$2:$I$42, 0)),"")</f>
        <v/>
      </c>
      <c r="AE16" t="inlineStr">
        <is>
          <t>https://www.msci.com/documents/10199/255599/msci-indonesia-index.pdf</t>
        </is>
      </c>
    </row>
    <row r="17">
      <c r="A17" t="inlineStr">
        <is>
          <t>Italy</t>
        </is>
      </c>
      <c r="B17" t="inlineStr">
        <is>
          <t>EWI</t>
        </is>
      </c>
      <c r="C17" s="5">
        <f>IFERROR(1*INDEX(CAGR!$I:$I, MATCH($A17&amp;"|"&amp;$B$2, CAGR!$Q:$Q, 0)), NA())</f>
        <v/>
      </c>
      <c r="D17" s="5">
        <f>IFERROR(1*INDEX(CAGR!$F:$F, MATCH($A17&amp;"|"&amp;$B17&amp;"|"&amp;$B$2, CAGR!$P:$P, 0)), NA())</f>
        <v/>
      </c>
      <c r="E17" s="6">
        <f>IFERROR(INDEX(MSCI!$B:$E, MATCH("Italy", MSCI!$A:$A, 0), MATCH($B$2, MSCI!$B$1:$E$1, 0)), NA())</f>
        <v/>
      </c>
      <c r="F17" s="5">
        <f>IF(AND(ISNUMBER(C17),ISNUMBER(D17)),C17-D17,NA())</f>
        <v/>
      </c>
      <c r="G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H17" s="5">
        <f>IFERROR(INDEX(Crude_Oil_Impact!$H:$H, MATCH($A17, Crude_Oil_Impact!$A:$A, 0)), NA())</f>
        <v/>
      </c>
      <c r="I17" s="5">
        <f>IFERROR(INDEX(REER_Data!$C:$C, MATCH($A17, REER_Data!$A:$A, 0)), NA())</f>
        <v/>
      </c>
      <c r="J17" s="5">
        <f>IFERROR(INDEX(REER_Data!$E:$E, MATCH($A17, REER_Data!$A:$A, 0)) / 100, NA())</f>
        <v/>
      </c>
      <c r="K17" t="inlineStr">
        <is>
          <t>NA()</t>
        </is>
      </c>
      <c r="M17" t="n">
        <v>2543677000000</v>
      </c>
      <c r="N17" s="5">
        <f>IFERROR(1*INDEX(CAGR!$H:$H, MATCH($A17&amp;"|"&amp;$B$2, CAGR!$Q:$Q, 0)), NA())</f>
        <v/>
      </c>
      <c r="O17" s="5">
        <f>IFERROR(1*INDEX(CAGR!$G:$G, MATCH($A17&amp;"|"&amp;$B$2, CAGR!$Q:$Q, 0)), NA())</f>
        <v/>
      </c>
      <c r="Q17" s="5">
        <f>IFERROR(1*INDEX(CAGR!$J:$J, MATCH($A17&amp;"|"&amp;$B$2, CAGR!$Q:$Q, 0)), NA())</f>
        <v/>
      </c>
      <c r="R17" s="5">
        <f>IFERROR(1*INDEX(CAGR!$K:$K, MATCH($A17&amp;"|"&amp;$B$2, CAGR!$Q:$Q, 0)), NA())</f>
        <v/>
      </c>
      <c r="S17" s="7" t="n">
        <v>1</v>
      </c>
      <c r="T17" t="inlineStr">
        <is>
          <t>NA()</t>
        </is>
      </c>
      <c r="V17" s="5">
        <f>IFERROR(1*INDEX(CAGR!$N:$N, MATCH($A17&amp;"|"&amp;$B$2, CAGR!$Q:$Q, 0)), NA())</f>
        <v/>
      </c>
      <c r="X17" s="5">
        <f>IF(AND(ISNUMBER(Q17),ISNUMBER(V17)),Q17+V17,NA())</f>
        <v/>
      </c>
      <c r="Z17" t="inlineStr">
        <is>
          <t>Europe</t>
        </is>
      </c>
      <c r="AA17" t="inlineStr">
        <is>
          <t>EUR</t>
        </is>
      </c>
      <c r="AC17">
        <f>IFERROR(INDEX(Lists!$J$2:$J$42, MATCH($B17, Lists!$I$2:$I$42, 0)),"")</f>
        <v/>
      </c>
      <c r="AD17">
        <f>IFERROR(INDEX(Lists!$K$2:$K$42, MATCH($B17, Lists!$I$2:$I$42, 0)),"")</f>
        <v/>
      </c>
      <c r="AE17" t="inlineStr">
        <is>
          <t>https://www.msci.com/documents/10199/255599/msci-italy-index.pdf</t>
        </is>
      </c>
    </row>
    <row r="18">
      <c r="A18" t="inlineStr">
        <is>
          <t>Japan</t>
        </is>
      </c>
      <c r="B18" t="inlineStr">
        <is>
          <t>CJPU.L</t>
        </is>
      </c>
      <c r="C18" s="5">
        <f>IFERROR(1*INDEX(CAGR!$I:$I, MATCH($A18&amp;"|"&amp;$B$2, CAGR!$Q:$Q, 0)), NA())</f>
        <v/>
      </c>
      <c r="D18" s="5">
        <f>IFERROR(1*INDEX(CAGR!$F:$F, MATCH($A18&amp;"|"&amp;$B18&amp;"|"&amp;$B$2, CAGR!$P:$P, 0)), NA())</f>
        <v/>
      </c>
      <c r="E18" s="6">
        <f>IFERROR(INDEX(MSCI!$B:$E, MATCH("Japan", MSCI!$A:$A, 0), MATCH($B$2, MSCI!$B$1:$E$1, 0)), NA())</f>
        <v/>
      </c>
      <c r="F18" s="5">
        <f>IF(AND(ISNUMBER(C18),ISNUMBER(D18)),C18-D18,NA())</f>
        <v/>
      </c>
      <c r="G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H18" s="5">
        <f>IFERROR(INDEX(Crude_Oil_Impact!$H:$H, MATCH($A18, Crude_Oil_Impact!$A:$A, 0)), NA())</f>
        <v/>
      </c>
      <c r="I18" s="5">
        <f>IFERROR(INDEX(REER_Data!$C:$C, MATCH($A18, REER_Data!$A:$A, 0)), NA())</f>
        <v/>
      </c>
      <c r="J18" s="5">
        <f>IFERROR(INDEX(REER_Data!$E:$E, MATCH($A18, REER_Data!$A:$A, 0)) / 100, NA())</f>
        <v/>
      </c>
      <c r="K18" t="inlineStr">
        <is>
          <t>NA()</t>
        </is>
      </c>
      <c r="M18" t="n">
        <v>4279828000000</v>
      </c>
      <c r="N18" s="5">
        <f>IFERROR(1*INDEX(CAGR!$H:$H, MATCH($A18&amp;"|"&amp;$B$2, CAGR!$Q:$Q, 0)), NA())</f>
        <v/>
      </c>
      <c r="O18" s="5">
        <f>IFERROR(1*INDEX(CAGR!$G:$G, MATCH($A18&amp;"|"&amp;$B$2, CAGR!$Q:$Q, 0)), NA())</f>
        <v/>
      </c>
      <c r="Q18" s="5">
        <f>IFERROR(1*INDEX(CAGR!$J:$J, MATCH($A18&amp;"|"&amp;$B$2, CAGR!$Q:$Q, 0)), NA())</f>
        <v/>
      </c>
      <c r="R18" s="5">
        <f>IFERROR(1*INDEX(CAGR!$K:$K, MATCH($A18&amp;"|"&amp;$B$2, CAGR!$Q:$Q, 0)), NA())</f>
        <v/>
      </c>
      <c r="S18" s="7" t="n">
        <v>1</v>
      </c>
      <c r="T18" t="inlineStr">
        <is>
          <t>NA()</t>
        </is>
      </c>
      <c r="V18" s="5">
        <f>IFERROR(1*INDEX(CAGR!$N:$N, MATCH($A18&amp;"|"&amp;$B$2, CAGR!$Q:$Q, 0)), NA())</f>
        <v/>
      </c>
      <c r="X18" s="5">
        <f>IF(AND(ISNUMBER(Q18),ISNUMBER(V18)),Q18+V18,NA())</f>
        <v/>
      </c>
      <c r="Z18" t="inlineStr">
        <is>
          <t>Asia</t>
        </is>
      </c>
      <c r="AA18" t="inlineStr">
        <is>
          <t>JPY</t>
        </is>
      </c>
      <c r="AC18">
        <f>IFERROR(INDEX(Lists!$J$2:$J$42, MATCH($B18, Lists!$I$2:$I$42, 0)),"")</f>
        <v/>
      </c>
      <c r="AD18">
        <f>IFERROR(INDEX(Lists!$K$2:$K$42, MATCH($B18, Lists!$I$2:$I$42, 0)),"")</f>
        <v/>
      </c>
      <c r="AE18" t="inlineStr">
        <is>
          <t>https://www.msci.com/documents/10199/255599/msci-japan-index.pdf</t>
        </is>
      </c>
    </row>
    <row r="19">
      <c r="A19" t="inlineStr">
        <is>
          <t>Malaysia</t>
        </is>
      </c>
      <c r="B19" t="inlineStr">
        <is>
          <t>XCX3.L</t>
        </is>
      </c>
      <c r="C19" s="5">
        <f>IFERROR(1*INDEX(CAGR!$I:$I, MATCH($A19&amp;"|"&amp;$B$2, CAGR!$Q:$Q, 0)), NA())</f>
        <v/>
      </c>
      <c r="D19" s="5">
        <f>IFERROR(1*INDEX(CAGR!$F:$F, MATCH($A19&amp;"|"&amp;$B19&amp;"|"&amp;$B$2, CAGR!$P:$P, 0)), NA())</f>
        <v/>
      </c>
      <c r="E19" s="6">
        <f>IFERROR(INDEX(MSCI!$B:$E, MATCH("Malaysia", MSCI!$A:$A, 0), MATCH($B$2, MSCI!$B$1:$E$1, 0)), NA())</f>
        <v/>
      </c>
      <c r="F19" s="5">
        <f>IF(AND(ISNUMBER(C19),ISNUMBER(D19)),C19-D19,NA())</f>
        <v/>
      </c>
      <c r="G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H19" s="5">
        <f>IFERROR(INDEX(Crude_Oil_Impact!$H:$H, MATCH($A19, Crude_Oil_Impact!$A:$A, 0)), NA())</f>
        <v/>
      </c>
      <c r="I19" s="5">
        <f>IFERROR(INDEX(REER_Data!$C:$C, MATCH($A19, REER_Data!$A:$A, 0)), NA())</f>
        <v/>
      </c>
      <c r="J19" s="5">
        <f>IFERROR(INDEX(REER_Data!$E:$E, MATCH($A19, REER_Data!$A:$A, 0)) / 100, NA())</f>
        <v/>
      </c>
      <c r="K19" t="inlineStr">
        <is>
          <t>NA()</t>
        </is>
      </c>
      <c r="M19" t="n">
        <v>470572000000</v>
      </c>
      <c r="N19" s="5">
        <f>IFERROR(1*INDEX(CAGR!$H:$H, MATCH($A19&amp;"|"&amp;$B$2, CAGR!$Q:$Q, 0)), NA())</f>
        <v/>
      </c>
      <c r="O19" s="5">
        <f>IFERROR(1*INDEX(CAGR!$G:$G, MATCH($A19&amp;"|"&amp;$B$2, CAGR!$Q:$Q, 0)), NA())</f>
        <v/>
      </c>
      <c r="Q19" s="5">
        <f>IFERROR(1*INDEX(CAGR!$J:$J, MATCH($A19&amp;"|"&amp;$B$2, CAGR!$Q:$Q, 0)), NA())</f>
        <v/>
      </c>
      <c r="R19" s="5">
        <f>IFERROR(1*INDEX(CAGR!$K:$K, MATCH($A19&amp;"|"&amp;$B$2, CAGR!$Q:$Q, 0)), NA())</f>
        <v/>
      </c>
      <c r="S19" s="7" t="n"/>
      <c r="T19" t="inlineStr">
        <is>
          <t>NA()</t>
        </is>
      </c>
      <c r="V19" s="5">
        <f>IFERROR(1*INDEX(CAGR!$N:$N, MATCH($A19&amp;"|"&amp;$B$2, CAGR!$Q:$Q, 0)), NA())</f>
        <v/>
      </c>
      <c r="X19" s="5">
        <f>IF(AND(ISNUMBER(Q19),ISNUMBER(V19)),Q19+V19,NA())</f>
        <v/>
      </c>
      <c r="Z19" t="inlineStr">
        <is>
          <t>Asia</t>
        </is>
      </c>
      <c r="AA19" t="inlineStr">
        <is>
          <t>MYR</t>
        </is>
      </c>
      <c r="AC19">
        <f>IFERROR(INDEX(Lists!$J$2:$J$42, MATCH($B19, Lists!$I$2:$I$42, 0)),"")</f>
        <v/>
      </c>
      <c r="AD19">
        <f>IFERROR(INDEX(Lists!$K$2:$K$42, MATCH($B19, Lists!$I$2:$I$42, 0)),"")</f>
        <v/>
      </c>
      <c r="AE19" t="inlineStr">
        <is>
          <t>https://www.msci.com/documents/10199/255599/msci-malaysia-index.pdf</t>
        </is>
      </c>
    </row>
    <row r="20">
      <c r="A20" t="inlineStr">
        <is>
          <t>Mexico</t>
        </is>
      </c>
      <c r="B20" t="inlineStr">
        <is>
          <t>XMEX.L</t>
        </is>
      </c>
      <c r="C20" s="5">
        <f>IFERROR(1*INDEX(CAGR!$I:$I, MATCH($A20&amp;"|"&amp;$B$2, CAGR!$Q:$Q, 0)), NA())</f>
        <v/>
      </c>
      <c r="D20" s="5">
        <f>IFERROR(1*INDEX(CAGR!$F:$F, MATCH($A20&amp;"|"&amp;$B20&amp;"|"&amp;$B$2, CAGR!$P:$P, 0)), NA())</f>
        <v/>
      </c>
      <c r="E20" s="6">
        <f>IFERROR(INDEX(MSCI!$B:$E, MATCH("Mexico", MSCI!$A:$A, 0), MATCH($B$2, MSCI!$B$1:$E$1, 0)), NA())</f>
        <v/>
      </c>
      <c r="F20" s="5">
        <f>IF(AND(ISNUMBER(C20),ISNUMBER(D20)),C20-D20,NA())</f>
        <v/>
      </c>
      <c r="G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H20" s="8">
        <f>IFERROR(INDEX(Crude_Oil_Impact!$H:$H, MATCH($A20, Crude_Oil_Impact!$A:$A, 0)), NA())</f>
        <v/>
      </c>
      <c r="I20" s="5">
        <f>IFERROR(INDEX(REER_Data!$C:$C, MATCH($A20, REER_Data!$A:$A, 0)), NA())</f>
        <v/>
      </c>
      <c r="J20" s="5">
        <f>IFERROR(INDEX(REER_Data!$E:$E, MATCH($A20, REER_Data!$A:$A, 0)) / 100, NA())</f>
        <v/>
      </c>
      <c r="K20" t="inlineStr">
        <is>
          <t>NA()</t>
        </is>
      </c>
      <c r="M20" t="n">
        <v>1862740000000</v>
      </c>
      <c r="N20" s="5">
        <f>IFERROR(1*INDEX(CAGR!$H:$H, MATCH($A20&amp;"|"&amp;$B$2, CAGR!$Q:$Q, 0)), NA())</f>
        <v/>
      </c>
      <c r="O20" s="5">
        <f>IFERROR(1*INDEX(CAGR!$G:$G, MATCH($A20&amp;"|"&amp;$B$2, CAGR!$Q:$Q, 0)), NA())</f>
        <v/>
      </c>
      <c r="Q20" s="5">
        <f>IFERROR(1*INDEX(CAGR!$J:$J, MATCH($A20&amp;"|"&amp;$B$2, CAGR!$Q:$Q, 0)), NA())</f>
        <v/>
      </c>
      <c r="R20" s="5">
        <f>IFERROR(1*INDEX(CAGR!$K:$K, MATCH($A20&amp;"|"&amp;$B$2, CAGR!$Q:$Q, 0)), NA())</f>
        <v/>
      </c>
      <c r="S20" s="7" t="n"/>
      <c r="T20" t="inlineStr">
        <is>
          <t>NA()</t>
        </is>
      </c>
      <c r="V20" s="5">
        <f>IFERROR(1*INDEX(CAGR!$N:$N, MATCH($A20&amp;"|"&amp;$B$2, CAGR!$Q:$Q, 0)), NA())</f>
        <v/>
      </c>
      <c r="X20" s="5">
        <f>IF(AND(ISNUMBER(Q20),ISNUMBER(V20)),Q20+V20,NA())</f>
        <v/>
      </c>
      <c r="Z20" t="inlineStr">
        <is>
          <t>Latin America</t>
        </is>
      </c>
      <c r="AA20" t="inlineStr">
        <is>
          <t>MXN</t>
        </is>
      </c>
      <c r="AC20">
        <f>IFERROR(INDEX(Lists!$J$2:$J$42, MATCH($B20, Lists!$I$2:$I$42, 0)),"")</f>
        <v/>
      </c>
      <c r="AD20">
        <f>IFERROR(INDEX(Lists!$K$2:$K$42, MATCH($B20, Lists!$I$2:$I$42, 0)),"")</f>
        <v/>
      </c>
      <c r="AE20" t="inlineStr">
        <is>
          <t>https://www.msci.com/documents/10199/255599/msci-mexico-index-usd-net.pdf</t>
        </is>
      </c>
    </row>
    <row r="21">
      <c r="A21" t="inlineStr">
        <is>
          <t>Netherlands</t>
        </is>
      </c>
      <c r="B21" t="inlineStr">
        <is>
          <t>EWN</t>
        </is>
      </c>
      <c r="C21" s="5">
        <f>IFERROR(1*INDEX(CAGR!$I:$I, MATCH($A21&amp;"|"&amp;$B$2, CAGR!$Q:$Q, 0)), NA())</f>
        <v/>
      </c>
      <c r="D21" s="5">
        <f>IFERROR(1*INDEX(CAGR!$F:$F, MATCH($A21&amp;"|"&amp;$B21&amp;"|"&amp;$B$2, CAGR!$P:$P, 0)), NA())</f>
        <v/>
      </c>
      <c r="E21" s="6">
        <f>IFERROR(INDEX(MSCI!$B:$E, MATCH("Netherlands", MSCI!$A:$A, 0), MATCH($B$2, MSCI!$B$1:$E$1, 0)), NA())</f>
        <v/>
      </c>
      <c r="F21" s="5">
        <f>IF(AND(ISNUMBER(C21),ISNUMBER(D21)),C21-D21,NA())</f>
        <v/>
      </c>
      <c r="G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H21" s="5">
        <f>IFERROR(INDEX(Crude_Oil_Impact!$H:$H, MATCH($A21, Crude_Oil_Impact!$A:$A, 0)), NA())</f>
        <v/>
      </c>
      <c r="I21" s="5">
        <f>IFERROR(INDEX(REER_Data!$C:$C, MATCH($A21, REER_Data!$A:$A, 0)), NA())</f>
        <v/>
      </c>
      <c r="J21" s="5">
        <f>IFERROR(INDEX(REER_Data!$E:$E, MATCH($A21, REER_Data!$A:$A, 0)) / 100, NA())</f>
        <v/>
      </c>
      <c r="K21" t="inlineStr">
        <is>
          <t>NA()</t>
        </is>
      </c>
      <c r="M21" t="n">
        <v>1320635000000</v>
      </c>
      <c r="N21" s="5">
        <f>IFERROR(1*INDEX(CAGR!$H:$H, MATCH($A21&amp;"|"&amp;$B$2, CAGR!$Q:$Q, 0)), NA())</f>
        <v/>
      </c>
      <c r="O21" s="5">
        <f>IFERROR(1*INDEX(CAGR!$G:$G, MATCH($A21&amp;"|"&amp;$B$2, CAGR!$Q:$Q, 0)), NA())</f>
        <v/>
      </c>
      <c r="Q21" s="5">
        <f>IFERROR(1*INDEX(CAGR!$J:$J, MATCH($A21&amp;"|"&amp;$B$2, CAGR!$Q:$Q, 0)), NA())</f>
        <v/>
      </c>
      <c r="R21" s="5">
        <f>IFERROR(1*INDEX(CAGR!$K:$K, MATCH($A21&amp;"|"&amp;$B$2, CAGR!$Q:$Q, 0)), NA())</f>
        <v/>
      </c>
      <c r="S21" s="7" t="n">
        <v>1</v>
      </c>
      <c r="T21" t="inlineStr">
        <is>
          <t>NA()</t>
        </is>
      </c>
      <c r="V21" s="5">
        <f>IFERROR(1*INDEX(CAGR!$N:$N, MATCH($A21&amp;"|"&amp;$B$2, CAGR!$Q:$Q, 0)), NA())</f>
        <v/>
      </c>
      <c r="X21" s="5">
        <f>IF(AND(ISNUMBER(Q21),ISNUMBER(V21)),Q21+V21,NA())</f>
        <v/>
      </c>
      <c r="Z21" t="inlineStr">
        <is>
          <t>Europe</t>
        </is>
      </c>
      <c r="AA21" t="inlineStr">
        <is>
          <t>EUR</t>
        </is>
      </c>
      <c r="AC21">
        <f>IFERROR(INDEX(Lists!$J$2:$J$42, MATCH($B21, Lists!$I$2:$I$42, 0)),"")</f>
        <v/>
      </c>
      <c r="AD21">
        <f>IFERROR(INDEX(Lists!$K$2:$K$42, MATCH($B21, Lists!$I$2:$I$42, 0)),"")</f>
        <v/>
      </c>
      <c r="AE21" t="inlineStr">
        <is>
          <t>https://www.msci.com/documents/10199/255599/msci-netherlands-index-usd-gross.pdf</t>
        </is>
      </c>
    </row>
    <row r="22">
      <c r="A22" t="inlineStr">
        <is>
          <t>Pakistan</t>
        </is>
      </c>
      <c r="B22" t="inlineStr">
        <is>
          <t>XBAK.L</t>
        </is>
      </c>
      <c r="C22" s="5">
        <f>IFERROR(1*INDEX(CAGR!$I:$I, MATCH($A22&amp;"|"&amp;$B$2, CAGR!$Q:$Q, 0)), NA())</f>
        <v/>
      </c>
      <c r="D22" s="5">
        <f>IFERROR(1*INDEX(CAGR!$F:$F, MATCH($A22&amp;"|"&amp;$B22&amp;"|"&amp;$B$2, CAGR!$P:$P, 0)), NA())</f>
        <v/>
      </c>
      <c r="E22" s="6">
        <f>IFERROR(INDEX(MSCI!$B:$E, MATCH("Pakistan", MSCI!$A:$A, 0), MATCH($B$2, MSCI!$B$1:$E$1, 0)), NA())</f>
        <v/>
      </c>
      <c r="F22" s="5">
        <f>IF(AND(ISNUMBER(C22),ISNUMBER(D22)),C22-D22,NA())</f>
        <v/>
      </c>
      <c r="G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H22" s="5">
        <f>IFERROR(INDEX(Crude_Oil_Impact!$H:$H, MATCH($A22, Crude_Oil_Impact!$A:$A, 0)), NA())</f>
        <v/>
      </c>
      <c r="I22" s="5">
        <f>IFERROR(INDEX(REER_Data!$C:$C, MATCH($A22, REER_Data!$A:$A, 0)), NA())</f>
        <v/>
      </c>
      <c r="J22" s="5">
        <f>IFERROR(INDEX(REER_Data!$E:$E, MATCH($A22, REER_Data!$A:$A, 0)) / 100, NA())</f>
        <v/>
      </c>
      <c r="K22" t="inlineStr">
        <is>
          <t>NA()</t>
        </is>
      </c>
      <c r="M22" t="n">
        <v>410495000000</v>
      </c>
      <c r="N22" s="5">
        <f>IFERROR(1*INDEX(CAGR!$H:$H, MATCH($A22&amp;"|"&amp;$B$2, CAGR!$Q:$Q, 0)), NA())</f>
        <v/>
      </c>
      <c r="O22" s="5">
        <f>IFERROR(1*INDEX(CAGR!$G:$G, MATCH($A22&amp;"|"&amp;$B$2, CAGR!$Q:$Q, 0)), NA())</f>
        <v/>
      </c>
      <c r="Q22" s="5">
        <f>IFERROR(1*INDEX(CAGR!$J:$J, MATCH($A22&amp;"|"&amp;$B$2, CAGR!$Q:$Q, 0)), NA())</f>
        <v/>
      </c>
      <c r="R22" s="5">
        <f>IFERROR(1*INDEX(CAGR!$K:$K, MATCH($A22&amp;"|"&amp;$B$2, CAGR!$Q:$Q, 0)), NA())</f>
        <v/>
      </c>
      <c r="S22" s="7" t="n">
        <v>1</v>
      </c>
      <c r="T22" t="inlineStr">
        <is>
          <t>NA()</t>
        </is>
      </c>
      <c r="V22" s="5">
        <f>IFERROR(1*INDEX(CAGR!$N:$N, MATCH($A22&amp;"|"&amp;$B$2, CAGR!$Q:$Q, 0)), NA())</f>
        <v/>
      </c>
      <c r="X22" s="5">
        <f>IF(AND(ISNUMBER(Q22),ISNUMBER(V22)),Q22+V22,NA())</f>
        <v/>
      </c>
      <c r="Z22" t="inlineStr">
        <is>
          <t>Asia</t>
        </is>
      </c>
      <c r="AA22" t="inlineStr">
        <is>
          <t>PKR</t>
        </is>
      </c>
      <c r="AC22">
        <f>IFERROR(INDEX(Lists!$J$2:$J$42, MATCH($B22, Lists!$I$2:$I$42, 0)),"")</f>
        <v/>
      </c>
      <c r="AD22">
        <f>IFERROR(INDEX(Lists!$K$2:$K$42, MATCH($B22, Lists!$I$2:$I$42, 0)),"")</f>
        <v/>
      </c>
      <c r="AE22" t="inlineStr">
        <is>
          <t>https://www.msci.com/documents/10199/255599/msci-pakistan-index-usd-net.pdf</t>
        </is>
      </c>
    </row>
    <row r="23">
      <c r="A23" t="inlineStr">
        <is>
          <t>Philippines</t>
        </is>
      </c>
      <c r="B23" t="inlineStr">
        <is>
          <t>XPHG.L</t>
        </is>
      </c>
      <c r="C23" s="5">
        <f>IFERROR(1*INDEX(CAGR!$I:$I, MATCH($A23&amp;"|"&amp;$B$2, CAGR!$Q:$Q, 0)), NA())</f>
        <v/>
      </c>
      <c r="D23" s="5">
        <f>IFERROR(1*INDEX(CAGR!$F:$F, MATCH($A23&amp;"|"&amp;$B23&amp;"|"&amp;$B$2, CAGR!$P:$P, 0)), NA())</f>
        <v/>
      </c>
      <c r="E23" s="6">
        <f>IFERROR(INDEX(MSCI!$B:$E, MATCH("Philippines", MSCI!$A:$A, 0), MATCH($B$2, MSCI!$B$1:$E$1, 0)), NA())</f>
        <v/>
      </c>
      <c r="F23" s="5">
        <f>IF(AND(ISNUMBER(C23),ISNUMBER(D23)),C23-D23,NA())</f>
        <v/>
      </c>
      <c r="G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H23" s="8">
        <f>IFERROR(INDEX(Crude_Oil_Impact!$H:$H, MATCH($A23, Crude_Oil_Impact!$A:$A, 0)), NA())</f>
        <v/>
      </c>
      <c r="I23" s="5">
        <f>IFERROR(INDEX(REER_Data!$C:$C, MATCH($A23, REER_Data!$A:$A, 0)), NA())</f>
        <v/>
      </c>
      <c r="J23" s="5">
        <f>IFERROR(INDEX(REER_Data!$E:$E, MATCH($A23, REER_Data!$A:$A, 0)) / 100, NA())</f>
        <v/>
      </c>
      <c r="K23" t="inlineStr">
        <is>
          <t>NA()</t>
        </is>
      </c>
      <c r="M23" t="n">
        <v>494158000000</v>
      </c>
      <c r="N23" s="5">
        <f>IFERROR(1*INDEX(CAGR!$H:$H, MATCH($A23&amp;"|"&amp;$B$2, CAGR!$Q:$Q, 0)), NA())</f>
        <v/>
      </c>
      <c r="O23" s="5">
        <f>IFERROR(1*INDEX(CAGR!$G:$G, MATCH($A23&amp;"|"&amp;$B$2, CAGR!$Q:$Q, 0)), NA())</f>
        <v/>
      </c>
      <c r="Q23" s="5">
        <f>IFERROR(1*INDEX(CAGR!$J:$J, MATCH($A23&amp;"|"&amp;$B$2, CAGR!$Q:$Q, 0)), NA())</f>
        <v/>
      </c>
      <c r="R23" s="5">
        <f>IFERROR(1*INDEX(CAGR!$K:$K, MATCH($A23&amp;"|"&amp;$B$2, CAGR!$Q:$Q, 0)), NA())</f>
        <v/>
      </c>
      <c r="S23" s="7" t="n"/>
      <c r="T23" t="inlineStr">
        <is>
          <t>NA()</t>
        </is>
      </c>
      <c r="V23" s="5">
        <f>IFERROR(1*INDEX(CAGR!$N:$N, MATCH($A23&amp;"|"&amp;$B$2, CAGR!$Q:$Q, 0)), NA())</f>
        <v/>
      </c>
      <c r="X23" s="5">
        <f>IF(AND(ISNUMBER(Q23),ISNUMBER(V23)),Q23+V23,NA())</f>
        <v/>
      </c>
      <c r="Z23" t="inlineStr">
        <is>
          <t>Asia</t>
        </is>
      </c>
      <c r="AA23" t="inlineStr">
        <is>
          <t>PHP</t>
        </is>
      </c>
      <c r="AC23">
        <f>IFERROR(INDEX(Lists!$J$2:$J$42, MATCH($B23, Lists!$I$2:$I$42, 0)),"")</f>
        <v/>
      </c>
      <c r="AD23">
        <f>IFERROR(INDEX(Lists!$K$2:$K$42, MATCH($B23, Lists!$I$2:$I$42, 0)),"")</f>
        <v/>
      </c>
      <c r="AE23" t="inlineStr">
        <is>
          <t>https://www.msci.com/documents/10199/255599/msci-philippines-index.pdf</t>
        </is>
      </c>
    </row>
    <row r="24">
      <c r="A24" t="inlineStr">
        <is>
          <t>Poland</t>
        </is>
      </c>
      <c r="B24" t="inlineStr">
        <is>
          <t>IPOL.L</t>
        </is>
      </c>
      <c r="C24" s="5">
        <f>IFERROR(1*INDEX(CAGR!$I:$I, MATCH($A24&amp;"|"&amp;$B$2, CAGR!$Q:$Q, 0)), NA())</f>
        <v/>
      </c>
      <c r="D24" s="5">
        <f>IFERROR(1*INDEX(CAGR!$F:$F, MATCH($A24&amp;"|"&amp;$B24&amp;"|"&amp;$B$2, CAGR!$P:$P, 0)), NA())</f>
        <v/>
      </c>
      <c r="E24" s="6">
        <f>IFERROR(INDEX(MSCI!$B:$E, MATCH("Poland", MSCI!$A:$A, 0), MATCH($B$2, MSCI!$B$1:$E$1, 0)), NA())</f>
        <v/>
      </c>
      <c r="F24" s="5">
        <f>IF(AND(ISNUMBER(C24),ISNUMBER(D24)),C24-D24,NA())</f>
        <v/>
      </c>
      <c r="G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H24" s="5">
        <f>IFERROR(INDEX(Crude_Oil_Impact!$H:$H, MATCH($A24, Crude_Oil_Impact!$A:$A, 0)), NA())</f>
        <v/>
      </c>
      <c r="I24" s="5">
        <f>IFERROR(INDEX(REER_Data!$C:$C, MATCH($A24, REER_Data!$A:$A, 0)), NA())</f>
        <v/>
      </c>
      <c r="J24" s="5">
        <f>IFERROR(INDEX(REER_Data!$E:$E, MATCH($A24, REER_Data!$A:$A, 0)) / 100, NA())</f>
        <v/>
      </c>
      <c r="K24" t="inlineStr">
        <is>
          <t>NA()</t>
        </is>
      </c>
      <c r="M24" t="n">
        <v>1039619000000</v>
      </c>
      <c r="N24" s="5">
        <f>IFERROR(1*INDEX(CAGR!$H:$H, MATCH($A24&amp;"|"&amp;$B$2, CAGR!$Q:$Q, 0)), NA())</f>
        <v/>
      </c>
      <c r="O24" s="5">
        <f>IFERROR(1*INDEX(CAGR!$G:$G, MATCH($A24&amp;"|"&amp;$B$2, CAGR!$Q:$Q, 0)), NA())</f>
        <v/>
      </c>
      <c r="Q24" s="5">
        <f>IFERROR(1*INDEX(CAGR!$J:$J, MATCH($A24&amp;"|"&amp;$B$2, CAGR!$Q:$Q, 0)), NA())</f>
        <v/>
      </c>
      <c r="R24" s="5">
        <f>IFERROR(1*INDEX(CAGR!$K:$K, MATCH($A24&amp;"|"&amp;$B$2, CAGR!$Q:$Q, 0)), NA())</f>
        <v/>
      </c>
      <c r="S24" s="7" t="n">
        <v>1</v>
      </c>
      <c r="T24" t="inlineStr">
        <is>
          <t>NA()</t>
        </is>
      </c>
      <c r="V24" s="5">
        <f>IFERROR(1*INDEX(CAGR!$N:$N, MATCH($A24&amp;"|"&amp;$B$2, CAGR!$Q:$Q, 0)), NA())</f>
        <v/>
      </c>
      <c r="X24" s="5">
        <f>IF(AND(ISNUMBER(Q24),ISNUMBER(V24)),Q24+V24,NA())</f>
        <v/>
      </c>
      <c r="Z24" t="inlineStr">
        <is>
          <t>Europe</t>
        </is>
      </c>
      <c r="AA24" t="inlineStr">
        <is>
          <t>PLN</t>
        </is>
      </c>
      <c r="AC24">
        <f>IFERROR(INDEX(Lists!$J$2:$J$42, MATCH($B24, Lists!$I$2:$I$42, 0)),"")</f>
        <v/>
      </c>
      <c r="AD24">
        <f>IFERROR(INDEX(Lists!$K$2:$K$42, MATCH($B24, Lists!$I$2:$I$42, 0)),"")</f>
        <v/>
      </c>
      <c r="AE24" t="inlineStr">
        <is>
          <t>https://www.msci.com/documents/10199/255599/msci-poland-index-usd-gross.pdf</t>
        </is>
      </c>
    </row>
    <row r="25">
      <c r="A25" t="inlineStr">
        <is>
          <t>Saudi Arabia</t>
        </is>
      </c>
      <c r="B25" t="inlineStr">
        <is>
          <t>IKSA.L</t>
        </is>
      </c>
      <c r="C25" s="5">
        <f>IFERROR(1*INDEX(CAGR!$I:$I, MATCH($A25&amp;"|"&amp;$B$2, CAGR!$Q:$Q, 0)), NA())</f>
        <v/>
      </c>
      <c r="D25" s="5">
        <f>IFERROR(1*INDEX(CAGR!$F:$F, MATCH($A25&amp;"|"&amp;$B25&amp;"|"&amp;$B$2, CAGR!$P:$P, 0)), NA())</f>
        <v/>
      </c>
      <c r="E25" s="6">
        <f>IFERROR(INDEX(MSCI!$B:$E, MATCH("Saudi Arabia", MSCI!$A:$A, 0), MATCH($B$2, MSCI!$B$1:$E$1, 0)), NA())</f>
        <v/>
      </c>
      <c r="F25" s="5">
        <f>IF(AND(ISNUMBER(C25),ISNUMBER(D25)),C25-D25,NA())</f>
        <v/>
      </c>
      <c r="G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H25" s="5">
        <f>IFERROR(INDEX(Crude_Oil_Impact!$H:$H, MATCH($A25, Crude_Oil_Impact!$A:$A, 0)), NA())</f>
        <v/>
      </c>
      <c r="I25" s="5">
        <f>IFERROR(INDEX(REER_Data!$C:$C, MATCH($A25, REER_Data!$A:$A, 0)), NA())</f>
        <v/>
      </c>
      <c r="J25" s="5">
        <f>IFERROR(INDEX(REER_Data!$E:$E, MATCH($A25, REER_Data!$A:$A, 0)) / 100, NA())</f>
        <v/>
      </c>
      <c r="K25" t="inlineStr">
        <is>
          <t>NA()</t>
        </is>
      </c>
      <c r="M25" t="n">
        <v>1268535000000</v>
      </c>
      <c r="N25" s="5">
        <f>IFERROR(1*INDEX(CAGR!$H:$H, MATCH($A25&amp;"|"&amp;$B$2, CAGR!$Q:$Q, 0)), NA())</f>
        <v/>
      </c>
      <c r="O25" s="5">
        <f>IFERROR(1*INDEX(CAGR!$G:$G, MATCH($A25&amp;"|"&amp;$B$2, CAGR!$Q:$Q, 0)), NA())</f>
        <v/>
      </c>
      <c r="Q25" s="5">
        <f>IFERROR(1*INDEX(CAGR!$J:$J, MATCH($A25&amp;"|"&amp;$B$2, CAGR!$Q:$Q, 0)), NA())</f>
        <v/>
      </c>
      <c r="R25" s="5">
        <f>IFERROR(1*INDEX(CAGR!$K:$K, MATCH($A25&amp;"|"&amp;$B$2, CAGR!$Q:$Q, 0)), NA())</f>
        <v/>
      </c>
      <c r="S25" s="7" t="n">
        <v>1</v>
      </c>
      <c r="T25" t="inlineStr">
        <is>
          <t>NA()</t>
        </is>
      </c>
      <c r="V25" s="5">
        <f>IFERROR(1*INDEX(CAGR!$N:$N, MATCH($A25&amp;"|"&amp;$B$2, CAGR!$Q:$Q, 0)), NA())</f>
        <v/>
      </c>
      <c r="X25" s="5">
        <f>IF(AND(ISNUMBER(Q25),ISNUMBER(V25)),Q25+V25,NA())</f>
        <v/>
      </c>
      <c r="Z25" t="inlineStr">
        <is>
          <t>Middle East</t>
        </is>
      </c>
      <c r="AA25" t="inlineStr">
        <is>
          <t>SAR</t>
        </is>
      </c>
      <c r="AC25">
        <f>IFERROR(INDEX(Lists!$J$2:$J$42, MATCH($B25, Lists!$I$2:$I$42, 0)),"")</f>
        <v/>
      </c>
      <c r="AD25">
        <f>IFERROR(INDEX(Lists!$K$2:$K$42, MATCH($B25, Lists!$I$2:$I$42, 0)),"")</f>
        <v/>
      </c>
      <c r="AE25" t="inlineStr">
        <is>
          <t>https://www.msci.com/documents/10199/255599/msci-saudi-arabia-index-usd-gross.pdf</t>
        </is>
      </c>
    </row>
    <row r="26">
      <c r="A26" t="inlineStr">
        <is>
          <t>Singapore</t>
        </is>
      </c>
      <c r="B26" t="inlineStr">
        <is>
          <t>EWS</t>
        </is>
      </c>
      <c r="C26" s="5">
        <f>IFERROR(1*INDEX(CAGR!$I:$I, MATCH($A26&amp;"|"&amp;$B$2, CAGR!$Q:$Q, 0)), NA())</f>
        <v/>
      </c>
      <c r="D26" s="5">
        <f>IFERROR(1*INDEX(CAGR!$F:$F, MATCH($A26&amp;"|"&amp;$B26&amp;"|"&amp;$B$2, CAGR!$P:$P, 0)), NA())</f>
        <v/>
      </c>
      <c r="E26" s="6">
        <f>IFERROR(INDEX(MSCI!$B:$E, MATCH("Singapore", MSCI!$A:$A, 0), MATCH($B$2, MSCI!$B$1:$E$1, 0)), NA())</f>
        <v/>
      </c>
      <c r="F26" s="5">
        <f>IF(AND(ISNUMBER(C26),ISNUMBER(D26)),C26-D26,NA())</f>
        <v/>
      </c>
      <c r="G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H26" s="5">
        <f>IFERROR(INDEX(Crude_Oil_Impact!$H:$H, MATCH($A26, Crude_Oil_Impact!$A:$A, 0)), NA())</f>
        <v/>
      </c>
      <c r="I26" s="5">
        <f>IFERROR(INDEX(REER_Data!$C:$C, MATCH($A26, REER_Data!$A:$A, 0)), NA())</f>
        <v/>
      </c>
      <c r="J26" s="5">
        <f>IFERROR(INDEX(REER_Data!$E:$E, MATCH($A26, REER_Data!$A:$A, 0)) / 100, NA())</f>
        <v/>
      </c>
      <c r="K26" t="inlineStr">
        <is>
          <t>NA()</t>
        </is>
      </c>
      <c r="M26" t="n">
        <v>574185000000</v>
      </c>
      <c r="N26" s="5">
        <f>IFERROR(1*INDEX(CAGR!$H:$H, MATCH($A26&amp;"|"&amp;$B$2, CAGR!$Q:$Q, 0)), NA())</f>
        <v/>
      </c>
      <c r="O26" s="5">
        <f>IFERROR(1*INDEX(CAGR!$G:$G, MATCH($A26&amp;"|"&amp;$B$2, CAGR!$Q:$Q, 0)), NA())</f>
        <v/>
      </c>
      <c r="Q26" s="5">
        <f>IFERROR(1*INDEX(CAGR!$J:$J, MATCH($A26&amp;"|"&amp;$B$2, CAGR!$Q:$Q, 0)), NA())</f>
        <v/>
      </c>
      <c r="R26" s="5">
        <f>IFERROR(1*INDEX(CAGR!$K:$K, MATCH($A26&amp;"|"&amp;$B$2, CAGR!$Q:$Q, 0)), NA())</f>
        <v/>
      </c>
      <c r="S26" s="7" t="n">
        <v>1</v>
      </c>
      <c r="T26" t="inlineStr">
        <is>
          <t>NA()</t>
        </is>
      </c>
      <c r="V26" s="5">
        <f>IFERROR(1*INDEX(CAGR!$N:$N, MATCH($A26&amp;"|"&amp;$B$2, CAGR!$Q:$Q, 0)), NA())</f>
        <v/>
      </c>
      <c r="X26" s="5">
        <f>IF(AND(ISNUMBER(Q26),ISNUMBER(V26)),Q26+V26,NA())</f>
        <v/>
      </c>
      <c r="Z26" t="inlineStr">
        <is>
          <t>Asia</t>
        </is>
      </c>
      <c r="AA26" t="inlineStr">
        <is>
          <t>SGD</t>
        </is>
      </c>
      <c r="AC26">
        <f>IFERROR(INDEX(Lists!$J$2:$J$42, MATCH($B26, Lists!$I$2:$I$42, 0)),"")</f>
        <v/>
      </c>
      <c r="AD26">
        <f>IFERROR(INDEX(Lists!$K$2:$K$42, MATCH($B26, Lists!$I$2:$I$42, 0)),"")</f>
        <v/>
      </c>
      <c r="AE26" t="inlineStr">
        <is>
          <t>https://www.msci.com/documents/10199/255599/msci-singapore-index.pdf</t>
        </is>
      </c>
    </row>
    <row r="27">
      <c r="A27" t="inlineStr">
        <is>
          <t>South Africa</t>
        </is>
      </c>
      <c r="B27" t="inlineStr">
        <is>
          <t>IRSA.L</t>
        </is>
      </c>
      <c r="C27" s="5">
        <f>IFERROR(1*INDEX(CAGR!$I:$I, MATCH($A27&amp;"|"&amp;$B$2, CAGR!$Q:$Q, 0)), NA())</f>
        <v/>
      </c>
      <c r="D27" s="5">
        <f>IFERROR(1*INDEX(CAGR!$F:$F, MATCH($A27&amp;"|"&amp;$B27&amp;"|"&amp;$B$2, CAGR!$P:$P, 0)), NA())</f>
        <v/>
      </c>
      <c r="E27" s="6">
        <f>IFERROR(INDEX(MSCI!$B:$E, MATCH("South Africa", MSCI!$A:$A, 0), MATCH($B$2, MSCI!$B$1:$E$1, 0)), NA())</f>
        <v/>
      </c>
      <c r="F27" s="5">
        <f>IF(AND(ISNUMBER(C27),ISNUMBER(D27)),C27-D27,NA())</f>
        <v/>
      </c>
      <c r="G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H27" s="5">
        <f>IFERROR(INDEX(Crude_Oil_Impact!$H:$H, MATCH($A27, Crude_Oil_Impact!$A:$A, 0)), NA())</f>
        <v/>
      </c>
      <c r="I27" s="5">
        <f>IFERROR(INDEX(REER_Data!$C:$C, MATCH($A27, REER_Data!$A:$A, 0)), NA())</f>
        <v/>
      </c>
      <c r="J27" s="5">
        <f>IFERROR(INDEX(REER_Data!$E:$E, MATCH($A27, REER_Data!$A:$A, 0)) / 100, NA())</f>
        <v/>
      </c>
      <c r="K27" t="inlineStr">
        <is>
          <t>NA()</t>
        </is>
      </c>
      <c r="M27" t="n">
        <v>426383000000</v>
      </c>
      <c r="N27" s="5">
        <f>IFERROR(1*INDEX(CAGR!$H:$H, MATCH($A27&amp;"|"&amp;$B$2, CAGR!$Q:$Q, 0)), NA())</f>
        <v/>
      </c>
      <c r="O27" s="5">
        <f>IFERROR(1*INDEX(CAGR!$G:$G, MATCH($A27&amp;"|"&amp;$B$2, CAGR!$Q:$Q, 0)), NA())</f>
        <v/>
      </c>
      <c r="Q27" s="5">
        <f>IFERROR(1*INDEX(CAGR!$J:$J, MATCH($A27&amp;"|"&amp;$B$2, CAGR!$Q:$Q, 0)), NA())</f>
        <v/>
      </c>
      <c r="R27" s="5">
        <f>IFERROR(1*INDEX(CAGR!$K:$K, MATCH($A27&amp;"|"&amp;$B$2, CAGR!$Q:$Q, 0)), NA())</f>
        <v/>
      </c>
      <c r="S27" s="7" t="n">
        <v>1</v>
      </c>
      <c r="T27" t="inlineStr">
        <is>
          <t>NA()</t>
        </is>
      </c>
      <c r="V27" s="5">
        <f>IFERROR(1*INDEX(CAGR!$N:$N, MATCH($A27&amp;"|"&amp;$B$2, CAGR!$Q:$Q, 0)), NA())</f>
        <v/>
      </c>
      <c r="X27" s="5">
        <f>IF(AND(ISNUMBER(Q27),ISNUMBER(V27)),Q27+V27,NA())</f>
        <v/>
      </c>
      <c r="Z27" t="inlineStr">
        <is>
          <t>Africa</t>
        </is>
      </c>
      <c r="AA27" t="inlineStr">
        <is>
          <t>ZAR</t>
        </is>
      </c>
      <c r="AC27">
        <f>IFERROR(INDEX(Lists!$J$2:$J$42, MATCH($B27, Lists!$I$2:$I$42, 0)),"")</f>
        <v/>
      </c>
      <c r="AD27">
        <f>IFERROR(INDEX(Lists!$K$2:$K$42, MATCH($B27, Lists!$I$2:$I$42, 0)),"")</f>
        <v/>
      </c>
      <c r="AE27" t="inlineStr">
        <is>
          <t>https://www.msci.com/documents/10199/255599/msci-south-africa-usd-gross.pdf</t>
        </is>
      </c>
    </row>
    <row r="28">
      <c r="A28" t="inlineStr">
        <is>
          <t>South Korea</t>
        </is>
      </c>
      <c r="B28" t="inlineStr">
        <is>
          <t>CSKR.L</t>
        </is>
      </c>
      <c r="C28" s="5">
        <f>IFERROR(1*INDEX(CAGR!$I:$I, MATCH($A28&amp;"|"&amp;$B$2, CAGR!$Q:$Q, 0)), NA())</f>
        <v/>
      </c>
      <c r="D28" s="5">
        <f>IFERROR(1*INDEX(CAGR!$F:$F, MATCH($A28&amp;"|"&amp;$B28&amp;"|"&amp;$B$2, CAGR!$P:$P, 0)), NA())</f>
        <v/>
      </c>
      <c r="E28" s="6">
        <f>IFERROR(INDEX(MSCI!$B:$E, MATCH("South Korea", MSCI!$A:$A, 0), MATCH($B$2, MSCI!$B$1:$E$1, 0)), NA())</f>
        <v/>
      </c>
      <c r="F28" s="5">
        <f>IF(AND(ISNUMBER(C28),ISNUMBER(D28)),C28-D28,NA())</f>
        <v/>
      </c>
      <c r="G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H28" s="5">
        <f>IFERROR(INDEX(Crude_Oil_Impact!$H:$H, MATCH($A28, Crude_Oil_Impact!$A:$A, 0)), NA())</f>
        <v/>
      </c>
      <c r="I28" s="5">
        <f>IFERROR(INDEX(REER_Data!$C:$C, MATCH($A28, REER_Data!$A:$A, 0)), NA())</f>
        <v/>
      </c>
      <c r="J28" s="5">
        <f>IFERROR(INDEX(REER_Data!$E:$E, MATCH($A28, REER_Data!$A:$A, 0)) / 100, NA())</f>
        <v/>
      </c>
      <c r="K28" t="inlineStr">
        <is>
          <t>NA()</t>
        </is>
      </c>
      <c r="M28" t="n">
        <v>1858572000000</v>
      </c>
      <c r="N28" s="5">
        <f>IFERROR(1*INDEX(CAGR!$H:$H, MATCH($A28&amp;"|"&amp;$B$2, CAGR!$Q:$Q, 0)), NA())</f>
        <v/>
      </c>
      <c r="O28" s="5">
        <f>IFERROR(1*INDEX(CAGR!$G:$G, MATCH($A28&amp;"|"&amp;$B$2, CAGR!$Q:$Q, 0)), NA())</f>
        <v/>
      </c>
      <c r="Q28" s="5">
        <f>IFERROR(1*INDEX(CAGR!$J:$J, MATCH($A28&amp;"|"&amp;$B$2, CAGR!$Q:$Q, 0)), NA())</f>
        <v/>
      </c>
      <c r="R28" s="5">
        <f>IFERROR(1*INDEX(CAGR!$K:$K, MATCH($A28&amp;"|"&amp;$B$2, CAGR!$Q:$Q, 0)), NA())</f>
        <v/>
      </c>
      <c r="S28" s="7" t="n">
        <v>1</v>
      </c>
      <c r="T28" t="inlineStr">
        <is>
          <t>NA()</t>
        </is>
      </c>
      <c r="V28" s="5">
        <f>IFERROR(1*INDEX(CAGR!$N:$N, MATCH($A28&amp;"|"&amp;$B$2, CAGR!$Q:$Q, 0)), NA())</f>
        <v/>
      </c>
      <c r="X28" s="5">
        <f>IF(AND(ISNUMBER(Q28),ISNUMBER(V28)),Q28+V28,NA())</f>
        <v/>
      </c>
      <c r="Z28" t="inlineStr">
        <is>
          <t>Asia</t>
        </is>
      </c>
      <c r="AA28" t="inlineStr">
        <is>
          <t>KRW</t>
        </is>
      </c>
      <c r="AC28">
        <f>IFERROR(INDEX(Lists!$J$2:$J$42, MATCH($B28, Lists!$I$2:$I$42, 0)),"")</f>
        <v/>
      </c>
      <c r="AD28">
        <f>IFERROR(INDEX(Lists!$K$2:$K$42, MATCH($B28, Lists!$I$2:$I$42, 0)),"")</f>
        <v/>
      </c>
      <c r="AE28" t="inlineStr">
        <is>
          <t>https://www.msci.com/documents/10199/255599/msci-korea-index.pdf</t>
        </is>
      </c>
    </row>
    <row r="29">
      <c r="A29" t="inlineStr">
        <is>
          <t>Spain</t>
        </is>
      </c>
      <c r="B29" t="inlineStr">
        <is>
          <t>XESP.DE</t>
        </is>
      </c>
      <c r="C29" s="5">
        <f>IFERROR(1*INDEX(CAGR!$I:$I, MATCH($A29&amp;"|"&amp;$B$2, CAGR!$Q:$Q, 0)), NA())</f>
        <v/>
      </c>
      <c r="D29" s="5">
        <f>IFERROR(1*INDEX(CAGR!$F:$F, MATCH($A29&amp;"|"&amp;$B29&amp;"|"&amp;$B$2, CAGR!$P:$P, 0)), NA())</f>
        <v/>
      </c>
      <c r="E29" s="6">
        <f>IFERROR(INDEX(MSCI!$B:$E, MATCH("Spain", MSCI!$A:$A, 0), MATCH($B$2, MSCI!$B$1:$E$1, 0)), NA())</f>
        <v/>
      </c>
      <c r="F29" s="5">
        <f>IF(AND(ISNUMBER(C29),ISNUMBER(D29)),C29-D29,NA())</f>
        <v/>
      </c>
      <c r="G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H29" s="8">
        <f>IFERROR(INDEX(Crude_Oil_Impact!$H:$H, MATCH($A29, Crude_Oil_Impact!$A:$A, 0)), NA())</f>
        <v/>
      </c>
      <c r="I29" s="5">
        <f>IFERROR(INDEX(REER_Data!$C:$C, MATCH($A29, REER_Data!$A:$A, 0)), NA())</f>
        <v/>
      </c>
      <c r="J29" s="5">
        <f>IFERROR(INDEX(REER_Data!$E:$E, MATCH($A29, REER_Data!$A:$A, 0)) / 100, NA())</f>
        <v/>
      </c>
      <c r="K29" t="inlineStr">
        <is>
          <t>NA()</t>
        </is>
      </c>
      <c r="M29" t="n">
        <v>1891371000000</v>
      </c>
      <c r="N29" s="5">
        <f>IFERROR(1*INDEX(CAGR!$H:$H, MATCH($A29&amp;"|"&amp;$B$2, CAGR!$Q:$Q, 0)), NA())</f>
        <v/>
      </c>
      <c r="O29" s="5">
        <f>IFERROR(1*INDEX(CAGR!$G:$G, MATCH($A29&amp;"|"&amp;$B$2, CAGR!$Q:$Q, 0)), NA())</f>
        <v/>
      </c>
      <c r="Q29" s="5">
        <f>IFERROR(1*INDEX(CAGR!$J:$J, MATCH($A29&amp;"|"&amp;$B$2, CAGR!$Q:$Q, 0)), NA())</f>
        <v/>
      </c>
      <c r="R29" s="5">
        <f>IFERROR(1*INDEX(CAGR!$K:$K, MATCH($A29&amp;"|"&amp;$B$2, CAGR!$Q:$Q, 0)), NA())</f>
        <v/>
      </c>
      <c r="S29" s="7" t="n">
        <v>0.8721000201687102</v>
      </c>
      <c r="T29" t="inlineStr">
        <is>
          <t>NA()</t>
        </is>
      </c>
      <c r="V29" s="5">
        <f>IFERROR(1*INDEX(CAGR!$N:$N, MATCH($A29&amp;"|"&amp;$B$2, CAGR!$Q:$Q, 0)), NA())</f>
        <v/>
      </c>
      <c r="X29" s="5">
        <f>IF(AND(ISNUMBER(Q29),ISNUMBER(V29)),Q29+V29,NA())</f>
        <v/>
      </c>
      <c r="Z29" t="inlineStr">
        <is>
          <t>Europe</t>
        </is>
      </c>
      <c r="AA29" t="inlineStr">
        <is>
          <t>EUR</t>
        </is>
      </c>
      <c r="AC29">
        <f>IFERROR(INDEX(Lists!$J$2:$J$42, MATCH($B29, Lists!$I$2:$I$42, 0)),"")</f>
        <v/>
      </c>
      <c r="AD29">
        <f>IFERROR(INDEX(Lists!$K$2:$K$42, MATCH($B29, Lists!$I$2:$I$42, 0)),"")</f>
        <v/>
      </c>
      <c r="AE29" t="inlineStr">
        <is>
          <t>https://www.msci.com/documents/10199/255599/msci-spain-index.pdf</t>
        </is>
      </c>
    </row>
    <row r="30">
      <c r="A30" t="inlineStr">
        <is>
          <t>Sweden</t>
        </is>
      </c>
      <c r="B30" t="inlineStr">
        <is>
          <t>EWD</t>
        </is>
      </c>
      <c r="C30" s="5">
        <f>IFERROR(1*INDEX(CAGR!$I:$I, MATCH($A30&amp;"|"&amp;$B$2, CAGR!$Q:$Q, 0)), NA())</f>
        <v/>
      </c>
      <c r="D30" s="5">
        <f>IFERROR(1*INDEX(CAGR!$F:$F, MATCH($A30&amp;"|"&amp;$B30&amp;"|"&amp;$B$2, CAGR!$P:$P, 0)), NA())</f>
        <v/>
      </c>
      <c r="E30" s="6">
        <f>IFERROR(INDEX(MSCI!$B:$E, MATCH("Sweden", MSCI!$A:$A, 0), MATCH($B$2, MSCI!$B$1:$E$1, 0)), NA())</f>
        <v/>
      </c>
      <c r="F30" s="5">
        <f>IF(AND(ISNUMBER(C30),ISNUMBER(D30)),C30-D30,NA())</f>
        <v/>
      </c>
      <c r="G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H30" s="5">
        <f>IFERROR(INDEX(Crude_Oil_Impact!$H:$H, MATCH($A30, Crude_Oil_Impact!$A:$A, 0)), NA())</f>
        <v/>
      </c>
      <c r="I30" s="5">
        <f>IFERROR(INDEX(REER_Data!$C:$C, MATCH($A30, REER_Data!$A:$A, 0)), NA())</f>
        <v/>
      </c>
      <c r="J30" s="5">
        <f>IFERROR(INDEX(REER_Data!$E:$E, MATCH($A30, REER_Data!$A:$A, 0)) / 100, NA())</f>
        <v/>
      </c>
      <c r="K30" t="inlineStr">
        <is>
          <t>NA()</t>
        </is>
      </c>
      <c r="M30" t="n">
        <v>662318000000</v>
      </c>
      <c r="N30" s="5">
        <f>IFERROR(1*INDEX(CAGR!$H:$H, MATCH($A30&amp;"|"&amp;$B$2, CAGR!$Q:$Q, 0)), NA())</f>
        <v/>
      </c>
      <c r="O30" s="5">
        <f>IFERROR(1*INDEX(CAGR!$G:$G, MATCH($A30&amp;"|"&amp;$B$2, CAGR!$Q:$Q, 0)), NA())</f>
        <v/>
      </c>
      <c r="Q30" s="5">
        <f>IFERROR(1*INDEX(CAGR!$J:$J, MATCH($A30&amp;"|"&amp;$B$2, CAGR!$Q:$Q, 0)), NA())</f>
        <v/>
      </c>
      <c r="R30" s="5">
        <f>IFERROR(1*INDEX(CAGR!$K:$K, MATCH($A30&amp;"|"&amp;$B$2, CAGR!$Q:$Q, 0)), NA())</f>
        <v/>
      </c>
      <c r="S30" s="7" t="n">
        <v>1</v>
      </c>
      <c r="T30" t="inlineStr">
        <is>
          <t>NA()</t>
        </is>
      </c>
      <c r="V30" s="5">
        <f>IFERROR(1*INDEX(CAGR!$N:$N, MATCH($A30&amp;"|"&amp;$B$2, CAGR!$Q:$Q, 0)), NA())</f>
        <v/>
      </c>
      <c r="X30" s="5">
        <f>IF(AND(ISNUMBER(Q30),ISNUMBER(V30)),Q30+V30,NA())</f>
        <v/>
      </c>
      <c r="Z30" t="inlineStr">
        <is>
          <t>Europe</t>
        </is>
      </c>
      <c r="AA30" t="inlineStr">
        <is>
          <t>SEK</t>
        </is>
      </c>
      <c r="AC30">
        <f>IFERROR(INDEX(Lists!$J$2:$J$42, MATCH($B30, Lists!$I$2:$I$42, 0)),"")</f>
        <v/>
      </c>
      <c r="AD30">
        <f>IFERROR(INDEX(Lists!$K$2:$K$42, MATCH($B30, Lists!$I$2:$I$42, 0)),"")</f>
        <v/>
      </c>
      <c r="AE30" t="inlineStr">
        <is>
          <t>https://www.msci.com/documents/10199/255599/msci-sweden-index.pdf</t>
        </is>
      </c>
    </row>
    <row r="31">
      <c r="A31" t="inlineStr">
        <is>
          <t>Switzerland</t>
        </is>
      </c>
      <c r="B31" t="inlineStr">
        <is>
          <t>EWL</t>
        </is>
      </c>
      <c r="C31" s="5">
        <f>IFERROR(1*INDEX(CAGR!$I:$I, MATCH($A31&amp;"|"&amp;$B$2, CAGR!$Q:$Q, 0)), NA())</f>
        <v/>
      </c>
      <c r="D31" s="5">
        <f>IFERROR(1*INDEX(CAGR!$F:$F, MATCH($A31&amp;"|"&amp;$B31&amp;"|"&amp;$B$2, CAGR!$P:$P, 0)), NA())</f>
        <v/>
      </c>
      <c r="E31" s="6">
        <f>IFERROR(INDEX(MSCI!$B:$E, MATCH("Switzerland", MSCI!$A:$A, 0), MATCH($B$2, MSCI!$B$1:$E$1, 0)), NA())</f>
        <v/>
      </c>
      <c r="F31" s="5">
        <f>IF(AND(ISNUMBER(C31),ISNUMBER(D31)),C31-D31,NA())</f>
        <v/>
      </c>
      <c r="G31" s="5">
        <f>IFERROR((( (1+INDEX(Annual!$H:$H, MATCH($A31&amp;"|2026", Annual!$K:$K, 0))/100)*(1+INDEX(Annual!$H:$H, MATCH($A31&amp;"|2027", Annual!$K:$K, 0))/100)*(1+INDEX(Annual!$H:$H, MATCH($A31&amp;"|2028", Annual!$K:$K, 0))/100) )^(1/3)-1)*100, NA())</f>
        <v/>
      </c>
      <c r="H31" s="5">
        <f>IFERROR(INDEX(Crude_Oil_Impact!$H:$H, MATCH($A31, Crude_Oil_Impact!$A:$A, 0)), NA())</f>
        <v/>
      </c>
      <c r="I31" s="5">
        <f>IFERROR(INDEX(REER_Data!$C:$C, MATCH($A31, REER_Data!$A:$A, 0)), NA())</f>
        <v/>
      </c>
      <c r="J31" s="5">
        <f>IFERROR(INDEX(REER_Data!$E:$E, MATCH($A31, REER_Data!$A:$A, 0)) / 100, NA())</f>
        <v/>
      </c>
      <c r="K31" t="inlineStr">
        <is>
          <t>NA()</t>
        </is>
      </c>
      <c r="M31" t="n">
        <v>1002666000000</v>
      </c>
      <c r="N31" s="5">
        <f>IFERROR(1*INDEX(CAGR!$H:$H, MATCH($A31&amp;"|"&amp;$B$2, CAGR!$Q:$Q, 0)), NA())</f>
        <v/>
      </c>
      <c r="O31" s="5">
        <f>IFERROR(1*INDEX(CAGR!$G:$G, MATCH($A31&amp;"|"&amp;$B$2, CAGR!$Q:$Q, 0)), NA())</f>
        <v/>
      </c>
      <c r="Q31" s="5">
        <f>IFERROR(1*INDEX(CAGR!$J:$J, MATCH($A31&amp;"|"&amp;$B$2, CAGR!$Q:$Q, 0)), NA())</f>
        <v/>
      </c>
      <c r="R31" s="5">
        <f>IFERROR(1*INDEX(CAGR!$K:$K, MATCH($A31&amp;"|"&amp;$B$2, CAGR!$Q:$Q, 0)), NA())</f>
        <v/>
      </c>
      <c r="S31" s="7" t="n">
        <v>0.8721000201687102</v>
      </c>
      <c r="T31" t="inlineStr">
        <is>
          <t>NA()</t>
        </is>
      </c>
      <c r="V31" s="5">
        <f>IFERROR(1*INDEX(CAGR!$N:$N, MATCH($A31&amp;"|"&amp;$B$2, CAGR!$Q:$Q, 0)), NA())</f>
        <v/>
      </c>
      <c r="X31" s="5">
        <f>IF(AND(ISNUMBER(Q31),ISNUMBER(V31)),Q31+V31,NA())</f>
        <v/>
      </c>
      <c r="Z31" t="inlineStr">
        <is>
          <t>Europe</t>
        </is>
      </c>
      <c r="AA31" t="inlineStr">
        <is>
          <t>CHF</t>
        </is>
      </c>
      <c r="AC31">
        <f>IFERROR(INDEX(Lists!$J$2:$J$42, MATCH($B31, Lists!$I$2:$I$42, 0)),"")</f>
        <v/>
      </c>
      <c r="AD31">
        <f>IFERROR(INDEX(Lists!$K$2:$K$42, MATCH($B31, Lists!$I$2:$I$42, 0)),"")</f>
        <v/>
      </c>
      <c r="AE31" t="inlineStr">
        <is>
          <t>https://www.msci.com/documents/10199/255599/msci-switzerland-index.pdf</t>
        </is>
      </c>
    </row>
    <row r="32">
      <c r="A32" t="inlineStr">
        <is>
          <t>Taiwan</t>
        </is>
      </c>
      <c r="B32" t="inlineStr">
        <is>
          <t>XMTW.L</t>
        </is>
      </c>
      <c r="C32" s="5">
        <f>IFERROR(1*INDEX(CAGR!$I:$I, MATCH($A32&amp;"|"&amp;$B$2, CAGR!$Q:$Q, 0)), NA())</f>
        <v/>
      </c>
      <c r="D32" s="5">
        <f>IFERROR(1*INDEX(CAGR!$F:$F, MATCH($A32&amp;"|"&amp;$B32&amp;"|"&amp;$B$2, CAGR!$P:$P, 0)), NA())</f>
        <v/>
      </c>
      <c r="E32" s="6">
        <f>IFERROR(INDEX(MSCI!$B:$E, MATCH("Taiwan", MSCI!$A:$A, 0), MATCH($B$2, MSCI!$B$1:$E$1, 0)), NA())</f>
        <v/>
      </c>
      <c r="F32" s="5">
        <f>IF(AND(ISNUMBER(C32),ISNUMBER(D32)),C32-D32,NA())</f>
        <v/>
      </c>
      <c r="G32" s="5">
        <f>IFERROR((( (1+INDEX(Annual!$H:$H, MATCH($A32&amp;"|2026", Annual!$K:$K, 0))/100)*(1+INDEX(Annual!$H:$H, MATCH($A32&amp;"|2027", Annual!$K:$K, 0))/100)*(1+INDEX(Annual!$H:$H, MATCH($A32&amp;"|2028", Annual!$K:$K, 0))/100) )^(1/3)-1)*100, NA())</f>
        <v/>
      </c>
      <c r="H32" s="5">
        <f>IFERROR(INDEX(Crude_Oil_Impact!$H:$H, MATCH($A32, Crude_Oil_Impact!$A:$A, 0)), NA())</f>
        <v/>
      </c>
      <c r="I32" s="5">
        <f>IFERROR(INDEX(REER_Data!$C:$C, MATCH($A32, REER_Data!$A:$A, 0)), NA())</f>
        <v/>
      </c>
      <c r="J32" s="5">
        <f>IFERROR(INDEX(REER_Data!$E:$E, MATCH($A32, REER_Data!$A:$A, 0)) / 100, NA())</f>
        <v/>
      </c>
      <c r="K32" t="inlineStr">
        <is>
          <t>NA()</t>
        </is>
      </c>
      <c r="M32" t="n">
        <v>884387000000</v>
      </c>
      <c r="N32" s="5">
        <f>IFERROR(1*INDEX(CAGR!$H:$H, MATCH($A32&amp;"|"&amp;$B$2, CAGR!$Q:$Q, 0)), NA())</f>
        <v/>
      </c>
      <c r="O32" s="5">
        <f>IFERROR(1*INDEX(CAGR!$G:$G, MATCH($A32&amp;"|"&amp;$B$2, CAGR!$Q:$Q, 0)), NA())</f>
        <v/>
      </c>
      <c r="Q32" s="5">
        <f>IFERROR(1*INDEX(CAGR!$J:$J, MATCH($A32&amp;"|"&amp;$B$2, CAGR!$Q:$Q, 0)), NA())</f>
        <v/>
      </c>
      <c r="R32" s="5">
        <f>IFERROR(1*INDEX(CAGR!$K:$K, MATCH($A32&amp;"|"&amp;$B$2, CAGR!$Q:$Q, 0)), NA())</f>
        <v/>
      </c>
      <c r="S32" s="7" t="n"/>
      <c r="T32" t="inlineStr">
        <is>
          <t>NA()</t>
        </is>
      </c>
      <c r="V32" s="5">
        <f>IFERROR(1*INDEX(CAGR!$N:$N, MATCH($A32&amp;"|"&amp;$B$2, CAGR!$Q:$Q, 0)), NA())</f>
        <v/>
      </c>
      <c r="X32" s="5">
        <f>IF(AND(ISNUMBER(Q32),ISNUMBER(V32)),Q32+V32,NA())</f>
        <v/>
      </c>
      <c r="Z32" t="inlineStr">
        <is>
          <t>Asia</t>
        </is>
      </c>
      <c r="AA32" t="inlineStr">
        <is>
          <t>TWD</t>
        </is>
      </c>
      <c r="AC32">
        <f>IFERROR(INDEX(Lists!$J$2:$J$42, MATCH($B32, Lists!$I$2:$I$42, 0)),"")</f>
        <v/>
      </c>
      <c r="AD32">
        <f>IFERROR(INDEX(Lists!$K$2:$K$42, MATCH($B32, Lists!$I$2:$I$42, 0)),"")</f>
        <v/>
      </c>
      <c r="AE32" t="inlineStr">
        <is>
          <t>https://www.msci.com/documents/10199/255599/msci-taiwan-index.pdf</t>
        </is>
      </c>
    </row>
    <row r="33">
      <c r="A33" t="inlineStr">
        <is>
          <t>Thailand</t>
        </is>
      </c>
      <c r="B33" t="inlineStr">
        <is>
          <t>XCX4.L</t>
        </is>
      </c>
      <c r="C33" s="5">
        <f>IFERROR(1*INDEX(CAGR!$I:$I, MATCH($A33&amp;"|"&amp;$B$2, CAGR!$Q:$Q, 0)), NA())</f>
        <v/>
      </c>
      <c r="D33" s="5">
        <f>IFERROR(1*INDEX(CAGR!$F:$F, MATCH($A33&amp;"|"&amp;$B33&amp;"|"&amp;$B$2, CAGR!$P:$P, 0)), NA())</f>
        <v/>
      </c>
      <c r="E33" s="6">
        <f>IFERROR(INDEX(MSCI!$B:$E, MATCH("Thailand", MSCI!$A:$A, 0), MATCH($B$2, MSCI!$B$1:$E$1, 0)), NA())</f>
        <v/>
      </c>
      <c r="F33" s="5">
        <f>IF(AND(ISNUMBER(C33),ISNUMBER(D33)),C33-D33,NA())</f>
        <v/>
      </c>
      <c r="G33" s="5">
        <f>IFERROR((( (1+INDEX(Annual!$H:$H, MATCH($A33&amp;"|2026", Annual!$K:$K, 0))/100)*(1+INDEX(Annual!$H:$H, MATCH($A33&amp;"|2027", Annual!$K:$K, 0))/100)*(1+INDEX(Annual!$H:$H, MATCH($A33&amp;"|2028", Annual!$K:$K, 0))/100) )^(1/3)-1)*100, NA())</f>
        <v/>
      </c>
      <c r="H33" s="5">
        <f>IFERROR(INDEX(Crude_Oil_Impact!$H:$H, MATCH($A33, Crude_Oil_Impact!$A:$A, 0)), NA())</f>
        <v/>
      </c>
      <c r="I33" s="5">
        <f>IFERROR(INDEX(REER_Data!$C:$C, MATCH($A33, REER_Data!$A:$A, 0)), NA())</f>
        <v/>
      </c>
      <c r="J33" s="5">
        <f>IFERROR(INDEX(REER_Data!$E:$E, MATCH($A33, REER_Data!$A:$A, 0)) / 100, NA())</f>
        <v/>
      </c>
      <c r="K33" t="inlineStr">
        <is>
          <t>NA()</t>
        </is>
      </c>
      <c r="M33" t="n">
        <v>558573000000</v>
      </c>
      <c r="N33" s="5">
        <f>IFERROR(1*INDEX(CAGR!$H:$H, MATCH($A33&amp;"|"&amp;$B$2, CAGR!$Q:$Q, 0)), NA())</f>
        <v/>
      </c>
      <c r="O33" s="5">
        <f>IFERROR(1*INDEX(CAGR!$G:$G, MATCH($A33&amp;"|"&amp;$B$2, CAGR!$Q:$Q, 0)), NA())</f>
        <v/>
      </c>
      <c r="Q33" s="5">
        <f>IFERROR(1*INDEX(CAGR!$J:$J, MATCH($A33&amp;"|"&amp;$B$2, CAGR!$Q:$Q, 0)), NA())</f>
        <v/>
      </c>
      <c r="R33" s="5">
        <f>IFERROR(1*INDEX(CAGR!$K:$K, MATCH($A33&amp;"|"&amp;$B$2, CAGR!$Q:$Q, 0)), NA())</f>
        <v/>
      </c>
      <c r="S33" s="7" t="n"/>
      <c r="T33" t="inlineStr">
        <is>
          <t>NA()</t>
        </is>
      </c>
      <c r="V33" s="5">
        <f>IFERROR(1*INDEX(CAGR!$N:$N, MATCH($A33&amp;"|"&amp;$B$2, CAGR!$Q:$Q, 0)), NA())</f>
        <v/>
      </c>
      <c r="X33" s="5">
        <f>IF(AND(ISNUMBER(Q33),ISNUMBER(V33)),Q33+V33,NA())</f>
        <v/>
      </c>
      <c r="Z33" t="inlineStr">
        <is>
          <t>Asia</t>
        </is>
      </c>
      <c r="AA33" t="inlineStr">
        <is>
          <t>THB</t>
        </is>
      </c>
      <c r="AC33">
        <f>IFERROR(INDEX(Lists!$J$2:$J$42, MATCH($B33, Lists!$I$2:$I$42, 0)),"")</f>
        <v/>
      </c>
      <c r="AD33">
        <f>IFERROR(INDEX(Lists!$K$2:$K$42, MATCH($B33, Lists!$I$2:$I$42, 0)),"")</f>
        <v/>
      </c>
      <c r="AE33" t="inlineStr">
        <is>
          <t>https://www.msci.com/documents/10199/255599/msci-thailand-index.pdf</t>
        </is>
      </c>
    </row>
    <row r="34">
      <c r="A34" t="inlineStr">
        <is>
          <t>Turkey</t>
        </is>
      </c>
      <c r="B34" t="inlineStr">
        <is>
          <t>TUR</t>
        </is>
      </c>
      <c r="C34" s="5">
        <f>IFERROR(1*INDEX(CAGR!$I:$I, MATCH($A34&amp;"|"&amp;$B$2, CAGR!$Q:$Q, 0)), NA())</f>
        <v/>
      </c>
      <c r="D34" s="5">
        <f>IFERROR(1*INDEX(CAGR!$F:$F, MATCH($A34&amp;"|"&amp;$B34&amp;"|"&amp;$B$2, CAGR!$P:$P, 0)), NA())</f>
        <v/>
      </c>
      <c r="E34" s="6">
        <f>IFERROR(INDEX(MSCI!$B:$E, MATCH("Turkey", MSCI!$A:$A, 0), MATCH($B$2, MSCI!$B$1:$E$1, 0)), NA())</f>
        <v/>
      </c>
      <c r="F34" s="5">
        <f>IF(AND(ISNUMBER(C34),ISNUMBER(D34)),C34-D34,NA())</f>
        <v/>
      </c>
      <c r="G34" s="5">
        <f>IFERROR((( (1+INDEX(Annual!$H:$H, MATCH($A34&amp;"|2026", Annual!$K:$K, 0))/100)*(1+INDEX(Annual!$H:$H, MATCH($A34&amp;"|2027", Annual!$K:$K, 0))/100)*(1+INDEX(Annual!$H:$H, MATCH($A34&amp;"|2028", Annual!$K:$K, 0))/100) )^(1/3)-1)*100, NA())</f>
        <v/>
      </c>
      <c r="H34" s="8">
        <f>IFERROR(INDEX(Crude_Oil_Impact!$H:$H, MATCH($A34, Crude_Oil_Impact!$A:$A, 0)), NA())</f>
        <v/>
      </c>
      <c r="I34" s="5">
        <f>IFERROR(INDEX(REER_Data!$C:$C, MATCH($A34, REER_Data!$A:$A, 0)), NA())</f>
        <v/>
      </c>
      <c r="J34" s="5">
        <f>IFERROR(INDEX(REER_Data!$E:$E, MATCH($A34, REER_Data!$A:$A, 0)) / 100, NA())</f>
        <v/>
      </c>
      <c r="K34" t="inlineStr">
        <is>
          <t>NA()</t>
        </is>
      </c>
      <c r="M34" t="n">
        <v>1565471000000</v>
      </c>
      <c r="N34" s="5">
        <f>IFERROR(1*INDEX(CAGR!$H:$H, MATCH($A34&amp;"|"&amp;$B$2, CAGR!$Q:$Q, 0)), NA())</f>
        <v/>
      </c>
      <c r="O34" s="5">
        <f>IFERROR(1*INDEX(CAGR!$G:$G, MATCH($A34&amp;"|"&amp;$B$2, CAGR!$Q:$Q, 0)), NA())</f>
        <v/>
      </c>
      <c r="Q34" s="5">
        <f>IFERROR(1*INDEX(CAGR!$J:$J, MATCH($A34&amp;"|"&amp;$B$2, CAGR!$Q:$Q, 0)), NA())</f>
        <v/>
      </c>
      <c r="R34" s="5">
        <f>IFERROR(1*INDEX(CAGR!$K:$K, MATCH($A34&amp;"|"&amp;$B$2, CAGR!$Q:$Q, 0)), NA())</f>
        <v/>
      </c>
      <c r="S34" s="7" t="n">
        <v>1</v>
      </c>
      <c r="T34" t="inlineStr">
        <is>
          <t>NA()</t>
        </is>
      </c>
      <c r="V34" s="5">
        <f>IFERROR(1*INDEX(CAGR!$N:$N, MATCH($A34&amp;"|"&amp;$B$2, CAGR!$Q:$Q, 0)), NA())</f>
        <v/>
      </c>
      <c r="X34" s="5">
        <f>IF(AND(ISNUMBER(Q34),ISNUMBER(V34)),Q34+V34,NA())</f>
        <v/>
      </c>
      <c r="Z34" t="inlineStr">
        <is>
          <t>Europe</t>
        </is>
      </c>
      <c r="AA34" t="inlineStr">
        <is>
          <t>TRY</t>
        </is>
      </c>
      <c r="AC34">
        <f>IFERROR(INDEX(Lists!$J$2:$J$42, MATCH($B34, Lists!$I$2:$I$42, 0)),"")</f>
        <v/>
      </c>
      <c r="AD34">
        <f>IFERROR(INDEX(Lists!$K$2:$K$42, MATCH($B34, Lists!$I$2:$I$42, 0)),"")</f>
        <v/>
      </c>
      <c r="AE34" t="inlineStr">
        <is>
          <t>https://www.msci.com/documents/10199/255599/msci-turkey-index-gross-usd.pdf</t>
        </is>
      </c>
    </row>
    <row r="35">
      <c r="A35" t="inlineStr">
        <is>
          <t>United Kingdom</t>
        </is>
      </c>
      <c r="B35" t="inlineStr">
        <is>
          <t>CUKX.L</t>
        </is>
      </c>
      <c r="C35" s="5">
        <f>IFERROR(1*INDEX(CAGR!$I:$I, MATCH($A35&amp;"|"&amp;$B$2, CAGR!$Q:$Q, 0)), NA())</f>
        <v/>
      </c>
      <c r="D35" s="5">
        <f>IFERROR(1*INDEX(CAGR!$F:$F, MATCH($A35&amp;"|"&amp;$B35&amp;"|"&amp;$B$2, CAGR!$P:$P, 0)), NA())</f>
        <v/>
      </c>
      <c r="E35" s="6">
        <f>IFERROR(INDEX(MSCI!$B:$E, MATCH("United Kingdom", MSCI!$A:$A, 0), MATCH($B$2, MSCI!$B$1:$E$1, 0)), NA())</f>
        <v/>
      </c>
      <c r="F35" s="5">
        <f>IF(AND(ISNUMBER(C35),ISNUMBER(D35)),C35-D35,NA())</f>
        <v/>
      </c>
      <c r="G35" s="5">
        <f>IFERROR((( (1+INDEX(Annual!$H:$H, MATCH($A35&amp;"|2026", Annual!$K:$K, 0))/100)*(1+INDEX(Annual!$H:$H, MATCH($A35&amp;"|2027", Annual!$K:$K, 0))/100)*(1+INDEX(Annual!$H:$H, MATCH($A35&amp;"|2028", Annual!$K:$K, 0))/100) )^(1/3)-1)*100, NA())</f>
        <v/>
      </c>
      <c r="H35" s="8">
        <f>IFERROR(INDEX(Crude_Oil_Impact!$H:$H, MATCH($A35, Crude_Oil_Impact!$A:$A, 0)), NA())</f>
        <v/>
      </c>
      <c r="I35" s="5">
        <f>IFERROR(INDEX(REER_Data!$C:$C, MATCH($A35, REER_Data!$A:$A, 0)), NA())</f>
        <v/>
      </c>
      <c r="J35" s="5">
        <f>IFERROR(INDEX(REER_Data!$E:$E, MATCH($A35, REER_Data!$A:$A, 0)) / 100, NA())</f>
        <v/>
      </c>
      <c r="K35" t="inlineStr">
        <is>
          <t>NA()</t>
        </is>
      </c>
      <c r="M35" t="n">
        <v>3958780000000</v>
      </c>
      <c r="N35" s="5">
        <f>IFERROR(1*INDEX(CAGR!$H:$H, MATCH($A35&amp;"|"&amp;$B$2, CAGR!$Q:$Q, 0)), NA())</f>
        <v/>
      </c>
      <c r="O35" s="5">
        <f>IFERROR(1*INDEX(CAGR!$G:$G, MATCH($A35&amp;"|"&amp;$B$2, CAGR!$Q:$Q, 0)), NA())</f>
        <v/>
      </c>
      <c r="Q35" s="5">
        <f>IFERROR(1*INDEX(CAGR!$J:$J, MATCH($A35&amp;"|"&amp;$B$2, CAGR!$Q:$Q, 0)), NA())</f>
        <v/>
      </c>
      <c r="R35" s="5">
        <f>IFERROR(1*INDEX(CAGR!$K:$K, MATCH($A35&amp;"|"&amp;$B$2, CAGR!$Q:$Q, 0)), NA())</f>
        <v/>
      </c>
      <c r="S35" s="7" t="n"/>
      <c r="T35" t="inlineStr">
        <is>
          <t>NA()</t>
        </is>
      </c>
      <c r="V35" s="5">
        <f>IFERROR(1*INDEX(CAGR!$N:$N, MATCH($A35&amp;"|"&amp;$B$2, CAGR!$Q:$Q, 0)), NA())</f>
        <v/>
      </c>
      <c r="X35" s="5">
        <f>IF(AND(ISNUMBER(Q35),ISNUMBER(V35)),Q35+V35,NA())</f>
        <v/>
      </c>
      <c r="Z35" t="inlineStr">
        <is>
          <t>Europe</t>
        </is>
      </c>
      <c r="AA35" t="inlineStr">
        <is>
          <t>GBP</t>
        </is>
      </c>
      <c r="AC35">
        <f>IFERROR(INDEX(Lists!$J$2:$J$42, MATCH($B35, Lists!$I$2:$I$42, 0)),"")</f>
        <v/>
      </c>
      <c r="AD35">
        <f>IFERROR(INDEX(Lists!$K$2:$K$42, MATCH($B35, Lists!$I$2:$I$42, 0)),"")</f>
        <v/>
      </c>
      <c r="AE35" t="inlineStr">
        <is>
          <t>https://www.msci.com/documents/10199/255599/msci-unitedkingdom-index.pdf</t>
        </is>
      </c>
    </row>
    <row r="36">
      <c r="A36" t="inlineStr">
        <is>
          <t>United States</t>
        </is>
      </c>
      <c r="B36" t="inlineStr">
        <is>
          <t>CSUS.L</t>
        </is>
      </c>
      <c r="C36" s="5">
        <f>IFERROR(1*INDEX(CAGR!$I:$I, MATCH($A36&amp;"|"&amp;$B$2, CAGR!$Q:$Q, 0)), NA())</f>
        <v/>
      </c>
      <c r="D36" s="5">
        <f>IFERROR(1*INDEX(CAGR!$F:$F, MATCH($A36&amp;"|"&amp;$B36&amp;"|"&amp;$B$2, CAGR!$P:$P, 0)), NA())</f>
        <v/>
      </c>
      <c r="E36" s="6">
        <f>IFERROR(INDEX(MSCI!$B:$E, MATCH("United States", MSCI!$A:$A, 0), MATCH($B$2, MSCI!$B$1:$E$1, 0)), NA())</f>
        <v/>
      </c>
      <c r="F36" s="5">
        <f>IF(AND(ISNUMBER(C36),ISNUMBER(D36)),C36-D36,NA())</f>
        <v/>
      </c>
      <c r="G36" s="5">
        <f>IFERROR((( (1+INDEX(Annual!$H:$H, MATCH($A36&amp;"|2026", Annual!$K:$K, 0))/100)*(1+INDEX(Annual!$H:$H, MATCH($A36&amp;"|2027", Annual!$K:$K, 0))/100)*(1+INDEX(Annual!$H:$H, MATCH($A36&amp;"|2028", Annual!$K:$K, 0))/100) )^(1/3)-1)*100, NA())</f>
        <v/>
      </c>
      <c r="H36" s="5">
        <f>IFERROR(INDEX(Crude_Oil_Impact!$H:$H, MATCH($A36, Crude_Oil_Impact!$A:$A, 0)), NA())</f>
        <v/>
      </c>
      <c r="I36" s="5">
        <f>IFERROR(INDEX(REER_Data!$C:$C, MATCH($A36, REER_Data!$A:$A, 0)), NA())</f>
        <v/>
      </c>
      <c r="J36" s="5">
        <f>IFERROR(INDEX(REER_Data!$E:$E, MATCH($A36, REER_Data!$A:$A, 0)) / 100, NA())</f>
        <v/>
      </c>
      <c r="K36" t="inlineStr">
        <is>
          <t>NA()</t>
        </is>
      </c>
      <c r="M36" t="n">
        <v>30615743000000</v>
      </c>
      <c r="N36" s="5">
        <f>IFERROR(1*INDEX(CAGR!$H:$H, MATCH($A36&amp;"|"&amp;$B$2, CAGR!$Q:$Q, 0)), NA())</f>
        <v/>
      </c>
      <c r="O36" s="5">
        <f>IFERROR(1*INDEX(CAGR!$G:$G, MATCH($A36&amp;"|"&amp;$B$2, CAGR!$Q:$Q, 0)), NA())</f>
        <v/>
      </c>
      <c r="Q36" s="5">
        <f>IFERROR(1*INDEX(CAGR!$J:$J, MATCH($A36&amp;"|"&amp;$B$2, CAGR!$Q:$Q, 0)), NA())</f>
        <v/>
      </c>
      <c r="R36" s="5">
        <f>IFERROR(1*INDEX(CAGR!$K:$K, MATCH($A36&amp;"|"&amp;$B$2, CAGR!$Q:$Q, 0)), NA())</f>
        <v/>
      </c>
      <c r="S36" s="7" t="n">
        <v>1</v>
      </c>
      <c r="T36" t="inlineStr">
        <is>
          <t>NA()</t>
        </is>
      </c>
      <c r="V36" s="5">
        <f>IFERROR(1*INDEX(CAGR!$N:$N, MATCH($A36&amp;"|"&amp;$B$2, CAGR!$Q:$Q, 0)), NA())</f>
        <v/>
      </c>
      <c r="X36" s="5">
        <f>IF(AND(ISNUMBER(Q36),ISNUMBER(V36)),Q36+V36,NA())</f>
        <v/>
      </c>
      <c r="Z36" t="inlineStr">
        <is>
          <t>North America</t>
        </is>
      </c>
      <c r="AA36" t="inlineStr">
        <is>
          <t>USD</t>
        </is>
      </c>
      <c r="AC36">
        <f>IFERROR(INDEX(Lists!$J$2:$J$42, MATCH($B36, Lists!$I$2:$I$42, 0)),"")</f>
        <v/>
      </c>
      <c r="AD36">
        <f>IFERROR(INDEX(Lists!$K$2:$K$42, MATCH($B36, Lists!$I$2:$I$42, 0)),"")</f>
        <v/>
      </c>
      <c r="AE36" t="inlineStr">
        <is>
          <t>https://www.msci.com/documents/10199/255599/msci-usa-index-gross.pdf</t>
        </is>
      </c>
    </row>
    <row r="37">
      <c r="A37" t="inlineStr">
        <is>
          <t>Vietnam</t>
        </is>
      </c>
      <c r="B37" t="inlineStr">
        <is>
          <t>XFVT.L</t>
        </is>
      </c>
      <c r="C37" s="5">
        <f>IFERROR(1*INDEX(CAGR!$I:$I, MATCH($A37&amp;"|"&amp;$B$2, CAGR!$Q:$Q, 0)), NA())</f>
        <v/>
      </c>
      <c r="D37" s="5">
        <f>IFERROR(1*INDEX(CAGR!$F:$F, MATCH($A37&amp;"|"&amp;$B37&amp;"|"&amp;$B$2, CAGR!$P:$P, 0)), NA())</f>
        <v/>
      </c>
      <c r="E37" s="6">
        <f>IFERROR(INDEX(MSCI!$B:$E, MATCH("Vietnam", MSCI!$A:$A, 0), MATCH($B$2, MSCI!$B$1:$E$1, 0)), NA())</f>
        <v/>
      </c>
      <c r="F37" s="5">
        <f>IF(AND(ISNUMBER(C37),ISNUMBER(D37)),C37-D37,NA())</f>
        <v/>
      </c>
      <c r="G37" s="5">
        <f>IFERROR((( (1+INDEX(Annual!$H:$H, MATCH($A37&amp;"|2026", Annual!$K:$K, 0))/100)*(1+INDEX(Annual!$H:$H, MATCH($A37&amp;"|2027", Annual!$K:$K, 0))/100)*(1+INDEX(Annual!$H:$H, MATCH($A37&amp;"|2028", Annual!$K:$K, 0))/100) )^(1/3)-1)*100, NA())</f>
        <v/>
      </c>
      <c r="H37" s="8">
        <f>IFERROR(INDEX(Crude_Oil_Impact!$H:$H, MATCH($A37, Crude_Oil_Impact!$A:$A, 0)), NA())</f>
        <v/>
      </c>
      <c r="I37" s="5">
        <f>IFERROR(INDEX(REER_Data!$C:$C, MATCH($A37, REER_Data!$A:$A, 0)), NA())</f>
        <v/>
      </c>
      <c r="J37" s="5">
        <f>IFERROR(INDEX(REER_Data!$E:$E, MATCH($A37, REER_Data!$A:$A, 0)) / 100, NA())</f>
        <v/>
      </c>
      <c r="K37" t="inlineStr">
        <is>
          <t>NA()</t>
        </is>
      </c>
      <c r="M37" t="n">
        <v>484726000000</v>
      </c>
      <c r="N37" s="5">
        <f>IFERROR(1*INDEX(CAGR!$H:$H, MATCH($A37&amp;"|"&amp;$B$2, CAGR!$Q:$Q, 0)), NA())</f>
        <v/>
      </c>
      <c r="O37" s="5">
        <f>IFERROR(1*INDEX(CAGR!$G:$G, MATCH($A37&amp;"|"&amp;$B$2, CAGR!$Q:$Q, 0)), NA())</f>
        <v/>
      </c>
      <c r="Q37" s="5">
        <f>IFERROR(1*INDEX(CAGR!$J:$J, MATCH($A37&amp;"|"&amp;$B$2, CAGR!$Q:$Q, 0)), NA())</f>
        <v/>
      </c>
      <c r="R37" s="5">
        <f>IFERROR(1*INDEX(CAGR!$K:$K, MATCH($A37&amp;"|"&amp;$B$2, CAGR!$Q:$Q, 0)), NA())</f>
        <v/>
      </c>
      <c r="S37" s="7" t="n"/>
      <c r="T37" t="inlineStr">
        <is>
          <t>NA()</t>
        </is>
      </c>
      <c r="V37" s="5">
        <f>IFERROR(1*INDEX(CAGR!$N:$N, MATCH($A37&amp;"|"&amp;$B$2, CAGR!$Q:$Q, 0)), NA())</f>
        <v/>
      </c>
      <c r="X37" s="5">
        <f>IF(AND(ISNUMBER(Q37),ISNUMBER(V37)),Q37+V37,NA())</f>
        <v/>
      </c>
      <c r="Z37" t="inlineStr">
        <is>
          <t>Asia</t>
        </is>
      </c>
      <c r="AA37" t="inlineStr">
        <is>
          <t>VND</t>
        </is>
      </c>
      <c r="AC37">
        <f>IFERROR(INDEX(Lists!$J$2:$J$42, MATCH($B37, Lists!$I$2:$I$42, 0)),"")</f>
        <v/>
      </c>
      <c r="AD37">
        <f>IFERROR(INDEX(Lists!$K$2:$K$42, MATCH($B37, Lists!$I$2:$I$42, 0)),"")</f>
        <v/>
      </c>
      <c r="AE37" t="inlineStr">
        <is>
          <t>https://www.msci.com/documents/10199/255599/msci-vietnam-index.pdf</t>
        </is>
      </c>
    </row>
    <row r="39">
      <c r="A39" s="9" t="inlineStr">
        <is>
          <t>Metric Definitions &amp; Interpretation</t>
        </is>
      </c>
    </row>
    <row r="40">
      <c r="A40" s="10" t="inlineStr">
        <is>
          <t>Main Columns:</t>
        </is>
      </c>
    </row>
    <row r="41">
      <c r="A41" s="11" t="inlineStr">
        <is>
          <t>ETF Ticker</t>
        </is>
      </c>
      <c r="B41" s="12" t="inlineStr">
        <is>
          <t>An asterisk (*) next to the ticker indicates a Distributing ETF. Adjusted Close price is used for comparability with Accumulating ETFs.</t>
        </is>
      </c>
    </row>
    <row r="42">
      <c r="A42" s="11" t="inlineStr">
        <is>
          <t>nGDP (USD) CAGR (%)</t>
        </is>
      </c>
      <c r="B42" s="12" t="inlineStr">
        <is>
          <t>Annualized growth of the country's economy in US Dollar terms. Represents total economic expansion available to a USD investor.</t>
        </is>
      </c>
    </row>
    <row r="43">
      <c r="A43" s="11" t="inlineStr">
        <is>
          <t>ETF CAGR (USD)</t>
        </is>
      </c>
      <c r="B43" s="12" t="inlineStr">
        <is>
          <t>Annualized price return of the selected ETF in US Dollar terms. Includes both local price movement and currency effects.</t>
        </is>
      </c>
    </row>
    <row r="44">
      <c r="A44" s="11" t="inlineStr">
        <is>
          <t>Macro Gap %</t>
        </is>
      </c>
      <c r="B44" s="12" t="inlineStr">
        <is>
          <t>The difference between GDP growth and ETF performance (GDP CAGR minus ETF CAGR). Positive values suggest the economy grew faster than the market.</t>
        </is>
      </c>
    </row>
    <row r="45">
      <c r="A45" s="11" t="inlineStr">
        <is>
          <t>Oil Impact %</t>
        </is>
      </c>
      <c r="B45" s="12" t="inlineStr">
        <is>
          <t>Value of a $10/barrel price change in crude oil imports as a percentage of nominal GDP. Lower values indicate less sensitivity to oil prices (closer to 0 is better).</t>
        </is>
      </c>
    </row>
    <row r="46">
      <c r="A46" s="11" t="inlineStr">
        <is>
          <t>Proj. 3Y (26-28)</t>
        </is>
      </c>
      <c r="B46" s="12" t="inlineStr">
        <is>
          <t>IMF's forecasted nominal GDP growth (USD) for the 2026-2028 period.</t>
        </is>
      </c>
    </row>
    <row r="47">
      <c r="A47" s="11" t="inlineStr">
        <is>
          <t>REER vs 10Y</t>
        </is>
      </c>
      <c r="B47" s="12" t="inlineStr">
        <is>
          <t>Real Effective Exchange Rate deviation from its 10-year mean. Positive = Currency is stronger than its 10Y historical average.</t>
        </is>
      </c>
    </row>
    <row r="48">
      <c r="A48" s="11" t="inlineStr">
        <is>
          <t>REER Index</t>
        </is>
      </c>
      <c r="B48" s="12" t="inlineStr">
        <is>
          <t>Current Real Effective Exchange Rate level. 100 = at 10-year average. Above 100 = currency stronger than average; Below 100 = weaker than average.</t>
        </is>
      </c>
    </row>
    <row r="49">
      <c r="A49" s="10" t="inlineStr">
        <is>
          <t>Reference Columns:</t>
        </is>
      </c>
    </row>
    <row r="50">
      <c r="A50" s="11" t="inlineStr">
        <is>
          <t>FX CAGR %</t>
        </is>
      </c>
      <c r="B50" s="12" t="inlineStr">
        <is>
          <t>Annualized rate of currency appreciation/depreciation against the USD. Positive = Local Currency strengthened against USD.</t>
        </is>
      </c>
    </row>
    <row r="51">
      <c r="A51" s="11" t="inlineStr">
        <is>
          <t>FX Jan 1st CAGR %</t>
        </is>
      </c>
      <c r="B51" s="12" t="inlineStr">
        <is>
          <t>Annualized rate of currency movement calculated using point-to-point 1st January FX rates. More consistent with standard asset return windows.</t>
        </is>
      </c>
    </row>
    <row r="52">
      <c r="A52" s="11" t="inlineStr">
        <is>
          <t>Inf. Diff CAGR %</t>
        </is>
      </c>
      <c r="B52" s="12" t="inlineStr">
        <is>
          <t>Annualized simple difference between country inflation CAGR and USA inflation CAGR. Positive = Local inflation was higher than USA.</t>
        </is>
      </c>
    </row>
    <row r="53">
      <c r="A53" s="11" t="inlineStr">
        <is>
          <t>Currency Gap %</t>
        </is>
      </c>
      <c r="B53" s="12" t="inlineStr">
        <is>
          <t>The sum of FX CAGR and Inflation Differential. Near zero suggests currency movement offsets inflation. Positive = Currency is 'stronger' than PPP suggests.</t>
        </is>
      </c>
    </row>
  </sheetData>
  <autoFilter ref="A4:AE37"/>
  <conditionalFormatting sqref="C5:D37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E5:E37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F5:G37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J5:J37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N5:O37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Q5:R37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V5:V37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X5:X37">
    <cfRule type="cellIs" priority="29" operator="greaterThanOrEqual" dxfId="0">
      <formula>10</formula>
    </cfRule>
    <cfRule type="cellIs" priority="30" operator="greaterThanOrEqual" dxfId="1">
      <formula>5</formula>
    </cfRule>
    <cfRule type="cellIs" priority="31" operator="greaterThanOrEqual" dxfId="2">
      <formula>0</formula>
    </cfRule>
    <cfRule type="cellIs" priority="32" operator="lessThan" dxfId="3">
      <formula>0</formula>
    </cfRule>
  </conditionalFormatting>
  <conditionalFormatting sqref="H5:H37">
    <cfRule type="cellIs" priority="33" operator="lessThanOrEqual" dxfId="0">
      <formula>1</formula>
    </cfRule>
    <cfRule type="cellIs" priority="34" operator="lessThanOrEqual" dxfId="2">
      <formula>3</formula>
    </cfRule>
    <cfRule type="cellIs" priority="35" operator="greaterThan" dxfId="3">
      <formula>3</formula>
    </cfRule>
    <cfRule type="cellIs" priority="36" operator="greaterThan" dxfId="4">
      <formula>6</formula>
    </cfRule>
  </conditionalFormatting>
  <conditionalFormatting sqref="I5:I37">
    <cfRule type="cellIs" priority="37" operator="greaterThanOrEqual" dxfId="0">
      <formula>110</formula>
    </cfRule>
    <cfRule type="cellIs" priority="38" operator="between" dxfId="2">
      <formula>100</formula>
      <formula>110</formula>
    </cfRule>
    <cfRule type="cellIs" priority="39" operator="between" dxfId="3">
      <formula>90</formula>
      <formula>100</formula>
    </cfRule>
    <cfRule type="cellIs" priority="40" operator="lessThan" dxfId="4">
      <formula>90</formula>
    </cfRule>
  </conditionalFormatting>
  <dataValidations count="34">
    <dataValidation sqref="B2" showDropDown="0" showInputMessage="0" showErrorMessage="0" allowBlank="0" type="list">
      <formula1>"1Y,3Y,5Y,10Y"</formula1>
    </dataValidation>
    <dataValidation sqref="B5" showDropDown="0" showInputMessage="0" showErrorMessage="0" allowBlank="0" type="list">
      <formula1>=OFFSET(Lists!$H$2,IFERROR(MATCH($A5,Lists!$F$2:$F$42,0)-1,0),0,COUNTIF(Lists!$F$2:$F$42,$A5),1)</formula1>
    </dataValidation>
    <dataValidation sqref="B6" showDropDown="0" showInputMessage="0" showErrorMessage="0" allowBlank="0" type="list">
      <formula1>=OFFSET(Lists!$H$2,IFERROR(MATCH($A6,Lists!$F$2:$F$42,0)-1,0),0,COUNTIF(Lists!$F$2:$F$42,$A6),1)</formula1>
    </dataValidation>
    <dataValidation sqref="B7" showDropDown="0" showInputMessage="0" showErrorMessage="0" allowBlank="0" type="list">
      <formula1>=OFFSET(Lists!$H$2,IFERROR(MATCH($A7,Lists!$F$2:$F$42,0)-1,0),0,COUNTIF(Lists!$F$2:$F$42,$A7),1)</formula1>
    </dataValidation>
    <dataValidation sqref="B8" showDropDown="0" showInputMessage="0" showErrorMessage="0" allowBlank="0" type="list">
      <formula1>=OFFSET(Lists!$H$2,IFERROR(MATCH($A8,Lists!$F$2:$F$42,0)-1,0),0,COUNTIF(Lists!$F$2:$F$42,$A8),1)</formula1>
    </dataValidation>
    <dataValidation sqref="B9" showDropDown="0" showInputMessage="0" showErrorMessage="0" allowBlank="0" type="list">
      <formula1>=OFFSET(Lists!$H$2,IFERROR(MATCH($A9,Lists!$F$2:$F$42,0)-1,0),0,COUNTIF(Lists!$F$2:$F$42,$A9),1)</formula1>
    </dataValidation>
    <dataValidation sqref="B10" showDropDown="0" showInputMessage="0" showErrorMessage="0" allowBlank="0" type="list">
      <formula1>=OFFSET(Lists!$H$2,IFERROR(MATCH($A10,Lists!$F$2:$F$42,0)-1,0),0,COUNTIF(Lists!$F$2:$F$42,$A10),1)</formula1>
    </dataValidation>
    <dataValidation sqref="B11" showDropDown="0" showInputMessage="0" showErrorMessage="0" allowBlank="0" type="list">
      <formula1>=OFFSET(Lists!$H$2,IFERROR(MATCH($A11,Lists!$F$2:$F$42,0)-1,0),0,COUNTIF(Lists!$F$2:$F$42,$A11),1)</formula1>
    </dataValidation>
    <dataValidation sqref="B12" showDropDown="0" showInputMessage="0" showErrorMessage="0" allowBlank="0" type="list">
      <formula1>=OFFSET(Lists!$H$2,IFERROR(MATCH($A12,Lists!$F$2:$F$42,0)-1,0),0,COUNTIF(Lists!$F$2:$F$42,$A12),1)</formula1>
    </dataValidation>
    <dataValidation sqref="B13" showDropDown="0" showInputMessage="0" showErrorMessage="0" allowBlank="0" type="list">
      <formula1>=OFFSET(Lists!$H$2,IFERROR(MATCH($A13,Lists!$F$2:$F$42,0)-1,0),0,COUNTIF(Lists!$F$2:$F$42,$A13),1)</formula1>
    </dataValidation>
    <dataValidation sqref="B14" showDropDown="0" showInputMessage="0" showErrorMessage="0" allowBlank="0" type="list">
      <formula1>=OFFSET(Lists!$H$2,IFERROR(MATCH($A14,Lists!$F$2:$F$42,0)-1,0),0,COUNTIF(Lists!$F$2:$F$42,$A14),1)</formula1>
    </dataValidation>
    <dataValidation sqref="B15" showDropDown="0" showInputMessage="0" showErrorMessage="0" allowBlank="0" type="list">
      <formula1>=OFFSET(Lists!$H$2,IFERROR(MATCH($A15,Lists!$F$2:$F$42,0)-1,0),0,COUNTIF(Lists!$F$2:$F$42,$A15),1)</formula1>
    </dataValidation>
    <dataValidation sqref="B16" showDropDown="0" showInputMessage="0" showErrorMessage="0" allowBlank="0" type="list">
      <formula1>=OFFSET(Lists!$H$2,IFERROR(MATCH($A16,Lists!$F$2:$F$42,0)-1,0),0,COUNTIF(Lists!$F$2:$F$42,$A16),1)</formula1>
    </dataValidation>
    <dataValidation sqref="B17" showDropDown="0" showInputMessage="0" showErrorMessage="0" allowBlank="0" type="list">
      <formula1>=OFFSET(Lists!$H$2,IFERROR(MATCH($A17,Lists!$F$2:$F$42,0)-1,0),0,COUNTIF(Lists!$F$2:$F$42,$A17),1)</formula1>
    </dataValidation>
    <dataValidation sqref="B18" showDropDown="0" showInputMessage="0" showErrorMessage="0" allowBlank="0" type="list">
      <formula1>=OFFSET(Lists!$H$2,IFERROR(MATCH($A18,Lists!$F$2:$F$42,0)-1,0),0,COUNTIF(Lists!$F$2:$F$42,$A18),1)</formula1>
    </dataValidation>
    <dataValidation sqref="B19" showDropDown="0" showInputMessage="0" showErrorMessage="0" allowBlank="0" type="list">
      <formula1>=OFFSET(Lists!$H$2,IFERROR(MATCH($A19,Lists!$F$2:$F$42,0)-1,0),0,COUNTIF(Lists!$F$2:$F$42,$A19),1)</formula1>
    </dataValidation>
    <dataValidation sqref="B20" showDropDown="0" showInputMessage="0" showErrorMessage="0" allowBlank="0" type="list">
      <formula1>=OFFSET(Lists!$H$2,IFERROR(MATCH($A20,Lists!$F$2:$F$42,0)-1,0),0,COUNTIF(Lists!$F$2:$F$42,$A20),1)</formula1>
    </dataValidation>
    <dataValidation sqref="B21" showDropDown="0" showInputMessage="0" showErrorMessage="0" allowBlank="0" type="list">
      <formula1>=OFFSET(Lists!$H$2,IFERROR(MATCH($A21,Lists!$F$2:$F$42,0)-1,0),0,COUNTIF(Lists!$F$2:$F$42,$A21),1)</formula1>
    </dataValidation>
    <dataValidation sqref="B22" showDropDown="0" showInputMessage="0" showErrorMessage="0" allowBlank="0" type="list">
      <formula1>=OFFSET(Lists!$H$2,IFERROR(MATCH($A22,Lists!$F$2:$F$42,0)-1,0),0,COUNTIF(Lists!$F$2:$F$42,$A22),1)</formula1>
    </dataValidation>
    <dataValidation sqref="B23" showDropDown="0" showInputMessage="0" showErrorMessage="0" allowBlank="0" type="list">
      <formula1>=OFFSET(Lists!$H$2,IFERROR(MATCH($A23,Lists!$F$2:$F$42,0)-1,0),0,COUNTIF(Lists!$F$2:$F$42,$A23),1)</formula1>
    </dataValidation>
    <dataValidation sqref="B24" showDropDown="0" showInputMessage="0" showErrorMessage="0" allowBlank="0" type="list">
      <formula1>=OFFSET(Lists!$H$2,IFERROR(MATCH($A24,Lists!$F$2:$F$42,0)-1,0),0,COUNTIF(Lists!$F$2:$F$42,$A24),1)</formula1>
    </dataValidation>
    <dataValidation sqref="B25" showDropDown="0" showInputMessage="0" showErrorMessage="0" allowBlank="0" type="list">
      <formula1>=OFFSET(Lists!$H$2,IFERROR(MATCH($A25,Lists!$F$2:$F$42,0)-1,0),0,COUNTIF(Lists!$F$2:$F$42,$A25),1)</formula1>
    </dataValidation>
    <dataValidation sqref="B26" showDropDown="0" showInputMessage="0" showErrorMessage="0" allowBlank="0" type="list">
      <formula1>=OFFSET(Lists!$H$2,IFERROR(MATCH($A26,Lists!$F$2:$F$42,0)-1,0),0,COUNTIF(Lists!$F$2:$F$42,$A26),1)</formula1>
    </dataValidation>
    <dataValidation sqref="B27" showDropDown="0" showInputMessage="0" showErrorMessage="0" allowBlank="0" type="list">
      <formula1>=OFFSET(Lists!$H$2,IFERROR(MATCH($A27,Lists!$F$2:$F$42,0)-1,0),0,COUNTIF(Lists!$F$2:$F$42,$A27),1)</formula1>
    </dataValidation>
    <dataValidation sqref="B28" showDropDown="0" showInputMessage="0" showErrorMessage="0" allowBlank="0" type="list">
      <formula1>=OFFSET(Lists!$H$2,IFERROR(MATCH($A28,Lists!$F$2:$F$42,0)-1,0),0,COUNTIF(Lists!$F$2:$F$42,$A28),1)</formula1>
    </dataValidation>
    <dataValidation sqref="B29" showDropDown="0" showInputMessage="0" showErrorMessage="0" allowBlank="0" type="list">
      <formula1>=OFFSET(Lists!$H$2,IFERROR(MATCH($A29,Lists!$F$2:$F$42,0)-1,0),0,COUNTIF(Lists!$F$2:$F$42,$A29),1)</formula1>
    </dataValidation>
    <dataValidation sqref="B30" showDropDown="0" showInputMessage="0" showErrorMessage="0" allowBlank="0" type="list">
      <formula1>=OFFSET(Lists!$H$2,IFERROR(MATCH($A30,Lists!$F$2:$F$42,0)-1,0),0,COUNTIF(Lists!$F$2:$F$42,$A30),1)</formula1>
    </dataValidation>
    <dataValidation sqref="B31" showDropDown="0" showInputMessage="0" showErrorMessage="0" allowBlank="0" type="list">
      <formula1>=OFFSET(Lists!$H$2,IFERROR(MATCH($A31,Lists!$F$2:$F$42,0)-1,0),0,COUNTIF(Lists!$F$2:$F$42,$A31),1)</formula1>
    </dataValidation>
    <dataValidation sqref="B32" showDropDown="0" showInputMessage="0" showErrorMessage="0" allowBlank="0" type="list">
      <formula1>=OFFSET(Lists!$H$2,IFERROR(MATCH($A32,Lists!$F$2:$F$42,0)-1,0),0,COUNTIF(Lists!$F$2:$F$42,$A32),1)</formula1>
    </dataValidation>
    <dataValidation sqref="B33" showDropDown="0" showInputMessage="0" showErrorMessage="0" allowBlank="0" type="list">
      <formula1>=OFFSET(Lists!$H$2,IFERROR(MATCH($A33,Lists!$F$2:$F$42,0)-1,0),0,COUNTIF(Lists!$F$2:$F$42,$A33),1)</formula1>
    </dataValidation>
    <dataValidation sqref="B34" showDropDown="0" showInputMessage="0" showErrorMessage="0" allowBlank="0" type="list">
      <formula1>=OFFSET(Lists!$H$2,IFERROR(MATCH($A34,Lists!$F$2:$F$42,0)-1,0),0,COUNTIF(Lists!$F$2:$F$42,$A34),1)</formula1>
    </dataValidation>
    <dataValidation sqref="B35" showDropDown="0" showInputMessage="0" showErrorMessage="0" allowBlank="0" type="list">
      <formula1>=OFFSET(Lists!$H$2,IFERROR(MATCH($A35,Lists!$F$2:$F$42,0)-1,0),0,COUNTIF(Lists!$F$2:$F$42,$A35),1)</formula1>
    </dataValidation>
    <dataValidation sqref="B36" showDropDown="0" showInputMessage="0" showErrorMessage="0" allowBlank="0" type="list">
      <formula1>=OFFSET(Lists!$H$2,IFERROR(MATCH($A36,Lists!$F$2:$F$42,0)-1,0),0,COUNTIF(Lists!$F$2:$F$42,$A36),1)</formula1>
    </dataValidation>
    <dataValidation sqref="B37" showDropDown="0" showInputMessage="0" showErrorMessage="0" allowBlank="0" type="list">
      <formula1>=OFFSET(Lists!$H$2,IFERROR(MATCH($A37,Lists!$F$2:$F$42,0)-1,0),0,COUNTIF(Lists!$F$2:$F$42,$A37),1)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5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  <col width="18" customWidth="1" min="11" max="11"/>
  </cols>
  <sheetData>
    <row r="1">
      <c r="A1" s="3" t="inlineStr">
        <is>
          <t>Country Focus Dashboard</t>
        </is>
      </c>
    </row>
    <row r="2">
      <c r="A2" t="inlineStr">
        <is>
          <t>Country</t>
        </is>
      </c>
      <c r="B2" t="inlineStr">
        <is>
          <t>Australia</t>
        </is>
      </c>
    </row>
    <row r="3">
      <c r="A3" t="inlineStr">
        <is>
          <t>Ticker</t>
        </is>
      </c>
      <c r="B3">
        <f>IFERROR(INDEX(Lists!$D:$D, MATCH($B$2, Lists!$C:$C, 0)),"")</f>
        <v/>
      </c>
    </row>
    <row r="4">
      <c r="A4" t="inlineStr">
        <is>
          <t>As-of Date</t>
        </is>
      </c>
      <c r="B4" s="13">
        <f>IFERROR(INDEX(ETF_Timeframes!$F:$F, MATCH($B$2&amp;"|"&amp;$B$3&amp;"|MAX", ETF_Timeframes!$I:$I, 0)),"")</f>
        <v/>
      </c>
    </row>
    <row r="5">
      <c r="A5" t="inlineStr">
        <is>
          <t>Ticker Currency</t>
        </is>
      </c>
      <c r="B5">
        <f>IFERROR(INDEX(Lists!$K$2:$K$42, MATCH($B$3, Lists!$I$2:$I$42, 0)),"")</f>
        <v/>
      </c>
    </row>
    <row r="6">
      <c r="A6" t="inlineStr">
        <is>
          <t>Ticker Exchange</t>
        </is>
      </c>
      <c r="B6">
        <f>IFERROR(INDEX(Lists!$J$2:$J$42, MATCH($B$3, Lists!$I$2:$I$42, 0)),"")</f>
        <v/>
      </c>
    </row>
    <row r="8">
      <c r="A8" s="4" t="inlineStr">
        <is>
          <t>ETF Cumulative returns</t>
        </is>
      </c>
    </row>
    <row r="9">
      <c r="A9" s="4" t="inlineStr">
        <is>
          <t>Timeframe</t>
        </is>
      </c>
      <c r="B9" s="4" t="inlineStr">
        <is>
          <t>ETF Return (USD) %</t>
        </is>
      </c>
      <c r="C9" s="4">
        <f>IF($B$5&lt;&gt;"USD","ETF Return (" &amp; $B$5 &amp; ") %","")</f>
        <v/>
      </c>
      <c r="D9" s="4" t="inlineStr">
        <is>
          <t>Start Date</t>
        </is>
      </c>
    </row>
    <row r="10">
      <c r="A10" t="inlineStr">
        <is>
          <t>YTD</t>
        </is>
      </c>
      <c r="B10" s="5">
        <f>IFERROR(INDEX(ETF_Timeframes!$H:$H, MATCH($B$2&amp;"|"&amp;$B$3&amp;"|"&amp;$A10, ETF_Timeframes!$I:$I, 0)), "")</f>
        <v/>
      </c>
      <c r="C10" s="5">
        <f>IF($B$5&lt;&gt;"USD", IFERROR(INDEX(ETF_Timeframes!$G:$G, MATCH($B$2&amp;"|"&amp;$B$3&amp;"|"&amp;$A10, ETF_Timeframes!$I:$I, 0)), ""), "")</f>
        <v/>
      </c>
      <c r="D10" s="13">
        <f>IFERROR(INDEX(ETF_Timeframes!$E:$E, MATCH($B$2&amp;"|"&amp;$B$3&amp;"|"&amp;$A10, ETF_Timeframes!$I:$I, 0)),"")</f>
        <v/>
      </c>
    </row>
    <row r="11">
      <c r="A11" t="inlineStr">
        <is>
          <t>1 Month</t>
        </is>
      </c>
      <c r="B11" s="5">
        <f>IFERROR(INDEX(ETF_Timeframes!$H:$H, MATCH($B$2&amp;"|"&amp;$B$3&amp;"|"&amp;$A11, ETF_Timeframes!$I:$I, 0)), "")</f>
        <v/>
      </c>
      <c r="C11" s="5">
        <f>IF($B$5&lt;&gt;"USD", IFERROR(INDEX(ETF_Timeframes!$G:$G, MATCH($B$2&amp;"|"&amp;$B$3&amp;"|"&amp;$A11, ETF_Timeframes!$I:$I, 0)), ""), "")</f>
        <v/>
      </c>
      <c r="D11" s="13">
        <f>IFERROR(INDEX(ETF_Timeframes!$E:$E, MATCH($B$2&amp;"|"&amp;$B$3&amp;"|"&amp;$A11, ETF_Timeframes!$I:$I, 0)),"")</f>
        <v/>
      </c>
    </row>
    <row r="12">
      <c r="A12" t="inlineStr">
        <is>
          <t>3 Months</t>
        </is>
      </c>
      <c r="B12" s="5">
        <f>IFERROR(INDEX(ETF_Timeframes!$H:$H, MATCH($B$2&amp;"|"&amp;$B$3&amp;"|"&amp;$A12, ETF_Timeframes!$I:$I, 0)), "")</f>
        <v/>
      </c>
      <c r="C12" s="5">
        <f>IF($B$5&lt;&gt;"USD", IFERROR(INDEX(ETF_Timeframes!$G:$G, MATCH($B$2&amp;"|"&amp;$B$3&amp;"|"&amp;$A12, ETF_Timeframes!$I:$I, 0)), ""), "")</f>
        <v/>
      </c>
      <c r="D12" s="13">
        <f>IFERROR(INDEX(ETF_Timeframes!$E:$E, MATCH($B$2&amp;"|"&amp;$B$3&amp;"|"&amp;$A12, ETF_Timeframes!$I:$I, 0)),"")</f>
        <v/>
      </c>
    </row>
    <row r="13">
      <c r="A13" t="inlineStr">
        <is>
          <t>6 Months</t>
        </is>
      </c>
      <c r="B13" s="5">
        <f>IFERROR(INDEX(ETF_Timeframes!$H:$H, MATCH($B$2&amp;"|"&amp;$B$3&amp;"|"&amp;$A13, ETF_Timeframes!$I:$I, 0)), "")</f>
        <v/>
      </c>
      <c r="C13" s="5">
        <f>IF($B$5&lt;&gt;"USD", IFERROR(INDEX(ETF_Timeframes!$G:$G, MATCH($B$2&amp;"|"&amp;$B$3&amp;"|"&amp;$A13, ETF_Timeframes!$I:$I, 0)), ""), "")</f>
        <v/>
      </c>
      <c r="D13" s="13">
        <f>IFERROR(INDEX(ETF_Timeframes!$E:$E, MATCH($B$2&amp;"|"&amp;$B$3&amp;"|"&amp;$A13, ETF_Timeframes!$I:$I, 0)),"")</f>
        <v/>
      </c>
    </row>
    <row r="14">
      <c r="A14" t="inlineStr">
        <is>
          <t>1 Year</t>
        </is>
      </c>
      <c r="B14" s="5">
        <f>IFERROR(INDEX(ETF_Timeframes!$H:$H, MATCH($B$2&amp;"|"&amp;$B$3&amp;"|"&amp;$A14, ETF_Timeframes!$I:$I, 0)), "")</f>
        <v/>
      </c>
      <c r="C14" s="5">
        <f>IF($B$5&lt;&gt;"USD", IFERROR(INDEX(ETF_Timeframes!$G:$G, MATCH($B$2&amp;"|"&amp;$B$3&amp;"|"&amp;$A14, ETF_Timeframes!$I:$I, 0)), ""), "")</f>
        <v/>
      </c>
      <c r="D14" s="13">
        <f>IFERROR(INDEX(ETF_Timeframes!$E:$E, MATCH($B$2&amp;"|"&amp;$B$3&amp;"|"&amp;$A14, ETF_Timeframes!$I:$I, 0)),"")</f>
        <v/>
      </c>
    </row>
    <row r="15">
      <c r="A15" t="inlineStr">
        <is>
          <t>3 Years</t>
        </is>
      </c>
      <c r="B15" s="5">
        <f>IFERROR(INDEX(ETF_Timeframes!$H:$H, MATCH($B$2&amp;"|"&amp;$B$3&amp;"|"&amp;$A15, ETF_Timeframes!$I:$I, 0)), "")</f>
        <v/>
      </c>
      <c r="C15" s="5">
        <f>IF($B$5&lt;&gt;"USD", IFERROR(INDEX(ETF_Timeframes!$G:$G, MATCH($B$2&amp;"|"&amp;$B$3&amp;"|"&amp;$A15, ETF_Timeframes!$I:$I, 0)), ""), "")</f>
        <v/>
      </c>
      <c r="D15" s="13">
        <f>IFERROR(INDEX(ETF_Timeframes!$E:$E, MATCH($B$2&amp;"|"&amp;$B$3&amp;"|"&amp;$A15, ETF_Timeframes!$I:$I, 0)),"")</f>
        <v/>
      </c>
    </row>
    <row r="16">
      <c r="A16" t="inlineStr">
        <is>
          <t>5 Years</t>
        </is>
      </c>
      <c r="B16" s="5">
        <f>IFERROR(INDEX(ETF_Timeframes!$H:$H, MATCH($B$2&amp;"|"&amp;$B$3&amp;"|"&amp;$A16, ETF_Timeframes!$I:$I, 0)), "")</f>
        <v/>
      </c>
      <c r="C16" s="5">
        <f>IF($B$5&lt;&gt;"USD", IFERROR(INDEX(ETF_Timeframes!$G:$G, MATCH($B$2&amp;"|"&amp;$B$3&amp;"|"&amp;$A16, ETF_Timeframes!$I:$I, 0)), ""), "")</f>
        <v/>
      </c>
      <c r="D16" s="13">
        <f>IFERROR(INDEX(ETF_Timeframes!$E:$E, MATCH($B$2&amp;"|"&amp;$B$3&amp;"|"&amp;$A16, ETF_Timeframes!$I:$I, 0)),"")</f>
        <v/>
      </c>
    </row>
    <row r="17">
      <c r="A17" t="inlineStr">
        <is>
          <t>10 Years</t>
        </is>
      </c>
      <c r="B17" s="5">
        <f>IFERROR(INDEX(ETF_Timeframes!$H:$H, MATCH($B$2&amp;"|"&amp;$B$3&amp;"|"&amp;$A17, ETF_Timeframes!$I:$I, 0)), "")</f>
        <v/>
      </c>
      <c r="C17" s="5">
        <f>IF($B$5&lt;&gt;"USD", IFERROR(INDEX(ETF_Timeframes!$G:$G, MATCH($B$2&amp;"|"&amp;$B$3&amp;"|"&amp;$A17, ETF_Timeframes!$I:$I, 0)), ""), "")</f>
        <v/>
      </c>
      <c r="D17" s="13">
        <f>IFERROR(INDEX(ETF_Timeframes!$E:$E, MATCH($B$2&amp;"|"&amp;$B$3&amp;"|"&amp;$A17, ETF_Timeframes!$I:$I, 0)),"")</f>
        <v/>
      </c>
    </row>
    <row r="18">
      <c r="A18" t="inlineStr">
        <is>
          <t>MAX</t>
        </is>
      </c>
      <c r="B18" s="5">
        <f>IFERROR(INDEX(ETF_Timeframes!$H:$H, MATCH($B$2&amp;"|"&amp;$B$3&amp;"|"&amp;$A18, ETF_Timeframes!$I:$I, 0)), "")</f>
        <v/>
      </c>
      <c r="C18" s="5">
        <f>IF($B$5&lt;&gt;"USD", IFERROR(INDEX(ETF_Timeframes!$G:$G, MATCH($B$2&amp;"|"&amp;$B$3&amp;"|"&amp;$A18, ETF_Timeframes!$I:$I, 0)), ""), "")</f>
        <v/>
      </c>
      <c r="D18" s="13">
        <f>IFERROR(INDEX(ETF_Timeframes!$E:$E, MATCH($B$2&amp;"|"&amp;$B$3&amp;"|"&amp;$A18, ETF_Timeframes!$I:$I, 0)),"")</f>
        <v/>
      </c>
    </row>
    <row r="22">
      <c r="A22" s="4" t="inlineStr">
        <is>
          <t>Annual ETF vs GDP + FX Decomposition (Last 10 Years, %)</t>
        </is>
      </c>
    </row>
    <row r="23">
      <c r="A23" s="4" t="inlineStr">
        <is>
          <t>Year</t>
        </is>
      </c>
      <c r="B23" s="4" t="inlineStr">
        <is>
          <t>Nominal GDP Growth (USD) %</t>
        </is>
      </c>
      <c r="C23" s="4" t="inlineStr">
        <is>
          <t>ETF Return (USD) %</t>
        </is>
      </c>
      <c r="D23" s="4" t="inlineStr">
        <is>
          <t>Macro Disconnect %</t>
        </is>
      </c>
      <c r="E23" s="4" t="inlineStr"/>
      <c r="F23" s="4" t="inlineStr">
        <is>
          <t>Real GDP Growth %</t>
        </is>
      </c>
      <c r="G23" s="4" t="inlineStr">
        <is>
          <t>Nominal GDP Growth (LCU) %</t>
        </is>
      </c>
      <c r="H23" s="4">
        <f>IF($B$5&lt;&gt;"USD","ETF Return (" &amp; $B$5 &amp; ") %","")</f>
        <v/>
      </c>
      <c r="I23" s="4">
        <f>IF($B$5&lt;&gt;"USD","FX Change (vs USD) %","")</f>
        <v/>
      </c>
      <c r="J23" s="4" t="inlineStr">
        <is>
          <t>WEO LCU Return vs USD %</t>
        </is>
      </c>
      <c r="K23" s="4">
        <f>IF($B$5&lt;&gt;"USD","Jan 1st FX Change %","")</f>
        <v/>
      </c>
    </row>
    <row r="24">
      <c r="A24" t="n">
        <v>2016</v>
      </c>
      <c r="B24" s="5">
        <f>IFERROR(1*INDEX(Annual!$H:$H, MATCH($B$2&amp;"|"&amp;$A24, Annual!$K:$K, 0)), NA())</f>
        <v/>
      </c>
      <c r="C24" s="5">
        <f>IFERROR(1*INDEX(Annual!$P:$P, MATCH($B$2&amp;"|"&amp;$B$3&amp;"|"&amp;$A24, Annual!$J:$J, 0)), NA())</f>
        <v/>
      </c>
      <c r="D24" s="5">
        <f>IF(AND(ISNUMBER(B24),ISNUMBER(C24),C24&lt;&gt;0),B24-C24,NA())</f>
        <v/>
      </c>
      <c r="E24" t="inlineStr"/>
      <c r="F24" s="5">
        <f>IFERROR(1*INDEX(Annual!$F:$F, MATCH($B$2&amp;"|"&amp;$A24, Annual!$K:$K, 0)), NA())</f>
        <v/>
      </c>
      <c r="G24" s="5">
        <f>IFERROR(1*INDEX(Annual!$G:$G, MATCH($B$2&amp;"|"&amp;$A24, Annual!$K:$K, 0)), NA())</f>
        <v/>
      </c>
      <c r="H24" s="5">
        <f>IF($B$5&lt;&gt;"USD",IFERROR(1*INDEX(Annual!$E:$E, MATCH($B$2&amp;"|"&amp;$B$3&amp;"|"&amp;$A24, Annual!$J:$J, 0)), NA()),"")</f>
        <v/>
      </c>
      <c r="I24" s="5">
        <f>IF($B$5&lt;&gt;"USD",IFERROR(1*INDEX(Annual!$N:$N, MATCH($B$2&amp;"|"&amp;$B$3&amp;"|"&amp;$A24, Annual!$J:$J, 0)), NA()),"")</f>
        <v/>
      </c>
      <c r="J24" s="5">
        <f>IFERROR(1*INDEX(Annual!$Q:$Q, MATCH($B$2&amp;"|"&amp;$A24, Annual!$K:$K, 0)), NA())</f>
        <v/>
      </c>
      <c r="K24">
        <f>IF($B$5&lt;&gt;"USD",IFERROR(1*INDEX(Annual!$O:$O, MATCH($B$2&amp;"|"&amp;$B$3&amp;"|"&amp;$A24, Annual!$J:$J, 0)), NA()),"")</f>
        <v/>
      </c>
    </row>
    <row r="25">
      <c r="A25" t="n">
        <v>2017</v>
      </c>
      <c r="B25" s="5">
        <f>IFERROR(1*INDEX(Annual!$H:$H, MATCH($B$2&amp;"|"&amp;$A25, Annual!$K:$K, 0)), NA())</f>
        <v/>
      </c>
      <c r="C25" s="5">
        <f>IFERROR(1*INDEX(Annual!$P:$P, MATCH($B$2&amp;"|"&amp;$B$3&amp;"|"&amp;$A25, Annual!$J:$J, 0)), NA())</f>
        <v/>
      </c>
      <c r="D25" s="5">
        <f>IF(AND(ISNUMBER(B25),ISNUMBER(C25),C25&lt;&gt;0),B25-C25,NA())</f>
        <v/>
      </c>
      <c r="E25" t="inlineStr"/>
      <c r="F25" s="5">
        <f>IFERROR(1*INDEX(Annual!$F:$F, MATCH($B$2&amp;"|"&amp;$A25, Annual!$K:$K, 0)), NA())</f>
        <v/>
      </c>
      <c r="G25" s="5">
        <f>IFERROR(1*INDEX(Annual!$G:$G, MATCH($B$2&amp;"|"&amp;$A25, Annual!$K:$K, 0)), NA())</f>
        <v/>
      </c>
      <c r="H25" s="5">
        <f>IF($B$5&lt;&gt;"USD",IFERROR(1*INDEX(Annual!$E:$E, MATCH($B$2&amp;"|"&amp;$B$3&amp;"|"&amp;$A25, Annual!$J:$J, 0)), NA()),"")</f>
        <v/>
      </c>
      <c r="I25" s="5">
        <f>IF($B$5&lt;&gt;"USD",IFERROR(1*INDEX(Annual!$N:$N, MATCH($B$2&amp;"|"&amp;$B$3&amp;"|"&amp;$A25, Annual!$J:$J, 0)), NA()),"")</f>
        <v/>
      </c>
      <c r="J25" s="5">
        <f>IFERROR(1*INDEX(Annual!$Q:$Q, MATCH($B$2&amp;"|"&amp;$A25, Annual!$K:$K, 0)), NA())</f>
        <v/>
      </c>
      <c r="K25">
        <f>IF($B$5&lt;&gt;"USD",IFERROR(1*INDEX(Annual!$O:$O, MATCH($B$2&amp;"|"&amp;$B$3&amp;"|"&amp;$A25, Annual!$J:$J, 0)), NA()),"")</f>
        <v/>
      </c>
    </row>
    <row r="26">
      <c r="A26" t="n">
        <v>2018</v>
      </c>
      <c r="B26" s="5">
        <f>IFERROR(1*INDEX(Annual!$H:$H, MATCH($B$2&amp;"|"&amp;$A26, Annual!$K:$K, 0)), NA())</f>
        <v/>
      </c>
      <c r="C26" s="5">
        <f>IFERROR(1*INDEX(Annual!$P:$P, MATCH($B$2&amp;"|"&amp;$B$3&amp;"|"&amp;$A26, Annual!$J:$J, 0)), NA())</f>
        <v/>
      </c>
      <c r="D26" s="5">
        <f>IF(AND(ISNUMBER(B26),ISNUMBER(C26),C26&lt;&gt;0),B26-C26,NA())</f>
        <v/>
      </c>
      <c r="E26" t="inlineStr"/>
      <c r="F26" s="5">
        <f>IFERROR(1*INDEX(Annual!$F:$F, MATCH($B$2&amp;"|"&amp;$A26, Annual!$K:$K, 0)), NA())</f>
        <v/>
      </c>
      <c r="G26" s="5">
        <f>IFERROR(1*INDEX(Annual!$G:$G, MATCH($B$2&amp;"|"&amp;$A26, Annual!$K:$K, 0)), NA())</f>
        <v/>
      </c>
      <c r="H26" s="5">
        <f>IF($B$5&lt;&gt;"USD",IFERROR(1*INDEX(Annual!$E:$E, MATCH($B$2&amp;"|"&amp;$B$3&amp;"|"&amp;$A26, Annual!$J:$J, 0)), NA()),"")</f>
        <v/>
      </c>
      <c r="I26" s="5">
        <f>IF($B$5&lt;&gt;"USD",IFERROR(1*INDEX(Annual!$N:$N, MATCH($B$2&amp;"|"&amp;$B$3&amp;"|"&amp;$A26, Annual!$J:$J, 0)), NA()),"")</f>
        <v/>
      </c>
      <c r="J26" s="5">
        <f>IFERROR(1*INDEX(Annual!$Q:$Q, MATCH($B$2&amp;"|"&amp;$A26, Annual!$K:$K, 0)), NA())</f>
        <v/>
      </c>
      <c r="K26">
        <f>IF($B$5&lt;&gt;"USD",IFERROR(1*INDEX(Annual!$O:$O, MATCH($B$2&amp;"|"&amp;$B$3&amp;"|"&amp;$A26, Annual!$J:$J, 0)), NA()),"")</f>
        <v/>
      </c>
    </row>
    <row r="27">
      <c r="A27" t="n">
        <v>2019</v>
      </c>
      <c r="B27" s="5">
        <f>IFERROR(1*INDEX(Annual!$H:$H, MATCH($B$2&amp;"|"&amp;$A27, Annual!$K:$K, 0)), NA())</f>
        <v/>
      </c>
      <c r="C27" s="5">
        <f>IFERROR(1*INDEX(Annual!$P:$P, MATCH($B$2&amp;"|"&amp;$B$3&amp;"|"&amp;$A27, Annual!$J:$J, 0)), NA())</f>
        <v/>
      </c>
      <c r="D27" s="5">
        <f>IF(AND(ISNUMBER(B27),ISNUMBER(C27),C27&lt;&gt;0),B27-C27,NA())</f>
        <v/>
      </c>
      <c r="E27" t="inlineStr"/>
      <c r="F27" s="5">
        <f>IFERROR(1*INDEX(Annual!$F:$F, MATCH($B$2&amp;"|"&amp;$A27, Annual!$K:$K, 0)), NA())</f>
        <v/>
      </c>
      <c r="G27" s="5">
        <f>IFERROR(1*INDEX(Annual!$G:$G, MATCH($B$2&amp;"|"&amp;$A27, Annual!$K:$K, 0)), NA())</f>
        <v/>
      </c>
      <c r="H27" s="5">
        <f>IF($B$5&lt;&gt;"USD",IFERROR(1*INDEX(Annual!$E:$E, MATCH($B$2&amp;"|"&amp;$B$3&amp;"|"&amp;$A27, Annual!$J:$J, 0)), NA()),"")</f>
        <v/>
      </c>
      <c r="I27" s="5">
        <f>IF($B$5&lt;&gt;"USD",IFERROR(1*INDEX(Annual!$N:$N, MATCH($B$2&amp;"|"&amp;$B$3&amp;"|"&amp;$A27, Annual!$J:$J, 0)), NA()),"")</f>
        <v/>
      </c>
      <c r="J27" s="5">
        <f>IFERROR(1*INDEX(Annual!$Q:$Q, MATCH($B$2&amp;"|"&amp;$A27, Annual!$K:$K, 0)), NA())</f>
        <v/>
      </c>
      <c r="K27">
        <f>IF($B$5&lt;&gt;"USD",IFERROR(1*INDEX(Annual!$O:$O, MATCH($B$2&amp;"|"&amp;$B$3&amp;"|"&amp;$A27, Annual!$J:$J, 0)), NA()),"")</f>
        <v/>
      </c>
    </row>
    <row r="28">
      <c r="A28" t="n">
        <v>2020</v>
      </c>
      <c r="B28" s="5">
        <f>IFERROR(1*INDEX(Annual!$H:$H, MATCH($B$2&amp;"|"&amp;$A28, Annual!$K:$K, 0)), NA())</f>
        <v/>
      </c>
      <c r="C28" s="5">
        <f>IFERROR(1*INDEX(Annual!$P:$P, MATCH($B$2&amp;"|"&amp;$B$3&amp;"|"&amp;$A28, Annual!$J:$J, 0)), NA())</f>
        <v/>
      </c>
      <c r="D28" s="5">
        <f>IF(AND(ISNUMBER(B28),ISNUMBER(C28),C28&lt;&gt;0),B28-C28,NA())</f>
        <v/>
      </c>
      <c r="E28" t="inlineStr"/>
      <c r="F28" s="5">
        <f>IFERROR(1*INDEX(Annual!$F:$F, MATCH($B$2&amp;"|"&amp;$A28, Annual!$K:$K, 0)), NA())</f>
        <v/>
      </c>
      <c r="G28" s="5">
        <f>IFERROR(1*INDEX(Annual!$G:$G, MATCH($B$2&amp;"|"&amp;$A28, Annual!$K:$K, 0)), NA())</f>
        <v/>
      </c>
      <c r="H28" s="5">
        <f>IF($B$5&lt;&gt;"USD",IFERROR(1*INDEX(Annual!$E:$E, MATCH($B$2&amp;"|"&amp;$B$3&amp;"|"&amp;$A28, Annual!$J:$J, 0)), NA()),"")</f>
        <v/>
      </c>
      <c r="I28" s="5">
        <f>IF($B$5&lt;&gt;"USD",IFERROR(1*INDEX(Annual!$N:$N, MATCH($B$2&amp;"|"&amp;$B$3&amp;"|"&amp;$A28, Annual!$J:$J, 0)), NA()),"")</f>
        <v/>
      </c>
      <c r="J28" s="5">
        <f>IFERROR(1*INDEX(Annual!$Q:$Q, MATCH($B$2&amp;"|"&amp;$A28, Annual!$K:$K, 0)), NA())</f>
        <v/>
      </c>
      <c r="K28">
        <f>IF($B$5&lt;&gt;"USD",IFERROR(1*INDEX(Annual!$O:$O, MATCH($B$2&amp;"|"&amp;$B$3&amp;"|"&amp;$A28, Annual!$J:$J, 0)), NA()),"")</f>
        <v/>
      </c>
    </row>
    <row r="29">
      <c r="A29" t="n">
        <v>2021</v>
      </c>
      <c r="B29" s="5">
        <f>IFERROR(1*INDEX(Annual!$H:$H, MATCH($B$2&amp;"|"&amp;$A29, Annual!$K:$K, 0)), NA())</f>
        <v/>
      </c>
      <c r="C29" s="5">
        <f>IFERROR(1*INDEX(Annual!$P:$P, MATCH($B$2&amp;"|"&amp;$B$3&amp;"|"&amp;$A29, Annual!$J:$J, 0)), NA())</f>
        <v/>
      </c>
      <c r="D29" s="5">
        <f>IF(AND(ISNUMBER(B29),ISNUMBER(C29),C29&lt;&gt;0),B29-C29,NA())</f>
        <v/>
      </c>
      <c r="E29" t="inlineStr"/>
      <c r="F29" s="5">
        <f>IFERROR(1*INDEX(Annual!$F:$F, MATCH($B$2&amp;"|"&amp;$A29, Annual!$K:$K, 0)), NA())</f>
        <v/>
      </c>
      <c r="G29" s="5">
        <f>IFERROR(1*INDEX(Annual!$G:$G, MATCH($B$2&amp;"|"&amp;$A29, Annual!$K:$K, 0)), NA())</f>
        <v/>
      </c>
      <c r="H29" s="5">
        <f>IF($B$5&lt;&gt;"USD",IFERROR(1*INDEX(Annual!$E:$E, MATCH($B$2&amp;"|"&amp;$B$3&amp;"|"&amp;$A29, Annual!$J:$J, 0)), NA()),"")</f>
        <v/>
      </c>
      <c r="I29" s="5">
        <f>IF($B$5&lt;&gt;"USD",IFERROR(1*INDEX(Annual!$N:$N, MATCH($B$2&amp;"|"&amp;$B$3&amp;"|"&amp;$A29, Annual!$J:$J, 0)), NA()),"")</f>
        <v/>
      </c>
      <c r="J29" s="5">
        <f>IFERROR(1*INDEX(Annual!$Q:$Q, MATCH($B$2&amp;"|"&amp;$A29, Annual!$K:$K, 0)), NA())</f>
        <v/>
      </c>
      <c r="K29">
        <f>IF($B$5&lt;&gt;"USD",IFERROR(1*INDEX(Annual!$O:$O, MATCH($B$2&amp;"|"&amp;$B$3&amp;"|"&amp;$A29, Annual!$J:$J, 0)), NA()),"")</f>
        <v/>
      </c>
    </row>
    <row r="30">
      <c r="A30" t="n">
        <v>2022</v>
      </c>
      <c r="B30" s="5">
        <f>IFERROR(1*INDEX(Annual!$H:$H, MATCH($B$2&amp;"|"&amp;$A30, Annual!$K:$K, 0)), NA())</f>
        <v/>
      </c>
      <c r="C30" s="5">
        <f>IFERROR(1*INDEX(Annual!$P:$P, MATCH($B$2&amp;"|"&amp;$B$3&amp;"|"&amp;$A30, Annual!$J:$J, 0)), NA())</f>
        <v/>
      </c>
      <c r="D30" s="5">
        <f>IF(AND(ISNUMBER(B30),ISNUMBER(C30),C30&lt;&gt;0),B30-C30,NA())</f>
        <v/>
      </c>
      <c r="E30" t="inlineStr"/>
      <c r="F30" s="5">
        <f>IFERROR(1*INDEX(Annual!$F:$F, MATCH($B$2&amp;"|"&amp;$A30, Annual!$K:$K, 0)), NA())</f>
        <v/>
      </c>
      <c r="G30" s="5">
        <f>IFERROR(1*INDEX(Annual!$G:$G, MATCH($B$2&amp;"|"&amp;$A30, Annual!$K:$K, 0)), NA())</f>
        <v/>
      </c>
      <c r="H30" s="5">
        <f>IF($B$5&lt;&gt;"USD",IFERROR(1*INDEX(Annual!$E:$E, MATCH($B$2&amp;"|"&amp;$B$3&amp;"|"&amp;$A30, Annual!$J:$J, 0)), NA()),"")</f>
        <v/>
      </c>
      <c r="I30" s="5">
        <f>IF($B$5&lt;&gt;"USD",IFERROR(1*INDEX(Annual!$N:$N, MATCH($B$2&amp;"|"&amp;$B$3&amp;"|"&amp;$A30, Annual!$J:$J, 0)), NA()),"")</f>
        <v/>
      </c>
      <c r="J30" s="5">
        <f>IFERROR(1*INDEX(Annual!$Q:$Q, MATCH($B$2&amp;"|"&amp;$A30, Annual!$K:$K, 0)), NA())</f>
        <v/>
      </c>
      <c r="K30">
        <f>IF($B$5&lt;&gt;"USD",IFERROR(1*INDEX(Annual!$O:$O, MATCH($B$2&amp;"|"&amp;$B$3&amp;"|"&amp;$A30, Annual!$J:$J, 0)), NA()),"")</f>
        <v/>
      </c>
    </row>
    <row r="31">
      <c r="A31" t="n">
        <v>2023</v>
      </c>
      <c r="B31" s="5">
        <f>IFERROR(1*INDEX(Annual!$H:$H, MATCH($B$2&amp;"|"&amp;$A31, Annual!$K:$K, 0)), NA())</f>
        <v/>
      </c>
      <c r="C31" s="5">
        <f>IFERROR(1*INDEX(Annual!$P:$P, MATCH($B$2&amp;"|"&amp;$B$3&amp;"|"&amp;$A31, Annual!$J:$J, 0)), NA())</f>
        <v/>
      </c>
      <c r="D31" s="5">
        <f>IF(AND(ISNUMBER(B31),ISNUMBER(C31),C31&lt;&gt;0),B31-C31,NA())</f>
        <v/>
      </c>
      <c r="E31" t="inlineStr"/>
      <c r="F31" s="5">
        <f>IFERROR(1*INDEX(Annual!$F:$F, MATCH($B$2&amp;"|"&amp;$A31, Annual!$K:$K, 0)), NA())</f>
        <v/>
      </c>
      <c r="G31" s="5">
        <f>IFERROR(1*INDEX(Annual!$G:$G, MATCH($B$2&amp;"|"&amp;$A31, Annual!$K:$K, 0)), NA())</f>
        <v/>
      </c>
      <c r="H31" s="5">
        <f>IF($B$5&lt;&gt;"USD",IFERROR(1*INDEX(Annual!$E:$E, MATCH($B$2&amp;"|"&amp;$B$3&amp;"|"&amp;$A31, Annual!$J:$J, 0)), NA()),"")</f>
        <v/>
      </c>
      <c r="I31" s="5">
        <f>IF($B$5&lt;&gt;"USD",IFERROR(1*INDEX(Annual!$N:$N, MATCH($B$2&amp;"|"&amp;$B$3&amp;"|"&amp;$A31, Annual!$J:$J, 0)), NA()),"")</f>
        <v/>
      </c>
      <c r="J31" s="5">
        <f>IFERROR(1*INDEX(Annual!$Q:$Q, MATCH($B$2&amp;"|"&amp;$A31, Annual!$K:$K, 0)), NA())</f>
        <v/>
      </c>
      <c r="K31">
        <f>IF($B$5&lt;&gt;"USD",IFERROR(1*INDEX(Annual!$O:$O, MATCH($B$2&amp;"|"&amp;$B$3&amp;"|"&amp;$A31, Annual!$J:$J, 0)), NA()),"")</f>
        <v/>
      </c>
    </row>
    <row r="32">
      <c r="A32" t="n">
        <v>2024</v>
      </c>
      <c r="B32" s="5">
        <f>IFERROR(1*INDEX(Annual!$H:$H, MATCH($B$2&amp;"|"&amp;$A32, Annual!$K:$K, 0)), NA())</f>
        <v/>
      </c>
      <c r="C32" s="5">
        <f>IFERROR(1*INDEX(Annual!$P:$P, MATCH($B$2&amp;"|"&amp;$B$3&amp;"|"&amp;$A32, Annual!$J:$J, 0)), NA())</f>
        <v/>
      </c>
      <c r="D32" s="5">
        <f>IF(AND(ISNUMBER(B32),ISNUMBER(C32),C32&lt;&gt;0),B32-C32,NA())</f>
        <v/>
      </c>
      <c r="E32" t="inlineStr"/>
      <c r="F32" s="5">
        <f>IFERROR(1*INDEX(Annual!$F:$F, MATCH($B$2&amp;"|"&amp;$A32, Annual!$K:$K, 0)), NA())</f>
        <v/>
      </c>
      <c r="G32" s="5">
        <f>IFERROR(1*INDEX(Annual!$G:$G, MATCH($B$2&amp;"|"&amp;$A32, Annual!$K:$K, 0)), NA())</f>
        <v/>
      </c>
      <c r="H32" s="5">
        <f>IF($B$5&lt;&gt;"USD",IFERROR(1*INDEX(Annual!$E:$E, MATCH($B$2&amp;"|"&amp;$B$3&amp;"|"&amp;$A32, Annual!$J:$J, 0)), NA()),"")</f>
        <v/>
      </c>
      <c r="I32" s="5">
        <f>IF($B$5&lt;&gt;"USD",IFERROR(1*INDEX(Annual!$N:$N, MATCH($B$2&amp;"|"&amp;$B$3&amp;"|"&amp;$A32, Annual!$J:$J, 0)), NA()),"")</f>
        <v/>
      </c>
      <c r="J32" s="5">
        <f>IFERROR(1*INDEX(Annual!$Q:$Q, MATCH($B$2&amp;"|"&amp;$A32, Annual!$K:$K, 0)), NA())</f>
        <v/>
      </c>
      <c r="K32">
        <f>IF($B$5&lt;&gt;"USD",IFERROR(1*INDEX(Annual!$O:$O, MATCH($B$2&amp;"|"&amp;$B$3&amp;"|"&amp;$A32, Annual!$J:$J, 0)), NA()),"")</f>
        <v/>
      </c>
    </row>
    <row r="33">
      <c r="A33" t="n">
        <v>2025</v>
      </c>
      <c r="B33" s="5">
        <f>IFERROR(1*INDEX(Annual!$H:$H, MATCH($B$2&amp;"|"&amp;$A33, Annual!$K:$K, 0)), NA())</f>
        <v/>
      </c>
      <c r="C33" s="5">
        <f>IFERROR(1*INDEX(Annual!$P:$P, MATCH($B$2&amp;"|"&amp;$B$3&amp;"|"&amp;$A33, Annual!$J:$J, 0)), NA())</f>
        <v/>
      </c>
      <c r="D33" s="5">
        <f>IF(AND(ISNUMBER(B33),ISNUMBER(C33),C33&lt;&gt;0),B33-C33,NA())</f>
        <v/>
      </c>
      <c r="E33" t="inlineStr"/>
      <c r="F33" s="5">
        <f>IFERROR(1*INDEX(Annual!$F:$F, MATCH($B$2&amp;"|"&amp;$A33, Annual!$K:$K, 0)), NA())</f>
        <v/>
      </c>
      <c r="G33" s="5">
        <f>IFERROR(1*INDEX(Annual!$G:$G, MATCH($B$2&amp;"|"&amp;$A33, Annual!$K:$K, 0)), NA())</f>
        <v/>
      </c>
      <c r="H33" s="5">
        <f>IF($B$5&lt;&gt;"USD",IFERROR(1*INDEX(Annual!$E:$E, MATCH($B$2&amp;"|"&amp;$B$3&amp;"|"&amp;$A33, Annual!$J:$J, 0)), NA()),"")</f>
        <v/>
      </c>
      <c r="I33" s="5">
        <f>IF($B$5&lt;&gt;"USD",IFERROR(1*INDEX(Annual!$N:$N, MATCH($B$2&amp;"|"&amp;$B$3&amp;"|"&amp;$A33, Annual!$J:$J, 0)), NA()),"")</f>
        <v/>
      </c>
      <c r="J33" s="5">
        <f>IFERROR(1*INDEX(Annual!$Q:$Q, MATCH($B$2&amp;"|"&amp;$A33, Annual!$K:$K, 0)), NA())</f>
        <v/>
      </c>
      <c r="K33">
        <f>IF($B$5&lt;&gt;"USD",IFERROR(1*INDEX(Annual!$O:$O, MATCH($B$2&amp;"|"&amp;$B$3&amp;"|"&amp;$A33, Annual!$J:$J, 0)), NA()),"")</f>
        <v/>
      </c>
    </row>
    <row r="34">
      <c r="A34" t="inlineStr">
        <is>
          <t>2026 (Proj GDP / ETF YTD)</t>
        </is>
      </c>
      <c r="B34" s="5">
        <f>IFERROR(1*INDEX(Annual!$H:$H, MATCH($B$2&amp;"|"&amp;2026, Annual!$K:$K, 0)), NA())</f>
        <v/>
      </c>
      <c r="C34" s="5">
        <f>IFERROR(1*INDEX(ETF_Timeframes!$H:$H, MATCH($B$2&amp;"|"&amp;$B$3&amp;"|YTD", ETF_Timeframes!$I:$I, 0)), NA())</f>
        <v/>
      </c>
      <c r="D34" s="5">
        <f>IF(AND(ISNUMBER(B34),ISNUMBER(C34),C34&lt;&gt;0),B34-C34,NA())</f>
        <v/>
      </c>
      <c r="E34" t="inlineStr"/>
      <c r="F34" s="5">
        <f>IFERROR(1*INDEX(Annual!$F:$F, MATCH($B$2&amp;"|"&amp;2026, Annual!$K:$K, 0)), NA())</f>
        <v/>
      </c>
      <c r="G34" s="5">
        <f>IFERROR(1*INDEX(Annual!$G:$G, MATCH($B$2&amp;"|"&amp;2026, Annual!$K:$K, 0)), NA())</f>
        <v/>
      </c>
      <c r="H34" s="5">
        <f>IF($B$5&lt;&gt;"USD",IFERROR(1*INDEX(Annual!$E:$E, MATCH($B$2&amp;"|"&amp;$B$3&amp;"|"&amp;2026, Annual!$J:$J, 0)), NA()),"")</f>
        <v/>
      </c>
      <c r="I34" s="5">
        <f>IF($B$5&lt;&gt;"USD",IFERROR(1*INDEX(Annual!$N:$N, MATCH($B$2&amp;"|"&amp;$B$3&amp;"|"&amp;2026, Annual!$J:$J, 0)), NA()),"")</f>
        <v/>
      </c>
      <c r="J34" s="5">
        <f>IFERROR(1*INDEX(Annual!$Q:$Q, MATCH($B$2&amp;"|"&amp;2026, Annual!$K:$K, 0)), NA())</f>
        <v/>
      </c>
      <c r="K34">
        <f>IF($B$5&lt;&gt;"USD",IFERROR(1*INDEX(Annual!$O:$O, MATCH($B$2&amp;"|"&amp;$B$3&amp;"|"&amp;2026, Annual!$J:$J, 0)), NA()),"")</f>
        <v/>
      </c>
    </row>
    <row r="35">
      <c r="A35" t="inlineStr">
        <is>
          <t>* 2026 row: GDP is IMF projection; ETF is YTD return (USD).</t>
        </is>
      </c>
    </row>
    <row r="37">
      <c r="A37" s="4" t="inlineStr">
        <is>
          <t>CAGR Comparison (%)</t>
        </is>
      </c>
    </row>
    <row r="38">
      <c r="A38" s="4" t="inlineStr">
        <is>
          <t>Horizon</t>
        </is>
      </c>
      <c r="B38" s="4" t="inlineStr">
        <is>
          <t>Nominal GDP CAGR % (USD)</t>
        </is>
      </c>
      <c r="C38" s="4" t="inlineStr">
        <is>
          <t>ETF CAGR % (USD)</t>
        </is>
      </c>
      <c r="D38" s="4" t="inlineStr"/>
      <c r="E38" s="4" t="inlineStr"/>
      <c r="F38" s="4" t="inlineStr">
        <is>
          <t>Real GDP CAGR %</t>
        </is>
      </c>
      <c r="G38" s="4" t="inlineStr">
        <is>
          <t>Nominal GDP CAGR % (LCU)</t>
        </is>
      </c>
    </row>
    <row r="39">
      <c r="A39" t="inlineStr">
        <is>
          <t>3Y</t>
        </is>
      </c>
      <c r="B39" s="5">
        <f>IFERROR(1*INDEX(CAGR!$I:$I, MATCH($B$2&amp;"|"&amp;$A39, CAGR!$Q:$Q, 0)), NA())</f>
        <v/>
      </c>
      <c r="C39" s="5">
        <f>IFERROR(1*INDEX(CAGR!$F:$F, MATCH($B$2&amp;"|"&amp;$B$3&amp;"|"&amp;$A39, CAGR!$P:$P, 0)), NA())</f>
        <v/>
      </c>
      <c r="D39" t="inlineStr"/>
      <c r="E39" t="inlineStr"/>
      <c r="F39" s="5">
        <f>IFERROR(1*INDEX(CAGR!$G:$G, MATCH($B$2&amp;"|"&amp;$A39, CAGR!$Q:$Q, 0)), NA())</f>
        <v/>
      </c>
      <c r="G39" s="5">
        <f>IFERROR(1*INDEX(CAGR!$H:$H, MATCH($B$2&amp;"|"&amp;$A39, CAGR!$Q:$Q, 0)), NA())</f>
        <v/>
      </c>
    </row>
    <row r="40">
      <c r="A40" t="inlineStr">
        <is>
          <t>5Y</t>
        </is>
      </c>
      <c r="B40" s="5">
        <f>IFERROR(1*INDEX(CAGR!$I:$I, MATCH($B$2&amp;"|"&amp;$A40, CAGR!$Q:$Q, 0)), NA())</f>
        <v/>
      </c>
      <c r="C40" s="5">
        <f>IFERROR(1*INDEX(CAGR!$F:$F, MATCH($B$2&amp;"|"&amp;$B$3&amp;"|"&amp;$A40, CAGR!$P:$P, 0)), NA())</f>
        <v/>
      </c>
      <c r="D40" t="inlineStr"/>
      <c r="E40" t="inlineStr"/>
      <c r="F40" s="5">
        <f>IFERROR(1*INDEX(CAGR!$G:$G, MATCH($B$2&amp;"|"&amp;$A40, CAGR!$Q:$Q, 0)), NA())</f>
        <v/>
      </c>
      <c r="G40" s="5">
        <f>IFERROR(1*INDEX(CAGR!$H:$H, MATCH($B$2&amp;"|"&amp;$A40, CAGR!$Q:$Q, 0)), NA())</f>
        <v/>
      </c>
    </row>
    <row r="41">
      <c r="A41" t="inlineStr">
        <is>
          <t>10Y</t>
        </is>
      </c>
      <c r="B41">
        <f>IFERROR(1*INDEX(CAGR!$I:$I, MATCH($B$2&amp;"|"&amp;$A41, CAGR!$Q:$Q, 0)), NA())</f>
        <v/>
      </c>
      <c r="C41">
        <f>IFERROR(1*INDEX(CAGR!$F:$F, MATCH($B$2&amp;"|"&amp;$B$3&amp;"|"&amp;$A41, CAGR!$P:$P, 0)), NA())</f>
        <v/>
      </c>
      <c r="D41" t="inlineStr"/>
      <c r="E41" t="inlineStr"/>
      <c r="F41">
        <f>IFERROR(1*INDEX(CAGR!$G:$G, MATCH($B$2&amp;"|"&amp;$A41, CAGR!$Q:$Q, 0)), NA())</f>
        <v/>
      </c>
      <c r="G41">
        <f>IFERROR(1*INDEX(CAGR!$H:$H, MATCH($B$2&amp;"|"&amp;$A41, CAGR!$Q:$Q, 0)), NA())</f>
        <v/>
      </c>
    </row>
  </sheetData>
  <dataValidations count="2">
    <dataValidation sqref="B2" showDropDown="0" showInputMessage="0" showErrorMessage="0" allowBlank="0" type="list">
      <formula1>=Lists!$A$2:$A$34</formula1>
    </dataValidation>
    <dataValidation sqref="B3" showDropDown="0" showInputMessage="0" showErrorMessage="0" allowBlank="0" type="list">
      <formula1>=OFFSET(Lists!$H$2,IFERROR(MATCH($B$2,Lists!$F$2:$F$42,0)-1,0),0,COUNTIF(Lists!$F$2:$F$42,$B$2),1)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4" t="inlineStr">
        <is>
          <t>Country</t>
        </is>
      </c>
      <c r="B1" s="4" t="inlineStr">
        <is>
          <t>1Y</t>
        </is>
      </c>
      <c r="C1" s="4" t="inlineStr">
        <is>
          <t>3Y</t>
        </is>
      </c>
      <c r="D1" s="4" t="inlineStr">
        <is>
          <t>5Y</t>
        </is>
      </c>
      <c r="E1" s="4" t="inlineStr">
        <is>
          <t>10Y</t>
        </is>
      </c>
      <c r="F1" s="4" t="inlineStr">
        <is>
          <t>Factsheet Link</t>
        </is>
      </c>
    </row>
    <row r="2">
      <c r="A2" t="inlineStr">
        <is>
          <t>United States</t>
        </is>
      </c>
      <c r="B2" t="n">
        <v>0.1657</v>
      </c>
      <c r="C2" t="n">
        <v>0.2179</v>
      </c>
      <c r="D2" t="n">
        <v>0.1358</v>
      </c>
      <c r="E2" t="n">
        <v>0.1549</v>
      </c>
      <c r="F2" s="14" t="inlineStr">
        <is>
          <t>Factsheet</t>
        </is>
      </c>
    </row>
    <row r="3">
      <c r="A3" t="inlineStr">
        <is>
          <t>Japan</t>
        </is>
      </c>
      <c r="B3" t="n">
        <v>0.4447</v>
      </c>
      <c r="C3" t="n">
        <v>0.2298</v>
      </c>
      <c r="D3" t="n">
        <v>0.1005</v>
      </c>
      <c r="E3" t="n">
        <v>0.1085</v>
      </c>
      <c r="F3" s="14" t="inlineStr">
        <is>
          <t>Factsheet</t>
        </is>
      </c>
    </row>
    <row r="4">
      <c r="A4" t="inlineStr">
        <is>
          <t>United Kingdom</t>
        </is>
      </c>
      <c r="B4" t="n">
        <v>0.3711</v>
      </c>
      <c r="C4" t="n">
        <v>0.1974</v>
      </c>
      <c r="D4" t="n">
        <v>0.1488</v>
      </c>
      <c r="E4" t="n">
        <v>0.0973</v>
      </c>
      <c r="F4" s="14" t="inlineStr">
        <is>
          <t>Factsheet</t>
        </is>
      </c>
    </row>
    <row r="5">
      <c r="A5" t="inlineStr">
        <is>
          <t>Canada</t>
        </is>
      </c>
      <c r="B5" t="n">
        <v>0.4297</v>
      </c>
      <c r="C5" t="n">
        <v>0.2289</v>
      </c>
      <c r="D5" t="n">
        <v>0.1561</v>
      </c>
      <c r="E5" t="n">
        <v>0.1354</v>
      </c>
      <c r="F5" s="14" t="inlineStr">
        <is>
          <t>Factsheet</t>
        </is>
      </c>
    </row>
    <row r="6">
      <c r="A6" t="inlineStr">
        <is>
          <t>China</t>
        </is>
      </c>
      <c r="B6" t="n">
        <v>0.1493</v>
      </c>
      <c r="C6" t="n">
        <v>0.1128</v>
      </c>
      <c r="D6" t="n">
        <v>-0.0446</v>
      </c>
      <c r="E6" t="n">
        <v>0.07290000000000001</v>
      </c>
      <c r="F6" s="14" t="inlineStr">
        <is>
          <t>Factsheet</t>
        </is>
      </c>
    </row>
    <row r="7">
      <c r="A7" t="inlineStr">
        <is>
          <t>Taiwan</t>
        </is>
      </c>
      <c r="B7" t="n">
        <v>0.7742</v>
      </c>
      <c r="C7" t="n">
        <v>0.4079</v>
      </c>
      <c r="D7" t="n">
        <v>0.2019</v>
      </c>
      <c r="E7" t="n">
        <v>0.2275</v>
      </c>
      <c r="F7" s="14" t="inlineStr">
        <is>
          <t>Factsheet</t>
        </is>
      </c>
    </row>
    <row r="8">
      <c r="A8" t="inlineStr">
        <is>
          <t>France</t>
        </is>
      </c>
      <c r="B8" t="n">
        <v>0.2481</v>
      </c>
      <c r="C8" t="n">
        <v>0.1307</v>
      </c>
      <c r="D8" t="n">
        <v>0.1071</v>
      </c>
      <c r="E8" t="n">
        <v>0.112</v>
      </c>
      <c r="F8" s="14" t="inlineStr">
        <is>
          <t>Factsheet</t>
        </is>
      </c>
    </row>
    <row r="9">
      <c r="A9" t="inlineStr">
        <is>
          <t>Switzerland</t>
        </is>
      </c>
      <c r="B9" t="n">
        <v>0.3089</v>
      </c>
      <c r="C9" t="n">
        <v>0.1823</v>
      </c>
      <c r="D9" t="n">
        <v>0.1192</v>
      </c>
      <c r="E9" t="n">
        <v>0.1174</v>
      </c>
      <c r="F9" s="14" t="inlineStr">
        <is>
          <t>Factsheet</t>
        </is>
      </c>
    </row>
    <row r="10">
      <c r="A10" t="inlineStr">
        <is>
          <t>South Korea</t>
        </is>
      </c>
      <c r="B10" t="n">
        <v>1.9602</v>
      </c>
      <c r="C10" t="n">
        <v>0.4187</v>
      </c>
      <c r="D10" t="n">
        <v>0.1397</v>
      </c>
      <c r="E10" t="n">
        <v>0.1615</v>
      </c>
      <c r="F10" s="14" t="inlineStr">
        <is>
          <t>Factsheet</t>
        </is>
      </c>
    </row>
    <row r="11">
      <c r="A11" t="inlineStr">
        <is>
          <t>Germany</t>
        </is>
      </c>
      <c r="B11" t="n">
        <v>0.2607</v>
      </c>
      <c r="C11" t="n">
        <v>0.2138</v>
      </c>
      <c r="D11" t="n">
        <v>0.1033</v>
      </c>
      <c r="E11" t="n">
        <v>0.1014</v>
      </c>
      <c r="F11" s="14" t="inlineStr">
        <is>
          <t>Factsheet</t>
        </is>
      </c>
    </row>
    <row r="12">
      <c r="A12" t="inlineStr">
        <is>
          <t>India</t>
        </is>
      </c>
      <c r="B12" t="n">
        <v>0.1314</v>
      </c>
      <c r="C12" t="n">
        <v>0.1391</v>
      </c>
      <c r="D12" t="n">
        <v>0.093</v>
      </c>
      <c r="E12" t="n">
        <v>0.1139</v>
      </c>
      <c r="F12" s="14" t="inlineStr">
        <is>
          <t>Factsheet</t>
        </is>
      </c>
    </row>
    <row r="13">
      <c r="A13" t="inlineStr">
        <is>
          <t>Australia</t>
        </is>
      </c>
      <c r="B13" t="n">
        <v>0.3095</v>
      </c>
      <c r="C13" t="n">
        <v>0.1407</v>
      </c>
      <c r="D13" t="n">
        <v>0.0921</v>
      </c>
      <c r="E13" t="n">
        <v>0.1082</v>
      </c>
      <c r="F13" s="14" t="inlineStr">
        <is>
          <t>Factsheet</t>
        </is>
      </c>
    </row>
    <row r="14">
      <c r="A14" t="inlineStr">
        <is>
          <t>Netherlands</t>
        </is>
      </c>
      <c r="B14" t="n">
        <v>0.5097</v>
      </c>
      <c r="C14" t="n">
        <v>0.2232</v>
      </c>
      <c r="D14" t="n">
        <v>0.1212</v>
      </c>
      <c r="E14" t="n">
        <v>0.1477</v>
      </c>
      <c r="F14" s="14" t="inlineStr">
        <is>
          <t>Factsheet</t>
        </is>
      </c>
    </row>
    <row r="15">
      <c r="A15" t="inlineStr">
        <is>
          <t>Spain</t>
        </is>
      </c>
      <c r="B15" t="n">
        <v>0.6453</v>
      </c>
      <c r="C15" t="n">
        <v>0.3581</v>
      </c>
      <c r="D15" t="n">
        <v>0.2197</v>
      </c>
      <c r="E15" t="n">
        <v>0.134</v>
      </c>
      <c r="F15" s="14" t="inlineStr">
        <is>
          <t>Factsheet</t>
        </is>
      </c>
    </row>
    <row r="16">
      <c r="A16" t="inlineStr">
        <is>
          <t>Sweden</t>
        </is>
      </c>
      <c r="B16" t="n">
        <v>0.3181</v>
      </c>
      <c r="C16" t="n">
        <v>0.1917</v>
      </c>
      <c r="D16" t="n">
        <v>0.09569999999999999</v>
      </c>
      <c r="E16" t="n">
        <v>0.1143</v>
      </c>
      <c r="F16" s="14" t="inlineStr">
        <is>
          <t>Factsheet</t>
        </is>
      </c>
    </row>
    <row r="17">
      <c r="A17" t="inlineStr">
        <is>
          <t>Italy</t>
        </is>
      </c>
      <c r="B17" t="n">
        <v>0.4556</v>
      </c>
      <c r="C17" t="n">
        <v>0.3179</v>
      </c>
      <c r="D17" t="n">
        <v>0.2087</v>
      </c>
      <c r="E17" t="n">
        <v>0.1517</v>
      </c>
      <c r="F17" s="14" t="inlineStr">
        <is>
          <t>Factsheet</t>
        </is>
      </c>
    </row>
    <row r="18">
      <c r="A18" t="inlineStr">
        <is>
          <t>Brazil</t>
        </is>
      </c>
      <c r="B18" t="n">
        <v>0.7050999999999999</v>
      </c>
      <c r="C18" t="n">
        <v>0.2093</v>
      </c>
      <c r="D18" t="n">
        <v>0.1356</v>
      </c>
      <c r="E18" t="n">
        <v>0.1343</v>
      </c>
      <c r="F18" s="14" t="inlineStr">
        <is>
          <t>Factsheet</t>
        </is>
      </c>
    </row>
    <row r="19">
      <c r="A19" t="inlineStr">
        <is>
          <t>South Africa</t>
        </is>
      </c>
      <c r="B19" t="n">
        <v>1.0029</v>
      </c>
      <c r="C19" t="n">
        <v>0.3427</v>
      </c>
      <c r="D19" t="n">
        <v>0.1738</v>
      </c>
      <c r="E19" t="n">
        <v>0.1232</v>
      </c>
      <c r="F19" s="14" t="inlineStr">
        <is>
          <t>Factsheet</t>
        </is>
      </c>
    </row>
    <row r="20">
      <c r="A20" t="inlineStr">
        <is>
          <t>Hong Kong</t>
        </is>
      </c>
      <c r="B20" t="n">
        <v>0.4621</v>
      </c>
      <c r="C20" t="n">
        <v>0.1054</v>
      </c>
      <c r="D20" t="n">
        <v>0.0223</v>
      </c>
      <c r="E20" t="n">
        <v>0.0703</v>
      </c>
      <c r="F20" s="14" t="inlineStr">
        <is>
          <t>Factsheet</t>
        </is>
      </c>
    </row>
    <row r="21">
      <c r="A21" t="inlineStr">
        <is>
          <t>Saudi Arabia</t>
        </is>
      </c>
      <c r="B21" t="n">
        <v>-0.0043</v>
      </c>
      <c r="C21" t="n">
        <v>0.0674</v>
      </c>
      <c r="D21" t="n">
        <v>0.0771</v>
      </c>
      <c r="E21" t="n">
        <v>0.1072</v>
      </c>
      <c r="F21" s="14" t="inlineStr">
        <is>
          <t>Factsheet</t>
        </is>
      </c>
    </row>
    <row r="22">
      <c r="A22" t="inlineStr">
        <is>
          <t>Singapore</t>
        </is>
      </c>
      <c r="B22" t="n">
        <v>0.2907</v>
      </c>
      <c r="C22" t="n">
        <v>0.2377</v>
      </c>
      <c r="D22" t="n">
        <v>0.1192</v>
      </c>
      <c r="E22" t="n">
        <v>0.099</v>
      </c>
      <c r="F22" s="14" t="inlineStr">
        <is>
          <t>Factsheet</t>
        </is>
      </c>
    </row>
    <row r="23">
      <c r="A23" t="inlineStr">
        <is>
          <t>Denmark</t>
        </is>
      </c>
      <c r="B23" t="n">
        <v>-0.2568</v>
      </c>
      <c r="C23" t="n">
        <v>-0.0513</v>
      </c>
      <c r="D23" t="n">
        <v>0.0119</v>
      </c>
      <c r="E23" t="n">
        <v>0.0713</v>
      </c>
      <c r="F23" s="14" t="inlineStr">
        <is>
          <t>Factsheet</t>
        </is>
      </c>
    </row>
    <row r="24">
      <c r="A24" t="inlineStr">
        <is>
          <t>Finland</t>
        </is>
      </c>
      <c r="B24" t="n">
        <v>0.5238</v>
      </c>
      <c r="C24" t="n">
        <v>0.1423</v>
      </c>
      <c r="D24" t="n">
        <v>0.0635</v>
      </c>
      <c r="E24" t="n">
        <v>0.08500000000000001</v>
      </c>
      <c r="F24" s="14" t="inlineStr">
        <is>
          <t>Factsheet</t>
        </is>
      </c>
    </row>
    <row r="25">
      <c r="A25" t="inlineStr">
        <is>
          <t>Belgium</t>
        </is>
      </c>
      <c r="B25" t="n">
        <v>0.3901</v>
      </c>
      <c r="C25" t="n">
        <v>0.1798</v>
      </c>
      <c r="D25" t="n">
        <v>0.0956</v>
      </c>
      <c r="E25" t="n">
        <v>0.0407</v>
      </c>
      <c r="F25" s="14" t="inlineStr">
        <is>
          <t>Factsheet</t>
        </is>
      </c>
    </row>
    <row r="26">
      <c r="A26" t="inlineStr">
        <is>
          <t>Mexico</t>
        </is>
      </c>
      <c r="B26" t="n">
        <v>0.7127</v>
      </c>
      <c r="C26" t="n">
        <v>0.1727</v>
      </c>
      <c r="D26" t="n">
        <v>0.1865</v>
      </c>
      <c r="E26" t="n">
        <v>0.0847</v>
      </c>
      <c r="F26" s="14" t="inlineStr">
        <is>
          <t>Factsheet</t>
        </is>
      </c>
    </row>
    <row r="27">
      <c r="A27" t="inlineStr">
        <is>
          <t>Israel</t>
        </is>
      </c>
      <c r="B27" t="n">
        <v>0.3565</v>
      </c>
      <c r="C27" t="n">
        <v>0.2901</v>
      </c>
      <c r="D27" t="n">
        <v>0.1225</v>
      </c>
      <c r="E27" t="n">
        <v>0.0626</v>
      </c>
      <c r="F27" s="14" t="inlineStr">
        <is>
          <t>Factsheet</t>
        </is>
      </c>
    </row>
    <row r="28">
      <c r="A28" t="inlineStr">
        <is>
          <t>United Arab Emirates</t>
        </is>
      </c>
      <c r="B28" t="n">
        <v>0.3232</v>
      </c>
      <c r="C28" t="n">
        <v>0.2014</v>
      </c>
      <c r="D28" t="n">
        <v>0.168</v>
      </c>
      <c r="E28" t="n">
        <v>0.0992</v>
      </c>
      <c r="F28" s="14" t="inlineStr">
        <is>
          <t>Factsheet</t>
        </is>
      </c>
    </row>
    <row r="29">
      <c r="A29" t="inlineStr">
        <is>
          <t>Norway</t>
        </is>
      </c>
      <c r="B29" t="n">
        <v>0.499</v>
      </c>
      <c r="C29" t="n">
        <v>0.2075</v>
      </c>
      <c r="D29" t="n">
        <v>0.1387</v>
      </c>
      <c r="E29" t="n">
        <v>0.1217</v>
      </c>
      <c r="F29" s="14" t="inlineStr">
        <is>
          <t>Factsheet</t>
        </is>
      </c>
    </row>
    <row r="30">
      <c r="A30" t="inlineStr">
        <is>
          <t>Malaysia</t>
        </is>
      </c>
      <c r="B30" t="n">
        <v>0.2869</v>
      </c>
      <c r="C30" t="n">
        <v>0.1456</v>
      </c>
      <c r="D30" t="n">
        <v>0.0569</v>
      </c>
      <c r="E30" t="n">
        <v>0.0376</v>
      </c>
      <c r="F30" s="14" t="inlineStr">
        <is>
          <t>Factsheet</t>
        </is>
      </c>
    </row>
    <row r="31">
      <c r="A31" t="inlineStr">
        <is>
          <t>Thailand</t>
        </is>
      </c>
      <c r="B31" t="n">
        <v>0.5594</v>
      </c>
      <c r="C31" t="n">
        <v>0.1008</v>
      </c>
      <c r="D31" t="n">
        <v>0.0511</v>
      </c>
      <c r="E31" t="n">
        <v>0.06619999999999999</v>
      </c>
      <c r="F31" s="14" t="inlineStr">
        <is>
          <t>Factsheet</t>
        </is>
      </c>
    </row>
    <row r="32">
      <c r="A32" t="inlineStr">
        <is>
          <t>Poland</t>
        </is>
      </c>
      <c r="B32" t="n">
        <v>0.5545</v>
      </c>
      <c r="C32" t="n">
        <v>0.3826</v>
      </c>
      <c r="D32" t="n">
        <v>0.175</v>
      </c>
      <c r="E32" t="n">
        <v>0.0979</v>
      </c>
      <c r="F32" s="14" t="inlineStr">
        <is>
          <t>Factsheet</t>
        </is>
      </c>
    </row>
    <row r="33">
      <c r="A33" t="inlineStr">
        <is>
          <t>Indonesia</t>
        </is>
      </c>
      <c r="B33" t="n">
        <v>0.1114</v>
      </c>
      <c r="C33" t="n">
        <v>-0.0583</v>
      </c>
      <c r="D33" t="n">
        <v>-0.0478</v>
      </c>
      <c r="E33" t="n">
        <v>-0.008500000000000001</v>
      </c>
      <c r="F33" s="14" t="inlineStr">
        <is>
          <t>Factsheet</t>
        </is>
      </c>
    </row>
    <row r="34">
      <c r="A34" t="inlineStr">
        <is>
          <t>Ireland</t>
        </is>
      </c>
      <c r="B34" t="n">
        <v>0.3189</v>
      </c>
      <c r="C34" t="n">
        <v>0.2425</v>
      </c>
      <c r="D34" t="n">
        <v>0.1278</v>
      </c>
      <c r="E34" t="n">
        <v>0.0961</v>
      </c>
      <c r="F34" s="14" t="inlineStr">
        <is>
          <t>Factsheet</t>
        </is>
      </c>
    </row>
    <row r="35">
      <c r="A35" t="inlineStr">
        <is>
          <t>Qatar</t>
        </is>
      </c>
      <c r="B35" t="n">
        <v>0.1133</v>
      </c>
      <c r="C35" t="n">
        <v>0.0621</v>
      </c>
      <c r="D35" t="n">
        <v>0.0558</v>
      </c>
      <c r="E35" t="n">
        <v>0.0457</v>
      </c>
      <c r="F35" s="14" t="inlineStr">
        <is>
          <t>Factsheet</t>
        </is>
      </c>
    </row>
    <row r="36">
      <c r="A36" t="inlineStr">
        <is>
          <t>Chile</t>
        </is>
      </c>
      <c r="B36" t="n">
        <v>0.6052999999999999</v>
      </c>
      <c r="C36" t="n">
        <v>0.1802</v>
      </c>
      <c r="D36" t="n">
        <v>0.09760000000000001</v>
      </c>
      <c r="E36" t="n">
        <v>0.0567</v>
      </c>
      <c r="F36" s="14" t="inlineStr">
        <is>
          <t>Factsheet</t>
        </is>
      </c>
    </row>
    <row r="37">
      <c r="A37" t="inlineStr">
        <is>
          <t>Greece</t>
        </is>
      </c>
      <c r="B37" t="n">
        <v>0.7397</v>
      </c>
      <c r="C37" t="n">
        <v>0.3742</v>
      </c>
      <c r="D37" t="n">
        <v>0.2873</v>
      </c>
      <c r="E37" t="n">
        <v>0.1375</v>
      </c>
      <c r="F37" s="14" t="inlineStr">
        <is>
          <t>Factsheet</t>
        </is>
      </c>
    </row>
    <row r="38">
      <c r="A38" t="inlineStr">
        <is>
          <t>Vietnam</t>
        </is>
      </c>
      <c r="B38" t="n">
        <v>0.6677</v>
      </c>
      <c r="C38" t="n">
        <v>0.202</v>
      </c>
      <c r="D38" t="n">
        <v>0.027</v>
      </c>
      <c r="E38" t="n">
        <v>0.08069999999999999</v>
      </c>
      <c r="F38" s="14" t="inlineStr">
        <is>
          <t>Factsheet</t>
        </is>
      </c>
    </row>
    <row r="39">
      <c r="A39" t="inlineStr">
        <is>
          <t>Austria</t>
        </is>
      </c>
      <c r="B39" t="n">
        <v>0.6887</v>
      </c>
      <c r="C39" t="n">
        <v>0.3271</v>
      </c>
      <c r="D39" t="n">
        <v>0.214</v>
      </c>
      <c r="E39" t="n">
        <v>0.1639</v>
      </c>
      <c r="F39" s="14" t="inlineStr">
        <is>
          <t>Factsheet</t>
        </is>
      </c>
    </row>
    <row r="40">
      <c r="A40" t="inlineStr">
        <is>
          <t>Turkey</t>
        </is>
      </c>
      <c r="B40" t="n">
        <v>0.2414</v>
      </c>
      <c r="C40" t="n">
        <v>0.115</v>
      </c>
      <c r="D40" t="n">
        <v>0.1445</v>
      </c>
      <c r="E40" t="n">
        <v>0.0312</v>
      </c>
      <c r="F40" s="14" t="inlineStr">
        <is>
          <t>Factsheet</t>
        </is>
      </c>
    </row>
    <row r="41">
      <c r="A41" t="inlineStr">
        <is>
          <t>Peru</t>
        </is>
      </c>
      <c r="B41" t="n">
        <v>1.3652</v>
      </c>
      <c r="C41" t="n">
        <v>0.5351</v>
      </c>
      <c r="D41" t="n">
        <v>0.2687</v>
      </c>
      <c r="E41" t="n">
        <v>0.2064</v>
      </c>
      <c r="F41" s="14" t="inlineStr">
        <is>
          <t>Factsheet</t>
        </is>
      </c>
    </row>
    <row r="42">
      <c r="A42" t="inlineStr">
        <is>
          <t>Portugal</t>
        </is>
      </c>
      <c r="B42" t="n">
        <v>0.5442</v>
      </c>
      <c r="C42" t="n">
        <v>0.09710000000000001</v>
      </c>
      <c r="D42" t="n">
        <v>0.0679</v>
      </c>
      <c r="E42" t="n">
        <v>0.09470000000000001</v>
      </c>
      <c r="F42" s="14" t="inlineStr">
        <is>
          <t>Factsheet</t>
        </is>
      </c>
    </row>
    <row r="43">
      <c r="A43" t="inlineStr">
        <is>
          <t>Philippines</t>
        </is>
      </c>
      <c r="B43" t="n">
        <v>0.2098</v>
      </c>
      <c r="C43" t="n">
        <v>0.0568</v>
      </c>
      <c r="D43" t="n">
        <v>0.01</v>
      </c>
      <c r="E43" t="n">
        <v>0.0102</v>
      </c>
      <c r="F43" s="14" t="inlineStr">
        <is>
          <t>Factsheet</t>
        </is>
      </c>
    </row>
    <row r="44">
      <c r="A44" t="inlineStr">
        <is>
          <t>New Zealand</t>
        </is>
      </c>
      <c r="B44" t="n">
        <v>0.2014</v>
      </c>
      <c r="C44" t="n">
        <v>0.0363</v>
      </c>
      <c r="D44" t="n">
        <v>-0.0146</v>
      </c>
      <c r="E44" t="n">
        <v>0.065</v>
      </c>
      <c r="F44" s="14" t="inlineStr">
        <is>
          <t>Factsheet</t>
        </is>
      </c>
    </row>
    <row r="45">
      <c r="A45" t="inlineStr">
        <is>
          <t>Hungary</t>
        </is>
      </c>
      <c r="B45" t="n">
        <v>0.8771</v>
      </c>
      <c r="C45" t="n">
        <v>0.4956</v>
      </c>
      <c r="D45" t="n">
        <v>0.2184</v>
      </c>
      <c r="E45" t="n">
        <v>0.1811</v>
      </c>
      <c r="F45" s="14" t="inlineStr">
        <is>
          <t>Factsheet</t>
        </is>
      </c>
    </row>
    <row r="46">
      <c r="A46" t="inlineStr">
        <is>
          <t>Argentina</t>
        </is>
      </c>
      <c r="B46" t="n">
        <v>0.0184</v>
      </c>
      <c r="C46" t="n">
        <v>0.4239</v>
      </c>
      <c r="D46" t="n">
        <v>0.4054</v>
      </c>
      <c r="E46" t="n">
        <v>0.143</v>
      </c>
      <c r="F46" s="14" t="inlineStr">
        <is>
          <t>Factsheet</t>
        </is>
      </c>
    </row>
    <row r="47">
      <c r="A47" t="inlineStr">
        <is>
          <t>Romania</t>
        </is>
      </c>
      <c r="B47" t="n">
        <v>0.8438</v>
      </c>
      <c r="C47" t="n">
        <v>0.4299</v>
      </c>
      <c r="D47" t="n">
        <v>0.2774</v>
      </c>
      <c r="E47" t="n">
        <v>0.2297</v>
      </c>
      <c r="F47" s="14" t="inlineStr">
        <is>
          <t>Factsheet</t>
        </is>
      </c>
    </row>
    <row r="48">
      <c r="A48" t="inlineStr">
        <is>
          <t>Morocco</t>
        </is>
      </c>
      <c r="B48" t="n">
        <v>0.1483</v>
      </c>
      <c r="C48" t="n">
        <v>0.242</v>
      </c>
      <c r="D48" t="n">
        <v>0.0873</v>
      </c>
      <c r="E48" t="n">
        <v>0.0912</v>
      </c>
      <c r="F48" s="14" t="inlineStr">
        <is>
          <t>Factsheet</t>
        </is>
      </c>
    </row>
    <row r="49">
      <c r="A49" t="inlineStr">
        <is>
          <t>Nigeria</t>
        </is>
      </c>
      <c r="B49" t="n">
        <v>1.0761</v>
      </c>
      <c r="C49" t="n">
        <v>-0.1738</v>
      </c>
      <c r="D49" t="n">
        <v>-0.074</v>
      </c>
      <c r="E49" t="n">
        <v>-0.0498</v>
      </c>
      <c r="F49" s="14" t="inlineStr">
        <is>
          <t>Factsheet</t>
        </is>
      </c>
    </row>
    <row r="50">
      <c r="A50" t="inlineStr">
        <is>
          <t>Colombia</t>
        </is>
      </c>
      <c r="B50" t="n">
        <v>0.8183</v>
      </c>
      <c r="C50" t="n">
        <v>0.489</v>
      </c>
      <c r="D50" t="n">
        <v>0.2162</v>
      </c>
      <c r="E50" t="n">
        <v>0.121</v>
      </c>
      <c r="F50" s="14" t="inlineStr">
        <is>
          <t>Factsheet</t>
        </is>
      </c>
    </row>
    <row r="51">
      <c r="A51" t="inlineStr">
        <is>
          <t>Kazakhstan</t>
        </is>
      </c>
      <c r="B51" t="n">
        <v>0.2535</v>
      </c>
      <c r="C51" t="n">
        <v>0.2659</v>
      </c>
      <c r="D51" t="n">
        <v>0.1938</v>
      </c>
      <c r="E51" t="n">
        <v>0.2263</v>
      </c>
      <c r="F51" s="14" t="inlineStr">
        <is>
          <t>Factsheet</t>
        </is>
      </c>
    </row>
    <row r="52">
      <c r="A52" t="inlineStr">
        <is>
          <t>Pakistan</t>
        </is>
      </c>
      <c r="B52" t="n">
        <v>0.4928</v>
      </c>
      <c r="C52" t="n">
        <v>0.5132</v>
      </c>
      <c r="D52" t="n">
        <v>0.0721</v>
      </c>
      <c r="E52" t="n">
        <v>-0.0073</v>
      </c>
      <c r="F52" s="14" t="inlineStr">
        <is>
          <t>Factsheet</t>
        </is>
      </c>
    </row>
    <row r="53">
      <c r="A53" t="inlineStr">
        <is>
          <t>Czech Republic</t>
        </is>
      </c>
      <c r="B53" t="n">
        <v>0.06850000000000001</v>
      </c>
      <c r="C53" t="n">
        <v>0.093</v>
      </c>
      <c r="D53" t="n">
        <v>0.1496</v>
      </c>
      <c r="E53" t="n">
        <v>0.08989999999999999</v>
      </c>
      <c r="F53" s="14" t="inlineStr">
        <is>
          <t>Factsheet</t>
        </is>
      </c>
    </row>
    <row r="54">
      <c r="A54" t="inlineStr">
        <is>
          <t>Egypt</t>
        </is>
      </c>
      <c r="B54" t="n">
        <v>0.9429</v>
      </c>
      <c r="C54" t="n">
        <v>0.2197</v>
      </c>
      <c r="D54" t="n">
        <v>0.0791</v>
      </c>
      <c r="E54" t="n">
        <v>0.0467</v>
      </c>
      <c r="F54" s="14" t="inlineStr">
        <is>
          <t>Factsheet</t>
        </is>
      </c>
    </row>
    <row r="55">
      <c r="A55" t="inlineStr">
        <is>
          <t>Bangladesh</t>
        </is>
      </c>
      <c r="B55" t="n">
        <v>0.0015</v>
      </c>
      <c r="C55" t="n">
        <v>-0.0584</v>
      </c>
      <c r="D55" t="n">
        <v>-0.08119999999999999</v>
      </c>
      <c r="E55" t="n">
        <v>-0.0383</v>
      </c>
      <c r="F55" s="14" t="inlineStr">
        <is>
          <t>Factsheet</t>
        </is>
      </c>
    </row>
    <row r="56">
      <c r="A56" t="inlineStr">
        <is>
          <t>Ukraine</t>
        </is>
      </c>
      <c r="B56" t="n">
        <v>0.0591</v>
      </c>
      <c r="C56" t="n">
        <v>0.156</v>
      </c>
      <c r="D56" t="n">
        <v>-0.0939</v>
      </c>
      <c r="E56" t="n">
        <v>-0.0293</v>
      </c>
      <c r="F56" s="14" t="inlineStr">
        <is>
          <t>Factsheet</t>
        </is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2026-03-18T23:46:00Z</dcterms:created>
  <dcterms:modified xsi:type="dcterms:W3CDTF">2026-03-18T23:46:00Z</dcterms:modified>
</cp:coreProperties>
</file>