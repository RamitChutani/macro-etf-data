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'ETF_Timeframes'!$A$1:$I$277</definedName>
    <definedName name="_xlnm._FilterDatabase" localSheetId="1" hidden="1">'Annual'!$A$1:$L$421</definedName>
    <definedName name="_xlnm._FilterDatabase" localSheetId="2" hidden="1">'CAGR'!$A$1:$M$233</definedName>
    <definedName name="_xlnm._FilterDatabase" localSheetId="4" hidden="1">'Country_CAGR_Summary'!$A$5:$I$34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2" customWidth="1" min="7" max="7"/>
    <col width="32" customWidth="1" min="8" max="8"/>
    <col width="14" customWidth="1" min="9" max="9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lookup_key</t>
        </is>
      </c>
      <c r="I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46083</v>
      </c>
      <c r="G2" t="n">
        <v>13.66341347298263</v>
      </c>
      <c r="H2" t="inlineStr">
        <is>
          <t>Australia|SAUS.L|YTD</t>
        </is>
      </c>
      <c r="I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46055</v>
      </c>
      <c r="F3" s="1" t="n">
        <v>46083</v>
      </c>
      <c r="G3" t="n">
        <v>8.83190883190883</v>
      </c>
      <c r="H3" t="inlineStr">
        <is>
          <t>Australia|SAUS.L|1 Month</t>
        </is>
      </c>
      <c r="I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45993</v>
      </c>
      <c r="F4" s="1" t="n">
        <v>46083</v>
      </c>
      <c r="G4" t="n">
        <v>15.71549739488671</v>
      </c>
      <c r="H4" t="inlineStr">
        <is>
          <t>Australia|SAUS.L|3 Months</t>
        </is>
      </c>
      <c r="I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45902</v>
      </c>
      <c r="F5" s="1" t="n">
        <v>46083</v>
      </c>
      <c r="G5" t="n">
        <v>13.7446403049071</v>
      </c>
      <c r="H5" t="inlineStr">
        <is>
          <t>Australia|SAUS.L|6 Months</t>
        </is>
      </c>
      <c r="I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45716</v>
      </c>
      <c r="F6" s="1" t="n">
        <v>46083</v>
      </c>
      <c r="G6" t="n">
        <v>20.93199949347855</v>
      </c>
      <c r="H6" t="inlineStr">
        <is>
          <t>Australia|SAUS.L|1 Year</t>
        </is>
      </c>
      <c r="I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44987</v>
      </c>
      <c r="F7" s="1" t="n">
        <v>46083</v>
      </c>
      <c r="G7" t="n">
        <v>8.166270245780938</v>
      </c>
      <c r="H7" t="inlineStr">
        <is>
          <t>Australia|SAUS.L|3 Years</t>
        </is>
      </c>
      <c r="I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44257</v>
      </c>
      <c r="F8" s="1" t="n">
        <v>46083</v>
      </c>
      <c r="G8" t="n">
        <v>51.6595204065428</v>
      </c>
      <c r="H8" t="inlineStr">
        <is>
          <t>Australia|SAUS.L|5 Years</t>
        </is>
      </c>
      <c r="I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42431</v>
      </c>
      <c r="F9" s="1" t="n">
        <v>46083</v>
      </c>
      <c r="G9" t="n">
        <v>160.0054451402124</v>
      </c>
      <c r="H9" t="inlineStr">
        <is>
          <t>Australia|SAUS.L|10 Years</t>
        </is>
      </c>
      <c r="I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46083</v>
      </c>
      <c r="G10" t="n">
        <v>225.3921828946834</v>
      </c>
      <c r="H10" t="inlineStr">
        <is>
          <t>Australia|SAUS.L|MAX</t>
        </is>
      </c>
      <c r="I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46083</v>
      </c>
      <c r="G11" t="n">
        <v>21.01925515969099</v>
      </c>
      <c r="H11" t="inlineStr">
        <is>
          <t>Brazil|XMBR.L|YTD</t>
        </is>
      </c>
      <c r="I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46055</v>
      </c>
      <c r="F12" s="1" t="n">
        <v>46083</v>
      </c>
      <c r="G12" t="n">
        <v>4.583499402152236</v>
      </c>
      <c r="H12" t="inlineStr">
        <is>
          <t>Brazil|XMBR.L|1 Month</t>
        </is>
      </c>
      <c r="I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45993</v>
      </c>
      <c r="F13" s="1" t="n">
        <v>46083</v>
      </c>
      <c r="G13" t="n">
        <v>16.36363636363636</v>
      </c>
      <c r="H13" t="inlineStr">
        <is>
          <t>Brazil|XMBR.L|3 Months</t>
        </is>
      </c>
      <c r="I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45902</v>
      </c>
      <c r="F14" s="1" t="n">
        <v>46083</v>
      </c>
      <c r="G14" t="n">
        <v>37.05928440846174</v>
      </c>
      <c r="H14" t="inlineStr">
        <is>
          <t>Brazil|XMBR.L|6 Months</t>
        </is>
      </c>
      <c r="I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45716</v>
      </c>
      <c r="F15" s="1" t="n">
        <v>46083</v>
      </c>
      <c r="G15" t="n">
        <v>56.56324582338901</v>
      </c>
      <c r="H15" t="inlineStr">
        <is>
          <t>Brazil|XMBR.L|1 Year</t>
        </is>
      </c>
      <c r="I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44987</v>
      </c>
      <c r="F16" s="1" t="n">
        <v>46083</v>
      </c>
      <c r="G16" t="n">
        <v>52.42521057217542</v>
      </c>
      <c r="H16" t="inlineStr">
        <is>
          <t>Brazil|XMBR.L|3 Years</t>
        </is>
      </c>
      <c r="I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44257</v>
      </c>
      <c r="F17" s="1" t="n">
        <v>46083</v>
      </c>
      <c r="G17" t="n">
        <v>92.19923091008972</v>
      </c>
      <c r="H17" t="inlineStr">
        <is>
          <t>Brazil|XMBR.L|5 Years</t>
        </is>
      </c>
      <c r="I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42431</v>
      </c>
      <c r="F18" s="1" t="n">
        <v>46083</v>
      </c>
      <c r="G18" t="n">
        <v>211.6852264291017</v>
      </c>
      <c r="H18" t="inlineStr">
        <is>
          <t>Brazil|XMBR.L|10 Years</t>
        </is>
      </c>
      <c r="I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46083</v>
      </c>
      <c r="G19" t="n">
        <v>129.5381603125232</v>
      </c>
      <c r="H19" t="inlineStr">
        <is>
          <t>Brazil|XMBR.L|MAX</t>
        </is>
      </c>
      <c r="I19" t="inlineStr">
        <is>
          <t>GBp</t>
        </is>
      </c>
    </row>
    <row r="20">
      <c r="A20" t="inlineStr">
        <is>
          <t>Bulgaria</t>
        </is>
      </c>
      <c r="B20" t="inlineStr">
        <is>
          <t>BGR</t>
        </is>
      </c>
      <c r="C20" t="inlineStr">
        <is>
          <t>BGX.L</t>
        </is>
      </c>
      <c r="D20" t="inlineStr">
        <is>
          <t>YTD</t>
        </is>
      </c>
      <c r="E20" s="1" t="n">
        <v>46022</v>
      </c>
      <c r="F20" s="1" t="n">
        <v>46083</v>
      </c>
      <c r="G20" t="n">
        <v>11.03624842891247</v>
      </c>
      <c r="H20" t="inlineStr">
        <is>
          <t>Bulgaria|BGX.L|YTD</t>
        </is>
      </c>
      <c r="I20" t="inlineStr">
        <is>
          <t>EUR</t>
        </is>
      </c>
    </row>
    <row r="21">
      <c r="A21" t="inlineStr">
        <is>
          <t>Bulgaria</t>
        </is>
      </c>
      <c r="B21" t="inlineStr">
        <is>
          <t>BGR</t>
        </is>
      </c>
      <c r="C21" t="inlineStr">
        <is>
          <t>BGX.L</t>
        </is>
      </c>
      <c r="D21" t="inlineStr">
        <is>
          <t>1 Month</t>
        </is>
      </c>
      <c r="E21" s="1" t="n">
        <v>46055</v>
      </c>
      <c r="F21" s="1" t="n">
        <v>46083</v>
      </c>
      <c r="G21" t="n">
        <v>-5.630963822256807</v>
      </c>
      <c r="H21" t="inlineStr">
        <is>
          <t>Bulgaria|BGX.L|1 Month</t>
        </is>
      </c>
      <c r="I21" t="inlineStr">
        <is>
          <t>EUR</t>
        </is>
      </c>
    </row>
    <row r="22">
      <c r="A22" t="inlineStr">
        <is>
          <t>Bulgaria</t>
        </is>
      </c>
      <c r="B22" t="inlineStr">
        <is>
          <t>BGR</t>
        </is>
      </c>
      <c r="C22" t="inlineStr">
        <is>
          <t>BGX.L</t>
        </is>
      </c>
      <c r="D22" t="inlineStr">
        <is>
          <t>3 Months</t>
        </is>
      </c>
      <c r="E22" s="1" t="n">
        <v>45993</v>
      </c>
      <c r="F22" s="1" t="n">
        <v>46083</v>
      </c>
      <c r="G22" t="n">
        <v>18.31417000878755</v>
      </c>
      <c r="H22" t="inlineStr">
        <is>
          <t>Bulgaria|BGX.L|3 Months</t>
        </is>
      </c>
      <c r="I22" t="inlineStr">
        <is>
          <t>EUR</t>
        </is>
      </c>
    </row>
    <row r="23">
      <c r="A23" t="inlineStr">
        <is>
          <t>Bulgaria</t>
        </is>
      </c>
      <c r="B23" t="inlineStr">
        <is>
          <t>BGR</t>
        </is>
      </c>
      <c r="C23" t="inlineStr">
        <is>
          <t>BGX.L</t>
        </is>
      </c>
      <c r="D23" t="inlineStr">
        <is>
          <t>6 Months</t>
        </is>
      </c>
      <c r="E23" s="1" t="n">
        <v>45902</v>
      </c>
      <c r="F23" s="1" t="n">
        <v>46083</v>
      </c>
      <c r="G23" t="n">
        <v>17.34687301000189</v>
      </c>
      <c r="H23" t="inlineStr">
        <is>
          <t>Bulgaria|BGX.L|6 Months</t>
        </is>
      </c>
      <c r="I23" t="inlineStr">
        <is>
          <t>EUR</t>
        </is>
      </c>
    </row>
    <row r="24">
      <c r="A24" t="inlineStr">
        <is>
          <t>Bulgaria</t>
        </is>
      </c>
      <c r="B24" t="inlineStr">
        <is>
          <t>BGR</t>
        </is>
      </c>
      <c r="C24" t="inlineStr">
        <is>
          <t>BGX.L</t>
        </is>
      </c>
      <c r="D24" t="inlineStr">
        <is>
          <t>1 Year</t>
        </is>
      </c>
      <c r="E24" s="1" t="n">
        <v>45716</v>
      </c>
      <c r="F24" s="1" t="n">
        <v>46083</v>
      </c>
      <c r="G24" t="n">
        <v>41.07482820671662</v>
      </c>
      <c r="H24" t="inlineStr">
        <is>
          <t>Bulgaria|BGX.L|1 Year</t>
        </is>
      </c>
      <c r="I24" t="inlineStr">
        <is>
          <t>EUR</t>
        </is>
      </c>
    </row>
    <row r="25">
      <c r="A25" t="inlineStr">
        <is>
          <t>Bulgaria</t>
        </is>
      </c>
      <c r="B25" t="inlineStr">
        <is>
          <t>BGR</t>
        </is>
      </c>
      <c r="C25" t="inlineStr">
        <is>
          <t>BGX.L</t>
        </is>
      </c>
      <c r="D25" t="inlineStr">
        <is>
          <t>3 Years</t>
        </is>
      </c>
      <c r="E25" s="1" t="n">
        <v>44987</v>
      </c>
      <c r="F25" s="1" t="n">
        <v>46083</v>
      </c>
      <c r="G25" t="n">
        <v>85.33791574672986</v>
      </c>
      <c r="H25" t="inlineStr">
        <is>
          <t>Bulgaria|BGX.L|3 Years</t>
        </is>
      </c>
      <c r="I25" t="inlineStr">
        <is>
          <t>EUR</t>
        </is>
      </c>
    </row>
    <row r="26">
      <c r="A26" t="inlineStr">
        <is>
          <t>Bulgaria</t>
        </is>
      </c>
      <c r="B26" t="inlineStr">
        <is>
          <t>BGR</t>
        </is>
      </c>
      <c r="C26" t="inlineStr">
        <is>
          <t>BGX.L</t>
        </is>
      </c>
      <c r="D26" t="inlineStr">
        <is>
          <t>5 Years</t>
        </is>
      </c>
      <c r="E26" s="1" t="n">
        <v>44257</v>
      </c>
      <c r="F26" s="1" t="n">
        <v>46083</v>
      </c>
      <c r="G26" t="n">
        <v>108.5051552150711</v>
      </c>
      <c r="H26" t="inlineStr">
        <is>
          <t>Bulgaria|BGX.L|5 Years</t>
        </is>
      </c>
      <c r="I26" t="inlineStr">
        <is>
          <t>EUR</t>
        </is>
      </c>
    </row>
    <row r="27">
      <c r="A27" t="inlineStr">
        <is>
          <t>Bulgaria</t>
        </is>
      </c>
      <c r="B27" t="inlineStr">
        <is>
          <t>BGR</t>
        </is>
      </c>
      <c r="C27" t="inlineStr">
        <is>
          <t>BGX.L</t>
        </is>
      </c>
      <c r="D27" t="inlineStr">
        <is>
          <t>MAX</t>
        </is>
      </c>
      <c r="E27" s="1" t="n">
        <v>43375</v>
      </c>
      <c r="F27" s="1" t="n">
        <v>46083</v>
      </c>
      <c r="G27" t="n">
        <v>55.06186669414082</v>
      </c>
      <c r="H27" t="inlineStr">
        <is>
          <t>Bulgaria|BGX.L|MAX</t>
        </is>
      </c>
      <c r="I27" t="inlineStr">
        <is>
          <t>EUR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YTD</t>
        </is>
      </c>
      <c r="E28" s="1" t="n">
        <v>46022</v>
      </c>
      <c r="F28" s="1" t="n">
        <v>46083</v>
      </c>
      <c r="G28" t="n">
        <v>7.261979141635044</v>
      </c>
      <c r="H28" t="inlineStr">
        <is>
          <t>Canada|CSCA.L|YTD</t>
        </is>
      </c>
      <c r="I28" t="inlineStr">
        <is>
          <t>GBp</t>
        </is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inlineStr">
        <is>
          <t>1 Month</t>
        </is>
      </c>
      <c r="E29" s="1" t="n">
        <v>46055</v>
      </c>
      <c r="F29" s="1" t="n">
        <v>46083</v>
      </c>
      <c r="G29" t="n">
        <v>8.150804419461121</v>
      </c>
      <c r="H29" t="inlineStr">
        <is>
          <t>Canada|CSCA.L|1 Month</t>
        </is>
      </c>
      <c r="I29" t="inlineStr">
        <is>
          <t>GBp</t>
        </is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inlineStr">
        <is>
          <t>3 Months</t>
        </is>
      </c>
      <c r="E30" s="1" t="n">
        <v>45993</v>
      </c>
      <c r="F30" s="1" t="n">
        <v>46083</v>
      </c>
      <c r="G30" t="n">
        <v>10.55082227065585</v>
      </c>
      <c r="H30" t="inlineStr">
        <is>
          <t>Canada|CSCA.L|3 Months</t>
        </is>
      </c>
      <c r="I30" t="inlineStr">
        <is>
          <t>GBp</t>
        </is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inlineStr">
        <is>
          <t>6 Months</t>
        </is>
      </c>
      <c r="E31" s="1" t="n">
        <v>45902</v>
      </c>
      <c r="F31" s="1" t="n">
        <v>46083</v>
      </c>
      <c r="G31" t="n">
        <v>20.31266846361186</v>
      </c>
      <c r="H31" t="inlineStr">
        <is>
          <t>Canada|CSCA.L|6 Months</t>
        </is>
      </c>
      <c r="I31" t="inlineStr">
        <is>
          <t>GBp</t>
        </is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inlineStr">
        <is>
          <t>1 Year</t>
        </is>
      </c>
      <c r="E32" s="1" t="n">
        <v>45716</v>
      </c>
      <c r="F32" s="1" t="n">
        <v>46083</v>
      </c>
      <c r="G32" t="n">
        <v>34.59172596791702</v>
      </c>
      <c r="H32" t="inlineStr">
        <is>
          <t>Canada|CSCA.L|1 Year</t>
        </is>
      </c>
      <c r="I32" t="inlineStr">
        <is>
          <t>GBp</t>
        </is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inlineStr">
        <is>
          <t>3 Years</t>
        </is>
      </c>
      <c r="E33" s="1" t="n">
        <v>44987</v>
      </c>
      <c r="F33" s="1" t="n">
        <v>46083</v>
      </c>
      <c r="G33" t="n">
        <v>59.86533433616277</v>
      </c>
      <c r="H33" t="inlineStr">
        <is>
          <t>Canada|CSCA.L|3 Years</t>
        </is>
      </c>
      <c r="I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inlineStr">
        <is>
          <t>5 Years</t>
        </is>
      </c>
      <c r="E34" s="1" t="n">
        <v>44257</v>
      </c>
      <c r="F34" s="1" t="n">
        <v>46083</v>
      </c>
      <c r="G34" t="n">
        <v>99.6957766642806</v>
      </c>
      <c r="H34" t="inlineStr">
        <is>
          <t>Canada|CSCA.L|5 Years</t>
        </is>
      </c>
      <c r="I34" t="inlineStr">
        <is>
          <t>GBp</t>
        </is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inlineStr">
        <is>
          <t>10 Years</t>
        </is>
      </c>
      <c r="E35" s="1" t="n">
        <v>42431</v>
      </c>
      <c r="F35" s="1" t="n">
        <v>46083</v>
      </c>
      <c r="G35" t="n">
        <v>232.0142814638501</v>
      </c>
      <c r="H35" t="inlineStr">
        <is>
          <t>Canada|CSCA.L|10 Years</t>
        </is>
      </c>
      <c r="I35" t="inlineStr">
        <is>
          <t>GBp</t>
        </is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inlineStr">
        <is>
          <t>MAX</t>
        </is>
      </c>
      <c r="E36" s="1" t="n">
        <v>40192</v>
      </c>
      <c r="F36" s="1" t="n">
        <v>46083</v>
      </c>
      <c r="G36" t="n">
        <v>118.8433958484393</v>
      </c>
      <c r="H36" t="inlineStr">
        <is>
          <t>Canada|CSCA.L|MAX</t>
        </is>
      </c>
      <c r="I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FRCH.L</t>
        </is>
      </c>
      <c r="D37" t="inlineStr">
        <is>
          <t>YTD</t>
        </is>
      </c>
      <c r="E37" s="1" t="n">
        <v>46022</v>
      </c>
      <c r="F37" s="1" t="n">
        <v>46083</v>
      </c>
      <c r="G37" t="n">
        <v>-1.098678639206441</v>
      </c>
      <c r="H37" t="inlineStr">
        <is>
          <t>China|FRCH.L|YTD</t>
        </is>
      </c>
      <c r="I37" t="inlineStr">
        <is>
          <t>GBP</t>
        </is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FRCH.L</t>
        </is>
      </c>
      <c r="D38" t="inlineStr">
        <is>
          <t>1 Month</t>
        </is>
      </c>
      <c r="E38" s="1" t="n">
        <v>46055</v>
      </c>
      <c r="F38" s="1" t="n">
        <v>46083</v>
      </c>
      <c r="G38" t="n">
        <v>-2.373644102241379</v>
      </c>
      <c r="H38" t="inlineStr">
        <is>
          <t>China|FRCH.L|1 Month</t>
        </is>
      </c>
      <c r="I38" t="inlineStr">
        <is>
          <t>GBP</t>
        </is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FRCH.L</t>
        </is>
      </c>
      <c r="D39" t="inlineStr">
        <is>
          <t>3 Months</t>
        </is>
      </c>
      <c r="E39" s="1" t="n">
        <v>45993</v>
      </c>
      <c r="F39" s="1" t="n">
        <v>46083</v>
      </c>
      <c r="G39" t="n">
        <v>-4.388782313504502</v>
      </c>
      <c r="H39" t="inlineStr">
        <is>
          <t>China|FRCH.L|3 Months</t>
        </is>
      </c>
      <c r="I39" t="inlineStr">
        <is>
          <t>GBP</t>
        </is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FRCH.L</t>
        </is>
      </c>
      <c r="D40" t="inlineStr">
        <is>
          <t>6 Months</t>
        </is>
      </c>
      <c r="E40" s="1" t="n">
        <v>45902</v>
      </c>
      <c r="F40" s="1" t="n">
        <v>46083</v>
      </c>
      <c r="G40" t="n">
        <v>-1.547668209181441</v>
      </c>
      <c r="H40" t="inlineStr">
        <is>
          <t>China|FRCH.L|6 Months</t>
        </is>
      </c>
      <c r="I40" t="inlineStr">
        <is>
          <t>GBP</t>
        </is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FRCH.L</t>
        </is>
      </c>
      <c r="D41" t="inlineStr">
        <is>
          <t>1 Year</t>
        </is>
      </c>
      <c r="E41" s="1" t="n">
        <v>45716</v>
      </c>
      <c r="F41" s="1" t="n">
        <v>46083</v>
      </c>
      <c r="G41" t="n">
        <v>7.770496026967399</v>
      </c>
      <c r="H41" t="inlineStr">
        <is>
          <t>China|FRCH.L|1 Year</t>
        </is>
      </c>
      <c r="I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FRCH.L</t>
        </is>
      </c>
      <c r="D42" t="inlineStr">
        <is>
          <t>3 Years</t>
        </is>
      </c>
      <c r="E42" s="1" t="n">
        <v>44987</v>
      </c>
      <c r="F42" s="1" t="n">
        <v>46083</v>
      </c>
      <c r="G42" t="n">
        <v>15.75882302035354</v>
      </c>
      <c r="H42" t="inlineStr">
        <is>
          <t>China|FRCH.L|3 Years</t>
        </is>
      </c>
      <c r="I42" t="inlineStr">
        <is>
          <t>GBP</t>
        </is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FRCH.L</t>
        </is>
      </c>
      <c r="D43" t="inlineStr">
        <is>
          <t>5 Years</t>
        </is>
      </c>
      <c r="E43" s="1" t="n">
        <v>44257</v>
      </c>
      <c r="F43" s="1" t="n">
        <v>46083</v>
      </c>
      <c r="G43" t="n">
        <v>-19.92279688114253</v>
      </c>
      <c r="H43" t="inlineStr">
        <is>
          <t>China|FRCH.L|5 Years</t>
        </is>
      </c>
      <c r="I43" t="inlineStr">
        <is>
          <t>GBP</t>
        </is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FRCH.L</t>
        </is>
      </c>
      <c r="D44" t="inlineStr">
        <is>
          <t>MAX</t>
        </is>
      </c>
      <c r="E44" s="1" t="n">
        <v>43621</v>
      </c>
      <c r="F44" s="1" t="n">
        <v>46083</v>
      </c>
      <c r="G44" t="n">
        <v>-4.235248139856507</v>
      </c>
      <c r="H44" t="inlineStr">
        <is>
          <t>China|FRCH.L|MAX</t>
        </is>
      </c>
      <c r="I44" t="inlineStr">
        <is>
          <t>GBP</t>
        </is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inlineStr">
        <is>
          <t>YTD</t>
        </is>
      </c>
      <c r="E45" s="1" t="n">
        <v>46022</v>
      </c>
      <c r="F45" s="1" t="n">
        <v>46083</v>
      </c>
      <c r="G45" t="n">
        <v>4.780783718188375</v>
      </c>
      <c r="H45" t="inlineStr">
        <is>
          <t>China|IASH.L|YTD</t>
        </is>
      </c>
      <c r="I45" t="inlineStr">
        <is>
          <t>GBp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t="inlineStr">
        <is>
          <t>1 Month</t>
        </is>
      </c>
      <c r="E46" s="1" t="n">
        <v>46055</v>
      </c>
      <c r="F46" s="1" t="n">
        <v>46083</v>
      </c>
      <c r="G46" t="n">
        <v>5.14860768277372</v>
      </c>
      <c r="H46" t="inlineStr">
        <is>
          <t>China|IASH.L|1 Month</t>
        </is>
      </c>
      <c r="I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inlineStr">
        <is>
          <t>3 Months</t>
        </is>
      </c>
      <c r="E47" s="1" t="n">
        <v>45993</v>
      </c>
      <c r="F47" s="1" t="n">
        <v>46083</v>
      </c>
      <c r="G47" t="n">
        <v>6.570204290426851</v>
      </c>
      <c r="H47" t="inlineStr">
        <is>
          <t>China|IASH.L|3 Months</t>
        </is>
      </c>
      <c r="I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inlineStr">
        <is>
          <t>6 Months</t>
        </is>
      </c>
      <c r="E48" s="1" t="n">
        <v>45902</v>
      </c>
      <c r="F48" s="1" t="n">
        <v>46083</v>
      </c>
      <c r="G48" t="n">
        <v>10.23061360771003</v>
      </c>
      <c r="H48" t="inlineStr">
        <is>
          <t>China|IASH.L|6 Months</t>
        </is>
      </c>
      <c r="I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inlineStr">
        <is>
          <t>1 Year</t>
        </is>
      </c>
      <c r="E49" s="1" t="n">
        <v>45716</v>
      </c>
      <c r="F49" s="1" t="n">
        <v>46083</v>
      </c>
      <c r="G49" t="n">
        <v>23.51889698775773</v>
      </c>
      <c r="H49" t="inlineStr">
        <is>
          <t>China|IASH.L|1 Year</t>
        </is>
      </c>
      <c r="I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inlineStr">
        <is>
          <t>3 Years</t>
        </is>
      </c>
      <c r="E50" s="1" t="n">
        <v>44987</v>
      </c>
      <c r="F50" s="1" t="n">
        <v>46083</v>
      </c>
      <c r="G50" t="n">
        <v>5.692773780756011</v>
      </c>
      <c r="H50" t="inlineStr">
        <is>
          <t>China|IASH.L|3 Years</t>
        </is>
      </c>
      <c r="I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inlineStr">
        <is>
          <t>5 Years</t>
        </is>
      </c>
      <c r="E51" s="1" t="n">
        <v>44257</v>
      </c>
      <c r="F51" s="1" t="n">
        <v>46083</v>
      </c>
      <c r="G51" t="n">
        <v>-3.105461297170131</v>
      </c>
      <c r="H51" t="inlineStr">
        <is>
          <t>China|IASH.L|5 Years</t>
        </is>
      </c>
      <c r="I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inlineStr">
        <is>
          <t>10 Years</t>
        </is>
      </c>
      <c r="E52" s="1" t="n">
        <v>42431</v>
      </c>
      <c r="F52" s="1" t="n">
        <v>46083</v>
      </c>
      <c r="G52" t="n">
        <v>79.89989501219969</v>
      </c>
      <c r="H52" t="inlineStr">
        <is>
          <t>China|IASH.L|10 Years</t>
        </is>
      </c>
      <c r="I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inlineStr">
        <is>
          <t>MAX</t>
        </is>
      </c>
      <c r="E53" s="1" t="n">
        <v>42103</v>
      </c>
      <c r="F53" s="1" t="n">
        <v>46083</v>
      </c>
      <c r="G53" t="n">
        <v>-12.07436638102374</v>
      </c>
      <c r="H53" t="inlineStr">
        <is>
          <t>China|IASH.L|MAX</t>
        </is>
      </c>
      <c r="I53" t="inlineStr">
        <is>
          <t>GBp</t>
        </is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inlineStr">
        <is>
          <t>YTD</t>
        </is>
      </c>
      <c r="E54" s="1" t="n">
        <v>46022</v>
      </c>
      <c r="F54" s="1" t="n">
        <v>46083</v>
      </c>
      <c r="G54" t="n">
        <v>3.844026548672574</v>
      </c>
      <c r="H54" t="inlineStr">
        <is>
          <t>France|ISFR.L|YTD</t>
        </is>
      </c>
      <c r="I54" t="inlineStr">
        <is>
          <t>GBp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t="inlineStr">
        <is>
          <t>1 Month</t>
        </is>
      </c>
      <c r="E55" s="1" t="n">
        <v>46055</v>
      </c>
      <c r="F55" s="1" t="n">
        <v>46083</v>
      </c>
      <c r="G55" t="n">
        <v>3.959025470653388</v>
      </c>
      <c r="H55" t="inlineStr">
        <is>
          <t>France|ISFR.L|1 Month</t>
        </is>
      </c>
      <c r="I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inlineStr">
        <is>
          <t>3 Months</t>
        </is>
      </c>
      <c r="E56" s="1" t="n">
        <v>45993</v>
      </c>
      <c r="F56" s="1" t="n">
        <v>46083</v>
      </c>
      <c r="G56" t="n">
        <v>3.691089837997064</v>
      </c>
      <c r="H56" t="inlineStr">
        <is>
          <t>France|ISFR.L|3 Months</t>
        </is>
      </c>
      <c r="I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inlineStr">
        <is>
          <t>6 Months</t>
        </is>
      </c>
      <c r="E57" s="1" t="n">
        <v>45902</v>
      </c>
      <c r="F57" s="1" t="n">
        <v>46083</v>
      </c>
      <c r="G57" t="n">
        <v>10.5278649921507</v>
      </c>
      <c r="H57" t="inlineStr">
        <is>
          <t>France|ISFR.L|6 Months</t>
        </is>
      </c>
      <c r="I57" t="inlineStr">
        <is>
          <t>GBp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inlineStr">
        <is>
          <t>1 Year</t>
        </is>
      </c>
      <c r="E58" s="1" t="n">
        <v>45716</v>
      </c>
      <c r="F58" s="1" t="n">
        <v>46083</v>
      </c>
      <c r="G58" t="n">
        <v>13.66732253670351</v>
      </c>
      <c r="H58" t="inlineStr">
        <is>
          <t>France|ISFR.L|1 Year</t>
        </is>
      </c>
      <c r="I58" t="inlineStr">
        <is>
          <t>GBp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inlineStr">
        <is>
          <t>3 Years</t>
        </is>
      </c>
      <c r="E59" s="1" t="n">
        <v>44987</v>
      </c>
      <c r="F59" s="1" t="n">
        <v>46083</v>
      </c>
      <c r="G59" t="n">
        <v>23.7504119521037</v>
      </c>
      <c r="H59" t="inlineStr">
        <is>
          <t>France|ISFR.L|3 Years</t>
        </is>
      </c>
      <c r="I59" t="inlineStr">
        <is>
          <t>GBp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inlineStr">
        <is>
          <t>5 Years</t>
        </is>
      </c>
      <c r="E60" s="1" t="n">
        <v>44257</v>
      </c>
      <c r="F60" s="1" t="n">
        <v>46083</v>
      </c>
      <c r="G60" t="n">
        <v>63.48595892896016</v>
      </c>
      <c r="H60" t="inlineStr">
        <is>
          <t>France|ISFR.L|5 Years</t>
        </is>
      </c>
      <c r="I60" t="inlineStr">
        <is>
          <t>GBp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inlineStr">
        <is>
          <t>10 Years</t>
        </is>
      </c>
      <c r="E61" s="1" t="n">
        <v>42431</v>
      </c>
      <c r="F61" s="1" t="n">
        <v>46083</v>
      </c>
      <c r="G61" t="n">
        <v>182.0480721081623</v>
      </c>
      <c r="H61" t="inlineStr">
        <is>
          <t>France|ISFR.L|10 Years</t>
        </is>
      </c>
      <c r="I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inlineStr">
        <is>
          <t>MAX</t>
        </is>
      </c>
      <c r="E62" s="1" t="n">
        <v>41890</v>
      </c>
      <c r="F62" s="1" t="n">
        <v>46083</v>
      </c>
      <c r="G62" t="n">
        <v>126.2120942330757</v>
      </c>
      <c r="H62" t="inlineStr">
        <is>
          <t>France|ISFR.L|MAX</t>
        </is>
      </c>
      <c r="I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YTD</t>
        </is>
      </c>
      <c r="E63" s="1" t="n">
        <v>46022</v>
      </c>
      <c r="F63" s="1" t="n">
        <v>46083</v>
      </c>
      <c r="G63" t="n">
        <v>0.3986048829098143</v>
      </c>
      <c r="H63" t="inlineStr">
        <is>
          <t>Germany|XDAX.L|YTD</t>
        </is>
      </c>
      <c r="I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1 Month</t>
        </is>
      </c>
      <c r="E64" s="1" t="n">
        <v>46055</v>
      </c>
      <c r="F64" s="1" t="n">
        <v>46083</v>
      </c>
      <c r="G64" t="n">
        <v>0.3486055776892316</v>
      </c>
      <c r="H64" t="inlineStr">
        <is>
          <t>Germany|XDAX.L|1 Month</t>
        </is>
      </c>
      <c r="I64" t="inlineStr">
        <is>
          <t>GBp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XDAX.L</t>
        </is>
      </c>
      <c r="D65" t="inlineStr">
        <is>
          <t>3 Months</t>
        </is>
      </c>
      <c r="E65" s="1" t="n">
        <v>45993</v>
      </c>
      <c r="F65" s="1" t="n">
        <v>46083</v>
      </c>
      <c r="G65" t="n">
        <v>3.105971447577138</v>
      </c>
      <c r="H65" t="inlineStr">
        <is>
          <t>Germany|XDAX.L|3 Months</t>
        </is>
      </c>
      <c r="I65" t="inlineStr">
        <is>
          <t>GBp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t="inlineStr">
        <is>
          <t>6 Months</t>
        </is>
      </c>
      <c r="E66" s="1" t="n">
        <v>45902</v>
      </c>
      <c r="F66" s="1" t="n">
        <v>46083</v>
      </c>
      <c r="G66" t="n">
        <v>5.024497029083697</v>
      </c>
      <c r="H66" t="inlineStr">
        <is>
          <t>Germany|XDAX.L|6 Months</t>
        </is>
      </c>
      <c r="I66" t="inlineStr">
        <is>
          <t>GBp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t="inlineStr">
        <is>
          <t>1 Year</t>
        </is>
      </c>
      <c r="E67" s="1" t="n">
        <v>45716</v>
      </c>
      <c r="F67" s="1" t="n">
        <v>46083</v>
      </c>
      <c r="G67" t="n">
        <v>15.22186642268986</v>
      </c>
      <c r="H67" t="inlineStr">
        <is>
          <t>Germany|XDAX.L|1 Year</t>
        </is>
      </c>
      <c r="I67" t="inlineStr">
        <is>
          <t>GBp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t="inlineStr">
        <is>
          <t>3 Years</t>
        </is>
      </c>
      <c r="E68" s="1" t="n">
        <v>44987</v>
      </c>
      <c r="F68" s="1" t="n">
        <v>46083</v>
      </c>
      <c r="G68" t="n">
        <v>55.99597429743746</v>
      </c>
      <c r="H68" t="inlineStr">
        <is>
          <t>Germany|XDAX.L|3 Years</t>
        </is>
      </c>
      <c r="I68" t="inlineStr">
        <is>
          <t>GBp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t="inlineStr">
        <is>
          <t>5 Years</t>
        </is>
      </c>
      <c r="E69" s="1" t="n">
        <v>44257</v>
      </c>
      <c r="F69" s="1" t="n">
        <v>46083</v>
      </c>
      <c r="G69" t="n">
        <v>72.75377229080932</v>
      </c>
      <c r="H69" t="inlineStr">
        <is>
          <t>Germany|XDAX.L|5 Years</t>
        </is>
      </c>
      <c r="I69" t="inlineStr">
        <is>
          <t>GBp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XDAX.L</t>
        </is>
      </c>
      <c r="D70" t="inlineStr">
        <is>
          <t>10 Years</t>
        </is>
      </c>
      <c r="E70" s="1" t="n">
        <v>42431</v>
      </c>
      <c r="F70" s="1" t="n">
        <v>46083</v>
      </c>
      <c r="G70" t="n">
        <v>109.910481627441</v>
      </c>
      <c r="H70" t="inlineStr">
        <is>
          <t>Germany|XDAX.L|10 Years</t>
        </is>
      </c>
      <c r="I70" t="inlineStr">
        <is>
          <t>GBp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XDAX.L</t>
        </is>
      </c>
      <c r="D71" t="inlineStr">
        <is>
          <t>MAX</t>
        </is>
      </c>
      <c r="E71" s="1" t="n">
        <v>39818</v>
      </c>
      <c r="F71" s="1" t="n">
        <v>46083</v>
      </c>
      <c r="G71" t="n">
        <v>304.9722226338405</v>
      </c>
      <c r="H71" t="inlineStr">
        <is>
          <t>Germany|XDAX.L|MAX</t>
        </is>
      </c>
      <c r="I71" t="inlineStr">
        <is>
          <t>GBp</t>
        </is>
      </c>
    </row>
    <row r="72">
      <c r="A72" t="inlineStr">
        <is>
          <t>Hong Kong</t>
        </is>
      </c>
      <c r="B72" t="inlineStr">
        <is>
          <t>HKG</t>
        </is>
      </c>
      <c r="C72" t="inlineStr">
        <is>
          <t>HKDU.L</t>
        </is>
      </c>
      <c r="D72" t="inlineStr">
        <is>
          <t>YTD</t>
        </is>
      </c>
      <c r="E72" s="1" t="n">
        <v>46022</v>
      </c>
      <c r="F72" s="1" t="n">
        <v>46083</v>
      </c>
      <c r="G72" t="n">
        <v>8.04134491643207</v>
      </c>
      <c r="H72" t="inlineStr">
        <is>
          <t>Hong Kong|HKDU.L|YTD</t>
        </is>
      </c>
      <c r="I72" t="inlineStr">
        <is>
          <t>USD</t>
        </is>
      </c>
    </row>
    <row r="73">
      <c r="A73" t="inlineStr">
        <is>
          <t>Hong Kong</t>
        </is>
      </c>
      <c r="B73" t="inlineStr">
        <is>
          <t>HKG</t>
        </is>
      </c>
      <c r="C73" t="inlineStr">
        <is>
          <t>HKDU.L</t>
        </is>
      </c>
      <c r="D73" t="inlineStr">
        <is>
          <t>1 Month</t>
        </is>
      </c>
      <c r="E73" s="1" t="n">
        <v>46055</v>
      </c>
      <c r="F73" s="1" t="n">
        <v>46083</v>
      </c>
      <c r="G73" t="n">
        <v>-1.045460394142383</v>
      </c>
      <c r="H73" t="inlineStr">
        <is>
          <t>Hong Kong|HKDU.L|1 Month</t>
        </is>
      </c>
      <c r="I73" t="inlineStr">
        <is>
          <t>USD</t>
        </is>
      </c>
    </row>
    <row r="74">
      <c r="A74" t="inlineStr">
        <is>
          <t>Hong Kong</t>
        </is>
      </c>
      <c r="B74" t="inlineStr">
        <is>
          <t>HKG</t>
        </is>
      </c>
      <c r="C74" t="inlineStr">
        <is>
          <t>HKDU.L</t>
        </is>
      </c>
      <c r="D74" t="inlineStr">
        <is>
          <t>MAX</t>
        </is>
      </c>
      <c r="E74" s="1" t="n">
        <v>46002</v>
      </c>
      <c r="F74" s="1" t="n">
        <v>46083</v>
      </c>
      <c r="G74" t="n">
        <v>9.03828329002776</v>
      </c>
      <c r="H74" t="inlineStr">
        <is>
          <t>Hong Kong|HKDU.L|MAX</t>
        </is>
      </c>
      <c r="I74" t="inlineStr">
        <is>
          <t>USD</t>
        </is>
      </c>
    </row>
    <row r="75">
      <c r="A75" t="inlineStr">
        <is>
          <t>India</t>
        </is>
      </c>
      <c r="B75" t="inlineStr">
        <is>
          <t>IND</t>
        </is>
      </c>
      <c r="C75" t="inlineStr">
        <is>
          <t>FRIN.L</t>
        </is>
      </c>
      <c r="D75" t="inlineStr">
        <is>
          <t>YTD</t>
        </is>
      </c>
      <c r="E75" s="1" t="n">
        <v>46022</v>
      </c>
      <c r="F75" s="1" t="n">
        <v>46083</v>
      </c>
      <c r="G75" t="n">
        <v>-5.546017942431403</v>
      </c>
      <c r="H75" t="inlineStr">
        <is>
          <t>India|FRIN.L|YTD</t>
        </is>
      </c>
      <c r="I75" t="inlineStr">
        <is>
          <t>GBP</t>
        </is>
      </c>
    </row>
    <row r="76">
      <c r="A76" t="inlineStr">
        <is>
          <t>India</t>
        </is>
      </c>
      <c r="B76" t="inlineStr">
        <is>
          <t>IND</t>
        </is>
      </c>
      <c r="C76" t="inlineStr">
        <is>
          <t>FRIN.L</t>
        </is>
      </c>
      <c r="D76" t="inlineStr">
        <is>
          <t>1 Month</t>
        </is>
      </c>
      <c r="E76" s="1" t="n">
        <v>46055</v>
      </c>
      <c r="F76" s="1" t="n">
        <v>46083</v>
      </c>
      <c r="G76" t="n">
        <v>-0.01580012914993434</v>
      </c>
      <c r="H76" t="inlineStr">
        <is>
          <t>India|FRIN.L|1 Month</t>
        </is>
      </c>
      <c r="I76" t="inlineStr">
        <is>
          <t>GBP</t>
        </is>
      </c>
    </row>
    <row r="77">
      <c r="A77" t="inlineStr">
        <is>
          <t>India</t>
        </is>
      </c>
      <c r="B77" t="inlineStr">
        <is>
          <t>IND</t>
        </is>
      </c>
      <c r="C77" t="inlineStr">
        <is>
          <t>FRIN.L</t>
        </is>
      </c>
      <c r="D77" t="inlineStr">
        <is>
          <t>3 Months</t>
        </is>
      </c>
      <c r="E77" s="1" t="n">
        <v>45993</v>
      </c>
      <c r="F77" s="1" t="n">
        <v>46083</v>
      </c>
      <c r="G77" t="n">
        <v>-6.736432969962392</v>
      </c>
      <c r="H77" t="inlineStr">
        <is>
          <t>India|FRIN.L|3 Months</t>
        </is>
      </c>
      <c r="I77" t="inlineStr">
        <is>
          <t>GBP</t>
        </is>
      </c>
    </row>
    <row r="78">
      <c r="A78" t="inlineStr">
        <is>
          <t>India</t>
        </is>
      </c>
      <c r="B78" t="inlineStr">
        <is>
          <t>IND</t>
        </is>
      </c>
      <c r="C78" t="inlineStr">
        <is>
          <t>FRIN.L</t>
        </is>
      </c>
      <c r="D78" t="inlineStr">
        <is>
          <t>6 Months</t>
        </is>
      </c>
      <c r="E78" s="1" t="n">
        <v>45902</v>
      </c>
      <c r="F78" s="1" t="n">
        <v>46083</v>
      </c>
      <c r="G78" t="n">
        <v>-2.571607515951935</v>
      </c>
      <c r="H78" t="inlineStr">
        <is>
          <t>India|FRIN.L|6 Months</t>
        </is>
      </c>
      <c r="I78" t="inlineStr">
        <is>
          <t>GBP</t>
        </is>
      </c>
    </row>
    <row r="79">
      <c r="A79" t="inlineStr">
        <is>
          <t>India</t>
        </is>
      </c>
      <c r="B79" t="inlineStr">
        <is>
          <t>IND</t>
        </is>
      </c>
      <c r="C79" t="inlineStr">
        <is>
          <t>FRIN.L</t>
        </is>
      </c>
      <c r="D79" t="inlineStr">
        <is>
          <t>1 Year</t>
        </is>
      </c>
      <c r="E79" s="1" t="n">
        <v>45716</v>
      </c>
      <c r="F79" s="1" t="n">
        <v>46083</v>
      </c>
      <c r="G79" t="n">
        <v>1.402355947721001</v>
      </c>
      <c r="H79" t="inlineStr">
        <is>
          <t>India|FRIN.L|1 Year</t>
        </is>
      </c>
      <c r="I79" t="inlineStr">
        <is>
          <t>GBP</t>
        </is>
      </c>
    </row>
    <row r="80">
      <c r="A80" t="inlineStr">
        <is>
          <t>India</t>
        </is>
      </c>
      <c r="B80" t="inlineStr">
        <is>
          <t>IND</t>
        </is>
      </c>
      <c r="C80" t="inlineStr">
        <is>
          <t>FRIN.L</t>
        </is>
      </c>
      <c r="D80" t="inlineStr">
        <is>
          <t>3 Years</t>
        </is>
      </c>
      <c r="E80" s="1" t="n">
        <v>44987</v>
      </c>
      <c r="F80" s="1" t="n">
        <v>46083</v>
      </c>
      <c r="G80" t="n">
        <v>23.00962140270943</v>
      </c>
      <c r="H80" t="inlineStr">
        <is>
          <t>India|FRIN.L|3 Years</t>
        </is>
      </c>
      <c r="I80" t="inlineStr">
        <is>
          <t>GBP</t>
        </is>
      </c>
    </row>
    <row r="81">
      <c r="A81" t="inlineStr">
        <is>
          <t>India</t>
        </is>
      </c>
      <c r="B81" t="inlineStr">
        <is>
          <t>IND</t>
        </is>
      </c>
      <c r="C81" t="inlineStr">
        <is>
          <t>FRIN.L</t>
        </is>
      </c>
      <c r="D81" t="inlineStr">
        <is>
          <t>5 Years</t>
        </is>
      </c>
      <c r="E81" s="1" t="n">
        <v>44257</v>
      </c>
      <c r="F81" s="1" t="n">
        <v>46083</v>
      </c>
      <c r="G81" t="n">
        <v>46.2552078423689</v>
      </c>
      <c r="H81" t="inlineStr">
        <is>
          <t>India|FRIN.L|5 Years</t>
        </is>
      </c>
      <c r="I81" t="inlineStr">
        <is>
          <t>GBP</t>
        </is>
      </c>
    </row>
    <row r="82">
      <c r="A82" t="inlineStr">
        <is>
          <t>India</t>
        </is>
      </c>
      <c r="B82" t="inlineStr">
        <is>
          <t>IND</t>
        </is>
      </c>
      <c r="C82" t="inlineStr">
        <is>
          <t>FRIN.L</t>
        </is>
      </c>
      <c r="D82" t="inlineStr">
        <is>
          <t>MAX</t>
        </is>
      </c>
      <c r="E82" s="1" t="n">
        <v>43647</v>
      </c>
      <c r="F82" s="1" t="n">
        <v>46083</v>
      </c>
      <c r="G82" t="n">
        <v>56.66708700598915</v>
      </c>
      <c r="H82" t="inlineStr">
        <is>
          <t>India|FRIN.L|MAX</t>
        </is>
      </c>
      <c r="I82" t="inlineStr">
        <is>
          <t>GBP</t>
        </is>
      </c>
    </row>
    <row r="83">
      <c r="A83" t="inlineStr">
        <is>
          <t>India</t>
        </is>
      </c>
      <c r="B83" t="inlineStr">
        <is>
          <t>IND</t>
        </is>
      </c>
      <c r="C83" t="inlineStr">
        <is>
          <t>IIND.L</t>
        </is>
      </c>
      <c r="D83" t="inlineStr">
        <is>
          <t>YTD</t>
        </is>
      </c>
      <c r="E83" s="1" t="n">
        <v>46022</v>
      </c>
      <c r="F83" s="1" t="n">
        <v>46083</v>
      </c>
      <c r="G83" t="n">
        <v>-5.956804024718121</v>
      </c>
      <c r="H83" t="inlineStr">
        <is>
          <t>India|IIND.L|YTD</t>
        </is>
      </c>
      <c r="I83" t="inlineStr">
        <is>
          <t>GBP</t>
        </is>
      </c>
    </row>
    <row r="84">
      <c r="A84" t="inlineStr">
        <is>
          <t>India</t>
        </is>
      </c>
      <c r="B84" t="inlineStr">
        <is>
          <t>IND</t>
        </is>
      </c>
      <c r="C84" t="inlineStr">
        <is>
          <t>IIND.L</t>
        </is>
      </c>
      <c r="D84" t="inlineStr">
        <is>
          <t>1 Month</t>
        </is>
      </c>
      <c r="E84" s="1" t="n">
        <v>46055</v>
      </c>
      <c r="F84" s="1" t="n">
        <v>46083</v>
      </c>
      <c r="G84" t="n">
        <v>-0.2480694288245266</v>
      </c>
      <c r="H84" t="inlineStr">
        <is>
          <t>India|IIND.L|1 Month</t>
        </is>
      </c>
      <c r="I84" t="inlineStr">
        <is>
          <t>GBP</t>
        </is>
      </c>
    </row>
    <row r="85">
      <c r="A85" t="inlineStr">
        <is>
          <t>India</t>
        </is>
      </c>
      <c r="B85" t="inlineStr">
        <is>
          <t>IND</t>
        </is>
      </c>
      <c r="C85" t="inlineStr">
        <is>
          <t>IIND.L</t>
        </is>
      </c>
      <c r="D85" t="inlineStr">
        <is>
          <t>3 Months</t>
        </is>
      </c>
      <c r="E85" s="1" t="n">
        <v>45993</v>
      </c>
      <c r="F85" s="1" t="n">
        <v>46083</v>
      </c>
      <c r="G85" t="n">
        <v>-7.30847504179356</v>
      </c>
      <c r="H85" t="inlineStr">
        <is>
          <t>India|IIND.L|3 Months</t>
        </is>
      </c>
      <c r="I85" t="inlineStr">
        <is>
          <t>GBP</t>
        </is>
      </c>
    </row>
    <row r="86">
      <c r="A86" t="inlineStr">
        <is>
          <t>India</t>
        </is>
      </c>
      <c r="B86" t="inlineStr">
        <is>
          <t>IND</t>
        </is>
      </c>
      <c r="C86" t="inlineStr">
        <is>
          <t>IIND.L</t>
        </is>
      </c>
      <c r="D86" t="inlineStr">
        <is>
          <t>6 Months</t>
        </is>
      </c>
      <c r="E86" s="1" t="n">
        <v>45902</v>
      </c>
      <c r="F86" s="1" t="n">
        <v>46083</v>
      </c>
      <c r="G86" t="n">
        <v>-2.551673616888428</v>
      </c>
      <c r="H86" t="inlineStr">
        <is>
          <t>India|IIND.L|6 Months</t>
        </is>
      </c>
      <c r="I86" t="inlineStr">
        <is>
          <t>GBP</t>
        </is>
      </c>
    </row>
    <row r="87">
      <c r="A87" t="inlineStr">
        <is>
          <t>India</t>
        </is>
      </c>
      <c r="B87" t="inlineStr">
        <is>
          <t>IND</t>
        </is>
      </c>
      <c r="C87" t="inlineStr">
        <is>
          <t>IIND.L</t>
        </is>
      </c>
      <c r="D87" t="inlineStr">
        <is>
          <t>1 Year</t>
        </is>
      </c>
      <c r="E87" s="1" t="n">
        <v>45716</v>
      </c>
      <c r="F87" s="1" t="n">
        <v>46083</v>
      </c>
      <c r="G87" t="n">
        <v>3.43470650020874</v>
      </c>
      <c r="H87" t="inlineStr">
        <is>
          <t>India|IIND.L|1 Year</t>
        </is>
      </c>
      <c r="I87" t="inlineStr">
        <is>
          <t>GBP</t>
        </is>
      </c>
    </row>
    <row r="88">
      <c r="A88" t="inlineStr">
        <is>
          <t>India</t>
        </is>
      </c>
      <c r="B88" t="inlineStr">
        <is>
          <t>IND</t>
        </is>
      </c>
      <c r="C88" t="inlineStr">
        <is>
          <t>IIND.L</t>
        </is>
      </c>
      <c r="D88" t="inlineStr">
        <is>
          <t>3 Years</t>
        </is>
      </c>
      <c r="E88" s="1" t="n">
        <v>44987</v>
      </c>
      <c r="F88" s="1" t="n">
        <v>46083</v>
      </c>
      <c r="G88" t="n">
        <v>21.79954981476204</v>
      </c>
      <c r="H88" t="inlineStr">
        <is>
          <t>India|IIND.L|3 Years</t>
        </is>
      </c>
      <c r="I88" t="inlineStr">
        <is>
          <t>GBP</t>
        </is>
      </c>
    </row>
    <row r="89">
      <c r="A89" t="inlineStr">
        <is>
          <t>India</t>
        </is>
      </c>
      <c r="B89" t="inlineStr">
        <is>
          <t>IND</t>
        </is>
      </c>
      <c r="C89" t="inlineStr">
        <is>
          <t>IIND.L</t>
        </is>
      </c>
      <c r="D89" t="inlineStr">
        <is>
          <t>5 Years</t>
        </is>
      </c>
      <c r="E89" s="1" t="n">
        <v>44257</v>
      </c>
      <c r="F89" s="1" t="n">
        <v>46083</v>
      </c>
      <c r="G89" t="n">
        <v>43.19979495127446</v>
      </c>
      <c r="H89" t="inlineStr">
        <is>
          <t>India|IIND.L|5 Years</t>
        </is>
      </c>
      <c r="I89" t="inlineStr">
        <is>
          <t>GBP</t>
        </is>
      </c>
    </row>
    <row r="90">
      <c r="A90" t="inlineStr">
        <is>
          <t>India</t>
        </is>
      </c>
      <c r="B90" t="inlineStr">
        <is>
          <t>IND</t>
        </is>
      </c>
      <c r="C90" t="inlineStr">
        <is>
          <t>IIND.L</t>
        </is>
      </c>
      <c r="D90" t="inlineStr">
        <is>
          <t>MAX</t>
        </is>
      </c>
      <c r="E90" s="1" t="n">
        <v>43250</v>
      </c>
      <c r="F90" s="1" t="n">
        <v>46083</v>
      </c>
      <c r="G90" t="n">
        <v>77.0984495194661</v>
      </c>
      <c r="H90" t="inlineStr">
        <is>
          <t>India|IIND.L|MAX</t>
        </is>
      </c>
      <c r="I90" t="inlineStr">
        <is>
          <t>GBP</t>
        </is>
      </c>
    </row>
    <row r="91">
      <c r="A91" t="inlineStr">
        <is>
          <t>Indonesia</t>
        </is>
      </c>
      <c r="B91" t="inlineStr">
        <is>
          <t>IDN</t>
        </is>
      </c>
      <c r="C91" t="inlineStr">
        <is>
          <t>INDO.L</t>
        </is>
      </c>
      <c r="D91" t="inlineStr">
        <is>
          <t>MAX</t>
        </is>
      </c>
      <c r="E91" s="1" t="n">
        <v>43376</v>
      </c>
      <c r="F91" s="1" t="n">
        <v>43376</v>
      </c>
      <c r="G91" t="n">
        <v>0</v>
      </c>
      <c r="H91" t="inlineStr">
        <is>
          <t>Indonesia|INDO.L|MAX</t>
        </is>
      </c>
      <c r="I91" t="inlineStr">
        <is>
          <t>USD</t>
        </is>
      </c>
    </row>
    <row r="92">
      <c r="A92" t="inlineStr">
        <is>
          <t>Italy</t>
        </is>
      </c>
      <c r="B92" t="inlineStr">
        <is>
          <t>ITA</t>
        </is>
      </c>
      <c r="C92" t="inlineStr">
        <is>
          <t>CMIB.L</t>
        </is>
      </c>
      <c r="D92" t="inlineStr">
        <is>
          <t>MAX</t>
        </is>
      </c>
      <c r="E92" s="1" t="n">
        <v>43731</v>
      </c>
      <c r="F92" s="1" t="n">
        <v>43731</v>
      </c>
      <c r="G92" t="n">
        <v>0</v>
      </c>
      <c r="H92" t="inlineStr">
        <is>
          <t>Italy|CMIB.L|MAX</t>
        </is>
      </c>
      <c r="I92" t="inlineStr">
        <is>
          <t>EUR</t>
        </is>
      </c>
    </row>
    <row r="93">
      <c r="A93" t="inlineStr">
        <is>
          <t>Japan</t>
        </is>
      </c>
      <c r="B93" t="inlineStr">
        <is>
          <t>JPN</t>
        </is>
      </c>
      <c r="C93" t="inlineStr">
        <is>
          <t>IJPN.L</t>
        </is>
      </c>
      <c r="D93" t="inlineStr">
        <is>
          <t>YTD</t>
        </is>
      </c>
      <c r="E93" s="1" t="n">
        <v>46022</v>
      </c>
      <c r="F93" s="1" t="n">
        <v>46083</v>
      </c>
      <c r="G93" t="n">
        <v>11.04449353108235</v>
      </c>
      <c r="H93" t="inlineStr">
        <is>
          <t>Japan|IJPN.L|YTD</t>
        </is>
      </c>
      <c r="I93" t="inlineStr">
        <is>
          <t>GBp</t>
        </is>
      </c>
    </row>
    <row r="94">
      <c r="A94" t="inlineStr">
        <is>
          <t>Japan</t>
        </is>
      </c>
      <c r="B94" t="inlineStr">
        <is>
          <t>JPN</t>
        </is>
      </c>
      <c r="C94" t="inlineStr">
        <is>
          <t>IJPN.L</t>
        </is>
      </c>
      <c r="D94" t="inlineStr">
        <is>
          <t>1 Month</t>
        </is>
      </c>
      <c r="E94" s="1" t="n">
        <v>46055</v>
      </c>
      <c r="F94" s="1" t="n">
        <v>46083</v>
      </c>
      <c r="G94" t="n">
        <v>6.895504252733886</v>
      </c>
      <c r="H94" t="inlineStr">
        <is>
          <t>Japan|IJPN.L|1 Month</t>
        </is>
      </c>
      <c r="I94" t="inlineStr">
        <is>
          <t>GBp</t>
        </is>
      </c>
    </row>
    <row r="95">
      <c r="A95" t="inlineStr">
        <is>
          <t>Japan</t>
        </is>
      </c>
      <c r="B95" t="inlineStr">
        <is>
          <t>JPN</t>
        </is>
      </c>
      <c r="C95" t="inlineStr">
        <is>
          <t>IJPN.L</t>
        </is>
      </c>
      <c r="D95" t="inlineStr">
        <is>
          <t>3 Months</t>
        </is>
      </c>
      <c r="E95" s="1" t="n">
        <v>45993</v>
      </c>
      <c r="F95" s="1" t="n">
        <v>46083</v>
      </c>
      <c r="G95" t="n">
        <v>10.62558943728387</v>
      </c>
      <c r="H95" t="inlineStr">
        <is>
          <t>Japan|IJPN.L|3 Months</t>
        </is>
      </c>
      <c r="I95" t="inlineStr">
        <is>
          <t>GBp</t>
        </is>
      </c>
    </row>
    <row r="96">
      <c r="A96" t="inlineStr">
        <is>
          <t>Japan</t>
        </is>
      </c>
      <c r="B96" t="inlineStr">
        <is>
          <t>JPN</t>
        </is>
      </c>
      <c r="C96" t="inlineStr">
        <is>
          <t>IJPN.L</t>
        </is>
      </c>
      <c r="D96" t="inlineStr">
        <is>
          <t>6 Months</t>
        </is>
      </c>
      <c r="E96" s="1" t="n">
        <v>45902</v>
      </c>
      <c r="F96" s="1" t="n">
        <v>46083</v>
      </c>
      <c r="G96" t="n">
        <v>18.8449848024316</v>
      </c>
      <c r="H96" t="inlineStr">
        <is>
          <t>Japan|IJPN.L|6 Months</t>
        </is>
      </c>
      <c r="I96" t="inlineStr">
        <is>
          <t>GBp</t>
        </is>
      </c>
    </row>
    <row r="97">
      <c r="A97" t="inlineStr">
        <is>
          <t>Japan</t>
        </is>
      </c>
      <c r="B97" t="inlineStr">
        <is>
          <t>JPN</t>
        </is>
      </c>
      <c r="C97" t="inlineStr">
        <is>
          <t>IJPN.L</t>
        </is>
      </c>
      <c r="D97" t="inlineStr">
        <is>
          <t>1 Year</t>
        </is>
      </c>
      <c r="E97" s="1" t="n">
        <v>45716</v>
      </c>
      <c r="F97" s="1" t="n">
        <v>46083</v>
      </c>
      <c r="G97" t="n">
        <v>27.03971119133573</v>
      </c>
      <c r="H97" t="inlineStr">
        <is>
          <t>Japan|IJPN.L|1 Year</t>
        </is>
      </c>
      <c r="I97" t="inlineStr">
        <is>
          <t>GBp</t>
        </is>
      </c>
    </row>
    <row r="98">
      <c r="A98" t="inlineStr">
        <is>
          <t>Japan</t>
        </is>
      </c>
      <c r="B98" t="inlineStr">
        <is>
          <t>JPN</t>
        </is>
      </c>
      <c r="C98" t="inlineStr">
        <is>
          <t>IJPN.L</t>
        </is>
      </c>
      <c r="D98" t="inlineStr">
        <is>
          <t>3 Years</t>
        </is>
      </c>
      <c r="E98" s="1" t="n">
        <v>44987</v>
      </c>
      <c r="F98" s="1" t="n">
        <v>46083</v>
      </c>
      <c r="G98" t="n">
        <v>49.74468085106383</v>
      </c>
      <c r="H98" t="inlineStr">
        <is>
          <t>Japan|IJPN.L|3 Years</t>
        </is>
      </c>
      <c r="I98" t="inlineStr">
        <is>
          <t>GBp</t>
        </is>
      </c>
    </row>
    <row r="99">
      <c r="A99" t="inlineStr">
        <is>
          <t>Japan</t>
        </is>
      </c>
      <c r="B99" t="inlineStr">
        <is>
          <t>JPN</t>
        </is>
      </c>
      <c r="C99" t="inlineStr">
        <is>
          <t>IJPN.L</t>
        </is>
      </c>
      <c r="D99" t="inlineStr">
        <is>
          <t>5 Years</t>
        </is>
      </c>
      <c r="E99" s="1" t="n">
        <v>44257</v>
      </c>
      <c r="F99" s="1" t="n">
        <v>46083</v>
      </c>
      <c r="G99" t="n">
        <v>41.86655916145939</v>
      </c>
      <c r="H99" t="inlineStr">
        <is>
          <t>Japan|IJPN.L|5 Years</t>
        </is>
      </c>
      <c r="I99" t="inlineStr">
        <is>
          <t>GBp</t>
        </is>
      </c>
    </row>
    <row r="100">
      <c r="A100" t="inlineStr">
        <is>
          <t>Japan</t>
        </is>
      </c>
      <c r="B100" t="inlineStr">
        <is>
          <t>JPN</t>
        </is>
      </c>
      <c r="C100" t="inlineStr">
        <is>
          <t>IJPN.L</t>
        </is>
      </c>
      <c r="D100" t="inlineStr">
        <is>
          <t>10 Years</t>
        </is>
      </c>
      <c r="E100" s="1" t="n">
        <v>42431</v>
      </c>
      <c r="F100" s="1" t="n">
        <v>46083</v>
      </c>
      <c r="G100" t="n">
        <v>117.8947368421053</v>
      </c>
      <c r="H100" t="inlineStr">
        <is>
          <t>Japan|IJPN.L|10 Years</t>
        </is>
      </c>
      <c r="I100" t="inlineStr">
        <is>
          <t>GBp</t>
        </is>
      </c>
    </row>
    <row r="101">
      <c r="A101" t="inlineStr">
        <is>
          <t>Japan</t>
        </is>
      </c>
      <c r="B101" t="inlineStr">
        <is>
          <t>JPN</t>
        </is>
      </c>
      <c r="C101" t="inlineStr">
        <is>
          <t>IJPN.L</t>
        </is>
      </c>
      <c r="D101" t="inlineStr">
        <is>
          <t>MAX</t>
        </is>
      </c>
      <c r="E101" s="1" t="n">
        <v>39818</v>
      </c>
      <c r="F101" s="1" t="n">
        <v>46083</v>
      </c>
      <c r="G101" t="n">
        <v>173.2142857142857</v>
      </c>
      <c r="H101" t="inlineStr">
        <is>
          <t>Japan|IJPN.L|MAX</t>
        </is>
      </c>
      <c r="I101" t="inlineStr">
        <is>
          <t>GBp</t>
        </is>
      </c>
    </row>
    <row r="102">
      <c r="A102" t="inlineStr">
        <is>
          <t>Japan</t>
        </is>
      </c>
      <c r="B102" t="inlineStr">
        <is>
          <t>JPN</t>
        </is>
      </c>
      <c r="C102" t="inlineStr">
        <is>
          <t>LCJP.L</t>
        </is>
      </c>
      <c r="D102" t="inlineStr">
        <is>
          <t>YTD</t>
        </is>
      </c>
      <c r="E102" s="1" t="n">
        <v>46022</v>
      </c>
      <c r="F102" s="1" t="n">
        <v>46083</v>
      </c>
      <c r="G102" t="n">
        <v>11.84863386239141</v>
      </c>
      <c r="H102" t="inlineStr">
        <is>
          <t>Japan|LCJP.L|YTD</t>
        </is>
      </c>
      <c r="I102" t="inlineStr">
        <is>
          <t>GBP</t>
        </is>
      </c>
    </row>
    <row r="103">
      <c r="A103" t="inlineStr">
        <is>
          <t>Japan</t>
        </is>
      </c>
      <c r="B103" t="inlineStr">
        <is>
          <t>JPN</t>
        </is>
      </c>
      <c r="C103" t="inlineStr">
        <is>
          <t>LCJP.L</t>
        </is>
      </c>
      <c r="D103" t="inlineStr">
        <is>
          <t>1 Month</t>
        </is>
      </c>
      <c r="E103" s="1" t="n">
        <v>46055</v>
      </c>
      <c r="F103" s="1" t="n">
        <v>46083</v>
      </c>
      <c r="G103" t="n">
        <v>6.86150912110155</v>
      </c>
      <c r="H103" t="inlineStr">
        <is>
          <t>Japan|LCJP.L|1 Month</t>
        </is>
      </c>
      <c r="I103" t="inlineStr">
        <is>
          <t>GBP</t>
        </is>
      </c>
    </row>
    <row r="104">
      <c r="A104" t="inlineStr">
        <is>
          <t>Japan</t>
        </is>
      </c>
      <c r="B104" t="inlineStr">
        <is>
          <t>JPN</t>
        </is>
      </c>
      <c r="C104" t="inlineStr">
        <is>
          <t>LCJP.L</t>
        </is>
      </c>
      <c r="D104" t="inlineStr">
        <is>
          <t>3 Months</t>
        </is>
      </c>
      <c r="E104" s="1" t="n">
        <v>45993</v>
      </c>
      <c r="F104" s="1" t="n">
        <v>46083</v>
      </c>
      <c r="G104" t="n">
        <v>11.56537154655339</v>
      </c>
      <c r="H104" t="inlineStr">
        <is>
          <t>Japan|LCJP.L|3 Months</t>
        </is>
      </c>
      <c r="I104" t="inlineStr">
        <is>
          <t>GBP</t>
        </is>
      </c>
    </row>
    <row r="105">
      <c r="A105" t="inlineStr">
        <is>
          <t>Japan</t>
        </is>
      </c>
      <c r="B105" t="inlineStr">
        <is>
          <t>JPN</t>
        </is>
      </c>
      <c r="C105" t="inlineStr">
        <is>
          <t>LCJP.L</t>
        </is>
      </c>
      <c r="D105" t="inlineStr">
        <is>
          <t>6 Months</t>
        </is>
      </c>
      <c r="E105" s="1" t="n">
        <v>45902</v>
      </c>
      <c r="F105" s="1" t="n">
        <v>46083</v>
      </c>
      <c r="G105" t="n">
        <v>19.94813990232025</v>
      </c>
      <c r="H105" t="inlineStr">
        <is>
          <t>Japan|LCJP.L|6 Months</t>
        </is>
      </c>
      <c r="I105" t="inlineStr">
        <is>
          <t>GBP</t>
        </is>
      </c>
    </row>
    <row r="106">
      <c r="A106" t="inlineStr">
        <is>
          <t>Japan</t>
        </is>
      </c>
      <c r="B106" t="inlineStr">
        <is>
          <t>JPN</t>
        </is>
      </c>
      <c r="C106" t="inlineStr">
        <is>
          <t>LCJP.L</t>
        </is>
      </c>
      <c r="D106" t="inlineStr">
        <is>
          <t>1 Year</t>
        </is>
      </c>
      <c r="E106" s="1" t="n">
        <v>45716</v>
      </c>
      <c r="F106" s="1" t="n">
        <v>46083</v>
      </c>
      <c r="G106" t="n">
        <v>29.48422829932014</v>
      </c>
      <c r="H106" t="inlineStr">
        <is>
          <t>Japan|LCJP.L|1 Year</t>
        </is>
      </c>
      <c r="I106" t="inlineStr">
        <is>
          <t>GBP</t>
        </is>
      </c>
    </row>
    <row r="107">
      <c r="A107" t="inlineStr">
        <is>
          <t>Japan</t>
        </is>
      </c>
      <c r="B107" t="inlineStr">
        <is>
          <t>JPN</t>
        </is>
      </c>
      <c r="C107" t="inlineStr">
        <is>
          <t>LCJP.L</t>
        </is>
      </c>
      <c r="D107" t="inlineStr">
        <is>
          <t>3 Years</t>
        </is>
      </c>
      <c r="E107" s="1" t="n">
        <v>44987</v>
      </c>
      <c r="F107" s="1" t="n">
        <v>46083</v>
      </c>
      <c r="G107" t="n">
        <v>58.33975305345123</v>
      </c>
      <c r="H107" t="inlineStr">
        <is>
          <t>Japan|LCJP.L|3 Years</t>
        </is>
      </c>
      <c r="I107" t="inlineStr">
        <is>
          <t>GBP</t>
        </is>
      </c>
    </row>
    <row r="108">
      <c r="A108" t="inlineStr">
        <is>
          <t>Japan</t>
        </is>
      </c>
      <c r="B108" t="inlineStr">
        <is>
          <t>JPN</t>
        </is>
      </c>
      <c r="C108" t="inlineStr">
        <is>
          <t>LCJP.L</t>
        </is>
      </c>
      <c r="D108" t="inlineStr">
        <is>
          <t>5 Years</t>
        </is>
      </c>
      <c r="E108" s="1" t="n">
        <v>44257</v>
      </c>
      <c r="F108" s="1" t="n">
        <v>46083</v>
      </c>
      <c r="G108" t="n">
        <v>55.87195439845927</v>
      </c>
      <c r="H108" t="inlineStr">
        <is>
          <t>Japan|LCJP.L|5 Years</t>
        </is>
      </c>
      <c r="I108" t="inlineStr">
        <is>
          <t>GBP</t>
        </is>
      </c>
    </row>
    <row r="109">
      <c r="A109" t="inlineStr">
        <is>
          <t>Japan</t>
        </is>
      </c>
      <c r="B109" t="inlineStr">
        <is>
          <t>JPN</t>
        </is>
      </c>
      <c r="C109" t="inlineStr">
        <is>
          <t>LCJP.L</t>
        </is>
      </c>
      <c r="D109" t="inlineStr">
        <is>
          <t>MAX</t>
        </is>
      </c>
      <c r="E109" s="1" t="n">
        <v>43185</v>
      </c>
      <c r="F109" s="1" t="n">
        <v>46083</v>
      </c>
      <c r="G109" t="n">
        <v>96.95551100202502</v>
      </c>
      <c r="H109" t="inlineStr">
        <is>
          <t>Japan|LCJP.L|MAX</t>
        </is>
      </c>
      <c r="I109" t="inlineStr">
        <is>
          <t>GBP</t>
        </is>
      </c>
    </row>
    <row r="110">
      <c r="A110" t="inlineStr">
        <is>
          <t>Kuwait</t>
        </is>
      </c>
      <c r="B110" t="inlineStr">
        <is>
          <t>KWT</t>
        </is>
      </c>
      <c r="C110" t="inlineStr">
        <is>
          <t>MKUW.L</t>
        </is>
      </c>
      <c r="D110" t="inlineStr">
        <is>
          <t>YTD</t>
        </is>
      </c>
      <c r="E110" s="1" t="n">
        <v>46022</v>
      </c>
      <c r="F110" s="1" t="n">
        <v>46083</v>
      </c>
      <c r="G110" t="n">
        <v>-4.652943732233195</v>
      </c>
      <c r="H110" t="inlineStr">
        <is>
          <t>Kuwait|MKUW.L|YTD</t>
        </is>
      </c>
      <c r="I110" t="inlineStr">
        <is>
          <t>USD</t>
        </is>
      </c>
    </row>
    <row r="111">
      <c r="A111" t="inlineStr">
        <is>
          <t>Kuwait</t>
        </is>
      </c>
      <c r="B111" t="inlineStr">
        <is>
          <t>KWT</t>
        </is>
      </c>
      <c r="C111" t="inlineStr">
        <is>
          <t>MKUW.L</t>
        </is>
      </c>
      <c r="D111" t="inlineStr">
        <is>
          <t>1 Month</t>
        </is>
      </c>
      <c r="E111" s="1" t="n">
        <v>46055</v>
      </c>
      <c r="F111" s="1" t="n">
        <v>46083</v>
      </c>
      <c r="G111" t="n">
        <v>-2.071582999841404</v>
      </c>
      <c r="H111" t="inlineStr">
        <is>
          <t>Kuwait|MKUW.L|1 Month</t>
        </is>
      </c>
      <c r="I111" t="inlineStr">
        <is>
          <t>USD</t>
        </is>
      </c>
    </row>
    <row r="112">
      <c r="A112" t="inlineStr">
        <is>
          <t>Kuwait</t>
        </is>
      </c>
      <c r="B112" t="inlineStr">
        <is>
          <t>KWT</t>
        </is>
      </c>
      <c r="C112" t="inlineStr">
        <is>
          <t>MKUW.L</t>
        </is>
      </c>
      <c r="D112" t="inlineStr">
        <is>
          <t>3 Months</t>
        </is>
      </c>
      <c r="E112" s="1" t="n">
        <v>45993</v>
      </c>
      <c r="F112" s="1" t="n">
        <v>46083</v>
      </c>
      <c r="G112" t="n">
        <v>-4.079206483170439</v>
      </c>
      <c r="H112" t="inlineStr">
        <is>
          <t>Kuwait|MKUW.L|3 Months</t>
        </is>
      </c>
      <c r="I112" t="inlineStr">
        <is>
          <t>USD</t>
        </is>
      </c>
    </row>
    <row r="113">
      <c r="A113" t="inlineStr">
        <is>
          <t>Kuwait</t>
        </is>
      </c>
      <c r="B113" t="inlineStr">
        <is>
          <t>KWT</t>
        </is>
      </c>
      <c r="C113" t="inlineStr">
        <is>
          <t>MKUW.L</t>
        </is>
      </c>
      <c r="D113" t="inlineStr">
        <is>
          <t>6 Months</t>
        </is>
      </c>
      <c r="E113" s="1" t="n">
        <v>45902</v>
      </c>
      <c r="F113" s="1" t="n">
        <v>46083</v>
      </c>
      <c r="G113" t="n">
        <v>-1.359907503057967</v>
      </c>
      <c r="H113" t="inlineStr">
        <is>
          <t>Kuwait|MKUW.L|6 Months</t>
        </is>
      </c>
      <c r="I113" t="inlineStr">
        <is>
          <t>USD</t>
        </is>
      </c>
    </row>
    <row r="114">
      <c r="A114" t="inlineStr">
        <is>
          <t>Kuwait</t>
        </is>
      </c>
      <c r="B114" t="inlineStr">
        <is>
          <t>KWT</t>
        </is>
      </c>
      <c r="C114" t="inlineStr">
        <is>
          <t>MKUW.L</t>
        </is>
      </c>
      <c r="D114" t="inlineStr">
        <is>
          <t>1 Year</t>
        </is>
      </c>
      <c r="E114" s="1" t="n">
        <v>45716</v>
      </c>
      <c r="F114" s="1" t="n">
        <v>46083</v>
      </c>
      <c r="G114" t="n">
        <v>9.25246467194607</v>
      </c>
      <c r="H114" t="inlineStr">
        <is>
          <t>Kuwait|MKUW.L|1 Year</t>
        </is>
      </c>
      <c r="I114" t="inlineStr">
        <is>
          <t>USD</t>
        </is>
      </c>
    </row>
    <row r="115">
      <c r="A115" t="inlineStr">
        <is>
          <t>Kuwait</t>
        </is>
      </c>
      <c r="B115" t="inlineStr">
        <is>
          <t>KWT</t>
        </is>
      </c>
      <c r="C115" t="inlineStr">
        <is>
          <t>MKUW.L</t>
        </is>
      </c>
      <c r="D115" t="inlineStr">
        <is>
          <t>3 Years</t>
        </is>
      </c>
      <c r="E115" s="1" t="n">
        <v>44987</v>
      </c>
      <c r="F115" s="1" t="n">
        <v>46083</v>
      </c>
      <c r="G115" t="n">
        <v>21.1791741060515</v>
      </c>
      <c r="H115" t="inlineStr">
        <is>
          <t>Kuwait|MKUW.L|3 Years</t>
        </is>
      </c>
      <c r="I115" t="inlineStr">
        <is>
          <t>USD</t>
        </is>
      </c>
    </row>
    <row r="116">
      <c r="A116" t="inlineStr">
        <is>
          <t>Kuwait</t>
        </is>
      </c>
      <c r="B116" t="inlineStr">
        <is>
          <t>KWT</t>
        </is>
      </c>
      <c r="C116" t="inlineStr">
        <is>
          <t>MKUW.L</t>
        </is>
      </c>
      <c r="D116" t="inlineStr">
        <is>
          <t>5 Years</t>
        </is>
      </c>
      <c r="E116" s="1" t="n">
        <v>44257</v>
      </c>
      <c r="F116" s="1" t="n">
        <v>46083</v>
      </c>
      <c r="G116" t="n">
        <v>57.72880963451676</v>
      </c>
      <c r="H116" t="inlineStr">
        <is>
          <t>Kuwait|MKUW.L|5 Years</t>
        </is>
      </c>
      <c r="I116" t="inlineStr">
        <is>
          <t>USD</t>
        </is>
      </c>
    </row>
    <row r="117">
      <c r="A117" t="inlineStr">
        <is>
          <t>Kuwait</t>
        </is>
      </c>
      <c r="B117" t="inlineStr">
        <is>
          <t>KWT</t>
        </is>
      </c>
      <c r="C117" t="inlineStr">
        <is>
          <t>MKUW.L</t>
        </is>
      </c>
      <c r="D117" t="inlineStr">
        <is>
          <t>MAX</t>
        </is>
      </c>
      <c r="E117" s="1" t="n">
        <v>43766</v>
      </c>
      <c r="F117" s="1" t="n">
        <v>46083</v>
      </c>
      <c r="G117" t="n">
        <v>61.31460831113185</v>
      </c>
      <c r="H117" t="inlineStr">
        <is>
          <t>Kuwait|MKUW.L|MAX</t>
        </is>
      </c>
      <c r="I117" t="inlineStr">
        <is>
          <t>USD</t>
        </is>
      </c>
    </row>
    <row r="118">
      <c r="A118" t="inlineStr">
        <is>
          <t>Malaysia</t>
        </is>
      </c>
      <c r="B118" t="inlineStr">
        <is>
          <t>MYS</t>
        </is>
      </c>
      <c r="C118" t="inlineStr">
        <is>
          <t>XCX3.L</t>
        </is>
      </c>
      <c r="D118" t="inlineStr">
        <is>
          <t>YTD</t>
        </is>
      </c>
      <c r="E118" s="1" t="n">
        <v>46022</v>
      </c>
      <c r="F118" s="1" t="n">
        <v>46083</v>
      </c>
      <c r="G118" t="n">
        <v>4.824771963514185</v>
      </c>
      <c r="H118" t="inlineStr">
        <is>
          <t>Malaysia|XCX3.L|YTD</t>
        </is>
      </c>
      <c r="I118" t="inlineStr">
        <is>
          <t>GBp</t>
        </is>
      </c>
    </row>
    <row r="119">
      <c r="A119" t="inlineStr">
        <is>
          <t>Malaysia</t>
        </is>
      </c>
      <c r="B119" t="inlineStr">
        <is>
          <t>MYS</t>
        </is>
      </c>
      <c r="C119" t="inlineStr">
        <is>
          <t>XCX3.L</t>
        </is>
      </c>
      <c r="D119" t="inlineStr">
        <is>
          <t>1 Month</t>
        </is>
      </c>
      <c r="E119" s="1" t="n">
        <v>46055</v>
      </c>
      <c r="F119" s="1" t="n">
        <v>46083</v>
      </c>
      <c r="G119" t="n">
        <v>0.09168003667201496</v>
      </c>
      <c r="H119" t="inlineStr">
        <is>
          <t>Malaysia|XCX3.L|1 Month</t>
        </is>
      </c>
      <c r="I119" t="inlineStr">
        <is>
          <t>GBp</t>
        </is>
      </c>
    </row>
    <row r="120">
      <c r="A120" t="inlineStr">
        <is>
          <t>Malaysia</t>
        </is>
      </c>
      <c r="B120" t="inlineStr">
        <is>
          <t>MYS</t>
        </is>
      </c>
      <c r="C120" t="inlineStr">
        <is>
          <t>XCX3.L</t>
        </is>
      </c>
      <c r="D120" t="inlineStr">
        <is>
          <t>3 Months</t>
        </is>
      </c>
      <c r="E120" s="1" t="n">
        <v>45993</v>
      </c>
      <c r="F120" s="1" t="n">
        <v>46083</v>
      </c>
      <c r="G120" t="n">
        <v>7.139352306182545</v>
      </c>
      <c r="H120" t="inlineStr">
        <is>
          <t>Malaysia|XCX3.L|3 Months</t>
        </is>
      </c>
      <c r="I120" t="inlineStr">
        <is>
          <t>GBp</t>
        </is>
      </c>
    </row>
    <row r="121">
      <c r="A121" t="inlineStr">
        <is>
          <t>Malaysia</t>
        </is>
      </c>
      <c r="B121" t="inlineStr">
        <is>
          <t>MYS</t>
        </is>
      </c>
      <c r="C121" t="inlineStr">
        <is>
          <t>XCX3.L</t>
        </is>
      </c>
      <c r="D121" t="inlineStr">
        <is>
          <t>6 Months</t>
        </is>
      </c>
      <c r="E121" s="1" t="n">
        <v>45902</v>
      </c>
      <c r="F121" s="1" t="n">
        <v>46083</v>
      </c>
      <c r="G121" t="n">
        <v>17.88365501417195</v>
      </c>
      <c r="H121" t="inlineStr">
        <is>
          <t>Malaysia|XCX3.L|6 Months</t>
        </is>
      </c>
      <c r="I121" t="inlineStr">
        <is>
          <t>GBp</t>
        </is>
      </c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t="inlineStr">
        <is>
          <t>1 Year</t>
        </is>
      </c>
      <c r="E122" s="1" t="n">
        <v>45716</v>
      </c>
      <c r="F122" s="1" t="n">
        <v>46083</v>
      </c>
      <c r="G122" t="n">
        <v>18.53963083604777</v>
      </c>
      <c r="H122" t="inlineStr">
        <is>
          <t>Malaysia|XCX3.L|1 Year</t>
        </is>
      </c>
      <c r="I122" t="inlineStr">
        <is>
          <t>GBp</t>
        </is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t="inlineStr">
        <is>
          <t>3 Years</t>
        </is>
      </c>
      <c r="E123" s="1" t="n">
        <v>44987</v>
      </c>
      <c r="F123" s="1" t="n">
        <v>46083</v>
      </c>
      <c r="G123" t="n">
        <v>30.10576493371073</v>
      </c>
      <c r="H123" t="inlineStr">
        <is>
          <t>Malaysia|XCX3.L|3 Years</t>
        </is>
      </c>
      <c r="I123" t="inlineStr">
        <is>
          <t>GBp</t>
        </is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t="inlineStr">
        <is>
          <t>5 Years</t>
        </is>
      </c>
      <c r="E124" s="1" t="n">
        <v>44257</v>
      </c>
      <c r="F124" s="1" t="n">
        <v>46083</v>
      </c>
      <c r="G124" t="n">
        <v>33.71096142069809</v>
      </c>
      <c r="H124" t="inlineStr">
        <is>
          <t>Malaysia|XCX3.L|5 Years</t>
        </is>
      </c>
      <c r="I124" t="inlineStr">
        <is>
          <t>GBp</t>
        </is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t="inlineStr">
        <is>
          <t>10 Years</t>
        </is>
      </c>
      <c r="E125" s="1" t="n">
        <v>42431</v>
      </c>
      <c r="F125" s="1" t="n">
        <v>46083</v>
      </c>
      <c r="G125" t="n">
        <v>36.44743008904858</v>
      </c>
      <c r="H125" t="inlineStr">
        <is>
          <t>Malaysia|XCX3.L|10 Years</t>
        </is>
      </c>
      <c r="I125" t="inlineStr">
        <is>
          <t>GBp</t>
        </is>
      </c>
    </row>
    <row r="126">
      <c r="A126" t="inlineStr">
        <is>
          <t>Malaysia</t>
        </is>
      </c>
      <c r="B126" t="inlineStr">
        <is>
          <t>MYS</t>
        </is>
      </c>
      <c r="C126" t="inlineStr">
        <is>
          <t>XCX3.L</t>
        </is>
      </c>
      <c r="D126" t="inlineStr">
        <is>
          <t>MAX</t>
        </is>
      </c>
      <c r="E126" s="1" t="n">
        <v>40354</v>
      </c>
      <c r="F126" s="1" t="n">
        <v>46083</v>
      </c>
      <c r="G126" t="n">
        <v>7.485333703170549</v>
      </c>
      <c r="H126" t="inlineStr">
        <is>
          <t>Malaysia|XCX3.L|MAX</t>
        </is>
      </c>
      <c r="I126" t="inlineStr">
        <is>
          <t>GBp</t>
        </is>
      </c>
    </row>
    <row r="127">
      <c r="A127" t="inlineStr">
        <is>
          <t>Mexico</t>
        </is>
      </c>
      <c r="B127" t="inlineStr">
        <is>
          <t>MEX</t>
        </is>
      </c>
      <c r="C127" t="inlineStr">
        <is>
          <t>XMEX.L</t>
        </is>
      </c>
      <c r="D127" t="inlineStr">
        <is>
          <t>YTD</t>
        </is>
      </c>
      <c r="E127" s="1" t="n">
        <v>46022</v>
      </c>
      <c r="F127" s="1" t="n">
        <v>46083</v>
      </c>
      <c r="G127" t="n">
        <v>14.30327868852459</v>
      </c>
      <c r="H127" t="inlineStr">
        <is>
          <t>Mexico|XMEX.L|YTD</t>
        </is>
      </c>
      <c r="I127" t="inlineStr">
        <is>
          <t>GBp</t>
        </is>
      </c>
    </row>
    <row r="128">
      <c r="A128" t="inlineStr">
        <is>
          <t>Mexico</t>
        </is>
      </c>
      <c r="B128" t="inlineStr">
        <is>
          <t>MEX</t>
        </is>
      </c>
      <c r="C128" t="inlineStr">
        <is>
          <t>XMEX.L</t>
        </is>
      </c>
      <c r="D128" t="inlineStr">
        <is>
          <t>1 Month</t>
        </is>
      </c>
      <c r="E128" s="1" t="n">
        <v>46055</v>
      </c>
      <c r="F128" s="1" t="n">
        <v>46083</v>
      </c>
      <c r="G128" t="n">
        <v>5.744075829383899</v>
      </c>
      <c r="H128" t="inlineStr">
        <is>
          <t>Mexico|XMEX.L|1 Month</t>
        </is>
      </c>
      <c r="I128" t="inlineStr">
        <is>
          <t>GBp</t>
        </is>
      </c>
    </row>
    <row r="129">
      <c r="A129" t="inlineStr">
        <is>
          <t>Mexico</t>
        </is>
      </c>
      <c r="B129" t="inlineStr">
        <is>
          <t>MEX</t>
        </is>
      </c>
      <c r="C129" t="inlineStr">
        <is>
          <t>XMEX.L</t>
        </is>
      </c>
      <c r="D129" t="inlineStr">
        <is>
          <t>3 Months</t>
        </is>
      </c>
      <c r="E129" s="1" t="n">
        <v>45993</v>
      </c>
      <c r="F129" s="1" t="n">
        <v>46083</v>
      </c>
      <c r="G129" t="n">
        <v>15.60621761658032</v>
      </c>
      <c r="H129" t="inlineStr">
        <is>
          <t>Mexico|XMEX.L|3 Months</t>
        </is>
      </c>
      <c r="I129" t="inlineStr">
        <is>
          <t>GBp</t>
        </is>
      </c>
    </row>
    <row r="130">
      <c r="A130" t="inlineStr">
        <is>
          <t>Mexico</t>
        </is>
      </c>
      <c r="B130" t="inlineStr">
        <is>
          <t>MEX</t>
        </is>
      </c>
      <c r="C130" t="inlineStr">
        <is>
          <t>XMEX.L</t>
        </is>
      </c>
      <c r="D130" t="inlineStr">
        <is>
          <t>6 Months</t>
        </is>
      </c>
      <c r="E130" s="1" t="n">
        <v>45902</v>
      </c>
      <c r="F130" s="1" t="n">
        <v>46083</v>
      </c>
      <c r="G130" t="n">
        <v>31.46358708460994</v>
      </c>
      <c r="H130" t="inlineStr">
        <is>
          <t>Mexico|XMEX.L|6 Months</t>
        </is>
      </c>
      <c r="I130" t="inlineStr">
        <is>
          <t>GBp</t>
        </is>
      </c>
    </row>
    <row r="131">
      <c r="A131" t="inlineStr">
        <is>
          <t>Mexico</t>
        </is>
      </c>
      <c r="B131" t="inlineStr">
        <is>
          <t>MEX</t>
        </is>
      </c>
      <c r="C131" t="inlineStr">
        <is>
          <t>XMEX.L</t>
        </is>
      </c>
      <c r="D131" t="inlineStr">
        <is>
          <t>1 Year</t>
        </is>
      </c>
      <c r="E131" s="1" t="n">
        <v>45716</v>
      </c>
      <c r="F131" s="1" t="n">
        <v>46083</v>
      </c>
      <c r="G131" t="n">
        <v>54.20767652595148</v>
      </c>
      <c r="H131" t="inlineStr">
        <is>
          <t>Mexico|XMEX.L|1 Year</t>
        </is>
      </c>
      <c r="I131" t="inlineStr">
        <is>
          <t>GBp</t>
        </is>
      </c>
    </row>
    <row r="132">
      <c r="A132" t="inlineStr">
        <is>
          <t>Mexico</t>
        </is>
      </c>
      <c r="B132" t="inlineStr">
        <is>
          <t>MEX</t>
        </is>
      </c>
      <c r="C132" t="inlineStr">
        <is>
          <t>XMEX.L</t>
        </is>
      </c>
      <c r="D132" t="inlineStr">
        <is>
          <t>3 Years</t>
        </is>
      </c>
      <c r="E132" s="1" t="n">
        <v>44987</v>
      </c>
      <c r="F132" s="1" t="n">
        <v>46083</v>
      </c>
      <c r="G132" t="n">
        <v>34.21559191530316</v>
      </c>
      <c r="H132" t="inlineStr">
        <is>
          <t>Mexico|XMEX.L|3 Years</t>
        </is>
      </c>
      <c r="I132" t="inlineStr">
        <is>
          <t>GBp</t>
        </is>
      </c>
    </row>
    <row r="133">
      <c r="A133" t="inlineStr">
        <is>
          <t>Mexico</t>
        </is>
      </c>
      <c r="B133" t="inlineStr">
        <is>
          <t>MEX</t>
        </is>
      </c>
      <c r="C133" t="inlineStr">
        <is>
          <t>XMEX.L</t>
        </is>
      </c>
      <c r="D133" t="inlineStr">
        <is>
          <t>5 Years</t>
        </is>
      </c>
      <c r="E133" s="1" t="n">
        <v>44257</v>
      </c>
      <c r="F133" s="1" t="n">
        <v>46083</v>
      </c>
      <c r="G133" t="n">
        <v>124.0520477666763</v>
      </c>
      <c r="H133" t="inlineStr">
        <is>
          <t>Mexico|XMEX.L|5 Years</t>
        </is>
      </c>
      <c r="I133" t="inlineStr">
        <is>
          <t>GBp</t>
        </is>
      </c>
    </row>
    <row r="134">
      <c r="A134" t="inlineStr">
        <is>
          <t>Mexico</t>
        </is>
      </c>
      <c r="B134" t="inlineStr">
        <is>
          <t>MEX</t>
        </is>
      </c>
      <c r="C134" t="inlineStr">
        <is>
          <t>XMEX.L</t>
        </is>
      </c>
      <c r="D134" t="inlineStr">
        <is>
          <t>10 Years</t>
        </is>
      </c>
      <c r="E134" s="1" t="n">
        <v>42431</v>
      </c>
      <c r="F134" s="1" t="n">
        <v>46083</v>
      </c>
      <c r="G134" t="n">
        <v>109.8254666305929</v>
      </c>
      <c r="H134" t="inlineStr">
        <is>
          <t>Mexico|XMEX.L|10 Years</t>
        </is>
      </c>
      <c r="I134" t="inlineStr">
        <is>
          <t>GBp</t>
        </is>
      </c>
    </row>
    <row r="135">
      <c r="A135" t="inlineStr">
        <is>
          <t>Mexico</t>
        </is>
      </c>
      <c r="B135" t="inlineStr">
        <is>
          <t>MEX</t>
        </is>
      </c>
      <c r="C135" t="inlineStr">
        <is>
          <t>XMEX.L</t>
        </is>
      </c>
      <c r="D135" t="inlineStr">
        <is>
          <t>MAX</t>
        </is>
      </c>
      <c r="E135" s="1" t="n">
        <v>40266</v>
      </c>
      <c r="F135" s="1" t="n">
        <v>46083</v>
      </c>
      <c r="G135" t="n">
        <v>52.37938729148242</v>
      </c>
      <c r="H135" t="inlineStr">
        <is>
          <t>Mexico|XMEX.L|MAX</t>
        </is>
      </c>
      <c r="I135" t="inlineStr">
        <is>
          <t>GBp</t>
        </is>
      </c>
    </row>
    <row r="136">
      <c r="A136" t="inlineStr">
        <is>
          <t>Pakistan</t>
        </is>
      </c>
      <c r="B136" t="inlineStr">
        <is>
          <t>PAK</t>
        </is>
      </c>
      <c r="C136" t="inlineStr">
        <is>
          <t>XBAK.L</t>
        </is>
      </c>
      <c r="D136" t="inlineStr">
        <is>
          <t>YTD</t>
        </is>
      </c>
      <c r="E136" s="1" t="n">
        <v>46022</v>
      </c>
      <c r="F136" s="1" t="n">
        <v>46083</v>
      </c>
      <c r="G136" t="n">
        <v>-12.9050144622555</v>
      </c>
      <c r="H136" t="inlineStr">
        <is>
          <t>Pakistan|XBAK.L|YTD</t>
        </is>
      </c>
      <c r="I136" t="inlineStr">
        <is>
          <t>USD</t>
        </is>
      </c>
    </row>
    <row r="137">
      <c r="A137" t="inlineStr">
        <is>
          <t>Pakistan</t>
        </is>
      </c>
      <c r="B137" t="inlineStr">
        <is>
          <t>PAK</t>
        </is>
      </c>
      <c r="C137" t="inlineStr">
        <is>
          <t>XBAK.L</t>
        </is>
      </c>
      <c r="D137" t="inlineStr">
        <is>
          <t>1 Month</t>
        </is>
      </c>
      <c r="E137" s="1" t="n">
        <v>46055</v>
      </c>
      <c r="F137" s="1" t="n">
        <v>46083</v>
      </c>
      <c r="G137" t="n">
        <v>-17.3890190299614</v>
      </c>
      <c r="H137" t="inlineStr">
        <is>
          <t>Pakistan|XBAK.L|1 Month</t>
        </is>
      </c>
      <c r="I137" t="inlineStr">
        <is>
          <t>USD</t>
        </is>
      </c>
    </row>
    <row r="138">
      <c r="A138" t="inlineStr">
        <is>
          <t>Pakistan</t>
        </is>
      </c>
      <c r="B138" t="inlineStr">
        <is>
          <t>PAK</t>
        </is>
      </c>
      <c r="C138" t="inlineStr">
        <is>
          <t>XBAK.L</t>
        </is>
      </c>
      <c r="D138" t="inlineStr">
        <is>
          <t>3 Months</t>
        </is>
      </c>
      <c r="E138" s="1" t="n">
        <v>45993</v>
      </c>
      <c r="F138" s="1" t="n">
        <v>46083</v>
      </c>
      <c r="G138" t="n">
        <v>-10.6534091486357</v>
      </c>
      <c r="H138" t="inlineStr">
        <is>
          <t>Pakistan|XBAK.L|3 Months</t>
        </is>
      </c>
      <c r="I138" t="inlineStr">
        <is>
          <t>USD</t>
        </is>
      </c>
    </row>
    <row r="139">
      <c r="A139" t="inlineStr">
        <is>
          <t>Pakistan</t>
        </is>
      </c>
      <c r="B139" t="inlineStr">
        <is>
          <t>PAK</t>
        </is>
      </c>
      <c r="C139" t="inlineStr">
        <is>
          <t>XBAK.L</t>
        </is>
      </c>
      <c r="D139" t="inlineStr">
        <is>
          <t>6 Months</t>
        </is>
      </c>
      <c r="E139" s="1" t="n">
        <v>45902</v>
      </c>
      <c r="F139" s="1" t="n">
        <v>46083</v>
      </c>
      <c r="G139" t="n">
        <v>-2.721931891047213</v>
      </c>
      <c r="H139" t="inlineStr">
        <is>
          <t>Pakistan|XBAK.L|6 Months</t>
        </is>
      </c>
      <c r="I139" t="inlineStr">
        <is>
          <t>USD</t>
        </is>
      </c>
    </row>
    <row r="140">
      <c r="A140" t="inlineStr">
        <is>
          <t>Pakistan</t>
        </is>
      </c>
      <c r="B140" t="inlineStr">
        <is>
          <t>PAK</t>
        </is>
      </c>
      <c r="C140" t="inlineStr">
        <is>
          <t>XBAK.L</t>
        </is>
      </c>
      <c r="D140" t="inlineStr">
        <is>
          <t>1 Year</t>
        </is>
      </c>
      <c r="E140" s="1" t="n">
        <v>45716</v>
      </c>
      <c r="F140" s="1" t="n">
        <v>46083</v>
      </c>
      <c r="G140" t="n">
        <v>22.7077653295102</v>
      </c>
      <c r="H140" t="inlineStr">
        <is>
          <t>Pakistan|XBAK.L|1 Year</t>
        </is>
      </c>
      <c r="I140" t="inlineStr">
        <is>
          <t>USD</t>
        </is>
      </c>
    </row>
    <row r="141">
      <c r="A141" t="inlineStr">
        <is>
          <t>Pakistan</t>
        </is>
      </c>
      <c r="B141" t="inlineStr">
        <is>
          <t>PAK</t>
        </is>
      </c>
      <c r="C141" t="inlineStr">
        <is>
          <t>XBAK.L</t>
        </is>
      </c>
      <c r="D141" t="inlineStr">
        <is>
          <t>3 Years</t>
        </is>
      </c>
      <c r="E141" s="1" t="n">
        <v>44987</v>
      </c>
      <c r="F141" s="1" t="n">
        <v>46083</v>
      </c>
      <c r="G141" t="n">
        <v>175.8771947711458</v>
      </c>
      <c r="H141" t="inlineStr">
        <is>
          <t>Pakistan|XBAK.L|3 Years</t>
        </is>
      </c>
      <c r="I141" t="inlineStr">
        <is>
          <t>USD</t>
        </is>
      </c>
    </row>
    <row r="142">
      <c r="A142" t="inlineStr">
        <is>
          <t>Pakistan</t>
        </is>
      </c>
      <c r="B142" t="inlineStr">
        <is>
          <t>PAK</t>
        </is>
      </c>
      <c r="C142" t="inlineStr">
        <is>
          <t>XBAK.L</t>
        </is>
      </c>
      <c r="D142" t="inlineStr">
        <is>
          <t>5 Years</t>
        </is>
      </c>
      <c r="E142" s="1" t="n">
        <v>44257</v>
      </c>
      <c r="F142" s="1" t="n">
        <v>46083</v>
      </c>
      <c r="G142" t="n">
        <v>33.26271697985879</v>
      </c>
      <c r="H142" t="inlineStr">
        <is>
          <t>Pakistan|XBAK.L|5 Years</t>
        </is>
      </c>
      <c r="I142" t="inlineStr">
        <is>
          <t>USD</t>
        </is>
      </c>
    </row>
    <row r="143">
      <c r="A143" t="inlineStr">
        <is>
          <t>Pakistan</t>
        </is>
      </c>
      <c r="B143" t="inlineStr">
        <is>
          <t>PAK</t>
        </is>
      </c>
      <c r="C143" t="inlineStr">
        <is>
          <t>XBAK.L</t>
        </is>
      </c>
      <c r="D143" t="inlineStr">
        <is>
          <t>10 Years</t>
        </is>
      </c>
      <c r="E143" s="1" t="n">
        <v>42431</v>
      </c>
      <c r="F143" s="1" t="n">
        <v>46083</v>
      </c>
      <c r="G143" t="n">
        <v>-8.575583470551074</v>
      </c>
      <c r="H143" t="inlineStr">
        <is>
          <t>Pakistan|XBAK.L|10 Years</t>
        </is>
      </c>
      <c r="I143" t="inlineStr">
        <is>
          <t>USD</t>
        </is>
      </c>
    </row>
    <row r="144">
      <c r="A144" t="inlineStr">
        <is>
          <t>Pakistan</t>
        </is>
      </c>
      <c r="B144" t="inlineStr">
        <is>
          <t>PAK</t>
        </is>
      </c>
      <c r="C144" t="inlineStr">
        <is>
          <t>XBAK.L</t>
        </is>
      </c>
      <c r="D144" t="inlineStr">
        <is>
          <t>MAX</t>
        </is>
      </c>
      <c r="E144" s="1" t="n">
        <v>41095</v>
      </c>
      <c r="F144" s="1" t="n">
        <v>46083</v>
      </c>
      <c r="G144" t="n">
        <v>36.73913244038318</v>
      </c>
      <c r="H144" t="inlineStr">
        <is>
          <t>Pakistan|XBAK.L|MAX</t>
        </is>
      </c>
      <c r="I144" t="inlineStr">
        <is>
          <t>USD</t>
        </is>
      </c>
    </row>
    <row r="145">
      <c r="A145" t="inlineStr">
        <is>
          <t>Philippines</t>
        </is>
      </c>
      <c r="B145" t="inlineStr">
        <is>
          <t>PHL</t>
        </is>
      </c>
      <c r="C145" t="inlineStr">
        <is>
          <t>XPHG.L</t>
        </is>
      </c>
      <c r="D145" t="inlineStr">
        <is>
          <t>YTD</t>
        </is>
      </c>
      <c r="E145" s="1" t="n">
        <v>46022</v>
      </c>
      <c r="F145" s="1" t="n">
        <v>46083</v>
      </c>
      <c r="G145" t="n">
        <v>8.203991130820398</v>
      </c>
      <c r="H145" t="inlineStr">
        <is>
          <t>Philippines|XPHG.L|YTD</t>
        </is>
      </c>
      <c r="I145" t="inlineStr">
        <is>
          <t>GBp</t>
        </is>
      </c>
    </row>
    <row r="146">
      <c r="A146" t="inlineStr">
        <is>
          <t>Philippines</t>
        </is>
      </c>
      <c r="B146" t="inlineStr">
        <is>
          <t>PHL</t>
        </is>
      </c>
      <c r="C146" t="inlineStr">
        <is>
          <t>XPHG.L</t>
        </is>
      </c>
      <c r="D146" t="inlineStr">
        <is>
          <t>1 Month</t>
        </is>
      </c>
      <c r="E146" s="1" t="n">
        <v>46055</v>
      </c>
      <c r="F146" s="1" t="n">
        <v>46083</v>
      </c>
      <c r="G146" t="n">
        <v>4.362701802867019</v>
      </c>
      <c r="H146" t="inlineStr">
        <is>
          <t>Philippines|XPHG.L|1 Month</t>
        </is>
      </c>
      <c r="I146" t="inlineStr">
        <is>
          <t>GBp</t>
        </is>
      </c>
    </row>
    <row r="147">
      <c r="A147" t="inlineStr">
        <is>
          <t>Philippines</t>
        </is>
      </c>
      <c r="B147" t="inlineStr">
        <is>
          <t>PHL</t>
        </is>
      </c>
      <c r="C147" t="inlineStr">
        <is>
          <t>XPHG.L</t>
        </is>
      </c>
      <c r="D147" t="inlineStr">
        <is>
          <t>3 Months</t>
        </is>
      </c>
      <c r="E147" s="1" t="n">
        <v>45993</v>
      </c>
      <c r="F147" s="1" t="n">
        <v>46083</v>
      </c>
      <c r="G147" t="n">
        <v>7.111499882008965</v>
      </c>
      <c r="H147" t="inlineStr">
        <is>
          <t>Philippines|XPHG.L|3 Months</t>
        </is>
      </c>
      <c r="I147" t="inlineStr">
        <is>
          <t>GBp</t>
        </is>
      </c>
    </row>
    <row r="148">
      <c r="A148" t="inlineStr">
        <is>
          <t>Philippines</t>
        </is>
      </c>
      <c r="B148" t="inlineStr">
        <is>
          <t>PHL</t>
        </is>
      </c>
      <c r="C148" t="inlineStr">
        <is>
          <t>XPHG.L</t>
        </is>
      </c>
      <c r="D148" t="inlineStr">
        <is>
          <t>6 Months</t>
        </is>
      </c>
      <c r="E148" s="1" t="n">
        <v>45902</v>
      </c>
      <c r="F148" s="1" t="n">
        <v>46083</v>
      </c>
      <c r="G148" t="n">
        <v>5.081827393127858</v>
      </c>
      <c r="H148" t="inlineStr">
        <is>
          <t>Philippines|XPHG.L|6 Months</t>
        </is>
      </c>
      <c r="I148" t="inlineStr">
        <is>
          <t>GBp</t>
        </is>
      </c>
    </row>
    <row r="149">
      <c r="A149" t="inlineStr">
        <is>
          <t>Philippines</t>
        </is>
      </c>
      <c r="B149" t="inlineStr">
        <is>
          <t>PHL</t>
        </is>
      </c>
      <c r="C149" t="inlineStr">
        <is>
          <t>XPHG.L</t>
        </is>
      </c>
      <c r="D149" t="inlineStr">
        <is>
          <t>1 Year</t>
        </is>
      </c>
      <c r="E149" s="1" t="n">
        <v>45716</v>
      </c>
      <c r="F149" s="1" t="n">
        <v>46083</v>
      </c>
      <c r="G149" t="n">
        <v>6.318082788671031</v>
      </c>
      <c r="H149" t="inlineStr">
        <is>
          <t>Philippines|XPHG.L|1 Year</t>
        </is>
      </c>
      <c r="I149" t="inlineStr">
        <is>
          <t>GBp</t>
        </is>
      </c>
    </row>
    <row r="150">
      <c r="A150" t="inlineStr">
        <is>
          <t>Philippines</t>
        </is>
      </c>
      <c r="B150" t="inlineStr">
        <is>
          <t>PHL</t>
        </is>
      </c>
      <c r="C150" t="inlineStr">
        <is>
          <t>XPHG.L</t>
        </is>
      </c>
      <c r="D150" t="inlineStr">
        <is>
          <t>3 Years</t>
        </is>
      </c>
      <c r="E150" s="1" t="n">
        <v>44987</v>
      </c>
      <c r="F150" s="1" t="n">
        <v>46083</v>
      </c>
      <c r="G150" t="n">
        <v>-5.682261891532969</v>
      </c>
      <c r="H150" t="inlineStr">
        <is>
          <t>Philippines|XPHG.L|3 Years</t>
        </is>
      </c>
      <c r="I150" t="inlineStr">
        <is>
          <t>GBp</t>
        </is>
      </c>
    </row>
    <row r="151">
      <c r="A151" t="inlineStr">
        <is>
          <t>Philippines</t>
        </is>
      </c>
      <c r="B151" t="inlineStr">
        <is>
          <t>PHL</t>
        </is>
      </c>
      <c r="C151" t="inlineStr">
        <is>
          <t>XPHG.L</t>
        </is>
      </c>
      <c r="D151" t="inlineStr">
        <is>
          <t>5 Years</t>
        </is>
      </c>
      <c r="E151" s="1" t="n">
        <v>44257</v>
      </c>
      <c r="F151" s="1" t="n">
        <v>46083</v>
      </c>
      <c r="G151" t="n">
        <v>-2.633681541407995</v>
      </c>
      <c r="H151" t="inlineStr">
        <is>
          <t>Philippines|XPHG.L|5 Years</t>
        </is>
      </c>
      <c r="I151" t="inlineStr">
        <is>
          <t>GBp</t>
        </is>
      </c>
    </row>
    <row r="152">
      <c r="A152" t="inlineStr">
        <is>
          <t>Philippines</t>
        </is>
      </c>
      <c r="B152" t="inlineStr">
        <is>
          <t>PHL</t>
        </is>
      </c>
      <c r="C152" t="inlineStr">
        <is>
          <t>XPHG.L</t>
        </is>
      </c>
      <c r="D152" t="inlineStr">
        <is>
          <t>10 Years</t>
        </is>
      </c>
      <c r="E152" s="1" t="n">
        <v>42431</v>
      </c>
      <c r="F152" s="1" t="n">
        <v>46083</v>
      </c>
      <c r="G152" t="n">
        <v>-6.727830922355283</v>
      </c>
      <c r="H152" t="inlineStr">
        <is>
          <t>Philippines|XPHG.L|10 Years</t>
        </is>
      </c>
      <c r="I152" t="inlineStr">
        <is>
          <t>GBp</t>
        </is>
      </c>
    </row>
    <row r="153">
      <c r="A153" t="inlineStr">
        <is>
          <t>Philippines</t>
        </is>
      </c>
      <c r="B153" t="inlineStr">
        <is>
          <t>PHL</t>
        </is>
      </c>
      <c r="C153" t="inlineStr">
        <is>
          <t>XPHG.L</t>
        </is>
      </c>
      <c r="D153" t="inlineStr">
        <is>
          <t>MAX</t>
        </is>
      </c>
      <c r="E153" s="1" t="n">
        <v>40731</v>
      </c>
      <c r="F153" s="1" t="n">
        <v>46083</v>
      </c>
      <c r="G153" t="n">
        <v>49.69325153374231</v>
      </c>
      <c r="H153" t="inlineStr">
        <is>
          <t>Philippines|XPHG.L|MAX</t>
        </is>
      </c>
      <c r="I153" t="inlineStr">
        <is>
          <t>GBp</t>
        </is>
      </c>
    </row>
    <row r="154">
      <c r="A154" t="inlineStr">
        <is>
          <t>Poland</t>
        </is>
      </c>
      <c r="B154" t="inlineStr">
        <is>
          <t>POL</t>
        </is>
      </c>
      <c r="C154" t="inlineStr">
        <is>
          <t>SPOL.L</t>
        </is>
      </c>
      <c r="D154" t="inlineStr">
        <is>
          <t>YTD</t>
        </is>
      </c>
      <c r="E154" s="1" t="n">
        <v>46022</v>
      </c>
      <c r="F154" s="1" t="n">
        <v>46083</v>
      </c>
      <c r="G154" t="n">
        <v>5.455287039869483</v>
      </c>
      <c r="H154" t="inlineStr">
        <is>
          <t>Poland|SPOL.L|YTD</t>
        </is>
      </c>
      <c r="I154" t="inlineStr">
        <is>
          <t>GBp</t>
        </is>
      </c>
    </row>
    <row r="155">
      <c r="A155" t="inlineStr">
        <is>
          <t>Poland</t>
        </is>
      </c>
      <c r="B155" t="inlineStr">
        <is>
          <t>POL</t>
        </is>
      </c>
      <c r="C155" t="inlineStr">
        <is>
          <t>SPOL.L</t>
        </is>
      </c>
      <c r="D155" t="inlineStr">
        <is>
          <t>1 Month</t>
        </is>
      </c>
      <c r="E155" s="1" t="n">
        <v>46055</v>
      </c>
      <c r="F155" s="1" t="n">
        <v>46083</v>
      </c>
      <c r="G155" t="n">
        <v>0.524883359253514</v>
      </c>
      <c r="H155" t="inlineStr">
        <is>
          <t>Poland|SPOL.L|1 Month</t>
        </is>
      </c>
      <c r="I155" t="inlineStr">
        <is>
          <t>GBp</t>
        </is>
      </c>
    </row>
    <row r="156">
      <c r="A156" t="inlineStr">
        <is>
          <t>Poland</t>
        </is>
      </c>
      <c r="B156" t="inlineStr">
        <is>
          <t>POL</t>
        </is>
      </c>
      <c r="C156" t="inlineStr">
        <is>
          <t>SPOL.L</t>
        </is>
      </c>
      <c r="D156" t="inlineStr">
        <is>
          <t>3 Months</t>
        </is>
      </c>
      <c r="E156" s="1" t="n">
        <v>45993</v>
      </c>
      <c r="F156" s="1" t="n">
        <v>46083</v>
      </c>
      <c r="G156" t="n">
        <v>13.37426003069502</v>
      </c>
      <c r="H156" t="inlineStr">
        <is>
          <t>Poland|SPOL.L|3 Months</t>
        </is>
      </c>
      <c r="I156" t="inlineStr">
        <is>
          <t>GBp</t>
        </is>
      </c>
    </row>
    <row r="157">
      <c r="A157" t="inlineStr">
        <is>
          <t>Poland</t>
        </is>
      </c>
      <c r="B157" t="inlineStr">
        <is>
          <t>POL</t>
        </is>
      </c>
      <c r="C157" t="inlineStr">
        <is>
          <t>SPOL.L</t>
        </is>
      </c>
      <c r="D157" t="inlineStr">
        <is>
          <t>6 Months</t>
        </is>
      </c>
      <c r="E157" s="1" t="n">
        <v>45902</v>
      </c>
      <c r="F157" s="1" t="n">
        <v>46083</v>
      </c>
      <c r="G157" t="n">
        <v>23.97506593143131</v>
      </c>
      <c r="H157" t="inlineStr">
        <is>
          <t>Poland|SPOL.L|6 Months</t>
        </is>
      </c>
      <c r="I157" t="inlineStr">
        <is>
          <t>GBp</t>
        </is>
      </c>
    </row>
    <row r="158">
      <c r="A158" t="inlineStr">
        <is>
          <t>Poland</t>
        </is>
      </c>
      <c r="B158" t="inlineStr">
        <is>
          <t>POL</t>
        </is>
      </c>
      <c r="C158" t="inlineStr">
        <is>
          <t>SPOL.L</t>
        </is>
      </c>
      <c r="D158" t="inlineStr">
        <is>
          <t>1 Year</t>
        </is>
      </c>
      <c r="E158" s="1" t="n">
        <v>45716</v>
      </c>
      <c r="F158" s="1" t="n">
        <v>46083</v>
      </c>
      <c r="G158" t="n">
        <v>40.62330220449586</v>
      </c>
      <c r="H158" t="inlineStr">
        <is>
          <t>Poland|SPOL.L|1 Year</t>
        </is>
      </c>
      <c r="I158" t="inlineStr">
        <is>
          <t>GBp</t>
        </is>
      </c>
    </row>
    <row r="159">
      <c r="A159" t="inlineStr">
        <is>
          <t>Poland</t>
        </is>
      </c>
      <c r="B159" t="inlineStr">
        <is>
          <t>POL</t>
        </is>
      </c>
      <c r="C159" t="inlineStr">
        <is>
          <t>SPOL.L</t>
        </is>
      </c>
      <c r="D159" t="inlineStr">
        <is>
          <t>3 Years</t>
        </is>
      </c>
      <c r="E159" s="1" t="n">
        <v>44987</v>
      </c>
      <c r="F159" s="1" t="n">
        <v>46083</v>
      </c>
      <c r="G159" t="n">
        <v>127.1768786102368</v>
      </c>
      <c r="H159" t="inlineStr">
        <is>
          <t>Poland|SPOL.L|3 Years</t>
        </is>
      </c>
      <c r="I159" t="inlineStr">
        <is>
          <t>GBp</t>
        </is>
      </c>
    </row>
    <row r="160">
      <c r="A160" t="inlineStr">
        <is>
          <t>Poland</t>
        </is>
      </c>
      <c r="B160" t="inlineStr">
        <is>
          <t>POL</t>
        </is>
      </c>
      <c r="C160" t="inlineStr">
        <is>
          <t>SPOL.L</t>
        </is>
      </c>
      <c r="D160" t="inlineStr">
        <is>
          <t>5 Years</t>
        </is>
      </c>
      <c r="E160" s="1" t="n">
        <v>44257</v>
      </c>
      <c r="F160" s="1" t="n">
        <v>46083</v>
      </c>
      <c r="G160" t="n">
        <v>114.066889838976</v>
      </c>
      <c r="H160" t="inlineStr">
        <is>
          <t>Poland|SPOL.L|5 Years</t>
        </is>
      </c>
      <c r="I160" t="inlineStr">
        <is>
          <t>GBp</t>
        </is>
      </c>
    </row>
    <row r="161">
      <c r="A161" t="inlineStr">
        <is>
          <t>Poland</t>
        </is>
      </c>
      <c r="B161" t="inlineStr">
        <is>
          <t>POL</t>
        </is>
      </c>
      <c r="C161" t="inlineStr">
        <is>
          <t>SPOL.L</t>
        </is>
      </c>
      <c r="D161" t="inlineStr">
        <is>
          <t>10 Years</t>
        </is>
      </c>
      <c r="E161" s="1" t="n">
        <v>42431</v>
      </c>
      <c r="F161" s="1" t="n">
        <v>46083</v>
      </c>
      <c r="G161" t="n">
        <v>139.7866913980988</v>
      </c>
      <c r="H161" t="inlineStr">
        <is>
          <t>Poland|SPOL.L|10 Years</t>
        </is>
      </c>
      <c r="I161" t="inlineStr">
        <is>
          <t>GBp</t>
        </is>
      </c>
    </row>
    <row r="162">
      <c r="A162" t="inlineStr">
        <is>
          <t>Poland</t>
        </is>
      </c>
      <c r="B162" t="inlineStr">
        <is>
          <t>POL</t>
        </is>
      </c>
      <c r="C162" t="inlineStr">
        <is>
          <t>SPOL.L</t>
        </is>
      </c>
      <c r="D162" t="inlineStr">
        <is>
          <t>MAX</t>
        </is>
      </c>
      <c r="E162" s="1" t="n">
        <v>40567</v>
      </c>
      <c r="F162" s="1" t="n">
        <v>46083</v>
      </c>
      <c r="G162" t="n">
        <v>65.10217113665388</v>
      </c>
      <c r="H162" t="inlineStr">
        <is>
          <t>Poland|SPOL.L|MAX</t>
        </is>
      </c>
      <c r="I162" t="inlineStr">
        <is>
          <t>GBp</t>
        </is>
      </c>
    </row>
    <row r="163">
      <c r="A163" t="inlineStr">
        <is>
          <t>Saudi Arabia</t>
        </is>
      </c>
      <c r="B163" t="inlineStr">
        <is>
          <t>SAU</t>
        </is>
      </c>
      <c r="C163" t="inlineStr">
        <is>
          <t>IKSA.L</t>
        </is>
      </c>
      <c r="D163" t="inlineStr">
        <is>
          <t>YTD</t>
        </is>
      </c>
      <c r="E163" s="1" t="n">
        <v>46022</v>
      </c>
      <c r="F163" s="1" t="n">
        <v>46083</v>
      </c>
      <c r="G163" t="n">
        <v>1.492663611808753</v>
      </c>
      <c r="H163" t="inlineStr">
        <is>
          <t>Saudi Arabia|IKSA.L|YTD</t>
        </is>
      </c>
      <c r="I163" t="inlineStr">
        <is>
          <t>USD</t>
        </is>
      </c>
    </row>
    <row r="164">
      <c r="A164" t="inlineStr">
        <is>
          <t>Saudi Arabia</t>
        </is>
      </c>
      <c r="B164" t="inlineStr">
        <is>
          <t>SAU</t>
        </is>
      </c>
      <c r="C164" t="inlineStr">
        <is>
          <t>IKSA.L</t>
        </is>
      </c>
      <c r="D164" t="inlineStr">
        <is>
          <t>1 Month</t>
        </is>
      </c>
      <c r="E164" s="1" t="n">
        <v>46055</v>
      </c>
      <c r="F164" s="1" t="n">
        <v>46083</v>
      </c>
      <c r="G164" t="n">
        <v>-7.783302953767568</v>
      </c>
      <c r="H164" t="inlineStr">
        <is>
          <t>Saudi Arabia|IKSA.L|1 Month</t>
        </is>
      </c>
      <c r="I164" t="inlineStr">
        <is>
          <t>USD</t>
        </is>
      </c>
    </row>
    <row r="165">
      <c r="A165" t="inlineStr">
        <is>
          <t>Saudi Arabia</t>
        </is>
      </c>
      <c r="B165" t="inlineStr">
        <is>
          <t>SAU</t>
        </is>
      </c>
      <c r="C165" t="inlineStr">
        <is>
          <t>IKSA.L</t>
        </is>
      </c>
      <c r="D165" t="inlineStr">
        <is>
          <t>3 Months</t>
        </is>
      </c>
      <c r="E165" s="1" t="n">
        <v>45993</v>
      </c>
      <c r="F165" s="1" t="n">
        <v>46083</v>
      </c>
      <c r="G165" t="n">
        <v>1.73732828015416</v>
      </c>
      <c r="H165" t="inlineStr">
        <is>
          <t>Saudi Arabia|IKSA.L|3 Months</t>
        </is>
      </c>
      <c r="I165" t="inlineStr">
        <is>
          <t>USD</t>
        </is>
      </c>
    </row>
    <row r="166">
      <c r="A166" t="inlineStr">
        <is>
          <t>Saudi Arabia</t>
        </is>
      </c>
      <c r="B166" t="inlineStr">
        <is>
          <t>SAU</t>
        </is>
      </c>
      <c r="C166" t="inlineStr">
        <is>
          <t>IKSA.L</t>
        </is>
      </c>
      <c r="D166" t="inlineStr">
        <is>
          <t>6 Months</t>
        </is>
      </c>
      <c r="E166" s="1" t="n">
        <v>45902</v>
      </c>
      <c r="F166" s="1" t="n">
        <v>46083</v>
      </c>
      <c r="G166" t="n">
        <v>2.418414358009979</v>
      </c>
      <c r="H166" t="inlineStr">
        <is>
          <t>Saudi Arabia|IKSA.L|6 Months</t>
        </is>
      </c>
      <c r="I166" t="inlineStr">
        <is>
          <t>USD</t>
        </is>
      </c>
    </row>
    <row r="167">
      <c r="A167" t="inlineStr">
        <is>
          <t>Saudi Arabia</t>
        </is>
      </c>
      <c r="B167" t="inlineStr">
        <is>
          <t>SAU</t>
        </is>
      </c>
      <c r="C167" t="inlineStr">
        <is>
          <t>IKSA.L</t>
        </is>
      </c>
      <c r="D167" t="inlineStr">
        <is>
          <t>1 Year</t>
        </is>
      </c>
      <c r="E167" s="1" t="n">
        <v>45716</v>
      </c>
      <c r="F167" s="1" t="n">
        <v>46083</v>
      </c>
      <c r="G167" t="n">
        <v>-4.14316528159312</v>
      </c>
      <c r="H167" t="inlineStr">
        <is>
          <t>Saudi Arabia|IKSA.L|1 Year</t>
        </is>
      </c>
      <c r="I167" t="inlineStr">
        <is>
          <t>USD</t>
        </is>
      </c>
    </row>
    <row r="168">
      <c r="A168" t="inlineStr">
        <is>
          <t>Saudi Arabia</t>
        </is>
      </c>
      <c r="B168" t="inlineStr">
        <is>
          <t>SAU</t>
        </is>
      </c>
      <c r="C168" t="inlineStr">
        <is>
          <t>IKSA.L</t>
        </is>
      </c>
      <c r="D168" t="inlineStr">
        <is>
          <t>3 Years</t>
        </is>
      </c>
      <c r="E168" s="1" t="n">
        <v>44987</v>
      </c>
      <c r="F168" s="1" t="n">
        <v>46083</v>
      </c>
      <c r="G168" t="n">
        <v>9.130629994778804</v>
      </c>
      <c r="H168" t="inlineStr">
        <is>
          <t>Saudi Arabia|IKSA.L|3 Years</t>
        </is>
      </c>
      <c r="I168" t="inlineStr">
        <is>
          <t>USD</t>
        </is>
      </c>
    </row>
    <row r="169">
      <c r="A169" t="inlineStr">
        <is>
          <t>Saudi Arabia</t>
        </is>
      </c>
      <c r="B169" t="inlineStr">
        <is>
          <t>SAU</t>
        </is>
      </c>
      <c r="C169" t="inlineStr">
        <is>
          <t>IKSA.L</t>
        </is>
      </c>
      <c r="D169" t="inlineStr">
        <is>
          <t>5 Years</t>
        </is>
      </c>
      <c r="E169" s="1" t="n">
        <v>44257</v>
      </c>
      <c r="F169" s="1" t="n">
        <v>46083</v>
      </c>
      <c r="G169" t="n">
        <v>26.39678624644586</v>
      </c>
      <c r="H169" t="inlineStr">
        <is>
          <t>Saudi Arabia|IKSA.L|5 Years</t>
        </is>
      </c>
      <c r="I169" t="inlineStr">
        <is>
          <t>USD</t>
        </is>
      </c>
    </row>
    <row r="170">
      <c r="A170" t="inlineStr">
        <is>
          <t>Saudi Arabia</t>
        </is>
      </c>
      <c r="B170" t="inlineStr">
        <is>
          <t>SAU</t>
        </is>
      </c>
      <c r="C170" t="inlineStr">
        <is>
          <t>IKSA.L</t>
        </is>
      </c>
      <c r="D170" t="inlineStr">
        <is>
          <t>MAX</t>
        </is>
      </c>
      <c r="E170" s="1" t="n">
        <v>43566</v>
      </c>
      <c r="F170" s="1" t="n">
        <v>46083</v>
      </c>
      <c r="G170" t="n">
        <v>21.418654891564</v>
      </c>
      <c r="H170" t="inlineStr">
        <is>
          <t>Saudi Arabia|IKSA.L|MAX</t>
        </is>
      </c>
      <c r="I170" t="inlineStr">
        <is>
          <t>USD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YTD</t>
        </is>
      </c>
      <c r="E171" s="1" t="n">
        <v>46022</v>
      </c>
      <c r="F171" s="1" t="n">
        <v>46083</v>
      </c>
      <c r="G171" t="n">
        <v>15.98356103521048</v>
      </c>
      <c r="H171" t="inlineStr">
        <is>
          <t>South Africa|SRSA.L|YTD</t>
        </is>
      </c>
      <c r="I171" t="inlineStr">
        <is>
          <t>GBp</t>
        </is>
      </c>
    </row>
    <row r="172">
      <c r="A172" t="inlineStr">
        <is>
          <t>South Africa</t>
        </is>
      </c>
      <c r="B172" t="inlineStr">
        <is>
          <t>ZAF</t>
        </is>
      </c>
      <c r="C172" t="inlineStr">
        <is>
          <t>SRSA.L</t>
        </is>
      </c>
      <c r="D172" t="inlineStr">
        <is>
          <t>1 Month</t>
        </is>
      </c>
      <c r="E172" s="1" t="n">
        <v>46055</v>
      </c>
      <c r="F172" s="1" t="n">
        <v>46083</v>
      </c>
      <c r="G172" t="n">
        <v>11.75085616438356</v>
      </c>
      <c r="H172" t="inlineStr">
        <is>
          <t>South Africa|SRSA.L|1 Month</t>
        </is>
      </c>
      <c r="I172" t="inlineStr">
        <is>
          <t>GBp</t>
        </is>
      </c>
    </row>
    <row r="173">
      <c r="A173" t="inlineStr">
        <is>
          <t>South Africa</t>
        </is>
      </c>
      <c r="B173" t="inlineStr">
        <is>
          <t>ZAF</t>
        </is>
      </c>
      <c r="C173" t="inlineStr">
        <is>
          <t>SRSA.L</t>
        </is>
      </c>
      <c r="D173" t="inlineStr">
        <is>
          <t>3 Months</t>
        </is>
      </c>
      <c r="E173" s="1" t="n">
        <v>45993</v>
      </c>
      <c r="F173" s="1" t="n">
        <v>46083</v>
      </c>
      <c r="G173" t="n">
        <v>25.26391554702496</v>
      </c>
      <c r="H173" t="inlineStr">
        <is>
          <t>South Africa|SRSA.L|3 Months</t>
        </is>
      </c>
      <c r="I173" t="inlineStr">
        <is>
          <t>GBp</t>
        </is>
      </c>
    </row>
    <row r="174">
      <c r="A174" t="inlineStr">
        <is>
          <t>South Africa</t>
        </is>
      </c>
      <c r="B174" t="inlineStr">
        <is>
          <t>ZAF</t>
        </is>
      </c>
      <c r="C174" t="inlineStr">
        <is>
          <t>SRSA.L</t>
        </is>
      </c>
      <c r="D174" t="inlineStr">
        <is>
          <t>6 Months</t>
        </is>
      </c>
      <c r="E174" s="1" t="n">
        <v>45902</v>
      </c>
      <c r="F174" s="1" t="n">
        <v>46083</v>
      </c>
      <c r="G174" t="n">
        <v>47.94559365259281</v>
      </c>
      <c r="H174" t="inlineStr">
        <is>
          <t>South Africa|SRSA.L|6 Months</t>
        </is>
      </c>
      <c r="I174" t="inlineStr">
        <is>
          <t>GBp</t>
        </is>
      </c>
    </row>
    <row r="175">
      <c r="A175" t="inlineStr">
        <is>
          <t>South Africa</t>
        </is>
      </c>
      <c r="B175" t="inlineStr">
        <is>
          <t>ZAF</t>
        </is>
      </c>
      <c r="C175" t="inlineStr">
        <is>
          <t>SRSA.L</t>
        </is>
      </c>
      <c r="D175" t="inlineStr">
        <is>
          <t>1 Year</t>
        </is>
      </c>
      <c r="E175" s="1" t="n">
        <v>45716</v>
      </c>
      <c r="F175" s="1" t="n">
        <v>46083</v>
      </c>
      <c r="G175" t="n">
        <v>82.45675345098726</v>
      </c>
      <c r="H175" t="inlineStr">
        <is>
          <t>South Africa|SRSA.L|1 Year</t>
        </is>
      </c>
      <c r="I175" t="inlineStr">
        <is>
          <t>GBp</t>
        </is>
      </c>
    </row>
    <row r="176">
      <c r="A176" t="inlineStr">
        <is>
          <t>South Africa</t>
        </is>
      </c>
      <c r="B176" t="inlineStr">
        <is>
          <t>ZAF</t>
        </is>
      </c>
      <c r="C176" t="inlineStr">
        <is>
          <t>SRSA.L</t>
        </is>
      </c>
      <c r="D176" t="inlineStr">
        <is>
          <t>3 Years</t>
        </is>
      </c>
      <c r="E176" s="1" t="n">
        <v>44987</v>
      </c>
      <c r="F176" s="1" t="n">
        <v>46083</v>
      </c>
      <c r="G176" t="n">
        <v>104.0648817666602</v>
      </c>
      <c r="H176" t="inlineStr">
        <is>
          <t>South Africa|SRSA.L|3 Years</t>
        </is>
      </c>
      <c r="I176" t="inlineStr">
        <is>
          <t>GBp</t>
        </is>
      </c>
    </row>
    <row r="177">
      <c r="A177" t="inlineStr">
        <is>
          <t>South Africa</t>
        </is>
      </c>
      <c r="B177" t="inlineStr">
        <is>
          <t>ZAF</t>
        </is>
      </c>
      <c r="C177" t="inlineStr">
        <is>
          <t>SRSA.L</t>
        </is>
      </c>
      <c r="D177" t="inlineStr">
        <is>
          <t>5 Years</t>
        </is>
      </c>
      <c r="E177" s="1" t="n">
        <v>44257</v>
      </c>
      <c r="F177" s="1" t="n">
        <v>46083</v>
      </c>
      <c r="G177" t="n">
        <v>107.9665405297749</v>
      </c>
      <c r="H177" t="inlineStr">
        <is>
          <t>South Africa|SRSA.L|5 Years</t>
        </is>
      </c>
      <c r="I177" t="inlineStr">
        <is>
          <t>GBp</t>
        </is>
      </c>
    </row>
    <row r="178">
      <c r="A178" t="inlineStr">
        <is>
          <t>South Africa</t>
        </is>
      </c>
      <c r="B178" t="inlineStr">
        <is>
          <t>ZAF</t>
        </is>
      </c>
      <c r="C178" t="inlineStr">
        <is>
          <t>SRSA.L</t>
        </is>
      </c>
      <c r="D178" t="inlineStr">
        <is>
          <t>10 Years</t>
        </is>
      </c>
      <c r="E178" s="1" t="n">
        <v>42431</v>
      </c>
      <c r="F178" s="1" t="n">
        <v>46083</v>
      </c>
      <c r="G178" t="n">
        <v>188.174417000138</v>
      </c>
      <c r="H178" t="inlineStr">
        <is>
          <t>South Africa|SRSA.L|10 Years</t>
        </is>
      </c>
      <c r="I178" t="inlineStr">
        <is>
          <t>GBp</t>
        </is>
      </c>
    </row>
    <row r="179">
      <c r="A179" t="inlineStr">
        <is>
          <t>South Africa</t>
        </is>
      </c>
      <c r="B179" t="inlineStr">
        <is>
          <t>ZAF</t>
        </is>
      </c>
      <c r="C179" t="inlineStr">
        <is>
          <t>SRSA.L</t>
        </is>
      </c>
      <c r="D179" t="inlineStr">
        <is>
          <t>MAX</t>
        </is>
      </c>
      <c r="E179" s="1" t="n">
        <v>40203</v>
      </c>
      <c r="F179" s="1" t="n">
        <v>46083</v>
      </c>
      <c r="G179" t="n">
        <v>247.2587136536979</v>
      </c>
      <c r="H179" t="inlineStr">
        <is>
          <t>South Africa|SRSA.L|MAX</t>
        </is>
      </c>
      <c r="I179" t="inlineStr">
        <is>
          <t>GBp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YTD</t>
        </is>
      </c>
      <c r="E180" s="1" t="n">
        <v>46022</v>
      </c>
      <c r="F180" s="1" t="n">
        <v>46083</v>
      </c>
      <c r="G180" t="n">
        <v>48.39900559493653</v>
      </c>
      <c r="H180" t="inlineStr">
        <is>
          <t>South Korea|CSKR.L|YTD</t>
        </is>
      </c>
      <c r="I180" t="inlineStr">
        <is>
          <t>USD</t>
        </is>
      </c>
    </row>
    <row r="181">
      <c r="A181" t="inlineStr">
        <is>
          <t>South Korea</t>
        </is>
      </c>
      <c r="B181" t="inlineStr">
        <is>
          <t>KOR</t>
        </is>
      </c>
      <c r="C181" t="inlineStr">
        <is>
          <t>CSKR.L</t>
        </is>
      </c>
      <c r="D181" t="inlineStr">
        <is>
          <t>1 Month</t>
        </is>
      </c>
      <c r="E181" s="1" t="n">
        <v>46055</v>
      </c>
      <c r="F181" s="1" t="n">
        <v>46083</v>
      </c>
      <c r="G181" t="n">
        <v>19.78251008607568</v>
      </c>
      <c r="H181" t="inlineStr">
        <is>
          <t>South Korea|CSKR.L|1 Month</t>
        </is>
      </c>
      <c r="I181" t="inlineStr">
        <is>
          <t>USD</t>
        </is>
      </c>
    </row>
    <row r="182">
      <c r="A182" t="inlineStr">
        <is>
          <t>South Korea</t>
        </is>
      </c>
      <c r="B182" t="inlineStr">
        <is>
          <t>KOR</t>
        </is>
      </c>
      <c r="C182" t="inlineStr">
        <is>
          <t>CSKR.L</t>
        </is>
      </c>
      <c r="D182" t="inlineStr">
        <is>
          <t>3 Months</t>
        </is>
      </c>
      <c r="E182" s="1" t="n">
        <v>45993</v>
      </c>
      <c r="F182" s="1" t="n">
        <v>46083</v>
      </c>
      <c r="G182" t="n">
        <v>63.56793441874353</v>
      </c>
      <c r="H182" t="inlineStr">
        <is>
          <t>South Korea|CSKR.L|3 Months</t>
        </is>
      </c>
      <c r="I182" t="inlineStr">
        <is>
          <t>USD</t>
        </is>
      </c>
    </row>
    <row r="183">
      <c r="A183" t="inlineStr">
        <is>
          <t>South Korea</t>
        </is>
      </c>
      <c r="B183" t="inlineStr">
        <is>
          <t>KOR</t>
        </is>
      </c>
      <c r="C183" t="inlineStr">
        <is>
          <t>CSKR.L</t>
        </is>
      </c>
      <c r="D183" t="inlineStr">
        <is>
          <t>6 Months</t>
        </is>
      </c>
      <c r="E183" s="1" t="n">
        <v>45902</v>
      </c>
      <c r="F183" s="1" t="n">
        <v>46083</v>
      </c>
      <c r="G183" t="n">
        <v>111.0720268852051</v>
      </c>
      <c r="H183" t="inlineStr">
        <is>
          <t>South Korea|CSKR.L|6 Months</t>
        </is>
      </c>
      <c r="I183" t="inlineStr">
        <is>
          <t>USD</t>
        </is>
      </c>
    </row>
    <row r="184">
      <c r="A184" t="inlineStr">
        <is>
          <t>South Korea</t>
        </is>
      </c>
      <c r="B184" t="inlineStr">
        <is>
          <t>KOR</t>
        </is>
      </c>
      <c r="C184" t="inlineStr">
        <is>
          <t>CSKR.L</t>
        </is>
      </c>
      <c r="D184" t="inlineStr">
        <is>
          <t>1 Year</t>
        </is>
      </c>
      <c r="E184" s="1" t="n">
        <v>45716</v>
      </c>
      <c r="F184" s="1" t="n">
        <v>46083</v>
      </c>
      <c r="G184" t="n">
        <v>178.6112804123686</v>
      </c>
      <c r="H184" t="inlineStr">
        <is>
          <t>South Korea|CSKR.L|1 Year</t>
        </is>
      </c>
      <c r="I184" t="inlineStr">
        <is>
          <t>USD</t>
        </is>
      </c>
    </row>
    <row r="185">
      <c r="A185" t="inlineStr">
        <is>
          <t>South Korea</t>
        </is>
      </c>
      <c r="B185" t="inlineStr">
        <is>
          <t>KOR</t>
        </is>
      </c>
      <c r="C185" t="inlineStr">
        <is>
          <t>CSKR.L</t>
        </is>
      </c>
      <c r="D185" t="inlineStr">
        <is>
          <t>3 Years</t>
        </is>
      </c>
      <c r="E185" s="1" t="n">
        <v>44987</v>
      </c>
      <c r="F185" s="1" t="n">
        <v>46083</v>
      </c>
      <c r="G185" t="n">
        <v>163.5702146903914</v>
      </c>
      <c r="H185" t="inlineStr">
        <is>
          <t>South Korea|CSKR.L|3 Years</t>
        </is>
      </c>
      <c r="I185" t="inlineStr">
        <is>
          <t>USD</t>
        </is>
      </c>
    </row>
    <row r="186">
      <c r="A186" t="inlineStr">
        <is>
          <t>South Korea</t>
        </is>
      </c>
      <c r="B186" t="inlineStr">
        <is>
          <t>KOR</t>
        </is>
      </c>
      <c r="C186" t="inlineStr">
        <is>
          <t>CSKR.L</t>
        </is>
      </c>
      <c r="D186" t="inlineStr">
        <is>
          <t>5 Years</t>
        </is>
      </c>
      <c r="E186" s="1" t="n">
        <v>44257</v>
      </c>
      <c r="F186" s="1" t="n">
        <v>46083</v>
      </c>
      <c r="G186" t="n">
        <v>75.08981504320906</v>
      </c>
      <c r="H186" t="inlineStr">
        <is>
          <t>South Korea|CSKR.L|5 Years</t>
        </is>
      </c>
      <c r="I186" t="inlineStr">
        <is>
          <t>USD</t>
        </is>
      </c>
    </row>
    <row r="187">
      <c r="A187" t="inlineStr">
        <is>
          <t>South Korea</t>
        </is>
      </c>
      <c r="B187" t="inlineStr">
        <is>
          <t>KOR</t>
        </is>
      </c>
      <c r="C187" t="inlineStr">
        <is>
          <t>CSKR.L</t>
        </is>
      </c>
      <c r="D187" t="inlineStr">
        <is>
          <t>10 Years</t>
        </is>
      </c>
      <c r="E187" s="1" t="n">
        <v>42431</v>
      </c>
      <c r="F187" s="1" t="n">
        <v>46083</v>
      </c>
      <c r="G187" t="n">
        <v>277.5294402777717</v>
      </c>
      <c r="H187" t="inlineStr">
        <is>
          <t>South Korea|CSKR.L|10 Years</t>
        </is>
      </c>
      <c r="I187" t="inlineStr">
        <is>
          <t>USD</t>
        </is>
      </c>
    </row>
    <row r="188">
      <c r="A188" t="inlineStr">
        <is>
          <t>South Korea</t>
        </is>
      </c>
      <c r="B188" t="inlineStr">
        <is>
          <t>KOR</t>
        </is>
      </c>
      <c r="C188" t="inlineStr">
        <is>
          <t>CSKR.L</t>
        </is>
      </c>
      <c r="D188" t="inlineStr">
        <is>
          <t>MAX</t>
        </is>
      </c>
      <c r="E188" s="1" t="n">
        <v>40441</v>
      </c>
      <c r="F188" s="1" t="n">
        <v>46083</v>
      </c>
      <c r="G188" t="n">
        <v>273.3054774237212</v>
      </c>
      <c r="H188" t="inlineStr">
        <is>
          <t>South Korea|CSKR.L|MAX</t>
        </is>
      </c>
      <c r="I188" t="inlineStr">
        <is>
          <t>USD</t>
        </is>
      </c>
    </row>
    <row r="189">
      <c r="A189" t="inlineStr">
        <is>
          <t>South Korea</t>
        </is>
      </c>
      <c r="B189" t="inlineStr">
        <is>
          <t>KOR</t>
        </is>
      </c>
      <c r="C189" t="inlineStr">
        <is>
          <t>FLRK.L</t>
        </is>
      </c>
      <c r="D189" t="inlineStr">
        <is>
          <t>YTD</t>
        </is>
      </c>
      <c r="E189" s="1" t="n">
        <v>46022</v>
      </c>
      <c r="F189" s="1" t="n">
        <v>46083</v>
      </c>
      <c r="G189" t="n">
        <v>49.57275003415275</v>
      </c>
      <c r="H189" t="inlineStr">
        <is>
          <t>South Korea|FLRK.L|YTD</t>
        </is>
      </c>
      <c r="I189" t="inlineStr">
        <is>
          <t>GBP</t>
        </is>
      </c>
    </row>
    <row r="190">
      <c r="A190" t="inlineStr">
        <is>
          <t>South Korea</t>
        </is>
      </c>
      <c r="B190" t="inlineStr">
        <is>
          <t>KOR</t>
        </is>
      </c>
      <c r="C190" t="inlineStr">
        <is>
          <t>FLRK.L</t>
        </is>
      </c>
      <c r="D190" t="inlineStr">
        <is>
          <t>1 Month</t>
        </is>
      </c>
      <c r="E190" s="1" t="n">
        <v>46055</v>
      </c>
      <c r="F190" s="1" t="n">
        <v>46083</v>
      </c>
      <c r="G190" t="n">
        <v>23.29688329777841</v>
      </c>
      <c r="H190" t="inlineStr">
        <is>
          <t>South Korea|FLRK.L|1 Month</t>
        </is>
      </c>
      <c r="I190" t="inlineStr">
        <is>
          <t>GBP</t>
        </is>
      </c>
    </row>
    <row r="191">
      <c r="A191" t="inlineStr">
        <is>
          <t>South Korea</t>
        </is>
      </c>
      <c r="B191" t="inlineStr">
        <is>
          <t>KOR</t>
        </is>
      </c>
      <c r="C191" t="inlineStr">
        <is>
          <t>FLRK.L</t>
        </is>
      </c>
      <c r="D191" t="inlineStr">
        <is>
          <t>3 Months</t>
        </is>
      </c>
      <c r="E191" s="1" t="n">
        <v>45993</v>
      </c>
      <c r="F191" s="1" t="n">
        <v>46083</v>
      </c>
      <c r="G191" t="n">
        <v>61.07677889278313</v>
      </c>
      <c r="H191" t="inlineStr">
        <is>
          <t>South Korea|FLRK.L|3 Months</t>
        </is>
      </c>
      <c r="I191" t="inlineStr">
        <is>
          <t>GBP</t>
        </is>
      </c>
    </row>
    <row r="192">
      <c r="A192" t="inlineStr">
        <is>
          <t>South Korea</t>
        </is>
      </c>
      <c r="B192" t="inlineStr">
        <is>
          <t>KOR</t>
        </is>
      </c>
      <c r="C192" t="inlineStr">
        <is>
          <t>FLRK.L</t>
        </is>
      </c>
      <c r="D192" t="inlineStr">
        <is>
          <t>6 Months</t>
        </is>
      </c>
      <c r="E192" s="1" t="n">
        <v>45902</v>
      </c>
      <c r="F192" s="1" t="n">
        <v>46083</v>
      </c>
      <c r="G192" t="n">
        <v>108.534842245926</v>
      </c>
      <c r="H192" t="inlineStr">
        <is>
          <t>South Korea|FLRK.L|6 Months</t>
        </is>
      </c>
      <c r="I192" t="inlineStr">
        <is>
          <t>GBP</t>
        </is>
      </c>
    </row>
    <row r="193">
      <c r="A193" t="inlineStr">
        <is>
          <t>South Korea</t>
        </is>
      </c>
      <c r="B193" t="inlineStr">
        <is>
          <t>KOR</t>
        </is>
      </c>
      <c r="C193" t="inlineStr">
        <is>
          <t>FLRK.L</t>
        </is>
      </c>
      <c r="D193" t="inlineStr">
        <is>
          <t>1 Year</t>
        </is>
      </c>
      <c r="E193" s="1" t="n">
        <v>45716</v>
      </c>
      <c r="F193" s="1" t="n">
        <v>46083</v>
      </c>
      <c r="G193" t="n">
        <v>157.2776157392647</v>
      </c>
      <c r="H193" t="inlineStr">
        <is>
          <t>South Korea|FLRK.L|1 Year</t>
        </is>
      </c>
      <c r="I193" t="inlineStr">
        <is>
          <t>GBP</t>
        </is>
      </c>
    </row>
    <row r="194">
      <c r="A194" t="inlineStr">
        <is>
          <t>South Korea</t>
        </is>
      </c>
      <c r="B194" t="inlineStr">
        <is>
          <t>KOR</t>
        </is>
      </c>
      <c r="C194" t="inlineStr">
        <is>
          <t>FLRK.L</t>
        </is>
      </c>
      <c r="D194" t="inlineStr">
        <is>
          <t>3 Years</t>
        </is>
      </c>
      <c r="E194" s="1" t="n">
        <v>44987</v>
      </c>
      <c r="F194" s="1" t="n">
        <v>46083</v>
      </c>
      <c r="G194" t="n">
        <v>135.8097865487648</v>
      </c>
      <c r="H194" t="inlineStr">
        <is>
          <t>South Korea|FLRK.L|3 Years</t>
        </is>
      </c>
      <c r="I194" t="inlineStr">
        <is>
          <t>GBP</t>
        </is>
      </c>
    </row>
    <row r="195">
      <c r="A195" t="inlineStr">
        <is>
          <t>South Korea</t>
        </is>
      </c>
      <c r="B195" t="inlineStr">
        <is>
          <t>KOR</t>
        </is>
      </c>
      <c r="C195" t="inlineStr">
        <is>
          <t>FLRK.L</t>
        </is>
      </c>
      <c r="D195" t="inlineStr">
        <is>
          <t>5 Years</t>
        </is>
      </c>
      <c r="E195" s="1" t="n">
        <v>44257</v>
      </c>
      <c r="F195" s="1" t="n">
        <v>46083</v>
      </c>
      <c r="G195" t="n">
        <v>86.67727394359299</v>
      </c>
      <c r="H195" t="inlineStr">
        <is>
          <t>South Korea|FLRK.L|5 Years</t>
        </is>
      </c>
      <c r="I195" t="inlineStr">
        <is>
          <t>GBP</t>
        </is>
      </c>
    </row>
    <row r="196">
      <c r="A196" t="inlineStr">
        <is>
          <t>South Korea</t>
        </is>
      </c>
      <c r="B196" t="inlineStr">
        <is>
          <t>KOR</t>
        </is>
      </c>
      <c r="C196" t="inlineStr">
        <is>
          <t>FLRK.L</t>
        </is>
      </c>
      <c r="D196" t="inlineStr">
        <is>
          <t>MAX</t>
        </is>
      </c>
      <c r="E196" s="1" t="n">
        <v>43621</v>
      </c>
      <c r="F196" s="1" t="n">
        <v>46083</v>
      </c>
      <c r="G196" t="n">
        <v>128.3489045669116</v>
      </c>
      <c r="H196" t="inlineStr">
        <is>
          <t>South Korea|FLRK.L|MAX</t>
        </is>
      </c>
      <c r="I196" t="inlineStr">
        <is>
          <t>GBP</t>
        </is>
      </c>
    </row>
    <row r="197">
      <c r="A197" t="inlineStr">
        <is>
          <t>Spain</t>
        </is>
      </c>
      <c r="B197" t="inlineStr">
        <is>
          <t>ESP</t>
        </is>
      </c>
      <c r="C197" t="inlineStr">
        <is>
          <t>CS1.L</t>
        </is>
      </c>
      <c r="D197" t="inlineStr">
        <is>
          <t>YTD</t>
        </is>
      </c>
      <c r="E197" s="1" t="n">
        <v>46022</v>
      </c>
      <c r="F197" s="1" t="n">
        <v>46083</v>
      </c>
      <c r="G197" t="n">
        <v>3.643142128327548</v>
      </c>
      <c r="H197" t="inlineStr">
        <is>
          <t>Spain|CS1.L|YTD</t>
        </is>
      </c>
      <c r="I197" t="inlineStr">
        <is>
          <t>GBp</t>
        </is>
      </c>
    </row>
    <row r="198">
      <c r="A198" t="inlineStr">
        <is>
          <t>Spain</t>
        </is>
      </c>
      <c r="B198" t="inlineStr">
        <is>
          <t>ESP</t>
        </is>
      </c>
      <c r="C198" t="inlineStr">
        <is>
          <t>CS1.L</t>
        </is>
      </c>
      <c r="D198" t="inlineStr">
        <is>
          <t>1 Month</t>
        </is>
      </c>
      <c r="E198" s="1" t="n">
        <v>46055</v>
      </c>
      <c r="F198" s="1" t="n">
        <v>46083</v>
      </c>
      <c r="G198" t="n">
        <v>-0.2831791580139686</v>
      </c>
      <c r="H198" t="inlineStr">
        <is>
          <t>Spain|CS1.L|1 Month</t>
        </is>
      </c>
      <c r="I198" t="inlineStr">
        <is>
          <t>GBp</t>
        </is>
      </c>
    </row>
    <row r="199">
      <c r="A199" t="inlineStr">
        <is>
          <t>Spain</t>
        </is>
      </c>
      <c r="B199" t="inlineStr">
        <is>
          <t>ESP</t>
        </is>
      </c>
      <c r="C199" t="inlineStr">
        <is>
          <t>CS1.L</t>
        </is>
      </c>
      <c r="D199" t="inlineStr">
        <is>
          <t>3 Months</t>
        </is>
      </c>
      <c r="E199" s="1" t="n">
        <v>45993</v>
      </c>
      <c r="F199" s="1" t="n">
        <v>46083</v>
      </c>
      <c r="G199" t="n">
        <v>8.259889321582282</v>
      </c>
      <c r="H199" t="inlineStr">
        <is>
          <t>Spain|CS1.L|3 Months</t>
        </is>
      </c>
      <c r="I199" t="inlineStr">
        <is>
          <t>GBp</t>
        </is>
      </c>
    </row>
    <row r="200">
      <c r="A200" t="inlineStr">
        <is>
          <t>Spain</t>
        </is>
      </c>
      <c r="B200" t="inlineStr">
        <is>
          <t>ESP</t>
        </is>
      </c>
      <c r="C200" t="inlineStr">
        <is>
          <t>CS1.L</t>
        </is>
      </c>
      <c r="D200" t="inlineStr">
        <is>
          <t>6 Months</t>
        </is>
      </c>
      <c r="E200" s="1" t="n">
        <v>45902</v>
      </c>
      <c r="F200" s="1" t="n">
        <v>46083</v>
      </c>
      <c r="G200" t="n">
        <v>23.26721120186697</v>
      </c>
      <c r="H200" t="inlineStr">
        <is>
          <t>Spain|CS1.L|6 Months</t>
        </is>
      </c>
      <c r="I200" t="inlineStr">
        <is>
          <t>GBp</t>
        </is>
      </c>
    </row>
    <row r="201">
      <c r="A201" t="inlineStr">
        <is>
          <t>Spain</t>
        </is>
      </c>
      <c r="B201" t="inlineStr">
        <is>
          <t>ESP</t>
        </is>
      </c>
      <c r="C201" t="inlineStr">
        <is>
          <t>CS1.L</t>
        </is>
      </c>
      <c r="D201" t="inlineStr">
        <is>
          <t>1 Year</t>
        </is>
      </c>
      <c r="E201" s="1" t="n">
        <v>45716</v>
      </c>
      <c r="F201" s="1" t="n">
        <v>46083</v>
      </c>
      <c r="G201" t="n">
        <v>46.69505647102388</v>
      </c>
      <c r="H201" t="inlineStr">
        <is>
          <t>Spain|CS1.L|1 Year</t>
        </is>
      </c>
      <c r="I201" t="inlineStr">
        <is>
          <t>GBp</t>
        </is>
      </c>
    </row>
    <row r="202">
      <c r="A202" t="inlineStr">
        <is>
          <t>Spain</t>
        </is>
      </c>
      <c r="B202" t="inlineStr">
        <is>
          <t>ESP</t>
        </is>
      </c>
      <c r="C202" t="inlineStr">
        <is>
          <t>CS1.L</t>
        </is>
      </c>
      <c r="D202" t="inlineStr">
        <is>
          <t>MAX</t>
        </is>
      </c>
      <c r="E202" s="1" t="n">
        <v>45391</v>
      </c>
      <c r="F202" s="1" t="n">
        <v>46083</v>
      </c>
      <c r="G202" t="n">
        <v>80.64295485636113</v>
      </c>
      <c r="H202" t="inlineStr">
        <is>
          <t>Spain|CS1.L|MAX</t>
        </is>
      </c>
      <c r="I202" t="inlineStr">
        <is>
          <t>GBp</t>
        </is>
      </c>
    </row>
    <row r="203">
      <c r="A203" t="inlineStr">
        <is>
          <t>Sweden</t>
        </is>
      </c>
      <c r="B203" t="inlineStr">
        <is>
          <t>SWE</t>
        </is>
      </c>
      <c r="C203" t="inlineStr">
        <is>
          <t>OMXS.L</t>
        </is>
      </c>
      <c r="D203" t="inlineStr">
        <is>
          <t>YTD</t>
        </is>
      </c>
      <c r="E203" s="1" t="n">
        <v>46022</v>
      </c>
      <c r="F203" s="1" t="n">
        <v>46083</v>
      </c>
      <c r="G203" t="n">
        <v>8.815958815958824</v>
      </c>
      <c r="H203" t="inlineStr">
        <is>
          <t>Sweden|OMXS.L|YTD</t>
        </is>
      </c>
      <c r="I203" t="inlineStr">
        <is>
          <t>GBp</t>
        </is>
      </c>
    </row>
    <row r="204">
      <c r="A204" t="inlineStr">
        <is>
          <t>Sweden</t>
        </is>
      </c>
      <c r="B204" t="inlineStr">
        <is>
          <t>SWE</t>
        </is>
      </c>
      <c r="C204" t="inlineStr">
        <is>
          <t>OMXS.L</t>
        </is>
      </c>
      <c r="D204" t="inlineStr">
        <is>
          <t>1 Month</t>
        </is>
      </c>
      <c r="E204" s="1" t="n">
        <v>46055</v>
      </c>
      <c r="F204" s="1" t="n">
        <v>46083</v>
      </c>
      <c r="G204" t="n">
        <v>2.500378845279605</v>
      </c>
      <c r="H204" t="inlineStr">
        <is>
          <t>Sweden|OMXS.L|1 Month</t>
        </is>
      </c>
      <c r="I204" t="inlineStr">
        <is>
          <t>GBp</t>
        </is>
      </c>
    </row>
    <row r="205">
      <c r="A205" t="inlineStr">
        <is>
          <t>Sweden</t>
        </is>
      </c>
      <c r="B205" t="inlineStr">
        <is>
          <t>SWE</t>
        </is>
      </c>
      <c r="C205" t="inlineStr">
        <is>
          <t>OMXS.L</t>
        </is>
      </c>
      <c r="D205" t="inlineStr">
        <is>
          <t>3 Months</t>
        </is>
      </c>
      <c r="E205" s="1" t="n">
        <v>45993</v>
      </c>
      <c r="F205" s="1" t="n">
        <v>46083</v>
      </c>
      <c r="G205" t="n">
        <v>12.60196437489596</v>
      </c>
      <c r="H205" t="inlineStr">
        <is>
          <t>Sweden|OMXS.L|3 Months</t>
        </is>
      </c>
      <c r="I205" t="inlineStr">
        <is>
          <t>GBp</t>
        </is>
      </c>
    </row>
    <row r="206">
      <c r="A206" t="inlineStr">
        <is>
          <t>Sweden</t>
        </is>
      </c>
      <c r="B206" t="inlineStr">
        <is>
          <t>SWE</t>
        </is>
      </c>
      <c r="C206" t="inlineStr">
        <is>
          <t>OMXS.L</t>
        </is>
      </c>
      <c r="D206" t="inlineStr">
        <is>
          <t>6 Months</t>
        </is>
      </c>
      <c r="E206" s="1" t="n">
        <v>45902</v>
      </c>
      <c r="F206" s="1" t="n">
        <v>46083</v>
      </c>
      <c r="G206" t="n">
        <v>22.24832821254292</v>
      </c>
      <c r="H206" t="inlineStr">
        <is>
          <t>Sweden|OMXS.L|6 Months</t>
        </is>
      </c>
      <c r="I206" t="inlineStr">
        <is>
          <t>GBp</t>
        </is>
      </c>
    </row>
    <row r="207">
      <c r="A207" t="inlineStr">
        <is>
          <t>Sweden</t>
        </is>
      </c>
      <c r="B207" t="inlineStr">
        <is>
          <t>SWE</t>
        </is>
      </c>
      <c r="C207" t="inlineStr">
        <is>
          <t>OMXS.L</t>
        </is>
      </c>
      <c r="D207" t="inlineStr">
        <is>
          <t>1 Year</t>
        </is>
      </c>
      <c r="E207" s="1" t="n">
        <v>45716</v>
      </c>
      <c r="F207" s="1" t="n">
        <v>46083</v>
      </c>
      <c r="G207" t="n">
        <v>23.67891753519839</v>
      </c>
      <c r="H207" t="inlineStr">
        <is>
          <t>Sweden|OMXS.L|1 Year</t>
        </is>
      </c>
      <c r="I207" t="inlineStr">
        <is>
          <t>GBp</t>
        </is>
      </c>
    </row>
    <row r="208">
      <c r="A208" t="inlineStr">
        <is>
          <t>Sweden</t>
        </is>
      </c>
      <c r="B208" t="inlineStr">
        <is>
          <t>SWE</t>
        </is>
      </c>
      <c r="C208" t="inlineStr">
        <is>
          <t>OMXS.L</t>
        </is>
      </c>
      <c r="D208" t="inlineStr">
        <is>
          <t>3 Years</t>
        </is>
      </c>
      <c r="E208" s="1" t="n">
        <v>44987</v>
      </c>
      <c r="F208" s="1" t="n">
        <v>46083</v>
      </c>
      <c r="G208" t="n">
        <v>47.39594682937458</v>
      </c>
      <c r="H208" t="inlineStr">
        <is>
          <t>Sweden|OMXS.L|3 Years</t>
        </is>
      </c>
      <c r="I208" t="inlineStr">
        <is>
          <t>GBp</t>
        </is>
      </c>
    </row>
    <row r="209">
      <c r="A209" t="inlineStr">
        <is>
          <t>Sweden</t>
        </is>
      </c>
      <c r="B209" t="inlineStr">
        <is>
          <t>SWE</t>
        </is>
      </c>
      <c r="C209" t="inlineStr">
        <is>
          <t>OMXS.L</t>
        </is>
      </c>
      <c r="D209" t="inlineStr">
        <is>
          <t>5 Years</t>
        </is>
      </c>
      <c r="E209" s="1" t="n">
        <v>44257</v>
      </c>
      <c r="F209" s="1" t="n">
        <v>46083</v>
      </c>
      <c r="G209" t="n">
        <v>48.00875273522976</v>
      </c>
      <c r="H209" t="inlineStr">
        <is>
          <t>Sweden|OMXS.L|5 Years</t>
        </is>
      </c>
      <c r="I209" t="inlineStr">
        <is>
          <t>GBp</t>
        </is>
      </c>
    </row>
    <row r="210">
      <c r="A210" t="inlineStr">
        <is>
          <t>Sweden</t>
        </is>
      </c>
      <c r="B210" t="inlineStr">
        <is>
          <t>SWE</t>
        </is>
      </c>
      <c r="C210" t="inlineStr">
        <is>
          <t>OMXS.L</t>
        </is>
      </c>
      <c r="D210" t="inlineStr">
        <is>
          <t>MAX</t>
        </is>
      </c>
      <c r="E210" s="1" t="n">
        <v>42724</v>
      </c>
      <c r="F210" s="1" t="n">
        <v>46083</v>
      </c>
      <c r="G210" t="n">
        <v>145.3569312317474</v>
      </c>
      <c r="H210" t="inlineStr">
        <is>
          <t>Sweden|OMXS.L|MAX</t>
        </is>
      </c>
      <c r="I210" t="inlineStr">
        <is>
          <t>GBp</t>
        </is>
      </c>
    </row>
    <row r="211">
      <c r="A211" t="inlineStr">
        <is>
          <t>Taiwan</t>
        </is>
      </c>
      <c r="B211" t="inlineStr">
        <is>
          <t>TWN</t>
        </is>
      </c>
      <c r="C211" t="inlineStr">
        <is>
          <t>FRXT.L</t>
        </is>
      </c>
      <c r="D211" t="inlineStr">
        <is>
          <t>YTD</t>
        </is>
      </c>
      <c r="E211" s="1" t="n">
        <v>46022</v>
      </c>
      <c r="F211" s="1" t="n">
        <v>46083</v>
      </c>
      <c r="G211" t="n">
        <v>20.2517633801619</v>
      </c>
      <c r="H211" t="inlineStr">
        <is>
          <t>Taiwan|FRXT.L|YTD</t>
        </is>
      </c>
      <c r="I211" t="inlineStr">
        <is>
          <t>GBP</t>
        </is>
      </c>
    </row>
    <row r="212">
      <c r="A212" t="inlineStr">
        <is>
          <t>Taiwan</t>
        </is>
      </c>
      <c r="B212" t="inlineStr">
        <is>
          <t>TWN</t>
        </is>
      </c>
      <c r="C212" t="inlineStr">
        <is>
          <t>FRXT.L</t>
        </is>
      </c>
      <c r="D212" t="inlineStr">
        <is>
          <t>1 Month</t>
        </is>
      </c>
      <c r="E212" s="1" t="n">
        <v>46055</v>
      </c>
      <c r="F212" s="1" t="n">
        <v>46083</v>
      </c>
      <c r="G212" t="n">
        <v>11.0550520178875</v>
      </c>
      <c r="H212" t="inlineStr">
        <is>
          <t>Taiwan|FRXT.L|1 Month</t>
        </is>
      </c>
      <c r="I212" t="inlineStr">
        <is>
          <t>GBP</t>
        </is>
      </c>
    </row>
    <row r="213">
      <c r="A213" t="inlineStr">
        <is>
          <t>Taiwan</t>
        </is>
      </c>
      <c r="B213" t="inlineStr">
        <is>
          <t>TWN</t>
        </is>
      </c>
      <c r="C213" t="inlineStr">
        <is>
          <t>FRXT.L</t>
        </is>
      </c>
      <c r="D213" t="inlineStr">
        <is>
          <t>3 Months</t>
        </is>
      </c>
      <c r="E213" s="1" t="n">
        <v>45993</v>
      </c>
      <c r="F213" s="1" t="n">
        <v>46083</v>
      </c>
      <c r="G213" t="n">
        <v>23.27733180609213</v>
      </c>
      <c r="H213" t="inlineStr">
        <is>
          <t>Taiwan|FRXT.L|3 Months</t>
        </is>
      </c>
      <c r="I213" t="inlineStr">
        <is>
          <t>GBP</t>
        </is>
      </c>
    </row>
    <row r="214">
      <c r="A214" t="inlineStr">
        <is>
          <t>Taiwan</t>
        </is>
      </c>
      <c r="B214" t="inlineStr">
        <is>
          <t>TWN</t>
        </is>
      </c>
      <c r="C214" t="inlineStr">
        <is>
          <t>FRXT.L</t>
        </is>
      </c>
      <c r="D214" t="inlineStr">
        <is>
          <t>6 Months</t>
        </is>
      </c>
      <c r="E214" s="1" t="n">
        <v>45902</v>
      </c>
      <c r="F214" s="1" t="n">
        <v>46083</v>
      </c>
      <c r="G214" t="n">
        <v>42.94183731985824</v>
      </c>
      <c r="H214" t="inlineStr">
        <is>
          <t>Taiwan|FRXT.L|6 Months</t>
        </is>
      </c>
      <c r="I214" t="inlineStr">
        <is>
          <t>GBP</t>
        </is>
      </c>
    </row>
    <row r="215">
      <c r="A215" t="inlineStr">
        <is>
          <t>Taiwan</t>
        </is>
      </c>
      <c r="B215" t="inlineStr">
        <is>
          <t>TWN</t>
        </is>
      </c>
      <c r="C215" t="inlineStr">
        <is>
          <t>FRXT.L</t>
        </is>
      </c>
      <c r="D215" t="inlineStr">
        <is>
          <t>1 Year</t>
        </is>
      </c>
      <c r="E215" s="1" t="n">
        <v>45716</v>
      </c>
      <c r="F215" s="1" t="n">
        <v>46083</v>
      </c>
      <c r="G215" t="n">
        <v>56.04068738856491</v>
      </c>
      <c r="H215" t="inlineStr">
        <is>
          <t>Taiwan|FRXT.L|1 Year</t>
        </is>
      </c>
      <c r="I215" t="inlineStr">
        <is>
          <t>GBP</t>
        </is>
      </c>
    </row>
    <row r="216">
      <c r="A216" t="inlineStr">
        <is>
          <t>Taiwan</t>
        </is>
      </c>
      <c r="B216" t="inlineStr">
        <is>
          <t>TWN</t>
        </is>
      </c>
      <c r="C216" t="inlineStr">
        <is>
          <t>FRXT.L</t>
        </is>
      </c>
      <c r="D216" t="inlineStr">
        <is>
          <t>3 Years</t>
        </is>
      </c>
      <c r="E216" s="1" t="n">
        <v>44987</v>
      </c>
      <c r="F216" s="1" t="n">
        <v>46083</v>
      </c>
      <c r="G216" t="n">
        <v>107.965924908401</v>
      </c>
      <c r="H216" t="inlineStr">
        <is>
          <t>Taiwan|FRXT.L|3 Years</t>
        </is>
      </c>
      <c r="I216" t="inlineStr">
        <is>
          <t>GBP</t>
        </is>
      </c>
    </row>
    <row r="217">
      <c r="A217" t="inlineStr">
        <is>
          <t>Taiwan</t>
        </is>
      </c>
      <c r="B217" t="inlineStr">
        <is>
          <t>TWN</t>
        </is>
      </c>
      <c r="C217" t="inlineStr">
        <is>
          <t>FRXT.L</t>
        </is>
      </c>
      <c r="D217" t="inlineStr">
        <is>
          <t>MAX</t>
        </is>
      </c>
      <c r="E217" s="1" t="n">
        <v>44642</v>
      </c>
      <c r="F217" s="1" t="n">
        <v>46083</v>
      </c>
      <c r="G217" t="n">
        <v>48.85338889342898</v>
      </c>
      <c r="H217" t="inlineStr">
        <is>
          <t>Taiwan|FRXT.L|MAX</t>
        </is>
      </c>
      <c r="I217" t="inlineStr">
        <is>
          <t>GBP</t>
        </is>
      </c>
    </row>
    <row r="218">
      <c r="A218" t="inlineStr">
        <is>
          <t>Taiwan</t>
        </is>
      </c>
      <c r="B218" t="inlineStr">
        <is>
          <t>TWN</t>
        </is>
      </c>
      <c r="C218" t="inlineStr">
        <is>
          <t>XMTW.L</t>
        </is>
      </c>
      <c r="D218" t="inlineStr">
        <is>
          <t>YTD</t>
        </is>
      </c>
      <c r="E218" s="1" t="n">
        <v>46022</v>
      </c>
      <c r="F218" s="1" t="n">
        <v>46083</v>
      </c>
      <c r="G218" t="n">
        <v>20.3606143800549</v>
      </c>
      <c r="H218" t="inlineStr">
        <is>
          <t>Taiwan|XMTW.L|YTD</t>
        </is>
      </c>
      <c r="I218" t="inlineStr">
        <is>
          <t>GBp</t>
        </is>
      </c>
    </row>
    <row r="219">
      <c r="A219" t="inlineStr">
        <is>
          <t>Taiwan</t>
        </is>
      </c>
      <c r="B219" t="inlineStr">
        <is>
          <t>TWN</t>
        </is>
      </c>
      <c r="C219" t="inlineStr">
        <is>
          <t>XMTW.L</t>
        </is>
      </c>
      <c r="D219" t="inlineStr">
        <is>
          <t>1 Month</t>
        </is>
      </c>
      <c r="E219" s="1" t="n">
        <v>46055</v>
      </c>
      <c r="F219" s="1" t="n">
        <v>46083</v>
      </c>
      <c r="G219" t="n">
        <v>12.27936595833046</v>
      </c>
      <c r="H219" t="inlineStr">
        <is>
          <t>Taiwan|XMTW.L|1 Month</t>
        </is>
      </c>
      <c r="I219" t="inlineStr">
        <is>
          <t>GBp</t>
        </is>
      </c>
    </row>
    <row r="220">
      <c r="A220" t="inlineStr">
        <is>
          <t>Taiwan</t>
        </is>
      </c>
      <c r="B220" t="inlineStr">
        <is>
          <t>TWN</t>
        </is>
      </c>
      <c r="C220" t="inlineStr">
        <is>
          <t>XMTW.L</t>
        </is>
      </c>
      <c r="D220" t="inlineStr">
        <is>
          <t>3 Months</t>
        </is>
      </c>
      <c r="E220" s="1" t="n">
        <v>45993</v>
      </c>
      <c r="F220" s="1" t="n">
        <v>46083</v>
      </c>
      <c r="G220" t="n">
        <v>23.51328713926748</v>
      </c>
      <c r="H220" t="inlineStr">
        <is>
          <t>Taiwan|XMTW.L|3 Months</t>
        </is>
      </c>
      <c r="I220" t="inlineStr">
        <is>
          <t>GBp</t>
        </is>
      </c>
    </row>
    <row r="221">
      <c r="A221" t="inlineStr">
        <is>
          <t>Taiwan</t>
        </is>
      </c>
      <c r="B221" t="inlineStr">
        <is>
          <t>TWN</t>
        </is>
      </c>
      <c r="C221" t="inlineStr">
        <is>
          <t>XMTW.L</t>
        </is>
      </c>
      <c r="D221" t="inlineStr">
        <is>
          <t>6 Months</t>
        </is>
      </c>
      <c r="E221" s="1" t="n">
        <v>45902</v>
      </c>
      <c r="F221" s="1" t="n">
        <v>46083</v>
      </c>
      <c r="G221" t="n">
        <v>41.77956472336335</v>
      </c>
      <c r="H221" t="inlineStr">
        <is>
          <t>Taiwan|XMTW.L|6 Months</t>
        </is>
      </c>
      <c r="I221" t="inlineStr">
        <is>
          <t>GBp</t>
        </is>
      </c>
    </row>
    <row r="222">
      <c r="A222" t="inlineStr">
        <is>
          <t>Taiwan</t>
        </is>
      </c>
      <c r="B222" t="inlineStr">
        <is>
          <t>TWN</t>
        </is>
      </c>
      <c r="C222" t="inlineStr">
        <is>
          <t>XMTW.L</t>
        </is>
      </c>
      <c r="D222" t="inlineStr">
        <is>
          <t>1 Year</t>
        </is>
      </c>
      <c r="E222" s="1" t="n">
        <v>45716</v>
      </c>
      <c r="F222" s="1" t="n">
        <v>46083</v>
      </c>
      <c r="G222" t="n">
        <v>55.26945534603236</v>
      </c>
      <c r="H222" t="inlineStr">
        <is>
          <t>Taiwan|XMTW.L|1 Year</t>
        </is>
      </c>
      <c r="I222" t="inlineStr">
        <is>
          <t>GBp</t>
        </is>
      </c>
    </row>
    <row r="223">
      <c r="A223" t="inlineStr">
        <is>
          <t>Taiwan</t>
        </is>
      </c>
      <c r="B223" t="inlineStr">
        <is>
          <t>TWN</t>
        </is>
      </c>
      <c r="C223" t="inlineStr">
        <is>
          <t>XMTW.L</t>
        </is>
      </c>
      <c r="D223" t="inlineStr">
        <is>
          <t>3 Years</t>
        </is>
      </c>
      <c r="E223" s="1" t="n">
        <v>44987</v>
      </c>
      <c r="F223" s="1" t="n">
        <v>46083</v>
      </c>
      <c r="G223" t="n">
        <v>105.0954608673663</v>
      </c>
      <c r="H223" t="inlineStr">
        <is>
          <t>Taiwan|XMTW.L|3 Years</t>
        </is>
      </c>
      <c r="I223" t="inlineStr">
        <is>
          <t>GBp</t>
        </is>
      </c>
    </row>
    <row r="224">
      <c r="A224" t="inlineStr">
        <is>
          <t>Taiwan</t>
        </is>
      </c>
      <c r="B224" t="inlineStr">
        <is>
          <t>TWN</t>
        </is>
      </c>
      <c r="C224" t="inlineStr">
        <is>
          <t>XMTW.L</t>
        </is>
      </c>
      <c r="D224" t="inlineStr">
        <is>
          <t>5 Years</t>
        </is>
      </c>
      <c r="E224" s="1" t="n">
        <v>44257</v>
      </c>
      <c r="F224" s="1" t="n">
        <v>46083</v>
      </c>
      <c r="G224" t="n">
        <v>114.0538400633413</v>
      </c>
      <c r="H224" t="inlineStr">
        <is>
          <t>Taiwan|XMTW.L|5 Years</t>
        </is>
      </c>
      <c r="I224" t="inlineStr">
        <is>
          <t>GBp</t>
        </is>
      </c>
    </row>
    <row r="225">
      <c r="A225" t="inlineStr">
        <is>
          <t>Taiwan</t>
        </is>
      </c>
      <c r="B225" t="inlineStr">
        <is>
          <t>TWN</t>
        </is>
      </c>
      <c r="C225" t="inlineStr">
        <is>
          <t>XMTW.L</t>
        </is>
      </c>
      <c r="D225" t="inlineStr">
        <is>
          <t>10 Years</t>
        </is>
      </c>
      <c r="E225" s="1" t="n">
        <v>42431</v>
      </c>
      <c r="F225" s="1" t="n">
        <v>46083</v>
      </c>
      <c r="G225" t="n">
        <v>489.1047757399673</v>
      </c>
      <c r="H225" t="inlineStr">
        <is>
          <t>Taiwan|XMTW.L|10 Years</t>
        </is>
      </c>
      <c r="I225" t="inlineStr">
        <is>
          <t>GBp</t>
        </is>
      </c>
    </row>
    <row r="226">
      <c r="A226" t="inlineStr">
        <is>
          <t>Taiwan</t>
        </is>
      </c>
      <c r="B226" t="inlineStr">
        <is>
          <t>TWN</t>
        </is>
      </c>
      <c r="C226" t="inlineStr">
        <is>
          <t>XMTW.L</t>
        </is>
      </c>
      <c r="D226" t="inlineStr">
        <is>
          <t>MAX</t>
        </is>
      </c>
      <c r="E226" s="1" t="n">
        <v>39818</v>
      </c>
      <c r="F226" s="1" t="n">
        <v>46083</v>
      </c>
      <c r="G226" t="n">
        <v>1126.077097505669</v>
      </c>
      <c r="H226" t="inlineStr">
        <is>
          <t>Taiwan|XMTW.L|MAX</t>
        </is>
      </c>
      <c r="I226" t="inlineStr">
        <is>
          <t>GBp</t>
        </is>
      </c>
    </row>
    <row r="227">
      <c r="A227" t="inlineStr">
        <is>
          <t>Thailand</t>
        </is>
      </c>
      <c r="B227" t="inlineStr">
        <is>
          <t>THA</t>
        </is>
      </c>
      <c r="C227" t="inlineStr">
        <is>
          <t>XCX4.L</t>
        </is>
      </c>
      <c r="D227" t="inlineStr">
        <is>
          <t>YTD</t>
        </is>
      </c>
      <c r="E227" s="1" t="n">
        <v>46022</v>
      </c>
      <c r="F227" s="1" t="n">
        <v>46083</v>
      </c>
      <c r="G227" t="n">
        <v>23.2888631090487</v>
      </c>
      <c r="H227" t="inlineStr">
        <is>
          <t>Thailand|XCX4.L|YTD</t>
        </is>
      </c>
      <c r="I227" t="inlineStr">
        <is>
          <t>GBp</t>
        </is>
      </c>
    </row>
    <row r="228">
      <c r="A228" t="inlineStr">
        <is>
          <t>Thailand</t>
        </is>
      </c>
      <c r="B228" t="inlineStr">
        <is>
          <t>THA</t>
        </is>
      </c>
      <c r="C228" t="inlineStr">
        <is>
          <t>XCX4.L</t>
        </is>
      </c>
      <c r="D228" t="inlineStr">
        <is>
          <t>1 Month</t>
        </is>
      </c>
      <c r="E228" s="1" t="n">
        <v>46055</v>
      </c>
      <c r="F228" s="1" t="n">
        <v>46083</v>
      </c>
      <c r="G228" t="n">
        <v>17.05906650144568</v>
      </c>
      <c r="H228" t="inlineStr">
        <is>
          <t>Thailand|XCX4.L|1 Month</t>
        </is>
      </c>
      <c r="I228" t="inlineStr">
        <is>
          <t>GBp</t>
        </is>
      </c>
    </row>
    <row r="229">
      <c r="A229" t="inlineStr">
        <is>
          <t>Thailand</t>
        </is>
      </c>
      <c r="B229" t="inlineStr">
        <is>
          <t>THA</t>
        </is>
      </c>
      <c r="C229" t="inlineStr">
        <is>
          <t>XCX4.L</t>
        </is>
      </c>
      <c r="D229" t="inlineStr">
        <is>
          <t>3 Months</t>
        </is>
      </c>
      <c r="E229" s="1" t="n">
        <v>45993</v>
      </c>
      <c r="F229" s="1" t="n">
        <v>46083</v>
      </c>
      <c r="G229" t="n">
        <v>21.73539518900343</v>
      </c>
      <c r="H229" t="inlineStr">
        <is>
          <t>Thailand|XCX4.L|3 Months</t>
        </is>
      </c>
      <c r="I229" t="inlineStr">
        <is>
          <t>GBp</t>
        </is>
      </c>
    </row>
    <row r="230">
      <c r="A230" t="inlineStr">
        <is>
          <t>Thailand</t>
        </is>
      </c>
      <c r="B230" t="inlineStr">
        <is>
          <t>THA</t>
        </is>
      </c>
      <c r="C230" t="inlineStr">
        <is>
          <t>XCX4.L</t>
        </is>
      </c>
      <c r="D230" t="inlineStr">
        <is>
          <t>6 Months</t>
        </is>
      </c>
      <c r="E230" s="1" t="n">
        <v>45902</v>
      </c>
      <c r="F230" s="1" t="n">
        <v>46083</v>
      </c>
      <c r="G230" t="n">
        <v>30.9611829944547</v>
      </c>
      <c r="H230" t="inlineStr">
        <is>
          <t>Thailand|XCX4.L|6 Months</t>
        </is>
      </c>
      <c r="I230" t="inlineStr">
        <is>
          <t>GBp</t>
        </is>
      </c>
    </row>
    <row r="231">
      <c r="A231" t="inlineStr">
        <is>
          <t>Thailand</t>
        </is>
      </c>
      <c r="B231" t="inlineStr">
        <is>
          <t>THA</t>
        </is>
      </c>
      <c r="C231" t="inlineStr">
        <is>
          <t>XCX4.L</t>
        </is>
      </c>
      <c r="D231" t="inlineStr">
        <is>
          <t>1 Year</t>
        </is>
      </c>
      <c r="E231" s="1" t="n">
        <v>45716</v>
      </c>
      <c r="F231" s="1" t="n">
        <v>46083</v>
      </c>
      <c r="G231" t="n">
        <v>39.56007879185817</v>
      </c>
      <c r="H231" t="inlineStr">
        <is>
          <t>Thailand|XCX4.L|1 Year</t>
        </is>
      </c>
      <c r="I231" t="inlineStr">
        <is>
          <t>GBp</t>
        </is>
      </c>
    </row>
    <row r="232">
      <c r="A232" t="inlineStr">
        <is>
          <t>Thailand</t>
        </is>
      </c>
      <c r="B232" t="inlineStr">
        <is>
          <t>THA</t>
        </is>
      </c>
      <c r="C232" t="inlineStr">
        <is>
          <t>XCX4.L</t>
        </is>
      </c>
      <c r="D232" t="inlineStr">
        <is>
          <t>3 Years</t>
        </is>
      </c>
      <c r="E232" s="1" t="n">
        <v>44987</v>
      </c>
      <c r="F232" s="1" t="n">
        <v>46083</v>
      </c>
      <c r="G232" t="n">
        <v>9.238083001413333</v>
      </c>
      <c r="H232" t="inlineStr">
        <is>
          <t>Thailand|XCX4.L|3 Years</t>
        </is>
      </c>
      <c r="I232" t="inlineStr">
        <is>
          <t>GBp</t>
        </is>
      </c>
    </row>
    <row r="233">
      <c r="A233" t="inlineStr">
        <is>
          <t>Thailand</t>
        </is>
      </c>
      <c r="B233" t="inlineStr">
        <is>
          <t>THA</t>
        </is>
      </c>
      <c r="C233" t="inlineStr">
        <is>
          <t>XCX4.L</t>
        </is>
      </c>
      <c r="D233" t="inlineStr">
        <is>
          <t>5 Years</t>
        </is>
      </c>
      <c r="E233" s="1" t="n">
        <v>44257</v>
      </c>
      <c r="F233" s="1" t="n">
        <v>46083</v>
      </c>
      <c r="G233" t="n">
        <v>22.79029462738302</v>
      </c>
      <c r="H233" t="inlineStr">
        <is>
          <t>Thailand|XCX4.L|5 Years</t>
        </is>
      </c>
      <c r="I233" t="inlineStr">
        <is>
          <t>GBp</t>
        </is>
      </c>
    </row>
    <row r="234">
      <c r="A234" t="inlineStr">
        <is>
          <t>Thailand</t>
        </is>
      </c>
      <c r="B234" t="inlineStr">
        <is>
          <t>THA</t>
        </is>
      </c>
      <c r="C234" t="inlineStr">
        <is>
          <t>XCX4.L</t>
        </is>
      </c>
      <c r="D234" t="inlineStr">
        <is>
          <t>10 Years</t>
        </is>
      </c>
      <c r="E234" s="1" t="n">
        <v>42431</v>
      </c>
      <c r="F234" s="1" t="n">
        <v>46083</v>
      </c>
      <c r="G234" t="n">
        <v>69.90407673860911</v>
      </c>
      <c r="H234" t="inlineStr">
        <is>
          <t>Thailand|XCX4.L|10 Years</t>
        </is>
      </c>
      <c r="I234" t="inlineStr">
        <is>
          <t>GBp</t>
        </is>
      </c>
    </row>
    <row r="235">
      <c r="A235" t="inlineStr">
        <is>
          <t>Thailand</t>
        </is>
      </c>
      <c r="B235" t="inlineStr">
        <is>
          <t>THA</t>
        </is>
      </c>
      <c r="C235" t="inlineStr">
        <is>
          <t>XCX4.L</t>
        </is>
      </c>
      <c r="D235" t="inlineStr">
        <is>
          <t>MAX</t>
        </is>
      </c>
      <c r="E235" s="1" t="n">
        <v>40354</v>
      </c>
      <c r="F235" s="1" t="n">
        <v>46083</v>
      </c>
      <c r="G235" t="n">
        <v>85.20292915133551</v>
      </c>
      <c r="H235" t="inlineStr">
        <is>
          <t>Thailand|XCX4.L|MAX</t>
        </is>
      </c>
      <c r="I235" t="inlineStr">
        <is>
          <t>GBp</t>
        </is>
      </c>
    </row>
    <row r="236">
      <c r="A236" t="inlineStr">
        <is>
          <t>Turkey</t>
        </is>
      </c>
      <c r="B236" t="inlineStr">
        <is>
          <t>TUR</t>
        </is>
      </c>
      <c r="C236" t="inlineStr">
        <is>
          <t>TURL.L</t>
        </is>
      </c>
      <c r="D236" t="inlineStr">
        <is>
          <t>YTD</t>
        </is>
      </c>
      <c r="E236" s="1" t="n">
        <v>46022</v>
      </c>
      <c r="F236" s="1" t="n">
        <v>46083</v>
      </c>
      <c r="G236" t="n">
        <v>0</v>
      </c>
      <c r="H236" t="inlineStr">
        <is>
          <t>Turkey|TURL.L|YTD</t>
        </is>
      </c>
      <c r="I236" t="inlineStr">
        <is>
          <t>GBp</t>
        </is>
      </c>
    </row>
    <row r="237">
      <c r="A237" t="inlineStr">
        <is>
          <t>Turkey</t>
        </is>
      </c>
      <c r="B237" t="inlineStr">
        <is>
          <t>TUR</t>
        </is>
      </c>
      <c r="C237" t="inlineStr">
        <is>
          <t>TURL.L</t>
        </is>
      </c>
      <c r="D237" t="inlineStr">
        <is>
          <t>1 Month</t>
        </is>
      </c>
      <c r="E237" s="1" t="n">
        <v>46055</v>
      </c>
      <c r="F237" s="1" t="n">
        <v>46083</v>
      </c>
      <c r="G237" t="n">
        <v>0</v>
      </c>
      <c r="H237" t="inlineStr">
        <is>
          <t>Turkey|TURL.L|1 Month</t>
        </is>
      </c>
      <c r="I237" t="inlineStr">
        <is>
          <t>GBp</t>
        </is>
      </c>
    </row>
    <row r="238">
      <c r="A238" t="inlineStr">
        <is>
          <t>Turkey</t>
        </is>
      </c>
      <c r="B238" t="inlineStr">
        <is>
          <t>TUR</t>
        </is>
      </c>
      <c r="C238" t="inlineStr">
        <is>
          <t>TURL.L</t>
        </is>
      </c>
      <c r="D238" t="inlineStr">
        <is>
          <t>3 Months</t>
        </is>
      </c>
      <c r="E238" s="1" t="n">
        <v>45993</v>
      </c>
      <c r="F238" s="1" t="n">
        <v>46083</v>
      </c>
      <c r="G238" t="n">
        <v>0</v>
      </c>
      <c r="H238" t="inlineStr">
        <is>
          <t>Turkey|TURL.L|3 Months</t>
        </is>
      </c>
      <c r="I238" t="inlineStr">
        <is>
          <t>GBp</t>
        </is>
      </c>
    </row>
    <row r="239">
      <c r="A239" t="inlineStr">
        <is>
          <t>Turkey</t>
        </is>
      </c>
      <c r="B239" t="inlineStr">
        <is>
          <t>TUR</t>
        </is>
      </c>
      <c r="C239" t="inlineStr">
        <is>
          <t>TURL.L</t>
        </is>
      </c>
      <c r="D239" t="inlineStr">
        <is>
          <t>6 Months</t>
        </is>
      </c>
      <c r="E239" s="1" t="n">
        <v>45902</v>
      </c>
      <c r="F239" s="1" t="n">
        <v>46083</v>
      </c>
      <c r="G239" t="n">
        <v>0</v>
      </c>
      <c r="H239" t="inlineStr">
        <is>
          <t>Turkey|TURL.L|6 Months</t>
        </is>
      </c>
      <c r="I239" t="inlineStr">
        <is>
          <t>GBp</t>
        </is>
      </c>
    </row>
    <row r="240">
      <c r="A240" t="inlineStr">
        <is>
          <t>Turkey</t>
        </is>
      </c>
      <c r="B240" t="inlineStr">
        <is>
          <t>TUR</t>
        </is>
      </c>
      <c r="C240" t="inlineStr">
        <is>
          <t>TURL.L</t>
        </is>
      </c>
      <c r="D240" t="inlineStr">
        <is>
          <t>1 Year</t>
        </is>
      </c>
      <c r="E240" s="1" t="n">
        <v>45716</v>
      </c>
      <c r="F240" s="1" t="n">
        <v>46083</v>
      </c>
      <c r="G240" t="n">
        <v>0</v>
      </c>
      <c r="H240" t="inlineStr">
        <is>
          <t>Turkey|TURL.L|1 Year</t>
        </is>
      </c>
      <c r="I240" t="inlineStr">
        <is>
          <t>GBp</t>
        </is>
      </c>
    </row>
    <row r="241">
      <c r="A241" t="inlineStr">
        <is>
          <t>Turkey</t>
        </is>
      </c>
      <c r="B241" t="inlineStr">
        <is>
          <t>TUR</t>
        </is>
      </c>
      <c r="C241" t="inlineStr">
        <is>
          <t>TURL.L</t>
        </is>
      </c>
      <c r="D241" t="inlineStr">
        <is>
          <t>3 Years</t>
        </is>
      </c>
      <c r="E241" s="1" t="n">
        <v>44987</v>
      </c>
      <c r="F241" s="1" t="n">
        <v>46083</v>
      </c>
      <c r="G241" t="n">
        <v>-16.85665685325203</v>
      </c>
      <c r="H241" t="inlineStr">
        <is>
          <t>Turkey|TURL.L|3 Years</t>
        </is>
      </c>
      <c r="I241" t="inlineStr">
        <is>
          <t>GBp</t>
        </is>
      </c>
    </row>
    <row r="242">
      <c r="A242" t="inlineStr">
        <is>
          <t>Turkey</t>
        </is>
      </c>
      <c r="B242" t="inlineStr">
        <is>
          <t>TUR</t>
        </is>
      </c>
      <c r="C242" t="inlineStr">
        <is>
          <t>TURL.L</t>
        </is>
      </c>
      <c r="D242" t="inlineStr">
        <is>
          <t>5 Years</t>
        </is>
      </c>
      <c r="E242" s="1" t="n">
        <v>44257</v>
      </c>
      <c r="F242" s="1" t="n">
        <v>46083</v>
      </c>
      <c r="G242" t="n">
        <v>33.90705095236115</v>
      </c>
      <c r="H242" t="inlineStr">
        <is>
          <t>Turkey|TURL.L|5 Years</t>
        </is>
      </c>
      <c r="I242" t="inlineStr">
        <is>
          <t>GBp</t>
        </is>
      </c>
    </row>
    <row r="243">
      <c r="A243" t="inlineStr">
        <is>
          <t>Turkey</t>
        </is>
      </c>
      <c r="B243" t="inlineStr">
        <is>
          <t>TUR</t>
        </is>
      </c>
      <c r="C243" t="inlineStr">
        <is>
          <t>TURL.L</t>
        </is>
      </c>
      <c r="D243" t="inlineStr">
        <is>
          <t>10 Years</t>
        </is>
      </c>
      <c r="E243" s="1" t="n">
        <v>42431</v>
      </c>
      <c r="F243" s="1" t="n">
        <v>46083</v>
      </c>
      <c r="G243" t="n">
        <v>-30.56299255527302</v>
      </c>
      <c r="H243" t="inlineStr">
        <is>
          <t>Turkey|TURL.L|10 Years</t>
        </is>
      </c>
      <c r="I243" t="inlineStr">
        <is>
          <t>GBp</t>
        </is>
      </c>
    </row>
    <row r="244">
      <c r="A244" t="inlineStr">
        <is>
          <t>Turkey</t>
        </is>
      </c>
      <c r="B244" t="inlineStr">
        <is>
          <t>TUR</t>
        </is>
      </c>
      <c r="C244" t="inlineStr">
        <is>
          <t>TURL.L</t>
        </is>
      </c>
      <c r="D244" t="inlineStr">
        <is>
          <t>MAX</t>
        </is>
      </c>
      <c r="E244" s="1" t="n">
        <v>39450</v>
      </c>
      <c r="F244" s="1" t="n">
        <v>46083</v>
      </c>
      <c r="G244" t="n">
        <v>-99.43612293704946</v>
      </c>
      <c r="H244" t="inlineStr">
        <is>
          <t>Turkey|TURL.L|MAX</t>
        </is>
      </c>
      <c r="I244" t="inlineStr">
        <is>
          <t>GBp</t>
        </is>
      </c>
    </row>
    <row r="245">
      <c r="A245" t="inlineStr">
        <is>
          <t>United Kingdom</t>
        </is>
      </c>
      <c r="B245" t="inlineStr">
        <is>
          <t>GBR</t>
        </is>
      </c>
      <c r="C245" t="inlineStr">
        <is>
          <t>CSUK.L</t>
        </is>
      </c>
      <c r="D245" t="inlineStr">
        <is>
          <t>YTD</t>
        </is>
      </c>
      <c r="E245" s="1" t="n">
        <v>46022</v>
      </c>
      <c r="F245" s="1" t="n">
        <v>46083</v>
      </c>
      <c r="G245" t="n">
        <v>9.638093155477812</v>
      </c>
      <c r="H245" t="inlineStr">
        <is>
          <t>United Kingdom|CSUK.L|YTD</t>
        </is>
      </c>
      <c r="I245" t="inlineStr">
        <is>
          <t>GBp</t>
        </is>
      </c>
    </row>
    <row r="246">
      <c r="A246" t="inlineStr">
        <is>
          <t>United Kingdom</t>
        </is>
      </c>
      <c r="B246" t="inlineStr">
        <is>
          <t>GBR</t>
        </is>
      </c>
      <c r="C246" t="inlineStr">
        <is>
          <t>CSUK.L</t>
        </is>
      </c>
      <c r="D246" t="inlineStr">
        <is>
          <t>1 Month</t>
        </is>
      </c>
      <c r="E246" s="1" t="n">
        <v>46055</v>
      </c>
      <c r="F246" s="1" t="n">
        <v>46083</v>
      </c>
      <c r="G246" t="n">
        <v>5.082525543620653</v>
      </c>
      <c r="H246" t="inlineStr">
        <is>
          <t>United Kingdom|CSUK.L|1 Month</t>
        </is>
      </c>
      <c r="I246" t="inlineStr">
        <is>
          <t>GBp</t>
        </is>
      </c>
    </row>
    <row r="247">
      <c r="A247" t="inlineStr">
        <is>
          <t>United Kingdom</t>
        </is>
      </c>
      <c r="B247" t="inlineStr">
        <is>
          <t>GBR</t>
        </is>
      </c>
      <c r="C247" t="inlineStr">
        <is>
          <t>CSUK.L</t>
        </is>
      </c>
      <c r="D247" t="inlineStr">
        <is>
          <t>3 Months</t>
        </is>
      </c>
      <c r="E247" s="1" t="n">
        <v>45993</v>
      </c>
      <c r="F247" s="1" t="n">
        <v>46083</v>
      </c>
      <c r="G247" t="n">
        <v>12.12053446637222</v>
      </c>
      <c r="H247" t="inlineStr">
        <is>
          <t>United Kingdom|CSUK.L|3 Months</t>
        </is>
      </c>
      <c r="I247" t="inlineStr">
        <is>
          <t>GBp</t>
        </is>
      </c>
    </row>
    <row r="248">
      <c r="A248" t="inlineStr">
        <is>
          <t>United Kingdom</t>
        </is>
      </c>
      <c r="B248" t="inlineStr">
        <is>
          <t>GBR</t>
        </is>
      </c>
      <c r="C248" t="inlineStr">
        <is>
          <t>CSUK.L</t>
        </is>
      </c>
      <c r="D248" t="inlineStr">
        <is>
          <t>6 Months</t>
        </is>
      </c>
      <c r="E248" s="1" t="n">
        <v>45902</v>
      </c>
      <c r="F248" s="1" t="n">
        <v>46083</v>
      </c>
      <c r="G248" t="n">
        <v>19.71704871060172</v>
      </c>
      <c r="H248" t="inlineStr">
        <is>
          <t>United Kingdom|CSUK.L|6 Months</t>
        </is>
      </c>
      <c r="I248" t="inlineStr">
        <is>
          <t>GBp</t>
        </is>
      </c>
    </row>
    <row r="249">
      <c r="A249" t="inlineStr">
        <is>
          <t>United Kingdom</t>
        </is>
      </c>
      <c r="B249" t="inlineStr">
        <is>
          <t>GBR</t>
        </is>
      </c>
      <c r="C249" t="inlineStr">
        <is>
          <t>CSUK.L</t>
        </is>
      </c>
      <c r="D249" t="inlineStr">
        <is>
          <t>1 Year</t>
        </is>
      </c>
      <c r="E249" s="1" t="n">
        <v>45716</v>
      </c>
      <c r="F249" s="1" t="n">
        <v>46083</v>
      </c>
      <c r="G249" t="n">
        <v>26.74587625608293</v>
      </c>
      <c r="H249" t="inlineStr">
        <is>
          <t>United Kingdom|CSUK.L|1 Year</t>
        </is>
      </c>
      <c r="I249" t="inlineStr">
        <is>
          <t>GBp</t>
        </is>
      </c>
    </row>
    <row r="250">
      <c r="A250" t="inlineStr">
        <is>
          <t>United Kingdom</t>
        </is>
      </c>
      <c r="B250" t="inlineStr">
        <is>
          <t>GBR</t>
        </is>
      </c>
      <c r="C250" t="inlineStr">
        <is>
          <t>CSUK.L</t>
        </is>
      </c>
      <c r="D250" t="inlineStr">
        <is>
          <t>3 Years</t>
        </is>
      </c>
      <c r="E250" s="1" t="n">
        <v>44987</v>
      </c>
      <c r="F250" s="1" t="n">
        <v>46083</v>
      </c>
      <c r="G250" t="n">
        <v>49.67534890663483</v>
      </c>
      <c r="H250" t="inlineStr">
        <is>
          <t>United Kingdom|CSUK.L|3 Years</t>
        </is>
      </c>
      <c r="I250" t="inlineStr">
        <is>
          <t>GBp</t>
        </is>
      </c>
    </row>
    <row r="251">
      <c r="A251" t="inlineStr">
        <is>
          <t>United Kingdom</t>
        </is>
      </c>
      <c r="B251" t="inlineStr">
        <is>
          <t>GBR</t>
        </is>
      </c>
      <c r="C251" t="inlineStr">
        <is>
          <t>CSUK.L</t>
        </is>
      </c>
      <c r="D251" t="inlineStr">
        <is>
          <t>5 Years</t>
        </is>
      </c>
      <c r="E251" s="1" t="n">
        <v>44257</v>
      </c>
      <c r="F251" s="1" t="n">
        <v>46083</v>
      </c>
      <c r="G251" t="n">
        <v>96.79128642920224</v>
      </c>
      <c r="H251" t="inlineStr">
        <is>
          <t>United Kingdom|CSUK.L|5 Years</t>
        </is>
      </c>
      <c r="I251" t="inlineStr">
        <is>
          <t>GBp</t>
        </is>
      </c>
    </row>
    <row r="252">
      <c r="A252" t="inlineStr">
        <is>
          <t>United Kingdom</t>
        </is>
      </c>
      <c r="B252" t="inlineStr">
        <is>
          <t>GBR</t>
        </is>
      </c>
      <c r="C252" t="inlineStr">
        <is>
          <t>CSUK.L</t>
        </is>
      </c>
      <c r="D252" t="inlineStr">
        <is>
          <t>10 Years</t>
        </is>
      </c>
      <c r="E252" s="1" t="n">
        <v>42431</v>
      </c>
      <c r="F252" s="1" t="n">
        <v>46083</v>
      </c>
      <c r="G252" t="n">
        <v>146.1038164191926</v>
      </c>
      <c r="H252" t="inlineStr">
        <is>
          <t>United Kingdom|CSUK.L|10 Years</t>
        </is>
      </c>
      <c r="I252" t="inlineStr">
        <is>
          <t>GBp</t>
        </is>
      </c>
    </row>
    <row r="253">
      <c r="A253" t="inlineStr">
        <is>
          <t>United Kingdom</t>
        </is>
      </c>
      <c r="B253" t="inlineStr">
        <is>
          <t>GBR</t>
        </is>
      </c>
      <c r="C253" t="inlineStr">
        <is>
          <t>CSUK.L</t>
        </is>
      </c>
      <c r="D253" t="inlineStr">
        <is>
          <t>MAX</t>
        </is>
      </c>
      <c r="E253" s="1" t="n">
        <v>40443</v>
      </c>
      <c r="F253" s="1" t="n">
        <v>46083</v>
      </c>
      <c r="G253" t="n">
        <v>221.0854947166187</v>
      </c>
      <c r="H253" t="inlineStr">
        <is>
          <t>United Kingdom|CSUK.L|MAX</t>
        </is>
      </c>
      <c r="I253" t="inlineStr">
        <is>
          <t>GBp</t>
        </is>
      </c>
    </row>
    <row r="254">
      <c r="A254" t="inlineStr">
        <is>
          <t>United Kingdom</t>
        </is>
      </c>
      <c r="B254" t="inlineStr">
        <is>
          <t>GBR</t>
        </is>
      </c>
      <c r="C254" t="inlineStr">
        <is>
          <t>CUKX.L</t>
        </is>
      </c>
      <c r="D254" t="inlineStr">
        <is>
          <t>YTD</t>
        </is>
      </c>
      <c r="E254" s="1" t="n">
        <v>46022</v>
      </c>
      <c r="F254" s="1" t="n">
        <v>46083</v>
      </c>
      <c r="G254" t="n">
        <v>9.064942874323512</v>
      </c>
      <c r="H254" t="inlineStr">
        <is>
          <t>United Kingdom|CUKX.L|YTD</t>
        </is>
      </c>
      <c r="I254" t="inlineStr">
        <is>
          <t>GBp</t>
        </is>
      </c>
    </row>
    <row r="255">
      <c r="A255" t="inlineStr">
        <is>
          <t>United Kingdom</t>
        </is>
      </c>
      <c r="B255" t="inlineStr">
        <is>
          <t>GBR</t>
        </is>
      </c>
      <c r="C255" t="inlineStr">
        <is>
          <t>CUKX.L</t>
        </is>
      </c>
      <c r="D255" t="inlineStr">
        <is>
          <t>1 Month</t>
        </is>
      </c>
      <c r="E255" s="1" t="n">
        <v>46055</v>
      </c>
      <c r="F255" s="1" t="n">
        <v>46083</v>
      </c>
      <c r="G255" t="n">
        <v>4.438579654510555</v>
      </c>
      <c r="H255" t="inlineStr">
        <is>
          <t>United Kingdom|CUKX.L|1 Month</t>
        </is>
      </c>
      <c r="I255" t="inlineStr">
        <is>
          <t>GBp</t>
        </is>
      </c>
    </row>
    <row r="256">
      <c r="A256" t="inlineStr">
        <is>
          <t>United Kingdom</t>
        </is>
      </c>
      <c r="B256" t="inlineStr">
        <is>
          <t>GBR</t>
        </is>
      </c>
      <c r="C256" t="inlineStr">
        <is>
          <t>CUKX.L</t>
        </is>
      </c>
      <c r="D256" t="inlineStr">
        <is>
          <t>3 Months</t>
        </is>
      </c>
      <c r="E256" s="1" t="n">
        <v>45993</v>
      </c>
      <c r="F256" s="1" t="n">
        <v>46083</v>
      </c>
      <c r="G256" t="n">
        <v>11.50102459016393</v>
      </c>
      <c r="H256" t="inlineStr">
        <is>
          <t>United Kingdom|CUKX.L|3 Months</t>
        </is>
      </c>
      <c r="I256" t="inlineStr">
        <is>
          <t>GBp</t>
        </is>
      </c>
    </row>
    <row r="257">
      <c r="A257" t="inlineStr">
        <is>
          <t>United Kingdom</t>
        </is>
      </c>
      <c r="B257" t="inlineStr">
        <is>
          <t>GBR</t>
        </is>
      </c>
      <c r="C257" t="inlineStr">
        <is>
          <t>CUKX.L</t>
        </is>
      </c>
      <c r="D257" t="inlineStr">
        <is>
          <t>6 Months</t>
        </is>
      </c>
      <c r="E257" s="1" t="n">
        <v>45902</v>
      </c>
      <c r="F257" s="1" t="n">
        <v>46083</v>
      </c>
      <c r="G257" t="n">
        <v>19.8381235546746</v>
      </c>
      <c r="H257" t="inlineStr">
        <is>
          <t>United Kingdom|CUKX.L|6 Months</t>
        </is>
      </c>
      <c r="I257" t="inlineStr">
        <is>
          <t>GBp</t>
        </is>
      </c>
    </row>
    <row r="258">
      <c r="A258" t="inlineStr">
        <is>
          <t>United Kingdom</t>
        </is>
      </c>
      <c r="B258" t="inlineStr">
        <is>
          <t>GBR</t>
        </is>
      </c>
      <c r="C258" t="inlineStr">
        <is>
          <t>CUKX.L</t>
        </is>
      </c>
      <c r="D258" t="inlineStr">
        <is>
          <t>1 Year</t>
        </is>
      </c>
      <c r="E258" s="1" t="n">
        <v>45716</v>
      </c>
      <c r="F258" s="1" t="n">
        <v>46083</v>
      </c>
      <c r="G258" t="n">
        <v>26.71751280857011</v>
      </c>
      <c r="H258" t="inlineStr">
        <is>
          <t>United Kingdom|CUKX.L|1 Year</t>
        </is>
      </c>
      <c r="I258" t="inlineStr">
        <is>
          <t>GBp</t>
        </is>
      </c>
    </row>
    <row r="259">
      <c r="A259" t="inlineStr">
        <is>
          <t>United Kingdom</t>
        </is>
      </c>
      <c r="B259" t="inlineStr">
        <is>
          <t>GBR</t>
        </is>
      </c>
      <c r="C259" t="inlineStr">
        <is>
          <t>CUKX.L</t>
        </is>
      </c>
      <c r="D259" t="inlineStr">
        <is>
          <t>3 Years</t>
        </is>
      </c>
      <c r="E259" s="1" t="n">
        <v>44987</v>
      </c>
      <c r="F259" s="1" t="n">
        <v>46083</v>
      </c>
      <c r="G259" t="n">
        <v>50.91526834003606</v>
      </c>
      <c r="H259" t="inlineStr">
        <is>
          <t>United Kingdom|CUKX.L|3 Years</t>
        </is>
      </c>
      <c r="I259" t="inlineStr">
        <is>
          <t>GBp</t>
        </is>
      </c>
    </row>
    <row r="260">
      <c r="A260" t="inlineStr">
        <is>
          <t>United Kingdom</t>
        </is>
      </c>
      <c r="B260" t="inlineStr">
        <is>
          <t>GBR</t>
        </is>
      </c>
      <c r="C260" t="inlineStr">
        <is>
          <t>CUKX.L</t>
        </is>
      </c>
      <c r="D260" t="inlineStr">
        <is>
          <t>5 Years</t>
        </is>
      </c>
      <c r="E260" s="1" t="n">
        <v>44257</v>
      </c>
      <c r="F260" s="1" t="n">
        <v>46083</v>
      </c>
      <c r="G260" t="n">
        <v>94.19164882226983</v>
      </c>
      <c r="H260" t="inlineStr">
        <is>
          <t>United Kingdom|CUKX.L|5 Years</t>
        </is>
      </c>
      <c r="I260" t="inlineStr">
        <is>
          <t>GBp</t>
        </is>
      </c>
    </row>
    <row r="261">
      <c r="A261" t="inlineStr">
        <is>
          <t>United Kingdom</t>
        </is>
      </c>
      <c r="B261" t="inlineStr">
        <is>
          <t>GBR</t>
        </is>
      </c>
      <c r="C261" t="inlineStr">
        <is>
          <t>CUKX.L</t>
        </is>
      </c>
      <c r="D261" t="inlineStr">
        <is>
          <t>10 Years</t>
        </is>
      </c>
      <c r="E261" s="1" t="n">
        <v>42431</v>
      </c>
      <c r="F261" s="1" t="n">
        <v>46083</v>
      </c>
      <c r="G261" t="n">
        <v>153.3907677978928</v>
      </c>
      <c r="H261" t="inlineStr">
        <is>
          <t>United Kingdom|CUKX.L|10 Years</t>
        </is>
      </c>
      <c r="I261" t="inlineStr">
        <is>
          <t>GBp</t>
        </is>
      </c>
    </row>
    <row r="262">
      <c r="A262" t="inlineStr">
        <is>
          <t>United Kingdom</t>
        </is>
      </c>
      <c r="B262" t="inlineStr">
        <is>
          <t>GBR</t>
        </is>
      </c>
      <c r="C262" t="inlineStr">
        <is>
          <t>CUKX.L</t>
        </is>
      </c>
      <c r="D262" t="inlineStr">
        <is>
          <t>MAX</t>
        </is>
      </c>
      <c r="E262" s="1" t="n">
        <v>40438</v>
      </c>
      <c r="F262" s="1" t="n">
        <v>46083</v>
      </c>
      <c r="G262" t="n">
        <v>235.6724244293646</v>
      </c>
      <c r="H262" t="inlineStr">
        <is>
          <t>United Kingdom|CUKX.L|MAX</t>
        </is>
      </c>
      <c r="I262" t="inlineStr">
        <is>
          <t>GBp</t>
        </is>
      </c>
    </row>
    <row r="263">
      <c r="A263" t="inlineStr">
        <is>
          <t>United States</t>
        </is>
      </c>
      <c r="B263" t="inlineStr">
        <is>
          <t>USA</t>
        </is>
      </c>
      <c r="C263" t="inlineStr">
        <is>
          <t>SPXL.L</t>
        </is>
      </c>
      <c r="D263" t="inlineStr">
        <is>
          <t>YTD</t>
        </is>
      </c>
      <c r="E263" s="1" t="n">
        <v>46022</v>
      </c>
      <c r="F263" s="1" t="n">
        <v>46083</v>
      </c>
      <c r="G263" t="n">
        <v>0.2542474724903654</v>
      </c>
      <c r="H263" t="inlineStr">
        <is>
          <t>United States|SPXL.L|YTD</t>
        </is>
      </c>
      <c r="I263" t="inlineStr">
        <is>
          <t>GBP</t>
        </is>
      </c>
    </row>
    <row r="264">
      <c r="A264" t="inlineStr">
        <is>
          <t>United States</t>
        </is>
      </c>
      <c r="B264" t="inlineStr">
        <is>
          <t>USA</t>
        </is>
      </c>
      <c r="C264" t="inlineStr">
        <is>
          <t>SPXL.L</t>
        </is>
      </c>
      <c r="D264" t="inlineStr">
        <is>
          <t>1 Month</t>
        </is>
      </c>
      <c r="E264" s="1" t="n">
        <v>46055</v>
      </c>
      <c r="F264" s="1" t="n">
        <v>46083</v>
      </c>
      <c r="G264" t="n">
        <v>0.3818642550414753</v>
      </c>
      <c r="H264" t="inlineStr">
        <is>
          <t>United States|SPXL.L|1 Month</t>
        </is>
      </c>
      <c r="I264" t="inlineStr">
        <is>
          <t>GBP</t>
        </is>
      </c>
    </row>
    <row r="265">
      <c r="A265" t="inlineStr">
        <is>
          <t>United States</t>
        </is>
      </c>
      <c r="B265" t="inlineStr">
        <is>
          <t>USA</t>
        </is>
      </c>
      <c r="C265" t="inlineStr">
        <is>
          <t>SPXL.L</t>
        </is>
      </c>
      <c r="D265" t="inlineStr">
        <is>
          <t>3 Months</t>
        </is>
      </c>
      <c r="E265" s="1" t="n">
        <v>45993</v>
      </c>
      <c r="F265" s="1" t="n">
        <v>46083</v>
      </c>
      <c r="G265" t="n">
        <v>-0.5517000026758256</v>
      </c>
      <c r="H265" t="inlineStr">
        <is>
          <t>United States|SPXL.L|3 Months</t>
        </is>
      </c>
      <c r="I265" t="inlineStr">
        <is>
          <t>GBP</t>
        </is>
      </c>
    </row>
    <row r="266">
      <c r="A266" t="inlineStr">
        <is>
          <t>United States</t>
        </is>
      </c>
      <c r="B266" t="inlineStr">
        <is>
          <t>USA</t>
        </is>
      </c>
      <c r="C266" t="inlineStr">
        <is>
          <t>SPXL.L</t>
        </is>
      </c>
      <c r="D266" t="inlineStr">
        <is>
          <t>6 Months</t>
        </is>
      </c>
      <c r="E266" s="1" t="n">
        <v>45902</v>
      </c>
      <c r="F266" s="1" t="n">
        <v>46083</v>
      </c>
      <c r="G266" t="n">
        <v>8.067835029366988</v>
      </c>
      <c r="H266" t="inlineStr">
        <is>
          <t>United States|SPXL.L|6 Months</t>
        </is>
      </c>
      <c r="I266" t="inlineStr">
        <is>
          <t>GBP</t>
        </is>
      </c>
    </row>
    <row r="267">
      <c r="A267" t="inlineStr">
        <is>
          <t>United States</t>
        </is>
      </c>
      <c r="B267" t="inlineStr">
        <is>
          <t>USA</t>
        </is>
      </c>
      <c r="C267" t="inlineStr">
        <is>
          <t>SPXL.L</t>
        </is>
      </c>
      <c r="D267" t="inlineStr">
        <is>
          <t>1 Year</t>
        </is>
      </c>
      <c r="E267" s="1" t="n">
        <v>45716</v>
      </c>
      <c r="F267" s="1" t="n">
        <v>46083</v>
      </c>
      <c r="G267" t="n">
        <v>10.90797390602187</v>
      </c>
      <c r="H267" t="inlineStr">
        <is>
          <t>United States|SPXL.L|1 Year</t>
        </is>
      </c>
      <c r="I267" t="inlineStr">
        <is>
          <t>GBP</t>
        </is>
      </c>
    </row>
    <row r="268">
      <c r="A268" t="inlineStr">
        <is>
          <t>United States</t>
        </is>
      </c>
      <c r="B268" t="inlineStr">
        <is>
          <t>USA</t>
        </is>
      </c>
      <c r="C268" t="inlineStr">
        <is>
          <t>SPXL.L</t>
        </is>
      </c>
      <c r="D268" t="inlineStr">
        <is>
          <t>MAX</t>
        </is>
      </c>
      <c r="E268" s="1" t="n">
        <v>45231</v>
      </c>
      <c r="F268" s="1" t="n">
        <v>46083</v>
      </c>
      <c r="G268" t="n">
        <v>24.05981380899436</v>
      </c>
      <c r="H268" t="inlineStr">
        <is>
          <t>United States|SPXL.L|MAX</t>
        </is>
      </c>
      <c r="I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YTD</t>
        </is>
      </c>
      <c r="E269" s="1" t="n">
        <v>46022</v>
      </c>
      <c r="F269" s="1" t="n">
        <v>46083</v>
      </c>
      <c r="G269" t="n">
        <v>-0.6313744536182608</v>
      </c>
      <c r="H269" t="inlineStr">
        <is>
          <t>Vietnam|XFVT.L|YTD</t>
        </is>
      </c>
      <c r="I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1 Month</t>
        </is>
      </c>
      <c r="E270" s="1" t="n">
        <v>46055</v>
      </c>
      <c r="F270" s="1" t="n">
        <v>46083</v>
      </c>
      <c r="G270" t="n">
        <v>4.941015558215089</v>
      </c>
      <c r="H270" t="inlineStr">
        <is>
          <t>Vietnam|XFVT.L|1 Month</t>
        </is>
      </c>
      <c r="I270" t="inlineStr">
        <is>
          <t>GBp</t>
        </is>
      </c>
    </row>
    <row r="271">
      <c r="A271" t="inlineStr">
        <is>
          <t>Vietnam</t>
        </is>
      </c>
      <c r="B271" t="inlineStr">
        <is>
          <t>VNM</t>
        </is>
      </c>
      <c r="C271" t="inlineStr">
        <is>
          <t>XFVT.L</t>
        </is>
      </c>
      <c r="D271" t="inlineStr">
        <is>
          <t>3 Months</t>
        </is>
      </c>
      <c r="E271" s="1" t="n">
        <v>45993</v>
      </c>
      <c r="F271" s="1" t="n">
        <v>46083</v>
      </c>
      <c r="G271" t="n">
        <v>1.555261416280618</v>
      </c>
      <c r="H271" t="inlineStr">
        <is>
          <t>Vietnam|XFVT.L|3 Months</t>
        </is>
      </c>
      <c r="I271" t="inlineStr">
        <is>
          <t>GBp</t>
        </is>
      </c>
    </row>
    <row r="272">
      <c r="A272" t="inlineStr">
        <is>
          <t>Vietnam</t>
        </is>
      </c>
      <c r="B272" t="inlineStr">
        <is>
          <t>VNM</t>
        </is>
      </c>
      <c r="C272" t="inlineStr">
        <is>
          <t>XFVT.L</t>
        </is>
      </c>
      <c r="D272" t="inlineStr">
        <is>
          <t>6 Months</t>
        </is>
      </c>
      <c r="E272" s="1" t="n">
        <v>45902</v>
      </c>
      <c r="F272" s="1" t="n">
        <v>46083</v>
      </c>
      <c r="G272" t="n">
        <v>7.797681770284526</v>
      </c>
      <c r="H272" t="inlineStr">
        <is>
          <t>Vietnam|XFVT.L|6 Months</t>
        </is>
      </c>
      <c r="I272" t="inlineStr">
        <is>
          <t>GBp</t>
        </is>
      </c>
    </row>
    <row r="273">
      <c r="A273" t="inlineStr">
        <is>
          <t>Vietnam</t>
        </is>
      </c>
      <c r="B273" t="inlineStr">
        <is>
          <t>VNM</t>
        </is>
      </c>
      <c r="C273" t="inlineStr">
        <is>
          <t>XFVT.L</t>
        </is>
      </c>
      <c r="D273" t="inlineStr">
        <is>
          <t>1 Year</t>
        </is>
      </c>
      <c r="E273" s="1" t="n">
        <v>45716</v>
      </c>
      <c r="F273" s="1" t="n">
        <v>46083</v>
      </c>
      <c r="G273" t="n">
        <v>53.8731511657057</v>
      </c>
      <c r="H273" t="inlineStr">
        <is>
          <t>Vietnam|XFVT.L|1 Year</t>
        </is>
      </c>
      <c r="I273" t="inlineStr">
        <is>
          <t>GBp</t>
        </is>
      </c>
    </row>
    <row r="274">
      <c r="A274" t="inlineStr">
        <is>
          <t>Vietnam</t>
        </is>
      </c>
      <c r="B274" t="inlineStr">
        <is>
          <t>VNM</t>
        </is>
      </c>
      <c r="C274" t="inlineStr">
        <is>
          <t>XFVT.L</t>
        </is>
      </c>
      <c r="D274" t="inlineStr">
        <is>
          <t>3 Years</t>
        </is>
      </c>
      <c r="E274" s="1" t="n">
        <v>44987</v>
      </c>
      <c r="F274" s="1" t="n">
        <v>46083</v>
      </c>
      <c r="G274" t="n">
        <v>45.3813358597821</v>
      </c>
      <c r="H274" t="inlineStr">
        <is>
          <t>Vietnam|XFVT.L|3 Years</t>
        </is>
      </c>
      <c r="I274" t="inlineStr">
        <is>
          <t>GBp</t>
        </is>
      </c>
    </row>
    <row r="275">
      <c r="A275" t="inlineStr">
        <is>
          <t>Vietnam</t>
        </is>
      </c>
      <c r="B275" t="inlineStr">
        <is>
          <t>VNM</t>
        </is>
      </c>
      <c r="C275" t="inlineStr">
        <is>
          <t>XFVT.L</t>
        </is>
      </c>
      <c r="D275" t="inlineStr">
        <is>
          <t>5 Years</t>
        </is>
      </c>
      <c r="E275" s="1" t="n">
        <v>44257</v>
      </c>
      <c r="F275" s="1" t="n">
        <v>46083</v>
      </c>
      <c r="G275" t="n">
        <v>11.57971277949466</v>
      </c>
      <c r="H275" t="inlineStr">
        <is>
          <t>Vietnam|XFVT.L|5 Years</t>
        </is>
      </c>
      <c r="I275" t="inlineStr">
        <is>
          <t>GBp</t>
        </is>
      </c>
    </row>
    <row r="276">
      <c r="A276" t="inlineStr">
        <is>
          <t>Vietnam</t>
        </is>
      </c>
      <c r="B276" t="inlineStr">
        <is>
          <t>VNM</t>
        </is>
      </c>
      <c r="C276" t="inlineStr">
        <is>
          <t>XFVT.L</t>
        </is>
      </c>
      <c r="D276" t="inlineStr">
        <is>
          <t>10 Years</t>
        </is>
      </c>
      <c r="E276" s="1" t="n">
        <v>42431</v>
      </c>
      <c r="F276" s="1" t="n">
        <v>46083</v>
      </c>
      <c r="G276" t="n">
        <v>93.84178114637614</v>
      </c>
      <c r="H276" t="inlineStr">
        <is>
          <t>Vietnam|XFVT.L|10 Years</t>
        </is>
      </c>
      <c r="I276" t="inlineStr">
        <is>
          <t>GBp</t>
        </is>
      </c>
    </row>
    <row r="277">
      <c r="A277" t="inlineStr">
        <is>
          <t>Vietnam</t>
        </is>
      </c>
      <c r="B277" t="inlineStr">
        <is>
          <t>VNM</t>
        </is>
      </c>
      <c r="C277" t="inlineStr">
        <is>
          <t>XFVT.L</t>
        </is>
      </c>
      <c r="D277" t="inlineStr">
        <is>
          <t>MAX</t>
        </is>
      </c>
      <c r="E277" s="1" t="n">
        <v>39818</v>
      </c>
      <c r="F277" s="1" t="n">
        <v>46083</v>
      </c>
      <c r="G277" t="n">
        <v>29.98729351969505</v>
      </c>
      <c r="H277" t="inlineStr">
        <is>
          <t>Vietnam|XFVT.L|MAX</t>
        </is>
      </c>
      <c r="I277" t="inlineStr">
        <is>
          <t>GBp</t>
        </is>
      </c>
    </row>
  </sheetData>
  <autoFilter ref="A1:I27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-33.82895692424032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1.784727267423008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9.526825779922415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-19.6359801915798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-6.396950764505117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-25.26629803008734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11.51032612776998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-14.35916182122178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21.66726634595596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-2.322792802530375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14.17981826877093</v>
      </c>
      <c r="F13" t="n">
        <v>2.149</v>
      </c>
      <c r="G13" t="n">
        <v>5.21892</v>
      </c>
      <c r="H13" t="n">
        <v>6.489122</v>
      </c>
      <c r="I13" t="n">
        <v>-7.690696268770926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n">
        <v>2015</v>
      </c>
      <c r="E14" t="n">
        <v>-37.88392398561889</v>
      </c>
      <c r="F14" t="n">
        <v>-3.546</v>
      </c>
      <c r="G14" t="inlineStr"/>
      <c r="H14" t="inlineStr"/>
      <c r="I14" t="inlineStr"/>
      <c r="J14" t="inlineStr">
        <is>
          <t>Brazil|XMBR.L|2015</t>
        </is>
      </c>
      <c r="K14" t="inlineStr">
        <is>
          <t>Brazil|2015</t>
        </is>
      </c>
      <c r="L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n">
        <v>2016</v>
      </c>
      <c r="E15" t="n">
        <v>105.2944171050399</v>
      </c>
      <c r="F15" t="n">
        <v>-3.276</v>
      </c>
      <c r="G15" t="n">
        <v>4.562203</v>
      </c>
      <c r="H15" t="n">
        <v>-0.190217</v>
      </c>
      <c r="I15" t="n">
        <v>-105.4846341050399</v>
      </c>
      <c r="J15" t="inlineStr">
        <is>
          <t>Brazil|XMBR.L|2016</t>
        </is>
      </c>
      <c r="K15" t="inlineStr">
        <is>
          <t>Brazil|2016</t>
        </is>
      </c>
      <c r="L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n">
        <v>2017</v>
      </c>
      <c r="E16" t="n">
        <v>10.3247697527872</v>
      </c>
      <c r="F16" t="n">
        <v>1.323</v>
      </c>
      <c r="G16" t="n">
        <v>5.042838</v>
      </c>
      <c r="H16" t="n">
        <v>14.85549</v>
      </c>
      <c r="I16" t="n">
        <v>4.5307202472128</v>
      </c>
      <c r="J16" t="inlineStr">
        <is>
          <t>Brazil|XMBR.L|2017</t>
        </is>
      </c>
      <c r="K16" t="inlineStr">
        <is>
          <t>Brazil|2017</t>
        </is>
      </c>
      <c r="L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2018</v>
      </c>
      <c r="E17" t="n">
        <v>2.443218456688401</v>
      </c>
      <c r="F17" t="n">
        <v>1.784</v>
      </c>
      <c r="G17" t="n">
        <v>6.357351</v>
      </c>
      <c r="H17" t="n">
        <v>-7.103642</v>
      </c>
      <c r="I17" t="n">
        <v>-9.5468604566884</v>
      </c>
      <c r="J17" t="inlineStr">
        <is>
          <t>Brazil|XMBR.L|2018</t>
        </is>
      </c>
      <c r="K17" t="inlineStr">
        <is>
          <t>Brazil|2018</t>
        </is>
      </c>
      <c r="L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2019</v>
      </c>
      <c r="E18" t="n">
        <v>13.68379342226918</v>
      </c>
      <c r="F18" t="n">
        <v>1.221</v>
      </c>
      <c r="G18" t="n">
        <v>5.496606</v>
      </c>
      <c r="H18" t="n">
        <v>-2.276969</v>
      </c>
      <c r="I18" t="n">
        <v>-15.96076242226918</v>
      </c>
      <c r="J18" t="inlineStr">
        <is>
          <t>Brazil|XMBR.L|2019</t>
        </is>
      </c>
      <c r="K18" t="inlineStr">
        <is>
          <t>Brazil|2019</t>
        </is>
      </c>
      <c r="L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2020</v>
      </c>
      <c r="E19" t="n">
        <v>-23.38314132542488</v>
      </c>
      <c r="F19" t="n">
        <v>-3.277</v>
      </c>
      <c r="G19" t="n">
        <v>2.983653</v>
      </c>
      <c r="H19" t="n">
        <v>-21.203062</v>
      </c>
      <c r="I19" t="n">
        <v>2.180079325424884</v>
      </c>
      <c r="J19" t="inlineStr">
        <is>
          <t>Brazil|XMBR.L|2020</t>
        </is>
      </c>
      <c r="K19" t="inlineStr">
        <is>
          <t>Brazil|2020</t>
        </is>
      </c>
      <c r="L19" t="inlineStr">
        <is>
          <t>GBp</t>
        </is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2021</v>
      </c>
      <c r="E20" t="n">
        <v>-16.78624813153962</v>
      </c>
      <c r="F20" t="n">
        <v>4.763</v>
      </c>
      <c r="G20" t="n">
        <v>18.431265</v>
      </c>
      <c r="H20" t="n">
        <v>13.180615</v>
      </c>
      <c r="I20" t="n">
        <v>29.96686313153961</v>
      </c>
      <c r="J20" t="inlineStr">
        <is>
          <t>Brazil|XMBR.L|2021</t>
        </is>
      </c>
      <c r="K20" t="inlineStr">
        <is>
          <t>Brazil|2021</t>
        </is>
      </c>
      <c r="L20" t="inlineStr">
        <is>
          <t>GBp</t>
        </is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2022</v>
      </c>
      <c r="E21" t="n">
        <v>29.69270640503516</v>
      </c>
      <c r="F21" t="n">
        <v>3.017</v>
      </c>
      <c r="G21" t="n">
        <v>11.845508</v>
      </c>
      <c r="H21" t="n">
        <v>16.831712</v>
      </c>
      <c r="I21" t="n">
        <v>-12.86099440503516</v>
      </c>
      <c r="J21" t="inlineStr">
        <is>
          <t>Brazil|XMBR.L|2022</t>
        </is>
      </c>
      <c r="K21" t="inlineStr">
        <is>
          <t>Brazil|2022</t>
        </is>
      </c>
      <c r="L21" t="inlineStr">
        <is>
          <t>GBp</t>
        </is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2023</v>
      </c>
      <c r="E22" t="n">
        <v>32.01622596153846</v>
      </c>
      <c r="F22" t="n">
        <v>3.242</v>
      </c>
      <c r="G22" t="n">
        <v>8.56841</v>
      </c>
      <c r="H22" t="n">
        <v>12.259555</v>
      </c>
      <c r="I22" t="n">
        <v>-19.75667096153846</v>
      </c>
      <c r="J22" t="inlineStr">
        <is>
          <t>Brazil|XMBR.L|2023</t>
        </is>
      </c>
      <c r="K22" t="inlineStr">
        <is>
          <t>Brazil|2023</t>
        </is>
      </c>
      <c r="L22" t="inlineStr">
        <is>
          <t>GBp</t>
        </is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2024</v>
      </c>
      <c r="E23" t="n">
        <v>-28.08666743092974</v>
      </c>
      <c r="F23" t="n">
        <v>3.396</v>
      </c>
      <c r="G23" t="n">
        <v>7.322853</v>
      </c>
      <c r="H23" t="n">
        <v>-0.535065</v>
      </c>
      <c r="I23" t="n">
        <v>27.55160243092974</v>
      </c>
      <c r="J23" t="inlineStr">
        <is>
          <t>Brazil|XMBR.L|2024</t>
        </is>
      </c>
      <c r="K23" t="inlineStr">
        <is>
          <t>Brazil|2024</t>
        </is>
      </c>
      <c r="L23" t="inlineStr">
        <is>
          <t>GBp</t>
        </is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2025</v>
      </c>
      <c r="E24" t="n">
        <v>35.96174949051576</v>
      </c>
      <c r="F24" t="n">
        <v>2.4</v>
      </c>
      <c r="G24" t="n">
        <v>7.880595</v>
      </c>
      <c r="H24" t="n">
        <v>3.555866</v>
      </c>
      <c r="I24" t="n">
        <v>-32.40588349051576</v>
      </c>
      <c r="J24" t="inlineStr">
        <is>
          <t>Brazil|XMBR.L|2025</t>
        </is>
      </c>
      <c r="K24" t="inlineStr">
        <is>
          <t>Brazil|2025</t>
        </is>
      </c>
      <c r="L24" t="inlineStr">
        <is>
          <t>GBp</t>
        </is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2026</v>
      </c>
      <c r="E25" t="n">
        <v>20.64367816091954</v>
      </c>
      <c r="F25" t="n">
        <v>1.942</v>
      </c>
      <c r="G25" t="n">
        <v>6.700485</v>
      </c>
      <c r="H25" t="n">
        <v>1.585353</v>
      </c>
      <c r="I25" t="n">
        <v>-19.05832516091954</v>
      </c>
      <c r="J25" t="inlineStr">
        <is>
          <t>Brazil|XMBR.L|2026</t>
        </is>
      </c>
      <c r="K25" t="inlineStr">
        <is>
          <t>Brazil|2026</t>
        </is>
      </c>
      <c r="L25" t="inlineStr">
        <is>
          <t>GBp</t>
        </is>
      </c>
    </row>
    <row r="26">
      <c r="A26" t="inlineStr">
        <is>
          <t>Bulgaria</t>
        </is>
      </c>
      <c r="B26" t="inlineStr">
        <is>
          <t>BGR</t>
        </is>
      </c>
      <c r="C26" t="inlineStr">
        <is>
          <t>BGX.L</t>
        </is>
      </c>
      <c r="D26" t="n">
        <v>2015</v>
      </c>
      <c r="E26" t="inlineStr"/>
      <c r="F26" t="n">
        <v>3.398</v>
      </c>
      <c r="G26" t="inlineStr"/>
      <c r="H26" t="inlineStr"/>
      <c r="I26" t="inlineStr"/>
      <c r="J26" t="inlineStr">
        <is>
          <t>Bulgaria|BGX.L|2015</t>
        </is>
      </c>
      <c r="K26" t="inlineStr">
        <is>
          <t>Bulgaria|2015</t>
        </is>
      </c>
      <c r="L26" t="inlineStr">
        <is>
          <t>EUR</t>
        </is>
      </c>
    </row>
    <row r="27">
      <c r="A27" t="inlineStr">
        <is>
          <t>Bulgaria</t>
        </is>
      </c>
      <c r="B27" t="inlineStr">
        <is>
          <t>BGR</t>
        </is>
      </c>
      <c r="C27" t="inlineStr">
        <is>
          <t>BGX.L</t>
        </is>
      </c>
      <c r="D27" t="n">
        <v>2016</v>
      </c>
      <c r="E27" t="inlineStr"/>
      <c r="F27" t="n">
        <v>3.027</v>
      </c>
      <c r="G27" t="n">
        <v>6.450749</v>
      </c>
      <c r="H27" t="n">
        <v>6.230548</v>
      </c>
      <c r="I27" t="inlineStr"/>
      <c r="J27" t="inlineStr">
        <is>
          <t>Bulgaria|BGX.L|2016</t>
        </is>
      </c>
      <c r="K27" t="inlineStr">
        <is>
          <t>Bulgaria|2016</t>
        </is>
      </c>
      <c r="L27" t="inlineStr">
        <is>
          <t>EUR</t>
        </is>
      </c>
    </row>
    <row r="28">
      <c r="A28" t="inlineStr">
        <is>
          <t>Bulgaria</t>
        </is>
      </c>
      <c r="B28" t="inlineStr">
        <is>
          <t>BGR</t>
        </is>
      </c>
      <c r="C28" t="inlineStr">
        <is>
          <t>BGX.L</t>
        </is>
      </c>
      <c r="D28" t="n">
        <v>2017</v>
      </c>
      <c r="E28" t="inlineStr"/>
      <c r="F28" t="n">
        <v>2.746</v>
      </c>
      <c r="G28" t="n">
        <v>7.691743</v>
      </c>
      <c r="H28" t="n">
        <v>9.937139999999999</v>
      </c>
      <c r="I28" t="inlineStr"/>
      <c r="J28" t="inlineStr">
        <is>
          <t>Bulgaria|BGX.L|2017</t>
        </is>
      </c>
      <c r="K28" t="inlineStr">
        <is>
          <t>Bulgaria|2017</t>
        </is>
      </c>
      <c r="L28" t="inlineStr">
        <is>
          <t>EUR</t>
        </is>
      </c>
    </row>
    <row r="29">
      <c r="A29" t="inlineStr">
        <is>
          <t>Bulgaria</t>
        </is>
      </c>
      <c r="B29" t="inlineStr">
        <is>
          <t>BGR</t>
        </is>
      </c>
      <c r="C29" t="inlineStr">
        <is>
          <t>BGX.L</t>
        </is>
      </c>
      <c r="D29" t="n">
        <v>2018</v>
      </c>
      <c r="E29" t="n">
        <v>-7.342956228597242</v>
      </c>
      <c r="F29" t="n">
        <v>2.549</v>
      </c>
      <c r="G29" t="n">
        <v>6.913511</v>
      </c>
      <c r="H29" t="n">
        <v>11.857374</v>
      </c>
      <c r="I29" t="n">
        <v>19.20033022859724</v>
      </c>
      <c r="J29" t="inlineStr">
        <is>
          <t>Bulgaria|BGX.L|2018</t>
        </is>
      </c>
      <c r="K29" t="inlineStr">
        <is>
          <t>Bulgaria|2018</t>
        </is>
      </c>
      <c r="L29" t="inlineStr">
        <is>
          <t>EUR</t>
        </is>
      </c>
    </row>
    <row r="30">
      <c r="A30" t="inlineStr">
        <is>
          <t>Bulgaria</t>
        </is>
      </c>
      <c r="B30" t="inlineStr">
        <is>
          <t>BGR</t>
        </is>
      </c>
      <c r="C30" t="inlineStr">
        <is>
          <t>BGX.L</t>
        </is>
      </c>
      <c r="D30" t="n">
        <v>2019</v>
      </c>
      <c r="E30" t="n">
        <v>-10.20695652954048</v>
      </c>
      <c r="F30" t="n">
        <v>3.789</v>
      </c>
      <c r="G30" t="n">
        <v>9.221913000000001</v>
      </c>
      <c r="H30" t="n">
        <v>3.499804</v>
      </c>
      <c r="I30" t="n">
        <v>13.70676052954048</v>
      </c>
      <c r="J30" t="inlineStr">
        <is>
          <t>Bulgaria|BGX.L|2019</t>
        </is>
      </c>
      <c r="K30" t="inlineStr">
        <is>
          <t>Bulgaria|2019</t>
        </is>
      </c>
      <c r="L30" t="inlineStr">
        <is>
          <t>EUR</t>
        </is>
      </c>
    </row>
    <row r="31">
      <c r="A31" t="inlineStr">
        <is>
          <t>Bulgaria</t>
        </is>
      </c>
      <c r="B31" t="inlineStr">
        <is>
          <t>BGR</t>
        </is>
      </c>
      <c r="C31" t="inlineStr">
        <is>
          <t>BGX.L</t>
        </is>
      </c>
      <c r="D31" t="n">
        <v>2020</v>
      </c>
      <c r="E31" t="n">
        <v>-18.72184664115499</v>
      </c>
      <c r="F31" t="n">
        <v>-3.216</v>
      </c>
      <c r="G31" t="n">
        <v>0.985772</v>
      </c>
      <c r="H31" t="n">
        <v>2.941476</v>
      </c>
      <c r="I31" t="n">
        <v>21.66332264115499</v>
      </c>
      <c r="J31" t="inlineStr">
        <is>
          <t>Bulgaria|BGX.L|2020</t>
        </is>
      </c>
      <c r="K31" t="inlineStr">
        <is>
          <t>Bulgaria|2020</t>
        </is>
      </c>
      <c r="L31" t="inlineStr">
        <is>
          <t>EUR</t>
        </is>
      </c>
    </row>
    <row r="32">
      <c r="A32" t="inlineStr">
        <is>
          <t>Bulgaria</t>
        </is>
      </c>
      <c r="B32" t="inlineStr">
        <is>
          <t>BGR</t>
        </is>
      </c>
      <c r="C32" t="inlineStr">
        <is>
          <t>BGX.L</t>
        </is>
      </c>
      <c r="D32" t="n">
        <v>2021</v>
      </c>
      <c r="E32" t="n">
        <v>34.4021881397508</v>
      </c>
      <c r="F32" t="n">
        <v>7.781</v>
      </c>
      <c r="G32" t="n">
        <v>15.289707</v>
      </c>
      <c r="H32" t="n">
        <v>19.557587</v>
      </c>
      <c r="I32" t="n">
        <v>-14.8446011397508</v>
      </c>
      <c r="J32" t="inlineStr">
        <is>
          <t>Bulgaria|BGX.L|2021</t>
        </is>
      </c>
      <c r="K32" t="inlineStr">
        <is>
          <t>Bulgaria|2021</t>
        </is>
      </c>
      <c r="L32" t="inlineStr">
        <is>
          <t>EUR</t>
        </is>
      </c>
    </row>
    <row r="33">
      <c r="A33" t="inlineStr">
        <is>
          <t>Bulgaria</t>
        </is>
      </c>
      <c r="B33" t="inlineStr">
        <is>
          <t>BGR</t>
        </is>
      </c>
      <c r="C33" t="inlineStr">
        <is>
          <t>BGX.L</t>
        </is>
      </c>
      <c r="D33" t="n">
        <v>2022</v>
      </c>
      <c r="E33" t="n">
        <v>-9.284263841856966</v>
      </c>
      <c r="F33" t="n">
        <v>4.039</v>
      </c>
      <c r="G33" t="n">
        <v>20.599991</v>
      </c>
      <c r="H33" t="n">
        <v>7.388993</v>
      </c>
      <c r="I33" t="n">
        <v>16.67325684185696</v>
      </c>
      <c r="J33" t="inlineStr">
        <is>
          <t>Bulgaria|BGX.L|2022</t>
        </is>
      </c>
      <c r="K33" t="inlineStr">
        <is>
          <t>Bulgaria|2022</t>
        </is>
      </c>
      <c r="L33" t="inlineStr">
        <is>
          <t>EUR</t>
        </is>
      </c>
    </row>
    <row r="34">
      <c r="A34" t="inlineStr">
        <is>
          <t>Bulgaria</t>
        </is>
      </c>
      <c r="B34" t="inlineStr">
        <is>
          <t>BGR</t>
        </is>
      </c>
      <c r="C34" t="inlineStr">
        <is>
          <t>BGX.L</t>
        </is>
      </c>
      <c r="D34" t="n">
        <v>2023</v>
      </c>
      <c r="E34" t="n">
        <v>19.51325215324602</v>
      </c>
      <c r="F34" t="n">
        <v>1.887</v>
      </c>
      <c r="G34" t="n">
        <v>10.021977</v>
      </c>
      <c r="H34" t="n">
        <v>12.913502</v>
      </c>
      <c r="I34" t="n">
        <v>-6.599750153246019</v>
      </c>
      <c r="J34" t="inlineStr">
        <is>
          <t>Bulgaria|BGX.L|2023</t>
        </is>
      </c>
      <c r="K34" t="inlineStr">
        <is>
          <t>Bulgaria|2023</t>
        </is>
      </c>
      <c r="L34" t="inlineStr">
        <is>
          <t>EUR</t>
        </is>
      </c>
    </row>
    <row r="35">
      <c r="A35" t="inlineStr">
        <is>
          <t>Bulgaria</t>
        </is>
      </c>
      <c r="B35" t="inlineStr">
        <is>
          <t>BGR</t>
        </is>
      </c>
      <c r="C35" t="inlineStr">
        <is>
          <t>BGX.L</t>
        </is>
      </c>
      <c r="D35" t="n">
        <v>2024</v>
      </c>
      <c r="E35" t="n">
        <v>12.34699016644996</v>
      </c>
      <c r="F35" t="n">
        <v>2.811</v>
      </c>
      <c r="G35" t="n">
        <v>9.516662999999999</v>
      </c>
      <c r="H35" t="n">
        <v>9.565182999999999</v>
      </c>
      <c r="I35" t="n">
        <v>-2.781807166449957</v>
      </c>
      <c r="J35" t="inlineStr">
        <is>
          <t>Bulgaria|BGX.L|2024</t>
        </is>
      </c>
      <c r="K35" t="inlineStr">
        <is>
          <t>Bulgaria|2024</t>
        </is>
      </c>
      <c r="L35" t="inlineStr">
        <is>
          <t>EUR</t>
        </is>
      </c>
    </row>
    <row r="36">
      <c r="A36" t="inlineStr">
        <is>
          <t>Bulgaria</t>
        </is>
      </c>
      <c r="B36" t="inlineStr">
        <is>
          <t>BGR</t>
        </is>
      </c>
      <c r="C36" t="inlineStr">
        <is>
          <t>BGX.L</t>
        </is>
      </c>
      <c r="D36" t="n">
        <v>2025</v>
      </c>
      <c r="E36" t="n">
        <v>27.76183379721004</v>
      </c>
      <c r="F36" t="n">
        <v>3.05</v>
      </c>
      <c r="G36" t="n">
        <v>9.189544</v>
      </c>
      <c r="H36" t="n">
        <v>13.981752</v>
      </c>
      <c r="I36" t="n">
        <v>-13.78008179721004</v>
      </c>
      <c r="J36" t="inlineStr">
        <is>
          <t>Bulgaria|BGX.L|2025</t>
        </is>
      </c>
      <c r="K36" t="inlineStr">
        <is>
          <t>Bulgaria|2025</t>
        </is>
      </c>
      <c r="L36" t="inlineStr">
        <is>
          <t>EUR</t>
        </is>
      </c>
    </row>
    <row r="37">
      <c r="A37" t="inlineStr">
        <is>
          <t>Bulgaria</t>
        </is>
      </c>
      <c r="B37" t="inlineStr">
        <is>
          <t>BGR</t>
        </is>
      </c>
      <c r="C37" t="inlineStr">
        <is>
          <t>BGX.L</t>
        </is>
      </c>
      <c r="D37" t="n">
        <v>2026</v>
      </c>
      <c r="E37" t="n">
        <v>10.94626924787498</v>
      </c>
      <c r="F37" t="n">
        <v>3.089</v>
      </c>
      <c r="G37" t="n">
        <v>7.583644</v>
      </c>
      <c r="H37" t="n">
        <v>11.162096</v>
      </c>
      <c r="I37" t="n">
        <v>0.2158267521250163</v>
      </c>
      <c r="J37" t="inlineStr">
        <is>
          <t>Bulgaria|BGX.L|2026</t>
        </is>
      </c>
      <c r="K37" t="inlineStr">
        <is>
          <t>Bulgaria|2026</t>
        </is>
      </c>
      <c r="L37" t="inlineStr">
        <is>
          <t>EUR</t>
        </is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n">
        <v>2015</v>
      </c>
      <c r="E38" t="n">
        <v>-20.18576245308225</v>
      </c>
      <c r="F38" t="n">
        <v>0.65</v>
      </c>
      <c r="G38" t="inlineStr"/>
      <c r="H38" t="inlineStr"/>
      <c r="I38" t="inlineStr"/>
      <c r="J38" t="inlineStr">
        <is>
          <t>Canada|CSCA.L|2015</t>
        </is>
      </c>
      <c r="K38" t="inlineStr">
        <is>
          <t>Canada|2015</t>
        </is>
      </c>
      <c r="L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n">
        <v>2016</v>
      </c>
      <c r="E39" t="n">
        <v>52.57496740547589</v>
      </c>
      <c r="F39" t="n">
        <v>1.039</v>
      </c>
      <c r="G39" t="n">
        <v>1.763127</v>
      </c>
      <c r="H39" t="n">
        <v>-1.831793</v>
      </c>
      <c r="I39" t="n">
        <v>-54.40676040547589</v>
      </c>
      <c r="J39" t="inlineStr">
        <is>
          <t>Canada|CSCA.L|2016</t>
        </is>
      </c>
      <c r="K39" t="inlineStr">
        <is>
          <t>Canada|2016</t>
        </is>
      </c>
      <c r="L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n">
        <v>2017</v>
      </c>
      <c r="E40" t="n">
        <v>4.695559691571383</v>
      </c>
      <c r="F40" t="n">
        <v>3.034</v>
      </c>
      <c r="G40" t="n">
        <v>5.682746</v>
      </c>
      <c r="H40" t="n">
        <v>7.936539</v>
      </c>
      <c r="I40" t="n">
        <v>3.240979308428617</v>
      </c>
      <c r="J40" t="inlineStr">
        <is>
          <t>Canada|CSCA.L|2017</t>
        </is>
      </c>
      <c r="K40" t="inlineStr">
        <is>
          <t>Canada|2017</t>
        </is>
      </c>
      <c r="L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n">
        <v>2018</v>
      </c>
      <c r="E41" t="n">
        <v>-11.89139532509951</v>
      </c>
      <c r="F41" t="n">
        <v>2.743</v>
      </c>
      <c r="G41" t="n">
        <v>4.439511</v>
      </c>
      <c r="H41" t="n">
        <v>4.610172</v>
      </c>
      <c r="I41" t="n">
        <v>16.50156732509951</v>
      </c>
      <c r="J41" t="inlineStr">
        <is>
          <t>Canada|CSCA.L|2018</t>
        </is>
      </c>
      <c r="K41" t="inlineStr">
        <is>
          <t>Canada|2018</t>
        </is>
      </c>
      <c r="L41" t="inlineStr">
        <is>
          <t>GBp</t>
        </is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n">
        <v>2019</v>
      </c>
      <c r="E42" t="n">
        <v>20.07651458916233</v>
      </c>
      <c r="F42" t="n">
        <v>1.908</v>
      </c>
      <c r="G42" t="n">
        <v>3.48387</v>
      </c>
      <c r="H42" t="n">
        <v>1.06793</v>
      </c>
      <c r="I42" t="n">
        <v>-19.00858458916233</v>
      </c>
      <c r="J42" t="inlineStr">
        <is>
          <t>Canada|CSCA.L|2019</t>
        </is>
      </c>
      <c r="K42" t="inlineStr">
        <is>
          <t>Canada|2019</t>
        </is>
      </c>
      <c r="L42" t="inlineStr">
        <is>
          <t>GBp</t>
        </is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n">
        <v>2020</v>
      </c>
      <c r="E43" t="n">
        <v>1.681545510367966</v>
      </c>
      <c r="F43" t="n">
        <v>-5.038</v>
      </c>
      <c r="G43" t="n">
        <v>-4.02133</v>
      </c>
      <c r="H43" t="n">
        <v>-5.048961</v>
      </c>
      <c r="I43" t="n">
        <v>-6.730506510367966</v>
      </c>
      <c r="J43" t="inlineStr">
        <is>
          <t>Canada|CSCA.L|2020</t>
        </is>
      </c>
      <c r="K43" t="inlineStr">
        <is>
          <t>Canada|2020</t>
        </is>
      </c>
      <c r="L43" t="inlineStr">
        <is>
          <t>GBp</t>
        </is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n">
        <v>2021</v>
      </c>
      <c r="E44" t="n">
        <v>25.51308779244847</v>
      </c>
      <c r="F44" t="n">
        <v>5.951</v>
      </c>
      <c r="G44" t="n">
        <v>14.198927</v>
      </c>
      <c r="H44" t="n">
        <v>22.147752</v>
      </c>
      <c r="I44" t="n">
        <v>-3.365335792448473</v>
      </c>
      <c r="J44" t="inlineStr">
        <is>
          <t>Canada|CSCA.L|2021</t>
        </is>
      </c>
      <c r="K44" t="inlineStr">
        <is>
          <t>Canada|2021</t>
        </is>
      </c>
      <c r="L44" t="inlineStr">
        <is>
          <t>GBp</t>
        </is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n">
        <v>2022</v>
      </c>
      <c r="E45" t="n">
        <v>-1.89243027888446</v>
      </c>
      <c r="F45" t="n">
        <v>4.189</v>
      </c>
      <c r="G45" t="n">
        <v>12.426838</v>
      </c>
      <c r="H45" t="n">
        <v>8.30847</v>
      </c>
      <c r="I45" t="n">
        <v>10.20090027888446</v>
      </c>
      <c r="J45" t="inlineStr">
        <is>
          <t>Canada|CSCA.L|2022</t>
        </is>
      </c>
      <c r="K45" t="inlineStr">
        <is>
          <t>Canada|2022</t>
        </is>
      </c>
      <c r="L45" t="inlineStr">
        <is>
          <t>GBp</t>
        </is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n">
        <v>2023</v>
      </c>
      <c r="E46" t="n">
        <v>7.801685224194976</v>
      </c>
      <c r="F46" t="n">
        <v>1.529</v>
      </c>
      <c r="G46" t="n">
        <v>2.906761</v>
      </c>
      <c r="H46" t="n">
        <v>-0.779351</v>
      </c>
      <c r="I46" t="n">
        <v>-8.581036224194976</v>
      </c>
      <c r="J46" t="inlineStr">
        <is>
          <t>Canada|CSCA.L|2023</t>
        </is>
      </c>
      <c r="K46" t="inlineStr">
        <is>
          <t>Canada|2023</t>
        </is>
      </c>
      <c r="L46" t="inlineStr">
        <is>
          <t>GBp</t>
        </is>
      </c>
    </row>
    <row r="47">
      <c r="A47" t="inlineStr">
        <is>
          <t>Canada</t>
        </is>
      </c>
      <c r="B47" t="inlineStr">
        <is>
          <t>CAN</t>
        </is>
      </c>
      <c r="C47" t="inlineStr">
        <is>
          <t>CSCA.L</t>
        </is>
      </c>
      <c r="D47" t="n">
        <v>2024</v>
      </c>
      <c r="E47" t="n">
        <v>13.72084928646016</v>
      </c>
      <c r="F47" t="n">
        <v>1.555</v>
      </c>
      <c r="G47" t="n">
        <v>4.722051</v>
      </c>
      <c r="H47" t="n">
        <v>3.234515</v>
      </c>
      <c r="I47" t="n">
        <v>-10.48633428646016</v>
      </c>
      <c r="J47" t="inlineStr">
        <is>
          <t>Canada|CSCA.L|2024</t>
        </is>
      </c>
      <c r="K47" t="inlineStr">
        <is>
          <t>Canada|2024</t>
        </is>
      </c>
      <c r="L47" t="inlineStr">
        <is>
          <t>GBp</t>
        </is>
      </c>
    </row>
    <row r="48">
      <c r="A48" t="inlineStr">
        <is>
          <t>Canada</t>
        </is>
      </c>
      <c r="B48" t="inlineStr">
        <is>
          <t>CAN</t>
        </is>
      </c>
      <c r="C48" t="inlineStr">
        <is>
          <t>CSCA.L</t>
        </is>
      </c>
      <c r="D48" t="n">
        <v>2025</v>
      </c>
      <c r="E48" t="n">
        <v>24.92570021914682</v>
      </c>
      <c r="F48" t="n">
        <v>1.153</v>
      </c>
      <c r="G48" t="n">
        <v>3.577136</v>
      </c>
      <c r="H48" t="n">
        <v>1.781126</v>
      </c>
      <c r="I48" t="n">
        <v>-23.14457421914682</v>
      </c>
      <c r="J48" t="inlineStr">
        <is>
          <t>Canada|CSCA.L|2025</t>
        </is>
      </c>
      <c r="K48" t="inlineStr">
        <is>
          <t>Canada|2025</t>
        </is>
      </c>
      <c r="L48" t="inlineStr">
        <is>
          <t>GBp</t>
        </is>
      </c>
    </row>
    <row r="49">
      <c r="A49" t="inlineStr">
        <is>
          <t>Canada</t>
        </is>
      </c>
      <c r="B49" t="inlineStr">
        <is>
          <t>CAN</t>
        </is>
      </c>
      <c r="C49" t="inlineStr">
        <is>
          <t>CSCA.L</t>
        </is>
      </c>
      <c r="D49" t="n">
        <v>2026</v>
      </c>
      <c r="E49" t="n">
        <v>7.962461300309598</v>
      </c>
      <c r="F49" t="n">
        <v>1.541</v>
      </c>
      <c r="G49" t="n">
        <v>4.015086</v>
      </c>
      <c r="H49" t="n">
        <v>6.009724</v>
      </c>
      <c r="I49" t="n">
        <v>-1.952737300309598</v>
      </c>
      <c r="J49" t="inlineStr">
        <is>
          <t>Canada|CSCA.L|2026</t>
        </is>
      </c>
      <c r="K49" t="inlineStr">
        <is>
          <t>Canada|2026</t>
        </is>
      </c>
      <c r="L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FRCH.L</t>
        </is>
      </c>
      <c r="D50" t="n">
        <v>2015</v>
      </c>
      <c r="E50" t="inlineStr"/>
      <c r="F50" t="n">
        <v>7.018</v>
      </c>
      <c r="G50" t="inlineStr"/>
      <c r="H50" t="inlineStr"/>
      <c r="I50" t="inlineStr"/>
      <c r="J50" t="inlineStr">
        <is>
          <t>China|FRCH.L|2015</t>
        </is>
      </c>
      <c r="K50" t="inlineStr">
        <is>
          <t>China|2015</t>
        </is>
      </c>
      <c r="L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FRCH.L</t>
        </is>
      </c>
      <c r="D51" t="n">
        <v>2016</v>
      </c>
      <c r="E51" t="inlineStr"/>
      <c r="F51" t="n">
        <v>6.776</v>
      </c>
      <c r="G51" t="n">
        <v>8.025846</v>
      </c>
      <c r="H51" t="n">
        <v>1.245018</v>
      </c>
      <c r="I51" t="inlineStr"/>
      <c r="J51" t="inlineStr">
        <is>
          <t>China|FRCH.L|2016</t>
        </is>
      </c>
      <c r="K51" t="inlineStr">
        <is>
          <t>China|2016</t>
        </is>
      </c>
      <c r="L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FRCH.L</t>
        </is>
      </c>
      <c r="D52" t="n">
        <v>2017</v>
      </c>
      <c r="E52" t="inlineStr"/>
      <c r="F52" t="n">
        <v>6.891</v>
      </c>
      <c r="G52" t="n">
        <v>11.094741</v>
      </c>
      <c r="H52" t="n">
        <v>9.218166999999999</v>
      </c>
      <c r="I52" t="inlineStr"/>
      <c r="J52" t="inlineStr">
        <is>
          <t>China|FRCH.L|2017</t>
        </is>
      </c>
      <c r="K52" t="inlineStr">
        <is>
          <t>China|2017</t>
        </is>
      </c>
      <c r="L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FRCH.L</t>
        </is>
      </c>
      <c r="D53" t="n">
        <v>2018</v>
      </c>
      <c r="E53" t="inlineStr"/>
      <c r="F53" t="n">
        <v>6.759</v>
      </c>
      <c r="G53" t="n">
        <v>10.474274</v>
      </c>
      <c r="H53" t="n">
        <v>12.857919</v>
      </c>
      <c r="I53" t="inlineStr"/>
      <c r="J53" t="inlineStr">
        <is>
          <t>China|FRCH.L|2018</t>
        </is>
      </c>
      <c r="K53" t="inlineStr">
        <is>
          <t>China|2018</t>
        </is>
      </c>
      <c r="L53" t="inlineStr">
        <is>
          <t>GBP</t>
        </is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FRCH.L</t>
        </is>
      </c>
      <c r="D54" t="n">
        <v>2019</v>
      </c>
      <c r="E54" t="n">
        <v>-10.87044106958419</v>
      </c>
      <c r="F54" t="n">
        <v>6.065</v>
      </c>
      <c r="G54" t="n">
        <v>7.834508</v>
      </c>
      <c r="H54" t="n">
        <v>3.270131</v>
      </c>
      <c r="I54" t="n">
        <v>14.14057206958419</v>
      </c>
      <c r="J54" t="inlineStr">
        <is>
          <t>China|FRCH.L|2019</t>
        </is>
      </c>
      <c r="K54" t="inlineStr">
        <is>
          <t>China|2019</t>
        </is>
      </c>
      <c r="L54" t="inlineStr">
        <is>
          <t>GBP</t>
        </is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FRCH.L</t>
        </is>
      </c>
      <c r="D55" t="n">
        <v>2020</v>
      </c>
      <c r="E55" t="n">
        <v>23.07524006097852</v>
      </c>
      <c r="F55" t="n">
        <v>2.337</v>
      </c>
      <c r="G55" t="n">
        <v>3.528489</v>
      </c>
      <c r="H55" t="n">
        <v>3.643509</v>
      </c>
      <c r="I55" t="n">
        <v>-19.43173106097852</v>
      </c>
      <c r="J55" t="inlineStr">
        <is>
          <t>China|FRCH.L|2020</t>
        </is>
      </c>
      <c r="K55" t="inlineStr">
        <is>
          <t>China|2020</t>
        </is>
      </c>
      <c r="L55" t="inlineStr">
        <is>
          <t>GBP</t>
        </is>
      </c>
    </row>
    <row r="56">
      <c r="A56" t="inlineStr">
        <is>
          <t>China</t>
        </is>
      </c>
      <c r="B56" t="inlineStr">
        <is>
          <t>CHN</t>
        </is>
      </c>
      <c r="C56" t="inlineStr">
        <is>
          <t>FRCH.L</t>
        </is>
      </c>
      <c r="D56" t="n">
        <v>2021</v>
      </c>
      <c r="E56" t="n">
        <v>-19.60732133084115</v>
      </c>
      <c r="F56" t="n">
        <v>8.555999999999999</v>
      </c>
      <c r="G56" t="n">
        <v>12.556051</v>
      </c>
      <c r="H56" t="n">
        <v>20.442118</v>
      </c>
      <c r="I56" t="n">
        <v>40.04943933084115</v>
      </c>
      <c r="J56" t="inlineStr">
        <is>
          <t>China|FRCH.L|2021</t>
        </is>
      </c>
      <c r="K56" t="inlineStr">
        <is>
          <t>China|2021</t>
        </is>
      </c>
      <c r="L56" t="inlineStr">
        <is>
          <t>GBP</t>
        </is>
      </c>
    </row>
    <row r="57">
      <c r="A57" t="inlineStr">
        <is>
          <t>China</t>
        </is>
      </c>
      <c r="B57" t="inlineStr">
        <is>
          <t>CHN</t>
        </is>
      </c>
      <c r="C57" t="inlineStr">
        <is>
          <t>FRCH.L</t>
        </is>
      </c>
      <c r="D57" t="n">
        <v>2022</v>
      </c>
      <c r="E57" t="n">
        <v>-11.50830910951064</v>
      </c>
      <c r="F57" t="n">
        <v>3.112</v>
      </c>
      <c r="G57" t="n">
        <v>5.140449</v>
      </c>
      <c r="H57" t="n">
        <v>0.643254</v>
      </c>
      <c r="I57" t="n">
        <v>12.15156310951064</v>
      </c>
      <c r="J57" t="inlineStr">
        <is>
          <t>China|FRCH.L|2022</t>
        </is>
      </c>
      <c r="K57" t="inlineStr">
        <is>
          <t>China|2022</t>
        </is>
      </c>
      <c r="L57" t="inlineStr">
        <is>
          <t>GBP</t>
        </is>
      </c>
    </row>
    <row r="58">
      <c r="A58" t="inlineStr">
        <is>
          <t>China</t>
        </is>
      </c>
      <c r="B58" t="inlineStr">
        <is>
          <t>CHN</t>
        </is>
      </c>
      <c r="C58" t="inlineStr">
        <is>
          <t>FRCH.L</t>
        </is>
      </c>
      <c r="D58" t="n">
        <v>2023</v>
      </c>
      <c r="E58" t="n">
        <v>-20.24672517688978</v>
      </c>
      <c r="F58" t="n">
        <v>5.377</v>
      </c>
      <c r="G58" t="n">
        <v>4.934187</v>
      </c>
      <c r="H58" t="n">
        <v>-0.204639</v>
      </c>
      <c r="I58" t="n">
        <v>20.04208617688978</v>
      </c>
      <c r="J58" t="inlineStr">
        <is>
          <t>China|FRCH.L|2023</t>
        </is>
      </c>
      <c r="K58" t="inlineStr">
        <is>
          <t>China|2023</t>
        </is>
      </c>
      <c r="L58" t="inlineStr">
        <is>
          <t>GBP</t>
        </is>
      </c>
    </row>
    <row r="59">
      <c r="A59" t="inlineStr">
        <is>
          <t>China</t>
        </is>
      </c>
      <c r="B59" t="inlineStr">
        <is>
          <t>CHN</t>
        </is>
      </c>
      <c r="C59" t="inlineStr">
        <is>
          <t>FRCH.L</t>
        </is>
      </c>
      <c r="D59" t="n">
        <v>2024</v>
      </c>
      <c r="E59" t="n">
        <v>21.9474252872935</v>
      </c>
      <c r="F59" t="n">
        <v>5.003</v>
      </c>
      <c r="G59" t="n">
        <v>4.244735</v>
      </c>
      <c r="H59" t="n">
        <v>2.623967</v>
      </c>
      <c r="I59" t="n">
        <v>-19.3234582872935</v>
      </c>
      <c r="J59" t="inlineStr">
        <is>
          <t>China|FRCH.L|2024</t>
        </is>
      </c>
      <c r="K59" t="inlineStr">
        <is>
          <t>China|2024</t>
        </is>
      </c>
      <c r="L59" t="inlineStr">
        <is>
          <t>GBP</t>
        </is>
      </c>
    </row>
    <row r="60">
      <c r="A60" t="inlineStr">
        <is>
          <t>China</t>
        </is>
      </c>
      <c r="B60" t="inlineStr">
        <is>
          <t>CHN</t>
        </is>
      </c>
      <c r="C60" t="inlineStr">
        <is>
          <t>FRCH.L</t>
        </is>
      </c>
      <c r="D60" t="n">
        <v>2025</v>
      </c>
      <c r="E60" t="n">
        <v>23.31919229212323</v>
      </c>
      <c r="F60" t="n">
        <v>4.796</v>
      </c>
      <c r="G60" t="n">
        <v>3.644671</v>
      </c>
      <c r="H60" t="n">
        <v>3.460407</v>
      </c>
      <c r="I60" t="n">
        <v>-19.85878529212323</v>
      </c>
      <c r="J60" t="inlineStr">
        <is>
          <t>China|FRCH.L|2025</t>
        </is>
      </c>
      <c r="K60" t="inlineStr">
        <is>
          <t>China|2025</t>
        </is>
      </c>
      <c r="L60" t="inlineStr">
        <is>
          <t>GBP</t>
        </is>
      </c>
    </row>
    <row r="61">
      <c r="A61" t="inlineStr">
        <is>
          <t>China</t>
        </is>
      </c>
      <c r="B61" t="inlineStr">
        <is>
          <t>CHN</t>
        </is>
      </c>
      <c r="C61" t="inlineStr">
        <is>
          <t>FRCH.L</t>
        </is>
      </c>
      <c r="D61" t="n">
        <v>2026</v>
      </c>
      <c r="E61" t="n">
        <v>-3.538212762622939</v>
      </c>
      <c r="F61" t="n">
        <v>4.163</v>
      </c>
      <c r="G61" t="n">
        <v>4.659559</v>
      </c>
      <c r="H61" t="n">
        <v>6.454994</v>
      </c>
      <c r="I61" t="n">
        <v>9.99320676262294</v>
      </c>
      <c r="J61" t="inlineStr">
        <is>
          <t>China|FRCH.L|2026</t>
        </is>
      </c>
      <c r="K61" t="inlineStr">
        <is>
          <t>China|2026</t>
        </is>
      </c>
      <c r="L61" t="inlineStr">
        <is>
          <t>GBP</t>
        </is>
      </c>
    </row>
    <row r="62">
      <c r="A62" t="inlineStr">
        <is>
          <t>China</t>
        </is>
      </c>
      <c r="B62" t="inlineStr">
        <is>
          <t>CHN</t>
        </is>
      </c>
      <c r="C62" t="inlineStr">
        <is>
          <t>IASH.L</t>
        </is>
      </c>
      <c r="D62" t="n">
        <v>2015</v>
      </c>
      <c r="E62" t="n">
        <v>-45.52325463110162</v>
      </c>
      <c r="F62" t="n">
        <v>7.018</v>
      </c>
      <c r="G62" t="inlineStr"/>
      <c r="H62" t="inlineStr"/>
      <c r="I62" t="inlineStr"/>
      <c r="J62" t="inlineStr">
        <is>
          <t>China|IASH.L|2015</t>
        </is>
      </c>
      <c r="K62" t="inlineStr">
        <is>
          <t>China|2015</t>
        </is>
      </c>
      <c r="L62" t="inlineStr">
        <is>
          <t>GBp</t>
        </is>
      </c>
    </row>
    <row r="63">
      <c r="A63" t="inlineStr">
        <is>
          <t>China</t>
        </is>
      </c>
      <c r="B63" t="inlineStr">
        <is>
          <t>CHN</t>
        </is>
      </c>
      <c r="C63" t="inlineStr">
        <is>
          <t>IASH.L</t>
        </is>
      </c>
      <c r="D63" t="n">
        <v>2016</v>
      </c>
      <c r="E63" t="n">
        <v>7.19257759648706</v>
      </c>
      <c r="F63" t="n">
        <v>6.776</v>
      </c>
      <c r="G63" t="n">
        <v>8.025846</v>
      </c>
      <c r="H63" t="n">
        <v>1.245018</v>
      </c>
      <c r="I63" t="n">
        <v>-5.94755959648706</v>
      </c>
      <c r="J63" t="inlineStr">
        <is>
          <t>China|IASH.L|2016</t>
        </is>
      </c>
      <c r="K63" t="inlineStr">
        <is>
          <t>China|2016</t>
        </is>
      </c>
      <c r="L63" t="inlineStr">
        <is>
          <t>GBp</t>
        </is>
      </c>
    </row>
    <row r="64">
      <c r="A64" t="inlineStr">
        <is>
          <t>China</t>
        </is>
      </c>
      <c r="B64" t="inlineStr">
        <is>
          <t>CHN</t>
        </is>
      </c>
      <c r="C64" t="inlineStr">
        <is>
          <t>IASH.L</t>
        </is>
      </c>
      <c r="D64" t="n">
        <v>2017</v>
      </c>
      <c r="E64" t="n">
        <v>16.93833654333832</v>
      </c>
      <c r="F64" t="n">
        <v>6.891</v>
      </c>
      <c r="G64" t="n">
        <v>11.094741</v>
      </c>
      <c r="H64" t="n">
        <v>9.218166999999999</v>
      </c>
      <c r="I64" t="n">
        <v>-7.720169543338317</v>
      </c>
      <c r="J64" t="inlineStr">
        <is>
          <t>China|IASH.L|2017</t>
        </is>
      </c>
      <c r="K64" t="inlineStr">
        <is>
          <t>China|2017</t>
        </is>
      </c>
      <c r="L64" t="inlineStr">
        <is>
          <t>GBp</t>
        </is>
      </c>
    </row>
    <row r="65">
      <c r="A65" t="inlineStr">
        <is>
          <t>China</t>
        </is>
      </c>
      <c r="B65" t="inlineStr">
        <is>
          <t>CHN</t>
        </is>
      </c>
      <c r="C65" t="inlineStr">
        <is>
          <t>IASH.L</t>
        </is>
      </c>
      <c r="D65" t="n">
        <v>2018</v>
      </c>
      <c r="E65" t="n">
        <v>-23.35946430862727</v>
      </c>
      <c r="F65" t="n">
        <v>6.759</v>
      </c>
      <c r="G65" t="n">
        <v>10.474274</v>
      </c>
      <c r="H65" t="n">
        <v>12.857919</v>
      </c>
      <c r="I65" t="n">
        <v>36.21738330862728</v>
      </c>
      <c r="J65" t="inlineStr">
        <is>
          <t>China|IASH.L|2018</t>
        </is>
      </c>
      <c r="K65" t="inlineStr">
        <is>
          <t>China|2018</t>
        </is>
      </c>
      <c r="L65" t="inlineStr">
        <is>
          <t>GBp</t>
        </is>
      </c>
    </row>
    <row r="66">
      <c r="A66" t="inlineStr">
        <is>
          <t>China</t>
        </is>
      </c>
      <c r="B66" t="inlineStr">
        <is>
          <t>CHN</t>
        </is>
      </c>
      <c r="C66" t="inlineStr">
        <is>
          <t>IASH.L</t>
        </is>
      </c>
      <c r="D66" t="n">
        <v>2019</v>
      </c>
      <c r="E66" t="n">
        <v>30.09538094455615</v>
      </c>
      <c r="F66" t="n">
        <v>6.065</v>
      </c>
      <c r="G66" t="n">
        <v>7.834508</v>
      </c>
      <c r="H66" t="n">
        <v>3.270131</v>
      </c>
      <c r="I66" t="n">
        <v>-26.82524994455615</v>
      </c>
      <c r="J66" t="inlineStr">
        <is>
          <t>China|IASH.L|2019</t>
        </is>
      </c>
      <c r="K66" t="inlineStr">
        <is>
          <t>China|2019</t>
        </is>
      </c>
      <c r="L66" t="inlineStr">
        <is>
          <t>GBp</t>
        </is>
      </c>
    </row>
    <row r="67">
      <c r="A67" t="inlineStr">
        <is>
          <t>China</t>
        </is>
      </c>
      <c r="B67" t="inlineStr">
        <is>
          <t>CHN</t>
        </is>
      </c>
      <c r="C67" t="inlineStr">
        <is>
          <t>IASH.L</t>
        </is>
      </c>
      <c r="D67" t="n">
        <v>2020</v>
      </c>
      <c r="E67" t="n">
        <v>34.60637862908649</v>
      </c>
      <c r="F67" t="n">
        <v>2.337</v>
      </c>
      <c r="G67" t="n">
        <v>3.528489</v>
      </c>
      <c r="H67" t="n">
        <v>3.643509</v>
      </c>
      <c r="I67" t="n">
        <v>-30.96286962908648</v>
      </c>
      <c r="J67" t="inlineStr">
        <is>
          <t>China|IASH.L|2020</t>
        </is>
      </c>
      <c r="K67" t="inlineStr">
        <is>
          <t>China|2020</t>
        </is>
      </c>
      <c r="L67" t="inlineStr">
        <is>
          <t>GBp</t>
        </is>
      </c>
    </row>
    <row r="68">
      <c r="A68" t="inlineStr">
        <is>
          <t>China</t>
        </is>
      </c>
      <c r="B68" t="inlineStr">
        <is>
          <t>CHN</t>
        </is>
      </c>
      <c r="C68" t="inlineStr">
        <is>
          <t>IASH.L</t>
        </is>
      </c>
      <c r="D68" t="n">
        <v>2021</v>
      </c>
      <c r="E68" t="n">
        <v>1.574716041712132</v>
      </c>
      <c r="F68" t="n">
        <v>8.555999999999999</v>
      </c>
      <c r="G68" t="n">
        <v>12.556051</v>
      </c>
      <c r="H68" t="n">
        <v>20.442118</v>
      </c>
      <c r="I68" t="n">
        <v>18.86740195828787</v>
      </c>
      <c r="J68" t="inlineStr">
        <is>
          <t>China|IASH.L|2021</t>
        </is>
      </c>
      <c r="K68" t="inlineStr">
        <is>
          <t>China|2021</t>
        </is>
      </c>
      <c r="L68" t="inlineStr">
        <is>
          <t>GBp</t>
        </is>
      </c>
    </row>
    <row r="69">
      <c r="A69" t="inlineStr">
        <is>
          <t>China</t>
        </is>
      </c>
      <c r="B69" t="inlineStr">
        <is>
          <t>CHN</t>
        </is>
      </c>
      <c r="C69" t="inlineStr">
        <is>
          <t>IASH.L</t>
        </is>
      </c>
      <c r="D69" t="n">
        <v>2022</v>
      </c>
      <c r="E69" t="n">
        <v>-16.15522663493669</v>
      </c>
      <c r="F69" t="n">
        <v>3.112</v>
      </c>
      <c r="G69" t="n">
        <v>5.140449</v>
      </c>
      <c r="H69" t="n">
        <v>0.643254</v>
      </c>
      <c r="I69" t="n">
        <v>16.79848063493669</v>
      </c>
      <c r="J69" t="inlineStr">
        <is>
          <t>China|IASH.L|2022</t>
        </is>
      </c>
      <c r="K69" t="inlineStr">
        <is>
          <t>China|2022</t>
        </is>
      </c>
      <c r="L69" t="inlineStr">
        <is>
          <t>GBp</t>
        </is>
      </c>
    </row>
    <row r="70">
      <c r="A70" t="inlineStr">
        <is>
          <t>China</t>
        </is>
      </c>
      <c r="B70" t="inlineStr">
        <is>
          <t>CHN</t>
        </is>
      </c>
      <c r="C70" t="inlineStr">
        <is>
          <t>IASH.L</t>
        </is>
      </c>
      <c r="D70" t="n">
        <v>2023</v>
      </c>
      <c r="E70" t="n">
        <v>-19.74632994062772</v>
      </c>
      <c r="F70" t="n">
        <v>5.377</v>
      </c>
      <c r="G70" t="n">
        <v>4.934187</v>
      </c>
      <c r="H70" t="n">
        <v>-0.204639</v>
      </c>
      <c r="I70" t="n">
        <v>19.54169094062772</v>
      </c>
      <c r="J70" t="inlineStr">
        <is>
          <t>China|IASH.L|2023</t>
        </is>
      </c>
      <c r="K70" t="inlineStr">
        <is>
          <t>China|2023</t>
        </is>
      </c>
      <c r="L70" t="inlineStr">
        <is>
          <t>GBp</t>
        </is>
      </c>
    </row>
    <row r="71">
      <c r="A71" t="inlineStr">
        <is>
          <t>China</t>
        </is>
      </c>
      <c r="B71" t="inlineStr">
        <is>
          <t>CHN</t>
        </is>
      </c>
      <c r="C71" t="inlineStr">
        <is>
          <t>IASH.L</t>
        </is>
      </c>
      <c r="D71" t="n">
        <v>2024</v>
      </c>
      <c r="E71" t="n">
        <v>13.75058122481656</v>
      </c>
      <c r="F71" t="n">
        <v>5.003</v>
      </c>
      <c r="G71" t="n">
        <v>4.244735</v>
      </c>
      <c r="H71" t="n">
        <v>2.623967</v>
      </c>
      <c r="I71" t="n">
        <v>-11.12661422481656</v>
      </c>
      <c r="J71" t="inlineStr">
        <is>
          <t>China|IASH.L|2024</t>
        </is>
      </c>
      <c r="K71" t="inlineStr">
        <is>
          <t>China|2024</t>
        </is>
      </c>
      <c r="L71" t="inlineStr">
        <is>
          <t>GBp</t>
        </is>
      </c>
    </row>
    <row r="72">
      <c r="A72" t="inlineStr">
        <is>
          <t>China</t>
        </is>
      </c>
      <c r="B72" t="inlineStr">
        <is>
          <t>CHN</t>
        </is>
      </c>
      <c r="C72" t="inlineStr">
        <is>
          <t>IASH.L</t>
        </is>
      </c>
      <c r="D72" t="n">
        <v>2025</v>
      </c>
      <c r="E72" t="n">
        <v>19.49281886573942</v>
      </c>
      <c r="F72" t="n">
        <v>4.796</v>
      </c>
      <c r="G72" t="n">
        <v>3.644671</v>
      </c>
      <c r="H72" t="n">
        <v>3.460407</v>
      </c>
      <c r="I72" t="n">
        <v>-16.03241186573942</v>
      </c>
      <c r="J72" t="inlineStr">
        <is>
          <t>China|IASH.L|2025</t>
        </is>
      </c>
      <c r="K72" t="inlineStr">
        <is>
          <t>China|2025</t>
        </is>
      </c>
      <c r="L72" t="inlineStr">
        <is>
          <t>GBp</t>
        </is>
      </c>
    </row>
    <row r="73">
      <c r="A73" t="inlineStr">
        <is>
          <t>China</t>
        </is>
      </c>
      <c r="B73" t="inlineStr">
        <is>
          <t>CHN</t>
        </is>
      </c>
      <c r="C73" t="inlineStr">
        <is>
          <t>IASH.L</t>
        </is>
      </c>
      <c r="D73" t="n">
        <v>2026</v>
      </c>
      <c r="E73" t="n">
        <v>3.836370491710306</v>
      </c>
      <c r="F73" t="n">
        <v>4.163</v>
      </c>
      <c r="G73" t="n">
        <v>4.659559</v>
      </c>
      <c r="H73" t="n">
        <v>6.454994</v>
      </c>
      <c r="I73" t="n">
        <v>2.618623508289694</v>
      </c>
      <c r="J73" t="inlineStr">
        <is>
          <t>China|IASH.L|2026</t>
        </is>
      </c>
      <c r="K73" t="inlineStr">
        <is>
          <t>China|2026</t>
        </is>
      </c>
      <c r="L73" t="inlineStr">
        <is>
          <t>GBp</t>
        </is>
      </c>
    </row>
    <row r="74">
      <c r="A74" t="inlineStr">
        <is>
          <t>France</t>
        </is>
      </c>
      <c r="B74" t="inlineStr">
        <is>
          <t>FRA</t>
        </is>
      </c>
      <c r="C74" t="inlineStr">
        <is>
          <t>ISFR.L</t>
        </is>
      </c>
      <c r="D74" t="n">
        <v>2015</v>
      </c>
      <c r="E74" t="n">
        <v>5.851063829787218</v>
      </c>
      <c r="F74" t="n">
        <v>0.998</v>
      </c>
      <c r="G74" t="inlineStr"/>
      <c r="H74" t="inlineStr"/>
      <c r="I74" t="inlineStr"/>
      <c r="J74" t="inlineStr">
        <is>
          <t>France|ISFR.L|2015</t>
        </is>
      </c>
      <c r="K74" t="inlineStr">
        <is>
          <t>France|2015</t>
        </is>
      </c>
      <c r="L74" t="inlineStr">
        <is>
          <t>GBp</t>
        </is>
      </c>
    </row>
    <row r="75">
      <c r="A75" t="inlineStr">
        <is>
          <t>France</t>
        </is>
      </c>
      <c r="B75" t="inlineStr">
        <is>
          <t>FRA</t>
        </is>
      </c>
      <c r="C75" t="inlineStr">
        <is>
          <t>ISFR.L</t>
        </is>
      </c>
      <c r="D75" t="n">
        <v>2016</v>
      </c>
      <c r="E75" t="n">
        <v>29.38290730699718</v>
      </c>
      <c r="F75" t="n">
        <v>0.735</v>
      </c>
      <c r="G75" t="n">
        <v>1.38171</v>
      </c>
      <c r="H75" t="n">
        <v>1.105116</v>
      </c>
      <c r="I75" t="n">
        <v>-28.27779130699718</v>
      </c>
      <c r="J75" t="inlineStr">
        <is>
          <t>France|ISFR.L|2016</t>
        </is>
      </c>
      <c r="K75" t="inlineStr">
        <is>
          <t>France|2016</t>
        </is>
      </c>
      <c r="L75" t="inlineStr">
        <is>
          <t>GBp</t>
        </is>
      </c>
    </row>
    <row r="76">
      <c r="A76" t="inlineStr">
        <is>
          <t>France</t>
        </is>
      </c>
      <c r="B76" t="inlineStr">
        <is>
          <t>FRA</t>
        </is>
      </c>
      <c r="C76" t="inlineStr">
        <is>
          <t>ISFR.L</t>
        </is>
      </c>
      <c r="D76" t="n">
        <v>2017</v>
      </c>
      <c r="E76" t="n">
        <v>18.65315852205005</v>
      </c>
      <c r="F76" t="n">
        <v>2.268</v>
      </c>
      <c r="G76" t="n">
        <v>2.682207</v>
      </c>
      <c r="H76" t="n">
        <v>4.78713</v>
      </c>
      <c r="I76" t="n">
        <v>-13.86602852205005</v>
      </c>
      <c r="J76" t="inlineStr">
        <is>
          <t>France|ISFR.L|2017</t>
        </is>
      </c>
      <c r="K76" t="inlineStr">
        <is>
          <t>France|2017</t>
        </is>
      </c>
      <c r="L76" t="inlineStr">
        <is>
          <t>GBp</t>
        </is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ISFR.L</t>
        </is>
      </c>
      <c r="D77" t="n">
        <v>2018</v>
      </c>
      <c r="E77" t="n">
        <v>-7.625983592834418</v>
      </c>
      <c r="F77" t="n">
        <v>1.593</v>
      </c>
      <c r="G77" t="n">
        <v>2.778834</v>
      </c>
      <c r="H77" t="n">
        <v>7.530386</v>
      </c>
      <c r="I77" t="n">
        <v>15.15636959283442</v>
      </c>
      <c r="J77" t="inlineStr">
        <is>
          <t>France|ISFR.L|2018</t>
        </is>
      </c>
      <c r="K77" t="inlineStr">
        <is>
          <t>France|2018</t>
        </is>
      </c>
      <c r="L77" t="inlineStr">
        <is>
          <t>GBp</t>
        </is>
      </c>
    </row>
    <row r="78">
      <c r="A78" t="inlineStr">
        <is>
          <t>France</t>
        </is>
      </c>
      <c r="B78" t="inlineStr">
        <is>
          <t>FRA</t>
        </is>
      </c>
      <c r="C78" t="inlineStr">
        <is>
          <t>ISFR.L</t>
        </is>
      </c>
      <c r="D78" t="n">
        <v>2019</v>
      </c>
      <c r="E78" t="n">
        <v>23.20391872278664</v>
      </c>
      <c r="F78" t="n">
        <v>2.091</v>
      </c>
      <c r="G78" t="n">
        <v>3.262512</v>
      </c>
      <c r="H78" t="n">
        <v>-2.146873</v>
      </c>
      <c r="I78" t="n">
        <v>-25.35079172278664</v>
      </c>
      <c r="J78" t="inlineStr">
        <is>
          <t>France|ISFR.L|2019</t>
        </is>
      </c>
      <c r="K78" t="inlineStr">
        <is>
          <t>France|2019</t>
        </is>
      </c>
      <c r="L78" t="inlineStr">
        <is>
          <t>GBp</t>
        </is>
      </c>
    </row>
    <row r="79">
      <c r="A79" t="inlineStr">
        <is>
          <t>France</t>
        </is>
      </c>
      <c r="B79" t="inlineStr">
        <is>
          <t>FRA</t>
        </is>
      </c>
      <c r="C79" t="inlineStr">
        <is>
          <t>ISFR.L</t>
        </is>
      </c>
      <c r="D79" t="n">
        <v>2020</v>
      </c>
      <c r="E79" t="n">
        <v>0.5099067599067419</v>
      </c>
      <c r="F79" t="n">
        <v>-7.603</v>
      </c>
      <c r="G79" t="n">
        <v>-4.684264</v>
      </c>
      <c r="H79" t="n">
        <v>-2.838242</v>
      </c>
      <c r="I79" t="n">
        <v>-3.348148759906742</v>
      </c>
      <c r="J79" t="inlineStr">
        <is>
          <t>France|ISFR.L|2020</t>
        </is>
      </c>
      <c r="K79" t="inlineStr">
        <is>
          <t>France|2020</t>
        </is>
      </c>
      <c r="L79" t="inlineStr">
        <is>
          <t>GBp</t>
        </is>
      </c>
    </row>
    <row r="80">
      <c r="A80" t="inlineStr">
        <is>
          <t>France</t>
        </is>
      </c>
      <c r="B80" t="inlineStr">
        <is>
          <t>FRA</t>
        </is>
      </c>
      <c r="C80" t="inlineStr">
        <is>
          <t>ISFR.L</t>
        </is>
      </c>
      <c r="D80" t="n">
        <v>2021</v>
      </c>
      <c r="E80" t="n">
        <v>19.09182498560737</v>
      </c>
      <c r="F80" t="n">
        <v>6.794</v>
      </c>
      <c r="G80" t="n">
        <v>8.18824</v>
      </c>
      <c r="H80" t="n">
        <v>12.192844</v>
      </c>
      <c r="I80" t="n">
        <v>-6.898980985607375</v>
      </c>
      <c r="J80" t="inlineStr">
        <is>
          <t>France|ISFR.L|2021</t>
        </is>
      </c>
      <c r="K80" t="inlineStr">
        <is>
          <t>France|2021</t>
        </is>
      </c>
      <c r="L80" t="inlineStr">
        <is>
          <t>GBp</t>
        </is>
      </c>
    </row>
    <row r="81">
      <c r="A81" t="inlineStr">
        <is>
          <t>France</t>
        </is>
      </c>
      <c r="B81" t="inlineStr">
        <is>
          <t>FRA</t>
        </is>
      </c>
      <c r="C81" t="inlineStr">
        <is>
          <t>ISFR.L</t>
        </is>
      </c>
      <c r="D81" t="n">
        <v>2022</v>
      </c>
      <c r="E81" t="n">
        <v>-2.64912489582092</v>
      </c>
      <c r="F81" t="n">
        <v>2.801</v>
      </c>
      <c r="G81" t="n">
        <v>5.816948</v>
      </c>
      <c r="H81" t="n">
        <v>-5.774751</v>
      </c>
      <c r="I81" t="n">
        <v>-3.12562610417908</v>
      </c>
      <c r="J81" t="inlineStr">
        <is>
          <t>France|ISFR.L|2022</t>
        </is>
      </c>
      <c r="K81" t="inlineStr">
        <is>
          <t>France|2022</t>
        </is>
      </c>
      <c r="L81" t="inlineStr">
        <is>
          <t>GBp</t>
        </is>
      </c>
    </row>
    <row r="82">
      <c r="A82" t="inlineStr">
        <is>
          <t>France</t>
        </is>
      </c>
      <c r="B82" t="inlineStr">
        <is>
          <t>FRA</t>
        </is>
      </c>
      <c r="C82" t="inlineStr">
        <is>
          <t>ISFR.L</t>
        </is>
      </c>
      <c r="D82" t="n">
        <v>2023</v>
      </c>
      <c r="E82" t="n">
        <v>13.95968278951512</v>
      </c>
      <c r="F82" t="n">
        <v>1.619</v>
      </c>
      <c r="G82" t="n">
        <v>6.639307</v>
      </c>
      <c r="H82" t="n">
        <v>9.442518</v>
      </c>
      <c r="I82" t="n">
        <v>-4.517164789515116</v>
      </c>
      <c r="J82" t="inlineStr">
        <is>
          <t>France|ISFR.L|2023</t>
        </is>
      </c>
      <c r="K82" t="inlineStr">
        <is>
          <t>France|2023</t>
        </is>
      </c>
      <c r="L82" t="inlineStr">
        <is>
          <t>GBp</t>
        </is>
      </c>
    </row>
    <row r="83">
      <c r="A83" t="inlineStr">
        <is>
          <t>France</t>
        </is>
      </c>
      <c r="B83" t="inlineStr">
        <is>
          <t>FRA</t>
        </is>
      </c>
      <c r="C83" t="inlineStr">
        <is>
          <t>ISFR.L</t>
        </is>
      </c>
      <c r="D83" t="n">
        <v>2024</v>
      </c>
      <c r="E83" t="n">
        <v>-3.266438941076011</v>
      </c>
      <c r="F83" t="n">
        <v>1.102</v>
      </c>
      <c r="G83" t="n">
        <v>3.215316</v>
      </c>
      <c r="H83" t="n">
        <v>3.260567</v>
      </c>
      <c r="I83" t="n">
        <v>6.527005941076011</v>
      </c>
      <c r="J83" t="inlineStr">
        <is>
          <t>France|ISFR.L|2024</t>
        </is>
      </c>
      <c r="K83" t="inlineStr">
        <is>
          <t>France|2024</t>
        </is>
      </c>
      <c r="L83" t="inlineStr">
        <is>
          <t>GBp</t>
        </is>
      </c>
    </row>
    <row r="84">
      <c r="A84" t="inlineStr">
        <is>
          <t>France</t>
        </is>
      </c>
      <c r="B84" t="inlineStr">
        <is>
          <t>FRA</t>
        </is>
      </c>
      <c r="C84" t="inlineStr">
        <is>
          <t>ISFR.L</t>
        </is>
      </c>
      <c r="D84" t="n">
        <v>2025</v>
      </c>
      <c r="E84" t="n">
        <v>19.35963030203003</v>
      </c>
      <c r="F84" t="n">
        <v>0.671</v>
      </c>
      <c r="G84" t="n">
        <v>1.876521</v>
      </c>
      <c r="H84" t="n">
        <v>6.34803</v>
      </c>
      <c r="I84" t="n">
        <v>-13.01160030203003</v>
      </c>
      <c r="J84" t="inlineStr">
        <is>
          <t>France|ISFR.L|2025</t>
        </is>
      </c>
      <c r="K84" t="inlineStr">
        <is>
          <t>France|2025</t>
        </is>
      </c>
      <c r="L84" t="inlineStr">
        <is>
          <t>GBp</t>
        </is>
      </c>
    </row>
    <row r="85">
      <c r="A85" t="inlineStr">
        <is>
          <t>France</t>
        </is>
      </c>
      <c r="B85" t="inlineStr">
        <is>
          <t>FRA</t>
        </is>
      </c>
      <c r="C85" t="inlineStr">
        <is>
          <t>ISFR.L</t>
        </is>
      </c>
      <c r="D85" t="n">
        <v>2026</v>
      </c>
      <c r="E85" t="n">
        <v>3.348623853211019</v>
      </c>
      <c r="F85" t="n">
        <v>0.911</v>
      </c>
      <c r="G85" t="n">
        <v>2.453141</v>
      </c>
      <c r="H85" t="n">
        <v>5.860528</v>
      </c>
      <c r="I85" t="n">
        <v>2.511904146788981</v>
      </c>
      <c r="J85" t="inlineStr">
        <is>
          <t>France|ISFR.L|2026</t>
        </is>
      </c>
      <c r="K85" t="inlineStr">
        <is>
          <t>France|2026</t>
        </is>
      </c>
      <c r="L85" t="inlineStr">
        <is>
          <t>GBp</t>
        </is>
      </c>
    </row>
    <row r="86">
      <c r="A86" t="inlineStr">
        <is>
          <t>Germany</t>
        </is>
      </c>
      <c r="B86" t="inlineStr">
        <is>
          <t>DEU</t>
        </is>
      </c>
      <c r="C86" t="inlineStr">
        <is>
          <t>XDAX.L</t>
        </is>
      </c>
      <c r="D86" t="n">
        <v>2015</v>
      </c>
      <c r="E86" t="n">
        <v>9.739379736443542</v>
      </c>
      <c r="F86" t="n">
        <v>1.663</v>
      </c>
      <c r="G86" t="inlineStr"/>
      <c r="H86" t="inlineStr"/>
      <c r="I86" t="inlineStr"/>
      <c r="J86" t="inlineStr">
        <is>
          <t>Germany|XDAX.L|2015</t>
        </is>
      </c>
      <c r="K86" t="inlineStr">
        <is>
          <t>Germany|2015</t>
        </is>
      </c>
      <c r="L86" t="inlineStr">
        <is>
          <t>GBp</t>
        </is>
      </c>
    </row>
    <row r="87">
      <c r="A87" t="inlineStr">
        <is>
          <t>Germany</t>
        </is>
      </c>
      <c r="B87" t="inlineStr">
        <is>
          <t>DEU</t>
        </is>
      </c>
      <c r="C87" t="inlineStr">
        <is>
          <t>XDAX.L</t>
        </is>
      </c>
      <c r="D87" t="n">
        <v>2016</v>
      </c>
      <c r="E87" t="n">
        <v>11.10671765226789</v>
      </c>
      <c r="F87" t="n">
        <v>2.217</v>
      </c>
      <c r="G87" t="n">
        <v>3.504339</v>
      </c>
      <c r="H87" t="n">
        <v>3.221945</v>
      </c>
      <c r="I87" t="n">
        <v>-7.884772652267895</v>
      </c>
      <c r="J87" t="inlineStr">
        <is>
          <t>Germany|XDAX.L|2016</t>
        </is>
      </c>
      <c r="K87" t="inlineStr">
        <is>
          <t>Germany|2016</t>
        </is>
      </c>
      <c r="L87" t="inlineStr">
        <is>
          <t>GBp</t>
        </is>
      </c>
    </row>
    <row r="88">
      <c r="A88" t="inlineStr">
        <is>
          <t>Germany</t>
        </is>
      </c>
      <c r="B88" t="inlineStr">
        <is>
          <t>DEU</t>
        </is>
      </c>
      <c r="C88" t="inlineStr">
        <is>
          <t>XDAX.L</t>
        </is>
      </c>
      <c r="D88" t="n">
        <v>2017</v>
      </c>
      <c r="E88" t="n">
        <v>-1.427771945157674</v>
      </c>
      <c r="F88" t="n">
        <v>2.806</v>
      </c>
      <c r="G88" t="n">
        <v>4.315835</v>
      </c>
      <c r="H88" t="n">
        <v>6.454274</v>
      </c>
      <c r="I88" t="n">
        <v>7.882045945157675</v>
      </c>
      <c r="J88" t="inlineStr">
        <is>
          <t>Germany|XDAX.L|2017</t>
        </is>
      </c>
      <c r="K88" t="inlineStr">
        <is>
          <t>Germany|2017</t>
        </is>
      </c>
      <c r="L88" t="inlineStr">
        <is>
          <t>GBp</t>
        </is>
      </c>
    </row>
    <row r="89">
      <c r="A89" t="inlineStr">
        <is>
          <t>Germany</t>
        </is>
      </c>
      <c r="B89" t="inlineStr">
        <is>
          <t>DEU</t>
        </is>
      </c>
      <c r="C89" t="inlineStr">
        <is>
          <t>XDAX.L</t>
        </is>
      </c>
      <c r="D89" t="n">
        <v>2018</v>
      </c>
      <c r="E89" t="n">
        <v>-16.66816789767609</v>
      </c>
      <c r="F89" t="n">
        <v>1.133</v>
      </c>
      <c r="G89" t="n">
        <v>3.027803</v>
      </c>
      <c r="H89" t="n">
        <v>7.79084</v>
      </c>
      <c r="I89" t="n">
        <v>24.45900789767609</v>
      </c>
      <c r="J89" t="inlineStr">
        <is>
          <t>Germany|XDAX.L|2018</t>
        </is>
      </c>
      <c r="K89" t="inlineStr">
        <is>
          <t>Germany|2018</t>
        </is>
      </c>
      <c r="L89" t="inlineStr">
        <is>
          <t>GBp</t>
        </is>
      </c>
    </row>
    <row r="90">
      <c r="A90" t="inlineStr">
        <is>
          <t>Germany</t>
        </is>
      </c>
      <c r="B90" t="inlineStr">
        <is>
          <t>DEU</t>
        </is>
      </c>
      <c r="C90" t="inlineStr">
        <is>
          <t>XDAX.L</t>
        </is>
      </c>
      <c r="D90" t="n">
        <v>2019</v>
      </c>
      <c r="E90" t="n">
        <v>16.50359478890751</v>
      </c>
      <c r="F90" t="n">
        <v>0.973</v>
      </c>
      <c r="G90" t="n">
        <v>3.006671</v>
      </c>
      <c r="H90" t="n">
        <v>-2.38929</v>
      </c>
      <c r="I90" t="n">
        <v>-18.89288478890751</v>
      </c>
      <c r="J90" t="inlineStr">
        <is>
          <t>Germany|XDAX.L|2019</t>
        </is>
      </c>
      <c r="K90" t="inlineStr">
        <is>
          <t>Germany|2019</t>
        </is>
      </c>
      <c r="L90" t="inlineStr">
        <is>
          <t>GBp</t>
        </is>
      </c>
    </row>
    <row r="91">
      <c r="A91" t="inlineStr">
        <is>
          <t>Germany</t>
        </is>
      </c>
      <c r="B91" t="inlineStr">
        <is>
          <t>DEU</t>
        </is>
      </c>
      <c r="C91" t="inlineStr">
        <is>
          <t>XDAX.L</t>
        </is>
      </c>
      <c r="D91" t="n">
        <v>2020</v>
      </c>
      <c r="E91" t="n">
        <v>7.320404261130853</v>
      </c>
      <c r="F91" t="n">
        <v>-4.127</v>
      </c>
      <c r="G91" t="n">
        <v>-2.447078</v>
      </c>
      <c r="H91" t="n">
        <v>-0.557731</v>
      </c>
      <c r="I91" t="n">
        <v>-7.878135261130852</v>
      </c>
      <c r="J91" t="inlineStr">
        <is>
          <t>Germany|XDAX.L|2020</t>
        </is>
      </c>
      <c r="K91" t="inlineStr">
        <is>
          <t>Germany|2020</t>
        </is>
      </c>
      <c r="L91" t="inlineStr">
        <is>
          <t>GBp</t>
        </is>
      </c>
    </row>
    <row r="92">
      <c r="A92" t="inlineStr">
        <is>
          <t>Germany</t>
        </is>
      </c>
      <c r="B92" t="inlineStr">
        <is>
          <t>DEU</t>
        </is>
      </c>
      <c r="C92" t="inlineStr">
        <is>
          <t>XDAX.L</t>
        </is>
      </c>
      <c r="D92" t="n">
        <v>2021</v>
      </c>
      <c r="E92" t="n">
        <v>6.768558951965065</v>
      </c>
      <c r="F92" t="n">
        <v>3.913</v>
      </c>
      <c r="G92" t="n">
        <v>6.712222</v>
      </c>
      <c r="H92" t="n">
        <v>10.662189</v>
      </c>
      <c r="I92" t="n">
        <v>3.893630048034935</v>
      </c>
      <c r="J92" t="inlineStr">
        <is>
          <t>Germany|XDAX.L|2021</t>
        </is>
      </c>
      <c r="K92" t="inlineStr">
        <is>
          <t>Germany|2021</t>
        </is>
      </c>
      <c r="L92" t="inlineStr">
        <is>
          <t>GBp</t>
        </is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XDAX.L</t>
        </is>
      </c>
      <c r="D93" t="n">
        <v>2022</v>
      </c>
      <c r="E93" t="n">
        <v>-8.695314321237079</v>
      </c>
      <c r="F93" t="n">
        <v>1.807</v>
      </c>
      <c r="G93" t="n">
        <v>8.338448</v>
      </c>
      <c r="H93" t="n">
        <v>-3.529482</v>
      </c>
      <c r="I93" t="n">
        <v>5.16583232123708</v>
      </c>
      <c r="J93" t="inlineStr">
        <is>
          <t>Germany|XDAX.L|2022</t>
        </is>
      </c>
      <c r="K93" t="inlineStr">
        <is>
          <t>Germany|2022</t>
        </is>
      </c>
      <c r="L93" t="inlineStr">
        <is>
          <t>GBp</t>
        </is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XDAX.L</t>
        </is>
      </c>
      <c r="D94" t="n">
        <v>2023</v>
      </c>
      <c r="E94" t="n">
        <v>15.80053817692566</v>
      </c>
      <c r="F94" t="n">
        <v>-0.872</v>
      </c>
      <c r="G94" t="n">
        <v>5.763287</v>
      </c>
      <c r="H94" t="n">
        <v>8.543483999999999</v>
      </c>
      <c r="I94" t="n">
        <v>-7.25705417692566</v>
      </c>
      <c r="J94" t="inlineStr">
        <is>
          <t>Germany|XDAX.L|2023</t>
        </is>
      </c>
      <c r="K94" t="inlineStr">
        <is>
          <t>Germany|2023</t>
        </is>
      </c>
      <c r="L94" t="inlineStr">
        <is>
          <t>GBp</t>
        </is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XDAX.L</t>
        </is>
      </c>
      <c r="D95" t="n">
        <v>2024</v>
      </c>
      <c r="E95" t="n">
        <v>13.16821615339918</v>
      </c>
      <c r="F95" t="n">
        <v>-0.496</v>
      </c>
      <c r="G95" t="n">
        <v>2.599003</v>
      </c>
      <c r="H95" t="n">
        <v>2.643988</v>
      </c>
      <c r="I95" t="n">
        <v>-10.52422815339918</v>
      </c>
      <c r="J95" t="inlineStr">
        <is>
          <t>Germany|XDAX.L|2024</t>
        </is>
      </c>
      <c r="K95" t="inlineStr">
        <is>
          <t>Germany|2024</t>
        </is>
      </c>
      <c r="L95" t="inlineStr">
        <is>
          <t>GBp</t>
        </is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XDAX.L</t>
        </is>
      </c>
      <c r="D96" t="n">
        <v>2025</v>
      </c>
      <c r="E96" t="n">
        <v>28.64559964104865</v>
      </c>
      <c r="F96" t="n">
        <v>0.191</v>
      </c>
      <c r="G96" t="n">
        <v>2.531734</v>
      </c>
      <c r="H96" t="n">
        <v>7.032007</v>
      </c>
      <c r="I96" t="n">
        <v>-21.61359264104865</v>
      </c>
      <c r="J96" t="inlineStr">
        <is>
          <t>Germany|XDAX.L|2025</t>
        </is>
      </c>
      <c r="K96" t="inlineStr">
        <is>
          <t>Germany|2025</t>
        </is>
      </c>
      <c r="L96" t="inlineStr">
        <is>
          <t>GBp</t>
        </is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XDAX.L</t>
        </is>
      </c>
      <c r="D97" t="n">
        <v>2026</v>
      </c>
      <c r="E97" t="n">
        <v>0.6493506493506551</v>
      </c>
      <c r="F97" t="n">
        <v>0.944</v>
      </c>
      <c r="G97" t="n">
        <v>2.854457</v>
      </c>
      <c r="H97" t="n">
        <v>6.275164</v>
      </c>
      <c r="I97" t="n">
        <v>5.625813350649345</v>
      </c>
      <c r="J97" t="inlineStr">
        <is>
          <t>Germany|XDAX.L|2026</t>
        </is>
      </c>
      <c r="K97" t="inlineStr">
        <is>
          <t>Germany|2026</t>
        </is>
      </c>
      <c r="L97" t="inlineStr">
        <is>
          <t>GBp</t>
        </is>
      </c>
    </row>
    <row r="98">
      <c r="A98" t="inlineStr">
        <is>
          <t>Hong Kong</t>
        </is>
      </c>
      <c r="B98" t="inlineStr">
        <is>
          <t>HKG</t>
        </is>
      </c>
      <c r="C98" t="inlineStr">
        <is>
          <t>HKDU.L</t>
        </is>
      </c>
      <c r="D98" t="n">
        <v>2015</v>
      </c>
      <c r="E98" t="inlineStr"/>
      <c r="F98" t="n">
        <v>2.388</v>
      </c>
      <c r="G98" t="inlineStr"/>
      <c r="H98" t="inlineStr"/>
      <c r="I98" t="inlineStr"/>
      <c r="J98" t="inlineStr">
        <is>
          <t>Hong Kong|HKDU.L|2015</t>
        </is>
      </c>
      <c r="K98" t="inlineStr">
        <is>
          <t>Hong Kong|2015</t>
        </is>
      </c>
      <c r="L98" t="inlineStr">
        <is>
          <t>USD</t>
        </is>
      </c>
    </row>
    <row r="99">
      <c r="A99" t="inlineStr">
        <is>
          <t>Hong Kong</t>
        </is>
      </c>
      <c r="B99" t="inlineStr">
        <is>
          <t>HKG</t>
        </is>
      </c>
      <c r="C99" t="inlineStr">
        <is>
          <t>HKDU.L</t>
        </is>
      </c>
      <c r="D99" t="n">
        <v>2016</v>
      </c>
      <c r="E99" t="inlineStr"/>
      <c r="F99" t="n">
        <v>2.175</v>
      </c>
      <c r="G99" t="n">
        <v>3.849342</v>
      </c>
      <c r="H99" t="n">
        <v>3.708636</v>
      </c>
      <c r="I99" t="inlineStr"/>
      <c r="J99" t="inlineStr">
        <is>
          <t>Hong Kong|HKDU.L|2016</t>
        </is>
      </c>
      <c r="K99" t="inlineStr">
        <is>
          <t>Hong Kong|2016</t>
        </is>
      </c>
      <c r="L99" t="inlineStr">
        <is>
          <t>USD</t>
        </is>
      </c>
    </row>
    <row r="100">
      <c r="A100" t="inlineStr">
        <is>
          <t>Hong Kong</t>
        </is>
      </c>
      <c r="B100" t="inlineStr">
        <is>
          <t>HKG</t>
        </is>
      </c>
      <c r="C100" t="inlineStr">
        <is>
          <t>HKDU.L</t>
        </is>
      </c>
      <c r="D100" t="n">
        <v>2017</v>
      </c>
      <c r="E100" t="inlineStr"/>
      <c r="F100" t="n">
        <v>3.796</v>
      </c>
      <c r="G100" t="n">
        <v>6.786041</v>
      </c>
      <c r="H100" t="n">
        <v>6.361341</v>
      </c>
      <c r="I100" t="inlineStr"/>
      <c r="J100" t="inlineStr">
        <is>
          <t>Hong Kong|HKDU.L|2017</t>
        </is>
      </c>
      <c r="K100" t="inlineStr">
        <is>
          <t>Hong Kong|2017</t>
        </is>
      </c>
      <c r="L100" t="inlineStr">
        <is>
          <t>USD</t>
        </is>
      </c>
    </row>
    <row r="101">
      <c r="A101" t="inlineStr">
        <is>
          <t>Hong Kong</t>
        </is>
      </c>
      <c r="B101" t="inlineStr">
        <is>
          <t>HKG</t>
        </is>
      </c>
      <c r="C101" t="inlineStr">
        <is>
          <t>HKDU.L</t>
        </is>
      </c>
      <c r="D101" t="n">
        <v>2018</v>
      </c>
      <c r="E101" t="inlineStr"/>
      <c r="F101" t="n">
        <v>2.847</v>
      </c>
      <c r="G101" t="n">
        <v>6.610666</v>
      </c>
      <c r="H101" t="n">
        <v>5.995235</v>
      </c>
      <c r="I101" t="inlineStr"/>
      <c r="J101" t="inlineStr">
        <is>
          <t>Hong Kong|HKDU.L|2018</t>
        </is>
      </c>
      <c r="K101" t="inlineStr">
        <is>
          <t>Hong Kong|2018</t>
        </is>
      </c>
      <c r="L101" t="inlineStr">
        <is>
          <t>USD</t>
        </is>
      </c>
    </row>
    <row r="102">
      <c r="A102" t="inlineStr">
        <is>
          <t>Hong Kong</t>
        </is>
      </c>
      <c r="B102" t="inlineStr">
        <is>
          <t>HKG</t>
        </is>
      </c>
      <c r="C102" t="inlineStr">
        <is>
          <t>HKDU.L</t>
        </is>
      </c>
      <c r="D102" t="n">
        <v>2019</v>
      </c>
      <c r="E102" t="inlineStr"/>
      <c r="F102" t="n">
        <v>-1.672</v>
      </c>
      <c r="G102" t="n">
        <v>0.338326</v>
      </c>
      <c r="H102" t="n">
        <v>0.371547</v>
      </c>
      <c r="I102" t="inlineStr"/>
      <c r="J102" t="inlineStr">
        <is>
          <t>Hong Kong|HKDU.L|2019</t>
        </is>
      </c>
      <c r="K102" t="inlineStr">
        <is>
          <t>Hong Kong|2019</t>
        </is>
      </c>
      <c r="L102" t="inlineStr">
        <is>
          <t>USD</t>
        </is>
      </c>
    </row>
    <row r="103">
      <c r="A103" t="inlineStr">
        <is>
          <t>Hong Kong</t>
        </is>
      </c>
      <c r="B103" t="inlineStr">
        <is>
          <t>HKG</t>
        </is>
      </c>
      <c r="C103" t="inlineStr">
        <is>
          <t>HKDU.L</t>
        </is>
      </c>
      <c r="D103" t="n">
        <v>2020</v>
      </c>
      <c r="E103" t="inlineStr"/>
      <c r="F103" t="n">
        <v>-6.545</v>
      </c>
      <c r="G103" t="n">
        <v>-5.948249</v>
      </c>
      <c r="H103" t="n">
        <v>-4.99456</v>
      </c>
      <c r="I103" t="inlineStr"/>
      <c r="J103" t="inlineStr">
        <is>
          <t>Hong Kong|HKDU.L|2020</t>
        </is>
      </c>
      <c r="K103" t="inlineStr">
        <is>
          <t>Hong Kong|2020</t>
        </is>
      </c>
      <c r="L103" t="inlineStr">
        <is>
          <t>USD</t>
        </is>
      </c>
    </row>
    <row r="104">
      <c r="A104" t="inlineStr">
        <is>
          <t>Hong Kong</t>
        </is>
      </c>
      <c r="B104" t="inlineStr">
        <is>
          <t>HKG</t>
        </is>
      </c>
      <c r="C104" t="inlineStr">
        <is>
          <t>HKDU.L</t>
        </is>
      </c>
      <c r="D104" t="n">
        <v>2021</v>
      </c>
      <c r="E104" t="inlineStr"/>
      <c r="F104" t="n">
        <v>6.454</v>
      </c>
      <c r="G104" t="n">
        <v>7.18217</v>
      </c>
      <c r="H104" t="n">
        <v>6.96148</v>
      </c>
      <c r="I104" t="inlineStr"/>
      <c r="J104" t="inlineStr">
        <is>
          <t>Hong Kong|HKDU.L|2021</t>
        </is>
      </c>
      <c r="K104" t="inlineStr">
        <is>
          <t>Hong Kong|2021</t>
        </is>
      </c>
      <c r="L104" t="inlineStr">
        <is>
          <t>USD</t>
        </is>
      </c>
    </row>
    <row r="105">
      <c r="A105" t="inlineStr">
        <is>
          <t>Hong Kong</t>
        </is>
      </c>
      <c r="B105" t="inlineStr">
        <is>
          <t>HKG</t>
        </is>
      </c>
      <c r="C105" t="inlineStr">
        <is>
          <t>HKDU.L</t>
        </is>
      </c>
      <c r="D105" t="n">
        <v>2022</v>
      </c>
      <c r="E105" t="inlineStr"/>
      <c r="F105" t="n">
        <v>-3.684</v>
      </c>
      <c r="G105" t="n">
        <v>-2.057342</v>
      </c>
      <c r="H105" t="n">
        <v>-2.784629</v>
      </c>
      <c r="I105" t="inlineStr"/>
      <c r="J105" t="inlineStr">
        <is>
          <t>Hong Kong|HKDU.L|2022</t>
        </is>
      </c>
      <c r="K105" t="inlineStr">
        <is>
          <t>Hong Kong|2022</t>
        </is>
      </c>
      <c r="L105" t="inlineStr">
        <is>
          <t>USD</t>
        </is>
      </c>
    </row>
    <row r="106">
      <c r="A106" t="inlineStr">
        <is>
          <t>Hong Kong</t>
        </is>
      </c>
      <c r="B106" t="inlineStr">
        <is>
          <t>HKG</t>
        </is>
      </c>
      <c r="C106" t="inlineStr">
        <is>
          <t>HKDU.L</t>
        </is>
      </c>
      <c r="D106" t="n">
        <v>2023</v>
      </c>
      <c r="E106" t="inlineStr"/>
      <c r="F106" t="n">
        <v>3.224</v>
      </c>
      <c r="G106" t="n">
        <v>6.210072</v>
      </c>
      <c r="H106" t="n">
        <v>6.234805</v>
      </c>
      <c r="I106" t="inlineStr"/>
      <c r="J106" t="inlineStr">
        <is>
          <t>Hong Kong|HKDU.L|2023</t>
        </is>
      </c>
      <c r="K106" t="inlineStr">
        <is>
          <t>Hong Kong|2023</t>
        </is>
      </c>
      <c r="L106" t="inlineStr">
        <is>
          <t>USD</t>
        </is>
      </c>
    </row>
    <row r="107">
      <c r="A107" t="inlineStr">
        <is>
          <t>Hong Kong</t>
        </is>
      </c>
      <c r="B107" t="inlineStr">
        <is>
          <t>HKG</t>
        </is>
      </c>
      <c r="C107" t="inlineStr">
        <is>
          <t>HKDU.L</t>
        </is>
      </c>
      <c r="D107" t="n">
        <v>2024</v>
      </c>
      <c r="E107" t="inlineStr"/>
      <c r="F107" t="n">
        <v>2.505</v>
      </c>
      <c r="G107" t="n">
        <v>6.425068</v>
      </c>
      <c r="H107" t="n">
        <v>6.776138</v>
      </c>
      <c r="I107" t="inlineStr"/>
      <c r="J107" t="inlineStr">
        <is>
          <t>Hong Kong|HKDU.L|2024</t>
        </is>
      </c>
      <c r="K107" t="inlineStr">
        <is>
          <t>Hong Kong|2024</t>
        </is>
      </c>
      <c r="L107" t="inlineStr">
        <is>
          <t>USD</t>
        </is>
      </c>
    </row>
    <row r="108">
      <c r="A108" t="inlineStr">
        <is>
          <t>Hong Kong</t>
        </is>
      </c>
      <c r="B108" t="inlineStr">
        <is>
          <t>HKG</t>
        </is>
      </c>
      <c r="C108" t="inlineStr">
        <is>
          <t>HKDU.L</t>
        </is>
      </c>
      <c r="D108" t="n">
        <v>2025</v>
      </c>
      <c r="E108" t="n">
        <v>1.492788848156024</v>
      </c>
      <c r="F108" t="n">
        <v>2.438</v>
      </c>
      <c r="G108" t="n">
        <v>4.714979</v>
      </c>
      <c r="H108" t="n">
        <v>5.252382</v>
      </c>
      <c r="I108" t="n">
        <v>3.759593151843976</v>
      </c>
      <c r="J108" t="inlineStr">
        <is>
          <t>Hong Kong|HKDU.L|2025</t>
        </is>
      </c>
      <c r="K108" t="inlineStr">
        <is>
          <t>Hong Kong|2025</t>
        </is>
      </c>
      <c r="L108" t="inlineStr">
        <is>
          <t>USD</t>
        </is>
      </c>
    </row>
    <row r="109">
      <c r="A109" t="inlineStr">
        <is>
          <t>Hong Kong</t>
        </is>
      </c>
      <c r="B109" t="inlineStr">
        <is>
          <t>HKG</t>
        </is>
      </c>
      <c r="C109" t="inlineStr">
        <is>
          <t>HKDU.L</t>
        </is>
      </c>
      <c r="D109" t="n">
        <v>2026</v>
      </c>
      <c r="E109" t="n">
        <v>5.823778731440288</v>
      </c>
      <c r="F109" t="n">
        <v>2.122</v>
      </c>
      <c r="G109" t="n">
        <v>4.299869</v>
      </c>
      <c r="H109" t="n">
        <v>4.299762</v>
      </c>
      <c r="I109" t="n">
        <v>-1.524016731440287</v>
      </c>
      <c r="J109" t="inlineStr">
        <is>
          <t>Hong Kong|HKDU.L|2026</t>
        </is>
      </c>
      <c r="K109" t="inlineStr">
        <is>
          <t>Hong Kong|2026</t>
        </is>
      </c>
      <c r="L109" t="inlineStr">
        <is>
          <t>USD</t>
        </is>
      </c>
    </row>
    <row r="110">
      <c r="A110" t="inlineStr">
        <is>
          <t>India</t>
        </is>
      </c>
      <c r="B110" t="inlineStr">
        <is>
          <t>IND</t>
        </is>
      </c>
      <c r="C110" t="inlineStr">
        <is>
          <t>FRIN.L</t>
        </is>
      </c>
      <c r="D110" t="n">
        <v>2015</v>
      </c>
      <c r="E110" t="inlineStr"/>
      <c r="F110" t="n">
        <v>7.996</v>
      </c>
      <c r="G110" t="inlineStr"/>
      <c r="H110" t="inlineStr"/>
      <c r="I110" t="inlineStr"/>
      <c r="J110" t="inlineStr">
        <is>
          <t>India|FRIN.L|2015</t>
        </is>
      </c>
      <c r="K110" t="inlineStr">
        <is>
          <t>India|2015</t>
        </is>
      </c>
      <c r="L110" t="inlineStr">
        <is>
          <t>GBP</t>
        </is>
      </c>
    </row>
    <row r="111">
      <c r="A111" t="inlineStr">
        <is>
          <t>India</t>
        </is>
      </c>
      <c r="B111" t="inlineStr">
        <is>
          <t>IND</t>
        </is>
      </c>
      <c r="C111" t="inlineStr">
        <is>
          <t>FRIN.L</t>
        </is>
      </c>
      <c r="D111" t="n">
        <v>2016</v>
      </c>
      <c r="E111" t="inlineStr"/>
      <c r="F111" t="n">
        <v>8.256</v>
      </c>
      <c r="G111" t="n">
        <v>11.761656</v>
      </c>
      <c r="H111" t="n">
        <v>9.08966</v>
      </c>
      <c r="I111" t="inlineStr"/>
      <c r="J111" t="inlineStr">
        <is>
          <t>India|FRIN.L|2016</t>
        </is>
      </c>
      <c r="K111" t="inlineStr">
        <is>
          <t>India|2016</t>
        </is>
      </c>
      <c r="L111" t="inlineStr">
        <is>
          <t>GBP</t>
        </is>
      </c>
    </row>
    <row r="112">
      <c r="A112" t="inlineStr">
        <is>
          <t>India</t>
        </is>
      </c>
      <c r="B112" t="inlineStr">
        <is>
          <t>IND</t>
        </is>
      </c>
      <c r="C112" t="inlineStr">
        <is>
          <t>FRIN.L</t>
        </is>
      </c>
      <c r="D112" t="n">
        <v>2017</v>
      </c>
      <c r="E112" t="inlineStr"/>
      <c r="F112" t="n">
        <v>6.795</v>
      </c>
      <c r="G112" t="n">
        <v>11.034345</v>
      </c>
      <c r="H112" t="n">
        <v>15.542856</v>
      </c>
      <c r="I112" t="inlineStr"/>
      <c r="J112" t="inlineStr">
        <is>
          <t>India|FRIN.L|2017</t>
        </is>
      </c>
      <c r="K112" t="inlineStr">
        <is>
          <t>India|2017</t>
        </is>
      </c>
      <c r="L112" t="inlineStr">
        <is>
          <t>GBP</t>
        </is>
      </c>
    </row>
    <row r="113">
      <c r="A113" t="inlineStr">
        <is>
          <t>India</t>
        </is>
      </c>
      <c r="B113" t="inlineStr">
        <is>
          <t>IND</t>
        </is>
      </c>
      <c r="C113" t="inlineStr">
        <is>
          <t>FRIN.L</t>
        </is>
      </c>
      <c r="D113" t="n">
        <v>2018</v>
      </c>
      <c r="E113" t="inlineStr"/>
      <c r="F113" t="n">
        <v>6.454</v>
      </c>
      <c r="G113" t="n">
        <v>10.588799</v>
      </c>
      <c r="H113" t="n">
        <v>1.940656</v>
      </c>
      <c r="I113" t="inlineStr"/>
      <c r="J113" t="inlineStr">
        <is>
          <t>India|FRIN.L|2018</t>
        </is>
      </c>
      <c r="K113" t="inlineStr">
        <is>
          <t>India|2018</t>
        </is>
      </c>
      <c r="L113" t="inlineStr">
        <is>
          <t>GBP</t>
        </is>
      </c>
    </row>
    <row r="114">
      <c r="A114" t="inlineStr">
        <is>
          <t>India</t>
        </is>
      </c>
      <c r="B114" t="inlineStr">
        <is>
          <t>IND</t>
        </is>
      </c>
      <c r="C114" t="inlineStr">
        <is>
          <t>FRIN.L</t>
        </is>
      </c>
      <c r="D114" t="n">
        <v>2019</v>
      </c>
      <c r="E114" t="n">
        <v>-4.637822015006455</v>
      </c>
      <c r="F114" t="n">
        <v>3.871</v>
      </c>
      <c r="G114" t="n">
        <v>6.370058</v>
      </c>
      <c r="H114" t="n">
        <v>4.908599</v>
      </c>
      <c r="I114" t="n">
        <v>9.546421015006455</v>
      </c>
      <c r="J114" t="inlineStr">
        <is>
          <t>India|FRIN.L|2019</t>
        </is>
      </c>
      <c r="K114" t="inlineStr">
        <is>
          <t>India|2019</t>
        </is>
      </c>
      <c r="L114" t="inlineStr">
        <is>
          <t>GBP</t>
        </is>
      </c>
    </row>
    <row r="115">
      <c r="A115" t="inlineStr">
        <is>
          <t>India</t>
        </is>
      </c>
      <c r="B115" t="inlineStr">
        <is>
          <t>IND</t>
        </is>
      </c>
      <c r="C115" t="inlineStr">
        <is>
          <t>FRIN.L</t>
        </is>
      </c>
      <c r="D115" t="n">
        <v>2020</v>
      </c>
      <c r="E115" t="n">
        <v>7.24277646797018</v>
      </c>
      <c r="F115" t="n">
        <v>-5.778</v>
      </c>
      <c r="G115" t="n">
        <v>-1.241022</v>
      </c>
      <c r="H115" t="n">
        <v>-5.669123</v>
      </c>
      <c r="I115" t="n">
        <v>-12.91189946797018</v>
      </c>
      <c r="J115" t="inlineStr">
        <is>
          <t>India|FRIN.L|2020</t>
        </is>
      </c>
      <c r="K115" t="inlineStr">
        <is>
          <t>India|2020</t>
        </is>
      </c>
      <c r="L115" t="inlineStr">
        <is>
          <t>GBP</t>
        </is>
      </c>
    </row>
    <row r="116">
      <c r="A116" t="inlineStr">
        <is>
          <t>India</t>
        </is>
      </c>
      <c r="B116" t="inlineStr">
        <is>
          <t>IND</t>
        </is>
      </c>
      <c r="C116" t="inlineStr">
        <is>
          <t>FRIN.L</t>
        </is>
      </c>
      <c r="D116" t="n">
        <v>2021</v>
      </c>
      <c r="E116" t="n">
        <v>24.04403606616248</v>
      </c>
      <c r="F116" t="n">
        <v>9.69</v>
      </c>
      <c r="G116" t="n">
        <v>18.85404</v>
      </c>
      <c r="H116" t="n">
        <v>18.409205</v>
      </c>
      <c r="I116" t="n">
        <v>-5.634831066162477</v>
      </c>
      <c r="J116" t="inlineStr">
        <is>
          <t>India|FRIN.L|2021</t>
        </is>
      </c>
      <c r="K116" t="inlineStr">
        <is>
          <t>India|2021</t>
        </is>
      </c>
      <c r="L116" t="inlineStr">
        <is>
          <t>GBP</t>
        </is>
      </c>
    </row>
    <row r="117">
      <c r="A117" t="inlineStr">
        <is>
          <t>India</t>
        </is>
      </c>
      <c r="B117" t="inlineStr">
        <is>
          <t>IND</t>
        </is>
      </c>
      <c r="C117" t="inlineStr">
        <is>
          <t>FRIN.L</t>
        </is>
      </c>
      <c r="D117" t="n">
        <v>2022</v>
      </c>
      <c r="E117" t="n">
        <v>1.5595603106348</v>
      </c>
      <c r="F117" t="n">
        <v>7.609</v>
      </c>
      <c r="G117" t="n">
        <v>13.955224</v>
      </c>
      <c r="H117" t="n">
        <v>5.646375</v>
      </c>
      <c r="I117" t="n">
        <v>4.0868146893652</v>
      </c>
      <c r="J117" t="inlineStr">
        <is>
          <t>India|FRIN.L|2022</t>
        </is>
      </c>
      <c r="K117" t="inlineStr">
        <is>
          <t>India|2022</t>
        </is>
      </c>
      <c r="L117" t="inlineStr">
        <is>
          <t>GBP</t>
        </is>
      </c>
    </row>
    <row r="118">
      <c r="A118" t="inlineStr">
        <is>
          <t>India</t>
        </is>
      </c>
      <c r="B118" t="inlineStr">
        <is>
          <t>IND</t>
        </is>
      </c>
      <c r="C118" t="inlineStr">
        <is>
          <t>FRIN.L</t>
        </is>
      </c>
      <c r="D118" t="n">
        <v>2023</v>
      </c>
      <c r="E118" t="n">
        <v>14.77472639630843</v>
      </c>
      <c r="F118" t="n">
        <v>9.191000000000001</v>
      </c>
      <c r="G118" t="n">
        <v>12.02095</v>
      </c>
      <c r="H118" t="n">
        <v>8.738004999999999</v>
      </c>
      <c r="I118" t="n">
        <v>-6.036721396308435</v>
      </c>
      <c r="J118" t="inlineStr">
        <is>
          <t>India|FRIN.L|2023</t>
        </is>
      </c>
      <c r="K118" t="inlineStr">
        <is>
          <t>India|2023</t>
        </is>
      </c>
      <c r="L118" t="inlineStr">
        <is>
          <t>GBP</t>
        </is>
      </c>
    </row>
    <row r="119">
      <c r="A119" t="inlineStr">
        <is>
          <t>India</t>
        </is>
      </c>
      <c r="B119" t="inlineStr">
        <is>
          <t>IND</t>
        </is>
      </c>
      <c r="C119" t="inlineStr">
        <is>
          <t>FRIN.L</t>
        </is>
      </c>
      <c r="D119" t="n">
        <v>2024</v>
      </c>
      <c r="E119" t="n">
        <v>11.93300171126379</v>
      </c>
      <c r="F119" t="n">
        <v>6.495</v>
      </c>
      <c r="G119" t="n">
        <v>9.777226000000001</v>
      </c>
      <c r="H119" t="n">
        <v>7.459193</v>
      </c>
      <c r="I119" t="n">
        <v>-4.473808711263792</v>
      </c>
      <c r="J119" t="inlineStr">
        <is>
          <t>India|FRIN.L|2024</t>
        </is>
      </c>
      <c r="K119" t="inlineStr">
        <is>
          <t>India|2024</t>
        </is>
      </c>
      <c r="L119" t="inlineStr">
        <is>
          <t>GBP</t>
        </is>
      </c>
    </row>
    <row r="120">
      <c r="A120" t="inlineStr">
        <is>
          <t>India</t>
        </is>
      </c>
      <c r="B120" t="inlineStr">
        <is>
          <t>IND</t>
        </is>
      </c>
      <c r="C120" t="inlineStr">
        <is>
          <t>FRIN.L</t>
        </is>
      </c>
      <c r="D120" t="n">
        <v>2025</v>
      </c>
      <c r="E120" t="n">
        <v>-6.536902020772983</v>
      </c>
      <c r="F120" t="n">
        <v>6.646</v>
      </c>
      <c r="G120" t="n">
        <v>8.515731000000001</v>
      </c>
      <c r="H120" t="n">
        <v>5.507083</v>
      </c>
      <c r="I120" t="n">
        <v>12.04398502077298</v>
      </c>
      <c r="J120" t="inlineStr">
        <is>
          <t>India|FRIN.L|2025</t>
        </is>
      </c>
      <c r="K120" t="inlineStr">
        <is>
          <t>India|2025</t>
        </is>
      </c>
      <c r="L120" t="inlineStr">
        <is>
          <t>GBP</t>
        </is>
      </c>
    </row>
    <row r="121">
      <c r="A121" t="inlineStr">
        <is>
          <t>India</t>
        </is>
      </c>
      <c r="B121" t="inlineStr">
        <is>
          <t>IND</t>
        </is>
      </c>
      <c r="C121" t="inlineStr">
        <is>
          <t>FRIN.L</t>
        </is>
      </c>
      <c r="D121" t="n">
        <v>2026</v>
      </c>
      <c r="E121" t="n">
        <v>-6.155440260888623</v>
      </c>
      <c r="F121" t="n">
        <v>6.159</v>
      </c>
      <c r="G121" t="n">
        <v>10.122338</v>
      </c>
      <c r="H121" t="n">
        <v>9.221730000000001</v>
      </c>
      <c r="I121" t="n">
        <v>15.37717026088862</v>
      </c>
      <c r="J121" t="inlineStr">
        <is>
          <t>India|FRIN.L|2026</t>
        </is>
      </c>
      <c r="K121" t="inlineStr">
        <is>
          <t>India|2026</t>
        </is>
      </c>
      <c r="L121" t="inlineStr">
        <is>
          <t>GBP</t>
        </is>
      </c>
    </row>
    <row r="122">
      <c r="A122" t="inlineStr">
        <is>
          <t>India</t>
        </is>
      </c>
      <c r="B122" t="inlineStr">
        <is>
          <t>IND</t>
        </is>
      </c>
      <c r="C122" t="inlineStr">
        <is>
          <t>IIND.L</t>
        </is>
      </c>
      <c r="D122" t="n">
        <v>2015</v>
      </c>
      <c r="E122" t="inlineStr"/>
      <c r="F122" t="n">
        <v>7.996</v>
      </c>
      <c r="G122" t="inlineStr"/>
      <c r="H122" t="inlineStr"/>
      <c r="I122" t="inlineStr"/>
      <c r="J122" t="inlineStr">
        <is>
          <t>India|IIND.L|2015</t>
        </is>
      </c>
      <c r="K122" t="inlineStr">
        <is>
          <t>India|2015</t>
        </is>
      </c>
      <c r="L122" t="inlineStr">
        <is>
          <t>GBP</t>
        </is>
      </c>
    </row>
    <row r="123">
      <c r="A123" t="inlineStr">
        <is>
          <t>India</t>
        </is>
      </c>
      <c r="B123" t="inlineStr">
        <is>
          <t>IND</t>
        </is>
      </c>
      <c r="C123" t="inlineStr">
        <is>
          <t>IIND.L</t>
        </is>
      </c>
      <c r="D123" t="n">
        <v>2016</v>
      </c>
      <c r="E123" t="inlineStr"/>
      <c r="F123" t="n">
        <v>8.256</v>
      </c>
      <c r="G123" t="n">
        <v>11.761656</v>
      </c>
      <c r="H123" t="n">
        <v>9.08966</v>
      </c>
      <c r="I123" t="inlineStr"/>
      <c r="J123" t="inlineStr">
        <is>
          <t>India|IIND.L|2016</t>
        </is>
      </c>
      <c r="K123" t="inlineStr">
        <is>
          <t>India|2016</t>
        </is>
      </c>
      <c r="L123" t="inlineStr">
        <is>
          <t>GBP</t>
        </is>
      </c>
    </row>
    <row r="124">
      <c r="A124" t="inlineStr">
        <is>
          <t>India</t>
        </is>
      </c>
      <c r="B124" t="inlineStr">
        <is>
          <t>IND</t>
        </is>
      </c>
      <c r="C124" t="inlineStr">
        <is>
          <t>IIND.L</t>
        </is>
      </c>
      <c r="D124" t="n">
        <v>2017</v>
      </c>
      <c r="E124" t="inlineStr"/>
      <c r="F124" t="n">
        <v>6.795</v>
      </c>
      <c r="G124" t="n">
        <v>11.034345</v>
      </c>
      <c r="H124" t="n">
        <v>15.542856</v>
      </c>
      <c r="I124" t="inlineStr"/>
      <c r="J124" t="inlineStr">
        <is>
          <t>India|IIND.L|2017</t>
        </is>
      </c>
      <c r="K124" t="inlineStr">
        <is>
          <t>India|2017</t>
        </is>
      </c>
      <c r="L124" t="inlineStr">
        <is>
          <t>GBP</t>
        </is>
      </c>
    </row>
    <row r="125">
      <c r="A125" t="inlineStr">
        <is>
          <t>India</t>
        </is>
      </c>
      <c r="B125" t="inlineStr">
        <is>
          <t>IND</t>
        </is>
      </c>
      <c r="C125" t="inlineStr">
        <is>
          <t>IIND.L</t>
        </is>
      </c>
      <c r="D125" t="n">
        <v>2018</v>
      </c>
      <c r="E125" t="n">
        <v>-21.95159644533496</v>
      </c>
      <c r="F125" t="n">
        <v>6.454</v>
      </c>
      <c r="G125" t="n">
        <v>10.588799</v>
      </c>
      <c r="H125" t="n">
        <v>1.940656</v>
      </c>
      <c r="I125" t="n">
        <v>23.89225244533496</v>
      </c>
      <c r="J125" t="inlineStr">
        <is>
          <t>India|IIND.L|2018</t>
        </is>
      </c>
      <c r="K125" t="inlineStr">
        <is>
          <t>India|2018</t>
        </is>
      </c>
      <c r="L125" t="inlineStr">
        <is>
          <t>GBP</t>
        </is>
      </c>
    </row>
    <row r="126">
      <c r="A126" t="inlineStr">
        <is>
          <t>India</t>
        </is>
      </c>
      <c r="B126" t="inlineStr">
        <is>
          <t>IND</t>
        </is>
      </c>
      <c r="C126" t="inlineStr">
        <is>
          <t>IIND.L</t>
        </is>
      </c>
      <c r="D126" t="n">
        <v>2019</v>
      </c>
      <c r="E126" t="n">
        <v>3.026741249554177</v>
      </c>
      <c r="F126" t="n">
        <v>3.871</v>
      </c>
      <c r="G126" t="n">
        <v>6.370058</v>
      </c>
      <c r="H126" t="n">
        <v>4.908599</v>
      </c>
      <c r="I126" t="n">
        <v>1.881857750445823</v>
      </c>
      <c r="J126" t="inlineStr">
        <is>
          <t>India|IIND.L|2019</t>
        </is>
      </c>
      <c r="K126" t="inlineStr">
        <is>
          <t>India|2019</t>
        </is>
      </c>
      <c r="L126" t="inlineStr">
        <is>
          <t>GBP</t>
        </is>
      </c>
    </row>
    <row r="127">
      <c r="A127" t="inlineStr">
        <is>
          <t>India</t>
        </is>
      </c>
      <c r="B127" t="inlineStr">
        <is>
          <t>IND</t>
        </is>
      </c>
      <c r="C127" t="inlineStr">
        <is>
          <t>IIND.L</t>
        </is>
      </c>
      <c r="D127" t="n">
        <v>2020</v>
      </c>
      <c r="E127" t="n">
        <v>9.282150919931919</v>
      </c>
      <c r="F127" t="n">
        <v>-5.778</v>
      </c>
      <c r="G127" t="n">
        <v>-1.241022</v>
      </c>
      <c r="H127" t="n">
        <v>-5.669123</v>
      </c>
      <c r="I127" t="n">
        <v>-14.95127391993192</v>
      </c>
      <c r="J127" t="inlineStr">
        <is>
          <t>India|IIND.L|2020</t>
        </is>
      </c>
      <c r="K127" t="inlineStr">
        <is>
          <t>India|2020</t>
        </is>
      </c>
      <c r="L127" t="inlineStr">
        <is>
          <t>GBP</t>
        </is>
      </c>
    </row>
    <row r="128">
      <c r="A128" t="inlineStr">
        <is>
          <t>India</t>
        </is>
      </c>
      <c r="B128" t="inlineStr">
        <is>
          <t>IND</t>
        </is>
      </c>
      <c r="C128" t="inlineStr">
        <is>
          <t>IIND.L</t>
        </is>
      </c>
      <c r="D128" t="n">
        <v>2021</v>
      </c>
      <c r="E128" t="n">
        <v>25.17963082524994</v>
      </c>
      <c r="F128" t="n">
        <v>9.69</v>
      </c>
      <c r="G128" t="n">
        <v>18.85404</v>
      </c>
      <c r="H128" t="n">
        <v>18.409205</v>
      </c>
      <c r="I128" t="n">
        <v>-6.770425825249944</v>
      </c>
      <c r="J128" t="inlineStr">
        <is>
          <t>India|IIND.L|2021</t>
        </is>
      </c>
      <c r="K128" t="inlineStr">
        <is>
          <t>India|2021</t>
        </is>
      </c>
      <c r="L128" t="inlineStr">
        <is>
          <t>GBP</t>
        </is>
      </c>
    </row>
    <row r="129">
      <c r="A129" t="inlineStr">
        <is>
          <t>India</t>
        </is>
      </c>
      <c r="B129" t="inlineStr">
        <is>
          <t>IND</t>
        </is>
      </c>
      <c r="C129" t="inlineStr">
        <is>
          <t>IIND.L</t>
        </is>
      </c>
      <c r="D129" t="n">
        <v>2022</v>
      </c>
      <c r="E129" t="n">
        <v>1.472577747136516</v>
      </c>
      <c r="F129" t="n">
        <v>7.609</v>
      </c>
      <c r="G129" t="n">
        <v>13.955224</v>
      </c>
      <c r="H129" t="n">
        <v>5.646375</v>
      </c>
      <c r="I129" t="n">
        <v>4.173797252863483</v>
      </c>
      <c r="J129" t="inlineStr">
        <is>
          <t>India|IIND.L|2022</t>
        </is>
      </c>
      <c r="K129" t="inlineStr">
        <is>
          <t>India|2022</t>
        </is>
      </c>
      <c r="L129" t="inlineStr">
        <is>
          <t>GBP</t>
        </is>
      </c>
    </row>
    <row r="130">
      <c r="A130" t="inlineStr">
        <is>
          <t>India</t>
        </is>
      </c>
      <c r="B130" t="inlineStr">
        <is>
          <t>IND</t>
        </is>
      </c>
      <c r="C130" t="inlineStr">
        <is>
          <t>IIND.L</t>
        </is>
      </c>
      <c r="D130" t="n">
        <v>2023</v>
      </c>
      <c r="E130" t="n">
        <v>12.41873439836767</v>
      </c>
      <c r="F130" t="n">
        <v>9.191000000000001</v>
      </c>
      <c r="G130" t="n">
        <v>12.02095</v>
      </c>
      <c r="H130" t="n">
        <v>8.738004999999999</v>
      </c>
      <c r="I130" t="n">
        <v>-3.680729398367671</v>
      </c>
      <c r="J130" t="inlineStr">
        <is>
          <t>India|IIND.L|2023</t>
        </is>
      </c>
      <c r="K130" t="inlineStr">
        <is>
          <t>India|2023</t>
        </is>
      </c>
      <c r="L130" t="inlineStr">
        <is>
          <t>GBP</t>
        </is>
      </c>
    </row>
    <row r="131">
      <c r="A131" t="inlineStr">
        <is>
          <t>India</t>
        </is>
      </c>
      <c r="B131" t="inlineStr">
        <is>
          <t>IND</t>
        </is>
      </c>
      <c r="C131" t="inlineStr">
        <is>
          <t>IIND.L</t>
        </is>
      </c>
      <c r="D131" t="n">
        <v>2024</v>
      </c>
      <c r="E131" t="n">
        <v>10.48244693304636</v>
      </c>
      <c r="F131" t="n">
        <v>6.495</v>
      </c>
      <c r="G131" t="n">
        <v>9.777226000000001</v>
      </c>
      <c r="H131" t="n">
        <v>7.459193</v>
      </c>
      <c r="I131" t="n">
        <v>-3.023253933046363</v>
      </c>
      <c r="J131" t="inlineStr">
        <is>
          <t>India|IIND.L|2024</t>
        </is>
      </c>
      <c r="K131" t="inlineStr">
        <is>
          <t>India|2024</t>
        </is>
      </c>
      <c r="L131" t="inlineStr">
        <is>
          <t>GBP</t>
        </is>
      </c>
    </row>
    <row r="132">
      <c r="A132" t="inlineStr">
        <is>
          <t>India</t>
        </is>
      </c>
      <c r="B132" t="inlineStr">
        <is>
          <t>IND</t>
        </is>
      </c>
      <c r="C132" t="inlineStr">
        <is>
          <t>IIND.L</t>
        </is>
      </c>
      <c r="D132" t="n">
        <v>2025</v>
      </c>
      <c r="E132" t="n">
        <v>-5.707615136935273</v>
      </c>
      <c r="F132" t="n">
        <v>6.646</v>
      </c>
      <c r="G132" t="n">
        <v>8.515731000000001</v>
      </c>
      <c r="H132" t="n">
        <v>5.507083</v>
      </c>
      <c r="I132" t="n">
        <v>11.21469813693527</v>
      </c>
      <c r="J132" t="inlineStr">
        <is>
          <t>India|IIND.L|2025</t>
        </is>
      </c>
      <c r="K132" t="inlineStr">
        <is>
          <t>India|2025</t>
        </is>
      </c>
      <c r="L132" t="inlineStr">
        <is>
          <t>GBP</t>
        </is>
      </c>
    </row>
    <row r="133">
      <c r="A133" t="inlineStr">
        <is>
          <t>India</t>
        </is>
      </c>
      <c r="B133" t="inlineStr">
        <is>
          <t>IND</t>
        </is>
      </c>
      <c r="C133" t="inlineStr">
        <is>
          <t>IIND.L</t>
        </is>
      </c>
      <c r="D133" t="n">
        <v>2026</v>
      </c>
      <c r="E133" t="n">
        <v>-6.726702562070974</v>
      </c>
      <c r="F133" t="n">
        <v>6.159</v>
      </c>
      <c r="G133" t="n">
        <v>10.122338</v>
      </c>
      <c r="H133" t="n">
        <v>9.221730000000001</v>
      </c>
      <c r="I133" t="n">
        <v>15.94843256207098</v>
      </c>
      <c r="J133" t="inlineStr">
        <is>
          <t>India|IIND.L|2026</t>
        </is>
      </c>
      <c r="K133" t="inlineStr">
        <is>
          <t>India|2026</t>
        </is>
      </c>
      <c r="L133" t="inlineStr">
        <is>
          <t>GBP</t>
        </is>
      </c>
    </row>
    <row r="134">
      <c r="A134" t="inlineStr">
        <is>
          <t>Indonesia</t>
        </is>
      </c>
      <c r="B134" t="inlineStr">
        <is>
          <t>IDN</t>
        </is>
      </c>
      <c r="C134" t="inlineStr">
        <is>
          <t>INDO.L</t>
        </is>
      </c>
      <c r="D134" t="n">
        <v>2015</v>
      </c>
      <c r="E134" t="inlineStr"/>
      <c r="F134" t="n">
        <v>4.876</v>
      </c>
      <c r="G134" t="inlineStr"/>
      <c r="H134" t="inlineStr"/>
      <c r="I134" t="inlineStr"/>
      <c r="J134" t="inlineStr">
        <is>
          <t>Indonesia|INDO.L|2015</t>
        </is>
      </c>
      <c r="K134" t="inlineStr">
        <is>
          <t>Indonesia|2015</t>
        </is>
      </c>
      <c r="L134" t="inlineStr">
        <is>
          <t>USD</t>
        </is>
      </c>
    </row>
    <row r="135">
      <c r="A135" t="inlineStr">
        <is>
          <t>Indonesia</t>
        </is>
      </c>
      <c r="B135" t="inlineStr">
        <is>
          <t>IDN</t>
        </is>
      </c>
      <c r="C135" t="inlineStr">
        <is>
          <t>INDO.L</t>
        </is>
      </c>
      <c r="D135" t="n">
        <v>2016</v>
      </c>
      <c r="E135" t="inlineStr"/>
      <c r="F135" t="n">
        <v>5.033</v>
      </c>
      <c r="G135" t="n">
        <v>7.594746</v>
      </c>
      <c r="H135" t="n">
        <v>8.250296000000001</v>
      </c>
      <c r="I135" t="inlineStr"/>
      <c r="J135" t="inlineStr">
        <is>
          <t>Indonesia|INDO.L|2016</t>
        </is>
      </c>
      <c r="K135" t="inlineStr">
        <is>
          <t>Indonesia|2016</t>
        </is>
      </c>
      <c r="L135" t="inlineStr">
        <is>
          <t>USD</t>
        </is>
      </c>
    </row>
    <row r="136">
      <c r="A136" t="inlineStr">
        <is>
          <t>Indonesia</t>
        </is>
      </c>
      <c r="B136" t="inlineStr">
        <is>
          <t>IDN</t>
        </is>
      </c>
      <c r="C136" t="inlineStr">
        <is>
          <t>INDO.L</t>
        </is>
      </c>
      <c r="D136" t="n">
        <v>2017</v>
      </c>
      <c r="E136" t="inlineStr"/>
      <c r="F136" t="n">
        <v>5.07</v>
      </c>
      <c r="G136" t="n">
        <v>9.580094000000001</v>
      </c>
      <c r="H136" t="n">
        <v>8.986378999999999</v>
      </c>
      <c r="I136" t="inlineStr"/>
      <c r="J136" t="inlineStr">
        <is>
          <t>Indonesia|INDO.L|2017</t>
        </is>
      </c>
      <c r="K136" t="inlineStr">
        <is>
          <t>Indonesia|2017</t>
        </is>
      </c>
      <c r="L136" t="inlineStr">
        <is>
          <t>USD</t>
        </is>
      </c>
    </row>
    <row r="137">
      <c r="A137" t="inlineStr">
        <is>
          <t>Indonesia</t>
        </is>
      </c>
      <c r="B137" t="inlineStr">
        <is>
          <t>IDN</t>
        </is>
      </c>
      <c r="C137" t="inlineStr">
        <is>
          <t>INDO.L</t>
        </is>
      </c>
      <c r="D137" t="n">
        <v>2018</v>
      </c>
      <c r="E137" t="n">
        <v>0</v>
      </c>
      <c r="F137" t="n">
        <v>5.174</v>
      </c>
      <c r="G137" t="n">
        <v>9.190186000000001</v>
      </c>
      <c r="H137" t="n">
        <v>2.624311</v>
      </c>
      <c r="I137" t="n">
        <v>2.624311</v>
      </c>
      <c r="J137" t="inlineStr">
        <is>
          <t>Indonesia|INDO.L|2018</t>
        </is>
      </c>
      <c r="K137" t="inlineStr">
        <is>
          <t>Indonesia|2018</t>
        </is>
      </c>
      <c r="L137" t="inlineStr">
        <is>
          <t>USD</t>
        </is>
      </c>
    </row>
    <row r="138">
      <c r="A138" t="inlineStr">
        <is>
          <t>Indonesia</t>
        </is>
      </c>
      <c r="B138" t="inlineStr">
        <is>
          <t>IDN</t>
        </is>
      </c>
      <c r="C138" t="inlineStr">
        <is>
          <t>INDO.L</t>
        </is>
      </c>
      <c r="D138" t="n">
        <v>2019</v>
      </c>
      <c r="E138" t="inlineStr"/>
      <c r="F138" t="n">
        <v>5.019</v>
      </c>
      <c r="G138" t="n">
        <v>6.698009</v>
      </c>
      <c r="H138" t="n">
        <v>7.371204</v>
      </c>
      <c r="I138" t="inlineStr"/>
      <c r="J138" t="inlineStr">
        <is>
          <t>Indonesia|INDO.L|2019</t>
        </is>
      </c>
      <c r="K138" t="inlineStr">
        <is>
          <t>Indonesia|2019</t>
        </is>
      </c>
      <c r="L138" t="inlineStr">
        <is>
          <t>USD</t>
        </is>
      </c>
    </row>
    <row r="139">
      <c r="A139" t="inlineStr">
        <is>
          <t>Indonesia</t>
        </is>
      </c>
      <c r="B139" t="inlineStr">
        <is>
          <t>IDN</t>
        </is>
      </c>
      <c r="C139" t="inlineStr">
        <is>
          <t>INDO.L</t>
        </is>
      </c>
      <c r="D139" t="n">
        <v>2020</v>
      </c>
      <c r="E139" t="inlineStr"/>
      <c r="F139" t="n">
        <v>-2.066</v>
      </c>
      <c r="G139" t="n">
        <v>-2.458867</v>
      </c>
      <c r="H139" t="n">
        <v>-5.365472</v>
      </c>
      <c r="I139" t="inlineStr"/>
      <c r="J139" t="inlineStr">
        <is>
          <t>Indonesia|INDO.L|2020</t>
        </is>
      </c>
      <c r="K139" t="inlineStr">
        <is>
          <t>Indonesia|2020</t>
        </is>
      </c>
      <c r="L139" t="inlineStr">
        <is>
          <t>USD</t>
        </is>
      </c>
    </row>
    <row r="140">
      <c r="A140" t="inlineStr">
        <is>
          <t>Indonesia</t>
        </is>
      </c>
      <c r="B140" t="inlineStr">
        <is>
          <t>IDN</t>
        </is>
      </c>
      <c r="C140" t="inlineStr">
        <is>
          <t>INDO.L</t>
        </is>
      </c>
      <c r="D140" t="n">
        <v>2021</v>
      </c>
      <c r="E140" t="inlineStr"/>
      <c r="F140" t="n">
        <v>3.703</v>
      </c>
      <c r="G140" t="n">
        <v>9.929179</v>
      </c>
      <c r="H140" t="n">
        <v>12.034786</v>
      </c>
      <c r="I140" t="inlineStr"/>
      <c r="J140" t="inlineStr">
        <is>
          <t>Indonesia|INDO.L|2021</t>
        </is>
      </c>
      <c r="K140" t="inlineStr">
        <is>
          <t>Indonesia|2021</t>
        </is>
      </c>
      <c r="L140" t="inlineStr">
        <is>
          <t>USD</t>
        </is>
      </c>
    </row>
    <row r="141">
      <c r="A141" t="inlineStr">
        <is>
          <t>Indonesia</t>
        </is>
      </c>
      <c r="B141" t="inlineStr">
        <is>
          <t>IDN</t>
        </is>
      </c>
      <c r="C141" t="inlineStr">
        <is>
          <t>INDO.L</t>
        </is>
      </c>
      <c r="D141" t="n">
        <v>2022</v>
      </c>
      <c r="E141" t="inlineStr"/>
      <c r="F141" t="n">
        <v>5.307</v>
      </c>
      <c r="G141" t="n">
        <v>15.38403</v>
      </c>
      <c r="H141" t="n">
        <v>11.174874</v>
      </c>
      <c r="I141" t="inlineStr"/>
      <c r="J141" t="inlineStr">
        <is>
          <t>Indonesia|INDO.L|2022</t>
        </is>
      </c>
      <c r="K141" t="inlineStr">
        <is>
          <t>Indonesia|2022</t>
        </is>
      </c>
      <c r="L141" t="inlineStr">
        <is>
          <t>USD</t>
        </is>
      </c>
    </row>
    <row r="142">
      <c r="A142" t="inlineStr">
        <is>
          <t>Indonesia</t>
        </is>
      </c>
      <c r="B142" t="inlineStr">
        <is>
          <t>IDN</t>
        </is>
      </c>
      <c r="C142" t="inlineStr">
        <is>
          <t>INDO.L</t>
        </is>
      </c>
      <c r="D142" t="n">
        <v>2023</v>
      </c>
      <c r="E142" t="inlineStr"/>
      <c r="F142" t="n">
        <v>5.049</v>
      </c>
      <c r="G142" t="n">
        <v>6.656412</v>
      </c>
      <c r="H142" t="n">
        <v>3.947234</v>
      </c>
      <c r="I142" t="inlineStr"/>
      <c r="J142" t="inlineStr">
        <is>
          <t>Indonesia|INDO.L|2023</t>
        </is>
      </c>
      <c r="K142" t="inlineStr">
        <is>
          <t>Indonesia|2023</t>
        </is>
      </c>
      <c r="L142" t="inlineStr">
        <is>
          <t>USD</t>
        </is>
      </c>
    </row>
    <row r="143">
      <c r="A143" t="inlineStr">
        <is>
          <t>Indonesia</t>
        </is>
      </c>
      <c r="B143" t="inlineStr">
        <is>
          <t>IDN</t>
        </is>
      </c>
      <c r="C143" t="inlineStr">
        <is>
          <t>INDO.L</t>
        </is>
      </c>
      <c r="D143" t="n">
        <v>2024</v>
      </c>
      <c r="E143" t="inlineStr"/>
      <c r="F143" t="n">
        <v>5.03</v>
      </c>
      <c r="G143" t="n">
        <v>5.966852</v>
      </c>
      <c r="H143" t="n">
        <v>1.832816</v>
      </c>
      <c r="I143" t="inlineStr"/>
      <c r="J143" t="inlineStr">
        <is>
          <t>Indonesia|INDO.L|2024</t>
        </is>
      </c>
      <c r="K143" t="inlineStr">
        <is>
          <t>Indonesia|2024</t>
        </is>
      </c>
      <c r="L143" t="inlineStr">
        <is>
          <t>USD</t>
        </is>
      </c>
    </row>
    <row r="144">
      <c r="A144" t="inlineStr">
        <is>
          <t>Indonesia</t>
        </is>
      </c>
      <c r="B144" t="inlineStr">
        <is>
          <t>IDN</t>
        </is>
      </c>
      <c r="C144" t="inlineStr">
        <is>
          <t>INDO.L</t>
        </is>
      </c>
      <c r="D144" t="n">
        <v>2025</v>
      </c>
      <c r="E144" t="inlineStr"/>
      <c r="F144" t="n">
        <v>4.861</v>
      </c>
      <c r="G144" t="n">
        <v>7.022756</v>
      </c>
      <c r="H144" t="n">
        <v>3.362888</v>
      </c>
      <c r="I144" t="inlineStr"/>
      <c r="J144" t="inlineStr">
        <is>
          <t>Indonesia|INDO.L|2025</t>
        </is>
      </c>
      <c r="K144" t="inlineStr">
        <is>
          <t>Indonesia|2025</t>
        </is>
      </c>
      <c r="L144" t="inlineStr">
        <is>
          <t>USD</t>
        </is>
      </c>
    </row>
    <row r="145">
      <c r="A145" t="inlineStr">
        <is>
          <t>Indonesia</t>
        </is>
      </c>
      <c r="B145" t="inlineStr">
        <is>
          <t>IDN</t>
        </is>
      </c>
      <c r="C145" t="inlineStr">
        <is>
          <t>INDO.L</t>
        </is>
      </c>
      <c r="D145" t="n">
        <v>2026</v>
      </c>
      <c r="E145" t="inlineStr"/>
      <c r="F145" t="n">
        <v>4.942</v>
      </c>
      <c r="G145" t="n">
        <v>7.932287</v>
      </c>
      <c r="H145" t="n">
        <v>7.412406</v>
      </c>
      <c r="I145" t="inlineStr"/>
      <c r="J145" t="inlineStr">
        <is>
          <t>Indonesia|INDO.L|2026</t>
        </is>
      </c>
      <c r="K145" t="inlineStr">
        <is>
          <t>Indonesia|2026</t>
        </is>
      </c>
      <c r="L145" t="inlineStr">
        <is>
          <t>USD</t>
        </is>
      </c>
    </row>
    <row r="146">
      <c r="A146" t="inlineStr">
        <is>
          <t>Italy</t>
        </is>
      </c>
      <c r="B146" t="inlineStr">
        <is>
          <t>ITA</t>
        </is>
      </c>
      <c r="C146" t="inlineStr">
        <is>
          <t>CMIB.L</t>
        </is>
      </c>
      <c r="D146" t="n">
        <v>2015</v>
      </c>
      <c r="E146" t="inlineStr"/>
      <c r="F146" t="n">
        <v>0.886</v>
      </c>
      <c r="G146" t="inlineStr"/>
      <c r="H146" t="inlineStr"/>
      <c r="I146" t="inlineStr"/>
      <c r="J146" t="inlineStr">
        <is>
          <t>Italy|CMIB.L|2015</t>
        </is>
      </c>
      <c r="K146" t="inlineStr">
        <is>
          <t>Italy|2015</t>
        </is>
      </c>
      <c r="L146" t="inlineStr">
        <is>
          <t>EUR</t>
        </is>
      </c>
    </row>
    <row r="147">
      <c r="A147" t="inlineStr">
        <is>
          <t>Italy</t>
        </is>
      </c>
      <c r="B147" t="inlineStr">
        <is>
          <t>ITA</t>
        </is>
      </c>
      <c r="C147" t="inlineStr">
        <is>
          <t>CMIB.L</t>
        </is>
      </c>
      <c r="D147" t="n">
        <v>2016</v>
      </c>
      <c r="E147" t="inlineStr"/>
      <c r="F147" t="n">
        <v>1.236</v>
      </c>
      <c r="G147" t="n">
        <v>2.499763</v>
      </c>
      <c r="H147" t="n">
        <v>2.220127</v>
      </c>
      <c r="I147" t="inlineStr"/>
      <c r="J147" t="inlineStr">
        <is>
          <t>Italy|CMIB.L|2016</t>
        </is>
      </c>
      <c r="K147" t="inlineStr">
        <is>
          <t>Italy|2016</t>
        </is>
      </c>
      <c r="L147" t="inlineStr">
        <is>
          <t>EUR</t>
        </is>
      </c>
    </row>
    <row r="148">
      <c r="A148" t="inlineStr">
        <is>
          <t>Italy</t>
        </is>
      </c>
      <c r="B148" t="inlineStr">
        <is>
          <t>ITA</t>
        </is>
      </c>
      <c r="C148" t="inlineStr">
        <is>
          <t>CMIB.L</t>
        </is>
      </c>
      <c r="D148" t="n">
        <v>2017</v>
      </c>
      <c r="E148" t="inlineStr"/>
      <c r="F148" t="n">
        <v>1.604</v>
      </c>
      <c r="G148" t="n">
        <v>2.325006</v>
      </c>
      <c r="H148" t="n">
        <v>4.422636</v>
      </c>
      <c r="I148" t="inlineStr"/>
      <c r="J148" t="inlineStr">
        <is>
          <t>Italy|CMIB.L|2017</t>
        </is>
      </c>
      <c r="K148" t="inlineStr">
        <is>
          <t>Italy|2017</t>
        </is>
      </c>
      <c r="L148" t="inlineStr">
        <is>
          <t>EUR</t>
        </is>
      </c>
    </row>
    <row r="149">
      <c r="A149" t="inlineStr">
        <is>
          <t>Italy</t>
        </is>
      </c>
      <c r="B149" t="inlineStr">
        <is>
          <t>ITA</t>
        </is>
      </c>
      <c r="C149" t="inlineStr">
        <is>
          <t>CMIB.L</t>
        </is>
      </c>
      <c r="D149" t="n">
        <v>2018</v>
      </c>
      <c r="E149" t="inlineStr"/>
      <c r="F149" t="n">
        <v>0.827</v>
      </c>
      <c r="G149" t="n">
        <v>1.905997</v>
      </c>
      <c r="H149" t="n">
        <v>6.617168</v>
      </c>
      <c r="I149" t="inlineStr"/>
      <c r="J149" t="inlineStr">
        <is>
          <t>Italy|CMIB.L|2018</t>
        </is>
      </c>
      <c r="K149" t="inlineStr">
        <is>
          <t>Italy|2018</t>
        </is>
      </c>
      <c r="L149" t="inlineStr">
        <is>
          <t>EUR</t>
        </is>
      </c>
    </row>
    <row r="150">
      <c r="A150" t="inlineStr">
        <is>
          <t>Italy</t>
        </is>
      </c>
      <c r="B150" t="inlineStr">
        <is>
          <t>ITA</t>
        </is>
      </c>
      <c r="C150" t="inlineStr">
        <is>
          <t>CMIB.L</t>
        </is>
      </c>
      <c r="D150" t="n">
        <v>2019</v>
      </c>
      <c r="E150" t="n">
        <v>0</v>
      </c>
      <c r="F150" t="n">
        <v>0.429</v>
      </c>
      <c r="G150" t="n">
        <v>1.480753</v>
      </c>
      <c r="H150" t="n">
        <v>-3.835293</v>
      </c>
      <c r="I150" t="n">
        <v>-3.835293</v>
      </c>
      <c r="J150" t="inlineStr">
        <is>
          <t>Italy|CMIB.L|2019</t>
        </is>
      </c>
      <c r="K150" t="inlineStr">
        <is>
          <t>Italy|2019</t>
        </is>
      </c>
      <c r="L150" t="inlineStr">
        <is>
          <t>EUR</t>
        </is>
      </c>
    </row>
    <row r="151">
      <c r="A151" t="inlineStr">
        <is>
          <t>Italy</t>
        </is>
      </c>
      <c r="B151" t="inlineStr">
        <is>
          <t>ITA</t>
        </is>
      </c>
      <c r="C151" t="inlineStr">
        <is>
          <t>CMIB.L</t>
        </is>
      </c>
      <c r="D151" t="n">
        <v>2020</v>
      </c>
      <c r="E151" t="inlineStr"/>
      <c r="F151" t="n">
        <v>-8.868</v>
      </c>
      <c r="G151" t="n">
        <v>-7.430707</v>
      </c>
      <c r="H151" t="n">
        <v>-5.637848</v>
      </c>
      <c r="I151" t="inlineStr"/>
      <c r="J151" t="inlineStr">
        <is>
          <t>Italy|CMIB.L|2020</t>
        </is>
      </c>
      <c r="K151" t="inlineStr">
        <is>
          <t>Italy|2020</t>
        </is>
      </c>
      <c r="L151" t="inlineStr">
        <is>
          <t>EUR</t>
        </is>
      </c>
    </row>
    <row r="152">
      <c r="A152" t="inlineStr">
        <is>
          <t>Italy</t>
        </is>
      </c>
      <c r="B152" t="inlineStr">
        <is>
          <t>ITA</t>
        </is>
      </c>
      <c r="C152" t="inlineStr">
        <is>
          <t>CMIB.L</t>
        </is>
      </c>
      <c r="D152" t="n">
        <v>2021</v>
      </c>
      <c r="E152" t="inlineStr"/>
      <c r="F152" t="n">
        <v>8.930999999999999</v>
      </c>
      <c r="G152" t="n">
        <v>10.328962</v>
      </c>
      <c r="H152" t="n">
        <v>14.412767</v>
      </c>
      <c r="I152" t="inlineStr"/>
      <c r="J152" t="inlineStr">
        <is>
          <t>Italy|CMIB.L|2021</t>
        </is>
      </c>
      <c r="K152" t="inlineStr">
        <is>
          <t>Italy|2021</t>
        </is>
      </c>
      <c r="L152" t="inlineStr">
        <is>
          <t>EUR</t>
        </is>
      </c>
    </row>
    <row r="153">
      <c r="A153" t="inlineStr">
        <is>
          <t>Italy</t>
        </is>
      </c>
      <c r="B153" t="inlineStr">
        <is>
          <t>ITA</t>
        </is>
      </c>
      <c r="C153" t="inlineStr">
        <is>
          <t>CMIB.L</t>
        </is>
      </c>
      <c r="D153" t="n">
        <v>2022</v>
      </c>
      <c r="E153" t="inlineStr"/>
      <c r="F153" t="n">
        <v>4.821</v>
      </c>
      <c r="G153" t="n">
        <v>8.443111</v>
      </c>
      <c r="H153" t="n">
        <v>-3.436304</v>
      </c>
      <c r="I153" t="inlineStr"/>
      <c r="J153" t="inlineStr">
        <is>
          <t>Italy|CMIB.L|2022</t>
        </is>
      </c>
      <c r="K153" t="inlineStr">
        <is>
          <t>Italy|2022</t>
        </is>
      </c>
      <c r="L153" t="inlineStr">
        <is>
          <t>EUR</t>
        </is>
      </c>
    </row>
    <row r="154">
      <c r="A154" t="inlineStr">
        <is>
          <t>Italy</t>
        </is>
      </c>
      <c r="B154" t="inlineStr">
        <is>
          <t>ITA</t>
        </is>
      </c>
      <c r="C154" t="inlineStr">
        <is>
          <t>CMIB.L</t>
        </is>
      </c>
      <c r="D154" t="n">
        <v>2023</v>
      </c>
      <c r="E154" t="inlineStr"/>
      <c r="F154" t="n">
        <v>0.715</v>
      </c>
      <c r="G154" t="n">
        <v>6.672279</v>
      </c>
      <c r="H154" t="n">
        <v>9.476413000000001</v>
      </c>
      <c r="I154" t="inlineStr"/>
      <c r="J154" t="inlineStr">
        <is>
          <t>Italy|CMIB.L|2023</t>
        </is>
      </c>
      <c r="K154" t="inlineStr">
        <is>
          <t>Italy|2023</t>
        </is>
      </c>
      <c r="L154" t="inlineStr">
        <is>
          <t>EUR</t>
        </is>
      </c>
    </row>
    <row r="155">
      <c r="A155" t="inlineStr">
        <is>
          <t>Italy</t>
        </is>
      </c>
      <c r="B155" t="inlineStr">
        <is>
          <t>ITA</t>
        </is>
      </c>
      <c r="C155" t="inlineStr">
        <is>
          <t>CMIB.L</t>
        </is>
      </c>
      <c r="D155" t="n">
        <v>2024</v>
      </c>
      <c r="E155" t="inlineStr"/>
      <c r="F155" t="n">
        <v>0.726</v>
      </c>
      <c r="G155" t="n">
        <v>2.852176</v>
      </c>
      <c r="H155" t="n">
        <v>2.897231</v>
      </c>
      <c r="I155" t="inlineStr"/>
      <c r="J155" t="inlineStr">
        <is>
          <t>Italy|CMIB.L|2024</t>
        </is>
      </c>
      <c r="K155" t="inlineStr">
        <is>
          <t>Italy|2024</t>
        </is>
      </c>
      <c r="L155" t="inlineStr">
        <is>
          <t>EUR</t>
        </is>
      </c>
    </row>
    <row r="156">
      <c r="A156" t="inlineStr">
        <is>
          <t>Italy</t>
        </is>
      </c>
      <c r="B156" t="inlineStr">
        <is>
          <t>ITA</t>
        </is>
      </c>
      <c r="C156" t="inlineStr">
        <is>
          <t>CMIB.L</t>
        </is>
      </c>
      <c r="D156" t="n">
        <v>2025</v>
      </c>
      <c r="E156" t="inlineStr"/>
      <c r="F156" t="n">
        <v>0.546</v>
      </c>
      <c r="G156" t="n">
        <v>2.726189</v>
      </c>
      <c r="H156" t="n">
        <v>7.23498</v>
      </c>
      <c r="I156" t="inlineStr"/>
      <c r="J156" t="inlineStr">
        <is>
          <t>Italy|CMIB.L|2025</t>
        </is>
      </c>
      <c r="K156" t="inlineStr">
        <is>
          <t>Italy|2025</t>
        </is>
      </c>
      <c r="L156" t="inlineStr">
        <is>
          <t>EUR</t>
        </is>
      </c>
    </row>
    <row r="157">
      <c r="A157" t="inlineStr">
        <is>
          <t>Italy</t>
        </is>
      </c>
      <c r="B157" t="inlineStr">
        <is>
          <t>ITA</t>
        </is>
      </c>
      <c r="C157" t="inlineStr">
        <is>
          <t>CMIB.L</t>
        </is>
      </c>
      <c r="D157" t="n">
        <v>2026</v>
      </c>
      <c r="E157" t="inlineStr"/>
      <c r="F157" t="n">
        <v>0.759</v>
      </c>
      <c r="G157" t="n">
        <v>2.787725</v>
      </c>
      <c r="H157" t="n">
        <v>6.206252</v>
      </c>
      <c r="I157" t="inlineStr"/>
      <c r="J157" t="inlineStr">
        <is>
          <t>Italy|CMIB.L|2026</t>
        </is>
      </c>
      <c r="K157" t="inlineStr">
        <is>
          <t>Italy|2026</t>
        </is>
      </c>
      <c r="L157" t="inlineStr">
        <is>
          <t>EUR</t>
        </is>
      </c>
    </row>
    <row r="158">
      <c r="A158" t="inlineStr">
        <is>
          <t>Japan</t>
        </is>
      </c>
      <c r="B158" t="inlineStr">
        <is>
          <t>JPN</t>
        </is>
      </c>
      <c r="C158" t="inlineStr">
        <is>
          <t>IJPN.L</t>
        </is>
      </c>
      <c r="D158" t="n">
        <v>2015</v>
      </c>
      <c r="E158" t="n">
        <v>12.09459459459459</v>
      </c>
      <c r="F158" t="n">
        <v>1.561</v>
      </c>
      <c r="G158" t="inlineStr"/>
      <c r="H158" t="inlineStr"/>
      <c r="I158" t="inlineStr"/>
      <c r="J158" t="inlineStr">
        <is>
          <t>Japan|IJPN.L|2015</t>
        </is>
      </c>
      <c r="K158" t="inlineStr">
        <is>
          <t>Japan|2015</t>
        </is>
      </c>
      <c r="L158" t="inlineStr">
        <is>
          <t>GBp</t>
        </is>
      </c>
    </row>
    <row r="159">
      <c r="A159" t="inlineStr">
        <is>
          <t>Japan</t>
        </is>
      </c>
      <c r="B159" t="inlineStr">
        <is>
          <t>JPN</t>
        </is>
      </c>
      <c r="C159" t="inlineStr">
        <is>
          <t>IJPN.L</t>
        </is>
      </c>
      <c r="D159" t="n">
        <v>2016</v>
      </c>
      <c r="E159" t="n">
        <v>24.76837554045705</v>
      </c>
      <c r="F159" t="n">
        <v>0.754</v>
      </c>
      <c r="G159" t="n">
        <v>1.176918</v>
      </c>
      <c r="H159" t="n">
        <v>12.570431</v>
      </c>
      <c r="I159" t="n">
        <v>-12.19794454045705</v>
      </c>
      <c r="J159" t="inlineStr">
        <is>
          <t>Japan|IJPN.L|2016</t>
        </is>
      </c>
      <c r="K159" t="inlineStr">
        <is>
          <t>Japan|2016</t>
        </is>
      </c>
      <c r="L159" t="inlineStr">
        <is>
          <t>GBp</t>
        </is>
      </c>
    </row>
    <row r="160">
      <c r="A160" t="inlineStr">
        <is>
          <t>Japan</t>
        </is>
      </c>
      <c r="B160" t="inlineStr">
        <is>
          <t>JPN</t>
        </is>
      </c>
      <c r="C160" t="inlineStr">
        <is>
          <t>IJPN.L</t>
        </is>
      </c>
      <c r="D160" t="n">
        <v>2017</v>
      </c>
      <c r="E160" t="n">
        <v>10.94135041892559</v>
      </c>
      <c r="F160" t="n">
        <v>1.675</v>
      </c>
      <c r="G160" t="n">
        <v>1.599737</v>
      </c>
      <c r="H160" t="n">
        <v>-1.455749</v>
      </c>
      <c r="I160" t="n">
        <v>-12.39709941892559</v>
      </c>
      <c r="J160" t="inlineStr">
        <is>
          <t>Japan|IJPN.L|2017</t>
        </is>
      </c>
      <c r="K160" t="inlineStr">
        <is>
          <t>Japan|2017</t>
        </is>
      </c>
      <c r="L160" t="inlineStr">
        <is>
          <t>GBp</t>
        </is>
      </c>
    </row>
    <row r="161">
      <c r="A161" t="inlineStr">
        <is>
          <t>Japan</t>
        </is>
      </c>
      <c r="B161" t="inlineStr">
        <is>
          <t>JPN</t>
        </is>
      </c>
      <c r="C161" t="inlineStr">
        <is>
          <t>IJPN.L</t>
        </is>
      </c>
      <c r="D161" t="n">
        <v>2018</v>
      </c>
      <c r="E161" t="n">
        <v>-9.746972740059723</v>
      </c>
      <c r="F161" t="n">
        <v>0.643</v>
      </c>
      <c r="G161" t="n">
        <v>0.6431519999999999</v>
      </c>
      <c r="H161" t="n">
        <v>2.231751</v>
      </c>
      <c r="I161" t="n">
        <v>11.97872374005972</v>
      </c>
      <c r="J161" t="inlineStr">
        <is>
          <t>Japan|IJPN.L|2018</t>
        </is>
      </c>
      <c r="K161" t="inlineStr">
        <is>
          <t>Japan|2018</t>
        </is>
      </c>
      <c r="L161" t="inlineStr">
        <is>
          <t>GBp</t>
        </is>
      </c>
    </row>
    <row r="162">
      <c r="A162" t="inlineStr">
        <is>
          <t>Japan</t>
        </is>
      </c>
      <c r="B162" t="inlineStr">
        <is>
          <t>JPN</t>
        </is>
      </c>
      <c r="C162" t="inlineStr">
        <is>
          <t>IJPN.L</t>
        </is>
      </c>
      <c r="D162" t="n">
        <v>2019</v>
      </c>
      <c r="E162" t="n">
        <v>11.05687088113254</v>
      </c>
      <c r="F162" t="n">
        <v>-0.402</v>
      </c>
      <c r="G162" t="n">
        <v>0.230099</v>
      </c>
      <c r="H162" t="n">
        <v>1.529772</v>
      </c>
      <c r="I162" t="n">
        <v>-9.527098881132542</v>
      </c>
      <c r="J162" t="inlineStr">
        <is>
          <t>Japan|IJPN.L|2019</t>
        </is>
      </c>
      <c r="K162" t="inlineStr">
        <is>
          <t>Japan|2019</t>
        </is>
      </c>
      <c r="L162" t="inlineStr">
        <is>
          <t>GBp</t>
        </is>
      </c>
    </row>
    <row r="163">
      <c r="A163" t="inlineStr">
        <is>
          <t>Japan</t>
        </is>
      </c>
      <c r="B163" t="inlineStr">
        <is>
          <t>JPN</t>
        </is>
      </c>
      <c r="C163" t="inlineStr">
        <is>
          <t>IJPN.L</t>
        </is>
      </c>
      <c r="D163" t="n">
        <v>2020</v>
      </c>
      <c r="E163" t="n">
        <v>8.564013840830453</v>
      </c>
      <c r="F163" t="n">
        <v>-4.169</v>
      </c>
      <c r="G163" t="n">
        <v>-3.273784</v>
      </c>
      <c r="H163" t="n">
        <v>-1.249044</v>
      </c>
      <c r="I163" t="n">
        <v>-9.813057840830453</v>
      </c>
      <c r="J163" t="inlineStr">
        <is>
          <t>Japan|IJPN.L|2020</t>
        </is>
      </c>
      <c r="K163" t="inlineStr">
        <is>
          <t>Japan|2020</t>
        </is>
      </c>
      <c r="L163" t="inlineStr">
        <is>
          <t>GBp</t>
        </is>
      </c>
    </row>
    <row r="164">
      <c r="A164" t="inlineStr">
        <is>
          <t>Japan</t>
        </is>
      </c>
      <c r="B164" t="inlineStr">
        <is>
          <t>JPN</t>
        </is>
      </c>
      <c r="C164" t="inlineStr">
        <is>
          <t>IJPN.L</t>
        </is>
      </c>
      <c r="D164" t="n">
        <v>2021</v>
      </c>
      <c r="E164" t="n">
        <v>0.8393285371702586</v>
      </c>
      <c r="F164" t="n">
        <v>2.697</v>
      </c>
      <c r="G164" t="n">
        <v>2.487223</v>
      </c>
      <c r="H164" t="n">
        <v>-0.295227</v>
      </c>
      <c r="I164" t="n">
        <v>-1.134555537170259</v>
      </c>
      <c r="J164" t="inlineStr">
        <is>
          <t>Japan|IJPN.L|2021</t>
        </is>
      </c>
      <c r="K164" t="inlineStr">
        <is>
          <t>Japan|2021</t>
        </is>
      </c>
      <c r="L164" t="inlineStr">
        <is>
          <t>GBp</t>
        </is>
      </c>
    </row>
    <row r="165">
      <c r="A165" t="inlineStr">
        <is>
          <t>Japan</t>
        </is>
      </c>
      <c r="B165" t="inlineStr">
        <is>
          <t>JPN</t>
        </is>
      </c>
      <c r="C165" t="inlineStr">
        <is>
          <t>IJPN.L</t>
        </is>
      </c>
      <c r="D165" t="n">
        <v>2022</v>
      </c>
      <c r="E165" t="n">
        <v>-10.19170579029734</v>
      </c>
      <c r="F165" t="n">
        <v>0.96</v>
      </c>
      <c r="G165" t="n">
        <v>1.36305</v>
      </c>
      <c r="H165" t="n">
        <v>-15.397782</v>
      </c>
      <c r="I165" t="n">
        <v>-5.206076209702655</v>
      </c>
      <c r="J165" t="inlineStr">
        <is>
          <t>Japan|IJPN.L|2022</t>
        </is>
      </c>
      <c r="K165" t="inlineStr">
        <is>
          <t>Japan|2022</t>
        </is>
      </c>
      <c r="L165" t="inlineStr">
        <is>
          <t>GBp</t>
        </is>
      </c>
    </row>
    <row r="166">
      <c r="A166" t="inlineStr">
        <is>
          <t>Japan</t>
        </is>
      </c>
      <c r="B166" t="inlineStr">
        <is>
          <t>JPN</t>
        </is>
      </c>
      <c r="C166" t="inlineStr">
        <is>
          <t>IJPN.L</t>
        </is>
      </c>
      <c r="D166" t="n">
        <v>2023</v>
      </c>
      <c r="E166" t="n">
        <v>10.74433656957927</v>
      </c>
      <c r="F166" t="n">
        <v>1.245</v>
      </c>
      <c r="G166" t="n">
        <v>5.36886</v>
      </c>
      <c r="H166" t="n">
        <v>-1.375905</v>
      </c>
      <c r="I166" t="n">
        <v>-12.12024156957927</v>
      </c>
      <c r="J166" t="inlineStr">
        <is>
          <t>Japan|IJPN.L|2023</t>
        </is>
      </c>
      <c r="K166" t="inlineStr">
        <is>
          <t>Japan|2023</t>
        </is>
      </c>
      <c r="L166" t="inlineStr">
        <is>
          <t>GBp</t>
        </is>
      </c>
    </row>
    <row r="167">
      <c r="A167" t="inlineStr">
        <is>
          <t>Japan</t>
        </is>
      </c>
      <c r="B167" t="inlineStr">
        <is>
          <t>JPN</t>
        </is>
      </c>
      <c r="C167" t="inlineStr">
        <is>
          <t>IJPN.L</t>
        </is>
      </c>
      <c r="D167" t="n">
        <v>2024</v>
      </c>
      <c r="E167" t="n">
        <v>6.997084548104948</v>
      </c>
      <c r="F167" t="n">
        <v>0.104</v>
      </c>
      <c r="G167" t="n">
        <v>2.995369</v>
      </c>
      <c r="H167" t="n">
        <v>-4.404514</v>
      </c>
      <c r="I167" t="n">
        <v>-11.40159854810495</v>
      </c>
      <c r="J167" t="inlineStr">
        <is>
          <t>Japan|IJPN.L|2024</t>
        </is>
      </c>
      <c r="K167" t="inlineStr">
        <is>
          <t>Japan|2024</t>
        </is>
      </c>
      <c r="L167" t="inlineStr">
        <is>
          <t>GBp</t>
        </is>
      </c>
    </row>
    <row r="168">
      <c r="A168" t="inlineStr">
        <is>
          <t>Japan</t>
        </is>
      </c>
      <c r="B168" t="inlineStr">
        <is>
          <t>JPN</t>
        </is>
      </c>
      <c r="C168" t="inlineStr">
        <is>
          <t>IJPN.L</t>
        </is>
      </c>
      <c r="D168" t="n">
        <v>2025</v>
      </c>
      <c r="E168" t="n">
        <v>13.36075836165267</v>
      </c>
      <c r="F168" t="n">
        <v>1.076</v>
      </c>
      <c r="G168" t="n">
        <v>3.88797</v>
      </c>
      <c r="H168" t="n">
        <v>6.479752</v>
      </c>
      <c r="I168" t="n">
        <v>-6.881006361652669</v>
      </c>
      <c r="J168" t="inlineStr">
        <is>
          <t>Japan|IJPN.L|2025</t>
        </is>
      </c>
      <c r="K168" t="inlineStr">
        <is>
          <t>Japan|2025</t>
        </is>
      </c>
      <c r="L168" t="inlineStr">
        <is>
          <t>GBp</t>
        </is>
      </c>
    </row>
    <row r="169">
      <c r="A169" t="inlineStr">
        <is>
          <t>Japan</t>
        </is>
      </c>
      <c r="B169" t="inlineStr">
        <is>
          <t>JPN</t>
        </is>
      </c>
      <c r="C169" t="inlineStr">
        <is>
          <t>IJPN.L</t>
        </is>
      </c>
      <c r="D169" t="n">
        <v>2026</v>
      </c>
      <c r="E169" t="n">
        <v>10.79974811083122</v>
      </c>
      <c r="F169" t="n">
        <v>0.633</v>
      </c>
      <c r="G169" t="n">
        <v>2.602655</v>
      </c>
      <c r="H169" t="n">
        <v>4.294705</v>
      </c>
      <c r="I169" t="n">
        <v>-6.50504311083122</v>
      </c>
      <c r="J169" t="inlineStr">
        <is>
          <t>Japan|IJPN.L|2026</t>
        </is>
      </c>
      <c r="K169" t="inlineStr">
        <is>
          <t>Japan|2026</t>
        </is>
      </c>
      <c r="L169" t="inlineStr">
        <is>
          <t>GBp</t>
        </is>
      </c>
    </row>
    <row r="170">
      <c r="A170" t="inlineStr">
        <is>
          <t>Japan</t>
        </is>
      </c>
      <c r="B170" t="inlineStr">
        <is>
          <t>JPN</t>
        </is>
      </c>
      <c r="C170" t="inlineStr">
        <is>
          <t>LCJP.L</t>
        </is>
      </c>
      <c r="D170" t="n">
        <v>2015</v>
      </c>
      <c r="E170" t="inlineStr"/>
      <c r="F170" t="n">
        <v>1.561</v>
      </c>
      <c r="G170" t="inlineStr"/>
      <c r="H170" t="inlineStr"/>
      <c r="I170" t="inlineStr"/>
      <c r="J170" t="inlineStr">
        <is>
          <t>Japan|LCJP.L|2015</t>
        </is>
      </c>
      <c r="K170" t="inlineStr">
        <is>
          <t>Japan|2015</t>
        </is>
      </c>
      <c r="L170" t="inlineStr">
        <is>
          <t>GBP</t>
        </is>
      </c>
    </row>
    <row r="171">
      <c r="A171" t="inlineStr">
        <is>
          <t>Japan</t>
        </is>
      </c>
      <c r="B171" t="inlineStr">
        <is>
          <t>JPN</t>
        </is>
      </c>
      <c r="C171" t="inlineStr">
        <is>
          <t>LCJP.L</t>
        </is>
      </c>
      <c r="D171" t="n">
        <v>2016</v>
      </c>
      <c r="E171" t="inlineStr"/>
      <c r="F171" t="n">
        <v>0.754</v>
      </c>
      <c r="G171" t="n">
        <v>1.176918</v>
      </c>
      <c r="H171" t="n">
        <v>12.570431</v>
      </c>
      <c r="I171" t="inlineStr"/>
      <c r="J171" t="inlineStr">
        <is>
          <t>Japan|LCJP.L|2016</t>
        </is>
      </c>
      <c r="K171" t="inlineStr">
        <is>
          <t>Japan|2016</t>
        </is>
      </c>
      <c r="L171" t="inlineStr">
        <is>
          <t>GBP</t>
        </is>
      </c>
    </row>
    <row r="172">
      <c r="A172" t="inlineStr">
        <is>
          <t>Japan</t>
        </is>
      </c>
      <c r="B172" t="inlineStr">
        <is>
          <t>JPN</t>
        </is>
      </c>
      <c r="C172" t="inlineStr">
        <is>
          <t>LCJP.L</t>
        </is>
      </c>
      <c r="D172" t="n">
        <v>2017</v>
      </c>
      <c r="E172" t="inlineStr"/>
      <c r="F172" t="n">
        <v>1.675</v>
      </c>
      <c r="G172" t="n">
        <v>1.599737</v>
      </c>
      <c r="H172" t="n">
        <v>-1.455749</v>
      </c>
      <c r="I172" t="inlineStr"/>
      <c r="J172" t="inlineStr">
        <is>
          <t>Japan|LCJP.L|2017</t>
        </is>
      </c>
      <c r="K172" t="inlineStr">
        <is>
          <t>Japan|2017</t>
        </is>
      </c>
      <c r="L172" t="inlineStr">
        <is>
          <t>GBP</t>
        </is>
      </c>
    </row>
    <row r="173">
      <c r="A173" t="inlineStr">
        <is>
          <t>Japan</t>
        </is>
      </c>
      <c r="B173" t="inlineStr">
        <is>
          <t>JPN</t>
        </is>
      </c>
      <c r="C173" t="inlineStr">
        <is>
          <t>LCJP.L</t>
        </is>
      </c>
      <c r="D173" t="n">
        <v>2018</v>
      </c>
      <c r="E173" t="n">
        <v>-99.38213335673014</v>
      </c>
      <c r="F173" t="n">
        <v>0.643</v>
      </c>
      <c r="G173" t="n">
        <v>0.6431519999999999</v>
      </c>
      <c r="H173" t="n">
        <v>2.231751</v>
      </c>
      <c r="I173" t="n">
        <v>101.6138843567301</v>
      </c>
      <c r="J173" t="inlineStr">
        <is>
          <t>Japan|LCJP.L|2018</t>
        </is>
      </c>
      <c r="K173" t="inlineStr">
        <is>
          <t>Japan|2018</t>
        </is>
      </c>
      <c r="L173" t="inlineStr">
        <is>
          <t>GBP</t>
        </is>
      </c>
    </row>
    <row r="174">
      <c r="A174" t="inlineStr">
        <is>
          <t>Japan</t>
        </is>
      </c>
      <c r="B174" t="inlineStr">
        <is>
          <t>JPN</t>
        </is>
      </c>
      <c r="C174" t="inlineStr">
        <is>
          <t>LCJP.L</t>
        </is>
      </c>
      <c r="D174" t="n">
        <v>2019</v>
      </c>
      <c r="E174" t="n">
        <v>13.37103048725012</v>
      </c>
      <c r="F174" t="n">
        <v>-0.402</v>
      </c>
      <c r="G174" t="n">
        <v>0.230099</v>
      </c>
      <c r="H174" t="n">
        <v>1.529772</v>
      </c>
      <c r="I174" t="n">
        <v>-11.84125848725012</v>
      </c>
      <c r="J174" t="inlineStr">
        <is>
          <t>Japan|LCJP.L|2019</t>
        </is>
      </c>
      <c r="K174" t="inlineStr">
        <is>
          <t>Japan|2019</t>
        </is>
      </c>
      <c r="L174" t="inlineStr">
        <is>
          <t>GBP</t>
        </is>
      </c>
    </row>
    <row r="175">
      <c r="A175" t="inlineStr">
        <is>
          <t>Japan</t>
        </is>
      </c>
      <c r="B175" t="inlineStr">
        <is>
          <t>JPN</t>
        </is>
      </c>
      <c r="C175" t="inlineStr">
        <is>
          <t>LCJP.L</t>
        </is>
      </c>
      <c r="D175" t="n">
        <v>2020</v>
      </c>
      <c r="E175" t="n">
        <v>10.47610752457546</v>
      </c>
      <c r="F175" t="n">
        <v>-4.169</v>
      </c>
      <c r="G175" t="n">
        <v>-3.273784</v>
      </c>
      <c r="H175" t="n">
        <v>-1.249044</v>
      </c>
      <c r="I175" t="n">
        <v>-11.72515152457546</v>
      </c>
      <c r="J175" t="inlineStr">
        <is>
          <t>Japan|LCJP.L|2020</t>
        </is>
      </c>
      <c r="K175" t="inlineStr">
        <is>
          <t>Japan|2020</t>
        </is>
      </c>
      <c r="L175" t="inlineStr">
        <is>
          <t>GBP</t>
        </is>
      </c>
    </row>
    <row r="176">
      <c r="A176" t="inlineStr">
        <is>
          <t>Japan</t>
        </is>
      </c>
      <c r="B176" t="inlineStr">
        <is>
          <t>JPN</t>
        </is>
      </c>
      <c r="C176" t="inlineStr">
        <is>
          <t>LCJP.L</t>
        </is>
      </c>
      <c r="D176" t="n">
        <v>2021</v>
      </c>
      <c r="E176" t="n">
        <v>2.436155535753204</v>
      </c>
      <c r="F176" t="n">
        <v>2.697</v>
      </c>
      <c r="G176" t="n">
        <v>2.487223</v>
      </c>
      <c r="H176" t="n">
        <v>-0.295227</v>
      </c>
      <c r="I176" t="n">
        <v>-2.731382535753204</v>
      </c>
      <c r="J176" t="inlineStr">
        <is>
          <t>Japan|LCJP.L|2021</t>
        </is>
      </c>
      <c r="K176" t="inlineStr">
        <is>
          <t>Japan|2021</t>
        </is>
      </c>
      <c r="L176" t="inlineStr">
        <is>
          <t>GBP</t>
        </is>
      </c>
    </row>
    <row r="177">
      <c r="A177" t="inlineStr">
        <is>
          <t>Japan</t>
        </is>
      </c>
      <c r="B177" t="inlineStr">
        <is>
          <t>JPN</t>
        </is>
      </c>
      <c r="C177" t="inlineStr">
        <is>
          <t>LCJP.L</t>
        </is>
      </c>
      <c r="D177" t="n">
        <v>2022</v>
      </c>
      <c r="E177" t="n">
        <v>-8.411516781782735</v>
      </c>
      <c r="F177" t="n">
        <v>0.96</v>
      </c>
      <c r="G177" t="n">
        <v>1.36305</v>
      </c>
      <c r="H177" t="n">
        <v>-15.397782</v>
      </c>
      <c r="I177" t="n">
        <v>-6.986265218217264</v>
      </c>
      <c r="J177" t="inlineStr">
        <is>
          <t>Japan|LCJP.L|2022</t>
        </is>
      </c>
      <c r="K177" t="inlineStr">
        <is>
          <t>Japan|2022</t>
        </is>
      </c>
      <c r="L177" t="inlineStr">
        <is>
          <t>GBP</t>
        </is>
      </c>
    </row>
    <row r="178">
      <c r="A178" t="inlineStr">
        <is>
          <t>Japan</t>
        </is>
      </c>
      <c r="B178" t="inlineStr">
        <is>
          <t>JPN</t>
        </is>
      </c>
      <c r="C178" t="inlineStr">
        <is>
          <t>LCJP.L</t>
        </is>
      </c>
      <c r="D178" t="n">
        <v>2023</v>
      </c>
      <c r="E178" t="n">
        <v>12.84403937287639</v>
      </c>
      <c r="F178" t="n">
        <v>1.245</v>
      </c>
      <c r="G178" t="n">
        <v>5.36886</v>
      </c>
      <c r="H178" t="n">
        <v>-1.375905</v>
      </c>
      <c r="I178" t="n">
        <v>-14.21994437287639</v>
      </c>
      <c r="J178" t="inlineStr">
        <is>
          <t>Japan|LCJP.L|2023</t>
        </is>
      </c>
      <c r="K178" t="inlineStr">
        <is>
          <t>Japan|2023</t>
        </is>
      </c>
      <c r="L178" t="inlineStr">
        <is>
          <t>GBP</t>
        </is>
      </c>
    </row>
    <row r="179">
      <c r="A179" t="inlineStr">
        <is>
          <t>Japan</t>
        </is>
      </c>
      <c r="B179" t="inlineStr">
        <is>
          <t>JPN</t>
        </is>
      </c>
      <c r="C179" t="inlineStr">
        <is>
          <t>LCJP.L</t>
        </is>
      </c>
      <c r="D179" t="n">
        <v>2024</v>
      </c>
      <c r="E179" t="n">
        <v>8.710773527333115</v>
      </c>
      <c r="F179" t="n">
        <v>0.104</v>
      </c>
      <c r="G179" t="n">
        <v>2.995369</v>
      </c>
      <c r="H179" t="n">
        <v>-4.404514</v>
      </c>
      <c r="I179" t="n">
        <v>-13.11528752733312</v>
      </c>
      <c r="J179" t="inlineStr">
        <is>
          <t>Japan|LCJP.L|2024</t>
        </is>
      </c>
      <c r="K179" t="inlineStr">
        <is>
          <t>Japan|2024</t>
        </is>
      </c>
      <c r="L179" t="inlineStr">
        <is>
          <t>GBP</t>
        </is>
      </c>
    </row>
    <row r="180">
      <c r="A180" t="inlineStr">
        <is>
          <t>Japan</t>
        </is>
      </c>
      <c r="B180" t="inlineStr">
        <is>
          <t>JPN</t>
        </is>
      </c>
      <c r="C180" t="inlineStr">
        <is>
          <t>LCJP.L</t>
        </is>
      </c>
      <c r="D180" t="n">
        <v>2025</v>
      </c>
      <c r="E180" t="n">
        <v>15.82411632877179</v>
      </c>
      <c r="F180" t="n">
        <v>1.076</v>
      </c>
      <c r="G180" t="n">
        <v>3.88797</v>
      </c>
      <c r="H180" t="n">
        <v>6.479752</v>
      </c>
      <c r="I180" t="n">
        <v>-9.344364328771785</v>
      </c>
      <c r="J180" t="inlineStr">
        <is>
          <t>Japan|LCJP.L|2025</t>
        </is>
      </c>
      <c r="K180" t="inlineStr">
        <is>
          <t>Japan|2025</t>
        </is>
      </c>
      <c r="L180" t="inlineStr">
        <is>
          <t>GBP</t>
        </is>
      </c>
    </row>
    <row r="181">
      <c r="A181" t="inlineStr">
        <is>
          <t>Japan</t>
        </is>
      </c>
      <c r="B181" t="inlineStr">
        <is>
          <t>JPN</t>
        </is>
      </c>
      <c r="C181" t="inlineStr">
        <is>
          <t>LCJP.L</t>
        </is>
      </c>
      <c r="D181" t="n">
        <v>2026</v>
      </c>
      <c r="E181" t="n">
        <v>11.71356419445329</v>
      </c>
      <c r="F181" t="n">
        <v>0.633</v>
      </c>
      <c r="G181" t="n">
        <v>2.602655</v>
      </c>
      <c r="H181" t="n">
        <v>4.294705</v>
      </c>
      <c r="I181" t="n">
        <v>-7.418859194453285</v>
      </c>
      <c r="J181" t="inlineStr">
        <is>
          <t>Japan|LCJP.L|2026</t>
        </is>
      </c>
      <c r="K181" t="inlineStr">
        <is>
          <t>Japan|2026</t>
        </is>
      </c>
      <c r="L181" t="inlineStr">
        <is>
          <t>GBP</t>
        </is>
      </c>
    </row>
    <row r="182">
      <c r="A182" t="inlineStr">
        <is>
          <t>Kuwait</t>
        </is>
      </c>
      <c r="B182" t="inlineStr">
        <is>
          <t>KWT</t>
        </is>
      </c>
      <c r="C182" t="inlineStr">
        <is>
          <t>MKUW.L</t>
        </is>
      </c>
      <c r="D182" t="n">
        <v>2015</v>
      </c>
      <c r="E182" t="inlineStr"/>
      <c r="F182" t="n">
        <v>0.593</v>
      </c>
      <c r="G182" t="inlineStr"/>
      <c r="H182" t="inlineStr"/>
      <c r="I182" t="inlineStr"/>
      <c r="J182" t="inlineStr">
        <is>
          <t>Kuwait|MKUW.L|2015</t>
        </is>
      </c>
      <c r="K182" t="inlineStr">
        <is>
          <t>Kuwait|2015</t>
        </is>
      </c>
      <c r="L182" t="inlineStr">
        <is>
          <t>USD</t>
        </is>
      </c>
    </row>
    <row r="183">
      <c r="A183" t="inlineStr">
        <is>
          <t>Kuwait</t>
        </is>
      </c>
      <c r="B183" t="inlineStr">
        <is>
          <t>KWT</t>
        </is>
      </c>
      <c r="C183" t="inlineStr">
        <is>
          <t>MKUW.L</t>
        </is>
      </c>
      <c r="D183" t="n">
        <v>2016</v>
      </c>
      <c r="E183" t="inlineStr"/>
      <c r="F183" t="n">
        <v>2.926</v>
      </c>
      <c r="G183" t="n">
        <v>-4.110463</v>
      </c>
      <c r="H183" t="n">
        <v>-4.543392</v>
      </c>
      <c r="I183" t="inlineStr"/>
      <c r="J183" t="inlineStr">
        <is>
          <t>Kuwait|MKUW.L|2016</t>
        </is>
      </c>
      <c r="K183" t="inlineStr">
        <is>
          <t>Kuwait|2016</t>
        </is>
      </c>
      <c r="L183" t="inlineStr">
        <is>
          <t>USD</t>
        </is>
      </c>
    </row>
    <row r="184">
      <c r="A184" t="inlineStr">
        <is>
          <t>Kuwait</t>
        </is>
      </c>
      <c r="B184" t="inlineStr">
        <is>
          <t>KWT</t>
        </is>
      </c>
      <c r="C184" t="inlineStr">
        <is>
          <t>MKUW.L</t>
        </is>
      </c>
      <c r="D184" t="n">
        <v>2017</v>
      </c>
      <c r="E184" t="inlineStr"/>
      <c r="F184" t="n">
        <v>-4.712</v>
      </c>
      <c r="G184" t="n">
        <v>10.754477</v>
      </c>
      <c r="H184" t="n">
        <v>10.319107</v>
      </c>
      <c r="I184" t="inlineStr"/>
      <c r="J184" t="inlineStr">
        <is>
          <t>Kuwait|MKUW.L|2017</t>
        </is>
      </c>
      <c r="K184" t="inlineStr">
        <is>
          <t>Kuwait|2017</t>
        </is>
      </c>
      <c r="L184" t="inlineStr">
        <is>
          <t>USD</t>
        </is>
      </c>
    </row>
    <row r="185">
      <c r="A185" t="inlineStr">
        <is>
          <t>Kuwait</t>
        </is>
      </c>
      <c r="B185" t="inlineStr">
        <is>
          <t>KWT</t>
        </is>
      </c>
      <c r="C185" t="inlineStr">
        <is>
          <t>MKUW.L</t>
        </is>
      </c>
      <c r="D185" t="n">
        <v>2018</v>
      </c>
      <c r="E185" t="inlineStr"/>
      <c r="F185" t="n">
        <v>2.743</v>
      </c>
      <c r="G185" t="n">
        <v>14.350878</v>
      </c>
      <c r="H185" t="n">
        <v>14.887147</v>
      </c>
      <c r="I185" t="inlineStr"/>
      <c r="J185" t="inlineStr">
        <is>
          <t>Kuwait|MKUW.L|2018</t>
        </is>
      </c>
      <c r="K185" t="inlineStr">
        <is>
          <t>Kuwait|2018</t>
        </is>
      </c>
      <c r="L185" t="inlineStr">
        <is>
          <t>USD</t>
        </is>
      </c>
    </row>
    <row r="186">
      <c r="A186" t="inlineStr">
        <is>
          <t>Kuwait</t>
        </is>
      </c>
      <c r="B186" t="inlineStr">
        <is>
          <t>KWT</t>
        </is>
      </c>
      <c r="C186" t="inlineStr">
        <is>
          <t>MKUW.L</t>
        </is>
      </c>
      <c r="D186" t="n">
        <v>2019</v>
      </c>
      <c r="E186" t="n">
        <v>10.34847552438021</v>
      </c>
      <c r="F186" t="n">
        <v>2.264</v>
      </c>
      <c r="G186" t="n">
        <v>2.152156</v>
      </c>
      <c r="H186" t="n">
        <v>1.586672</v>
      </c>
      <c r="I186" t="n">
        <v>-8.761803524380207</v>
      </c>
      <c r="J186" t="inlineStr">
        <is>
          <t>Kuwait|MKUW.L|2019</t>
        </is>
      </c>
      <c r="K186" t="inlineStr">
        <is>
          <t>Kuwait|2019</t>
        </is>
      </c>
      <c r="L186" t="inlineStr">
        <is>
          <t>USD</t>
        </is>
      </c>
    </row>
    <row r="187">
      <c r="A187" t="inlineStr">
        <is>
          <t>Kuwait</t>
        </is>
      </c>
      <c r="B187" t="inlineStr">
        <is>
          <t>KWT</t>
        </is>
      </c>
      <c r="C187" t="inlineStr">
        <is>
          <t>MKUW.L</t>
        </is>
      </c>
      <c r="D187" t="n">
        <v>2020</v>
      </c>
      <c r="E187" t="n">
        <v>-9.859384906803459</v>
      </c>
      <c r="F187" t="n">
        <v>-4.817</v>
      </c>
      <c r="G187" t="n">
        <v>-20.483562</v>
      </c>
      <c r="H187" t="n">
        <v>-21.161478</v>
      </c>
      <c r="I187" t="n">
        <v>-11.30209309319654</v>
      </c>
      <c r="J187" t="inlineStr">
        <is>
          <t>Kuwait|MKUW.L|2020</t>
        </is>
      </c>
      <c r="K187" t="inlineStr">
        <is>
          <t>Kuwait|2020</t>
        </is>
      </c>
      <c r="L187" t="inlineStr">
        <is>
          <t>USD</t>
        </is>
      </c>
    </row>
    <row r="188">
      <c r="A188" t="inlineStr">
        <is>
          <t>Kuwait</t>
        </is>
      </c>
      <c r="B188" t="inlineStr">
        <is>
          <t>KWT</t>
        </is>
      </c>
      <c r="C188" t="inlineStr">
        <is>
          <t>MKUW.L</t>
        </is>
      </c>
      <c r="D188" t="n">
        <v>2021</v>
      </c>
      <c r="E188" t="n">
        <v>28.55539251465564</v>
      </c>
      <c r="F188" t="n">
        <v>1.672</v>
      </c>
      <c r="G188" t="n">
        <v>31.591484</v>
      </c>
      <c r="H188" t="n">
        <v>33.587278</v>
      </c>
      <c r="I188" t="n">
        <v>5.031885485344354</v>
      </c>
      <c r="J188" t="inlineStr">
        <is>
          <t>Kuwait|MKUW.L|2021</t>
        </is>
      </c>
      <c r="K188" t="inlineStr">
        <is>
          <t>Kuwait|2021</t>
        </is>
      </c>
      <c r="L188" t="inlineStr">
        <is>
          <t>USD</t>
        </is>
      </c>
    </row>
    <row r="189">
      <c r="A189" t="inlineStr">
        <is>
          <t>Kuwait</t>
        </is>
      </c>
      <c r="B189" t="inlineStr">
        <is>
          <t>KWT</t>
        </is>
      </c>
      <c r="C189" t="inlineStr">
        <is>
          <t>MKUW.L</t>
        </is>
      </c>
      <c r="D189" t="n">
        <v>2022</v>
      </c>
      <c r="E189" t="n">
        <v>5.65328770702791</v>
      </c>
      <c r="F189" t="n">
        <v>6.759</v>
      </c>
      <c r="G189" t="n">
        <v>25.584929</v>
      </c>
      <c r="H189" t="n">
        <v>23.723592</v>
      </c>
      <c r="I189" t="n">
        <v>18.07030429297209</v>
      </c>
      <c r="J189" t="inlineStr">
        <is>
          <t>Kuwait|MKUW.L|2022</t>
        </is>
      </c>
      <c r="K189" t="inlineStr">
        <is>
          <t>Kuwait|2022</t>
        </is>
      </c>
      <c r="L189" t="inlineStr">
        <is>
          <t>USD</t>
        </is>
      </c>
    </row>
    <row r="190">
      <c r="A190" t="inlineStr">
        <is>
          <t>Kuwait</t>
        </is>
      </c>
      <c r="B190" t="inlineStr">
        <is>
          <t>KWT</t>
        </is>
      </c>
      <c r="C190" t="inlineStr">
        <is>
          <t>MKUW.L</t>
        </is>
      </c>
      <c r="D190" t="n">
        <v>2023</v>
      </c>
      <c r="E190" t="n">
        <v>-7.149172592324704</v>
      </c>
      <c r="F190" t="n">
        <v>-1.667</v>
      </c>
      <c r="G190" t="n">
        <v>-9.598205999999999</v>
      </c>
      <c r="H190" t="n">
        <v>-9.885092999999999</v>
      </c>
      <c r="I190" t="n">
        <v>-2.735920407675295</v>
      </c>
      <c r="J190" t="inlineStr">
        <is>
          <t>Kuwait|MKUW.L|2023</t>
        </is>
      </c>
      <c r="K190" t="inlineStr">
        <is>
          <t>Kuwait|2023</t>
        </is>
      </c>
      <c r="L190" t="inlineStr">
        <is>
          <t>USD</t>
        </is>
      </c>
    </row>
    <row r="191">
      <c r="A191" t="inlineStr">
        <is>
          <t>Kuwait</t>
        </is>
      </c>
      <c r="B191" t="inlineStr">
        <is>
          <t>KWT</t>
        </is>
      </c>
      <c r="C191" t="inlineStr">
        <is>
          <t>MKUW.L</t>
        </is>
      </c>
      <c r="D191" t="n">
        <v>2024</v>
      </c>
      <c r="E191" t="n">
        <v>8.024869943864266</v>
      </c>
      <c r="F191" t="n">
        <v>-2.56</v>
      </c>
      <c r="G191" t="n">
        <v>-3.275333</v>
      </c>
      <c r="H191" t="n">
        <v>-3.125831</v>
      </c>
      <c r="I191" t="n">
        <v>-11.15070094386427</v>
      </c>
      <c r="J191" t="inlineStr">
        <is>
          <t>Kuwait|MKUW.L|2024</t>
        </is>
      </c>
      <c r="K191" t="inlineStr">
        <is>
          <t>Kuwait|2024</t>
        </is>
      </c>
      <c r="L191" t="inlineStr">
        <is>
          <t>USD</t>
        </is>
      </c>
    </row>
    <row r="192">
      <c r="A192" t="inlineStr">
        <is>
          <t>Kuwait</t>
        </is>
      </c>
      <c r="B192" t="inlineStr">
        <is>
          <t>KWT</t>
        </is>
      </c>
      <c r="C192" t="inlineStr">
        <is>
          <t>MKUW.L</t>
        </is>
      </c>
      <c r="D192" t="n">
        <v>2025</v>
      </c>
      <c r="E192" t="n">
        <v>25.67082787963788</v>
      </c>
      <c r="F192" t="n">
        <v>2.574</v>
      </c>
      <c r="G192" t="n">
        <v>-1.719577</v>
      </c>
      <c r="H192" t="n">
        <v>-1.720695</v>
      </c>
      <c r="I192" t="n">
        <v>-27.39152287963788</v>
      </c>
      <c r="J192" t="inlineStr">
        <is>
          <t>Kuwait|MKUW.L|2025</t>
        </is>
      </c>
      <c r="K192" t="inlineStr">
        <is>
          <t>Kuwait|2025</t>
        </is>
      </c>
      <c r="L192" t="inlineStr">
        <is>
          <t>USD</t>
        </is>
      </c>
    </row>
    <row r="193">
      <c r="A193" t="inlineStr">
        <is>
          <t>Kuwait</t>
        </is>
      </c>
      <c r="B193" t="inlineStr">
        <is>
          <t>KWT</t>
        </is>
      </c>
      <c r="C193" t="inlineStr">
        <is>
          <t>MKUW.L</t>
        </is>
      </c>
      <c r="D193" t="n">
        <v>2026</v>
      </c>
      <c r="E193" t="n">
        <v>-4.586578976769006</v>
      </c>
      <c r="F193" t="n">
        <v>3.927</v>
      </c>
      <c r="G193" t="n">
        <v>3.445491</v>
      </c>
      <c r="H193" t="n">
        <v>3.445758</v>
      </c>
      <c r="I193" t="n">
        <v>8.032336976769006</v>
      </c>
      <c r="J193" t="inlineStr">
        <is>
          <t>Kuwait|MKUW.L|2026</t>
        </is>
      </c>
      <c r="K193" t="inlineStr">
        <is>
          <t>Kuwait|2026</t>
        </is>
      </c>
      <c r="L193" t="inlineStr">
        <is>
          <t>USD</t>
        </is>
      </c>
    </row>
    <row r="194">
      <c r="A194" t="inlineStr">
        <is>
          <t>Malaysia</t>
        </is>
      </c>
      <c r="B194" t="inlineStr">
        <is>
          <t>MYS</t>
        </is>
      </c>
      <c r="C194" t="inlineStr">
        <is>
          <t>XCX3.L</t>
        </is>
      </c>
      <c r="D194" t="n">
        <v>2015</v>
      </c>
      <c r="E194" t="n">
        <v>-16.44470179502026</v>
      </c>
      <c r="F194" t="n">
        <v>5.007</v>
      </c>
      <c r="G194" t="inlineStr"/>
      <c r="H194" t="inlineStr"/>
      <c r="I194" t="inlineStr"/>
      <c r="J194" t="inlineStr">
        <is>
          <t>Malaysia|XCX3.L|2015</t>
        </is>
      </c>
      <c r="K194" t="inlineStr">
        <is>
          <t>Malaysia|2015</t>
        </is>
      </c>
      <c r="L194" t="inlineStr">
        <is>
          <t>GBp</t>
        </is>
      </c>
    </row>
    <row r="195">
      <c r="A195" t="inlineStr">
        <is>
          <t>Malaysia</t>
        </is>
      </c>
      <c r="B195" t="inlineStr">
        <is>
          <t>MYS</t>
        </is>
      </c>
      <c r="C195" t="inlineStr">
        <is>
          <t>XCX3.L</t>
        </is>
      </c>
      <c r="D195" t="n">
        <v>2016</v>
      </c>
      <c r="E195" t="n">
        <v>18.38652482269503</v>
      </c>
      <c r="F195" t="n">
        <v>4.45</v>
      </c>
      <c r="G195" t="n">
        <v>6.181873</v>
      </c>
      <c r="H195" t="n">
        <v>-0.032852</v>
      </c>
      <c r="I195" t="n">
        <v>-18.41937682269502</v>
      </c>
      <c r="J195" t="inlineStr">
        <is>
          <t>Malaysia|XCX3.L|2016</t>
        </is>
      </c>
      <c r="K195" t="inlineStr">
        <is>
          <t>Malaysia|2016</t>
        </is>
      </c>
      <c r="L195" t="inlineStr">
        <is>
          <t>GBp</t>
        </is>
      </c>
    </row>
    <row r="196">
      <c r="A196" t="inlineStr">
        <is>
          <t>Malaysia</t>
        </is>
      </c>
      <c r="B196" t="inlineStr">
        <is>
          <t>MYS</t>
        </is>
      </c>
      <c r="C196" t="inlineStr">
        <is>
          <t>XCX3.L</t>
        </is>
      </c>
      <c r="D196" t="n">
        <v>2017</v>
      </c>
      <c r="E196" t="n">
        <v>10.07011785767567</v>
      </c>
      <c r="F196" t="n">
        <v>5.813</v>
      </c>
      <c r="G196" t="n">
        <v>9.81133</v>
      </c>
      <c r="H196" t="n">
        <v>5.926189</v>
      </c>
      <c r="I196" t="n">
        <v>-4.143928857675665</v>
      </c>
      <c r="J196" t="inlineStr">
        <is>
          <t>Malaysia|XCX3.L|2017</t>
        </is>
      </c>
      <c r="K196" t="inlineStr">
        <is>
          <t>Malaysia|2017</t>
        </is>
      </c>
      <c r="L196" t="inlineStr">
        <is>
          <t>GBp</t>
        </is>
      </c>
    </row>
    <row r="197">
      <c r="A197" t="inlineStr">
        <is>
          <t>Malaysia</t>
        </is>
      </c>
      <c r="B197" t="inlineStr">
        <is>
          <t>MYS</t>
        </is>
      </c>
      <c r="C197" t="inlineStr">
        <is>
          <t>XCX3.L</t>
        </is>
      </c>
      <c r="D197" t="n">
        <v>2018</v>
      </c>
      <c r="E197" t="n">
        <v>2.100840336134446</v>
      </c>
      <c r="F197" t="n">
        <v>4.843</v>
      </c>
      <c r="G197" t="n">
        <v>5.498029</v>
      </c>
      <c r="H197" t="n">
        <v>12.432742</v>
      </c>
      <c r="I197" t="n">
        <v>10.33190166386555</v>
      </c>
      <c r="J197" t="inlineStr">
        <is>
          <t>Malaysia|XCX3.L|2018</t>
        </is>
      </c>
      <c r="K197" t="inlineStr">
        <is>
          <t>Malaysia|2018</t>
        </is>
      </c>
      <c r="L197" t="inlineStr">
        <is>
          <t>GBp</t>
        </is>
      </c>
    </row>
    <row r="198">
      <c r="A198" t="inlineStr">
        <is>
          <t>Malaysia</t>
        </is>
      </c>
      <c r="B198" t="inlineStr">
        <is>
          <t>MYS</t>
        </is>
      </c>
      <c r="C198" t="inlineStr">
        <is>
          <t>XCX3.L</t>
        </is>
      </c>
      <c r="D198" t="n">
        <v>2019</v>
      </c>
      <c r="E198" t="n">
        <v>-6.105762890676503</v>
      </c>
      <c r="F198" t="n">
        <v>4.413</v>
      </c>
      <c r="G198" t="n">
        <v>4.488175</v>
      </c>
      <c r="H198" t="n">
        <v>1.782414</v>
      </c>
      <c r="I198" t="n">
        <v>7.888176890676503</v>
      </c>
      <c r="J198" t="inlineStr">
        <is>
          <t>Malaysia|XCX3.L|2019</t>
        </is>
      </c>
      <c r="K198" t="inlineStr">
        <is>
          <t>Malaysia|2019</t>
        </is>
      </c>
      <c r="L198" t="inlineStr">
        <is>
          <t>GBp</t>
        </is>
      </c>
    </row>
    <row r="199">
      <c r="A199" t="inlineStr">
        <is>
          <t>Malaysia</t>
        </is>
      </c>
      <c r="B199" t="inlineStr">
        <is>
          <t>MYS</t>
        </is>
      </c>
      <c r="C199" t="inlineStr">
        <is>
          <t>XCX3.L</t>
        </is>
      </c>
      <c r="D199" t="n">
        <v>2020</v>
      </c>
      <c r="E199" t="n">
        <v>-1.636615811373088</v>
      </c>
      <c r="F199" t="n">
        <v>-5.457</v>
      </c>
      <c r="G199" t="n">
        <v>-6.230226</v>
      </c>
      <c r="H199" t="n">
        <v>-7.591366</v>
      </c>
      <c r="I199" t="n">
        <v>-5.954750188626912</v>
      </c>
      <c r="J199" t="inlineStr">
        <is>
          <t>Malaysia|XCX3.L|2020</t>
        </is>
      </c>
      <c r="K199" t="inlineStr">
        <is>
          <t>Malaysia|2020</t>
        </is>
      </c>
      <c r="L199" t="inlineStr">
        <is>
          <t>GBp</t>
        </is>
      </c>
    </row>
    <row r="200">
      <c r="A200" t="inlineStr">
        <is>
          <t>Malaysia</t>
        </is>
      </c>
      <c r="B200" t="inlineStr">
        <is>
          <t>MYS</t>
        </is>
      </c>
      <c r="C200" t="inlineStr">
        <is>
          <t>XCX3.L</t>
        </is>
      </c>
      <c r="D200" t="n">
        <v>2021</v>
      </c>
      <c r="E200" t="n">
        <v>-5.977566377963949</v>
      </c>
      <c r="F200" t="n">
        <v>3.315</v>
      </c>
      <c r="G200" t="n">
        <v>9.179473</v>
      </c>
      <c r="H200" t="n">
        <v>10.765552</v>
      </c>
      <c r="I200" t="n">
        <v>16.74311837796395</v>
      </c>
      <c r="J200" t="inlineStr">
        <is>
          <t>Malaysia|XCX3.L|2021</t>
        </is>
      </c>
      <c r="K200" t="inlineStr">
        <is>
          <t>Malaysia|2021</t>
        </is>
      </c>
      <c r="L200" t="inlineStr">
        <is>
          <t>GBp</t>
        </is>
      </c>
    </row>
    <row r="201">
      <c r="A201" t="inlineStr">
        <is>
          <t>Malaysia</t>
        </is>
      </c>
      <c r="B201" t="inlineStr">
        <is>
          <t>MYS</t>
        </is>
      </c>
      <c r="C201" t="inlineStr">
        <is>
          <t>XCX3.L</t>
        </is>
      </c>
      <c r="D201" t="n">
        <v>2022</v>
      </c>
      <c r="E201" t="n">
        <v>7.51303281202087</v>
      </c>
      <c r="F201" t="n">
        <v>9.032</v>
      </c>
      <c r="G201" t="n">
        <v>15.896677</v>
      </c>
      <c r="H201" t="n">
        <v>9.108177</v>
      </c>
      <c r="I201" t="n">
        <v>1.595144187979129</v>
      </c>
      <c r="J201" t="inlineStr">
        <is>
          <t>Malaysia|XCX3.L|2022</t>
        </is>
      </c>
      <c r="K201" t="inlineStr">
        <is>
          <t>Malaysia|2022</t>
        </is>
      </c>
      <c r="L201" t="inlineStr">
        <is>
          <t>GBp</t>
        </is>
      </c>
    </row>
    <row r="202">
      <c r="A202" t="inlineStr">
        <is>
          <t>Malaysia</t>
        </is>
      </c>
      <c r="B202" t="inlineStr">
        <is>
          <t>MYS</t>
        </is>
      </c>
      <c r="C202" t="inlineStr">
        <is>
          <t>XCX3.L</t>
        </is>
      </c>
      <c r="D202" t="n">
        <v>2023</v>
      </c>
      <c r="E202" t="n">
        <v>-8.690630864732206</v>
      </c>
      <c r="F202" t="n">
        <v>3.537</v>
      </c>
      <c r="G202" t="n">
        <v>1.622715</v>
      </c>
      <c r="H202" t="n">
        <v>-1.932423</v>
      </c>
      <c r="I202" t="n">
        <v>6.758207864732206</v>
      </c>
      <c r="J202" t="inlineStr">
        <is>
          <t>Malaysia|XCX3.L|2023</t>
        </is>
      </c>
      <c r="K202" t="inlineStr">
        <is>
          <t>Malaysia|2023</t>
        </is>
      </c>
      <c r="L202" t="inlineStr">
        <is>
          <t>GBp</t>
        </is>
      </c>
    </row>
    <row r="203">
      <c r="A203" t="inlineStr">
        <is>
          <t>Malaysia</t>
        </is>
      </c>
      <c r="B203" t="inlineStr">
        <is>
          <t>MYS</t>
        </is>
      </c>
      <c r="C203" t="inlineStr">
        <is>
          <t>XCX3.L</t>
        </is>
      </c>
      <c r="D203" t="n">
        <v>2024</v>
      </c>
      <c r="E203" t="n">
        <v>21.8267716535433</v>
      </c>
      <c r="F203" t="n">
        <v>5.105</v>
      </c>
      <c r="G203" t="n">
        <v>5.935903</v>
      </c>
      <c r="H203" t="n">
        <v>5.57021</v>
      </c>
      <c r="I203" t="n">
        <v>-16.2565616535433</v>
      </c>
      <c r="J203" t="inlineStr">
        <is>
          <t>Malaysia|XCX3.L|2024</t>
        </is>
      </c>
      <c r="K203" t="inlineStr">
        <is>
          <t>Malaysia|2024</t>
        </is>
      </c>
      <c r="L203" t="inlineStr">
        <is>
          <t>GBp</t>
        </is>
      </c>
    </row>
    <row r="204">
      <c r="A204" t="inlineStr">
        <is>
          <t>Malaysia</t>
        </is>
      </c>
      <c r="B204" t="inlineStr">
        <is>
          <t>MYS</t>
        </is>
      </c>
      <c r="C204" t="inlineStr">
        <is>
          <t>XCX3.L</t>
        </is>
      </c>
      <c r="D204" t="n">
        <v>2025</v>
      </c>
      <c r="E204" t="n">
        <v>6.998844227558743</v>
      </c>
      <c r="F204" t="n">
        <v>4.5</v>
      </c>
      <c r="G204" t="n">
        <v>5.607851</v>
      </c>
      <c r="H204" t="n">
        <v>11.450002</v>
      </c>
      <c r="I204" t="n">
        <v>4.451157772441257</v>
      </c>
      <c r="J204" t="inlineStr">
        <is>
          <t>Malaysia|XCX3.L|2025</t>
        </is>
      </c>
      <c r="K204" t="inlineStr">
        <is>
          <t>Malaysia|2025</t>
        </is>
      </c>
      <c r="L204" t="inlineStr">
        <is>
          <t>GBp</t>
        </is>
      </c>
    </row>
    <row r="205">
      <c r="A205" t="inlineStr">
        <is>
          <t>Malaysia</t>
        </is>
      </c>
      <c r="B205" t="inlineStr">
        <is>
          <t>MYS</t>
        </is>
      </c>
      <c r="C205" t="inlineStr">
        <is>
          <t>XCX3.L</t>
        </is>
      </c>
      <c r="D205" t="n">
        <v>2026</v>
      </c>
      <c r="E205" t="n">
        <v>5.305039787798416</v>
      </c>
      <c r="F205" t="n">
        <v>4</v>
      </c>
      <c r="G205" t="n">
        <v>5.973192</v>
      </c>
      <c r="H205" t="n">
        <v>7.393555</v>
      </c>
      <c r="I205" t="n">
        <v>2.088515212201584</v>
      </c>
      <c r="J205" t="inlineStr">
        <is>
          <t>Malaysia|XCX3.L|2026</t>
        </is>
      </c>
      <c r="K205" t="inlineStr">
        <is>
          <t>Malaysia|2026</t>
        </is>
      </c>
      <c r="L205" t="inlineStr">
        <is>
          <t>GBp</t>
        </is>
      </c>
    </row>
    <row r="206">
      <c r="A206" t="inlineStr">
        <is>
          <t>Mexico</t>
        </is>
      </c>
      <c r="B206" t="inlineStr">
        <is>
          <t>MEX</t>
        </is>
      </c>
      <c r="C206" t="inlineStr">
        <is>
          <t>XMEX.L</t>
        </is>
      </c>
      <c r="D206" t="n">
        <v>2015</v>
      </c>
      <c r="E206" t="n">
        <v>-9.970801137659679</v>
      </c>
      <c r="F206" t="n">
        <v>2.702</v>
      </c>
      <c r="G206" t="inlineStr"/>
      <c r="H206" t="inlineStr"/>
      <c r="I206" t="inlineStr"/>
      <c r="J206" t="inlineStr">
        <is>
          <t>Mexico|XMEX.L|2015</t>
        </is>
      </c>
      <c r="K206" t="inlineStr">
        <is>
          <t>Mexico|2015</t>
        </is>
      </c>
      <c r="L206" t="inlineStr">
        <is>
          <t>GBp</t>
        </is>
      </c>
    </row>
    <row r="207">
      <c r="A207" t="inlineStr">
        <is>
          <t>Mexico</t>
        </is>
      </c>
      <c r="B207" t="inlineStr">
        <is>
          <t>MEX</t>
        </is>
      </c>
      <c r="C207" t="inlineStr">
        <is>
          <t>XMEX.L</t>
        </is>
      </c>
      <c r="D207" t="n">
        <v>2016</v>
      </c>
      <c r="E207" t="n">
        <v>11.89535854640324</v>
      </c>
      <c r="F207" t="n">
        <v>1.772</v>
      </c>
      <c r="G207" t="n">
        <v>7.957807</v>
      </c>
      <c r="H207" t="n">
        <v>-8.329473</v>
      </c>
      <c r="I207" t="n">
        <v>-20.22483154640324</v>
      </c>
      <c r="J207" t="inlineStr">
        <is>
          <t>Mexico|XMEX.L|2016</t>
        </is>
      </c>
      <c r="K207" t="inlineStr">
        <is>
          <t>Mexico|2016</t>
        </is>
      </c>
      <c r="L207" t="inlineStr">
        <is>
          <t>GBp</t>
        </is>
      </c>
    </row>
    <row r="208">
      <c r="A208" t="inlineStr">
        <is>
          <t>Mexico</t>
        </is>
      </c>
      <c r="B208" t="inlineStr">
        <is>
          <t>MEX</t>
        </is>
      </c>
      <c r="C208" t="inlineStr">
        <is>
          <t>XMEX.L</t>
        </is>
      </c>
      <c r="D208" t="n">
        <v>2017</v>
      </c>
      <c r="E208" t="n">
        <v>3.693817729694904</v>
      </c>
      <c r="F208" t="n">
        <v>1.872</v>
      </c>
      <c r="G208" t="n">
        <v>8.562246999999999</v>
      </c>
      <c r="H208" t="n">
        <v>7.056795</v>
      </c>
      <c r="I208" t="n">
        <v>3.362977270305096</v>
      </c>
      <c r="J208" t="inlineStr">
        <is>
          <t>Mexico|XMEX.L|2017</t>
        </is>
      </c>
      <c r="K208" t="inlineStr">
        <is>
          <t>Mexico|2017</t>
        </is>
      </c>
      <c r="L208" t="inlineStr">
        <is>
          <t>GBp</t>
        </is>
      </c>
    </row>
    <row r="209">
      <c r="A209" t="inlineStr">
        <is>
          <t>Mexico</t>
        </is>
      </c>
      <c r="B209" t="inlineStr">
        <is>
          <t>MEX</t>
        </is>
      </c>
      <c r="C209" t="inlineStr">
        <is>
          <t>XMEX.L</t>
        </is>
      </c>
      <c r="D209" t="n">
        <v>2018</v>
      </c>
      <c r="E209" t="n">
        <v>-10.87596013818325</v>
      </c>
      <c r="F209" t="n">
        <v>1.972</v>
      </c>
      <c r="G209" t="n">
        <v>7.279219</v>
      </c>
      <c r="H209" t="n">
        <v>5.507503</v>
      </c>
      <c r="I209" t="n">
        <v>16.38346313818325</v>
      </c>
      <c r="J209" t="inlineStr">
        <is>
          <t>Mexico|XMEX.L|2018</t>
        </is>
      </c>
      <c r="K209" t="inlineStr">
        <is>
          <t>Mexico|2018</t>
        </is>
      </c>
      <c r="L209" t="inlineStr">
        <is>
          <t>GBp</t>
        </is>
      </c>
    </row>
    <row r="210">
      <c r="A210" t="inlineStr">
        <is>
          <t>Mexico</t>
        </is>
      </c>
      <c r="B210" t="inlineStr">
        <is>
          <t>MEX</t>
        </is>
      </c>
      <c r="C210" t="inlineStr">
        <is>
          <t>XMEX.L</t>
        </is>
      </c>
      <c r="D210" t="n">
        <v>2019</v>
      </c>
      <c r="E210" t="n">
        <v>4.346498216753458</v>
      </c>
      <c r="F210" t="n">
        <v>-0.393</v>
      </c>
      <c r="G210" t="n">
        <v>3.90936</v>
      </c>
      <c r="H210" t="n">
        <v>3.805301</v>
      </c>
      <c r="I210" t="n">
        <v>-0.5411972167534582</v>
      </c>
      <c r="J210" t="inlineStr">
        <is>
          <t>Mexico|XMEX.L|2019</t>
        </is>
      </c>
      <c r="K210" t="inlineStr">
        <is>
          <t>Mexico|2019</t>
        </is>
      </c>
      <c r="L210" t="inlineStr">
        <is>
          <t>GBp</t>
        </is>
      </c>
    </row>
    <row r="211">
      <c r="A211" t="inlineStr">
        <is>
          <t>Mexico</t>
        </is>
      </c>
      <c r="B211" t="inlineStr">
        <is>
          <t>MEX</t>
        </is>
      </c>
      <c r="C211" t="inlineStr">
        <is>
          <t>XMEX.L</t>
        </is>
      </c>
      <c r="D211" t="n">
        <v>2020</v>
      </c>
      <c r="E211" t="n">
        <v>-5.381167780111673</v>
      </c>
      <c r="F211" t="n">
        <v>-8.353999999999999</v>
      </c>
      <c r="G211" t="n">
        <v>-4.120183</v>
      </c>
      <c r="H211" t="n">
        <v>-14.035746</v>
      </c>
      <c r="I211" t="n">
        <v>-8.654578219888327</v>
      </c>
      <c r="J211" t="inlineStr">
        <is>
          <t>Mexico|XMEX.L|2020</t>
        </is>
      </c>
      <c r="K211" t="inlineStr">
        <is>
          <t>Mexico|2020</t>
        </is>
      </c>
      <c r="L211" t="inlineStr">
        <is>
          <t>GBp</t>
        </is>
      </c>
    </row>
    <row r="212">
      <c r="A212" t="inlineStr">
        <is>
          <t>Mexico</t>
        </is>
      </c>
      <c r="B212" t="inlineStr">
        <is>
          <t>MEX</t>
        </is>
      </c>
      <c r="C212" t="inlineStr">
        <is>
          <t>XMEX.L</t>
        </is>
      </c>
      <c r="D212" t="n">
        <v>2021</v>
      </c>
      <c r="E212" t="n">
        <v>19.99089795741909</v>
      </c>
      <c r="F212" t="n">
        <v>6.048</v>
      </c>
      <c r="G212" t="n">
        <v>10.807909</v>
      </c>
      <c r="H212" t="n">
        <v>17.439132</v>
      </c>
      <c r="I212" t="n">
        <v>-2.551765957419086</v>
      </c>
      <c r="J212" t="inlineStr">
        <is>
          <t>Mexico|XMEX.L|2021</t>
        </is>
      </c>
      <c r="K212" t="inlineStr">
        <is>
          <t>Mexico|2021</t>
        </is>
      </c>
      <c r="L212" t="inlineStr">
        <is>
          <t>GBp</t>
        </is>
      </c>
    </row>
    <row r="213">
      <c r="A213" t="inlineStr">
        <is>
          <t>Mexico</t>
        </is>
      </c>
      <c r="B213" t="inlineStr">
        <is>
          <t>MEX</t>
        </is>
      </c>
      <c r="C213" t="inlineStr">
        <is>
          <t>XMEX.L</t>
        </is>
      </c>
      <c r="D213" t="n">
        <v>2022</v>
      </c>
      <c r="E213" t="n">
        <v>11.77221792262422</v>
      </c>
      <c r="F213" t="n">
        <v>3.71</v>
      </c>
      <c r="G213" t="n">
        <v>10.623726</v>
      </c>
      <c r="H213" t="n">
        <v>11.42105</v>
      </c>
      <c r="I213" t="n">
        <v>-0.351167922624219</v>
      </c>
      <c r="J213" t="inlineStr">
        <is>
          <t>Mexico|XMEX.L|2022</t>
        </is>
      </c>
      <c r="K213" t="inlineStr">
        <is>
          <t>Mexico|2022</t>
        </is>
      </c>
      <c r="L213" t="inlineStr">
        <is>
          <t>GBp</t>
        </is>
      </c>
    </row>
    <row r="214">
      <c r="A214" t="inlineStr">
        <is>
          <t>Mexico</t>
        </is>
      </c>
      <c r="B214" t="inlineStr">
        <is>
          <t>MEX</t>
        </is>
      </c>
      <c r="C214" t="inlineStr">
        <is>
          <t>XMEX.L</t>
        </is>
      </c>
      <c r="D214" t="n">
        <v>2023</v>
      </c>
      <c r="E214" t="n">
        <v>29.66957921780331</v>
      </c>
      <c r="F214" t="n">
        <v>3.354</v>
      </c>
      <c r="G214" t="n">
        <v>8.163463</v>
      </c>
      <c r="H214" t="n">
        <v>22.590162</v>
      </c>
      <c r="I214" t="n">
        <v>-7.079417217803311</v>
      </c>
      <c r="J214" t="inlineStr">
        <is>
          <t>Mexico|XMEX.L|2023</t>
        </is>
      </c>
      <c r="K214" t="inlineStr">
        <is>
          <t>Mexico|2023</t>
        </is>
      </c>
      <c r="L214" t="inlineStr">
        <is>
          <t>GBp</t>
        </is>
      </c>
    </row>
    <row r="215">
      <c r="A215" t="inlineStr">
        <is>
          <t>Mexico</t>
        </is>
      </c>
      <c r="B215" t="inlineStr">
        <is>
          <t>MEX</t>
        </is>
      </c>
      <c r="C215" t="inlineStr">
        <is>
          <t>XMEX.L</t>
        </is>
      </c>
      <c r="D215" t="n">
        <v>2024</v>
      </c>
      <c r="E215" t="n">
        <v>-26.73406378777472</v>
      </c>
      <c r="F215" t="n">
        <v>1.427</v>
      </c>
      <c r="G215" t="n">
        <v>6.402517</v>
      </c>
      <c r="H215" t="n">
        <v>3.227905</v>
      </c>
      <c r="I215" t="n">
        <v>29.96196878777472</v>
      </c>
      <c r="J215" t="inlineStr">
        <is>
          <t>Mexico|XMEX.L|2024</t>
        </is>
      </c>
      <c r="K215" t="inlineStr">
        <is>
          <t>Mexico|2024</t>
        </is>
      </c>
      <c r="L215" t="inlineStr">
        <is>
          <t>GBp</t>
        </is>
      </c>
    </row>
    <row r="216">
      <c r="A216" t="inlineStr">
        <is>
          <t>Mexico</t>
        </is>
      </c>
      <c r="B216" t="inlineStr">
        <is>
          <t>MEX</t>
        </is>
      </c>
      <c r="C216" t="inlineStr">
        <is>
          <t>XMEX.L</t>
        </is>
      </c>
      <c r="D216" t="n">
        <v>2025</v>
      </c>
      <c r="E216" t="n">
        <v>41.10571760925725</v>
      </c>
      <c r="F216" t="n">
        <v>0.99</v>
      </c>
      <c r="G216" t="n">
        <v>6.194171</v>
      </c>
      <c r="H216" t="n">
        <v>0.343359</v>
      </c>
      <c r="I216" t="n">
        <v>-40.76235860925726</v>
      </c>
      <c r="J216" t="inlineStr">
        <is>
          <t>Mexico|XMEX.L|2025</t>
        </is>
      </c>
      <c r="K216" t="inlineStr">
        <is>
          <t>Mexico|2025</t>
        </is>
      </c>
      <c r="L216" t="inlineStr">
        <is>
          <t>GBp</t>
        </is>
      </c>
    </row>
    <row r="217">
      <c r="A217" t="inlineStr">
        <is>
          <t>Mexico</t>
        </is>
      </c>
      <c r="B217" t="inlineStr">
        <is>
          <t>MEX</t>
        </is>
      </c>
      <c r="C217" t="inlineStr">
        <is>
          <t>XMEX.L</t>
        </is>
      </c>
      <c r="D217" t="n">
        <v>2026</v>
      </c>
      <c r="E217" t="n">
        <v>14.06952965235175</v>
      </c>
      <c r="F217" t="n">
        <v>1.544</v>
      </c>
      <c r="G217" t="n">
        <v>6.135736</v>
      </c>
      <c r="H217" t="n">
        <v>9.032876</v>
      </c>
      <c r="I217" t="n">
        <v>-5.036653652351754</v>
      </c>
      <c r="J217" t="inlineStr">
        <is>
          <t>Mexico|XMEX.L|2026</t>
        </is>
      </c>
      <c r="K217" t="inlineStr">
        <is>
          <t>Mexico|2026</t>
        </is>
      </c>
      <c r="L217" t="inlineStr">
        <is>
          <t>GBp</t>
        </is>
      </c>
    </row>
    <row r="218">
      <c r="A218" t="inlineStr">
        <is>
          <t>Pakistan</t>
        </is>
      </c>
      <c r="B218" t="inlineStr">
        <is>
          <t>PAK</t>
        </is>
      </c>
      <c r="C218" t="inlineStr">
        <is>
          <t>XBAK.L</t>
        </is>
      </c>
      <c r="D218" t="n">
        <v>2015</v>
      </c>
      <c r="E218" t="n">
        <v>-11.00000143051147</v>
      </c>
      <c r="F218" t="n">
        <v>3.812</v>
      </c>
      <c r="G218" t="inlineStr"/>
      <c r="H218" t="inlineStr"/>
      <c r="I218" t="inlineStr"/>
      <c r="J218" t="inlineStr">
        <is>
          <t>Pakistan|XBAK.L|2015</t>
        </is>
      </c>
      <c r="K218" t="inlineStr">
        <is>
          <t>Pakistan|2015</t>
        </is>
      </c>
      <c r="L218" t="inlineStr">
        <is>
          <t>USD</t>
        </is>
      </c>
    </row>
    <row r="219">
      <c r="A219" t="inlineStr">
        <is>
          <t>Pakistan</t>
        </is>
      </c>
      <c r="B219" t="inlineStr">
        <is>
          <t>PAK</t>
        </is>
      </c>
      <c r="C219" t="inlineStr">
        <is>
          <t>XBAK.L</t>
        </is>
      </c>
      <c r="D219" t="n">
        <v>2016</v>
      </c>
      <c r="E219" t="n">
        <v>33.1460631265436</v>
      </c>
      <c r="F219" t="n">
        <v>4.072</v>
      </c>
      <c r="G219" t="n">
        <v>7.556623</v>
      </c>
      <c r="H219" t="n">
        <v>4.565399</v>
      </c>
      <c r="I219" t="n">
        <v>-28.5806641265436</v>
      </c>
      <c r="J219" t="inlineStr">
        <is>
          <t>Pakistan|XBAK.L|2016</t>
        </is>
      </c>
      <c r="K219" t="inlineStr">
        <is>
          <t>Pakistan|2016</t>
        </is>
      </c>
      <c r="L219" t="inlineStr">
        <is>
          <t>USD</t>
        </is>
      </c>
    </row>
    <row r="220">
      <c r="A220" t="inlineStr">
        <is>
          <t>Pakistan</t>
        </is>
      </c>
      <c r="B220" t="inlineStr">
        <is>
          <t>PAK</t>
        </is>
      </c>
      <c r="C220" t="inlineStr">
        <is>
          <t>XBAK.L</t>
        </is>
      </c>
      <c r="D220" t="n">
        <v>2017</v>
      </c>
      <c r="E220" t="n">
        <v>-27.01613190084786</v>
      </c>
      <c r="F220" t="n">
        <v>4.609</v>
      </c>
      <c r="G220" t="n">
        <v>8.640995</v>
      </c>
      <c r="H220" t="n">
        <v>8.164580000000001</v>
      </c>
      <c r="I220" t="n">
        <v>35.18071190084786</v>
      </c>
      <c r="J220" t="inlineStr">
        <is>
          <t>Pakistan|XBAK.L|2017</t>
        </is>
      </c>
      <c r="K220" t="inlineStr">
        <is>
          <t>Pakistan|2017</t>
        </is>
      </c>
      <c r="L220" t="inlineStr">
        <is>
          <t>USD</t>
        </is>
      </c>
    </row>
    <row r="221">
      <c r="A221" t="inlineStr">
        <is>
          <t>Pakistan</t>
        </is>
      </c>
      <c r="B221" t="inlineStr">
        <is>
          <t>PAK</t>
        </is>
      </c>
      <c r="C221" t="inlineStr">
        <is>
          <t>XBAK.L</t>
        </is>
      </c>
      <c r="D221" t="n">
        <v>2018</v>
      </c>
      <c r="E221" t="n">
        <v>-36.50793350442705</v>
      </c>
      <c r="F221" t="n">
        <v>6.096</v>
      </c>
      <c r="G221" t="n">
        <v>10.229825</v>
      </c>
      <c r="H221" t="n">
        <v>4.991908</v>
      </c>
      <c r="I221" t="n">
        <v>41.49984150442705</v>
      </c>
      <c r="J221" t="inlineStr">
        <is>
          <t>Pakistan|XBAK.L|2018</t>
        </is>
      </c>
      <c r="K221" t="inlineStr">
        <is>
          <t>Pakistan|2018</t>
        </is>
      </c>
      <c r="L221" t="inlineStr">
        <is>
          <t>USD</t>
        </is>
      </c>
    </row>
    <row r="222">
      <c r="A222" t="inlineStr">
        <is>
          <t>Pakistan</t>
        </is>
      </c>
      <c r="B222" t="inlineStr">
        <is>
          <t>PAK</t>
        </is>
      </c>
      <c r="C222" t="inlineStr">
        <is>
          <t>XBAK.L</t>
        </is>
      </c>
      <c r="D222" t="n">
        <v>2019</v>
      </c>
      <c r="E222" t="n">
        <v>-3.968250213867131</v>
      </c>
      <c r="F222" t="n">
        <v>3.12</v>
      </c>
      <c r="G222" t="n">
        <v>11.759667</v>
      </c>
      <c r="H222" t="n">
        <v>-9.852792000000001</v>
      </c>
      <c r="I222" t="n">
        <v>-5.88454178613287</v>
      </c>
      <c r="J222" t="inlineStr">
        <is>
          <t>Pakistan|XBAK.L|2019</t>
        </is>
      </c>
      <c r="K222" t="inlineStr">
        <is>
          <t>Pakistan|2019</t>
        </is>
      </c>
      <c r="L222" t="inlineStr">
        <is>
          <t>USD</t>
        </is>
      </c>
    </row>
    <row r="223">
      <c r="A223" t="inlineStr">
        <is>
          <t>Pakistan</t>
        </is>
      </c>
      <c r="B223" t="inlineStr">
        <is>
          <t>PAK</t>
        </is>
      </c>
      <c r="C223" t="inlineStr">
        <is>
          <t>XBAK.L</t>
        </is>
      </c>
      <c r="D223" t="n">
        <v>2020</v>
      </c>
      <c r="E223" t="n">
        <v>-10.39999961853028</v>
      </c>
      <c r="F223" t="n">
        <v>-0.9429999999999999</v>
      </c>
      <c r="G223" t="n">
        <v>8.543709</v>
      </c>
      <c r="H223" t="n">
        <v>-6.435025</v>
      </c>
      <c r="I223" t="n">
        <v>3.964974618530275</v>
      </c>
      <c r="J223" t="inlineStr">
        <is>
          <t>Pakistan|XBAK.L|2020</t>
        </is>
      </c>
      <c r="K223" t="inlineStr">
        <is>
          <t>Pakistan|2020</t>
        </is>
      </c>
      <c r="L223" t="inlineStr">
        <is>
          <t>USD</t>
        </is>
      </c>
    </row>
    <row r="224">
      <c r="A224" t="inlineStr">
        <is>
          <t>Pakistan</t>
        </is>
      </c>
      <c r="B224" t="inlineStr">
        <is>
          <t>PAK</t>
        </is>
      </c>
      <c r="C224" t="inlineStr">
        <is>
          <t>XBAK.L</t>
        </is>
      </c>
      <c r="D224" t="n">
        <v>2021</v>
      </c>
      <c r="E224" t="n">
        <v>-18.1034469469832</v>
      </c>
      <c r="F224" t="n">
        <v>5.77</v>
      </c>
      <c r="G224" t="n">
        <v>17.450031</v>
      </c>
      <c r="H224" t="n">
        <v>16.001798</v>
      </c>
      <c r="I224" t="n">
        <v>34.10524494698321</v>
      </c>
      <c r="J224" t="inlineStr">
        <is>
          <t>Pakistan|XBAK.L|2021</t>
        </is>
      </c>
      <c r="K224" t="inlineStr">
        <is>
          <t>Pakistan|2021</t>
        </is>
      </c>
      <c r="L224" t="inlineStr">
        <is>
          <t>USD</t>
        </is>
      </c>
    </row>
    <row r="225">
      <c r="A225" t="inlineStr">
        <is>
          <t>Pakistan</t>
        </is>
      </c>
      <c r="B225" t="inlineStr">
        <is>
          <t>PAK</t>
        </is>
      </c>
      <c r="C225" t="inlineStr">
        <is>
          <t>XBAK.L</t>
        </is>
      </c>
      <c r="D225" t="n">
        <v>2022</v>
      </c>
      <c r="E225" t="n">
        <v>-31.63265268885063</v>
      </c>
      <c r="F225" t="n">
        <v>6.18</v>
      </c>
      <c r="G225" t="n">
        <v>19.381043</v>
      </c>
      <c r="H225" t="n">
        <v>7.56684</v>
      </c>
      <c r="I225" t="n">
        <v>39.19949268885063</v>
      </c>
      <c r="J225" t="inlineStr">
        <is>
          <t>Pakistan|XBAK.L|2022</t>
        </is>
      </c>
      <c r="K225" t="inlineStr">
        <is>
          <t>Pakistan|2022</t>
        </is>
      </c>
      <c r="L225" t="inlineStr">
        <is>
          <t>USD</t>
        </is>
      </c>
    </row>
    <row r="226">
      <c r="A226" t="inlineStr">
        <is>
          <t>Pakistan</t>
        </is>
      </c>
      <c r="B226" t="inlineStr">
        <is>
          <t>PAK</t>
        </is>
      </c>
      <c r="C226" t="inlineStr">
        <is>
          <t>XBAK.L</t>
        </is>
      </c>
      <c r="D226" t="n">
        <v>2023</v>
      </c>
      <c r="E226" t="n">
        <v>17.64705933914053</v>
      </c>
      <c r="F226" t="n">
        <v>-0.212</v>
      </c>
      <c r="G226" t="n">
        <v>25.492808</v>
      </c>
      <c r="H226" t="n">
        <v>-10.216086</v>
      </c>
      <c r="I226" t="n">
        <v>-27.86314533914053</v>
      </c>
      <c r="J226" t="inlineStr">
        <is>
          <t>Pakistan|XBAK.L|2023</t>
        </is>
      </c>
      <c r="K226" t="inlineStr">
        <is>
          <t>Pakistan|2023</t>
        </is>
      </c>
      <c r="L226" t="inlineStr">
        <is>
          <t>USD</t>
        </is>
      </c>
    </row>
    <row r="227">
      <c r="A227" t="inlineStr">
        <is>
          <t>Pakistan</t>
        </is>
      </c>
      <c r="B227" t="inlineStr">
        <is>
          <t>PAK</t>
        </is>
      </c>
      <c r="C227" t="inlineStr">
        <is>
          <t>XBAK.L</t>
        </is>
      </c>
      <c r="D227" t="n">
        <v>2024</v>
      </c>
      <c r="E227" t="n">
        <v>64.64020240140165</v>
      </c>
      <c r="F227" t="n">
        <v>2.51</v>
      </c>
      <c r="G227" t="n">
        <v>25.692394</v>
      </c>
      <c r="H227" t="n">
        <v>10.355811</v>
      </c>
      <c r="I227" t="n">
        <v>-54.28439140140165</v>
      </c>
      <c r="J227" t="inlineStr">
        <is>
          <t>Pakistan|XBAK.L|2024</t>
        </is>
      </c>
      <c r="K227" t="inlineStr">
        <is>
          <t>Pakistan|2024</t>
        </is>
      </c>
      <c r="L227" t="inlineStr">
        <is>
          <t>USD</t>
        </is>
      </c>
    </row>
    <row r="228">
      <c r="A228" t="inlineStr">
        <is>
          <t>Pakistan</t>
        </is>
      </c>
      <c r="B228" t="inlineStr">
        <is>
          <t>PAK</t>
        </is>
      </c>
      <c r="C228" t="inlineStr">
        <is>
          <t>XBAK.L</t>
        </is>
      </c>
      <c r="D228" t="n">
        <v>2025</v>
      </c>
      <c r="E228" t="n">
        <v>34.99065889359694</v>
      </c>
      <c r="F228" t="n">
        <v>2.676</v>
      </c>
      <c r="G228" t="n">
        <v>9.082018</v>
      </c>
      <c r="H228" t="n">
        <v>10.524006</v>
      </c>
      <c r="I228" t="n">
        <v>-24.46665289359694</v>
      </c>
      <c r="J228" t="inlineStr">
        <is>
          <t>Pakistan|XBAK.L|2025</t>
        </is>
      </c>
      <c r="K228" t="inlineStr">
        <is>
          <t>Pakistan|2025</t>
        </is>
      </c>
      <c r="L228" t="inlineStr">
        <is>
          <t>USD</t>
        </is>
      </c>
    </row>
    <row r="229">
      <c r="A229" t="inlineStr">
        <is>
          <t>Pakistan</t>
        </is>
      </c>
      <c r="B229" t="inlineStr">
        <is>
          <t>PAK</t>
        </is>
      </c>
      <c r="C229" t="inlineStr">
        <is>
          <t>XBAK.L</t>
        </is>
      </c>
      <c r="D229" t="n">
        <v>2026</v>
      </c>
      <c r="E229" t="n">
        <v>-15.18338651992392</v>
      </c>
      <c r="F229" t="n">
        <v>3.578</v>
      </c>
      <c r="G229" t="n">
        <v>11.117481</v>
      </c>
      <c r="H229" t="inlineStr"/>
      <c r="I229" t="inlineStr"/>
      <c r="J229" t="inlineStr">
        <is>
          <t>Pakistan|XBAK.L|2026</t>
        </is>
      </c>
      <c r="K229" t="inlineStr">
        <is>
          <t>Pakistan|2026</t>
        </is>
      </c>
      <c r="L229" t="inlineStr">
        <is>
          <t>USD</t>
        </is>
      </c>
    </row>
    <row r="230">
      <c r="A230" t="inlineStr">
        <is>
          <t>Philippines</t>
        </is>
      </c>
      <c r="B230" t="inlineStr">
        <is>
          <t>PHL</t>
        </is>
      </c>
      <c r="C230" t="inlineStr">
        <is>
          <t>XPHG.L</t>
        </is>
      </c>
      <c r="D230" t="n">
        <v>2015</v>
      </c>
      <c r="E230" t="n">
        <v>-5.919815719102905</v>
      </c>
      <c r="F230" t="n">
        <v>6.348</v>
      </c>
      <c r="G230" t="inlineStr"/>
      <c r="H230" t="inlineStr"/>
      <c r="I230" t="inlineStr"/>
      <c r="J230" t="inlineStr">
        <is>
          <t>Philippines|XPHG.L|2015</t>
        </is>
      </c>
      <c r="K230" t="inlineStr">
        <is>
          <t>Philippines|2015</t>
        </is>
      </c>
      <c r="L230" t="inlineStr">
        <is>
          <t>GBp</t>
        </is>
      </c>
    </row>
    <row r="231">
      <c r="A231" t="inlineStr">
        <is>
          <t>Philippines</t>
        </is>
      </c>
      <c r="B231" t="inlineStr">
        <is>
          <t>PHL</t>
        </is>
      </c>
      <c r="C231" t="inlineStr">
        <is>
          <t>XPHG.L</t>
        </is>
      </c>
      <c r="D231" t="n">
        <v>2016</v>
      </c>
      <c r="E231" t="n">
        <v>17.71382143851849</v>
      </c>
      <c r="F231" t="n">
        <v>7.149</v>
      </c>
      <c r="G231" t="n">
        <v>8.521296</v>
      </c>
      <c r="H231" t="n">
        <v>3.974925</v>
      </c>
      <c r="I231" t="n">
        <v>-13.73889643851849</v>
      </c>
      <c r="J231" t="inlineStr">
        <is>
          <t>Philippines|XPHG.L|2016</t>
        </is>
      </c>
      <c r="K231" t="inlineStr">
        <is>
          <t>Philippines|2016</t>
        </is>
      </c>
      <c r="L231" t="inlineStr">
        <is>
          <t>GBp</t>
        </is>
      </c>
    </row>
    <row r="232">
      <c r="A232" t="inlineStr">
        <is>
          <t>Philippines</t>
        </is>
      </c>
      <c r="B232" t="inlineStr">
        <is>
          <t>PHL</t>
        </is>
      </c>
      <c r="C232" t="inlineStr">
        <is>
          <t>XPHG.L</t>
        </is>
      </c>
      <c r="D232" t="n">
        <v>2017</v>
      </c>
      <c r="E232" t="n">
        <v>9.373920972458262</v>
      </c>
      <c r="F232" t="n">
        <v>6.931</v>
      </c>
      <c r="G232" t="n">
        <v>9.412061</v>
      </c>
      <c r="H232" t="n">
        <v>3.092644</v>
      </c>
      <c r="I232" t="n">
        <v>-6.281276972458262</v>
      </c>
      <c r="J232" t="inlineStr">
        <is>
          <t>Philippines|XPHG.L|2017</t>
        </is>
      </c>
      <c r="K232" t="inlineStr">
        <is>
          <t>Philippines|2017</t>
        </is>
      </c>
      <c r="L232" t="inlineStr">
        <is>
          <t>GBp</t>
        </is>
      </c>
    </row>
    <row r="233">
      <c r="A233" t="inlineStr">
        <is>
          <t>Philippines</t>
        </is>
      </c>
      <c r="B233" t="inlineStr">
        <is>
          <t>PHL</t>
        </is>
      </c>
      <c r="C233" t="inlineStr">
        <is>
          <t>XPHG.L</t>
        </is>
      </c>
      <c r="D233" t="n">
        <v>2018</v>
      </c>
      <c r="E233" t="n">
        <v>-11.28058424625853</v>
      </c>
      <c r="F233" t="n">
        <v>6.341</v>
      </c>
      <c r="G233" t="n">
        <v>10.319357</v>
      </c>
      <c r="H233" t="n">
        <v>5.589669</v>
      </c>
      <c r="I233" t="n">
        <v>16.87025324625853</v>
      </c>
      <c r="J233" t="inlineStr">
        <is>
          <t>Philippines|XPHG.L|2018</t>
        </is>
      </c>
      <c r="K233" t="inlineStr">
        <is>
          <t>Philippines|2018</t>
        </is>
      </c>
      <c r="L233" t="inlineStr">
        <is>
          <t>GBp</t>
        </is>
      </c>
    </row>
    <row r="234">
      <c r="A234" t="inlineStr">
        <is>
          <t>Philippines</t>
        </is>
      </c>
      <c r="B234" t="inlineStr">
        <is>
          <t>PHL</t>
        </is>
      </c>
      <c r="C234" t="inlineStr">
        <is>
          <t>XPHG.L</t>
        </is>
      </c>
      <c r="D234" t="n">
        <v>2019</v>
      </c>
      <c r="E234" t="n">
        <v>1.759943643992123</v>
      </c>
      <c r="F234" t="n">
        <v>6.119</v>
      </c>
      <c r="G234" t="n">
        <v>6.858253</v>
      </c>
      <c r="H234" t="n">
        <v>8.643993999999999</v>
      </c>
      <c r="I234" t="n">
        <v>6.884050356007876</v>
      </c>
      <c r="J234" t="inlineStr">
        <is>
          <t>Philippines|XPHG.L|2019</t>
        </is>
      </c>
      <c r="K234" t="inlineStr">
        <is>
          <t>Philippines|2019</t>
        </is>
      </c>
      <c r="L234" t="inlineStr">
        <is>
          <t>GBp</t>
        </is>
      </c>
    </row>
    <row r="235">
      <c r="A235" t="inlineStr">
        <is>
          <t>Philippines</t>
        </is>
      </c>
      <c r="B235" t="inlineStr">
        <is>
          <t>PHL</t>
        </is>
      </c>
      <c r="C235" t="inlineStr">
        <is>
          <t>XPHG.L</t>
        </is>
      </c>
      <c r="D235" t="n">
        <v>2020</v>
      </c>
      <c r="E235" t="n">
        <v>-5.298006975537762</v>
      </c>
      <c r="F235" t="n">
        <v>-9.518000000000001</v>
      </c>
      <c r="G235" t="n">
        <v>-8.024900000000001</v>
      </c>
      <c r="H235" t="n">
        <v>-3.999756</v>
      </c>
      <c r="I235" t="n">
        <v>1.298250975537762</v>
      </c>
      <c r="J235" t="inlineStr">
        <is>
          <t>Philippines|XPHG.L|2020</t>
        </is>
      </c>
      <c r="K235" t="inlineStr">
        <is>
          <t>Philippines|2020</t>
        </is>
      </c>
      <c r="L235" t="inlineStr">
        <is>
          <t>GBp</t>
        </is>
      </c>
    </row>
    <row r="236">
      <c r="A236" t="inlineStr">
        <is>
          <t>Philippines</t>
        </is>
      </c>
      <c r="B236" t="inlineStr">
        <is>
          <t>PHL</t>
        </is>
      </c>
      <c r="C236" t="inlineStr">
        <is>
          <t>XPHG.L</t>
        </is>
      </c>
      <c r="D236" t="n">
        <v>2021</v>
      </c>
      <c r="E236" t="n">
        <v>-2.604550970119768</v>
      </c>
      <c r="F236" t="n">
        <v>5.715</v>
      </c>
      <c r="G236" t="n">
        <v>8.127649</v>
      </c>
      <c r="H236" t="n">
        <v>8.938745000000001</v>
      </c>
      <c r="I236" t="n">
        <v>11.54329597011977</v>
      </c>
      <c r="J236" t="inlineStr">
        <is>
          <t>Philippines|XPHG.L|2021</t>
        </is>
      </c>
      <c r="K236" t="inlineStr">
        <is>
          <t>Philippines|2021</t>
        </is>
      </c>
      <c r="L236" t="inlineStr">
        <is>
          <t>GBp</t>
        </is>
      </c>
    </row>
    <row r="237">
      <c r="A237" t="inlineStr">
        <is>
          <t>Philippines</t>
        </is>
      </c>
      <c r="B237" t="inlineStr">
        <is>
          <t>PHL</t>
        </is>
      </c>
      <c r="C237" t="inlineStr">
        <is>
          <t>XPHG.L</t>
        </is>
      </c>
      <c r="D237" t="n">
        <v>2022</v>
      </c>
      <c r="E237" t="n">
        <v>-3.244274809160308</v>
      </c>
      <c r="F237" t="n">
        <v>7.581</v>
      </c>
      <c r="G237" t="n">
        <v>13.485713</v>
      </c>
      <c r="H237" t="n">
        <v>2.605009</v>
      </c>
      <c r="I237" t="n">
        <v>5.849283809160308</v>
      </c>
      <c r="J237" t="inlineStr">
        <is>
          <t>Philippines|XPHG.L|2022</t>
        </is>
      </c>
      <c r="K237" t="inlineStr">
        <is>
          <t>Philippines|2022</t>
        </is>
      </c>
      <c r="L237" t="inlineStr">
        <is>
          <t>GBp</t>
        </is>
      </c>
    </row>
    <row r="238">
      <c r="A238" t="inlineStr">
        <is>
          <t>Philippines</t>
        </is>
      </c>
      <c r="B238" t="inlineStr">
        <is>
          <t>PHL</t>
        </is>
      </c>
      <c r="C238" t="inlineStr">
        <is>
          <t>XPHG.L</t>
        </is>
      </c>
      <c r="D238" t="n">
        <v>2023</v>
      </c>
      <c r="E238" t="n">
        <v>-5.217727780083791</v>
      </c>
      <c r="F238" t="n">
        <v>5.519</v>
      </c>
      <c r="G238" t="n">
        <v>10.374339</v>
      </c>
      <c r="H238" t="n">
        <v>8.087488</v>
      </c>
      <c r="I238" t="n">
        <v>13.30521578008379</v>
      </c>
      <c r="J238" t="inlineStr">
        <is>
          <t>Philippines|XPHG.L|2023</t>
        </is>
      </c>
      <c r="K238" t="inlineStr">
        <is>
          <t>Philippines|2023</t>
        </is>
      </c>
      <c r="L238" t="inlineStr">
        <is>
          <t>GBp</t>
        </is>
      </c>
    </row>
    <row r="239">
      <c r="A239" t="inlineStr">
        <is>
          <t>Philippines</t>
        </is>
      </c>
      <c r="B239" t="inlineStr">
        <is>
          <t>PHL</t>
        </is>
      </c>
      <c r="C239" t="inlineStr">
        <is>
          <t>XPHG.L</t>
        </is>
      </c>
      <c r="D239" t="n">
        <v>2024</v>
      </c>
      <c r="E239" t="n">
        <v>-2.961461684283073</v>
      </c>
      <c r="F239" t="n">
        <v>5.692</v>
      </c>
      <c r="G239" t="n">
        <v>8.772079</v>
      </c>
      <c r="H239" t="n">
        <v>5.619888</v>
      </c>
      <c r="I239" t="n">
        <v>8.581349684283074</v>
      </c>
      <c r="J239" t="inlineStr">
        <is>
          <t>Philippines|XPHG.L|2024</t>
        </is>
      </c>
      <c r="K239" t="inlineStr">
        <is>
          <t>Philippines|2024</t>
        </is>
      </c>
      <c r="L239" t="inlineStr">
        <is>
          <t>GBp</t>
        </is>
      </c>
    </row>
    <row r="240">
      <c r="A240" t="inlineStr">
        <is>
          <t>Philippines</t>
        </is>
      </c>
      <c r="B240" t="inlineStr">
        <is>
          <t>PHL</t>
        </is>
      </c>
      <c r="C240" t="inlineStr">
        <is>
          <t>XPHG.L</t>
        </is>
      </c>
      <c r="D240" t="n">
        <v>2025</v>
      </c>
      <c r="E240" t="n">
        <v>-7.84634131086781</v>
      </c>
      <c r="F240" t="n">
        <v>5.435</v>
      </c>
      <c r="G240" t="n">
        <v>7.049198</v>
      </c>
      <c r="H240" t="n">
        <v>7.04935</v>
      </c>
      <c r="I240" t="n">
        <v>14.89569131086781</v>
      </c>
      <c r="J240" t="inlineStr">
        <is>
          <t>Philippines|XPHG.L|2025</t>
        </is>
      </c>
      <c r="K240" t="inlineStr">
        <is>
          <t>Philippines|2025</t>
        </is>
      </c>
      <c r="L240" t="inlineStr">
        <is>
          <t>GBp</t>
        </is>
      </c>
    </row>
    <row r="241">
      <c r="A241" t="inlineStr">
        <is>
          <t>Philippines</t>
        </is>
      </c>
      <c r="B241" t="inlineStr">
        <is>
          <t>PHL</t>
        </is>
      </c>
      <c r="C241" t="inlineStr">
        <is>
          <t>XPHG.L</t>
        </is>
      </c>
      <c r="D241" t="n">
        <v>2026</v>
      </c>
      <c r="E241" t="n">
        <v>7.299914929229123</v>
      </c>
      <c r="F241" t="n">
        <v>5.731</v>
      </c>
      <c r="G241" t="n">
        <v>8.046950000000001</v>
      </c>
      <c r="H241" t="n">
        <v>8.046818999999999</v>
      </c>
      <c r="I241" t="n">
        <v>0.7469040707708761</v>
      </c>
      <c r="J241" t="inlineStr">
        <is>
          <t>Philippines|XPHG.L|2026</t>
        </is>
      </c>
      <c r="K241" t="inlineStr">
        <is>
          <t>Philippines|2026</t>
        </is>
      </c>
      <c r="L241" t="inlineStr">
        <is>
          <t>GBp</t>
        </is>
      </c>
    </row>
    <row r="242">
      <c r="A242" t="inlineStr">
        <is>
          <t>Poland</t>
        </is>
      </c>
      <c r="B242" t="inlineStr">
        <is>
          <t>POL</t>
        </is>
      </c>
      <c r="C242" t="inlineStr">
        <is>
          <t>SPOL.L</t>
        </is>
      </c>
      <c r="D242" t="n">
        <v>2015</v>
      </c>
      <c r="E242" t="n">
        <v>-21.83268410313485</v>
      </c>
      <c r="F242" t="n">
        <v>4.432</v>
      </c>
      <c r="G242" t="inlineStr"/>
      <c r="H242" t="inlineStr"/>
      <c r="I242" t="inlineStr"/>
      <c r="J242" t="inlineStr">
        <is>
          <t>Poland|SPOL.L|2015</t>
        </is>
      </c>
      <c r="K242" t="inlineStr">
        <is>
          <t>Poland|2015</t>
        </is>
      </c>
      <c r="L242" t="inlineStr">
        <is>
          <t>GBp</t>
        </is>
      </c>
    </row>
    <row r="243">
      <c r="A243" t="inlineStr">
        <is>
          <t>Poland</t>
        </is>
      </c>
      <c r="B243" t="inlineStr">
        <is>
          <t>POL</t>
        </is>
      </c>
      <c r="C243" t="inlineStr">
        <is>
          <t>SPOL.L</t>
        </is>
      </c>
      <c r="D243" t="n">
        <v>2016</v>
      </c>
      <c r="E243" t="n">
        <v>23.83863080684596</v>
      </c>
      <c r="F243" t="n">
        <v>3.031</v>
      </c>
      <c r="G243" t="n">
        <v>3.116552</v>
      </c>
      <c r="H243" t="n">
        <v>-1.427056</v>
      </c>
      <c r="I243" t="n">
        <v>-25.26568680684596</v>
      </c>
      <c r="J243" t="inlineStr">
        <is>
          <t>Poland|SPOL.L|2016</t>
        </is>
      </c>
      <c r="K243" t="inlineStr">
        <is>
          <t>Poland|2016</t>
        </is>
      </c>
      <c r="L243" t="inlineStr">
        <is>
          <t>GBp</t>
        </is>
      </c>
    </row>
    <row r="244">
      <c r="A244" t="inlineStr">
        <is>
          <t>Poland</t>
        </is>
      </c>
      <c r="B244" t="inlineStr">
        <is>
          <t>POL</t>
        </is>
      </c>
      <c r="C244" t="inlineStr">
        <is>
          <t>SPOL.L</t>
        </is>
      </c>
      <c r="D244" t="n">
        <v>2017</v>
      </c>
      <c r="E244" t="n">
        <v>38.72854914196569</v>
      </c>
      <c r="F244" t="n">
        <v>5.152</v>
      </c>
      <c r="G244" t="n">
        <v>7.01387</v>
      </c>
      <c r="H244" t="n">
        <v>11.760626</v>
      </c>
      <c r="I244" t="n">
        <v>-26.96792314196568</v>
      </c>
      <c r="J244" t="inlineStr">
        <is>
          <t>Poland|SPOL.L|2017</t>
        </is>
      </c>
      <c r="K244" t="inlineStr">
        <is>
          <t>Poland|2017</t>
        </is>
      </c>
      <c r="L244" t="inlineStr">
        <is>
          <t>GBp</t>
        </is>
      </c>
    </row>
    <row r="245">
      <c r="A245" t="inlineStr">
        <is>
          <t>Poland</t>
        </is>
      </c>
      <c r="B245" t="inlineStr">
        <is>
          <t>POL</t>
        </is>
      </c>
      <c r="C245" t="inlineStr">
        <is>
          <t>SPOL.L</t>
        </is>
      </c>
      <c r="D245" t="n">
        <v>2018</v>
      </c>
      <c r="E245" t="n">
        <v>-7.426416568687122</v>
      </c>
      <c r="F245" t="n">
        <v>6.246</v>
      </c>
      <c r="G245" t="n">
        <v>7.549493</v>
      </c>
      <c r="H245" t="n">
        <v>12.515492</v>
      </c>
      <c r="I245" t="n">
        <v>19.94190856868712</v>
      </c>
      <c r="J245" t="inlineStr">
        <is>
          <t>Poland|SPOL.L|2018</t>
        </is>
      </c>
      <c r="K245" t="inlineStr">
        <is>
          <t>Poland|2018</t>
        </is>
      </c>
      <c r="L245" t="inlineStr">
        <is>
          <t>GBp</t>
        </is>
      </c>
    </row>
    <row r="246">
      <c r="A246" t="inlineStr">
        <is>
          <t>Poland</t>
        </is>
      </c>
      <c r="B246" t="inlineStr">
        <is>
          <t>POL</t>
        </is>
      </c>
      <c r="C246" t="inlineStr">
        <is>
          <t>SPOL.L</t>
        </is>
      </c>
      <c r="D246" t="n">
        <v>2019</v>
      </c>
      <c r="E246" t="n">
        <v>-11.19362207638414</v>
      </c>
      <c r="F246" t="n">
        <v>4.581</v>
      </c>
      <c r="G246" t="n">
        <v>7.74553</v>
      </c>
      <c r="H246" t="n">
        <v>1.337109</v>
      </c>
      <c r="I246" t="n">
        <v>12.53073107638414</v>
      </c>
      <c r="J246" t="inlineStr">
        <is>
          <t>Poland|SPOL.L|2019</t>
        </is>
      </c>
      <c r="K246" t="inlineStr">
        <is>
          <t>Poland|2019</t>
        </is>
      </c>
      <c r="L246" t="inlineStr">
        <is>
          <t>GBp</t>
        </is>
      </c>
    </row>
    <row r="247">
      <c r="A247" t="inlineStr">
        <is>
          <t>Poland</t>
        </is>
      </c>
      <c r="B247" t="inlineStr">
        <is>
          <t>POL</t>
        </is>
      </c>
      <c r="C247" t="inlineStr">
        <is>
          <t>SPOL.L</t>
        </is>
      </c>
      <c r="D247" t="n">
        <v>2020</v>
      </c>
      <c r="E247" t="n">
        <v>-16.46533185382913</v>
      </c>
      <c r="F247" t="n">
        <v>-2.036</v>
      </c>
      <c r="G247" t="n">
        <v>2.116746</v>
      </c>
      <c r="H247" t="n">
        <v>0.55394</v>
      </c>
      <c r="I247" t="n">
        <v>17.01927185382914</v>
      </c>
      <c r="J247" t="inlineStr">
        <is>
          <t>Poland|SPOL.L|2020</t>
        </is>
      </c>
      <c r="K247" t="inlineStr">
        <is>
          <t>Poland|2020</t>
        </is>
      </c>
      <c r="L247" t="inlineStr">
        <is>
          <t>GBp</t>
        </is>
      </c>
    </row>
    <row r="248">
      <c r="A248" t="inlineStr">
        <is>
          <t>Poland</t>
        </is>
      </c>
      <c r="B248" t="inlineStr">
        <is>
          <t>POL</t>
        </is>
      </c>
      <c r="C248" t="inlineStr">
        <is>
          <t>SPOL.L</t>
        </is>
      </c>
      <c r="D248" t="n">
        <v>2021</v>
      </c>
      <c r="E248" t="n">
        <v>6.55738107253101</v>
      </c>
      <c r="F248" t="n">
        <v>6.927</v>
      </c>
      <c r="G248" t="n">
        <v>12.637347</v>
      </c>
      <c r="H248" t="n">
        <v>13.751258</v>
      </c>
      <c r="I248" t="n">
        <v>7.19387692746899</v>
      </c>
      <c r="J248" t="inlineStr">
        <is>
          <t>Poland|SPOL.L|2021</t>
        </is>
      </c>
      <c r="K248" t="inlineStr">
        <is>
          <t>Poland|2021</t>
        </is>
      </c>
      <c r="L248" t="inlineStr">
        <is>
          <t>GBp</t>
        </is>
      </c>
    </row>
    <row r="249">
      <c r="A249" t="inlineStr">
        <is>
          <t>Poland</t>
        </is>
      </c>
      <c r="B249" t="inlineStr">
        <is>
          <t>POL</t>
        </is>
      </c>
      <c r="C249" t="inlineStr">
        <is>
          <t>SPOL.L</t>
        </is>
      </c>
      <c r="D249" t="n">
        <v>2022</v>
      </c>
      <c r="E249" t="n">
        <v>-19.146042091298</v>
      </c>
      <c r="F249" t="n">
        <v>5.255</v>
      </c>
      <c r="G249" t="n">
        <v>16.506821</v>
      </c>
      <c r="H249" t="n">
        <v>0.940293</v>
      </c>
      <c r="I249" t="n">
        <v>20.086335091298</v>
      </c>
      <c r="J249" t="inlineStr">
        <is>
          <t>Poland|SPOL.L|2022</t>
        </is>
      </c>
      <c r="K249" t="inlineStr">
        <is>
          <t>Poland|2022</t>
        </is>
      </c>
      <c r="L249" t="inlineStr">
        <is>
          <t>GBp</t>
        </is>
      </c>
    </row>
    <row r="250">
      <c r="A250" t="inlineStr">
        <is>
          <t>Poland</t>
        </is>
      </c>
      <c r="B250" t="inlineStr">
        <is>
          <t>POL</t>
        </is>
      </c>
      <c r="C250" t="inlineStr">
        <is>
          <t>SPOL.L</t>
        </is>
      </c>
      <c r="D250" t="n">
        <v>2023</v>
      </c>
      <c r="E250" t="n">
        <v>40.03501307781727</v>
      </c>
      <c r="F250" t="n">
        <v>0.25</v>
      </c>
      <c r="G250" t="n">
        <v>10.139929</v>
      </c>
      <c r="H250" t="n">
        <v>16.849112</v>
      </c>
      <c r="I250" t="n">
        <v>-23.18590107781727</v>
      </c>
      <c r="J250" t="inlineStr">
        <is>
          <t>Poland|SPOL.L|2023</t>
        </is>
      </c>
      <c r="K250" t="inlineStr">
        <is>
          <t>Poland|2023</t>
        </is>
      </c>
      <c r="L250" t="inlineStr">
        <is>
          <t>GBp</t>
        </is>
      </c>
    </row>
    <row r="251">
      <c r="A251" t="inlineStr">
        <is>
          <t>Poland</t>
        </is>
      </c>
      <c r="B251" t="inlineStr">
        <is>
          <t>POL</t>
        </is>
      </c>
      <c r="C251" t="inlineStr">
        <is>
          <t>SPOL.L</t>
        </is>
      </c>
      <c r="D251" t="n">
        <v>2024</v>
      </c>
      <c r="E251" t="n">
        <v>-2.256652631798706</v>
      </c>
      <c r="F251" t="n">
        <v>2.923</v>
      </c>
      <c r="G251" t="n">
        <v>6.615399</v>
      </c>
      <c r="H251" t="n">
        <v>12.496817</v>
      </c>
      <c r="I251" t="n">
        <v>14.7534696317987</v>
      </c>
      <c r="J251" t="inlineStr">
        <is>
          <t>Poland|SPOL.L|2024</t>
        </is>
      </c>
      <c r="K251" t="inlineStr">
        <is>
          <t>Poland|2024</t>
        </is>
      </c>
      <c r="L251" t="inlineStr">
        <is>
          <t>GBp</t>
        </is>
      </c>
    </row>
    <row r="252">
      <c r="A252" t="inlineStr">
        <is>
          <t>Poland</t>
        </is>
      </c>
      <c r="B252" t="inlineStr">
        <is>
          <t>POL</t>
        </is>
      </c>
      <c r="C252" t="inlineStr">
        <is>
          <t>SPOL.L</t>
        </is>
      </c>
      <c r="D252" t="n">
        <v>2025</v>
      </c>
      <c r="E252" t="n">
        <v>60.01501619451324</v>
      </c>
      <c r="F252" t="n">
        <v>3.243</v>
      </c>
      <c r="G252" t="n">
        <v>6.963458</v>
      </c>
      <c r="H252" t="n">
        <v>13.675096</v>
      </c>
      <c r="I252" t="n">
        <v>-46.33992019451324</v>
      </c>
      <c r="J252" t="inlineStr">
        <is>
          <t>Poland|SPOL.L|2025</t>
        </is>
      </c>
      <c r="K252" t="inlineStr">
        <is>
          <t>Poland|2025</t>
        </is>
      </c>
      <c r="L252" t="inlineStr">
        <is>
          <t>GBp</t>
        </is>
      </c>
    </row>
    <row r="253">
      <c r="A253" t="inlineStr">
        <is>
          <t>Poland</t>
        </is>
      </c>
      <c r="B253" t="inlineStr">
        <is>
          <t>POL</t>
        </is>
      </c>
      <c r="C253" t="inlineStr">
        <is>
          <t>SPOL.L</t>
        </is>
      </c>
      <c r="D253" t="n">
        <v>2026</v>
      </c>
      <c r="E253" t="n">
        <v>2.558508528361769</v>
      </c>
      <c r="F253" t="n">
        <v>3.136</v>
      </c>
      <c r="G253" t="n">
        <v>6.397182</v>
      </c>
      <c r="H253" t="n">
        <v>6.766229</v>
      </c>
      <c r="I253" t="n">
        <v>4.207720471638231</v>
      </c>
      <c r="J253" t="inlineStr">
        <is>
          <t>Poland|SPOL.L|2026</t>
        </is>
      </c>
      <c r="K253" t="inlineStr">
        <is>
          <t>Poland|2026</t>
        </is>
      </c>
      <c r="L253" t="inlineStr">
        <is>
          <t>GBp</t>
        </is>
      </c>
    </row>
    <row r="254">
      <c r="A254" t="inlineStr">
        <is>
          <t>Saudi Arabia</t>
        </is>
      </c>
      <c r="B254" t="inlineStr">
        <is>
          <t>SAU</t>
        </is>
      </c>
      <c r="C254" t="inlineStr">
        <is>
          <t>IKSA.L</t>
        </is>
      </c>
      <c r="D254" t="n">
        <v>2015</v>
      </c>
      <c r="E254" t="inlineStr"/>
      <c r="F254" t="n">
        <v>4.655</v>
      </c>
      <c r="G254" t="inlineStr"/>
      <c r="H254" t="inlineStr"/>
      <c r="I254" t="inlineStr"/>
      <c r="J254" t="inlineStr">
        <is>
          <t>Saudi Arabia|IKSA.L|2015</t>
        </is>
      </c>
      <c r="K254" t="inlineStr">
        <is>
          <t>Saudi Arabia|2015</t>
        </is>
      </c>
      <c r="L254" t="inlineStr">
        <is>
          <t>USD</t>
        </is>
      </c>
    </row>
    <row r="255">
      <c r="A255" t="inlineStr">
        <is>
          <t>Saudi Arabia</t>
        </is>
      </c>
      <c r="B255" t="inlineStr">
        <is>
          <t>SAU</t>
        </is>
      </c>
      <c r="C255" t="inlineStr">
        <is>
          <t>IKSA.L</t>
        </is>
      </c>
      <c r="D255" t="n">
        <v>2016</v>
      </c>
      <c r="E255" t="inlineStr"/>
      <c r="F255" t="n">
        <v>1.704</v>
      </c>
      <c r="G255" t="n">
        <v>-0.596391</v>
      </c>
      <c r="H255" t="n">
        <v>-0.596468</v>
      </c>
      <c r="I255" t="inlineStr"/>
      <c r="J255" t="inlineStr">
        <is>
          <t>Saudi Arabia|IKSA.L|2016</t>
        </is>
      </c>
      <c r="K255" t="inlineStr">
        <is>
          <t>Saudi Arabia|2016</t>
        </is>
      </c>
      <c r="L255" t="inlineStr">
        <is>
          <t>USD</t>
        </is>
      </c>
    </row>
    <row r="256">
      <c r="A256" t="inlineStr">
        <is>
          <t>Saudi Arabia</t>
        </is>
      </c>
      <c r="B256" t="inlineStr">
        <is>
          <t>SAU</t>
        </is>
      </c>
      <c r="C256" t="inlineStr">
        <is>
          <t>IKSA.L</t>
        </is>
      </c>
      <c r="D256" t="n">
        <v>2017</v>
      </c>
      <c r="E256" t="inlineStr"/>
      <c r="F256" t="n">
        <v>1.182</v>
      </c>
      <c r="G256" t="n">
        <v>7.542137</v>
      </c>
      <c r="H256" t="n">
        <v>7.542229</v>
      </c>
      <c r="I256" t="inlineStr"/>
      <c r="J256" t="inlineStr">
        <is>
          <t>Saudi Arabia|IKSA.L|2017</t>
        </is>
      </c>
      <c r="K256" t="inlineStr">
        <is>
          <t>Saudi Arabia|2017</t>
        </is>
      </c>
      <c r="L256" t="inlineStr">
        <is>
          <t>USD</t>
        </is>
      </c>
    </row>
    <row r="257">
      <c r="A257" t="inlineStr">
        <is>
          <t>Saudi Arabia</t>
        </is>
      </c>
      <c r="B257" t="inlineStr">
        <is>
          <t>SAU</t>
        </is>
      </c>
      <c r="C257" t="inlineStr">
        <is>
          <t>IKSA.L</t>
        </is>
      </c>
      <c r="D257" t="n">
        <v>2018</v>
      </c>
      <c r="E257" t="inlineStr"/>
      <c r="F257" t="n">
        <v>3.227</v>
      </c>
      <c r="G257" t="n">
        <v>19.601316</v>
      </c>
      <c r="H257" t="n">
        <v>19.601331</v>
      </c>
      <c r="I257" t="inlineStr"/>
      <c r="J257" t="inlineStr">
        <is>
          <t>Saudi Arabia|IKSA.L|2018</t>
        </is>
      </c>
      <c r="K257" t="inlineStr">
        <is>
          <t>Saudi Arabia|2018</t>
        </is>
      </c>
      <c r="L257" t="inlineStr">
        <is>
          <t>USD</t>
        </is>
      </c>
    </row>
    <row r="258">
      <c r="A258" t="inlineStr">
        <is>
          <t>Saudi Arabia</t>
        </is>
      </c>
      <c r="B258" t="inlineStr">
        <is>
          <t>SAU</t>
        </is>
      </c>
      <c r="C258" t="inlineStr">
        <is>
          <t>IKSA.L</t>
        </is>
      </c>
      <c r="D258" t="n">
        <v>2019</v>
      </c>
      <c r="E258" t="n">
        <v>-10.50999641418455</v>
      </c>
      <c r="F258" t="n">
        <v>1.652</v>
      </c>
      <c r="G258" t="n">
        <v>0.262136</v>
      </c>
      <c r="H258" t="n">
        <v>0.262136</v>
      </c>
      <c r="I258" t="n">
        <v>10.77213241418455</v>
      </c>
      <c r="J258" t="inlineStr">
        <is>
          <t>Saudi Arabia|IKSA.L|2019</t>
        </is>
      </c>
      <c r="K258" t="inlineStr">
        <is>
          <t>Saudi Arabia|2019</t>
        </is>
      </c>
      <c r="L258" t="inlineStr">
        <is>
          <t>USD</t>
        </is>
      </c>
    </row>
    <row r="259">
      <c r="A259" t="inlineStr">
        <is>
          <t>Saudi Arabia</t>
        </is>
      </c>
      <c r="B259" t="inlineStr">
        <is>
          <t>SAU</t>
        </is>
      </c>
      <c r="C259" t="inlineStr">
        <is>
          <t>IKSA.L</t>
        </is>
      </c>
      <c r="D259" t="n">
        <v>2020</v>
      </c>
      <c r="E259" t="n">
        <v>0.06664281421631113</v>
      </c>
      <c r="F259" t="n">
        <v>-3.805</v>
      </c>
      <c r="G259" t="n">
        <v>-13.678308</v>
      </c>
      <c r="H259" t="n">
        <v>-13.678326</v>
      </c>
      <c r="I259" t="n">
        <v>-13.74496881421631</v>
      </c>
      <c r="J259" t="inlineStr">
        <is>
          <t>Saudi Arabia|IKSA.L|2020</t>
        </is>
      </c>
      <c r="K259" t="inlineStr">
        <is>
          <t>Saudi Arabia|2020</t>
        </is>
      </c>
      <c r="L259" t="inlineStr">
        <is>
          <t>USD</t>
        </is>
      </c>
    </row>
    <row r="260">
      <c r="A260" t="inlineStr">
        <is>
          <t>Saudi Arabia</t>
        </is>
      </c>
      <c r="B260" t="inlineStr">
        <is>
          <t>SAU</t>
        </is>
      </c>
      <c r="C260" t="inlineStr">
        <is>
          <t>IKSA.L</t>
        </is>
      </c>
      <c r="D260" t="n">
        <v>2021</v>
      </c>
      <c r="E260" t="n">
        <v>37.43165715563745</v>
      </c>
      <c r="F260" t="n">
        <v>6.52</v>
      </c>
      <c r="G260" t="n">
        <v>28.066898</v>
      </c>
      <c r="H260" t="n">
        <v>28.066878</v>
      </c>
      <c r="I260" t="n">
        <v>-9.364779155637454</v>
      </c>
      <c r="J260" t="inlineStr">
        <is>
          <t>Saudi Arabia|IKSA.L|2021</t>
        </is>
      </c>
      <c r="K260" t="inlineStr">
        <is>
          <t>Saudi Arabia|2021</t>
        </is>
      </c>
      <c r="L260" t="inlineStr">
        <is>
          <t>USD</t>
        </is>
      </c>
    </row>
    <row r="261">
      <c r="A261" t="inlineStr">
        <is>
          <t>Saudi Arabia</t>
        </is>
      </c>
      <c r="B261" t="inlineStr">
        <is>
          <t>SAU</t>
        </is>
      </c>
      <c r="C261" t="inlineStr">
        <is>
          <t>IKSA.L</t>
        </is>
      </c>
      <c r="D261" t="n">
        <v>2022</v>
      </c>
      <c r="E261" t="n">
        <v>-6.324523575817764</v>
      </c>
      <c r="F261" t="n">
        <v>12.001</v>
      </c>
      <c r="G261" t="n">
        <v>26.09388</v>
      </c>
      <c r="H261" t="n">
        <v>26.093841</v>
      </c>
      <c r="I261" t="n">
        <v>32.41836457581776</v>
      </c>
      <c r="J261" t="inlineStr">
        <is>
          <t>Saudi Arabia|IKSA.L|2022</t>
        </is>
      </c>
      <c r="K261" t="inlineStr">
        <is>
          <t>Saudi Arabia|2022</t>
        </is>
      </c>
      <c r="L261" t="inlineStr">
        <is>
          <t>USD</t>
        </is>
      </c>
    </row>
    <row r="262">
      <c r="A262" t="inlineStr">
        <is>
          <t>Saudi Arabia</t>
        </is>
      </c>
      <c r="B262" t="inlineStr">
        <is>
          <t>SAU</t>
        </is>
      </c>
      <c r="C262" t="inlineStr">
        <is>
          <t>IKSA.L</t>
        </is>
      </c>
      <c r="D262" t="n">
        <v>2023</v>
      </c>
      <c r="E262" t="n">
        <v>8.379461836297741</v>
      </c>
      <c r="F262" t="n">
        <v>0.543</v>
      </c>
      <c r="G262" t="n">
        <v>-1.653728</v>
      </c>
      <c r="H262" t="n">
        <v>-1.653653</v>
      </c>
      <c r="I262" t="n">
        <v>-10.03311483629774</v>
      </c>
      <c r="J262" t="inlineStr">
        <is>
          <t>Saudi Arabia|IKSA.L|2023</t>
        </is>
      </c>
      <c r="K262" t="inlineStr">
        <is>
          <t>Saudi Arabia|2023</t>
        </is>
      </c>
      <c r="L262" t="inlineStr">
        <is>
          <t>USD</t>
        </is>
      </c>
    </row>
    <row r="263">
      <c r="A263" t="inlineStr">
        <is>
          <t>Saudi Arabia</t>
        </is>
      </c>
      <c r="B263" t="inlineStr">
        <is>
          <t>SAU</t>
        </is>
      </c>
      <c r="C263" t="inlineStr">
        <is>
          <t>IKSA.L</t>
        </is>
      </c>
      <c r="D263" t="n">
        <v>2024</v>
      </c>
      <c r="E263" t="n">
        <v>-1.739530777835496</v>
      </c>
      <c r="F263" t="n">
        <v>1.997</v>
      </c>
      <c r="G263" t="n">
        <v>1.741387</v>
      </c>
      <c r="H263" t="n">
        <v>1.741364</v>
      </c>
      <c r="I263" t="n">
        <v>3.480894777835496</v>
      </c>
      <c r="J263" t="inlineStr">
        <is>
          <t>Saudi Arabia|IKSA.L|2024</t>
        </is>
      </c>
      <c r="K263" t="inlineStr">
        <is>
          <t>Saudi Arabia|2024</t>
        </is>
      </c>
      <c r="L263" t="inlineStr">
        <is>
          <t>USD</t>
        </is>
      </c>
    </row>
    <row r="264">
      <c r="A264" t="inlineStr">
        <is>
          <t>Saudi Arabia</t>
        </is>
      </c>
      <c r="B264" t="inlineStr">
        <is>
          <t>SAU</t>
        </is>
      </c>
      <c r="C264" t="inlineStr">
        <is>
          <t>IKSA.L</t>
        </is>
      </c>
      <c r="D264" t="n">
        <v>2025</v>
      </c>
      <c r="E264" t="n">
        <v>-6.082555514391419</v>
      </c>
      <c r="F264" t="n">
        <v>4.021</v>
      </c>
      <c r="G264" t="n">
        <v>2.317311</v>
      </c>
      <c r="H264" t="n">
        <v>2.3173</v>
      </c>
      <c r="I264" t="n">
        <v>8.399855514391419</v>
      </c>
      <c r="J264" t="inlineStr">
        <is>
          <t>Saudi Arabia|IKSA.L|2025</t>
        </is>
      </c>
      <c r="K264" t="inlineStr">
        <is>
          <t>Saudi Arabia|2025</t>
        </is>
      </c>
      <c r="L264" t="inlineStr">
        <is>
          <t>USD</t>
        </is>
      </c>
    </row>
    <row r="265">
      <c r="A265" t="inlineStr">
        <is>
          <t>Saudi Arabia</t>
        </is>
      </c>
      <c r="B265" t="inlineStr">
        <is>
          <t>SAU</t>
        </is>
      </c>
      <c r="C265" t="inlineStr">
        <is>
          <t>IKSA.L</t>
        </is>
      </c>
      <c r="D265" t="n">
        <v>2026</v>
      </c>
      <c r="E265" t="n">
        <v>1.232424863243575</v>
      </c>
      <c r="F265" t="n">
        <v>3.978</v>
      </c>
      <c r="G265" t="n">
        <v>3.761463</v>
      </c>
      <c r="H265" t="n">
        <v>3.761426</v>
      </c>
      <c r="I265" t="n">
        <v>2.529001136756425</v>
      </c>
      <c r="J265" t="inlineStr">
        <is>
          <t>Saudi Arabia|IKSA.L|2026</t>
        </is>
      </c>
      <c r="K265" t="inlineStr">
        <is>
          <t>Saudi Arabia|2026</t>
        </is>
      </c>
      <c r="L265" t="inlineStr">
        <is>
          <t>USD</t>
        </is>
      </c>
    </row>
    <row r="266">
      <c r="A266" t="inlineStr">
        <is>
          <t>South Africa</t>
        </is>
      </c>
      <c r="B266" t="inlineStr">
        <is>
          <t>ZAF</t>
        </is>
      </c>
      <c r="C266" t="inlineStr">
        <is>
          <t>SRSA.L</t>
        </is>
      </c>
      <c r="D266" t="n">
        <v>2015</v>
      </c>
      <c r="E266" t="n">
        <v>-21.28082271824237</v>
      </c>
      <c r="F266" t="n">
        <v>1.322</v>
      </c>
      <c r="G266" t="inlineStr"/>
      <c r="H266" t="inlineStr"/>
      <c r="I266" t="inlineStr"/>
      <c r="J266" t="inlineStr">
        <is>
          <t>South Africa|SRSA.L|2015</t>
        </is>
      </c>
      <c r="K266" t="inlineStr">
        <is>
          <t>South Africa|2015</t>
        </is>
      </c>
      <c r="L266" t="inlineStr">
        <is>
          <t>GBp</t>
        </is>
      </c>
    </row>
    <row r="267">
      <c r="A267" t="inlineStr">
        <is>
          <t>South Africa</t>
        </is>
      </c>
      <c r="B267" t="inlineStr">
        <is>
          <t>ZAF</t>
        </is>
      </c>
      <c r="C267" t="inlineStr">
        <is>
          <t>SRSA.L</t>
        </is>
      </c>
      <c r="D267" t="n">
        <v>2016</v>
      </c>
      <c r="E267" t="n">
        <v>45.48229548229548</v>
      </c>
      <c r="F267" t="n">
        <v>0.665</v>
      </c>
      <c r="G267" t="n">
        <v>7.662924</v>
      </c>
      <c r="H267" t="n">
        <v>-6.683725</v>
      </c>
      <c r="I267" t="n">
        <v>-52.16602048229548</v>
      </c>
      <c r="J267" t="inlineStr">
        <is>
          <t>South Africa|SRSA.L|2016</t>
        </is>
      </c>
      <c r="K267" t="inlineStr">
        <is>
          <t>South Africa|2016</t>
        </is>
      </c>
      <c r="L267" t="inlineStr">
        <is>
          <t>GBp</t>
        </is>
      </c>
    </row>
    <row r="268">
      <c r="A268" t="inlineStr">
        <is>
          <t>South Africa</t>
        </is>
      </c>
      <c r="B268" t="inlineStr">
        <is>
          <t>ZAF</t>
        </is>
      </c>
      <c r="C268" t="inlineStr">
        <is>
          <t>SRSA.L</t>
        </is>
      </c>
      <c r="D268" t="n">
        <v>2017</v>
      </c>
      <c r="E268" t="n">
        <v>23.73816213966073</v>
      </c>
      <c r="F268" t="n">
        <v>1.158</v>
      </c>
      <c r="G268" t="n">
        <v>6.694659</v>
      </c>
      <c r="H268" t="n">
        <v>17.874884</v>
      </c>
      <c r="I268" t="n">
        <v>-5.863278139660732</v>
      </c>
      <c r="J268" t="inlineStr">
        <is>
          <t>South Africa|SRSA.L|2017</t>
        </is>
      </c>
      <c r="K268" t="inlineStr">
        <is>
          <t>South Africa|2017</t>
        </is>
      </c>
      <c r="L268" t="inlineStr">
        <is>
          <t>GBp</t>
        </is>
      </c>
    </row>
    <row r="269">
      <c r="A269" t="inlineStr">
        <is>
          <t>South Africa</t>
        </is>
      </c>
      <c r="B269" t="inlineStr">
        <is>
          <t>ZAF</t>
        </is>
      </c>
      <c r="C269" t="inlineStr">
        <is>
          <t>SRSA.L</t>
        </is>
      </c>
      <c r="D269" t="n">
        <v>2018</v>
      </c>
      <c r="E269" t="n">
        <v>-19.97611736608667</v>
      </c>
      <c r="F269" t="n">
        <v>1.557</v>
      </c>
      <c r="G269" t="n">
        <v>5.612215</v>
      </c>
      <c r="H269" t="n">
        <v>6.235232</v>
      </c>
      <c r="I269" t="n">
        <v>26.21134936608667</v>
      </c>
      <c r="J269" t="inlineStr">
        <is>
          <t>South Africa|SRSA.L|2018</t>
        </is>
      </c>
      <c r="K269" t="inlineStr">
        <is>
          <t>South Africa|2018</t>
        </is>
      </c>
      <c r="L269" t="inlineStr">
        <is>
          <t>GBp</t>
        </is>
      </c>
    </row>
    <row r="270">
      <c r="A270" t="inlineStr">
        <is>
          <t>South Africa</t>
        </is>
      </c>
      <c r="B270" t="inlineStr">
        <is>
          <t>ZAF</t>
        </is>
      </c>
      <c r="C270" t="inlineStr">
        <is>
          <t>SRSA.L</t>
        </is>
      </c>
      <c r="D270" t="n">
        <v>2019</v>
      </c>
      <c r="E270" t="n">
        <v>5.935386927122455</v>
      </c>
      <c r="F270" t="n">
        <v>0.26</v>
      </c>
      <c r="G270" t="n">
        <v>4.885469</v>
      </c>
      <c r="H270" t="n">
        <v>-3.912188</v>
      </c>
      <c r="I270" t="n">
        <v>-9.847574927122455</v>
      </c>
      <c r="J270" t="inlineStr">
        <is>
          <t>South Africa|SRSA.L|2019</t>
        </is>
      </c>
      <c r="K270" t="inlineStr">
        <is>
          <t>South Africa|2019</t>
        </is>
      </c>
      <c r="L270" t="inlineStr">
        <is>
          <t>GBp</t>
        </is>
      </c>
    </row>
    <row r="271">
      <c r="A271" t="inlineStr">
        <is>
          <t>South Africa</t>
        </is>
      </c>
      <c r="B271" t="inlineStr">
        <is>
          <t>ZAF</t>
        </is>
      </c>
      <c r="C271" t="inlineStr">
        <is>
          <t>SRSA.L</t>
        </is>
      </c>
      <c r="D271" t="n">
        <v>2020</v>
      </c>
      <c r="E271" t="n">
        <v>-6.724969843184558</v>
      </c>
      <c r="F271" t="n">
        <v>-6.169</v>
      </c>
      <c r="G271" t="n">
        <v>-1.110128</v>
      </c>
      <c r="H271" t="n">
        <v>-13.197087</v>
      </c>
      <c r="I271" t="n">
        <v>-6.472117156815441</v>
      </c>
      <c r="J271" t="inlineStr">
        <is>
          <t>South Africa|SRSA.L|2020</t>
        </is>
      </c>
      <c r="K271" t="inlineStr">
        <is>
          <t>South Africa|2020</t>
        </is>
      </c>
      <c r="L271" t="inlineStr">
        <is>
          <t>GBp</t>
        </is>
      </c>
    </row>
    <row r="272">
      <c r="A272" t="inlineStr">
        <is>
          <t>South Africa</t>
        </is>
      </c>
      <c r="B272" t="inlineStr">
        <is>
          <t>ZAF</t>
        </is>
      </c>
      <c r="C272" t="inlineStr">
        <is>
          <t>SRSA.L</t>
        </is>
      </c>
      <c r="D272" t="n">
        <v>2021</v>
      </c>
      <c r="E272" t="n">
        <v>4.558099721806119</v>
      </c>
      <c r="F272" t="n">
        <v>4.859</v>
      </c>
      <c r="G272" t="n">
        <v>11.578443</v>
      </c>
      <c r="H272" t="n">
        <v>24.26985</v>
      </c>
      <c r="I272" t="n">
        <v>19.71175027819388</v>
      </c>
      <c r="J272" t="inlineStr">
        <is>
          <t>South Africa|SRSA.L|2021</t>
        </is>
      </c>
      <c r="K272" t="inlineStr">
        <is>
          <t>South Africa|2021</t>
        </is>
      </c>
      <c r="L272" t="inlineStr">
        <is>
          <t>GBp</t>
        </is>
      </c>
    </row>
    <row r="273">
      <c r="A273" t="inlineStr">
        <is>
          <t>South Africa</t>
        </is>
      </c>
      <c r="B273" t="inlineStr">
        <is>
          <t>ZAF</t>
        </is>
      </c>
      <c r="C273" t="inlineStr">
        <is>
          <t>SRSA.L</t>
        </is>
      </c>
      <c r="D273" t="n">
        <v>2022</v>
      </c>
      <c r="E273" t="n">
        <v>7.076672436615428</v>
      </c>
      <c r="F273" t="n">
        <v>2.058</v>
      </c>
      <c r="G273" t="n">
        <v>7.406989</v>
      </c>
      <c r="H273" t="n">
        <v>-2.964671</v>
      </c>
      <c r="I273" t="n">
        <v>-10.04134343661543</v>
      </c>
      <c r="J273" t="inlineStr">
        <is>
          <t>South Africa|SRSA.L|2022</t>
        </is>
      </c>
      <c r="K273" t="inlineStr">
        <is>
          <t>South Africa|2022</t>
        </is>
      </c>
      <c r="L273" t="inlineStr">
        <is>
          <t>GBp</t>
        </is>
      </c>
    </row>
    <row r="274">
      <c r="A274" t="inlineStr">
        <is>
          <t>South Africa</t>
        </is>
      </c>
      <c r="B274" t="inlineStr">
        <is>
          <t>ZAF</t>
        </is>
      </c>
      <c r="C274" t="inlineStr">
        <is>
          <t>SRSA.L</t>
        </is>
      </c>
      <c r="D274" t="n">
        <v>2023</v>
      </c>
      <c r="E274" t="n">
        <v>-7.169459962756052</v>
      </c>
      <c r="F274" t="n">
        <v>0.806</v>
      </c>
      <c r="G274" t="n">
        <v>5.566467</v>
      </c>
      <c r="H274" t="n">
        <v>-6.405027</v>
      </c>
      <c r="I274" t="n">
        <v>0.7644329627560529</v>
      </c>
      <c r="J274" t="inlineStr">
        <is>
          <t>South Africa|SRSA.L|2023</t>
        </is>
      </c>
      <c r="K274" t="inlineStr">
        <is>
          <t>South Africa|2023</t>
        </is>
      </c>
      <c r="L274" t="inlineStr">
        <is>
          <t>GBp</t>
        </is>
      </c>
    </row>
    <row r="275">
      <c r="A275" t="inlineStr">
        <is>
          <t>South Africa</t>
        </is>
      </c>
      <c r="B275" t="inlineStr">
        <is>
          <t>ZAF</t>
        </is>
      </c>
      <c r="C275" t="inlineStr">
        <is>
          <t>SRSA.L</t>
        </is>
      </c>
      <c r="D275" t="n">
        <v>2024</v>
      </c>
      <c r="E275" t="n">
        <v>10.55623223710922</v>
      </c>
      <c r="F275" t="n">
        <v>0.535</v>
      </c>
      <c r="G275" t="n">
        <v>4.472728</v>
      </c>
      <c r="H275" t="n">
        <v>5.177089</v>
      </c>
      <c r="I275" t="n">
        <v>-5.379143237109221</v>
      </c>
      <c r="J275" t="inlineStr">
        <is>
          <t>South Africa|SRSA.L|2024</t>
        </is>
      </c>
      <c r="K275" t="inlineStr">
        <is>
          <t>South Africa|2024</t>
        </is>
      </c>
      <c r="L275" t="inlineStr">
        <is>
          <t>GBp</t>
        </is>
      </c>
    </row>
    <row r="276">
      <c r="A276" t="inlineStr">
        <is>
          <t>South Africa</t>
        </is>
      </c>
      <c r="B276" t="inlineStr">
        <is>
          <t>ZAF</t>
        </is>
      </c>
      <c r="C276" t="inlineStr">
        <is>
          <t>SRSA.L</t>
        </is>
      </c>
      <c r="D276" t="n">
        <v>2025</v>
      </c>
      <c r="E276" t="n">
        <v>61.05545617173524</v>
      </c>
      <c r="F276" t="n">
        <v>1.149</v>
      </c>
      <c r="G276" t="n">
        <v>4.705452</v>
      </c>
      <c r="H276" t="n">
        <v>6.309777</v>
      </c>
      <c r="I276" t="n">
        <v>-54.74567917173525</v>
      </c>
      <c r="J276" t="inlineStr">
        <is>
          <t>South Africa|SRSA.L|2025</t>
        </is>
      </c>
      <c r="K276" t="inlineStr">
        <is>
          <t>South Africa|2025</t>
        </is>
      </c>
      <c r="L276" t="inlineStr">
        <is>
          <t>GBp</t>
        </is>
      </c>
    </row>
    <row r="277">
      <c r="A277" t="inlineStr">
        <is>
          <t>South Africa</t>
        </is>
      </c>
      <c r="B277" t="inlineStr">
        <is>
          <t>ZAF</t>
        </is>
      </c>
      <c r="C277" t="inlineStr">
        <is>
          <t>SRSA.L</t>
        </is>
      </c>
      <c r="D277" t="n">
        <v>2026</v>
      </c>
      <c r="E277" t="n">
        <v>16.21591541457988</v>
      </c>
      <c r="F277" t="n">
        <v>1.151</v>
      </c>
      <c r="G277" t="n">
        <v>4.860935</v>
      </c>
      <c r="H277" t="n">
        <v>4.048004</v>
      </c>
      <c r="I277" t="n">
        <v>-12.16791141457988</v>
      </c>
      <c r="J277" t="inlineStr">
        <is>
          <t>South Africa|SRSA.L|2026</t>
        </is>
      </c>
      <c r="K277" t="inlineStr">
        <is>
          <t>South Africa|2026</t>
        </is>
      </c>
      <c r="L277" t="inlineStr">
        <is>
          <t>GBp</t>
        </is>
      </c>
    </row>
    <row r="278">
      <c r="A278" t="inlineStr">
        <is>
          <t>South Korea</t>
        </is>
      </c>
      <c r="B278" t="inlineStr">
        <is>
          <t>KOR</t>
        </is>
      </c>
      <c r="C278" t="inlineStr">
        <is>
          <t>CSKR.L</t>
        </is>
      </c>
      <c r="D278" t="n">
        <v>2015</v>
      </c>
      <c r="E278" t="n">
        <v>-6.759926185702048</v>
      </c>
      <c r="F278" t="n">
        <v>2.92</v>
      </c>
      <c r="G278" t="inlineStr"/>
      <c r="H278" t="inlineStr"/>
      <c r="I278" t="inlineStr"/>
      <c r="J278" t="inlineStr">
        <is>
          <t>South Korea|CSKR.L|2015</t>
        </is>
      </c>
      <c r="K278" t="inlineStr">
        <is>
          <t>South Korea|2015</t>
        </is>
      </c>
      <c r="L278" t="inlineStr">
        <is>
          <t>USD</t>
        </is>
      </c>
    </row>
    <row r="279">
      <c r="A279" t="inlineStr">
        <is>
          <t>South Korea</t>
        </is>
      </c>
      <c r="B279" t="inlineStr">
        <is>
          <t>KOR</t>
        </is>
      </c>
      <c r="C279" t="inlineStr">
        <is>
          <t>CSKR.L</t>
        </is>
      </c>
      <c r="D279" t="n">
        <v>2016</v>
      </c>
      <c r="E279" t="n">
        <v>14.8122080055201</v>
      </c>
      <c r="F279" t="n">
        <v>3.172</v>
      </c>
      <c r="G279" t="n">
        <v>5.299389</v>
      </c>
      <c r="H279" t="n">
        <v>2.573005</v>
      </c>
      <c r="I279" t="n">
        <v>-12.2392030055201</v>
      </c>
      <c r="J279" t="inlineStr">
        <is>
          <t>South Korea|CSKR.L|2016</t>
        </is>
      </c>
      <c r="K279" t="inlineStr">
        <is>
          <t>South Korea|2016</t>
        </is>
      </c>
      <c r="L279" t="inlineStr">
        <is>
          <t>USD</t>
        </is>
      </c>
    </row>
    <row r="280">
      <c r="A280" t="inlineStr">
        <is>
          <t>South Korea</t>
        </is>
      </c>
      <c r="B280" t="inlineStr">
        <is>
          <t>KOR</t>
        </is>
      </c>
      <c r="C280" t="inlineStr">
        <is>
          <t>CSKR.L</t>
        </is>
      </c>
      <c r="D280" t="n">
        <v>2017</v>
      </c>
      <c r="E280" t="n">
        <v>41.917579631142</v>
      </c>
      <c r="F280" t="n">
        <v>3.433</v>
      </c>
      <c r="G280" t="n">
        <v>5.521328</v>
      </c>
      <c r="H280" t="n">
        <v>8.321489</v>
      </c>
      <c r="I280" t="n">
        <v>-33.596090631142</v>
      </c>
      <c r="J280" t="inlineStr">
        <is>
          <t>South Korea|CSKR.L|2017</t>
        </is>
      </c>
      <c r="K280" t="inlineStr">
        <is>
          <t>South Korea|2017</t>
        </is>
      </c>
      <c r="L280" t="inlineStr">
        <is>
          <t>USD</t>
        </is>
      </c>
    </row>
    <row r="281">
      <c r="A281" t="inlineStr">
        <is>
          <t>South Korea</t>
        </is>
      </c>
      <c r="B281" t="inlineStr">
        <is>
          <t>KOR</t>
        </is>
      </c>
      <c r="C281" t="inlineStr">
        <is>
          <t>CSKR.L</t>
        </is>
      </c>
      <c r="D281" t="n">
        <v>2018</v>
      </c>
      <c r="E281" t="n">
        <v>-21.61225548234764</v>
      </c>
      <c r="F281" t="n">
        <v>3.176</v>
      </c>
      <c r="G281" t="n">
        <v>3.760698</v>
      </c>
      <c r="H281" t="n">
        <v>6.669056</v>
      </c>
      <c r="I281" t="n">
        <v>28.28131148234764</v>
      </c>
      <c r="J281" t="inlineStr">
        <is>
          <t>South Korea|CSKR.L|2018</t>
        </is>
      </c>
      <c r="K281" t="inlineStr">
        <is>
          <t>South Korea|2018</t>
        </is>
      </c>
      <c r="L281" t="inlineStr">
        <is>
          <t>USD</t>
        </is>
      </c>
    </row>
    <row r="282">
      <c r="A282" t="inlineStr">
        <is>
          <t>South Korea</t>
        </is>
      </c>
      <c r="B282" t="inlineStr">
        <is>
          <t>KOR</t>
        </is>
      </c>
      <c r="C282" t="inlineStr">
        <is>
          <t>CSKR.L</t>
        </is>
      </c>
      <c r="D282" t="n">
        <v>2019</v>
      </c>
      <c r="E282" t="n">
        <v>12.91555933075797</v>
      </c>
      <c r="F282" t="n">
        <v>2.314</v>
      </c>
      <c r="G282" t="n">
        <v>1.675143</v>
      </c>
      <c r="H282" t="n">
        <v>-4.01288</v>
      </c>
      <c r="I282" t="n">
        <v>-16.92843933075796</v>
      </c>
      <c r="J282" t="inlineStr">
        <is>
          <t>South Korea|CSKR.L|2019</t>
        </is>
      </c>
      <c r="K282" t="inlineStr">
        <is>
          <t>South Korea|2019</t>
        </is>
      </c>
      <c r="L282" t="inlineStr">
        <is>
          <t>USD</t>
        </is>
      </c>
    </row>
    <row r="283">
      <c r="A283" t="inlineStr">
        <is>
          <t>South Korea</t>
        </is>
      </c>
      <c r="B283" t="inlineStr">
        <is>
          <t>KOR</t>
        </is>
      </c>
      <c r="C283" t="inlineStr">
        <is>
          <t>CSKR.L</t>
        </is>
      </c>
      <c r="D283" t="n">
        <v>2020</v>
      </c>
      <c r="E283" t="n">
        <v>44.82757939238946</v>
      </c>
      <c r="F283" t="n">
        <v>-0.7</v>
      </c>
      <c r="G283" t="n">
        <v>0.875833</v>
      </c>
      <c r="H283" t="n">
        <v>-0.376404</v>
      </c>
      <c r="I283" t="n">
        <v>-45.20398339238946</v>
      </c>
      <c r="J283" t="inlineStr">
        <is>
          <t>South Korea|CSKR.L|2020</t>
        </is>
      </c>
      <c r="K283" t="inlineStr">
        <is>
          <t>South Korea|2020</t>
        </is>
      </c>
      <c r="L283" t="inlineStr">
        <is>
          <t>USD</t>
        </is>
      </c>
    </row>
    <row r="284">
      <c r="A284" t="inlineStr">
        <is>
          <t>South Korea</t>
        </is>
      </c>
      <c r="B284" t="inlineStr">
        <is>
          <t>KOR</t>
        </is>
      </c>
      <c r="C284" t="inlineStr">
        <is>
          <t>CSKR.L</t>
        </is>
      </c>
      <c r="D284" t="n">
        <v>2021</v>
      </c>
      <c r="E284" t="n">
        <v>-10.42339775059745</v>
      </c>
      <c r="F284" t="n">
        <v>4.613</v>
      </c>
      <c r="G284" t="n">
        <v>7.940202</v>
      </c>
      <c r="H284" t="n">
        <v>11.342167</v>
      </c>
      <c r="I284" t="n">
        <v>21.76556475059745</v>
      </c>
      <c r="J284" t="inlineStr">
        <is>
          <t>South Korea|CSKR.L|2021</t>
        </is>
      </c>
      <c r="K284" t="inlineStr">
        <is>
          <t>South Korea|2021</t>
        </is>
      </c>
      <c r="L284" t="inlineStr">
        <is>
          <t>USD</t>
        </is>
      </c>
    </row>
    <row r="285">
      <c r="A285" t="inlineStr">
        <is>
          <t>South Korea</t>
        </is>
      </c>
      <c r="B285" t="inlineStr">
        <is>
          <t>KOR</t>
        </is>
      </c>
      <c r="C285" t="inlineStr">
        <is>
          <t>CSKR.L</t>
        </is>
      </c>
      <c r="D285" t="n">
        <v>2022</v>
      </c>
      <c r="E285" t="n">
        <v>-27.74138051300801</v>
      </c>
      <c r="F285" t="n">
        <v>2.728</v>
      </c>
      <c r="G285" t="n">
        <v>4.58473</v>
      </c>
      <c r="H285" t="n">
        <v>-7.35983</v>
      </c>
      <c r="I285" t="n">
        <v>20.38155051300801</v>
      </c>
      <c r="J285" t="inlineStr">
        <is>
          <t>South Korea|CSKR.L|2022</t>
        </is>
      </c>
      <c r="K285" t="inlineStr">
        <is>
          <t>South Korea|2022</t>
        </is>
      </c>
      <c r="L285" t="inlineStr">
        <is>
          <t>USD</t>
        </is>
      </c>
    </row>
    <row r="286">
      <c r="A286" t="inlineStr">
        <is>
          <t>South Korea</t>
        </is>
      </c>
      <c r="B286" t="inlineStr">
        <is>
          <t>KOR</t>
        </is>
      </c>
      <c r="C286" t="inlineStr">
        <is>
          <t>CSKR.L</t>
        </is>
      </c>
      <c r="D286" t="n">
        <v>2023</v>
      </c>
      <c r="E286" t="n">
        <v>23.02142835005658</v>
      </c>
      <c r="F286" t="n">
        <v>1.583</v>
      </c>
      <c r="G286" t="n">
        <v>3.653773</v>
      </c>
      <c r="H286" t="n">
        <v>2.525227</v>
      </c>
      <c r="I286" t="n">
        <v>-20.49620135005658</v>
      </c>
      <c r="J286" t="inlineStr">
        <is>
          <t>South Korea|CSKR.L|2023</t>
        </is>
      </c>
      <c r="K286" t="inlineStr">
        <is>
          <t>South Korea|2023</t>
        </is>
      </c>
      <c r="L286" t="inlineStr">
        <is>
          <t>USD</t>
        </is>
      </c>
    </row>
    <row r="287">
      <c r="A287" t="inlineStr">
        <is>
          <t>South Korea</t>
        </is>
      </c>
      <c r="B287" t="inlineStr">
        <is>
          <t>KOR</t>
        </is>
      </c>
      <c r="C287" t="inlineStr">
        <is>
          <t>CSKR.L</t>
        </is>
      </c>
      <c r="D287" t="n">
        <v>2024</v>
      </c>
      <c r="E287" t="n">
        <v>-21.70154358359101</v>
      </c>
      <c r="F287" t="n">
        <v>2.004</v>
      </c>
      <c r="G287" t="n">
        <v>6.151488</v>
      </c>
      <c r="H287" t="n">
        <v>1.658011</v>
      </c>
      <c r="I287" t="n">
        <v>23.35955458359101</v>
      </c>
      <c r="J287" t="inlineStr">
        <is>
          <t>South Korea|CSKR.L|2024</t>
        </is>
      </c>
      <c r="K287" t="inlineStr">
        <is>
          <t>South Korea|2024</t>
        </is>
      </c>
      <c r="L287" t="inlineStr">
        <is>
          <t>USD</t>
        </is>
      </c>
    </row>
    <row r="288">
      <c r="A288" t="inlineStr">
        <is>
          <t>South Korea</t>
        </is>
      </c>
      <c r="B288" t="inlineStr">
        <is>
          <t>KOR</t>
        </is>
      </c>
      <c r="C288" t="inlineStr">
        <is>
          <t>CSKR.L</t>
        </is>
      </c>
      <c r="D288" t="n">
        <v>2025</v>
      </c>
      <c r="E288" t="n">
        <v>99.25350103748991</v>
      </c>
      <c r="F288" t="n">
        <v>0.896</v>
      </c>
      <c r="G288" t="n">
        <v>2.117764</v>
      </c>
      <c r="H288" t="n">
        <v>-0.896668</v>
      </c>
      <c r="I288" t="n">
        <v>-100.1501690374899</v>
      </c>
      <c r="J288" t="inlineStr">
        <is>
          <t>South Korea|CSKR.L|2025</t>
        </is>
      </c>
      <c r="K288" t="inlineStr">
        <is>
          <t>South Korea|2025</t>
        </is>
      </c>
      <c r="L288" t="inlineStr">
        <is>
          <t>USD</t>
        </is>
      </c>
    </row>
    <row r="289">
      <c r="A289" t="inlineStr">
        <is>
          <t>South Korea</t>
        </is>
      </c>
      <c r="B289" t="inlineStr">
        <is>
          <t>KOR</t>
        </is>
      </c>
      <c r="C289" t="inlineStr">
        <is>
          <t>CSKR.L</t>
        </is>
      </c>
      <c r="D289" t="n">
        <v>2026</v>
      </c>
      <c r="E289" t="n">
        <v>43.21844475967893</v>
      </c>
      <c r="F289" t="n">
        <v>1.83</v>
      </c>
      <c r="G289" t="n">
        <v>2.120058</v>
      </c>
      <c r="H289" t="n">
        <v>4.199192</v>
      </c>
      <c r="I289" t="n">
        <v>-39.01925275967893</v>
      </c>
      <c r="J289" t="inlineStr">
        <is>
          <t>South Korea|CSKR.L|2026</t>
        </is>
      </c>
      <c r="K289" t="inlineStr">
        <is>
          <t>South Korea|2026</t>
        </is>
      </c>
      <c r="L289" t="inlineStr">
        <is>
          <t>USD</t>
        </is>
      </c>
    </row>
    <row r="290">
      <c r="A290" t="inlineStr">
        <is>
          <t>South Korea</t>
        </is>
      </c>
      <c r="B290" t="inlineStr">
        <is>
          <t>KOR</t>
        </is>
      </c>
      <c r="C290" t="inlineStr">
        <is>
          <t>FLRK.L</t>
        </is>
      </c>
      <c r="D290" t="n">
        <v>2015</v>
      </c>
      <c r="E290" t="inlineStr"/>
      <c r="F290" t="n">
        <v>2.92</v>
      </c>
      <c r="G290" t="inlineStr"/>
      <c r="H290" t="inlineStr"/>
      <c r="I290" t="inlineStr"/>
      <c r="J290" t="inlineStr">
        <is>
          <t>South Korea|FLRK.L|2015</t>
        </is>
      </c>
      <c r="K290" t="inlineStr">
        <is>
          <t>South Korea|2015</t>
        </is>
      </c>
      <c r="L290" t="inlineStr">
        <is>
          <t>GBP</t>
        </is>
      </c>
    </row>
    <row r="291">
      <c r="A291" t="inlineStr">
        <is>
          <t>South Korea</t>
        </is>
      </c>
      <c r="B291" t="inlineStr">
        <is>
          <t>KOR</t>
        </is>
      </c>
      <c r="C291" t="inlineStr">
        <is>
          <t>FLRK.L</t>
        </is>
      </c>
      <c r="D291" t="n">
        <v>2016</v>
      </c>
      <c r="E291" t="inlineStr"/>
      <c r="F291" t="n">
        <v>3.172</v>
      </c>
      <c r="G291" t="n">
        <v>5.299389</v>
      </c>
      <c r="H291" t="n">
        <v>2.573005</v>
      </c>
      <c r="I291" t="inlineStr"/>
      <c r="J291" t="inlineStr">
        <is>
          <t>South Korea|FLRK.L|2016</t>
        </is>
      </c>
      <c r="K291" t="inlineStr">
        <is>
          <t>South Korea|2016</t>
        </is>
      </c>
      <c r="L291" t="inlineStr">
        <is>
          <t>GBP</t>
        </is>
      </c>
    </row>
    <row r="292">
      <c r="A292" t="inlineStr">
        <is>
          <t>South Korea</t>
        </is>
      </c>
      <c r="B292" t="inlineStr">
        <is>
          <t>KOR</t>
        </is>
      </c>
      <c r="C292" t="inlineStr">
        <is>
          <t>FLRK.L</t>
        </is>
      </c>
      <c r="D292" t="n">
        <v>2017</v>
      </c>
      <c r="E292" t="inlineStr"/>
      <c r="F292" t="n">
        <v>3.433</v>
      </c>
      <c r="G292" t="n">
        <v>5.521328</v>
      </c>
      <c r="H292" t="n">
        <v>8.321489</v>
      </c>
      <c r="I292" t="inlineStr"/>
      <c r="J292" t="inlineStr">
        <is>
          <t>South Korea|FLRK.L|2017</t>
        </is>
      </c>
      <c r="K292" t="inlineStr">
        <is>
          <t>South Korea|2017</t>
        </is>
      </c>
      <c r="L292" t="inlineStr">
        <is>
          <t>GBP</t>
        </is>
      </c>
    </row>
    <row r="293">
      <c r="A293" t="inlineStr">
        <is>
          <t>South Korea</t>
        </is>
      </c>
      <c r="B293" t="inlineStr">
        <is>
          <t>KOR</t>
        </is>
      </c>
      <c r="C293" t="inlineStr">
        <is>
          <t>FLRK.L</t>
        </is>
      </c>
      <c r="D293" t="n">
        <v>2018</v>
      </c>
      <c r="E293" t="inlineStr"/>
      <c r="F293" t="n">
        <v>3.176</v>
      </c>
      <c r="G293" t="n">
        <v>3.760698</v>
      </c>
      <c r="H293" t="n">
        <v>6.669056</v>
      </c>
      <c r="I293" t="inlineStr"/>
      <c r="J293" t="inlineStr">
        <is>
          <t>South Korea|FLRK.L|2018</t>
        </is>
      </c>
      <c r="K293" t="inlineStr">
        <is>
          <t>South Korea|2018</t>
        </is>
      </c>
      <c r="L293" t="inlineStr">
        <is>
          <t>GBP</t>
        </is>
      </c>
    </row>
    <row r="294">
      <c r="A294" t="inlineStr">
        <is>
          <t>South Korea</t>
        </is>
      </c>
      <c r="B294" t="inlineStr">
        <is>
          <t>KOR</t>
        </is>
      </c>
      <c r="C294" t="inlineStr">
        <is>
          <t>FLRK.L</t>
        </is>
      </c>
      <c r="D294" t="n">
        <v>2019</v>
      </c>
      <c r="E294" t="n">
        <v>-14.15297488560572</v>
      </c>
      <c r="F294" t="n">
        <v>2.314</v>
      </c>
      <c r="G294" t="n">
        <v>1.675143</v>
      </c>
      <c r="H294" t="n">
        <v>-4.01288</v>
      </c>
      <c r="I294" t="n">
        <v>10.14009488560572</v>
      </c>
      <c r="J294" t="inlineStr">
        <is>
          <t>South Korea|FLRK.L|2019</t>
        </is>
      </c>
      <c r="K294" t="inlineStr">
        <is>
          <t>South Korea|2019</t>
        </is>
      </c>
      <c r="L294" t="inlineStr">
        <is>
          <t>GBP</t>
        </is>
      </c>
    </row>
    <row r="295">
      <c r="A295" t="inlineStr">
        <is>
          <t>South Korea</t>
        </is>
      </c>
      <c r="B295" t="inlineStr">
        <is>
          <t>KOR</t>
        </is>
      </c>
      <c r="C295" t="inlineStr">
        <is>
          <t>FLRK.L</t>
        </is>
      </c>
      <c r="D295" t="n">
        <v>2020</v>
      </c>
      <c r="E295" t="n">
        <v>42.59998683957645</v>
      </c>
      <c r="F295" t="n">
        <v>-0.7</v>
      </c>
      <c r="G295" t="n">
        <v>0.875833</v>
      </c>
      <c r="H295" t="n">
        <v>-0.376404</v>
      </c>
      <c r="I295" t="n">
        <v>-42.97639083957645</v>
      </c>
      <c r="J295" t="inlineStr">
        <is>
          <t>South Korea|FLRK.L|2020</t>
        </is>
      </c>
      <c r="K295" t="inlineStr">
        <is>
          <t>South Korea|2020</t>
        </is>
      </c>
      <c r="L295" t="inlineStr">
        <is>
          <t>GBP</t>
        </is>
      </c>
    </row>
    <row r="296">
      <c r="A296" t="inlineStr">
        <is>
          <t>South Korea</t>
        </is>
      </c>
      <c r="B296" t="inlineStr">
        <is>
          <t>KOR</t>
        </is>
      </c>
      <c r="C296" t="inlineStr">
        <is>
          <t>FLRK.L</t>
        </is>
      </c>
      <c r="D296" t="n">
        <v>2021</v>
      </c>
      <c r="E296" t="n">
        <v>-8.655857183501714</v>
      </c>
      <c r="F296" t="n">
        <v>4.613</v>
      </c>
      <c r="G296" t="n">
        <v>7.940202</v>
      </c>
      <c r="H296" t="n">
        <v>11.342167</v>
      </c>
      <c r="I296" t="n">
        <v>19.99802418350171</v>
      </c>
      <c r="J296" t="inlineStr">
        <is>
          <t>South Korea|FLRK.L|2021</t>
        </is>
      </c>
      <c r="K296" t="inlineStr">
        <is>
          <t>South Korea|2021</t>
        </is>
      </c>
      <c r="L296" t="inlineStr">
        <is>
          <t>GBP</t>
        </is>
      </c>
    </row>
    <row r="297">
      <c r="A297" t="inlineStr">
        <is>
          <t>South Korea</t>
        </is>
      </c>
      <c r="B297" t="inlineStr">
        <is>
          <t>KOR</t>
        </is>
      </c>
      <c r="C297" t="inlineStr">
        <is>
          <t>FLRK.L</t>
        </is>
      </c>
      <c r="D297" t="n">
        <v>2022</v>
      </c>
      <c r="E297" t="n">
        <v>-18.20844071273661</v>
      </c>
      <c r="F297" t="n">
        <v>2.728</v>
      </c>
      <c r="G297" t="n">
        <v>4.58473</v>
      </c>
      <c r="H297" t="n">
        <v>-7.35983</v>
      </c>
      <c r="I297" t="n">
        <v>10.84861071273661</v>
      </c>
      <c r="J297" t="inlineStr">
        <is>
          <t>South Korea|FLRK.L|2022</t>
        </is>
      </c>
      <c r="K297" t="inlineStr">
        <is>
          <t>South Korea|2022</t>
        </is>
      </c>
      <c r="L297" t="inlineStr">
        <is>
          <t>GBP</t>
        </is>
      </c>
    </row>
    <row r="298">
      <c r="A298" t="inlineStr">
        <is>
          <t>South Korea</t>
        </is>
      </c>
      <c r="B298" t="inlineStr">
        <is>
          <t>KOR</t>
        </is>
      </c>
      <c r="C298" t="inlineStr">
        <is>
          <t>FLRK.L</t>
        </is>
      </c>
      <c r="D298" t="n">
        <v>2023</v>
      </c>
      <c r="E298" t="n">
        <v>16.84630856699279</v>
      </c>
      <c r="F298" t="n">
        <v>1.583</v>
      </c>
      <c r="G298" t="n">
        <v>3.653773</v>
      </c>
      <c r="H298" t="n">
        <v>2.525227</v>
      </c>
      <c r="I298" t="n">
        <v>-14.32108156699278</v>
      </c>
      <c r="J298" t="inlineStr">
        <is>
          <t>South Korea|FLRK.L|2023</t>
        </is>
      </c>
      <c r="K298" t="inlineStr">
        <is>
          <t>South Korea|2023</t>
        </is>
      </c>
      <c r="L298" t="inlineStr">
        <is>
          <t>GBP</t>
        </is>
      </c>
    </row>
    <row r="299">
      <c r="A299" t="inlineStr">
        <is>
          <t>South Korea</t>
        </is>
      </c>
      <c r="B299" t="inlineStr">
        <is>
          <t>KOR</t>
        </is>
      </c>
      <c r="C299" t="inlineStr">
        <is>
          <t>FLRK.L</t>
        </is>
      </c>
      <c r="D299" t="n">
        <v>2024</v>
      </c>
      <c r="E299" t="n">
        <v>-20.59012893501248</v>
      </c>
      <c r="F299" t="n">
        <v>2.004</v>
      </c>
      <c r="G299" t="n">
        <v>6.151488</v>
      </c>
      <c r="H299" t="n">
        <v>1.658011</v>
      </c>
      <c r="I299" t="n">
        <v>22.24813993501247</v>
      </c>
      <c r="J299" t="inlineStr">
        <is>
          <t>South Korea|FLRK.L|2024</t>
        </is>
      </c>
      <c r="K299" t="inlineStr">
        <is>
          <t>South Korea|2024</t>
        </is>
      </c>
      <c r="L299" t="inlineStr">
        <is>
          <t>GBP</t>
        </is>
      </c>
    </row>
    <row r="300">
      <c r="A300" t="inlineStr">
        <is>
          <t>South Korea</t>
        </is>
      </c>
      <c r="B300" t="inlineStr">
        <is>
          <t>KOR</t>
        </is>
      </c>
      <c r="C300" t="inlineStr">
        <is>
          <t>FLRK.L</t>
        </is>
      </c>
      <c r="D300" t="n">
        <v>2025</v>
      </c>
      <c r="E300" t="n">
        <v>78.89573439751459</v>
      </c>
      <c r="F300" t="n">
        <v>0.896</v>
      </c>
      <c r="G300" t="n">
        <v>2.117764</v>
      </c>
      <c r="H300" t="n">
        <v>-0.896668</v>
      </c>
      <c r="I300" t="n">
        <v>-79.79240239751459</v>
      </c>
      <c r="J300" t="inlineStr">
        <is>
          <t>South Korea|FLRK.L|2025</t>
        </is>
      </c>
      <c r="K300" t="inlineStr">
        <is>
          <t>South Korea|2025</t>
        </is>
      </c>
      <c r="L300" t="inlineStr">
        <is>
          <t>GBP</t>
        </is>
      </c>
    </row>
    <row r="301">
      <c r="A301" t="inlineStr">
        <is>
          <t>South Korea</t>
        </is>
      </c>
      <c r="B301" t="inlineStr">
        <is>
          <t>KOR</t>
        </is>
      </c>
      <c r="C301" t="inlineStr">
        <is>
          <t>FLRK.L</t>
        </is>
      </c>
      <c r="D301" t="n">
        <v>2026</v>
      </c>
      <c r="E301" t="n">
        <v>45.14850785855935</v>
      </c>
      <c r="F301" t="n">
        <v>1.83</v>
      </c>
      <c r="G301" t="n">
        <v>2.120058</v>
      </c>
      <c r="H301" t="n">
        <v>4.199192</v>
      </c>
      <c r="I301" t="n">
        <v>-40.94931585855934</v>
      </c>
      <c r="J301" t="inlineStr">
        <is>
          <t>South Korea|FLRK.L|2026</t>
        </is>
      </c>
      <c r="K301" t="inlineStr">
        <is>
          <t>South Korea|2026</t>
        </is>
      </c>
      <c r="L301" t="inlineStr">
        <is>
          <t>GBP</t>
        </is>
      </c>
    </row>
    <row r="302">
      <c r="A302" t="inlineStr">
        <is>
          <t>Spain</t>
        </is>
      </c>
      <c r="B302" t="inlineStr">
        <is>
          <t>ESP</t>
        </is>
      </c>
      <c r="C302" t="inlineStr">
        <is>
          <t>CS1.L</t>
        </is>
      </c>
      <c r="D302" t="n">
        <v>2015</v>
      </c>
      <c r="E302" t="inlineStr"/>
      <c r="F302" t="n">
        <v>4.061</v>
      </c>
      <c r="G302" t="inlineStr"/>
      <c r="H302" t="inlineStr"/>
      <c r="I302" t="inlineStr"/>
      <c r="J302" t="inlineStr">
        <is>
          <t>Spain|CS1.L|2015</t>
        </is>
      </c>
      <c r="K302" t="inlineStr">
        <is>
          <t>Spain|2015</t>
        </is>
      </c>
      <c r="L302" t="inlineStr">
        <is>
          <t>GBp</t>
        </is>
      </c>
    </row>
    <row r="303">
      <c r="A303" t="inlineStr">
        <is>
          <t>Spain</t>
        </is>
      </c>
      <c r="B303" t="inlineStr">
        <is>
          <t>ESP</t>
        </is>
      </c>
      <c r="C303" t="inlineStr">
        <is>
          <t>CS1.L</t>
        </is>
      </c>
      <c r="D303" t="n">
        <v>2016</v>
      </c>
      <c r="E303" t="inlineStr"/>
      <c r="F303" t="n">
        <v>2.915</v>
      </c>
      <c r="G303" t="n">
        <v>3.298188</v>
      </c>
      <c r="H303" t="n">
        <v>3.016363</v>
      </c>
      <c r="I303" t="inlineStr"/>
      <c r="J303" t="inlineStr">
        <is>
          <t>Spain|CS1.L|2016</t>
        </is>
      </c>
      <c r="K303" t="inlineStr">
        <is>
          <t>Spain|2016</t>
        </is>
      </c>
      <c r="L303" t="inlineStr">
        <is>
          <t>GBp</t>
        </is>
      </c>
    </row>
    <row r="304">
      <c r="A304" t="inlineStr">
        <is>
          <t>Spain</t>
        </is>
      </c>
      <c r="B304" t="inlineStr">
        <is>
          <t>ESP</t>
        </is>
      </c>
      <c r="C304" t="inlineStr">
        <is>
          <t>CS1.L</t>
        </is>
      </c>
      <c r="D304" t="n">
        <v>2017</v>
      </c>
      <c r="E304" t="inlineStr"/>
      <c r="F304" t="n">
        <v>2.896</v>
      </c>
      <c r="G304" t="n">
        <v>4.190417</v>
      </c>
      <c r="H304" t="n">
        <v>6.326282</v>
      </c>
      <c r="I304" t="inlineStr"/>
      <c r="J304" t="inlineStr">
        <is>
          <t>Spain|CS1.L|2017</t>
        </is>
      </c>
      <c r="K304" t="inlineStr">
        <is>
          <t>Spain|2017</t>
        </is>
      </c>
      <c r="L304" t="inlineStr">
        <is>
          <t>GBp</t>
        </is>
      </c>
    </row>
    <row r="305">
      <c r="A305" t="inlineStr">
        <is>
          <t>Spain</t>
        </is>
      </c>
      <c r="B305" t="inlineStr">
        <is>
          <t>ESP</t>
        </is>
      </c>
      <c r="C305" t="inlineStr">
        <is>
          <t>CS1.L</t>
        </is>
      </c>
      <c r="D305" t="n">
        <v>2018</v>
      </c>
      <c r="E305" t="inlineStr"/>
      <c r="F305" t="n">
        <v>2.395</v>
      </c>
      <c r="G305" t="n">
        <v>3.611208</v>
      </c>
      <c r="H305" t="n">
        <v>8.401196000000001</v>
      </c>
      <c r="I305" t="inlineStr"/>
      <c r="J305" t="inlineStr">
        <is>
          <t>Spain|CS1.L|2018</t>
        </is>
      </c>
      <c r="K305" t="inlineStr">
        <is>
          <t>Spain|2018</t>
        </is>
      </c>
      <c r="L305" t="inlineStr">
        <is>
          <t>GBp</t>
        </is>
      </c>
    </row>
    <row r="306">
      <c r="A306" t="inlineStr">
        <is>
          <t>Spain</t>
        </is>
      </c>
      <c r="B306" t="inlineStr">
        <is>
          <t>ESP</t>
        </is>
      </c>
      <c r="C306" t="inlineStr">
        <is>
          <t>CS1.L</t>
        </is>
      </c>
      <c r="D306" t="n">
        <v>2019</v>
      </c>
      <c r="E306" t="inlineStr"/>
      <c r="F306" t="n">
        <v>1.961</v>
      </c>
      <c r="G306" t="n">
        <v>3.417869</v>
      </c>
      <c r="H306" t="n">
        <v>-1.999662</v>
      </c>
      <c r="I306" t="inlineStr"/>
      <c r="J306" t="inlineStr">
        <is>
          <t>Spain|CS1.L|2019</t>
        </is>
      </c>
      <c r="K306" t="inlineStr">
        <is>
          <t>Spain|2019</t>
        </is>
      </c>
      <c r="L306" t="inlineStr">
        <is>
          <t>GBp</t>
        </is>
      </c>
    </row>
    <row r="307">
      <c r="A307" t="inlineStr">
        <is>
          <t>Spain</t>
        </is>
      </c>
      <c r="B307" t="inlineStr">
        <is>
          <t>ESP</t>
        </is>
      </c>
      <c r="C307" t="inlineStr">
        <is>
          <t>CS1.L</t>
        </is>
      </c>
      <c r="D307" t="n">
        <v>2020</v>
      </c>
      <c r="E307" t="inlineStr"/>
      <c r="F307" t="n">
        <v>-10.94</v>
      </c>
      <c r="G307" t="n">
        <v>-9.930206999999999</v>
      </c>
      <c r="H307" t="n">
        <v>-8.185795000000001</v>
      </c>
      <c r="I307" t="inlineStr"/>
      <c r="J307" t="inlineStr">
        <is>
          <t>Spain|CS1.L|2020</t>
        </is>
      </c>
      <c r="K307" t="inlineStr">
        <is>
          <t>Spain|2020</t>
        </is>
      </c>
      <c r="L307" t="inlineStr">
        <is>
          <t>GBp</t>
        </is>
      </c>
    </row>
    <row r="308">
      <c r="A308" t="inlineStr">
        <is>
          <t>Spain</t>
        </is>
      </c>
      <c r="B308" t="inlineStr">
        <is>
          <t>ESP</t>
        </is>
      </c>
      <c r="C308" t="inlineStr">
        <is>
          <t>CS1.L</t>
        </is>
      </c>
      <c r="D308" t="n">
        <v>2021</v>
      </c>
      <c r="E308" t="inlineStr"/>
      <c r="F308" t="n">
        <v>6.683</v>
      </c>
      <c r="G308" t="n">
        <v>9.410085</v>
      </c>
      <c r="H308" t="n">
        <v>13.459931</v>
      </c>
      <c r="I308" t="inlineStr"/>
      <c r="J308" t="inlineStr">
        <is>
          <t>Spain|CS1.L|2021</t>
        </is>
      </c>
      <c r="K308" t="inlineStr">
        <is>
          <t>Spain|2021</t>
        </is>
      </c>
      <c r="L308" t="inlineStr">
        <is>
          <t>GBp</t>
        </is>
      </c>
    </row>
    <row r="309">
      <c r="A309" t="inlineStr">
        <is>
          <t>Spain</t>
        </is>
      </c>
      <c r="B309" t="inlineStr">
        <is>
          <t>ESP</t>
        </is>
      </c>
      <c r="C309" t="inlineStr">
        <is>
          <t>CS1.L</t>
        </is>
      </c>
      <c r="D309" t="n">
        <v>2022</v>
      </c>
      <c r="E309" t="inlineStr"/>
      <c r="F309" t="n">
        <v>6.37</v>
      </c>
      <c r="G309" t="n">
        <v>11.363169</v>
      </c>
      <c r="H309" t="n">
        <v>-0.836128</v>
      </c>
      <c r="I309" t="inlineStr"/>
      <c r="J309" t="inlineStr">
        <is>
          <t>Spain|CS1.L|2022</t>
        </is>
      </c>
      <c r="K309" t="inlineStr">
        <is>
          <t>Spain|2022</t>
        </is>
      </c>
      <c r="L309" t="inlineStr">
        <is>
          <t>GBp</t>
        </is>
      </c>
    </row>
    <row r="310">
      <c r="A310" t="inlineStr">
        <is>
          <t>Spain</t>
        </is>
      </c>
      <c r="B310" t="inlineStr">
        <is>
          <t>ESP</t>
        </is>
      </c>
      <c r="C310" t="inlineStr">
        <is>
          <t>CS1.L</t>
        </is>
      </c>
      <c r="D310" t="n">
        <v>2023</v>
      </c>
      <c r="E310" t="inlineStr"/>
      <c r="F310" t="n">
        <v>2.461</v>
      </c>
      <c r="G310" t="n">
        <v>8.859748</v>
      </c>
      <c r="H310" t="n">
        <v>11.721391</v>
      </c>
      <c r="I310" t="inlineStr"/>
      <c r="J310" t="inlineStr">
        <is>
          <t>Spain|CS1.L|2023</t>
        </is>
      </c>
      <c r="K310" t="inlineStr">
        <is>
          <t>Spain|2023</t>
        </is>
      </c>
      <c r="L310" t="inlineStr">
        <is>
          <t>GBp</t>
        </is>
      </c>
    </row>
    <row r="311">
      <c r="A311" t="inlineStr">
        <is>
          <t>Spain</t>
        </is>
      </c>
      <c r="B311" t="inlineStr">
        <is>
          <t>ESP</t>
        </is>
      </c>
      <c r="C311" t="inlineStr">
        <is>
          <t>CS1.L</t>
        </is>
      </c>
      <c r="D311" t="n">
        <v>2024</v>
      </c>
      <c r="E311" t="n">
        <v>5.962578899909832</v>
      </c>
      <c r="F311" t="n">
        <v>3.455</v>
      </c>
      <c r="G311" t="n">
        <v>6.447557</v>
      </c>
      <c r="H311" t="n">
        <v>6.494217</v>
      </c>
      <c r="I311" t="n">
        <v>0.5316381000901682</v>
      </c>
      <c r="J311" t="inlineStr">
        <is>
          <t>Spain|CS1.L|2024</t>
        </is>
      </c>
      <c r="K311" t="inlineStr">
        <is>
          <t>Spain|2024</t>
        </is>
      </c>
      <c r="L311" t="inlineStr">
        <is>
          <t>GBp</t>
        </is>
      </c>
    </row>
    <row r="312">
      <c r="A312" t="inlineStr">
        <is>
          <t>Spain</t>
        </is>
      </c>
      <c r="B312" t="inlineStr">
        <is>
          <t>ESP</t>
        </is>
      </c>
      <c r="C312" t="inlineStr">
        <is>
          <t>CS1.L</t>
        </is>
      </c>
      <c r="D312" t="n">
        <v>2025</v>
      </c>
      <c r="E312" t="n">
        <v>61.99406653952111</v>
      </c>
      <c r="F312" t="n">
        <v>2.908</v>
      </c>
      <c r="G312" t="n">
        <v>5.025308</v>
      </c>
      <c r="H312" t="n">
        <v>9.635035</v>
      </c>
      <c r="I312" t="n">
        <v>-52.35903153952111</v>
      </c>
      <c r="J312" t="inlineStr">
        <is>
          <t>Spain|CS1.L|2025</t>
        </is>
      </c>
      <c r="K312" t="inlineStr">
        <is>
          <t>Spain|2025</t>
        </is>
      </c>
      <c r="L312" t="inlineStr">
        <is>
          <t>GBp</t>
        </is>
      </c>
    </row>
    <row r="313">
      <c r="A313" t="inlineStr">
        <is>
          <t>Spain</t>
        </is>
      </c>
      <c r="B313" t="inlineStr">
        <is>
          <t>ESP</t>
        </is>
      </c>
      <c r="C313" t="inlineStr">
        <is>
          <t>CS1.L</t>
        </is>
      </c>
      <c r="D313" t="n">
        <v>2026</v>
      </c>
      <c r="E313" t="n">
        <v>2.842679127725845</v>
      </c>
      <c r="F313" t="n">
        <v>1.958</v>
      </c>
      <c r="G313" t="n">
        <v>4.480217</v>
      </c>
      <c r="H313" t="n">
        <v>7.955023</v>
      </c>
      <c r="I313" t="n">
        <v>5.112343872274155</v>
      </c>
      <c r="J313" t="inlineStr">
        <is>
          <t>Spain|CS1.L|2026</t>
        </is>
      </c>
      <c r="K313" t="inlineStr">
        <is>
          <t>Spain|2026</t>
        </is>
      </c>
      <c r="L313" t="inlineStr">
        <is>
          <t>GBp</t>
        </is>
      </c>
    </row>
    <row r="314">
      <c r="A314" t="inlineStr">
        <is>
          <t>Sweden</t>
        </is>
      </c>
      <c r="B314" t="inlineStr">
        <is>
          <t>SWE</t>
        </is>
      </c>
      <c r="C314" t="inlineStr">
        <is>
          <t>OMXS.L</t>
        </is>
      </c>
      <c r="D314" t="n">
        <v>2015</v>
      </c>
      <c r="E314" t="inlineStr"/>
      <c r="F314" t="n">
        <v>4.388</v>
      </c>
      <c r="G314" t="inlineStr"/>
      <c r="H314" t="inlineStr"/>
      <c r="I314" t="inlineStr"/>
      <c r="J314" t="inlineStr">
        <is>
          <t>Sweden|OMXS.L|2015</t>
        </is>
      </c>
      <c r="K314" t="inlineStr">
        <is>
          <t>Sweden|2015</t>
        </is>
      </c>
      <c r="L314" t="inlineStr">
        <is>
          <t>GBp</t>
        </is>
      </c>
    </row>
    <row r="315">
      <c r="A315" t="inlineStr">
        <is>
          <t>Sweden</t>
        </is>
      </c>
      <c r="B315" t="inlineStr">
        <is>
          <t>SWE</t>
        </is>
      </c>
      <c r="C315" t="inlineStr">
        <is>
          <t>OMXS.L</t>
        </is>
      </c>
      <c r="D315" t="n">
        <v>2016</v>
      </c>
      <c r="E315" t="n">
        <v>-91.13897220817154</v>
      </c>
      <c r="F315" t="n">
        <v>2.131</v>
      </c>
      <c r="G315" t="n">
        <v>3.825749</v>
      </c>
      <c r="H315" t="n">
        <v>2.283882</v>
      </c>
      <c r="I315" t="n">
        <v>93.42285420817154</v>
      </c>
      <c r="J315" t="inlineStr">
        <is>
          <t>Sweden|OMXS.L|2016</t>
        </is>
      </c>
      <c r="K315" t="inlineStr">
        <is>
          <t>Sweden|2016</t>
        </is>
      </c>
      <c r="L315" t="inlineStr">
        <is>
          <t>GBp</t>
        </is>
      </c>
    </row>
    <row r="316">
      <c r="A316" t="inlineStr">
        <is>
          <t>Sweden</t>
        </is>
      </c>
      <c r="B316" t="inlineStr">
        <is>
          <t>SWE</t>
        </is>
      </c>
      <c r="C316" t="inlineStr">
        <is>
          <t>OMXS.L</t>
        </is>
      </c>
      <c r="D316" t="n">
        <v>2017</v>
      </c>
      <c r="E316" t="n">
        <v>10.60691223585124</v>
      </c>
      <c r="F316" t="n">
        <v>1.883</v>
      </c>
      <c r="G316" t="n">
        <v>4.150268</v>
      </c>
      <c r="H316" t="n">
        <v>4.310234</v>
      </c>
      <c r="I316" t="n">
        <v>-6.29667823585124</v>
      </c>
      <c r="J316" t="inlineStr">
        <is>
          <t>Sweden|OMXS.L|2017</t>
        </is>
      </c>
      <c r="K316" t="inlineStr">
        <is>
          <t>Sweden|2017</t>
        </is>
      </c>
      <c r="L316" t="inlineStr">
        <is>
          <t>GBp</t>
        </is>
      </c>
    </row>
    <row r="317">
      <c r="A317" t="inlineStr">
        <is>
          <t>Sweden</t>
        </is>
      </c>
      <c r="B317" t="inlineStr">
        <is>
          <t>SWE</t>
        </is>
      </c>
      <c r="C317" t="inlineStr">
        <is>
          <t>OMXS.L</t>
        </is>
      </c>
      <c r="D317" t="n">
        <v>2018</v>
      </c>
      <c r="E317" t="n">
        <v>-6.827626145167754</v>
      </c>
      <c r="F317" t="n">
        <v>1.77</v>
      </c>
      <c r="G317" t="n">
        <v>4.430993</v>
      </c>
      <c r="H317" t="n">
        <v>2.705112</v>
      </c>
      <c r="I317" t="n">
        <v>9.532738145167754</v>
      </c>
      <c r="J317" t="inlineStr">
        <is>
          <t>Sweden|OMXS.L|2018</t>
        </is>
      </c>
      <c r="K317" t="inlineStr">
        <is>
          <t>Sweden|2018</t>
        </is>
      </c>
      <c r="L317" t="inlineStr">
        <is>
          <t>GBp</t>
        </is>
      </c>
    </row>
    <row r="318">
      <c r="A318" t="inlineStr">
        <is>
          <t>Sweden</t>
        </is>
      </c>
      <c r="B318" t="inlineStr">
        <is>
          <t>SWE</t>
        </is>
      </c>
      <c r="C318" t="inlineStr">
        <is>
          <t>OMXS.L</t>
        </is>
      </c>
      <c r="D318" t="n">
        <v>2019</v>
      </c>
      <c r="E318" t="n">
        <v>20.90797579191928</v>
      </c>
      <c r="F318" t="n">
        <v>2.608</v>
      </c>
      <c r="G318" t="n">
        <v>5.09739</v>
      </c>
      <c r="H318" t="n">
        <v>-3.412178</v>
      </c>
      <c r="I318" t="n">
        <v>-24.32015379191928</v>
      </c>
      <c r="J318" t="inlineStr">
        <is>
          <t>Sweden|OMXS.L|2019</t>
        </is>
      </c>
      <c r="K318" t="inlineStr">
        <is>
          <t>Sweden|2019</t>
        </is>
      </c>
      <c r="L318" t="inlineStr">
        <is>
          <t>GBp</t>
        </is>
      </c>
    </row>
    <row r="319">
      <c r="A319" t="inlineStr">
        <is>
          <t>Sweden</t>
        </is>
      </c>
      <c r="B319" t="inlineStr">
        <is>
          <t>SWE</t>
        </is>
      </c>
      <c r="C319" t="inlineStr">
        <is>
          <t>OMXS.L</t>
        </is>
      </c>
      <c r="D319" t="n">
        <v>2020</v>
      </c>
      <c r="E319" t="n">
        <v>21.60438743889883</v>
      </c>
      <c r="F319" t="n">
        <v>-1.934</v>
      </c>
      <c r="G319" t="n">
        <v>-0.169814</v>
      </c>
      <c r="H319" t="n">
        <v>2.51877</v>
      </c>
      <c r="I319" t="n">
        <v>-19.08561743889883</v>
      </c>
      <c r="J319" t="inlineStr">
        <is>
          <t>Sweden|OMXS.L|2020</t>
        </is>
      </c>
      <c r="K319" t="inlineStr">
        <is>
          <t>Sweden|2020</t>
        </is>
      </c>
      <c r="L319" t="inlineStr">
        <is>
          <t>GBp</t>
        </is>
      </c>
    </row>
    <row r="320">
      <c r="A320" t="inlineStr">
        <is>
          <t>Sweden</t>
        </is>
      </c>
      <c r="B320" t="inlineStr">
        <is>
          <t>SWE</t>
        </is>
      </c>
      <c r="C320" t="inlineStr">
        <is>
          <t>OMXS.L</t>
        </is>
      </c>
      <c r="D320" t="n">
        <v>2021</v>
      </c>
      <c r="E320" t="n">
        <v>23.31676457297787</v>
      </c>
      <c r="F320" t="n">
        <v>5.226</v>
      </c>
      <c r="G320" t="n">
        <v>8.077332999999999</v>
      </c>
      <c r="H320" t="n">
        <v>16.063285</v>
      </c>
      <c r="I320" t="n">
        <v>-7.253479572977866</v>
      </c>
      <c r="J320" t="inlineStr">
        <is>
          <t>Sweden|OMXS.L|2021</t>
        </is>
      </c>
      <c r="K320" t="inlineStr">
        <is>
          <t>Sweden|2021</t>
        </is>
      </c>
      <c r="L320" t="inlineStr">
        <is>
          <t>GBp</t>
        </is>
      </c>
    </row>
    <row r="321">
      <c r="A321" t="inlineStr">
        <is>
          <t>Sweden</t>
        </is>
      </c>
      <c r="B321" t="inlineStr">
        <is>
          <t>SWE</t>
        </is>
      </c>
      <c r="C321" t="inlineStr">
        <is>
          <t>OMXS.L</t>
        </is>
      </c>
      <c r="D321" t="n">
        <v>2022</v>
      </c>
      <c r="E321" t="n">
        <v>-21.32016822088133</v>
      </c>
      <c r="F321" t="n">
        <v>1.255</v>
      </c>
      <c r="G321" t="n">
        <v>7.358299</v>
      </c>
      <c r="H321" t="n">
        <v>-8.963531</v>
      </c>
      <c r="I321" t="n">
        <v>12.35663722088133</v>
      </c>
      <c r="J321" t="inlineStr">
        <is>
          <t>Sweden|OMXS.L|2022</t>
        </is>
      </c>
      <c r="K321" t="inlineStr">
        <is>
          <t>Sweden|2022</t>
        </is>
      </c>
      <c r="L321" t="inlineStr">
        <is>
          <t>GBp</t>
        </is>
      </c>
    </row>
    <row r="322">
      <c r="A322" t="inlineStr">
        <is>
          <t>Sweden</t>
        </is>
      </c>
      <c r="B322" t="inlineStr">
        <is>
          <t>SWE</t>
        </is>
      </c>
      <c r="C322" t="inlineStr">
        <is>
          <t>OMXS.L</t>
        </is>
      </c>
      <c r="D322" t="n">
        <v>2023</v>
      </c>
      <c r="E322" t="n">
        <v>14.62001853568118</v>
      </c>
      <c r="F322" t="n">
        <v>-0.204</v>
      </c>
      <c r="G322" t="n">
        <v>5.6181</v>
      </c>
      <c r="H322" t="n">
        <v>0.681655</v>
      </c>
      <c r="I322" t="n">
        <v>-13.93836353568118</v>
      </c>
      <c r="J322" t="inlineStr">
        <is>
          <t>Sweden|OMXS.L|2023</t>
        </is>
      </c>
      <c r="K322" t="inlineStr">
        <is>
          <t>Sweden|2023</t>
        </is>
      </c>
      <c r="L322" t="inlineStr">
        <is>
          <t>GBp</t>
        </is>
      </c>
    </row>
    <row r="323">
      <c r="A323" t="inlineStr">
        <is>
          <t>Sweden</t>
        </is>
      </c>
      <c r="B323" t="inlineStr">
        <is>
          <t>SWE</t>
        </is>
      </c>
      <c r="C323" t="inlineStr">
        <is>
          <t>OMXS.L</t>
        </is>
      </c>
      <c r="D323" t="n">
        <v>2024</v>
      </c>
      <c r="E323" t="n">
        <v>0.9211873080859911</v>
      </c>
      <c r="F323" t="n">
        <v>0.82</v>
      </c>
      <c r="G323" t="n">
        <v>3.852333</v>
      </c>
      <c r="H323" t="n">
        <v>4.270187</v>
      </c>
      <c r="I323" t="n">
        <v>3.348999691914009</v>
      </c>
      <c r="J323" t="inlineStr">
        <is>
          <t>Sweden|OMXS.L|2024</t>
        </is>
      </c>
      <c r="K323" t="inlineStr">
        <is>
          <t>Sweden|2024</t>
        </is>
      </c>
      <c r="L323" t="inlineStr">
        <is>
          <t>GBp</t>
        </is>
      </c>
    </row>
    <row r="324">
      <c r="A324" t="inlineStr">
        <is>
          <t>Sweden</t>
        </is>
      </c>
      <c r="B324" t="inlineStr">
        <is>
          <t>SWE</t>
        </is>
      </c>
      <c r="C324" t="inlineStr">
        <is>
          <t>OMXS.L</t>
        </is>
      </c>
      <c r="D324" t="n">
        <v>2025</v>
      </c>
      <c r="E324" t="n">
        <v>24.91961414790998</v>
      </c>
      <c r="F324" t="n">
        <v>0.75</v>
      </c>
      <c r="G324" t="n">
        <v>2.432129</v>
      </c>
      <c r="H324" t="n">
        <v>9.707064000000001</v>
      </c>
      <c r="I324" t="n">
        <v>-15.21255014790997</v>
      </c>
      <c r="J324" t="inlineStr">
        <is>
          <t>Sweden|OMXS.L|2025</t>
        </is>
      </c>
      <c r="K324" t="inlineStr">
        <is>
          <t>Sweden|2025</t>
        </is>
      </c>
      <c r="L324" t="inlineStr">
        <is>
          <t>GBp</t>
        </is>
      </c>
    </row>
    <row r="325">
      <c r="A325" t="inlineStr">
        <is>
          <t>Sweden</t>
        </is>
      </c>
      <c r="B325" t="inlineStr">
        <is>
          <t>SWE</t>
        </is>
      </c>
      <c r="C325" t="inlineStr">
        <is>
          <t>OMXS.L</t>
        </is>
      </c>
      <c r="D325" t="n">
        <v>2026</v>
      </c>
      <c r="E325" t="n">
        <v>8.676092544987135</v>
      </c>
      <c r="F325" t="n">
        <v>1.932</v>
      </c>
      <c r="G325" t="n">
        <v>3.563101</v>
      </c>
      <c r="H325" t="n">
        <v>7.426191</v>
      </c>
      <c r="I325" t="n">
        <v>-1.249901544987135</v>
      </c>
      <c r="J325" t="inlineStr">
        <is>
          <t>Sweden|OMXS.L|2026</t>
        </is>
      </c>
      <c r="K325" t="inlineStr">
        <is>
          <t>Sweden|2026</t>
        </is>
      </c>
      <c r="L325" t="inlineStr">
        <is>
          <t>GBp</t>
        </is>
      </c>
    </row>
    <row r="326">
      <c r="A326" t="inlineStr">
        <is>
          <t>Taiwan</t>
        </is>
      </c>
      <c r="B326" t="inlineStr">
        <is>
          <t>TWN</t>
        </is>
      </c>
      <c r="C326" t="inlineStr">
        <is>
          <t>FRXT.L</t>
        </is>
      </c>
      <c r="D326" t="n">
        <v>2015</v>
      </c>
      <c r="E326" t="inlineStr"/>
      <c r="F326" t="n">
        <v>1.465</v>
      </c>
      <c r="G326" t="inlineStr"/>
      <c r="H326" t="inlineStr"/>
      <c r="I326" t="inlineStr"/>
      <c r="J326" t="inlineStr">
        <is>
          <t>Taiwan|FRXT.L|2015</t>
        </is>
      </c>
      <c r="K326" t="inlineStr">
        <is>
          <t>Taiwan|2015</t>
        </is>
      </c>
      <c r="L326" t="inlineStr">
        <is>
          <t>GBP</t>
        </is>
      </c>
    </row>
    <row r="327">
      <c r="A327" t="inlineStr">
        <is>
          <t>Taiwan</t>
        </is>
      </c>
      <c r="B327" t="inlineStr">
        <is>
          <t>TWN</t>
        </is>
      </c>
      <c r="C327" t="inlineStr">
        <is>
          <t>FRXT.L</t>
        </is>
      </c>
      <c r="D327" t="n">
        <v>2016</v>
      </c>
      <c r="E327" t="inlineStr"/>
      <c r="F327" t="n">
        <v>2.165</v>
      </c>
      <c r="G327" t="n">
        <v>2.93278</v>
      </c>
      <c r="H327" t="n">
        <v>1.602574</v>
      </c>
      <c r="I327" t="inlineStr"/>
      <c r="J327" t="inlineStr">
        <is>
          <t>Taiwan|FRXT.L|2016</t>
        </is>
      </c>
      <c r="K327" t="inlineStr">
        <is>
          <t>Taiwan|2016</t>
        </is>
      </c>
      <c r="L327" t="inlineStr">
        <is>
          <t>GBP</t>
        </is>
      </c>
    </row>
    <row r="328">
      <c r="A328" t="inlineStr">
        <is>
          <t>Taiwan</t>
        </is>
      </c>
      <c r="B328" t="inlineStr">
        <is>
          <t>TWN</t>
        </is>
      </c>
      <c r="C328" t="inlineStr">
        <is>
          <t>FRXT.L</t>
        </is>
      </c>
      <c r="D328" t="n">
        <v>2017</v>
      </c>
      <c r="E328" t="inlineStr"/>
      <c r="F328" t="n">
        <v>3.662</v>
      </c>
      <c r="G328" t="n">
        <v>2.603885</v>
      </c>
      <c r="H328" t="n">
        <v>8.950046</v>
      </c>
      <c r="I328" t="inlineStr"/>
      <c r="J328" t="inlineStr">
        <is>
          <t>Taiwan|FRXT.L|2017</t>
        </is>
      </c>
      <c r="K328" t="inlineStr">
        <is>
          <t>Taiwan|2017</t>
        </is>
      </c>
      <c r="L328" t="inlineStr">
        <is>
          <t>GBP</t>
        </is>
      </c>
    </row>
    <row r="329">
      <c r="A329" t="inlineStr">
        <is>
          <t>Taiwan</t>
        </is>
      </c>
      <c r="B329" t="inlineStr">
        <is>
          <t>TWN</t>
        </is>
      </c>
      <c r="C329" t="inlineStr">
        <is>
          <t>FRXT.L</t>
        </is>
      </c>
      <c r="D329" t="n">
        <v>2018</v>
      </c>
      <c r="E329" t="inlineStr"/>
      <c r="F329" t="n">
        <v>2.905</v>
      </c>
      <c r="G329" t="n">
        <v>2.263176</v>
      </c>
      <c r="H329" t="n">
        <v>3.211664</v>
      </c>
      <c r="I329" t="inlineStr"/>
      <c r="J329" t="inlineStr">
        <is>
          <t>Taiwan|FRXT.L|2018</t>
        </is>
      </c>
      <c r="K329" t="inlineStr">
        <is>
          <t>Taiwan|2018</t>
        </is>
      </c>
      <c r="L329" t="inlineStr">
        <is>
          <t>GBP</t>
        </is>
      </c>
    </row>
    <row r="330">
      <c r="A330" t="inlineStr">
        <is>
          <t>Taiwan</t>
        </is>
      </c>
      <c r="B330" t="inlineStr">
        <is>
          <t>TWN</t>
        </is>
      </c>
      <c r="C330" t="inlineStr">
        <is>
          <t>FRXT.L</t>
        </is>
      </c>
      <c r="D330" t="n">
        <v>2019</v>
      </c>
      <c r="E330" t="inlineStr"/>
      <c r="F330" t="n">
        <v>3.055</v>
      </c>
      <c r="G330" t="n">
        <v>3.007909</v>
      </c>
      <c r="H330" t="n">
        <v>0.4621</v>
      </c>
      <c r="I330" t="inlineStr"/>
      <c r="J330" t="inlineStr">
        <is>
          <t>Taiwan|FRXT.L|2019</t>
        </is>
      </c>
      <c r="K330" t="inlineStr">
        <is>
          <t>Taiwan|2019</t>
        </is>
      </c>
      <c r="L330" t="inlineStr">
        <is>
          <t>GBP</t>
        </is>
      </c>
    </row>
    <row r="331">
      <c r="A331" t="inlineStr">
        <is>
          <t>Taiwan</t>
        </is>
      </c>
      <c r="B331" t="inlineStr">
        <is>
          <t>TWN</t>
        </is>
      </c>
      <c r="C331" t="inlineStr">
        <is>
          <t>FRXT.L</t>
        </is>
      </c>
      <c r="D331" t="n">
        <v>2020</v>
      </c>
      <c r="E331" t="inlineStr"/>
      <c r="F331" t="n">
        <v>3.42</v>
      </c>
      <c r="G331" t="n">
        <v>5.532042</v>
      </c>
      <c r="H331" t="n">
        <v>10.325633</v>
      </c>
      <c r="I331" t="inlineStr"/>
      <c r="J331" t="inlineStr">
        <is>
          <t>Taiwan|FRXT.L|2020</t>
        </is>
      </c>
      <c r="K331" t="inlineStr">
        <is>
          <t>Taiwan|2020</t>
        </is>
      </c>
      <c r="L331" t="inlineStr">
        <is>
          <t>GBP</t>
        </is>
      </c>
    </row>
    <row r="332">
      <c r="A332" t="inlineStr">
        <is>
          <t>Taiwan</t>
        </is>
      </c>
      <c r="B332" t="inlineStr">
        <is>
          <t>TWN</t>
        </is>
      </c>
      <c r="C332" t="inlineStr">
        <is>
          <t>FRXT.L</t>
        </is>
      </c>
      <c r="D332" t="n">
        <v>2021</v>
      </c>
      <c r="E332" t="inlineStr"/>
      <c r="F332" t="n">
        <v>6.72</v>
      </c>
      <c r="G332" t="n">
        <v>8.737318999999999</v>
      </c>
      <c r="H332" t="n">
        <v>14.789447</v>
      </c>
      <c r="I332" t="inlineStr"/>
      <c r="J332" t="inlineStr">
        <is>
          <t>Taiwan|FRXT.L|2021</t>
        </is>
      </c>
      <c r="K332" t="inlineStr">
        <is>
          <t>Taiwan|2021</t>
        </is>
      </c>
      <c r="L332" t="inlineStr">
        <is>
          <t>GBP</t>
        </is>
      </c>
    </row>
    <row r="333">
      <c r="A333" t="inlineStr">
        <is>
          <t>Taiwan</t>
        </is>
      </c>
      <c r="B333" t="inlineStr">
        <is>
          <t>TWN</t>
        </is>
      </c>
      <c r="C333" t="inlineStr">
        <is>
          <t>FRXT.L</t>
        </is>
      </c>
      <c r="D333" t="n">
        <v>2022</v>
      </c>
      <c r="E333" t="n">
        <v>-36.10785352099239</v>
      </c>
      <c r="F333" t="n">
        <v>2.684</v>
      </c>
      <c r="G333" t="n">
        <v>4.809282</v>
      </c>
      <c r="H333" t="n">
        <v>-1.459654</v>
      </c>
      <c r="I333" t="n">
        <v>34.64819952099239</v>
      </c>
      <c r="J333" t="inlineStr">
        <is>
          <t>Taiwan|FRXT.L|2022</t>
        </is>
      </c>
      <c r="K333" t="inlineStr">
        <is>
          <t>Taiwan|2022</t>
        </is>
      </c>
      <c r="L333" t="inlineStr">
        <is>
          <t>GBP</t>
        </is>
      </c>
    </row>
    <row r="334">
      <c r="A334" t="inlineStr">
        <is>
          <t>Taiwan</t>
        </is>
      </c>
      <c r="B334" t="inlineStr">
        <is>
          <t>TWN</t>
        </is>
      </c>
      <c r="C334" t="inlineStr">
        <is>
          <t>FRXT.L</t>
        </is>
      </c>
      <c r="D334" t="n">
        <v>2023</v>
      </c>
      <c r="E334" t="n">
        <v>21.60318170648348</v>
      </c>
      <c r="F334" t="n">
        <v>1.122</v>
      </c>
      <c r="G334" t="n">
        <v>3.401794</v>
      </c>
      <c r="H334" t="n">
        <v>-1.082646</v>
      </c>
      <c r="I334" t="n">
        <v>-22.68582770648348</v>
      </c>
      <c r="J334" t="inlineStr">
        <is>
          <t>Taiwan|FRXT.L|2023</t>
        </is>
      </c>
      <c r="K334" t="inlineStr">
        <is>
          <t>Taiwan|2023</t>
        </is>
      </c>
      <c r="L334" t="inlineStr">
        <is>
          <t>GBP</t>
        </is>
      </c>
    </row>
    <row r="335">
      <c r="A335" t="inlineStr">
        <is>
          <t>Taiwan</t>
        </is>
      </c>
      <c r="B335" t="inlineStr">
        <is>
          <t>TWN</t>
        </is>
      </c>
      <c r="C335" t="inlineStr">
        <is>
          <t>FRXT.L</t>
        </is>
      </c>
      <c r="D335" t="n">
        <v>2024</v>
      </c>
      <c r="E335" t="n">
        <v>26.89517124633358</v>
      </c>
      <c r="F335" t="n">
        <v>4.837</v>
      </c>
      <c r="G335" t="n">
        <v>8.459306</v>
      </c>
      <c r="H335" t="n">
        <v>5.237973</v>
      </c>
      <c r="I335" t="n">
        <v>-21.65719824633358</v>
      </c>
      <c r="J335" t="inlineStr">
        <is>
          <t>Taiwan|FRXT.L|2024</t>
        </is>
      </c>
      <c r="K335" t="inlineStr">
        <is>
          <t>Taiwan|2024</t>
        </is>
      </c>
      <c r="L335" t="inlineStr">
        <is>
          <t>GBP</t>
        </is>
      </c>
    </row>
    <row r="336">
      <c r="A336" t="inlineStr">
        <is>
          <t>Taiwan</t>
        </is>
      </c>
      <c r="B336" t="inlineStr">
        <is>
          <t>TWN</t>
        </is>
      </c>
      <c r="C336" t="inlineStr">
        <is>
          <t>FRXT.L</t>
        </is>
      </c>
      <c r="D336" t="n">
        <v>2025</v>
      </c>
      <c r="E336" t="n">
        <v>24.86159844407421</v>
      </c>
      <c r="F336" t="n">
        <v>3.674</v>
      </c>
      <c r="G336" t="n">
        <v>5.468292</v>
      </c>
      <c r="H336" t="n">
        <v>10.963935</v>
      </c>
      <c r="I336" t="n">
        <v>-13.89766344407421</v>
      </c>
      <c r="J336" t="inlineStr">
        <is>
          <t>Taiwan|FRXT.L|2025</t>
        </is>
      </c>
      <c r="K336" t="inlineStr">
        <is>
          <t>Taiwan|2025</t>
        </is>
      </c>
      <c r="L336" t="inlineStr">
        <is>
          <t>GBP</t>
        </is>
      </c>
    </row>
    <row r="337">
      <c r="A337" t="inlineStr">
        <is>
          <t>Taiwan</t>
        </is>
      </c>
      <c r="B337" t="inlineStr">
        <is>
          <t>TWN</t>
        </is>
      </c>
      <c r="C337" t="inlineStr">
        <is>
          <t>FRXT.L</t>
        </is>
      </c>
      <c r="D337" t="n">
        <v>2026</v>
      </c>
      <c r="E337" t="n">
        <v>18.93352163379325</v>
      </c>
      <c r="F337" t="n">
        <v>2.113</v>
      </c>
      <c r="G337" t="n">
        <v>3.705991</v>
      </c>
      <c r="H337" t="n">
        <v>9.84422</v>
      </c>
      <c r="I337" t="n">
        <v>-9.089301633793248</v>
      </c>
      <c r="J337" t="inlineStr">
        <is>
          <t>Taiwan|FRXT.L|2026</t>
        </is>
      </c>
      <c r="K337" t="inlineStr">
        <is>
          <t>Taiwan|2026</t>
        </is>
      </c>
      <c r="L337" t="inlineStr">
        <is>
          <t>GBP</t>
        </is>
      </c>
    </row>
    <row r="338">
      <c r="A338" t="inlineStr">
        <is>
          <t>Taiwan</t>
        </is>
      </c>
      <c r="B338" t="inlineStr">
        <is>
          <t>TWN</t>
        </is>
      </c>
      <c r="C338" t="inlineStr">
        <is>
          <t>XMTW.L</t>
        </is>
      </c>
      <c r="D338" t="n">
        <v>2015</v>
      </c>
      <c r="E338" t="n">
        <v>-7.487702678083441</v>
      </c>
      <c r="F338" t="n">
        <v>1.465</v>
      </c>
      <c r="G338" t="inlineStr"/>
      <c r="H338" t="inlineStr"/>
      <c r="I338" t="inlineStr"/>
      <c r="J338" t="inlineStr">
        <is>
          <t>Taiwan|XMTW.L|2015</t>
        </is>
      </c>
      <c r="K338" t="inlineStr">
        <is>
          <t>Taiwan|2015</t>
        </is>
      </c>
      <c r="L338" t="inlineStr">
        <is>
          <t>GBp</t>
        </is>
      </c>
    </row>
    <row r="339">
      <c r="A339" t="inlineStr">
        <is>
          <t>Taiwan</t>
        </is>
      </c>
      <c r="B339" t="inlineStr">
        <is>
          <t>TWN</t>
        </is>
      </c>
      <c r="C339" t="inlineStr">
        <is>
          <t>XMTW.L</t>
        </is>
      </c>
      <c r="D339" t="n">
        <v>2016</v>
      </c>
      <c r="E339" t="n">
        <v>46.63412649989829</v>
      </c>
      <c r="F339" t="n">
        <v>2.165</v>
      </c>
      <c r="G339" t="n">
        <v>2.93278</v>
      </c>
      <c r="H339" t="n">
        <v>1.602574</v>
      </c>
      <c r="I339" t="n">
        <v>-45.03155249989829</v>
      </c>
      <c r="J339" t="inlineStr">
        <is>
          <t>Taiwan|XMTW.L|2016</t>
        </is>
      </c>
      <c r="K339" t="inlineStr">
        <is>
          <t>Taiwan|2016</t>
        </is>
      </c>
      <c r="L339" t="inlineStr">
        <is>
          <t>GBp</t>
        </is>
      </c>
    </row>
    <row r="340">
      <c r="A340" t="inlineStr">
        <is>
          <t>Taiwan</t>
        </is>
      </c>
      <c r="B340" t="inlineStr">
        <is>
          <t>TWN</t>
        </is>
      </c>
      <c r="C340" t="inlineStr">
        <is>
          <t>XMTW.L</t>
        </is>
      </c>
      <c r="D340" t="n">
        <v>2017</v>
      </c>
      <c r="E340" t="n">
        <v>14.66119096509242</v>
      </c>
      <c r="F340" t="n">
        <v>3.662</v>
      </c>
      <c r="G340" t="n">
        <v>2.603885</v>
      </c>
      <c r="H340" t="n">
        <v>8.950046</v>
      </c>
      <c r="I340" t="n">
        <v>-5.711144965092419</v>
      </c>
      <c r="J340" t="inlineStr">
        <is>
          <t>Taiwan|XMTW.L|2017</t>
        </is>
      </c>
      <c r="K340" t="inlineStr">
        <is>
          <t>Taiwan|2017</t>
        </is>
      </c>
      <c r="L340" t="inlineStr">
        <is>
          <t>GBp</t>
        </is>
      </c>
    </row>
    <row r="341">
      <c r="A341" t="inlineStr">
        <is>
          <t>Taiwan</t>
        </is>
      </c>
      <c r="B341" t="inlineStr">
        <is>
          <t>TWN</t>
        </is>
      </c>
      <c r="C341" t="inlineStr">
        <is>
          <t>XMTW.L</t>
        </is>
      </c>
      <c r="D341" t="n">
        <v>2018</v>
      </c>
      <c r="E341" t="n">
        <v>-3.19961795606496</v>
      </c>
      <c r="F341" t="n">
        <v>2.905</v>
      </c>
      <c r="G341" t="n">
        <v>2.263176</v>
      </c>
      <c r="H341" t="n">
        <v>3.211664</v>
      </c>
      <c r="I341" t="n">
        <v>6.411281956064959</v>
      </c>
      <c r="J341" t="inlineStr">
        <is>
          <t>Taiwan|XMTW.L|2018</t>
        </is>
      </c>
      <c r="K341" t="inlineStr">
        <is>
          <t>Taiwan|2018</t>
        </is>
      </c>
      <c r="L341" t="inlineStr">
        <is>
          <t>GBp</t>
        </is>
      </c>
    </row>
    <row r="342">
      <c r="A342" t="inlineStr">
        <is>
          <t>Taiwan</t>
        </is>
      </c>
      <c r="B342" t="inlineStr">
        <is>
          <t>TWN</t>
        </is>
      </c>
      <c r="C342" t="inlineStr">
        <is>
          <t>XMTW.L</t>
        </is>
      </c>
      <c r="D342" t="n">
        <v>2019</v>
      </c>
      <c r="E342" t="n">
        <v>31.44426413681187</v>
      </c>
      <c r="F342" t="n">
        <v>3.055</v>
      </c>
      <c r="G342" t="n">
        <v>3.007909</v>
      </c>
      <c r="H342" t="n">
        <v>0.4621</v>
      </c>
      <c r="I342" t="n">
        <v>-30.98216413681187</v>
      </c>
      <c r="J342" t="inlineStr">
        <is>
          <t>Taiwan|XMTW.L|2019</t>
        </is>
      </c>
      <c r="K342" t="inlineStr">
        <is>
          <t>Taiwan|2019</t>
        </is>
      </c>
      <c r="L342" t="inlineStr">
        <is>
          <t>GBp</t>
        </is>
      </c>
    </row>
    <row r="343">
      <c r="A343" t="inlineStr">
        <is>
          <t>Taiwan</t>
        </is>
      </c>
      <c r="B343" t="inlineStr">
        <is>
          <t>TWN</t>
        </is>
      </c>
      <c r="C343" t="inlineStr">
        <is>
          <t>XMTW.L</t>
        </is>
      </c>
      <c r="D343" t="n">
        <v>2020</v>
      </c>
      <c r="E343" t="n">
        <v>30.12880343475828</v>
      </c>
      <c r="F343" t="n">
        <v>3.42</v>
      </c>
      <c r="G343" t="n">
        <v>5.532042</v>
      </c>
      <c r="H343" t="n">
        <v>10.325633</v>
      </c>
      <c r="I343" t="n">
        <v>-19.80317043475828</v>
      </c>
      <c r="J343" t="inlineStr">
        <is>
          <t>Taiwan|XMTW.L|2020</t>
        </is>
      </c>
      <c r="K343" t="inlineStr">
        <is>
          <t>Taiwan|2020</t>
        </is>
      </c>
      <c r="L343" t="inlineStr">
        <is>
          <t>GBp</t>
        </is>
      </c>
    </row>
    <row r="344">
      <c r="A344" t="inlineStr">
        <is>
          <t>Taiwan</t>
        </is>
      </c>
      <c r="B344" t="inlineStr">
        <is>
          <t>TWN</t>
        </is>
      </c>
      <c r="C344" t="inlineStr">
        <is>
          <t>XMTW.L</t>
        </is>
      </c>
      <c r="D344" t="n">
        <v>2021</v>
      </c>
      <c r="E344" t="n">
        <v>26.4060742407199</v>
      </c>
      <c r="F344" t="n">
        <v>6.72</v>
      </c>
      <c r="G344" t="n">
        <v>8.737318999999999</v>
      </c>
      <c r="H344" t="n">
        <v>14.789447</v>
      </c>
      <c r="I344" t="n">
        <v>-11.6166272407199</v>
      </c>
      <c r="J344" t="inlineStr">
        <is>
          <t>Taiwan|XMTW.L|2021</t>
        </is>
      </c>
      <c r="K344" t="inlineStr">
        <is>
          <t>Taiwan|2021</t>
        </is>
      </c>
      <c r="L344" t="inlineStr">
        <is>
          <t>GBp</t>
        </is>
      </c>
    </row>
    <row r="345">
      <c r="A345" t="inlineStr">
        <is>
          <t>Taiwan</t>
        </is>
      </c>
      <c r="B345" t="inlineStr">
        <is>
          <t>TWN</t>
        </is>
      </c>
      <c r="C345" t="inlineStr">
        <is>
          <t>XMTW.L</t>
        </is>
      </c>
      <c r="D345" t="n">
        <v>2022</v>
      </c>
      <c r="E345" t="n">
        <v>-22.55951081022057</v>
      </c>
      <c r="F345" t="n">
        <v>2.684</v>
      </c>
      <c r="G345" t="n">
        <v>4.809282</v>
      </c>
      <c r="H345" t="n">
        <v>-1.459654</v>
      </c>
      <c r="I345" t="n">
        <v>21.09985681022057</v>
      </c>
      <c r="J345" t="inlineStr">
        <is>
          <t>Taiwan|XMTW.L|2022</t>
        </is>
      </c>
      <c r="K345" t="inlineStr">
        <is>
          <t>Taiwan|2022</t>
        </is>
      </c>
      <c r="L345" t="inlineStr">
        <is>
          <t>GBp</t>
        </is>
      </c>
    </row>
    <row r="346">
      <c r="A346" t="inlineStr">
        <is>
          <t>Taiwan</t>
        </is>
      </c>
      <c r="B346" t="inlineStr">
        <is>
          <t>TWN</t>
        </is>
      </c>
      <c r="C346" t="inlineStr">
        <is>
          <t>XMTW.L</t>
        </is>
      </c>
      <c r="D346" t="n">
        <v>2023</v>
      </c>
      <c r="E346" t="n">
        <v>20.62071857961694</v>
      </c>
      <c r="F346" t="n">
        <v>1.122</v>
      </c>
      <c r="G346" t="n">
        <v>3.401794</v>
      </c>
      <c r="H346" t="n">
        <v>-1.082646</v>
      </c>
      <c r="I346" t="n">
        <v>-21.70336457961694</v>
      </c>
      <c r="J346" t="inlineStr">
        <is>
          <t>Taiwan|XMTW.L|2023</t>
        </is>
      </c>
      <c r="K346" t="inlineStr">
        <is>
          <t>Taiwan|2023</t>
        </is>
      </c>
      <c r="L346" t="inlineStr">
        <is>
          <t>GBp</t>
        </is>
      </c>
    </row>
    <row r="347">
      <c r="A347" t="inlineStr">
        <is>
          <t>Taiwan</t>
        </is>
      </c>
      <c r="B347" t="inlineStr">
        <is>
          <t>TWN</t>
        </is>
      </c>
      <c r="C347" t="inlineStr">
        <is>
          <t>XMTW.L</t>
        </is>
      </c>
      <c r="D347" t="n">
        <v>2024</v>
      </c>
      <c r="E347" t="n">
        <v>27.73207990599296</v>
      </c>
      <c r="F347" t="n">
        <v>4.837</v>
      </c>
      <c r="G347" t="n">
        <v>8.459306</v>
      </c>
      <c r="H347" t="n">
        <v>5.237973</v>
      </c>
      <c r="I347" t="n">
        <v>-22.49410690599296</v>
      </c>
      <c r="J347" t="inlineStr">
        <is>
          <t>Taiwan|XMTW.L|2024</t>
        </is>
      </c>
      <c r="K347" t="inlineStr">
        <is>
          <t>Taiwan|2024</t>
        </is>
      </c>
      <c r="L347" t="inlineStr">
        <is>
          <t>GBp</t>
        </is>
      </c>
    </row>
    <row r="348">
      <c r="A348" t="inlineStr">
        <is>
          <t>Taiwan</t>
        </is>
      </c>
      <c r="B348" t="inlineStr">
        <is>
          <t>TWN</t>
        </is>
      </c>
      <c r="C348" t="inlineStr">
        <is>
          <t>XMTW.L</t>
        </is>
      </c>
      <c r="D348" t="n">
        <v>2025</v>
      </c>
      <c r="E348" t="n">
        <v>23.8012125665993</v>
      </c>
      <c r="F348" t="n">
        <v>3.674</v>
      </c>
      <c r="G348" t="n">
        <v>5.468292</v>
      </c>
      <c r="H348" t="n">
        <v>10.963935</v>
      </c>
      <c r="I348" t="n">
        <v>-12.8372775665993</v>
      </c>
      <c r="J348" t="inlineStr">
        <is>
          <t>Taiwan|XMTW.L|2025</t>
        </is>
      </c>
      <c r="K348" t="inlineStr">
        <is>
          <t>Taiwan|2025</t>
        </is>
      </c>
      <c r="L348" t="inlineStr">
        <is>
          <t>GBp</t>
        </is>
      </c>
    </row>
    <row r="349">
      <c r="A349" t="inlineStr">
        <is>
          <t>Taiwan</t>
        </is>
      </c>
      <c r="B349" t="inlineStr">
        <is>
          <t>TWN</t>
        </is>
      </c>
      <c r="C349" t="inlineStr">
        <is>
          <t>XMTW.L</t>
        </is>
      </c>
      <c r="D349" t="n">
        <v>2026</v>
      </c>
      <c r="E349" t="n">
        <v>19.16691154863357</v>
      </c>
      <c r="F349" t="n">
        <v>2.113</v>
      </c>
      <c r="G349" t="n">
        <v>3.705991</v>
      </c>
      <c r="H349" t="n">
        <v>9.84422</v>
      </c>
      <c r="I349" t="n">
        <v>-9.322691548633571</v>
      </c>
      <c r="J349" t="inlineStr">
        <is>
          <t>Taiwan|XMTW.L|2026</t>
        </is>
      </c>
      <c r="K349" t="inlineStr">
        <is>
          <t>Taiwan|2026</t>
        </is>
      </c>
      <c r="L349" t="inlineStr">
        <is>
          <t>GBp</t>
        </is>
      </c>
    </row>
    <row r="350">
      <c r="A350" t="inlineStr">
        <is>
          <t>Thailand</t>
        </is>
      </c>
      <c r="B350" t="inlineStr">
        <is>
          <t>THA</t>
        </is>
      </c>
      <c r="C350" t="inlineStr">
        <is>
          <t>XCX4.L</t>
        </is>
      </c>
      <c r="D350" t="n">
        <v>2015</v>
      </c>
      <c r="E350" t="n">
        <v>-20.82937036332509</v>
      </c>
      <c r="F350" t="n">
        <v>3.134</v>
      </c>
      <c r="G350" t="inlineStr"/>
      <c r="H350" t="inlineStr"/>
      <c r="I350" t="inlineStr"/>
      <c r="J350" t="inlineStr">
        <is>
          <t>Thailand|XCX4.L|2015</t>
        </is>
      </c>
      <c r="K350" t="inlineStr">
        <is>
          <t>Thailand|2015</t>
        </is>
      </c>
      <c r="L350" t="inlineStr">
        <is>
          <t>GBp</t>
        </is>
      </c>
    </row>
    <row r="351">
      <c r="A351" t="inlineStr">
        <is>
          <t>Thailand</t>
        </is>
      </c>
      <c r="B351" t="inlineStr">
        <is>
          <t>THA</t>
        </is>
      </c>
      <c r="C351" t="inlineStr">
        <is>
          <t>XCX4.L</t>
        </is>
      </c>
      <c r="D351" t="n">
        <v>2016</v>
      </c>
      <c r="E351" t="n">
        <v>56.73147920255968</v>
      </c>
      <c r="F351" t="n">
        <v>3.435</v>
      </c>
      <c r="G351" t="n">
        <v>6.161882</v>
      </c>
      <c r="H351" t="n">
        <v>3.007755</v>
      </c>
      <c r="I351" t="n">
        <v>-53.72372420255967</v>
      </c>
      <c r="J351" t="inlineStr">
        <is>
          <t>Thailand|XCX4.L|2016</t>
        </is>
      </c>
      <c r="K351" t="inlineStr">
        <is>
          <t>Thailand|2016</t>
        </is>
      </c>
      <c r="L351" t="inlineStr">
        <is>
          <t>GBp</t>
        </is>
      </c>
    </row>
    <row r="352">
      <c r="A352" t="inlineStr">
        <is>
          <t>Thailand</t>
        </is>
      </c>
      <c r="B352" t="inlineStr">
        <is>
          <t>THA</t>
        </is>
      </c>
      <c r="C352" t="inlineStr">
        <is>
          <t>XCX4.L</t>
        </is>
      </c>
      <c r="D352" t="n">
        <v>2017</v>
      </c>
      <c r="E352" t="n">
        <v>21.08057464084947</v>
      </c>
      <c r="F352" t="n">
        <v>4.178</v>
      </c>
      <c r="G352" t="n">
        <v>6.157</v>
      </c>
      <c r="H352" t="n">
        <v>10.400226</v>
      </c>
      <c r="I352" t="n">
        <v>-10.68034864084947</v>
      </c>
      <c r="J352" t="inlineStr">
        <is>
          <t>Thailand|XCX4.L|2017</t>
        </is>
      </c>
      <c r="K352" t="inlineStr">
        <is>
          <t>Thailand|2017</t>
        </is>
      </c>
      <c r="L352" t="inlineStr">
        <is>
          <t>GBp</t>
        </is>
      </c>
    </row>
    <row r="353">
      <c r="A353" t="inlineStr">
        <is>
          <t>Thailand</t>
        </is>
      </c>
      <c r="B353" t="inlineStr">
        <is>
          <t>THA</t>
        </is>
      </c>
      <c r="C353" t="inlineStr">
        <is>
          <t>XCX4.L</t>
        </is>
      </c>
      <c r="D353" t="n">
        <v>2018</v>
      </c>
      <c r="E353" t="n">
        <v>1.171347325591587</v>
      </c>
      <c r="F353" t="n">
        <v>4.223</v>
      </c>
      <c r="G353" t="n">
        <v>5.711784</v>
      </c>
      <c r="H353" t="n">
        <v>11.043328</v>
      </c>
      <c r="I353" t="n">
        <v>9.871980674408412</v>
      </c>
      <c r="J353" t="inlineStr">
        <is>
          <t>Thailand|XCX4.L|2018</t>
        </is>
      </c>
      <c r="K353" t="inlineStr">
        <is>
          <t>Thailand|2018</t>
        </is>
      </c>
      <c r="L353" t="inlineStr">
        <is>
          <t>GBp</t>
        </is>
      </c>
    </row>
    <row r="354">
      <c r="A354" t="inlineStr">
        <is>
          <t>Thailand</t>
        </is>
      </c>
      <c r="B354" t="inlineStr">
        <is>
          <t>THA</t>
        </is>
      </c>
      <c r="C354" t="inlineStr">
        <is>
          <t>XCX4.L</t>
        </is>
      </c>
      <c r="D354" t="n">
        <v>2019</v>
      </c>
      <c r="E354" t="n">
        <v>1.099038341451242</v>
      </c>
      <c r="F354" t="n">
        <v>2.115</v>
      </c>
      <c r="G354" t="n">
        <v>3.150432</v>
      </c>
      <c r="H354" t="n">
        <v>7.345379</v>
      </c>
      <c r="I354" t="n">
        <v>6.246340658548759</v>
      </c>
      <c r="J354" t="inlineStr">
        <is>
          <t>Thailand|XCX4.L|2019</t>
        </is>
      </c>
      <c r="K354" t="inlineStr">
        <is>
          <t>Thailand|2019</t>
        </is>
      </c>
      <c r="L354" t="inlineStr">
        <is>
          <t>GBp</t>
        </is>
      </c>
    </row>
    <row r="355">
      <c r="A355" t="inlineStr">
        <is>
          <t>Thailand</t>
        </is>
      </c>
      <c r="B355" t="inlineStr">
        <is>
          <t>THA</t>
        </is>
      </c>
      <c r="C355" t="inlineStr">
        <is>
          <t>XCX4.L</t>
        </is>
      </c>
      <c r="D355" t="n">
        <v>2020</v>
      </c>
      <c r="E355" t="n">
        <v>-15.33794442422036</v>
      </c>
      <c r="F355" t="n">
        <v>-6.05</v>
      </c>
      <c r="G355" t="n">
        <v>-7.270237</v>
      </c>
      <c r="H355" t="n">
        <v>-7.999419</v>
      </c>
      <c r="I355" t="n">
        <v>7.338525424220363</v>
      </c>
      <c r="J355" t="inlineStr">
        <is>
          <t>Thailand|XCX4.L|2020</t>
        </is>
      </c>
      <c r="K355" t="inlineStr">
        <is>
          <t>Thailand|2020</t>
        </is>
      </c>
      <c r="L355" t="inlineStr">
        <is>
          <t>GBp</t>
        </is>
      </c>
    </row>
    <row r="356">
      <c r="A356" t="inlineStr">
        <is>
          <t>Thailand</t>
        </is>
      </c>
      <c r="B356" t="inlineStr">
        <is>
          <t>THA</t>
        </is>
      </c>
      <c r="C356" t="inlineStr">
        <is>
          <t>XCX4.L</t>
        </is>
      </c>
      <c r="D356" t="n">
        <v>2021</v>
      </c>
      <c r="E356" t="n">
        <v>-1.188118811881189</v>
      </c>
      <c r="F356" t="n">
        <v>1.542</v>
      </c>
      <c r="G356" t="n">
        <v>3.354404</v>
      </c>
      <c r="H356" t="n">
        <v>1.145542</v>
      </c>
      <c r="I356" t="n">
        <v>2.333660811881189</v>
      </c>
      <c r="J356" t="inlineStr">
        <is>
          <t>Thailand|XCX4.L|2021</t>
        </is>
      </c>
      <c r="K356" t="inlineStr">
        <is>
          <t>Thailand|2021</t>
        </is>
      </c>
      <c r="L356" t="inlineStr">
        <is>
          <t>GBp</t>
        </is>
      </c>
    </row>
    <row r="357">
      <c r="A357" t="inlineStr">
        <is>
          <t>Thailand</t>
        </is>
      </c>
      <c r="B357" t="inlineStr">
        <is>
          <t>THA</t>
        </is>
      </c>
      <c r="C357" t="inlineStr">
        <is>
          <t>XCX4.L</t>
        </is>
      </c>
      <c r="D357" t="n">
        <v>2022</v>
      </c>
      <c r="E357" t="n">
        <v>16.5872672152447</v>
      </c>
      <c r="F357" t="n">
        <v>2.627</v>
      </c>
      <c r="G357" t="n">
        <v>7.360165</v>
      </c>
      <c r="H357" t="n">
        <v>-2.084177</v>
      </c>
      <c r="I357" t="n">
        <v>-18.6714442152447</v>
      </c>
      <c r="J357" t="inlineStr">
        <is>
          <t>Thailand|XCX4.L|2022</t>
        </is>
      </c>
      <c r="K357" t="inlineStr">
        <is>
          <t>Thailand|2022</t>
        </is>
      </c>
      <c r="L357" t="inlineStr">
        <is>
          <t>GBp</t>
        </is>
      </c>
    </row>
    <row r="358">
      <c r="A358" t="inlineStr">
        <is>
          <t>Thailand</t>
        </is>
      </c>
      <c r="B358" t="inlineStr">
        <is>
          <t>THA</t>
        </is>
      </c>
      <c r="C358" t="inlineStr">
        <is>
          <t>XCX4.L</t>
        </is>
      </c>
      <c r="D358" t="n">
        <v>2023</v>
      </c>
      <c r="E358" t="n">
        <v>-17.71567436208992</v>
      </c>
      <c r="F358" t="n">
        <v>2.009</v>
      </c>
      <c r="G358" t="n">
        <v>3.318397</v>
      </c>
      <c r="H358" t="n">
        <v>4.087805</v>
      </c>
      <c r="I358" t="n">
        <v>21.80347936208992</v>
      </c>
      <c r="J358" t="inlineStr">
        <is>
          <t>Thailand|XCX4.L|2023</t>
        </is>
      </c>
      <c r="K358" t="inlineStr">
        <is>
          <t>Thailand|2023</t>
        </is>
      </c>
      <c r="L358" t="inlineStr">
        <is>
          <t>GBp</t>
        </is>
      </c>
    </row>
    <row r="359">
      <c r="A359" t="inlineStr">
        <is>
          <t>Thailand</t>
        </is>
      </c>
      <c r="B359" t="inlineStr">
        <is>
          <t>THA</t>
        </is>
      </c>
      <c r="C359" t="inlineStr">
        <is>
          <t>XCX4.L</t>
        </is>
      </c>
      <c r="D359" t="n">
        <v>2024</v>
      </c>
      <c r="E359" t="n">
        <v>0.02910360884749164</v>
      </c>
      <c r="F359" t="n">
        <v>2.54</v>
      </c>
      <c r="G359" t="n">
        <v>3.497714</v>
      </c>
      <c r="H359" t="n">
        <v>2.056964</v>
      </c>
      <c r="I359" t="n">
        <v>2.027860391152508</v>
      </c>
      <c r="J359" t="inlineStr">
        <is>
          <t>Thailand|XCX4.L|2024</t>
        </is>
      </c>
      <c r="K359" t="inlineStr">
        <is>
          <t>Thailand|2024</t>
        </is>
      </c>
      <c r="L359" t="inlineStr">
        <is>
          <t>GBp</t>
        </is>
      </c>
    </row>
    <row r="360">
      <c r="A360" t="inlineStr">
        <is>
          <t>Thailand</t>
        </is>
      </c>
      <c r="B360" t="inlineStr">
        <is>
          <t>THA</t>
        </is>
      </c>
      <c r="C360" t="inlineStr">
        <is>
          <t>XCX4.L</t>
        </is>
      </c>
      <c r="D360" t="n">
        <v>2025</v>
      </c>
      <c r="E360" t="n">
        <v>0.5687618492052016</v>
      </c>
      <c r="F360" t="n">
        <v>2</v>
      </c>
      <c r="G360" t="n">
        <v>2.200039</v>
      </c>
      <c r="H360" t="n">
        <v>6.088111</v>
      </c>
      <c r="I360" t="n">
        <v>5.519349150794798</v>
      </c>
      <c r="J360" t="inlineStr">
        <is>
          <t>Thailand|XCX4.L|2025</t>
        </is>
      </c>
      <c r="K360" t="inlineStr">
        <is>
          <t>Thailand|2025</t>
        </is>
      </c>
      <c r="L360" t="inlineStr">
        <is>
          <t>GBp</t>
        </is>
      </c>
    </row>
    <row r="361">
      <c r="A361" t="inlineStr">
        <is>
          <t>Thailand</t>
        </is>
      </c>
      <c r="B361" t="inlineStr">
        <is>
          <t>THA</t>
        </is>
      </c>
      <c r="C361" t="inlineStr">
        <is>
          <t>XCX4.L</t>
        </is>
      </c>
      <c r="D361" t="n">
        <v>2026</v>
      </c>
      <c r="E361" t="n">
        <v>22.57785467128026</v>
      </c>
      <c r="F361" t="n">
        <v>1.6</v>
      </c>
      <c r="G361" t="n">
        <v>2.299587</v>
      </c>
      <c r="H361" t="n">
        <v>0.525625</v>
      </c>
      <c r="I361" t="n">
        <v>-22.05222967128026</v>
      </c>
      <c r="J361" t="inlineStr">
        <is>
          <t>Thailand|XCX4.L|2026</t>
        </is>
      </c>
      <c r="K361" t="inlineStr">
        <is>
          <t>Thailand|2026</t>
        </is>
      </c>
      <c r="L361" t="inlineStr">
        <is>
          <t>GBp</t>
        </is>
      </c>
    </row>
    <row r="362">
      <c r="A362" t="inlineStr">
        <is>
          <t>Turkey</t>
        </is>
      </c>
      <c r="B362" t="inlineStr">
        <is>
          <t>TUR</t>
        </is>
      </c>
      <c r="C362" t="inlineStr">
        <is>
          <t>TURL.L</t>
        </is>
      </c>
      <c r="D362" t="n">
        <v>2015</v>
      </c>
      <c r="E362" t="n">
        <v>-25.52255900399854</v>
      </c>
      <c r="F362" t="n">
        <v>5.806</v>
      </c>
      <c r="G362" t="inlineStr"/>
      <c r="H362" t="inlineStr"/>
      <c r="I362" t="inlineStr"/>
      <c r="J362" t="inlineStr">
        <is>
          <t>Turkey|TURL.L|2015</t>
        </is>
      </c>
      <c r="K362" t="inlineStr">
        <is>
          <t>Turkey|2015</t>
        </is>
      </c>
      <c r="L362" t="inlineStr">
        <is>
          <t>GBp</t>
        </is>
      </c>
    </row>
    <row r="363">
      <c r="A363" t="inlineStr">
        <is>
          <t>Turkey</t>
        </is>
      </c>
      <c r="B363" t="inlineStr">
        <is>
          <t>TUR</t>
        </is>
      </c>
      <c r="C363" t="inlineStr">
        <is>
          <t>TURL.L</t>
        </is>
      </c>
      <c r="D363" t="n">
        <v>2016</v>
      </c>
      <c r="E363" t="n">
        <v>-0.3158486147618378</v>
      </c>
      <c r="F363" t="n">
        <v>3.324</v>
      </c>
      <c r="G363" t="n">
        <v>11.721414</v>
      </c>
      <c r="H363" t="n">
        <v>0.24591</v>
      </c>
      <c r="I363" t="n">
        <v>0.5617586147618377</v>
      </c>
      <c r="J363" t="inlineStr">
        <is>
          <t>Turkey|TURL.L|2016</t>
        </is>
      </c>
      <c r="K363" t="inlineStr">
        <is>
          <t>Turkey|2016</t>
        </is>
      </c>
      <c r="L363" t="inlineStr">
        <is>
          <t>GBp</t>
        </is>
      </c>
    </row>
    <row r="364">
      <c r="A364" t="inlineStr">
        <is>
          <t>Turkey</t>
        </is>
      </c>
      <c r="B364" t="inlineStr">
        <is>
          <t>TUR</t>
        </is>
      </c>
      <c r="C364" t="inlineStr">
        <is>
          <t>TURL.L</t>
        </is>
      </c>
      <c r="D364" t="n">
        <v>2017</v>
      </c>
      <c r="E364" t="n">
        <v>23.70318302148371</v>
      </c>
      <c r="F364" t="n">
        <v>7.826</v>
      </c>
      <c r="G364" t="n">
        <v>19.830547</v>
      </c>
      <c r="H364" t="n">
        <v>-0.739137</v>
      </c>
      <c r="I364" t="n">
        <v>-24.44232002148371</v>
      </c>
      <c r="J364" t="inlineStr">
        <is>
          <t>Turkey|TURL.L|2017</t>
        </is>
      </c>
      <c r="K364" t="inlineStr">
        <is>
          <t>Turkey|2017</t>
        </is>
      </c>
      <c r="L364" t="inlineStr">
        <is>
          <t>GBp</t>
        </is>
      </c>
    </row>
    <row r="365">
      <c r="A365" t="inlineStr">
        <is>
          <t>Turkey</t>
        </is>
      </c>
      <c r="B365" t="inlineStr">
        <is>
          <t>TUR</t>
        </is>
      </c>
      <c r="C365" t="inlineStr">
        <is>
          <t>TURL.L</t>
        </is>
      </c>
      <c r="D365" t="n">
        <v>2018</v>
      </c>
      <c r="E365" t="n">
        <v>-41.33845213022326</v>
      </c>
      <c r="F365" t="n">
        <v>3.468</v>
      </c>
      <c r="G365" t="n">
        <v>20.781976</v>
      </c>
      <c r="H365" t="n">
        <v>-6.55025</v>
      </c>
      <c r="I365" t="n">
        <v>34.78820213022326</v>
      </c>
      <c r="J365" t="inlineStr">
        <is>
          <t>Turkey|TURL.L|2018</t>
        </is>
      </c>
      <c r="K365" t="inlineStr">
        <is>
          <t>Turkey|2018</t>
        </is>
      </c>
      <c r="L365" t="inlineStr">
        <is>
          <t>GBp</t>
        </is>
      </c>
    </row>
    <row r="366">
      <c r="A366" t="inlineStr">
        <is>
          <t>Turkey</t>
        </is>
      </c>
      <c r="B366" t="inlineStr">
        <is>
          <t>TUR</t>
        </is>
      </c>
      <c r="C366" t="inlineStr">
        <is>
          <t>TURL.L</t>
        </is>
      </c>
      <c r="D366" t="n">
        <v>2019</v>
      </c>
      <c r="E366" t="n">
        <v>-0.8868204404142599</v>
      </c>
      <c r="F366" t="n">
        <v>1.302</v>
      </c>
      <c r="G366" t="n">
        <v>15.646244</v>
      </c>
      <c r="H366" t="n">
        <v>-3.975509</v>
      </c>
      <c r="I366" t="n">
        <v>-3.08868855958574</v>
      </c>
      <c r="J366" t="inlineStr">
        <is>
          <t>Turkey|TURL.L|2019</t>
        </is>
      </c>
      <c r="K366" t="inlineStr">
        <is>
          <t>Turkey|2019</t>
        </is>
      </c>
      <c r="L366" t="inlineStr">
        <is>
          <t>GBp</t>
        </is>
      </c>
    </row>
    <row r="367">
      <c r="A367" t="inlineStr">
        <is>
          <t>Turkey</t>
        </is>
      </c>
      <c r="B367" t="inlineStr">
        <is>
          <t>TUR</t>
        </is>
      </c>
      <c r="C367" t="inlineStr">
        <is>
          <t>TURL.L</t>
        </is>
      </c>
      <c r="D367" t="n">
        <v>2020</v>
      </c>
      <c r="E367" t="n">
        <v>-14.3073700427641</v>
      </c>
      <c r="F367" t="n">
        <v>1.803</v>
      </c>
      <c r="G367" t="n">
        <v>16.802649</v>
      </c>
      <c r="H367" t="n">
        <v>-5.789044</v>
      </c>
      <c r="I367" t="n">
        <v>8.518326042764102</v>
      </c>
      <c r="J367" t="inlineStr">
        <is>
          <t>Turkey|TURL.L|2020</t>
        </is>
      </c>
      <c r="K367" t="inlineStr">
        <is>
          <t>Turkey|2020</t>
        </is>
      </c>
      <c r="L367" t="inlineStr">
        <is>
          <t>GBp</t>
        </is>
      </c>
    </row>
    <row r="368">
      <c r="A368" t="inlineStr">
        <is>
          <t>Turkey</t>
        </is>
      </c>
      <c r="B368" t="inlineStr">
        <is>
          <t>TUR</t>
        </is>
      </c>
      <c r="C368" t="inlineStr">
        <is>
          <t>TURL.L</t>
        </is>
      </c>
      <c r="D368" t="n">
        <v>2021</v>
      </c>
      <c r="E368" t="n">
        <v>-26.40840105068237</v>
      </c>
      <c r="F368" t="n">
        <v>11.811</v>
      </c>
      <c r="G368" t="n">
        <v>44.578332</v>
      </c>
      <c r="H368" t="n">
        <v>13.326305</v>
      </c>
      <c r="I368" t="n">
        <v>39.73470605068237</v>
      </c>
      <c r="J368" t="inlineStr">
        <is>
          <t>Turkey|TURL.L|2021</t>
        </is>
      </c>
      <c r="K368" t="inlineStr">
        <is>
          <t>Turkey|2021</t>
        </is>
      </c>
      <c r="L368" t="inlineStr">
        <is>
          <t>GBp</t>
        </is>
      </c>
    </row>
    <row r="369">
      <c r="A369" t="inlineStr">
        <is>
          <t>Turkey</t>
        </is>
      </c>
      <c r="B369" t="inlineStr">
        <is>
          <t>TUR</t>
        </is>
      </c>
      <c r="C369" t="inlineStr">
        <is>
          <t>TURL.L</t>
        </is>
      </c>
      <c r="D369" t="n">
        <v>2022</v>
      </c>
      <c r="E369" t="n">
        <v>109.6554391742339</v>
      </c>
      <c r="F369" t="n">
        <v>5.441</v>
      </c>
      <c r="G369" t="n">
        <v>106.164519</v>
      </c>
      <c r="H369" t="n">
        <v>11.729149</v>
      </c>
      <c r="I369" t="n">
        <v>-97.92629017423391</v>
      </c>
      <c r="J369" t="inlineStr">
        <is>
          <t>Turkey|TURL.L|2022</t>
        </is>
      </c>
      <c r="K369" t="inlineStr">
        <is>
          <t>Turkey|2022</t>
        </is>
      </c>
      <c r="L369" t="inlineStr">
        <is>
          <t>GBp</t>
        </is>
      </c>
    </row>
    <row r="370">
      <c r="A370" t="inlineStr">
        <is>
          <t>Turkey</t>
        </is>
      </c>
      <c r="B370" t="inlineStr">
        <is>
          <t>TUR</t>
        </is>
      </c>
      <c r="C370" t="inlineStr">
        <is>
          <t>TURL.L</t>
        </is>
      </c>
      <c r="D370" t="n">
        <v>2023</v>
      </c>
      <c r="E370" t="n">
        <v>-19.83238917593529</v>
      </c>
      <c r="F370" t="n">
        <v>5.045</v>
      </c>
      <c r="G370" t="n">
        <v>76.769673</v>
      </c>
      <c r="H370" t="n">
        <v>24.713977</v>
      </c>
      <c r="I370" t="n">
        <v>44.54636617593529</v>
      </c>
      <c r="J370" t="inlineStr">
        <is>
          <t>Turkey|TURL.L|2023</t>
        </is>
      </c>
      <c r="K370" t="inlineStr">
        <is>
          <t>Turkey|2023</t>
        </is>
      </c>
      <c r="L370" t="inlineStr">
        <is>
          <t>GBp</t>
        </is>
      </c>
    </row>
    <row r="371">
      <c r="A371" t="inlineStr">
        <is>
          <t>Turkey</t>
        </is>
      </c>
      <c r="B371" t="inlineStr">
        <is>
          <t>TUR</t>
        </is>
      </c>
      <c r="C371" t="inlineStr">
        <is>
          <t>TURL.L</t>
        </is>
      </c>
      <c r="D371" t="n">
        <v>2024</v>
      </c>
      <c r="E371" t="n">
        <v>0</v>
      </c>
      <c r="F371" t="n">
        <v>3.328</v>
      </c>
      <c r="G371" t="n">
        <v>64.580319</v>
      </c>
      <c r="H371" t="n">
        <v>17.771342</v>
      </c>
      <c r="I371" t="n">
        <v>17.771342</v>
      </c>
      <c r="J371" t="inlineStr">
        <is>
          <t>Turkey|TURL.L|2024</t>
        </is>
      </c>
      <c r="K371" t="inlineStr">
        <is>
          <t>Turkey|2024</t>
        </is>
      </c>
      <c r="L371" t="inlineStr">
        <is>
          <t>GBp</t>
        </is>
      </c>
    </row>
    <row r="372">
      <c r="A372" t="inlineStr">
        <is>
          <t>Turkey</t>
        </is>
      </c>
      <c r="B372" t="inlineStr">
        <is>
          <t>TUR</t>
        </is>
      </c>
      <c r="C372" t="inlineStr">
        <is>
          <t>TURL.L</t>
        </is>
      </c>
      <c r="D372" t="n">
        <v>2025</v>
      </c>
      <c r="E372" t="n">
        <v>0</v>
      </c>
      <c r="F372" t="n">
        <v>3.494</v>
      </c>
      <c r="G372" t="n">
        <v>39.453331</v>
      </c>
      <c r="H372" t="n">
        <v>15.256385</v>
      </c>
      <c r="I372" t="n">
        <v>15.256385</v>
      </c>
      <c r="J372" t="inlineStr">
        <is>
          <t>Turkey|TURL.L|2025</t>
        </is>
      </c>
      <c r="K372" t="inlineStr">
        <is>
          <t>Turkey|2025</t>
        </is>
      </c>
      <c r="L372" t="inlineStr">
        <is>
          <t>GBp</t>
        </is>
      </c>
    </row>
    <row r="373">
      <c r="A373" t="inlineStr">
        <is>
          <t>Turkey</t>
        </is>
      </c>
      <c r="B373" t="inlineStr">
        <is>
          <t>TUR</t>
        </is>
      </c>
      <c r="C373" t="inlineStr">
        <is>
          <t>TURL.L</t>
        </is>
      </c>
      <c r="D373" t="n">
        <v>2026</v>
      </c>
      <c r="E373" t="n">
        <v>0</v>
      </c>
      <c r="F373" t="n">
        <v>3.693</v>
      </c>
      <c r="G373" t="n">
        <v>28.538319</v>
      </c>
      <c r="H373" t="n">
        <v>0.679604</v>
      </c>
      <c r="I373" t="n">
        <v>0.679604</v>
      </c>
      <c r="J373" t="inlineStr">
        <is>
          <t>Turkey|TURL.L|2026</t>
        </is>
      </c>
      <c r="K373" t="inlineStr">
        <is>
          <t>Turkey|2026</t>
        </is>
      </c>
      <c r="L373" t="inlineStr">
        <is>
          <t>GBp</t>
        </is>
      </c>
    </row>
    <row r="374">
      <c r="A374" t="inlineStr">
        <is>
          <t>United Kingdom</t>
        </is>
      </c>
      <c r="B374" t="inlineStr">
        <is>
          <t>GBR</t>
        </is>
      </c>
      <c r="C374" t="inlineStr">
        <is>
          <t>CSUK.L</t>
        </is>
      </c>
      <c r="D374" t="n">
        <v>2015</v>
      </c>
      <c r="E374" t="n">
        <v>-2.0339794209141</v>
      </c>
      <c r="F374" t="n">
        <v>2.223</v>
      </c>
      <c r="G374" t="inlineStr"/>
      <c r="H374" t="inlineStr"/>
      <c r="I374" t="inlineStr"/>
      <c r="J374" t="inlineStr">
        <is>
          <t>United Kingdom|CSUK.L|2015</t>
        </is>
      </c>
      <c r="K374" t="inlineStr">
        <is>
          <t>United Kingdom|2015</t>
        </is>
      </c>
      <c r="L374" t="inlineStr">
        <is>
          <t>GBp</t>
        </is>
      </c>
    </row>
    <row r="375">
      <c r="A375" t="inlineStr">
        <is>
          <t>United Kingdom</t>
        </is>
      </c>
      <c r="B375" t="inlineStr">
        <is>
          <t>GBR</t>
        </is>
      </c>
      <c r="C375" t="inlineStr">
        <is>
          <t>CSUK.L</t>
        </is>
      </c>
      <c r="D375" t="n">
        <v>2016</v>
      </c>
      <c r="E375" t="n">
        <v>21.43933685003767</v>
      </c>
      <c r="F375" t="n">
        <v>1.922</v>
      </c>
      <c r="G375" t="n">
        <v>3.923607</v>
      </c>
      <c r="H375" t="n">
        <v>-7.835665</v>
      </c>
      <c r="I375" t="n">
        <v>-29.27500185003767</v>
      </c>
      <c r="J375" t="inlineStr">
        <is>
          <t>United Kingdom|CSUK.L|2016</t>
        </is>
      </c>
      <c r="K375" t="inlineStr">
        <is>
          <t>United Kingdom|2016</t>
        </is>
      </c>
      <c r="L375" t="inlineStr">
        <is>
          <t>GBp</t>
        </is>
      </c>
    </row>
    <row r="376">
      <c r="A376" t="inlineStr">
        <is>
          <t>United Kingdom</t>
        </is>
      </c>
      <c r="B376" t="inlineStr">
        <is>
          <t>GBR</t>
        </is>
      </c>
      <c r="C376" t="inlineStr">
        <is>
          <t>CSUK.L</t>
        </is>
      </c>
      <c r="D376" t="n">
        <v>2017</v>
      </c>
      <c r="E376" t="n">
        <v>10.78797808611951</v>
      </c>
      <c r="F376" t="n">
        <v>2.657</v>
      </c>
      <c r="G376" t="n">
        <v>4.560903</v>
      </c>
      <c r="H376" t="n">
        <v>-0.618802</v>
      </c>
      <c r="I376" t="n">
        <v>-11.40678008611951</v>
      </c>
      <c r="J376" t="inlineStr">
        <is>
          <t>United Kingdom|CSUK.L|2017</t>
        </is>
      </c>
      <c r="K376" t="inlineStr">
        <is>
          <t>United Kingdom|2017</t>
        </is>
      </c>
      <c r="L376" t="inlineStr">
        <is>
          <t>GBp</t>
        </is>
      </c>
    </row>
    <row r="377">
      <c r="A377" t="inlineStr">
        <is>
          <t>United Kingdom</t>
        </is>
      </c>
      <c r="B377" t="inlineStr">
        <is>
          <t>GBR</t>
        </is>
      </c>
      <c r="C377" t="inlineStr">
        <is>
          <t>CSUK.L</t>
        </is>
      </c>
      <c r="D377" t="n">
        <v>2018</v>
      </c>
      <c r="E377" t="n">
        <v>-8.762214983713356</v>
      </c>
      <c r="F377" t="n">
        <v>1.405</v>
      </c>
      <c r="G377" t="n">
        <v>3.352826</v>
      </c>
      <c r="H377" t="n">
        <v>7.181671</v>
      </c>
      <c r="I377" t="n">
        <v>15.94388598371336</v>
      </c>
      <c r="J377" t="inlineStr">
        <is>
          <t>United Kingdom|CSUK.L|2018</t>
        </is>
      </c>
      <c r="K377" t="inlineStr">
        <is>
          <t>United Kingdom|2018</t>
        </is>
      </c>
      <c r="L377" t="inlineStr">
        <is>
          <t>GBp</t>
        </is>
      </c>
    </row>
    <row r="378">
      <c r="A378" t="inlineStr">
        <is>
          <t>United Kingdom</t>
        </is>
      </c>
      <c r="B378" t="inlineStr">
        <is>
          <t>GBR</t>
        </is>
      </c>
      <c r="C378" t="inlineStr">
        <is>
          <t>CSUK.L</t>
        </is>
      </c>
      <c r="D378" t="n">
        <v>2019</v>
      </c>
      <c r="E378" t="n">
        <v>16.07315706352846</v>
      </c>
      <c r="F378" t="n">
        <v>1.624</v>
      </c>
      <c r="G378" t="n">
        <v>3.792076</v>
      </c>
      <c r="H378" t="n">
        <v>-0.763472</v>
      </c>
      <c r="I378" t="n">
        <v>-16.83662906352846</v>
      </c>
      <c r="J378" t="inlineStr">
        <is>
          <t>United Kingdom|CSUK.L|2019</t>
        </is>
      </c>
      <c r="K378" t="inlineStr">
        <is>
          <t>United Kingdom|2019</t>
        </is>
      </c>
      <c r="L378" t="inlineStr">
        <is>
          <t>GBp</t>
        </is>
      </c>
    </row>
    <row r="379">
      <c r="A379" t="inlineStr">
        <is>
          <t>United Kingdom</t>
        </is>
      </c>
      <c r="B379" t="inlineStr">
        <is>
          <t>GBR</t>
        </is>
      </c>
      <c r="C379" t="inlineStr">
        <is>
          <t>CSUK.L</t>
        </is>
      </c>
      <c r="D379" t="n">
        <v>2020</v>
      </c>
      <c r="E379" t="n">
        <v>-13.76937815711548</v>
      </c>
      <c r="F379" t="n">
        <v>-10.297</v>
      </c>
      <c r="G379" t="n">
        <v>-5.838837</v>
      </c>
      <c r="H379" t="n">
        <v>-5.41062</v>
      </c>
      <c r="I379" t="n">
        <v>8.358758157115476</v>
      </c>
      <c r="J379" t="inlineStr">
        <is>
          <t>United Kingdom|CSUK.L|2020</t>
        </is>
      </c>
      <c r="K379" t="inlineStr">
        <is>
          <t>United Kingdom|2020</t>
        </is>
      </c>
      <c r="L379" t="inlineStr">
        <is>
          <t>GBp</t>
        </is>
      </c>
    </row>
    <row r="380">
      <c r="A380" t="inlineStr">
        <is>
          <t>United Kingdom</t>
        </is>
      </c>
      <c r="B380" t="inlineStr">
        <is>
          <t>GBR</t>
        </is>
      </c>
      <c r="C380" t="inlineStr">
        <is>
          <t>CSUK.L</t>
        </is>
      </c>
      <c r="D380" t="n">
        <v>2021</v>
      </c>
      <c r="E380" t="n">
        <v>16.31212723658053</v>
      </c>
      <c r="F380" t="n">
        <v>8.576000000000001</v>
      </c>
      <c r="G380" t="n">
        <v>8.648215</v>
      </c>
      <c r="H380" t="n">
        <v>16.503249</v>
      </c>
      <c r="I380" t="n">
        <v>0.1911217634194706</v>
      </c>
      <c r="J380" t="inlineStr">
        <is>
          <t>United Kingdom|CSUK.L|2021</t>
        </is>
      </c>
      <c r="K380" t="inlineStr">
        <is>
          <t>United Kingdom|2021</t>
        </is>
      </c>
      <c r="L380" t="inlineStr">
        <is>
          <t>GBp</t>
        </is>
      </c>
    </row>
    <row r="381">
      <c r="A381" t="inlineStr">
        <is>
          <t>United Kingdom</t>
        </is>
      </c>
      <c r="B381" t="inlineStr">
        <is>
          <t>GBR</t>
        </is>
      </c>
      <c r="C381" t="inlineStr">
        <is>
          <t>CSUK.L</t>
        </is>
      </c>
      <c r="D381" t="n">
        <v>2022</v>
      </c>
      <c r="E381" t="n">
        <v>5.392692146157074</v>
      </c>
      <c r="F381" t="n">
        <v>4.839</v>
      </c>
      <c r="G381" t="n">
        <v>10.546425</v>
      </c>
      <c r="H381" t="n">
        <v>-0.593974</v>
      </c>
      <c r="I381" t="n">
        <v>-5.986666146157074</v>
      </c>
      <c r="J381" t="inlineStr">
        <is>
          <t>United Kingdom|CSUK.L|2022</t>
        </is>
      </c>
      <c r="K381" t="inlineStr">
        <is>
          <t>United Kingdom|2022</t>
        </is>
      </c>
      <c r="L381" t="inlineStr">
        <is>
          <t>GBp</t>
        </is>
      </c>
    </row>
    <row r="382">
      <c r="A382" t="inlineStr">
        <is>
          <t>United Kingdom</t>
        </is>
      </c>
      <c r="B382" t="inlineStr">
        <is>
          <t>GBR</t>
        </is>
      </c>
      <c r="C382" t="inlineStr">
        <is>
          <t>CSUK.L</t>
        </is>
      </c>
      <c r="D382" t="n">
        <v>2023</v>
      </c>
      <c r="E382" t="n">
        <v>5.633026077365488</v>
      </c>
      <c r="F382" t="n">
        <v>0.397</v>
      </c>
      <c r="G382" t="n">
        <v>7.312973</v>
      </c>
      <c r="H382" t="n">
        <v>7.861832</v>
      </c>
      <c r="I382" t="n">
        <v>2.228805922634511</v>
      </c>
      <c r="J382" t="inlineStr">
        <is>
          <t>United Kingdom|CSUK.L|2023</t>
        </is>
      </c>
      <c r="K382" t="inlineStr">
        <is>
          <t>United Kingdom|2023</t>
        </is>
      </c>
      <c r="L382" t="inlineStr">
        <is>
          <t>GBp</t>
        </is>
      </c>
    </row>
    <row r="383">
      <c r="A383" t="inlineStr">
        <is>
          <t>United Kingdom</t>
        </is>
      </c>
      <c r="B383" t="inlineStr">
        <is>
          <t>GBR</t>
        </is>
      </c>
      <c r="C383" t="inlineStr">
        <is>
          <t>CSUK.L</t>
        </is>
      </c>
      <c r="D383" t="n">
        <v>2024</v>
      </c>
      <c r="E383" t="n">
        <v>8.961349052380241</v>
      </c>
      <c r="F383" t="n">
        <v>1.101</v>
      </c>
      <c r="G383" t="n">
        <v>5.156564</v>
      </c>
      <c r="H383" t="n">
        <v>8.113569</v>
      </c>
      <c r="I383" t="n">
        <v>-0.8477800523802408</v>
      </c>
      <c r="J383" t="inlineStr">
        <is>
          <t>United Kingdom|CSUK.L|2024</t>
        </is>
      </c>
      <c r="K383" t="inlineStr">
        <is>
          <t>United Kingdom|2024</t>
        </is>
      </c>
      <c r="L383" t="inlineStr">
        <is>
          <t>GBp</t>
        </is>
      </c>
    </row>
    <row r="384">
      <c r="A384" t="inlineStr">
        <is>
          <t>United Kingdom</t>
        </is>
      </c>
      <c r="B384" t="inlineStr">
        <is>
          <t>GBR</t>
        </is>
      </c>
      <c r="C384" t="inlineStr">
        <is>
          <t>CSUK.L</t>
        </is>
      </c>
      <c r="D384" t="n">
        <v>2025</v>
      </c>
      <c r="E384" t="n">
        <v>23.79534380075798</v>
      </c>
      <c r="F384" t="n">
        <v>1.308</v>
      </c>
      <c r="G384" t="n">
        <v>4.886901</v>
      </c>
      <c r="H384" t="n">
        <v>8.619351999999999</v>
      </c>
      <c r="I384" t="n">
        <v>-15.17599180075798</v>
      </c>
      <c r="J384" t="inlineStr">
        <is>
          <t>United Kingdom|CSUK.L|2025</t>
        </is>
      </c>
      <c r="K384" t="inlineStr">
        <is>
          <t>United Kingdom|2025</t>
        </is>
      </c>
      <c r="L384" t="inlineStr">
        <is>
          <t>GBp</t>
        </is>
      </c>
    </row>
    <row r="385">
      <c r="A385" t="inlineStr">
        <is>
          <t>United Kingdom</t>
        </is>
      </c>
      <c r="B385" t="inlineStr">
        <is>
          <t>GBR</t>
        </is>
      </c>
      <c r="C385" t="inlineStr">
        <is>
          <t>CSUK.L</t>
        </is>
      </c>
      <c r="D385" t="n">
        <v>2026</v>
      </c>
      <c r="E385" t="n">
        <v>8.840768479322714</v>
      </c>
      <c r="F385" t="n">
        <v>1.264</v>
      </c>
      <c r="G385" t="n">
        <v>3.62701</v>
      </c>
      <c r="H385" t="n">
        <v>6.74094</v>
      </c>
      <c r="I385" t="n">
        <v>-2.099828479322714</v>
      </c>
      <c r="J385" t="inlineStr">
        <is>
          <t>United Kingdom|CSUK.L|2026</t>
        </is>
      </c>
      <c r="K385" t="inlineStr">
        <is>
          <t>United Kingdom|2026</t>
        </is>
      </c>
      <c r="L385" t="inlineStr">
        <is>
          <t>GBp</t>
        </is>
      </c>
    </row>
    <row r="386">
      <c r="A386" t="inlineStr">
        <is>
          <t>United Kingdom</t>
        </is>
      </c>
      <c r="B386" t="inlineStr">
        <is>
          <t>GBR</t>
        </is>
      </c>
      <c r="C386" t="inlineStr">
        <is>
          <t>CUKX.L</t>
        </is>
      </c>
      <c r="D386" t="n">
        <v>2015</v>
      </c>
      <c r="E386" t="n">
        <v>-1.165381319622971</v>
      </c>
      <c r="F386" t="n">
        <v>2.223</v>
      </c>
      <c r="G386" t="inlineStr"/>
      <c r="H386" t="inlineStr"/>
      <c r="I386" t="inlineStr"/>
      <c r="J386" t="inlineStr">
        <is>
          <t>United Kingdom|CUKX.L|2015</t>
        </is>
      </c>
      <c r="K386" t="inlineStr">
        <is>
          <t>United Kingdom|2015</t>
        </is>
      </c>
      <c r="L386" t="inlineStr">
        <is>
          <t>GBp</t>
        </is>
      </c>
    </row>
    <row r="387">
      <c r="A387" t="inlineStr">
        <is>
          <t>United Kingdom</t>
        </is>
      </c>
      <c r="B387" t="inlineStr">
        <is>
          <t>GBR</t>
        </is>
      </c>
      <c r="C387" t="inlineStr">
        <is>
          <t>CUKX.L</t>
        </is>
      </c>
      <c r="D387" t="n">
        <v>2016</v>
      </c>
      <c r="E387" t="n">
        <v>22.1086413883276</v>
      </c>
      <c r="F387" t="n">
        <v>1.922</v>
      </c>
      <c r="G387" t="n">
        <v>3.923607</v>
      </c>
      <c r="H387" t="n">
        <v>-7.835665</v>
      </c>
      <c r="I387" t="n">
        <v>-29.9443063883276</v>
      </c>
      <c r="J387" t="inlineStr">
        <is>
          <t>United Kingdom|CUKX.L|2016</t>
        </is>
      </c>
      <c r="K387" t="inlineStr">
        <is>
          <t>United Kingdom|2016</t>
        </is>
      </c>
      <c r="L387" t="inlineStr">
        <is>
          <t>GBp</t>
        </is>
      </c>
    </row>
    <row r="388">
      <c r="A388" t="inlineStr">
        <is>
          <t>United Kingdom</t>
        </is>
      </c>
      <c r="B388" t="inlineStr">
        <is>
          <t>GBR</t>
        </is>
      </c>
      <c r="C388" t="inlineStr">
        <is>
          <t>CUKX.L</t>
        </is>
      </c>
      <c r="D388" t="n">
        <v>2017</v>
      </c>
      <c r="E388" t="n">
        <v>11.49447473821359</v>
      </c>
      <c r="F388" t="n">
        <v>2.657</v>
      </c>
      <c r="G388" t="n">
        <v>4.560903</v>
      </c>
      <c r="H388" t="n">
        <v>-0.618802</v>
      </c>
      <c r="I388" t="n">
        <v>-12.11327673821359</v>
      </c>
      <c r="J388" t="inlineStr">
        <is>
          <t>United Kingdom|CUKX.L|2017</t>
        </is>
      </c>
      <c r="K388" t="inlineStr">
        <is>
          <t>United Kingdom|2017</t>
        </is>
      </c>
      <c r="L388" t="inlineStr">
        <is>
          <t>GBp</t>
        </is>
      </c>
    </row>
    <row r="389">
      <c r="A389" t="inlineStr">
        <is>
          <t>United Kingdom</t>
        </is>
      </c>
      <c r="B389" t="inlineStr">
        <is>
          <t>GBR</t>
        </is>
      </c>
      <c r="C389" t="inlineStr">
        <is>
          <t>CUKX.L</t>
        </is>
      </c>
      <c r="D389" t="n">
        <v>2018</v>
      </c>
      <c r="E389" t="n">
        <v>-8.379839553540302</v>
      </c>
      <c r="F389" t="n">
        <v>1.405</v>
      </c>
      <c r="G389" t="n">
        <v>3.352826</v>
      </c>
      <c r="H389" t="n">
        <v>7.181671</v>
      </c>
      <c r="I389" t="n">
        <v>15.5615105535403</v>
      </c>
      <c r="J389" t="inlineStr">
        <is>
          <t>United Kingdom|CUKX.L|2018</t>
        </is>
      </c>
      <c r="K389" t="inlineStr">
        <is>
          <t>United Kingdom|2018</t>
        </is>
      </c>
      <c r="L389" t="inlineStr">
        <is>
          <t>GBp</t>
        </is>
      </c>
    </row>
    <row r="390">
      <c r="A390" t="inlineStr">
        <is>
          <t>United Kingdom</t>
        </is>
      </c>
      <c r="B390" t="inlineStr">
        <is>
          <t>GBR</t>
        </is>
      </c>
      <c r="C390" t="inlineStr">
        <is>
          <t>CUKX.L</t>
        </is>
      </c>
      <c r="D390" t="n">
        <v>2019</v>
      </c>
      <c r="E390" t="n">
        <v>17.23776889396536</v>
      </c>
      <c r="F390" t="n">
        <v>1.624</v>
      </c>
      <c r="G390" t="n">
        <v>3.792076</v>
      </c>
      <c r="H390" t="n">
        <v>-0.763472</v>
      </c>
      <c r="I390" t="n">
        <v>-18.00124089396536</v>
      </c>
      <c r="J390" t="inlineStr">
        <is>
          <t>United Kingdom|CUKX.L|2019</t>
        </is>
      </c>
      <c r="K390" t="inlineStr">
        <is>
          <t>United Kingdom|2019</t>
        </is>
      </c>
      <c r="L390" t="inlineStr">
        <is>
          <t>GBp</t>
        </is>
      </c>
    </row>
    <row r="391">
      <c r="A391" t="inlineStr">
        <is>
          <t>United Kingdom</t>
        </is>
      </c>
      <c r="B391" t="inlineStr">
        <is>
          <t>GBR</t>
        </is>
      </c>
      <c r="C391" t="inlineStr">
        <is>
          <t>CUKX.L</t>
        </is>
      </c>
      <c r="D391" t="n">
        <v>2020</v>
      </c>
      <c r="E391" t="n">
        <v>-12.13315108145051</v>
      </c>
      <c r="F391" t="n">
        <v>-10.297</v>
      </c>
      <c r="G391" t="n">
        <v>-5.838837</v>
      </c>
      <c r="H391" t="n">
        <v>-5.41062</v>
      </c>
      <c r="I391" t="n">
        <v>6.72253108145051</v>
      </c>
      <c r="J391" t="inlineStr">
        <is>
          <t>United Kingdom|CUKX.L|2020</t>
        </is>
      </c>
      <c r="K391" t="inlineStr">
        <is>
          <t>United Kingdom|2020</t>
        </is>
      </c>
      <c r="L391" t="inlineStr">
        <is>
          <t>GBp</t>
        </is>
      </c>
    </row>
    <row r="392">
      <c r="A392" t="inlineStr">
        <is>
          <t>United Kingdom</t>
        </is>
      </c>
      <c r="B392" t="inlineStr">
        <is>
          <t>GBR</t>
        </is>
      </c>
      <c r="C392" t="inlineStr">
        <is>
          <t>CUKX.L</t>
        </is>
      </c>
      <c r="D392" t="n">
        <v>2021</v>
      </c>
      <c r="E392" t="n">
        <v>15.65765765765765</v>
      </c>
      <c r="F392" t="n">
        <v>8.576000000000001</v>
      </c>
      <c r="G392" t="n">
        <v>8.648215</v>
      </c>
      <c r="H392" t="n">
        <v>16.503249</v>
      </c>
      <c r="I392" t="n">
        <v>0.8455913423423471</v>
      </c>
      <c r="J392" t="inlineStr">
        <is>
          <t>United Kingdom|CUKX.L|2021</t>
        </is>
      </c>
      <c r="K392" t="inlineStr">
        <is>
          <t>United Kingdom|2021</t>
        </is>
      </c>
      <c r="L392" t="inlineStr">
        <is>
          <t>GBp</t>
        </is>
      </c>
    </row>
    <row r="393">
      <c r="A393" t="inlineStr">
        <is>
          <t>United Kingdom</t>
        </is>
      </c>
      <c r="B393" t="inlineStr">
        <is>
          <t>GBR</t>
        </is>
      </c>
      <c r="C393" t="inlineStr">
        <is>
          <t>CUKX.L</t>
        </is>
      </c>
      <c r="D393" t="n">
        <v>2022</v>
      </c>
      <c r="E393" t="n">
        <v>3.343558282208581</v>
      </c>
      <c r="F393" t="n">
        <v>4.839</v>
      </c>
      <c r="G393" t="n">
        <v>10.546425</v>
      </c>
      <c r="H393" t="n">
        <v>-0.593974</v>
      </c>
      <c r="I393" t="n">
        <v>-3.937532282208581</v>
      </c>
      <c r="J393" t="inlineStr">
        <is>
          <t>United Kingdom|CUKX.L|2022</t>
        </is>
      </c>
      <c r="K393" t="inlineStr">
        <is>
          <t>United Kingdom|2022</t>
        </is>
      </c>
      <c r="L393" t="inlineStr">
        <is>
          <t>GBp</t>
        </is>
      </c>
    </row>
    <row r="394">
      <c r="A394" t="inlineStr">
        <is>
          <t>United Kingdom</t>
        </is>
      </c>
      <c r="B394" t="inlineStr">
        <is>
          <t>GBR</t>
        </is>
      </c>
      <c r="C394" t="inlineStr">
        <is>
          <t>CUKX.L</t>
        </is>
      </c>
      <c r="D394" t="n">
        <v>2023</v>
      </c>
      <c r="E394" t="n">
        <v>6.578560939794431</v>
      </c>
      <c r="F394" t="n">
        <v>0.397</v>
      </c>
      <c r="G394" t="n">
        <v>7.312973</v>
      </c>
      <c r="H394" t="n">
        <v>7.861832</v>
      </c>
      <c r="I394" t="n">
        <v>1.283271060205569</v>
      </c>
      <c r="J394" t="inlineStr">
        <is>
          <t>United Kingdom|CUKX.L|2023</t>
        </is>
      </c>
      <c r="K394" t="inlineStr">
        <is>
          <t>United Kingdom|2023</t>
        </is>
      </c>
      <c r="L394" t="inlineStr">
        <is>
          <t>GBp</t>
        </is>
      </c>
    </row>
    <row r="395">
      <c r="A395" t="inlineStr">
        <is>
          <t>United Kingdom</t>
        </is>
      </c>
      <c r="B395" t="inlineStr">
        <is>
          <t>GBR</t>
        </is>
      </c>
      <c r="C395" t="inlineStr">
        <is>
          <t>CUKX.L</t>
        </is>
      </c>
      <c r="D395" t="n">
        <v>2024</v>
      </c>
      <c r="E395" t="n">
        <v>9.390512961941532</v>
      </c>
      <c r="F395" t="n">
        <v>1.101</v>
      </c>
      <c r="G395" t="n">
        <v>5.156564</v>
      </c>
      <c r="H395" t="n">
        <v>8.113569</v>
      </c>
      <c r="I395" t="n">
        <v>-1.276943961941532</v>
      </c>
      <c r="J395" t="inlineStr">
        <is>
          <t>United Kingdom|CUKX.L|2024</t>
        </is>
      </c>
      <c r="K395" t="inlineStr">
        <is>
          <t>United Kingdom|2024</t>
        </is>
      </c>
      <c r="L395" t="inlineStr">
        <is>
          <t>GBp</t>
        </is>
      </c>
    </row>
    <row r="396">
      <c r="A396" t="inlineStr">
        <is>
          <t>United Kingdom</t>
        </is>
      </c>
      <c r="B396" t="inlineStr">
        <is>
          <t>GBR</t>
        </is>
      </c>
      <c r="C396" t="inlineStr">
        <is>
          <t>CUKX.L</t>
        </is>
      </c>
      <c r="D396" t="n">
        <v>2025</v>
      </c>
      <c r="E396" t="n">
        <v>24.46052139204191</v>
      </c>
      <c r="F396" t="n">
        <v>1.308</v>
      </c>
      <c r="G396" t="n">
        <v>4.886901</v>
      </c>
      <c r="H396" t="n">
        <v>8.619351999999999</v>
      </c>
      <c r="I396" t="n">
        <v>-15.84116939204191</v>
      </c>
      <c r="J396" t="inlineStr">
        <is>
          <t>United Kingdom|CUKX.L|2025</t>
        </is>
      </c>
      <c r="K396" t="inlineStr">
        <is>
          <t>United Kingdom|2025</t>
        </is>
      </c>
      <c r="L396" t="inlineStr">
        <is>
          <t>GBp</t>
        </is>
      </c>
    </row>
    <row r="397">
      <c r="A397" t="inlineStr">
        <is>
          <t>United Kingdom</t>
        </is>
      </c>
      <c r="B397" t="inlineStr">
        <is>
          <t>GBR</t>
        </is>
      </c>
      <c r="C397" t="inlineStr">
        <is>
          <t>CUKX.L</t>
        </is>
      </c>
      <c r="D397" t="n">
        <v>2026</v>
      </c>
      <c r="E397" t="n">
        <v>8.526551982049369</v>
      </c>
      <c r="F397" t="n">
        <v>1.264</v>
      </c>
      <c r="G397" t="n">
        <v>3.62701</v>
      </c>
      <c r="H397" t="n">
        <v>6.74094</v>
      </c>
      <c r="I397" t="n">
        <v>-1.785611982049369</v>
      </c>
      <c r="J397" t="inlineStr">
        <is>
          <t>United Kingdom|CUKX.L|2026</t>
        </is>
      </c>
      <c r="K397" t="inlineStr">
        <is>
          <t>United Kingdom|2026</t>
        </is>
      </c>
      <c r="L397" t="inlineStr">
        <is>
          <t>GBp</t>
        </is>
      </c>
    </row>
    <row r="398">
      <c r="A398" t="inlineStr">
        <is>
          <t>United States</t>
        </is>
      </c>
      <c r="B398" t="inlineStr">
        <is>
          <t>USA</t>
        </is>
      </c>
      <c r="C398" t="inlineStr">
        <is>
          <t>SPXL.L</t>
        </is>
      </c>
      <c r="D398" t="n">
        <v>2015</v>
      </c>
      <c r="E398" t="inlineStr"/>
      <c r="F398" t="n">
        <v>2.946</v>
      </c>
      <c r="G398" t="inlineStr"/>
      <c r="H398" t="inlineStr"/>
      <c r="I398" t="inlineStr"/>
      <c r="J398" t="inlineStr">
        <is>
          <t>United States|SPXL.L|2015</t>
        </is>
      </c>
      <c r="K398" t="inlineStr">
        <is>
          <t>United States|2015</t>
        </is>
      </c>
      <c r="L398" t="inlineStr">
        <is>
          <t>GBP</t>
        </is>
      </c>
    </row>
    <row r="399">
      <c r="A399" t="inlineStr">
        <is>
          <t>United States</t>
        </is>
      </c>
      <c r="B399" t="inlineStr">
        <is>
          <t>USA</t>
        </is>
      </c>
      <c r="C399" t="inlineStr">
        <is>
          <t>SPXL.L</t>
        </is>
      </c>
      <c r="D399" t="n">
        <v>2016</v>
      </c>
      <c r="E399" t="inlineStr"/>
      <c r="F399" t="n">
        <v>1.82</v>
      </c>
      <c r="G399" t="n">
        <v>2.7871</v>
      </c>
      <c r="H399" t="n">
        <v>2.7871</v>
      </c>
      <c r="I399" t="inlineStr"/>
      <c r="J399" t="inlineStr">
        <is>
          <t>United States|SPXL.L|2016</t>
        </is>
      </c>
      <c r="K399" t="inlineStr">
        <is>
          <t>United States|2016</t>
        </is>
      </c>
      <c r="L399" t="inlineStr">
        <is>
          <t>GBP</t>
        </is>
      </c>
    </row>
    <row r="400">
      <c r="A400" t="inlineStr">
        <is>
          <t>United States</t>
        </is>
      </c>
      <c r="B400" t="inlineStr">
        <is>
          <t>USA</t>
        </is>
      </c>
      <c r="C400" t="inlineStr">
        <is>
          <t>SPXL.L</t>
        </is>
      </c>
      <c r="D400" t="n">
        <v>2017</v>
      </c>
      <c r="E400" t="inlineStr"/>
      <c r="F400" t="n">
        <v>2.458</v>
      </c>
      <c r="G400" t="n">
        <v>4.292498</v>
      </c>
      <c r="H400" t="n">
        <v>4.292498</v>
      </c>
      <c r="I400" t="inlineStr"/>
      <c r="J400" t="inlineStr">
        <is>
          <t>United States|SPXL.L|2017</t>
        </is>
      </c>
      <c r="K400" t="inlineStr">
        <is>
          <t>United States|2017</t>
        </is>
      </c>
      <c r="L400" t="inlineStr">
        <is>
          <t>GBP</t>
        </is>
      </c>
    </row>
    <row r="401">
      <c r="A401" t="inlineStr">
        <is>
          <t>United States</t>
        </is>
      </c>
      <c r="B401" t="inlineStr">
        <is>
          <t>USA</t>
        </is>
      </c>
      <c r="C401" t="inlineStr">
        <is>
          <t>SPXL.L</t>
        </is>
      </c>
      <c r="D401" t="n">
        <v>2018</v>
      </c>
      <c r="E401" t="inlineStr"/>
      <c r="F401" t="n">
        <v>2.967</v>
      </c>
      <c r="G401" t="n">
        <v>5.325411</v>
      </c>
      <c r="H401" t="n">
        <v>5.325411</v>
      </c>
      <c r="I401" t="inlineStr"/>
      <c r="J401" t="inlineStr">
        <is>
          <t>United States|SPXL.L|2018</t>
        </is>
      </c>
      <c r="K401" t="inlineStr">
        <is>
          <t>United States|2018</t>
        </is>
      </c>
      <c r="L401" t="inlineStr">
        <is>
          <t>GBP</t>
        </is>
      </c>
    </row>
    <row r="402">
      <c r="A402" t="inlineStr">
        <is>
          <t>United States</t>
        </is>
      </c>
      <c r="B402" t="inlineStr">
        <is>
          <t>USA</t>
        </is>
      </c>
      <c r="C402" t="inlineStr">
        <is>
          <t>SPXL.L</t>
        </is>
      </c>
      <c r="D402" t="n">
        <v>2019</v>
      </c>
      <c r="E402" t="inlineStr"/>
      <c r="F402" t="n">
        <v>2.584</v>
      </c>
      <c r="G402" t="n">
        <v>4.276857</v>
      </c>
      <c r="H402" t="n">
        <v>4.276857</v>
      </c>
      <c r="I402" t="inlineStr"/>
      <c r="J402" t="inlineStr">
        <is>
          <t>United States|SPXL.L|2019</t>
        </is>
      </c>
      <c r="K402" t="inlineStr">
        <is>
          <t>United States|2019</t>
        </is>
      </c>
      <c r="L402" t="inlineStr">
        <is>
          <t>GBP</t>
        </is>
      </c>
    </row>
    <row r="403">
      <c r="A403" t="inlineStr">
        <is>
          <t>United States</t>
        </is>
      </c>
      <c r="B403" t="inlineStr">
        <is>
          <t>USA</t>
        </is>
      </c>
      <c r="C403" t="inlineStr">
        <is>
          <t>SPXL.L</t>
        </is>
      </c>
      <c r="D403" t="n">
        <v>2020</v>
      </c>
      <c r="E403" t="inlineStr"/>
      <c r="F403" t="n">
        <v>-2.081</v>
      </c>
      <c r="G403" t="n">
        <v>-0.764625</v>
      </c>
      <c r="H403" t="n">
        <v>-0.764625</v>
      </c>
      <c r="I403" t="inlineStr"/>
      <c r="J403" t="inlineStr">
        <is>
          <t>United States|SPXL.L|2020</t>
        </is>
      </c>
      <c r="K403" t="inlineStr">
        <is>
          <t>United States|2020</t>
        </is>
      </c>
      <c r="L403" t="inlineStr">
        <is>
          <t>GBP</t>
        </is>
      </c>
    </row>
    <row r="404">
      <c r="A404" t="inlineStr">
        <is>
          <t>United States</t>
        </is>
      </c>
      <c r="B404" t="inlineStr">
        <is>
          <t>USA</t>
        </is>
      </c>
      <c r="C404" t="inlineStr">
        <is>
          <t>SPXL.L</t>
        </is>
      </c>
      <c r="D404" t="n">
        <v>2021</v>
      </c>
      <c r="E404" t="inlineStr"/>
      <c r="F404" t="n">
        <v>6.152</v>
      </c>
      <c r="G404" t="n">
        <v>10.995765</v>
      </c>
      <c r="H404" t="n">
        <v>10.995765</v>
      </c>
      <c r="I404" t="inlineStr"/>
      <c r="J404" t="inlineStr">
        <is>
          <t>United States|SPXL.L|2021</t>
        </is>
      </c>
      <c r="K404" t="inlineStr">
        <is>
          <t>United States|2021</t>
        </is>
      </c>
      <c r="L404" t="inlineStr">
        <is>
          <t>GBP</t>
        </is>
      </c>
    </row>
    <row r="405">
      <c r="A405" t="inlineStr">
        <is>
          <t>United States</t>
        </is>
      </c>
      <c r="B405" t="inlineStr">
        <is>
          <t>USA</t>
        </is>
      </c>
      <c r="C405" t="inlineStr">
        <is>
          <t>SPXL.L</t>
        </is>
      </c>
      <c r="D405" t="n">
        <v>2022</v>
      </c>
      <c r="E405" t="inlineStr"/>
      <c r="F405" t="n">
        <v>2.524</v>
      </c>
      <c r="G405" t="n">
        <v>9.816169</v>
      </c>
      <c r="H405" t="n">
        <v>9.816169</v>
      </c>
      <c r="I405" t="inlineStr"/>
      <c r="J405" t="inlineStr">
        <is>
          <t>United States|SPXL.L|2022</t>
        </is>
      </c>
      <c r="K405" t="inlineStr">
        <is>
          <t>United States|2022</t>
        </is>
      </c>
      <c r="L405" t="inlineStr">
        <is>
          <t>GBP</t>
        </is>
      </c>
    </row>
    <row r="406">
      <c r="A406" t="inlineStr">
        <is>
          <t>United States</t>
        </is>
      </c>
      <c r="B406" t="inlineStr">
        <is>
          <t>USA</t>
        </is>
      </c>
      <c r="C406" t="inlineStr">
        <is>
          <t>SPXL.L</t>
        </is>
      </c>
      <c r="D406" t="n">
        <v>2023</v>
      </c>
      <c r="E406" t="n">
        <v>-10.19552825164982</v>
      </c>
      <c r="F406" t="n">
        <v>2.935</v>
      </c>
      <c r="G406" t="n">
        <v>6.743147</v>
      </c>
      <c r="H406" t="n">
        <v>6.743147</v>
      </c>
      <c r="I406" t="n">
        <v>16.93867525164982</v>
      </c>
      <c r="J406" t="inlineStr">
        <is>
          <t>United States|SPXL.L|2023</t>
        </is>
      </c>
      <c r="K406" t="inlineStr">
        <is>
          <t>United States|2023</t>
        </is>
      </c>
      <c r="L406" t="inlineStr">
        <is>
          <t>GBP</t>
        </is>
      </c>
    </row>
    <row r="407">
      <c r="A407" t="inlineStr">
        <is>
          <t>United States</t>
        </is>
      </c>
      <c r="B407" t="inlineStr">
        <is>
          <t>USA</t>
        </is>
      </c>
      <c r="C407" t="inlineStr">
        <is>
          <t>SPXL.L</t>
        </is>
      </c>
      <c r="D407" t="n">
        <v>2024</v>
      </c>
      <c r="E407" t="n">
        <v>27.3682990687111</v>
      </c>
      <c r="F407" t="n">
        <v>2.793</v>
      </c>
      <c r="G407" t="n">
        <v>5.345001</v>
      </c>
      <c r="H407" t="n">
        <v>5.345001</v>
      </c>
      <c r="I407" t="n">
        <v>-22.0232980687111</v>
      </c>
      <c r="J407" t="inlineStr">
        <is>
          <t>United States|SPXL.L|2024</t>
        </is>
      </c>
      <c r="K407" t="inlineStr">
        <is>
          <t>United States|2024</t>
        </is>
      </c>
      <c r="L407" t="inlineStr">
        <is>
          <t>GBP</t>
        </is>
      </c>
    </row>
    <row r="408">
      <c r="A408" t="inlineStr">
        <is>
          <t>United States</t>
        </is>
      </c>
      <c r="B408" t="inlineStr">
        <is>
          <t>USA</t>
        </is>
      </c>
      <c r="C408" t="inlineStr">
        <is>
          <t>SPXL.L</t>
        </is>
      </c>
      <c r="D408" t="n">
        <v>2025</v>
      </c>
      <c r="E408" t="n">
        <v>8.434565882238697</v>
      </c>
      <c r="F408" t="n">
        <v>2.017</v>
      </c>
      <c r="G408" t="n">
        <v>4.497634</v>
      </c>
      <c r="H408" t="n">
        <v>4.497634</v>
      </c>
      <c r="I408" t="n">
        <v>-3.936931882238698</v>
      </c>
      <c r="J408" t="inlineStr">
        <is>
          <t>United States|SPXL.L|2025</t>
        </is>
      </c>
      <c r="K408" t="inlineStr">
        <is>
          <t>United States|2025</t>
        </is>
      </c>
      <c r="L408" t="inlineStr">
        <is>
          <t>GBP</t>
        </is>
      </c>
    </row>
    <row r="409">
      <c r="A409" t="inlineStr">
        <is>
          <t>United States</t>
        </is>
      </c>
      <c r="B409" t="inlineStr">
        <is>
          <t>USA</t>
        </is>
      </c>
      <c r="C409" t="inlineStr">
        <is>
          <t>SPXL.L</t>
        </is>
      </c>
      <c r="D409" t="n">
        <v>2026</v>
      </c>
      <c r="E409" t="n">
        <v>1.073372495296754</v>
      </c>
      <c r="F409" t="n">
        <v>2.102</v>
      </c>
      <c r="G409" t="n">
        <v>3.93768</v>
      </c>
      <c r="H409" t="n">
        <v>3.93768</v>
      </c>
      <c r="I409" t="n">
        <v>2.864307504703246</v>
      </c>
      <c r="J409" t="inlineStr">
        <is>
          <t>United States|SPXL.L|2026</t>
        </is>
      </c>
      <c r="K409" t="inlineStr">
        <is>
          <t>United States|2026</t>
        </is>
      </c>
      <c r="L409" t="inlineStr">
        <is>
          <t>GBP</t>
        </is>
      </c>
    </row>
    <row r="410">
      <c r="A410" t="inlineStr">
        <is>
          <t>Vietnam</t>
        </is>
      </c>
      <c r="B410" t="inlineStr">
        <is>
          <t>VNM</t>
        </is>
      </c>
      <c r="C410" t="inlineStr">
        <is>
          <t>XFVT.L</t>
        </is>
      </c>
      <c r="D410" t="n">
        <v>2015</v>
      </c>
      <c r="E410" t="n">
        <v>-13.48618627171746</v>
      </c>
      <c r="F410" t="n">
        <v>6.987</v>
      </c>
      <c r="G410" t="inlineStr"/>
      <c r="H410" t="inlineStr"/>
      <c r="I410" t="inlineStr"/>
      <c r="J410" t="inlineStr">
        <is>
          <t>Vietnam|XFVT.L|2015</t>
        </is>
      </c>
      <c r="K410" t="inlineStr">
        <is>
          <t>Vietnam|2015</t>
        </is>
      </c>
      <c r="L410" t="inlineStr">
        <is>
          <t>GBp</t>
        </is>
      </c>
    </row>
    <row r="411">
      <c r="A411" t="inlineStr">
        <is>
          <t>Vietnam</t>
        </is>
      </c>
      <c r="B411" t="inlineStr">
        <is>
          <t>VNM</t>
        </is>
      </c>
      <c r="C411" t="inlineStr">
        <is>
          <t>XFVT.L</t>
        </is>
      </c>
      <c r="D411" t="n">
        <v>2016</v>
      </c>
      <c r="E411" t="n">
        <v>16.79276315789475</v>
      </c>
      <c r="F411" t="n">
        <v>6.69</v>
      </c>
      <c r="G411" t="n">
        <v>8.631271999999999</v>
      </c>
      <c r="H411" t="n">
        <v>6.482823</v>
      </c>
      <c r="I411" t="n">
        <v>-10.30994015789475</v>
      </c>
      <c r="J411" t="inlineStr">
        <is>
          <t>Vietnam|XFVT.L|2016</t>
        </is>
      </c>
      <c r="K411" t="inlineStr">
        <is>
          <t>Vietnam|2016</t>
        </is>
      </c>
      <c r="L411" t="inlineStr">
        <is>
          <t>GBp</t>
        </is>
      </c>
    </row>
    <row r="412">
      <c r="A412" t="inlineStr">
        <is>
          <t>Vietnam</t>
        </is>
      </c>
      <c r="B412" t="inlineStr">
        <is>
          <t>VNM</t>
        </is>
      </c>
      <c r="C412" t="inlineStr">
        <is>
          <t>XFVT.L</t>
        </is>
      </c>
      <c r="D412" t="n">
        <v>2017</v>
      </c>
      <c r="E412" t="n">
        <v>33.44334433443345</v>
      </c>
      <c r="F412" t="n">
        <v>6.94</v>
      </c>
      <c r="G412" t="n">
        <v>11.605905</v>
      </c>
      <c r="H412" t="n">
        <v>9.885146000000001</v>
      </c>
      <c r="I412" t="n">
        <v>-23.55819833443346</v>
      </c>
      <c r="J412" t="inlineStr">
        <is>
          <t>Vietnam|XFVT.L|2017</t>
        </is>
      </c>
      <c r="K412" t="inlineStr">
        <is>
          <t>Vietnam|2017</t>
        </is>
      </c>
      <c r="L412" t="inlineStr">
        <is>
          <t>GBp</t>
        </is>
      </c>
    </row>
    <row r="413">
      <c r="A413" t="inlineStr">
        <is>
          <t>Vietnam</t>
        </is>
      </c>
      <c r="B413" t="inlineStr">
        <is>
          <t>VNM</t>
        </is>
      </c>
      <c r="C413" t="inlineStr">
        <is>
          <t>XFVT.L</t>
        </is>
      </c>
      <c r="D413" t="n">
        <v>2018</v>
      </c>
      <c r="E413" t="n">
        <v>-7.244752394538412</v>
      </c>
      <c r="F413" t="n">
        <v>7.465</v>
      </c>
      <c r="G413" t="n">
        <v>11.362384</v>
      </c>
      <c r="H413" t="n">
        <v>9.888801000000001</v>
      </c>
      <c r="I413" t="n">
        <v>17.13355339453841</v>
      </c>
      <c r="J413" t="inlineStr">
        <is>
          <t>Vietnam|XFVT.L|2018</t>
        </is>
      </c>
      <c r="K413" t="inlineStr">
        <is>
          <t>Vietnam|2018</t>
        </is>
      </c>
      <c r="L413" t="inlineStr">
        <is>
          <t>GBp</t>
        </is>
      </c>
    </row>
    <row r="414">
      <c r="A414" t="inlineStr">
        <is>
          <t>Vietnam</t>
        </is>
      </c>
      <c r="B414" t="inlineStr">
        <is>
          <t>VNM</t>
        </is>
      </c>
      <c r="C414" t="inlineStr">
        <is>
          <t>XFVT.L</t>
        </is>
      </c>
      <c r="D414" t="n">
        <v>2019</v>
      </c>
      <c r="E414" t="n">
        <v>-1.198186528497414</v>
      </c>
      <c r="F414" t="n">
        <v>7.359</v>
      </c>
      <c r="G414" t="n">
        <v>9.960820999999999</v>
      </c>
      <c r="H414" t="n">
        <v>8.982165999999999</v>
      </c>
      <c r="I414" t="n">
        <v>10.18035252849741</v>
      </c>
      <c r="J414" t="inlineStr">
        <is>
          <t>Vietnam|XFVT.L|2019</t>
        </is>
      </c>
      <c r="K414" t="inlineStr">
        <is>
          <t>Vietnam|2019</t>
        </is>
      </c>
      <c r="L414" t="inlineStr">
        <is>
          <t>GBp</t>
        </is>
      </c>
    </row>
    <row r="415">
      <c r="A415" t="inlineStr">
        <is>
          <t>Vietnam</t>
        </is>
      </c>
      <c r="B415" t="inlineStr">
        <is>
          <t>VNM</t>
        </is>
      </c>
      <c r="C415" t="inlineStr">
        <is>
          <t>XFVT.L</t>
        </is>
      </c>
      <c r="D415" t="n">
        <v>2020</v>
      </c>
      <c r="E415" t="n">
        <v>12.24511813572122</v>
      </c>
      <c r="F415" t="n">
        <v>2.865</v>
      </c>
      <c r="G415" t="n">
        <v>4.374941</v>
      </c>
      <c r="H415" t="n">
        <v>4.367454</v>
      </c>
      <c r="I415" t="n">
        <v>-7.877664135721222</v>
      </c>
      <c r="J415" t="inlineStr">
        <is>
          <t>Vietnam|XFVT.L|2020</t>
        </is>
      </c>
      <c r="K415" t="inlineStr">
        <is>
          <t>Vietnam|2020</t>
        </is>
      </c>
      <c r="L415" t="inlineStr">
        <is>
          <t>GBp</t>
        </is>
      </c>
    </row>
    <row r="416">
      <c r="A416" t="inlineStr">
        <is>
          <t>Vietnam</t>
        </is>
      </c>
      <c r="B416" t="inlineStr">
        <is>
          <t>VNM</t>
        </is>
      </c>
      <c r="C416" t="inlineStr">
        <is>
          <t>XFVT.L</t>
        </is>
      </c>
      <c r="D416" t="n">
        <v>2021</v>
      </c>
      <c r="E416" t="n">
        <v>31.4366729678639</v>
      </c>
      <c r="F416" t="n">
        <v>2.554</v>
      </c>
      <c r="G416" t="n">
        <v>5.508063</v>
      </c>
      <c r="H416" t="n">
        <v>6.862638</v>
      </c>
      <c r="I416" t="n">
        <v>-24.5740349678639</v>
      </c>
      <c r="J416" t="inlineStr">
        <is>
          <t>Vietnam|XFVT.L|2021</t>
        </is>
      </c>
      <c r="K416" t="inlineStr">
        <is>
          <t>Vietnam|2021</t>
        </is>
      </c>
      <c r="L416" t="inlineStr">
        <is>
          <t>GBp</t>
        </is>
      </c>
    </row>
    <row r="417">
      <c r="A417" t="inlineStr">
        <is>
          <t>Vietnam</t>
        </is>
      </c>
      <c r="B417" t="inlineStr">
        <is>
          <t>VNM</t>
        </is>
      </c>
      <c r="C417" t="inlineStr">
        <is>
          <t>XFVT.L</t>
        </is>
      </c>
      <c r="D417" t="n">
        <v>2022</v>
      </c>
      <c r="E417" t="n">
        <v>-39.70095025153717</v>
      </c>
      <c r="F417" t="n">
        <v>8.538</v>
      </c>
      <c r="G417" t="n">
        <v>13.35964</v>
      </c>
      <c r="H417" t="n">
        <v>11.076644</v>
      </c>
      <c r="I417" t="n">
        <v>50.77759425153717</v>
      </c>
      <c r="J417" t="inlineStr">
        <is>
          <t>Vietnam|XFVT.L|2022</t>
        </is>
      </c>
      <c r="K417" t="inlineStr">
        <is>
          <t>Vietnam|2022</t>
        </is>
      </c>
      <c r="L417" t="inlineStr">
        <is>
          <t>GBp</t>
        </is>
      </c>
    </row>
    <row r="418">
      <c r="A418" t="inlineStr">
        <is>
          <t>Vietnam</t>
        </is>
      </c>
      <c r="B418" t="inlineStr">
        <is>
          <t>VNM</t>
        </is>
      </c>
      <c r="C418" t="inlineStr">
        <is>
          <t>XFVT.L</t>
        </is>
      </c>
      <c r="D418" t="n">
        <v>2023</v>
      </c>
      <c r="E418" t="n">
        <v>-5.490410958904112</v>
      </c>
      <c r="F418" t="n">
        <v>5.065</v>
      </c>
      <c r="G418" t="n">
        <v>7.264446</v>
      </c>
      <c r="H418" t="n">
        <v>5.337316</v>
      </c>
      <c r="I418" t="n">
        <v>10.82772695890411</v>
      </c>
      <c r="J418" t="inlineStr">
        <is>
          <t>Vietnam|XFVT.L|2023</t>
        </is>
      </c>
      <c r="K418" t="inlineStr">
        <is>
          <t>Vietnam|2023</t>
        </is>
      </c>
      <c r="L418" t="inlineStr">
        <is>
          <t>GBp</t>
        </is>
      </c>
    </row>
    <row r="419">
      <c r="A419" t="inlineStr">
        <is>
          <t>Vietnam</t>
        </is>
      </c>
      <c r="B419" t="inlineStr">
        <is>
          <t>VNM</t>
        </is>
      </c>
      <c r="C419" t="inlineStr">
        <is>
          <t>XFVT.L</t>
        </is>
      </c>
      <c r="D419" t="n">
        <v>2024</v>
      </c>
      <c r="E419" t="n">
        <v>-8.879860708067334</v>
      </c>
      <c r="F419" t="n">
        <v>7.091</v>
      </c>
      <c r="G419" t="n">
        <v>11.545738</v>
      </c>
      <c r="H419" t="n">
        <v>6.111665</v>
      </c>
      <c r="I419" t="n">
        <v>14.99152570806733</v>
      </c>
      <c r="J419" t="inlineStr">
        <is>
          <t>Vietnam|XFVT.L|2024</t>
        </is>
      </c>
      <c r="K419" t="inlineStr">
        <is>
          <t>Vietnam|2024</t>
        </is>
      </c>
      <c r="L419" t="inlineStr">
        <is>
          <t>GBp</t>
        </is>
      </c>
    </row>
    <row r="420">
      <c r="A420" t="inlineStr">
        <is>
          <t>Vietnam</t>
        </is>
      </c>
      <c r="B420" t="inlineStr">
        <is>
          <t>VNM</t>
        </is>
      </c>
      <c r="C420" t="inlineStr">
        <is>
          <t>XFVT.L</t>
        </is>
      </c>
      <c r="D420" t="n">
        <v>2025</v>
      </c>
      <c r="E420" t="n">
        <v>55.06464164679304</v>
      </c>
      <c r="F420" t="n">
        <v>6.457</v>
      </c>
      <c r="G420" t="n">
        <v>9.991490000000001</v>
      </c>
      <c r="H420" t="n">
        <v>5.496309</v>
      </c>
      <c r="I420" t="n">
        <v>-49.56833264679304</v>
      </c>
      <c r="J420" t="inlineStr">
        <is>
          <t>Vietnam|XFVT.L|2025</t>
        </is>
      </c>
      <c r="K420" t="inlineStr">
        <is>
          <t>Vietnam|2025</t>
        </is>
      </c>
      <c r="L420" t="inlineStr">
        <is>
          <t>GBp</t>
        </is>
      </c>
    </row>
    <row r="421">
      <c r="A421" t="inlineStr">
        <is>
          <t>Vietnam</t>
        </is>
      </c>
      <c r="B421" t="inlineStr">
        <is>
          <t>VNM</t>
        </is>
      </c>
      <c r="C421" t="inlineStr">
        <is>
          <t>XFVT.L</t>
        </is>
      </c>
      <c r="D421" t="n">
        <v>2026</v>
      </c>
      <c r="E421" t="n">
        <v>-1.302460202604916</v>
      </c>
      <c r="F421" t="n">
        <v>5.595</v>
      </c>
      <c r="G421" t="n">
        <v>9.35421</v>
      </c>
      <c r="H421" t="n">
        <v>5.432554</v>
      </c>
      <c r="I421" t="n">
        <v>6.735014202604916</v>
      </c>
      <c r="J421" t="inlineStr">
        <is>
          <t>Vietnam|XFVT.L|2026</t>
        </is>
      </c>
      <c r="K421" t="inlineStr">
        <is>
          <t>Vietnam|2026</t>
        </is>
      </c>
      <c r="L421" t="inlineStr">
        <is>
          <t>GBp</t>
        </is>
      </c>
    </row>
  </sheetData>
  <autoFilter ref="A1:L4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2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4.217315802530375</v>
      </c>
      <c r="G6" t="n">
        <v>1.808999999999994</v>
      </c>
      <c r="H6" t="n">
        <v>4.803760999999995</v>
      </c>
      <c r="I6" t="n">
        <v>1.894522999999992</v>
      </c>
      <c r="J6" t="n">
        <v>-2.322792802530382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-0.24084110932171</v>
      </c>
      <c r="G7" t="n">
        <v>1.631696691378837</v>
      </c>
      <c r="H7" t="n">
        <v>4.714209291376426</v>
      </c>
      <c r="I7" t="n">
        <v>1.971483499348792</v>
      </c>
      <c r="J7" t="n">
        <v>2.212324608670502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6.32875659834411</v>
      </c>
      <c r="G8" t="n">
        <v>2.876765659684222</v>
      </c>
      <c r="H8" t="n">
        <v>7.630855851544416</v>
      </c>
      <c r="I8" t="n">
        <v>6.069138739652113</v>
      </c>
      <c r="J8" t="n">
        <v>-0.2596178586919962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8.934479834853292</v>
      </c>
      <c r="G9" t="n">
        <v>2.213055120465901</v>
      </c>
      <c r="H9" t="n">
        <v>5.687701418277991</v>
      </c>
      <c r="I9" t="n">
        <v>4.017148053168307</v>
      </c>
      <c r="J9" t="n">
        <v>-4.917331781684985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35.96174949051576</v>
      </c>
      <c r="G14" t="n">
        <v>2.400000000000002</v>
      </c>
      <c r="H14" t="n">
        <v>7.880595000000001</v>
      </c>
      <c r="I14" t="n">
        <v>3.555865999999996</v>
      </c>
      <c r="J14" t="n">
        <v>-32.40588349051576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9.22415102050056</v>
      </c>
      <c r="G15" t="n">
        <v>3.011734824017376</v>
      </c>
      <c r="H15" t="n">
        <v>7.922750858447225</v>
      </c>
      <c r="I15" t="n">
        <v>4.959722734469385</v>
      </c>
      <c r="J15" t="n">
        <v>-4.264428286031175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5.329166069044544</v>
      </c>
      <c r="G16" t="n">
        <v>3.360686629120346</v>
      </c>
      <c r="H16" t="n">
        <v>10.73496860740488</v>
      </c>
      <c r="I16" t="n">
        <v>8.862966074133084</v>
      </c>
      <c r="J16" t="n">
        <v>3.53380000508854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11.40028196885785</v>
      </c>
      <c r="G17" t="n">
        <v>1.426143163517724</v>
      </c>
      <c r="H17" t="n">
        <v>7.769021553230471</v>
      </c>
      <c r="I17" t="n">
        <v>2.287617784642992</v>
      </c>
      <c r="J17" t="n">
        <v>-9.112664184214857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Bulgaria</t>
        </is>
      </c>
      <c r="B18" t="inlineStr">
        <is>
          <t>BGR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3.049999999999997</v>
      </c>
      <c r="H18" t="n">
        <v>9.189544000000005</v>
      </c>
      <c r="I18" t="n">
        <v>13.981752</v>
      </c>
      <c r="J18" t="inlineStr"/>
      <c r="K18" t="inlineStr">
        <is>
          <t>Bulgaria||1Y</t>
        </is>
      </c>
      <c r="L18" t="inlineStr">
        <is>
          <t>Bulgaria|1Y</t>
        </is>
      </c>
      <c r="M18" t="inlineStr"/>
    </row>
    <row r="19">
      <c r="A19" t="inlineStr">
        <is>
          <t>Bulgaria</t>
        </is>
      </c>
      <c r="B19" t="inlineStr">
        <is>
          <t>BGR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2.581438478344222</v>
      </c>
      <c r="H19" t="n">
        <v>9.575526576247917</v>
      </c>
      <c r="I19" t="n">
        <v>12.13760025106021</v>
      </c>
      <c r="J19" t="inlineStr"/>
      <c r="K19" t="inlineStr">
        <is>
          <t>Bulgaria||3Y</t>
        </is>
      </c>
      <c r="L19" t="inlineStr">
        <is>
          <t>Bulgaria|3Y</t>
        </is>
      </c>
      <c r="M19" t="inlineStr"/>
    </row>
    <row r="20">
      <c r="A20" t="inlineStr">
        <is>
          <t>Bulgaria</t>
        </is>
      </c>
      <c r="B20" t="inlineStr">
        <is>
          <t>BGR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3.893636184855831</v>
      </c>
      <c r="H20" t="n">
        <v>12.83808369006289</v>
      </c>
      <c r="I20" t="n">
        <v>12.60511980861461</v>
      </c>
      <c r="J20" t="inlineStr"/>
      <c r="K20" t="inlineStr">
        <is>
          <t>Bulgaria||5Y</t>
        </is>
      </c>
      <c r="L20" t="inlineStr">
        <is>
          <t>Bulgaria|5Y</t>
        </is>
      </c>
      <c r="M20" t="inlineStr"/>
    </row>
    <row r="21">
      <c r="A21" t="inlineStr">
        <is>
          <t>Bulgaria</t>
        </is>
      </c>
      <c r="B21" t="inlineStr">
        <is>
          <t>BGR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2.814579444911414</v>
      </c>
      <c r="H21" t="n">
        <v>9.476579504743366</v>
      </c>
      <c r="I21" t="n">
        <v>9.682643231943144</v>
      </c>
      <c r="J21" t="inlineStr"/>
      <c r="K21" t="inlineStr">
        <is>
          <t>Bulgaria||10Y</t>
        </is>
      </c>
      <c r="L21" t="inlineStr">
        <is>
          <t>Bulgaria|10Y</t>
        </is>
      </c>
      <c r="M21" t="inlineStr"/>
    </row>
    <row r="22">
      <c r="A22" t="inlineStr">
        <is>
          <t>Bulgaria</t>
        </is>
      </c>
      <c r="B22" t="inlineStr">
        <is>
          <t>BGR</t>
        </is>
      </c>
      <c r="C22" t="inlineStr">
        <is>
          <t>BGX.L</t>
        </is>
      </c>
      <c r="D22" s="1" t="n">
        <v>46022</v>
      </c>
      <c r="E22" t="inlineStr">
        <is>
          <t>1Y</t>
        </is>
      </c>
      <c r="F22" t="n">
        <v>27.76183379721004</v>
      </c>
      <c r="G22" t="n">
        <v>3.049999999999997</v>
      </c>
      <c r="H22" t="n">
        <v>9.189544000000005</v>
      </c>
      <c r="I22" t="n">
        <v>13.981752</v>
      </c>
      <c r="J22" t="n">
        <v>-13.78008179721004</v>
      </c>
      <c r="K22" t="inlineStr">
        <is>
          <t>Bulgaria|BGX.L|1Y</t>
        </is>
      </c>
      <c r="L22" t="inlineStr">
        <is>
          <t>Bulgaria|1Y</t>
        </is>
      </c>
      <c r="M22" t="inlineStr">
        <is>
          <t>EUR</t>
        </is>
      </c>
    </row>
    <row r="23">
      <c r="A23" t="inlineStr">
        <is>
          <t>Bulgaria</t>
        </is>
      </c>
      <c r="B23" t="inlineStr">
        <is>
          <t>BGR</t>
        </is>
      </c>
      <c r="C23" t="inlineStr">
        <is>
          <t>BGX.L</t>
        </is>
      </c>
      <c r="D23" s="1" t="n">
        <v>46022</v>
      </c>
      <c r="E23" t="inlineStr">
        <is>
          <t>3Y</t>
        </is>
      </c>
      <c r="F23" t="n">
        <v>20.13415799385103</v>
      </c>
      <c r="G23" t="n">
        <v>2.581438478344222</v>
      </c>
      <c r="H23" t="n">
        <v>9.575526576247917</v>
      </c>
      <c r="I23" t="n">
        <v>12.13760025106021</v>
      </c>
      <c r="J23" t="n">
        <v>-7.996557742790824</v>
      </c>
      <c r="K23" t="inlineStr">
        <is>
          <t>Bulgaria|BGX.L|3Y</t>
        </is>
      </c>
      <c r="L23" t="inlineStr">
        <is>
          <t>Bulgaria|3Y</t>
        </is>
      </c>
      <c r="M23" t="inlineStr">
        <is>
          <t>EUR</t>
        </is>
      </c>
    </row>
    <row r="24">
      <c r="A24" t="inlineStr">
        <is>
          <t>Bulgaria</t>
        </is>
      </c>
      <c r="B24" t="inlineStr">
        <is>
          <t>BGR</t>
        </is>
      </c>
      <c r="C24" t="inlineStr">
        <is>
          <t>BGX.L</t>
        </is>
      </c>
      <c r="D24" s="1" t="n">
        <v>46022</v>
      </c>
      <c r="E24" t="inlineStr">
        <is>
          <t>5Y</t>
        </is>
      </c>
      <c r="F24" t="n">
        <v>15.78420312377757</v>
      </c>
      <c r="G24" t="n">
        <v>3.893636184855831</v>
      </c>
      <c r="H24" t="n">
        <v>12.83808369006289</v>
      </c>
      <c r="I24" t="n">
        <v>12.60511980861461</v>
      </c>
      <c r="J24" t="n">
        <v>-3.179083315162966</v>
      </c>
      <c r="K24" t="inlineStr">
        <is>
          <t>Bulgaria|BGX.L|5Y</t>
        </is>
      </c>
      <c r="L24" t="inlineStr">
        <is>
          <t>Bulgaria|5Y</t>
        </is>
      </c>
      <c r="M24" t="inlineStr">
        <is>
          <t>EUR</t>
        </is>
      </c>
    </row>
    <row r="25">
      <c r="A25" t="inlineStr">
        <is>
          <t>Canada</t>
        </is>
      </c>
      <c r="B25" t="inlineStr">
        <is>
          <t>CAN</t>
        </is>
      </c>
      <c r="C25" t="inlineStr"/>
      <c r="D25" s="1" t="n">
        <v>46022</v>
      </c>
      <c r="E25" t="inlineStr">
        <is>
          <t>1Y</t>
        </is>
      </c>
      <c r="F25" t="inlineStr"/>
      <c r="G25" t="n">
        <v>1.153000000000004</v>
      </c>
      <c r="H25" t="n">
        <v>3.577136000000003</v>
      </c>
      <c r="I25" t="n">
        <v>1.781126</v>
      </c>
      <c r="J25" t="inlineStr"/>
      <c r="K25" t="inlineStr">
        <is>
          <t>Canada||1Y</t>
        </is>
      </c>
      <c r="L25" t="inlineStr">
        <is>
          <t>Canada|1Y</t>
        </is>
      </c>
      <c r="M25" t="inlineStr"/>
    </row>
    <row r="26">
      <c r="A26" t="inlineStr">
        <is>
          <t>Canada</t>
        </is>
      </c>
      <c r="B26" t="inlineStr">
        <is>
          <t>CAN</t>
        </is>
      </c>
      <c r="C26" t="inlineStr"/>
      <c r="D26" s="1" t="n">
        <v>46022</v>
      </c>
      <c r="E26" t="inlineStr">
        <is>
          <t>3Y</t>
        </is>
      </c>
      <c r="F26" t="inlineStr"/>
      <c r="G26" t="n">
        <v>1.41216684477361</v>
      </c>
      <c r="H26" t="n">
        <v>3.732612451412498</v>
      </c>
      <c r="I26" t="n">
        <v>1.398472365875003</v>
      </c>
      <c r="J26" t="inlineStr"/>
      <c r="K26" t="inlineStr">
        <is>
          <t>Canada||3Y</t>
        </is>
      </c>
      <c r="L26" t="inlineStr">
        <is>
          <t>Canada|3Y</t>
        </is>
      </c>
      <c r="M26" t="inlineStr"/>
    </row>
    <row r="27">
      <c r="A27" t="inlineStr">
        <is>
          <t>Canada</t>
        </is>
      </c>
      <c r="B27" t="inlineStr">
        <is>
          <t>CAN</t>
        </is>
      </c>
      <c r="C27" t="inlineStr"/>
      <c r="D27" s="1" t="n">
        <v>46022</v>
      </c>
      <c r="E27" t="inlineStr">
        <is>
          <t>5Y</t>
        </is>
      </c>
      <c r="F27" t="inlineStr"/>
      <c r="G27" t="n">
        <v>2.858319210914595</v>
      </c>
      <c r="H27" t="n">
        <v>7.462166819193849</v>
      </c>
      <c r="I27" t="n">
        <v>6.642035799710189</v>
      </c>
      <c r="J27" t="inlineStr"/>
      <c r="K27" t="inlineStr">
        <is>
          <t>Canada||5Y</t>
        </is>
      </c>
      <c r="L27" t="inlineStr">
        <is>
          <t>Canada|5Y</t>
        </is>
      </c>
      <c r="M27" t="inlineStr"/>
    </row>
    <row r="28">
      <c r="A28" t="inlineStr">
        <is>
          <t>Canada</t>
        </is>
      </c>
      <c r="B28" t="inlineStr">
        <is>
          <t>CAN</t>
        </is>
      </c>
      <c r="C28" t="inlineStr"/>
      <c r="D28" s="1" t="n">
        <v>46022</v>
      </c>
      <c r="E28" t="inlineStr">
        <is>
          <t>10Y</t>
        </is>
      </c>
      <c r="F28" t="inlineStr"/>
      <c r="G28" t="n">
        <v>1.76951597941728</v>
      </c>
      <c r="H28" t="n">
        <v>4.804148011819365</v>
      </c>
      <c r="I28" t="n">
        <v>3.907488816771632</v>
      </c>
      <c r="J28" t="inlineStr"/>
      <c r="K28" t="inlineStr">
        <is>
          <t>Canada||10Y</t>
        </is>
      </c>
      <c r="L28" t="inlineStr">
        <is>
          <t>Canada|10Y</t>
        </is>
      </c>
      <c r="M28" t="inlineStr"/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s="1" t="n">
        <v>46022</v>
      </c>
      <c r="E29" t="inlineStr">
        <is>
          <t>1Y</t>
        </is>
      </c>
      <c r="F29" t="n">
        <v>24.92570021914682</v>
      </c>
      <c r="G29" t="n">
        <v>1.153000000000004</v>
      </c>
      <c r="H29" t="n">
        <v>3.577136000000003</v>
      </c>
      <c r="I29" t="n">
        <v>1.781126</v>
      </c>
      <c r="J29" t="n">
        <v>-23.14457421914682</v>
      </c>
      <c r="K29" t="inlineStr">
        <is>
          <t>Canada|CSCA.L|1Y</t>
        </is>
      </c>
      <c r="L29" t="inlineStr">
        <is>
          <t>Canada|1Y</t>
        </is>
      </c>
      <c r="M29" t="inlineStr">
        <is>
          <t>GBp</t>
        </is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s="1" t="n">
        <v>46022</v>
      </c>
      <c r="E30" t="inlineStr">
        <is>
          <t>3Y</t>
        </is>
      </c>
      <c r="F30" t="n">
        <v>16.11091429660858</v>
      </c>
      <c r="G30" t="n">
        <v>1.41216684477361</v>
      </c>
      <c r="H30" t="n">
        <v>3.732612451412498</v>
      </c>
      <c r="I30" t="n">
        <v>1.398472365875003</v>
      </c>
      <c r="J30" t="n">
        <v>-14.71244193073358</v>
      </c>
      <c r="K30" t="inlineStr">
        <is>
          <t>Canada|CSCA.L|3Y</t>
        </is>
      </c>
      <c r="L30" t="inlineStr">
        <is>
          <t>Canada|3Y</t>
        </is>
      </c>
      <c r="M30" t="inlineStr">
        <is>
          <t>GBp</t>
        </is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s="1" t="n">
        <v>46022</v>
      </c>
      <c r="E31" t="inlineStr">
        <is>
          <t>5Y</t>
        </is>
      </c>
      <c r="F31" t="n">
        <v>14.02956877810437</v>
      </c>
      <c r="G31" t="n">
        <v>2.858319210914595</v>
      </c>
      <c r="H31" t="n">
        <v>7.462166819193849</v>
      </c>
      <c r="I31" t="n">
        <v>6.642035799710189</v>
      </c>
      <c r="J31" t="n">
        <v>-7.387532978394185</v>
      </c>
      <c r="K31" t="inlineStr">
        <is>
          <t>Canada|CSCA.L|5Y</t>
        </is>
      </c>
      <c r="L31" t="inlineStr">
        <is>
          <t>Canada|5Y</t>
        </is>
      </c>
      <c r="M31" t="inlineStr">
        <is>
          <t>GBp</t>
        </is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s="1" t="n">
        <v>46022</v>
      </c>
      <c r="E32" t="inlineStr">
        <is>
          <t>10Y</t>
        </is>
      </c>
      <c r="F32" t="n">
        <v>12.98802350758752</v>
      </c>
      <c r="G32" t="n">
        <v>1.76951597941728</v>
      </c>
      <c r="H32" t="n">
        <v>4.804148011819365</v>
      </c>
      <c r="I32" t="n">
        <v>3.907488816771632</v>
      </c>
      <c r="J32" t="n">
        <v>-9.080534690815888</v>
      </c>
      <c r="K32" t="inlineStr">
        <is>
          <t>Canada|CSCA.L|10Y</t>
        </is>
      </c>
      <c r="L32" t="inlineStr">
        <is>
          <t>Canada|10Y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/>
      <c r="D33" s="1" t="n">
        <v>46022</v>
      </c>
      <c r="E33" t="inlineStr">
        <is>
          <t>1Y</t>
        </is>
      </c>
      <c r="F33" t="inlineStr"/>
      <c r="G33" t="n">
        <v>4.796</v>
      </c>
      <c r="H33" t="n">
        <v>3.64467100000001</v>
      </c>
      <c r="I33" t="n">
        <v>3.46040700000001</v>
      </c>
      <c r="J33" t="inlineStr"/>
      <c r="K33" t="inlineStr">
        <is>
          <t>China||1Y</t>
        </is>
      </c>
      <c r="L33" t="inlineStr">
        <is>
          <t>China|1Y</t>
        </is>
      </c>
      <c r="M33" t="inlineStr"/>
    </row>
    <row r="34">
      <c r="A34" t="inlineStr">
        <is>
          <t>China</t>
        </is>
      </c>
      <c r="B34" t="inlineStr">
        <is>
          <t>CHN</t>
        </is>
      </c>
      <c r="C34" t="inlineStr"/>
      <c r="D34" s="1" t="n">
        <v>46022</v>
      </c>
      <c r="E34" t="inlineStr">
        <is>
          <t>3Y</t>
        </is>
      </c>
      <c r="F34" t="inlineStr"/>
      <c r="G34" t="n">
        <v>5.058391676643859</v>
      </c>
      <c r="H34" t="n">
        <v>4.273200328892157</v>
      </c>
      <c r="I34" t="n">
        <v>1.947781205188015</v>
      </c>
      <c r="J34" t="inlineStr"/>
      <c r="K34" t="inlineStr">
        <is>
          <t>China||3Y</t>
        </is>
      </c>
      <c r="L34" t="inlineStr">
        <is>
          <t>China|3Y</t>
        </is>
      </c>
      <c r="M34" t="inlineStr"/>
    </row>
    <row r="35">
      <c r="A35" t="inlineStr">
        <is>
          <t>China</t>
        </is>
      </c>
      <c r="B35" t="inlineStr">
        <is>
          <t>CHN</t>
        </is>
      </c>
      <c r="C35" t="inlineStr"/>
      <c r="D35" s="1" t="n">
        <v>46022</v>
      </c>
      <c r="E35" t="inlineStr">
        <is>
          <t>5Y</t>
        </is>
      </c>
      <c r="F35" t="inlineStr"/>
      <c r="G35" t="n">
        <v>5.354006833547209</v>
      </c>
      <c r="H35" t="n">
        <v>6.055050913295212</v>
      </c>
      <c r="I35" t="n">
        <v>5.133053360423401</v>
      </c>
      <c r="J35" t="inlineStr"/>
      <c r="K35" t="inlineStr">
        <is>
          <t>China||5Y</t>
        </is>
      </c>
      <c r="L35" t="inlineStr">
        <is>
          <t>China|5Y</t>
        </is>
      </c>
      <c r="M35" t="inlineStr"/>
    </row>
    <row r="36">
      <c r="A36" t="inlineStr">
        <is>
          <t>China</t>
        </is>
      </c>
      <c r="B36" t="inlineStr">
        <is>
          <t>CHN</t>
        </is>
      </c>
      <c r="C36" t="inlineStr"/>
      <c r="D36" s="1" t="n">
        <v>46022</v>
      </c>
      <c r="E36" t="inlineStr">
        <is>
          <t>10Y</t>
        </is>
      </c>
      <c r="F36" t="inlineStr"/>
      <c r="G36" t="n">
        <v>5.552356836761518</v>
      </c>
      <c r="H36" t="n">
        <v>7.101530095626307</v>
      </c>
      <c r="I36" t="n">
        <v>5.545903235337346</v>
      </c>
      <c r="J36" t="inlineStr"/>
      <c r="K36" t="inlineStr">
        <is>
          <t>China||10Y</t>
        </is>
      </c>
      <c r="L36" t="inlineStr">
        <is>
          <t>China|10Y</t>
        </is>
      </c>
      <c r="M36" t="inlineStr"/>
    </row>
    <row r="37">
      <c r="A37" t="inlineStr">
        <is>
          <t>China</t>
        </is>
      </c>
      <c r="B37" t="inlineStr">
        <is>
          <t>CHN</t>
        </is>
      </c>
      <c r="C37" t="inlineStr">
        <is>
          <t>FRCH.L</t>
        </is>
      </c>
      <c r="D37" s="1" t="n">
        <v>46022</v>
      </c>
      <c r="E37" t="inlineStr">
        <is>
          <t>1Y</t>
        </is>
      </c>
      <c r="F37" t="n">
        <v>23.31919229212323</v>
      </c>
      <c r="G37" t="n">
        <v>4.796</v>
      </c>
      <c r="H37" t="n">
        <v>3.64467100000001</v>
      </c>
      <c r="I37" t="n">
        <v>3.46040700000001</v>
      </c>
      <c r="J37" t="n">
        <v>-19.85878529212322</v>
      </c>
      <c r="K37" t="inlineStr">
        <is>
          <t>China|FRCH.L|1Y</t>
        </is>
      </c>
      <c r="L37" t="inlineStr">
        <is>
          <t>China|1Y</t>
        </is>
      </c>
      <c r="M37" t="inlineStr">
        <is>
          <t>GBP</t>
        </is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FRCH.L</t>
        </is>
      </c>
      <c r="D38" s="1" t="n">
        <v>46022</v>
      </c>
      <c r="E38" t="inlineStr">
        <is>
          <t>3Y</t>
        </is>
      </c>
      <c r="F38" t="n">
        <v>5.976663217888611</v>
      </c>
      <c r="G38" t="n">
        <v>5.058391676643859</v>
      </c>
      <c r="H38" t="n">
        <v>4.273200328892157</v>
      </c>
      <c r="I38" t="n">
        <v>1.947781205188015</v>
      </c>
      <c r="J38" t="n">
        <v>-4.028882012700596</v>
      </c>
      <c r="K38" t="inlineStr">
        <is>
          <t>China|FRCH.L|3Y</t>
        </is>
      </c>
      <c r="L38" t="inlineStr">
        <is>
          <t>China|3Y</t>
        </is>
      </c>
      <c r="M38" t="inlineStr">
        <is>
          <t>GBP</t>
        </is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FRCH.L</t>
        </is>
      </c>
      <c r="D39" s="1" t="n">
        <v>46022</v>
      </c>
      <c r="E39" t="inlineStr">
        <is>
          <t>5Y</t>
        </is>
      </c>
      <c r="F39" t="n">
        <v>-3.123601771766449</v>
      </c>
      <c r="G39" t="n">
        <v>5.354006833547209</v>
      </c>
      <c r="H39" t="n">
        <v>6.055050913295212</v>
      </c>
      <c r="I39" t="n">
        <v>5.133053360423401</v>
      </c>
      <c r="J39" t="n">
        <v>8.256655132189849</v>
      </c>
      <c r="K39" t="inlineStr">
        <is>
          <t>China|FRCH.L|5Y</t>
        </is>
      </c>
      <c r="L39" t="inlineStr">
        <is>
          <t>China|5Y</t>
        </is>
      </c>
      <c r="M39" t="inlineStr">
        <is>
          <t>GBP</t>
        </is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s="1" t="n">
        <v>46022</v>
      </c>
      <c r="E40" t="inlineStr">
        <is>
          <t>1Y</t>
        </is>
      </c>
      <c r="F40" t="n">
        <v>19.49281886573942</v>
      </c>
      <c r="G40" t="n">
        <v>4.796</v>
      </c>
      <c r="H40" t="n">
        <v>3.64467100000001</v>
      </c>
      <c r="I40" t="n">
        <v>3.46040700000001</v>
      </c>
      <c r="J40" t="n">
        <v>-16.03241186573941</v>
      </c>
      <c r="K40" t="inlineStr">
        <is>
          <t>China|IASH.L|1Y</t>
        </is>
      </c>
      <c r="L40" t="inlineStr">
        <is>
          <t>China|1Y</t>
        </is>
      </c>
      <c r="M40" t="inlineStr">
        <is>
          <t>GBp</t>
        </is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s="1" t="n">
        <v>46022</v>
      </c>
      <c r="E41" t="inlineStr">
        <is>
          <t>3Y</t>
        </is>
      </c>
      <c r="F41" t="n">
        <v>2.166118715819865</v>
      </c>
      <c r="G41" t="n">
        <v>5.058391676643859</v>
      </c>
      <c r="H41" t="n">
        <v>4.273200328892157</v>
      </c>
      <c r="I41" t="n">
        <v>1.947781205188015</v>
      </c>
      <c r="J41" t="n">
        <v>-0.2183375106318497</v>
      </c>
      <c r="K41" t="inlineStr">
        <is>
          <t>China|IASH.L|3Y</t>
        </is>
      </c>
      <c r="L41" t="inlineStr">
        <is>
          <t>China|3Y</t>
        </is>
      </c>
      <c r="M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s="1" t="n">
        <v>46022</v>
      </c>
      <c r="E42" t="inlineStr">
        <is>
          <t>5Y</t>
        </is>
      </c>
      <c r="F42" t="n">
        <v>-1.947118219535227</v>
      </c>
      <c r="G42" t="n">
        <v>5.354006833547209</v>
      </c>
      <c r="H42" t="n">
        <v>6.055050913295212</v>
      </c>
      <c r="I42" t="n">
        <v>5.133053360423401</v>
      </c>
      <c r="J42" t="n">
        <v>7.080171579958627</v>
      </c>
      <c r="K42" t="inlineStr">
        <is>
          <t>China|IASH.L|5Y</t>
        </is>
      </c>
      <c r="L42" t="inlineStr">
        <is>
          <t>China|5Y</t>
        </is>
      </c>
      <c r="M42" t="inlineStr">
        <is>
          <t>GBp</t>
        </is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s="1" t="n">
        <v>46022</v>
      </c>
      <c r="E43" t="inlineStr">
        <is>
          <t>10Y</t>
        </is>
      </c>
      <c r="F43" t="n">
        <v>5.187134281784855</v>
      </c>
      <c r="G43" t="n">
        <v>5.552356836761518</v>
      </c>
      <c r="H43" t="n">
        <v>7.101530095626307</v>
      </c>
      <c r="I43" t="n">
        <v>5.545903235337346</v>
      </c>
      <c r="J43" t="n">
        <v>0.3587689535524907</v>
      </c>
      <c r="K43" t="inlineStr">
        <is>
          <t>China|IASH.L|10Y</t>
        </is>
      </c>
      <c r="L43" t="inlineStr">
        <is>
          <t>China|10Y</t>
        </is>
      </c>
      <c r="M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/>
      <c r="D44" s="1" t="n">
        <v>46022</v>
      </c>
      <c r="E44" t="inlineStr">
        <is>
          <t>1Y</t>
        </is>
      </c>
      <c r="F44" t="inlineStr"/>
      <c r="G44" t="n">
        <v>0.6709999999999994</v>
      </c>
      <c r="H44" t="n">
        <v>1.876520999999998</v>
      </c>
      <c r="I44" t="n">
        <v>6.348029999999993</v>
      </c>
      <c r="J44" t="inlineStr"/>
      <c r="K44" t="inlineStr">
        <is>
          <t>France||1Y</t>
        </is>
      </c>
      <c r="L44" t="inlineStr">
        <is>
          <t>France|1Y</t>
        </is>
      </c>
      <c r="M44" t="inlineStr"/>
    </row>
    <row r="45">
      <c r="A45" t="inlineStr">
        <is>
          <t>France</t>
        </is>
      </c>
      <c r="B45" t="inlineStr">
        <is>
          <t>FRA</t>
        </is>
      </c>
      <c r="C45" t="inlineStr"/>
      <c r="D45" s="1" t="n">
        <v>46022</v>
      </c>
      <c r="E45" t="inlineStr">
        <is>
          <t>3Y</t>
        </is>
      </c>
      <c r="F45" t="inlineStr"/>
      <c r="G45" t="n">
        <v>1.12992429258334</v>
      </c>
      <c r="H45" t="n">
        <v>3.891142467355291</v>
      </c>
      <c r="I45" t="n">
        <v>6.320418426652252</v>
      </c>
      <c r="J45" t="inlineStr"/>
      <c r="K45" t="inlineStr">
        <is>
          <t>France||3Y</t>
        </is>
      </c>
      <c r="L45" t="inlineStr">
        <is>
          <t>France|3Y</t>
        </is>
      </c>
      <c r="M45" t="inlineStr"/>
    </row>
    <row r="46">
      <c r="A46" t="inlineStr">
        <is>
          <t>France</t>
        </is>
      </c>
      <c r="B46" t="inlineStr">
        <is>
          <t>FRA</t>
        </is>
      </c>
      <c r="C46" t="inlineStr"/>
      <c r="D46" s="1" t="n">
        <v>46022</v>
      </c>
      <c r="E46" t="inlineStr">
        <is>
          <t>5Y</t>
        </is>
      </c>
      <c r="F46" t="inlineStr"/>
      <c r="G46" t="n">
        <v>2.573847925685979</v>
      </c>
      <c r="H46" t="n">
        <v>5.122134516670918</v>
      </c>
      <c r="I46" t="n">
        <v>4.905074485062877</v>
      </c>
      <c r="J46" t="inlineStr"/>
      <c r="K46" t="inlineStr">
        <is>
          <t>France||5Y</t>
        </is>
      </c>
      <c r="L46" t="inlineStr">
        <is>
          <t>France|5Y</t>
        </is>
      </c>
      <c r="M46" t="inlineStr"/>
    </row>
    <row r="47">
      <c r="A47" t="inlineStr">
        <is>
          <t>France</t>
        </is>
      </c>
      <c r="B47" t="inlineStr">
        <is>
          <t>FRA</t>
        </is>
      </c>
      <c r="C47" t="inlineStr"/>
      <c r="D47" s="1" t="n">
        <v>46022</v>
      </c>
      <c r="E47" t="inlineStr">
        <is>
          <t>10Y</t>
        </is>
      </c>
      <c r="F47" t="inlineStr"/>
      <c r="G47" t="n">
        <v>1.148920134256759</v>
      </c>
      <c r="H47" t="n">
        <v>3.060836663187327</v>
      </c>
      <c r="I47" t="n">
        <v>3.244395005951439</v>
      </c>
      <c r="J47" t="inlineStr"/>
      <c r="K47" t="inlineStr">
        <is>
          <t>France||10Y</t>
        </is>
      </c>
      <c r="L47" t="inlineStr">
        <is>
          <t>France|10Y</t>
        </is>
      </c>
      <c r="M47" t="inlineStr"/>
    </row>
    <row r="48">
      <c r="A48" t="inlineStr">
        <is>
          <t>France</t>
        </is>
      </c>
      <c r="B48" t="inlineStr">
        <is>
          <t>FRA</t>
        </is>
      </c>
      <c r="C48" t="inlineStr">
        <is>
          <t>ISFR.L</t>
        </is>
      </c>
      <c r="D48" s="1" t="n">
        <v>46022</v>
      </c>
      <c r="E48" t="inlineStr">
        <is>
          <t>1Y</t>
        </is>
      </c>
      <c r="F48" t="n">
        <v>19.35963030203003</v>
      </c>
      <c r="G48" t="n">
        <v>0.6709999999999994</v>
      </c>
      <c r="H48" t="n">
        <v>1.876520999999998</v>
      </c>
      <c r="I48" t="n">
        <v>6.348029999999993</v>
      </c>
      <c r="J48" t="n">
        <v>-13.01160030203003</v>
      </c>
      <c r="K48" t="inlineStr">
        <is>
          <t>France|ISFR.L|1Y</t>
        </is>
      </c>
      <c r="L48" t="inlineStr">
        <is>
          <t>France|1Y</t>
        </is>
      </c>
      <c r="M48" t="inlineStr">
        <is>
          <t>GBp</t>
        </is>
      </c>
    </row>
    <row r="49">
      <c r="A49" t="inlineStr">
        <is>
          <t>France</t>
        </is>
      </c>
      <c r="B49" t="inlineStr">
        <is>
          <t>FRA</t>
        </is>
      </c>
      <c r="C49" t="inlineStr">
        <is>
          <t>ISFR.L</t>
        </is>
      </c>
      <c r="D49" s="1" t="n">
        <v>46022</v>
      </c>
      <c r="E49" t="inlineStr">
        <is>
          <t>3Y</t>
        </is>
      </c>
      <c r="F49" t="n">
        <v>9.512906736452065</v>
      </c>
      <c r="G49" t="n">
        <v>1.12992429258334</v>
      </c>
      <c r="H49" t="n">
        <v>3.891142467355291</v>
      </c>
      <c r="I49" t="n">
        <v>6.320418426652252</v>
      </c>
      <c r="J49" t="n">
        <v>-3.192488309799812</v>
      </c>
      <c r="K49" t="inlineStr">
        <is>
          <t>France|ISFR.L|3Y</t>
        </is>
      </c>
      <c r="L49" t="inlineStr">
        <is>
          <t>France|3Y</t>
        </is>
      </c>
      <c r="M49" t="inlineStr">
        <is>
          <t>GBp</t>
        </is>
      </c>
    </row>
    <row r="50">
      <c r="A50" t="inlineStr">
        <is>
          <t>France</t>
        </is>
      </c>
      <c r="B50" t="inlineStr">
        <is>
          <t>FRA</t>
        </is>
      </c>
      <c r="C50" t="inlineStr">
        <is>
          <t>ISFR.L</t>
        </is>
      </c>
      <c r="D50" s="1" t="n">
        <v>46022</v>
      </c>
      <c r="E50" t="inlineStr">
        <is>
          <t>5Y</t>
        </is>
      </c>
      <c r="F50" t="n">
        <v>9.319584747900711</v>
      </c>
      <c r="G50" t="n">
        <v>2.573847925685979</v>
      </c>
      <c r="H50" t="n">
        <v>5.122134516670918</v>
      </c>
      <c r="I50" t="n">
        <v>4.905074485062877</v>
      </c>
      <c r="J50" t="n">
        <v>-4.414510262837834</v>
      </c>
      <c r="K50" t="inlineStr">
        <is>
          <t>France|ISFR.L|5Y</t>
        </is>
      </c>
      <c r="L50" t="inlineStr">
        <is>
          <t>France|5Y</t>
        </is>
      </c>
      <c r="M50" t="inlineStr">
        <is>
          <t>GBp</t>
        </is>
      </c>
    </row>
    <row r="51">
      <c r="A51" t="inlineStr">
        <is>
          <t>France</t>
        </is>
      </c>
      <c r="B51" t="inlineStr">
        <is>
          <t>FRA</t>
        </is>
      </c>
      <c r="C51" t="inlineStr">
        <is>
          <t>ISFR.L</t>
        </is>
      </c>
      <c r="D51" s="1" t="n">
        <v>46022</v>
      </c>
      <c r="E51" t="inlineStr">
        <is>
          <t>10Y</t>
        </is>
      </c>
      <c r="F51" t="n">
        <v>10.84860141352095</v>
      </c>
      <c r="G51" t="n">
        <v>1.148920134256759</v>
      </c>
      <c r="H51" t="n">
        <v>3.060836663187327</v>
      </c>
      <c r="I51" t="n">
        <v>3.244395005951439</v>
      </c>
      <c r="J51" t="n">
        <v>-7.604206407569514</v>
      </c>
      <c r="K51" t="inlineStr">
        <is>
          <t>France|ISFR.L|10Y</t>
        </is>
      </c>
      <c r="L51" t="inlineStr">
        <is>
          <t>France|10Y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/>
      <c r="D52" s="1" t="n">
        <v>46022</v>
      </c>
      <c r="E52" t="inlineStr">
        <is>
          <t>1Y</t>
        </is>
      </c>
      <c r="F52" t="inlineStr"/>
      <c r="G52" t="n">
        <v>0.1910000000000078</v>
      </c>
      <c r="H52" t="n">
        <v>2.531733999999997</v>
      </c>
      <c r="I52" t="n">
        <v>7.032006999999996</v>
      </c>
      <c r="J52" t="inlineStr"/>
      <c r="K52" t="inlineStr">
        <is>
          <t>Germany||1Y</t>
        </is>
      </c>
      <c r="L52" t="inlineStr">
        <is>
          <t>Germany|1Y</t>
        </is>
      </c>
      <c r="M52" t="inlineStr"/>
    </row>
    <row r="53">
      <c r="A53" t="inlineStr">
        <is>
          <t>Germany</t>
        </is>
      </c>
      <c r="B53" t="inlineStr">
        <is>
          <t>DEU</t>
        </is>
      </c>
      <c r="C53" t="inlineStr"/>
      <c r="D53" s="1" t="n">
        <v>46022</v>
      </c>
      <c r="E53" t="inlineStr">
        <is>
          <t>3Y</t>
        </is>
      </c>
      <c r="F53" t="inlineStr"/>
      <c r="G53" t="n">
        <v>-0.3933046908136117</v>
      </c>
      <c r="H53" t="n">
        <v>3.620446854152237</v>
      </c>
      <c r="I53" t="n">
        <v>6.043401004617355</v>
      </c>
      <c r="J53" t="inlineStr"/>
      <c r="K53" t="inlineStr">
        <is>
          <t>Germany||3Y</t>
        </is>
      </c>
      <c r="L53" t="inlineStr">
        <is>
          <t>Germany|3Y</t>
        </is>
      </c>
      <c r="M53" t="inlineStr"/>
    </row>
    <row r="54">
      <c r="A54" t="inlineStr">
        <is>
          <t>Germany</t>
        </is>
      </c>
      <c r="B54" t="inlineStr">
        <is>
          <t>DEU</t>
        </is>
      </c>
      <c r="C54" t="inlineStr"/>
      <c r="D54" s="1" t="n">
        <v>46022</v>
      </c>
      <c r="E54" t="inlineStr">
        <is>
          <t>5Y</t>
        </is>
      </c>
      <c r="F54" t="inlineStr"/>
      <c r="G54" t="n">
        <v>0.8933688833018039</v>
      </c>
      <c r="H54" t="n">
        <v>5.163887293903424</v>
      </c>
      <c r="I54" t="n">
        <v>4.946742344302257</v>
      </c>
      <c r="J54" t="inlineStr"/>
      <c r="K54" t="inlineStr">
        <is>
          <t>Germany||5Y</t>
        </is>
      </c>
      <c r="L54" t="inlineStr">
        <is>
          <t>Germany|5Y</t>
        </is>
      </c>
      <c r="M54" t="inlineStr"/>
    </row>
    <row r="55">
      <c r="A55" t="inlineStr">
        <is>
          <t>Germany</t>
        </is>
      </c>
      <c r="B55" t="inlineStr">
        <is>
          <t>DEU</t>
        </is>
      </c>
      <c r="C55" t="inlineStr"/>
      <c r="D55" s="1" t="n">
        <v>46022</v>
      </c>
      <c r="E55" t="inlineStr">
        <is>
          <t>10Y</t>
        </is>
      </c>
      <c r="F55" t="inlineStr"/>
      <c r="G55" t="n">
        <v>0.7314110874349522</v>
      </c>
      <c r="H55" t="n">
        <v>3.697957495850335</v>
      </c>
      <c r="I55" t="n">
        <v>3.882652564606848</v>
      </c>
      <c r="J55" t="inlineStr"/>
      <c r="K55" t="inlineStr">
        <is>
          <t>Germany||10Y</t>
        </is>
      </c>
      <c r="L55" t="inlineStr">
        <is>
          <t>Germany|10Y</t>
        </is>
      </c>
      <c r="M55" t="inlineStr"/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s="1" t="n">
        <v>46022</v>
      </c>
      <c r="E56" t="inlineStr">
        <is>
          <t>1Y</t>
        </is>
      </c>
      <c r="F56" t="n">
        <v>28.64559964104865</v>
      </c>
      <c r="G56" t="n">
        <v>0.1910000000000078</v>
      </c>
      <c r="H56" t="n">
        <v>2.531733999999997</v>
      </c>
      <c r="I56" t="n">
        <v>7.032006999999996</v>
      </c>
      <c r="J56" t="n">
        <v>-21.61359264104865</v>
      </c>
      <c r="K56" t="inlineStr">
        <is>
          <t>Germany|XDAX.L|1Y</t>
        </is>
      </c>
      <c r="L56" t="inlineStr">
        <is>
          <t>Germany|1Y</t>
        </is>
      </c>
      <c r="M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s="1" t="n">
        <v>46022</v>
      </c>
      <c r="E57" t="inlineStr">
        <is>
          <t>3Y</t>
        </is>
      </c>
      <c r="F57" t="n">
        <v>19.05952822413444</v>
      </c>
      <c r="G57" t="n">
        <v>-0.3933046908136117</v>
      </c>
      <c r="H57" t="n">
        <v>3.620446854152237</v>
      </c>
      <c r="I57" t="n">
        <v>6.043401004617355</v>
      </c>
      <c r="J57" t="n">
        <v>-13.01612721951708</v>
      </c>
      <c r="K57" t="inlineStr">
        <is>
          <t>Germany|XDAX.L|3Y</t>
        </is>
      </c>
      <c r="L57" t="inlineStr">
        <is>
          <t>Germany|3Y</t>
        </is>
      </c>
      <c r="M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s="1" t="n">
        <v>46022</v>
      </c>
      <c r="E58" t="inlineStr">
        <is>
          <t>5Y</t>
        </is>
      </c>
      <c r="F58" t="n">
        <v>11.00478737857951</v>
      </c>
      <c r="G58" t="n">
        <v>0.8933688833018039</v>
      </c>
      <c r="H58" t="n">
        <v>5.163887293903424</v>
      </c>
      <c r="I58" t="n">
        <v>4.946742344302257</v>
      </c>
      <c r="J58" t="n">
        <v>-6.058045034277248</v>
      </c>
      <c r="K58" t="inlineStr">
        <is>
          <t>Germany|XDAX.L|5Y</t>
        </is>
      </c>
      <c r="L58" t="inlineStr">
        <is>
          <t>Germany|5Y</t>
        </is>
      </c>
      <c r="M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s="1" t="n">
        <v>46022</v>
      </c>
      <c r="E59" t="inlineStr">
        <is>
          <t>10Y</t>
        </is>
      </c>
      <c r="F59" t="n">
        <v>7.104246978608764</v>
      </c>
      <c r="G59" t="n">
        <v>0.7314110874349522</v>
      </c>
      <c r="H59" t="n">
        <v>3.697957495850335</v>
      </c>
      <c r="I59" t="n">
        <v>3.882652564606848</v>
      </c>
      <c r="J59" t="n">
        <v>-3.221594414001916</v>
      </c>
      <c r="K59" t="inlineStr">
        <is>
          <t>Germany|XDAX.L|10Y</t>
        </is>
      </c>
      <c r="L59" t="inlineStr">
        <is>
          <t>Germany|10Y</t>
        </is>
      </c>
      <c r="M59" t="inlineStr">
        <is>
          <t>GBp</t>
        </is>
      </c>
    </row>
    <row r="60">
      <c r="A60" t="inlineStr">
        <is>
          <t>Hong Kong</t>
        </is>
      </c>
      <c r="B60" t="inlineStr">
        <is>
          <t>HKG</t>
        </is>
      </c>
      <c r="C60" t="inlineStr"/>
      <c r="D60" s="1" t="n">
        <v>46022</v>
      </c>
      <c r="E60" t="inlineStr">
        <is>
          <t>1Y</t>
        </is>
      </c>
      <c r="F60" t="inlineStr"/>
      <c r="G60" t="n">
        <v>2.438000000000007</v>
      </c>
      <c r="H60" t="n">
        <v>4.714978999999997</v>
      </c>
      <c r="I60" t="n">
        <v>5.252382</v>
      </c>
      <c r="J60" t="inlineStr"/>
      <c r="K60" t="inlineStr">
        <is>
          <t>Hong Kong||1Y</t>
        </is>
      </c>
      <c r="L60" t="inlineStr">
        <is>
          <t>Hong Kong|1Y</t>
        </is>
      </c>
      <c r="M60" t="inlineStr"/>
    </row>
    <row r="61">
      <c r="A61" t="inlineStr">
        <is>
          <t>Hong Kong</t>
        </is>
      </c>
      <c r="B61" t="inlineStr">
        <is>
          <t>HKG</t>
        </is>
      </c>
      <c r="C61" t="inlineStr"/>
      <c r="D61" s="1" t="n">
        <v>46022</v>
      </c>
      <c r="E61" t="inlineStr">
        <is>
          <t>3Y</t>
        </is>
      </c>
      <c r="F61" t="inlineStr"/>
      <c r="G61" t="n">
        <v>2.721718167923459</v>
      </c>
      <c r="H61" t="n">
        <v>5.780630152015354</v>
      </c>
      <c r="I61" t="n">
        <v>6.085897689731179</v>
      </c>
      <c r="J61" t="inlineStr"/>
      <c r="K61" t="inlineStr">
        <is>
          <t>Hong Kong||3Y</t>
        </is>
      </c>
      <c r="L61" t="inlineStr">
        <is>
          <t>Hong Kong|3Y</t>
        </is>
      </c>
      <c r="M61" t="inlineStr"/>
    </row>
    <row r="62">
      <c r="A62" t="inlineStr">
        <is>
          <t>Hong Kong</t>
        </is>
      </c>
      <c r="B62" t="inlineStr">
        <is>
          <t>HKG</t>
        </is>
      </c>
      <c r="C62" t="inlineStr"/>
      <c r="D62" s="1" t="n">
        <v>46022</v>
      </c>
      <c r="E62" t="inlineStr">
        <is>
          <t>5Y</t>
        </is>
      </c>
      <c r="F62" t="inlineStr"/>
      <c r="G62" t="n">
        <v>2.133790339577146</v>
      </c>
      <c r="H62" t="n">
        <v>4.438969066059117</v>
      </c>
      <c r="I62" t="n">
        <v>4.420810951896481</v>
      </c>
      <c r="J62" t="inlineStr"/>
      <c r="K62" t="inlineStr">
        <is>
          <t>Hong Kong||5Y</t>
        </is>
      </c>
      <c r="L62" t="inlineStr">
        <is>
          <t>Hong Kong|5Y</t>
        </is>
      </c>
      <c r="M62" t="inlineStr"/>
    </row>
    <row r="63">
      <c r="A63" t="inlineStr">
        <is>
          <t>Hong Kong</t>
        </is>
      </c>
      <c r="B63" t="inlineStr">
        <is>
          <t>HKG</t>
        </is>
      </c>
      <c r="C63" t="inlineStr"/>
      <c r="D63" s="1" t="n">
        <v>46022</v>
      </c>
      <c r="E63" t="inlineStr">
        <is>
          <t>10Y</t>
        </is>
      </c>
      <c r="F63" t="inlineStr"/>
      <c r="G63" t="n">
        <v>1.084458438623792</v>
      </c>
      <c r="H63" t="n">
        <v>3.320512295645028</v>
      </c>
      <c r="I63" t="n">
        <v>3.304192398876693</v>
      </c>
      <c r="J63" t="inlineStr"/>
      <c r="K63" t="inlineStr">
        <is>
          <t>Hong Kong||10Y</t>
        </is>
      </c>
      <c r="L63" t="inlineStr">
        <is>
          <t>Hong Kong|10Y</t>
        </is>
      </c>
      <c r="M63" t="inlineStr"/>
    </row>
    <row r="64">
      <c r="A64" t="inlineStr">
        <is>
          <t>Hong Kong</t>
        </is>
      </c>
      <c r="B64" t="inlineStr">
        <is>
          <t>HKG</t>
        </is>
      </c>
      <c r="C64" t="inlineStr">
        <is>
          <t>HKDU.L</t>
        </is>
      </c>
      <c r="D64" s="1" t="n">
        <v>46022</v>
      </c>
      <c r="E64" t="inlineStr">
        <is>
          <t>1Y</t>
        </is>
      </c>
      <c r="F64" t="n">
        <v>1.492788848156024</v>
      </c>
      <c r="G64" t="n">
        <v>2.438000000000007</v>
      </c>
      <c r="H64" t="n">
        <v>4.714978999999997</v>
      </c>
      <c r="I64" t="n">
        <v>5.252382</v>
      </c>
      <c r="J64" t="n">
        <v>3.759593151843976</v>
      </c>
      <c r="K64" t="inlineStr">
        <is>
          <t>Hong Kong|HKDU.L|1Y</t>
        </is>
      </c>
      <c r="L64" t="inlineStr">
        <is>
          <t>Hong Kong|1Y</t>
        </is>
      </c>
      <c r="M64" t="inlineStr">
        <is>
          <t>USD</t>
        </is>
      </c>
    </row>
    <row r="65">
      <c r="A65" t="inlineStr">
        <is>
          <t>India</t>
        </is>
      </c>
      <c r="B65" t="inlineStr">
        <is>
          <t>IND</t>
        </is>
      </c>
      <c r="C65" t="inlineStr"/>
      <c r="D65" s="1" t="n">
        <v>46022</v>
      </c>
      <c r="E65" t="inlineStr">
        <is>
          <t>1Y</t>
        </is>
      </c>
      <c r="F65" t="inlineStr"/>
      <c r="G65" t="n">
        <v>6.645999999999996</v>
      </c>
      <c r="H65" t="n">
        <v>8.515731000000004</v>
      </c>
      <c r="I65" t="n">
        <v>5.507083000000002</v>
      </c>
      <c r="J65" t="inlineStr"/>
      <c r="K65" t="inlineStr">
        <is>
          <t>India||1Y</t>
        </is>
      </c>
      <c r="L65" t="inlineStr">
        <is>
          <t>India|1Y</t>
        </is>
      </c>
      <c r="M65" t="inlineStr"/>
    </row>
    <row r="66">
      <c r="A66" t="inlineStr">
        <is>
          <t>India</t>
        </is>
      </c>
      <c r="B66" t="inlineStr">
        <is>
          <t>IND</t>
        </is>
      </c>
      <c r="C66" t="inlineStr"/>
      <c r="D66" s="1" t="n">
        <v>46022</v>
      </c>
      <c r="E66" t="inlineStr">
        <is>
          <t>3Y</t>
        </is>
      </c>
      <c r="F66" t="inlineStr"/>
      <c r="G66" t="n">
        <v>7.436918655360047</v>
      </c>
      <c r="H66" t="n">
        <v>10.09511970244343</v>
      </c>
      <c r="I66" t="n">
        <v>7.226513221012598</v>
      </c>
      <c r="J66" t="inlineStr"/>
      <c r="K66" t="inlineStr">
        <is>
          <t>India||3Y</t>
        </is>
      </c>
      <c r="L66" t="inlineStr">
        <is>
          <t>India|3Y</t>
        </is>
      </c>
      <c r="M66" t="inlineStr"/>
    </row>
    <row r="67">
      <c r="A67" t="inlineStr">
        <is>
          <t>India</t>
        </is>
      </c>
      <c r="B67" t="inlineStr">
        <is>
          <t>IND</t>
        </is>
      </c>
      <c r="C67" t="inlineStr"/>
      <c r="D67" s="1" t="n">
        <v>46022</v>
      </c>
      <c r="E67" t="inlineStr">
        <is>
          <t>5Y</t>
        </is>
      </c>
      <c r="F67" t="inlineStr"/>
      <c r="G67" t="n">
        <v>7.918339116520134</v>
      </c>
      <c r="H67" t="n">
        <v>12.56684095269041</v>
      </c>
      <c r="I67" t="n">
        <v>9.050917372360324</v>
      </c>
      <c r="J67" t="inlineStr"/>
      <c r="K67" t="inlineStr">
        <is>
          <t>India||5Y</t>
        </is>
      </c>
      <c r="L67" t="inlineStr">
        <is>
          <t>India|5Y</t>
        </is>
      </c>
      <c r="M67" t="inlineStr"/>
    </row>
    <row r="68">
      <c r="A68" t="inlineStr">
        <is>
          <t>India</t>
        </is>
      </c>
      <c r="B68" t="inlineStr">
        <is>
          <t>IND</t>
        </is>
      </c>
      <c r="C68" t="inlineStr"/>
      <c r="D68" s="1" t="n">
        <v>46022</v>
      </c>
      <c r="E68" t="inlineStr">
        <is>
          <t>10Y</t>
        </is>
      </c>
      <c r="F68" t="inlineStr"/>
      <c r="G68" t="n">
        <v>5.834869256968189</v>
      </c>
      <c r="H68" t="n">
        <v>10.05023339700217</v>
      </c>
      <c r="I68" t="n">
        <v>6.966692846003397</v>
      </c>
      <c r="J68" t="inlineStr"/>
      <c r="K68" t="inlineStr">
        <is>
          <t>India||10Y</t>
        </is>
      </c>
      <c r="L68" t="inlineStr">
        <is>
          <t>India|10Y</t>
        </is>
      </c>
      <c r="M68" t="inlineStr"/>
    </row>
    <row r="69">
      <c r="A69" t="inlineStr">
        <is>
          <t>India</t>
        </is>
      </c>
      <c r="B69" t="inlineStr">
        <is>
          <t>IND</t>
        </is>
      </c>
      <c r="C69" t="inlineStr">
        <is>
          <t>FRIN.L</t>
        </is>
      </c>
      <c r="D69" s="1" t="n">
        <v>46022</v>
      </c>
      <c r="E69" t="inlineStr">
        <is>
          <t>1Y</t>
        </is>
      </c>
      <c r="F69" t="n">
        <v>-6.536902020772983</v>
      </c>
      <c r="G69" t="n">
        <v>6.645999999999996</v>
      </c>
      <c r="H69" t="n">
        <v>8.515731000000004</v>
      </c>
      <c r="I69" t="n">
        <v>5.507083000000002</v>
      </c>
      <c r="J69" t="n">
        <v>12.04398502077298</v>
      </c>
      <c r="K69" t="inlineStr">
        <is>
          <t>India|FRIN.L|1Y</t>
        </is>
      </c>
      <c r="L69" t="inlineStr">
        <is>
          <t>India|1Y</t>
        </is>
      </c>
      <c r="M69" t="inlineStr">
        <is>
          <t>GBP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FRIN.L</t>
        </is>
      </c>
      <c r="D70" s="1" t="n">
        <v>46022</v>
      </c>
      <c r="E70" t="inlineStr">
        <is>
          <t>3Y</t>
        </is>
      </c>
      <c r="F70" t="n">
        <v>7.417247518972814</v>
      </c>
      <c r="G70" t="n">
        <v>7.436918655360047</v>
      </c>
      <c r="H70" t="n">
        <v>10.09511970244343</v>
      </c>
      <c r="I70" t="n">
        <v>7.226513221012598</v>
      </c>
      <c r="J70" t="n">
        <v>-0.1907342979602156</v>
      </c>
      <c r="K70" t="inlineStr">
        <is>
          <t>India|FRIN.L|3Y</t>
        </is>
      </c>
      <c r="L70" t="inlineStr">
        <is>
          <t>India|3Y</t>
        </is>
      </c>
      <c r="M70" t="inlineStr">
        <is>
          <t>GBP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FRIN.L</t>
        </is>
      </c>
      <c r="D71" s="1" t="n">
        <v>46022</v>
      </c>
      <c r="E71" t="inlineStr">
        <is>
          <t>5Y</t>
        </is>
      </c>
      <c r="F71" t="n">
        <v>9.66322464951579</v>
      </c>
      <c r="G71" t="n">
        <v>7.918339116520134</v>
      </c>
      <c r="H71" t="n">
        <v>12.56684095269041</v>
      </c>
      <c r="I71" t="n">
        <v>9.050917372360324</v>
      </c>
      <c r="J71" t="n">
        <v>-0.6123072771554661</v>
      </c>
      <c r="K71" t="inlineStr">
        <is>
          <t>India|FRIN.L|5Y</t>
        </is>
      </c>
      <c r="L71" t="inlineStr">
        <is>
          <t>India|5Y</t>
        </is>
      </c>
      <c r="M71" t="inlineStr">
        <is>
          <t>GBP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IIND.L</t>
        </is>
      </c>
      <c r="D72" s="1" t="n">
        <v>46022</v>
      </c>
      <c r="E72" t="inlineStr">
        <is>
          <t>1Y</t>
        </is>
      </c>
      <c r="F72" t="n">
        <v>-5.707615136935273</v>
      </c>
      <c r="G72" t="n">
        <v>6.645999999999996</v>
      </c>
      <c r="H72" t="n">
        <v>8.515731000000004</v>
      </c>
      <c r="I72" t="n">
        <v>5.507083000000002</v>
      </c>
      <c r="J72" t="n">
        <v>11.21469813693528</v>
      </c>
      <c r="K72" t="inlineStr">
        <is>
          <t>India|IIND.L|1Y</t>
        </is>
      </c>
      <c r="L72" t="inlineStr">
        <is>
          <t>India|1Y</t>
        </is>
      </c>
      <c r="M72" t="inlineStr">
        <is>
          <t>GBP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IIND.L</t>
        </is>
      </c>
      <c r="D73" s="1" t="n">
        <v>46022</v>
      </c>
      <c r="E73" t="inlineStr">
        <is>
          <t>3Y</t>
        </is>
      </c>
      <c r="F73" t="n">
        <v>6.6101615915233</v>
      </c>
      <c r="G73" t="n">
        <v>7.436918655360047</v>
      </c>
      <c r="H73" t="n">
        <v>10.09511970244343</v>
      </c>
      <c r="I73" t="n">
        <v>7.226513221012598</v>
      </c>
      <c r="J73" t="n">
        <v>0.6163516294892979</v>
      </c>
      <c r="K73" t="inlineStr">
        <is>
          <t>India|IIND.L|3Y</t>
        </is>
      </c>
      <c r="L73" t="inlineStr">
        <is>
          <t>India|3Y</t>
        </is>
      </c>
      <c r="M73" t="inlineStr">
        <is>
          <t>GBP</t>
        </is>
      </c>
    </row>
    <row r="74">
      <c r="A74" t="inlineStr">
        <is>
          <t>India</t>
        </is>
      </c>
      <c r="B74" t="inlineStr">
        <is>
          <t>IND</t>
        </is>
      </c>
      <c r="C74" t="inlineStr">
        <is>
          <t>IIND.L</t>
        </is>
      </c>
      <c r="D74" s="1" t="n">
        <v>46022</v>
      </c>
      <c r="E74" t="inlineStr">
        <is>
          <t>5Y</t>
        </is>
      </c>
      <c r="F74" t="n">
        <v>9.287670067638798</v>
      </c>
      <c r="G74" t="n">
        <v>7.918339116520134</v>
      </c>
      <c r="H74" t="n">
        <v>12.56684095269041</v>
      </c>
      <c r="I74" t="n">
        <v>9.050917372360324</v>
      </c>
      <c r="J74" t="n">
        <v>-0.236752695278474</v>
      </c>
      <c r="K74" t="inlineStr">
        <is>
          <t>India|IIND.L|5Y</t>
        </is>
      </c>
      <c r="L74" t="inlineStr">
        <is>
          <t>India|5Y</t>
        </is>
      </c>
      <c r="M74" t="inlineStr">
        <is>
          <t>GBP</t>
        </is>
      </c>
    </row>
    <row r="75">
      <c r="A75" t="inlineStr">
        <is>
          <t>Indonesia</t>
        </is>
      </c>
      <c r="B75" t="inlineStr">
        <is>
          <t>IDN</t>
        </is>
      </c>
      <c r="C75" t="inlineStr"/>
      <c r="D75" s="1" t="n">
        <v>46022</v>
      </c>
      <c r="E75" t="inlineStr">
        <is>
          <t>1Y</t>
        </is>
      </c>
      <c r="F75" t="inlineStr"/>
      <c r="G75" t="n">
        <v>4.861000000000004</v>
      </c>
      <c r="H75" t="n">
        <v>7.022755999999997</v>
      </c>
      <c r="I75" t="n">
        <v>3.362887999999997</v>
      </c>
      <c r="J75" t="inlineStr"/>
      <c r="K75" t="inlineStr">
        <is>
          <t>Indonesia||1Y</t>
        </is>
      </c>
      <c r="L75" t="inlineStr">
        <is>
          <t>Indonesia|1Y</t>
        </is>
      </c>
      <c r="M75" t="inlineStr"/>
    </row>
    <row r="76">
      <c r="A76" t="inlineStr">
        <is>
          <t>Indonesia</t>
        </is>
      </c>
      <c r="B76" t="inlineStr">
        <is>
          <t>IDN</t>
        </is>
      </c>
      <c r="C76" t="inlineStr"/>
      <c r="D76" s="1" t="n">
        <v>46022</v>
      </c>
      <c r="E76" t="inlineStr">
        <is>
          <t>3Y</t>
        </is>
      </c>
      <c r="F76" t="inlineStr"/>
      <c r="G76" t="n">
        <v>4.979965977918921</v>
      </c>
      <c r="H76" t="n">
        <v>6.547773211466579</v>
      </c>
      <c r="I76" t="n">
        <v>3.043778494210758</v>
      </c>
      <c r="J76" t="inlineStr"/>
      <c r="K76" t="inlineStr">
        <is>
          <t>Indonesia||3Y</t>
        </is>
      </c>
      <c r="L76" t="inlineStr">
        <is>
          <t>Indonesia|3Y</t>
        </is>
      </c>
      <c r="M76" t="inlineStr"/>
    </row>
    <row r="77">
      <c r="A77" t="inlineStr">
        <is>
          <t>Indonesia</t>
        </is>
      </c>
      <c r="B77" t="inlineStr">
        <is>
          <t>IDN</t>
        </is>
      </c>
      <c r="C77" t="inlineStr"/>
      <c r="D77" s="1" t="n">
        <v>46022</v>
      </c>
      <c r="E77" t="inlineStr">
        <is>
          <t>5Y</t>
        </is>
      </c>
      <c r="F77" t="inlineStr"/>
      <c r="G77" t="n">
        <v>4.788486756951071</v>
      </c>
      <c r="H77" t="n">
        <v>8.937740731042876</v>
      </c>
      <c r="I77" t="n">
        <v>6.386120523687699</v>
      </c>
      <c r="J77" t="inlineStr"/>
      <c r="K77" t="inlineStr">
        <is>
          <t>Indonesia||5Y</t>
        </is>
      </c>
      <c r="L77" t="inlineStr">
        <is>
          <t>Indonesia|5Y</t>
        </is>
      </c>
      <c r="M77" t="inlineStr"/>
    </row>
    <row r="78">
      <c r="A78" t="inlineStr">
        <is>
          <t>Indonesia</t>
        </is>
      </c>
      <c r="B78" t="inlineStr">
        <is>
          <t>IDN</t>
        </is>
      </c>
      <c r="C78" t="inlineStr"/>
      <c r="D78" s="1" t="n">
        <v>46022</v>
      </c>
      <c r="E78" t="inlineStr">
        <is>
          <t>10Y</t>
        </is>
      </c>
      <c r="F78" t="inlineStr"/>
      <c r="G78" t="n">
        <v>4.195319559416921</v>
      </c>
      <c r="H78" t="n">
        <v>7.471726843455895</v>
      </c>
      <c r="I78" t="n">
        <v>5.303156012516141</v>
      </c>
      <c r="J78" t="inlineStr"/>
      <c r="K78" t="inlineStr">
        <is>
          <t>Indonesia||10Y</t>
        </is>
      </c>
      <c r="L78" t="inlineStr">
        <is>
          <t>Indonesia|10Y</t>
        </is>
      </c>
      <c r="M78" t="inlineStr"/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INDO.L</t>
        </is>
      </c>
      <c r="D79" s="1" t="n">
        <v>43376</v>
      </c>
      <c r="E79" t="inlineStr">
        <is>
          <t>1Y</t>
        </is>
      </c>
      <c r="F79" t="n">
        <v>0</v>
      </c>
      <c r="G79" t="n">
        <v>5.17399999999999</v>
      </c>
      <c r="H79" t="n">
        <v>9.190186000000011</v>
      </c>
      <c r="I79" t="n">
        <v>2.624311000000001</v>
      </c>
      <c r="J79" t="n">
        <v>2.624311000000001</v>
      </c>
      <c r="K79" t="inlineStr">
        <is>
          <t>Indonesia|INDO.L|1Y</t>
        </is>
      </c>
      <c r="L79" t="inlineStr">
        <is>
          <t>Indonesia|1Y</t>
        </is>
      </c>
      <c r="M79" t="inlineStr">
        <is>
          <t>USD</t>
        </is>
      </c>
    </row>
    <row r="80">
      <c r="A80" t="inlineStr">
        <is>
          <t>Italy</t>
        </is>
      </c>
      <c r="B80" t="inlineStr">
        <is>
          <t>ITA</t>
        </is>
      </c>
      <c r="C80" t="inlineStr"/>
      <c r="D80" s="1" t="n">
        <v>46022</v>
      </c>
      <c r="E80" t="inlineStr">
        <is>
          <t>1Y</t>
        </is>
      </c>
      <c r="F80" t="inlineStr"/>
      <c r="G80" t="n">
        <v>0.546000000000002</v>
      </c>
      <c r="H80" t="n">
        <v>2.72618899999999</v>
      </c>
      <c r="I80" t="n">
        <v>7.234980000000002</v>
      </c>
      <c r="J80" t="inlineStr"/>
      <c r="K80" t="inlineStr">
        <is>
          <t>Italy||1Y</t>
        </is>
      </c>
      <c r="L80" t="inlineStr">
        <is>
          <t>Italy|1Y</t>
        </is>
      </c>
      <c r="M80" t="inlineStr"/>
    </row>
    <row r="81">
      <c r="A81" t="inlineStr">
        <is>
          <t>Italy</t>
        </is>
      </c>
      <c r="B81" t="inlineStr">
        <is>
          <t>ITA</t>
        </is>
      </c>
      <c r="C81" t="inlineStr"/>
      <c r="D81" s="1" t="n">
        <v>46022</v>
      </c>
      <c r="E81" t="inlineStr">
        <is>
          <t>3Y</t>
        </is>
      </c>
      <c r="F81" t="inlineStr"/>
      <c r="G81" t="n">
        <v>0.6622996093258005</v>
      </c>
      <c r="H81" t="n">
        <v>4.067569460073339</v>
      </c>
      <c r="I81" t="n">
        <v>6.500972649406256</v>
      </c>
      <c r="J81" t="inlineStr"/>
      <c r="K81" t="inlineStr">
        <is>
          <t>Italy||3Y</t>
        </is>
      </c>
      <c r="L81" t="inlineStr">
        <is>
          <t>Italy|3Y</t>
        </is>
      </c>
      <c r="M81" t="inlineStr"/>
    </row>
    <row r="82">
      <c r="A82" t="inlineStr">
        <is>
          <t>Italy</t>
        </is>
      </c>
      <c r="B82" t="inlineStr">
        <is>
          <t>ITA</t>
        </is>
      </c>
      <c r="C82" t="inlineStr"/>
      <c r="D82" s="1" t="n">
        <v>46022</v>
      </c>
      <c r="E82" t="inlineStr">
        <is>
          <t>5Y</t>
        </is>
      </c>
      <c r="F82" t="inlineStr"/>
      <c r="G82" t="n">
        <v>3.095584771926529</v>
      </c>
      <c r="H82" t="n">
        <v>6.161622411620993</v>
      </c>
      <c r="I82" t="n">
        <v>5.942402713846362</v>
      </c>
      <c r="J82" t="inlineStr"/>
      <c r="K82" t="inlineStr">
        <is>
          <t>Italy||5Y</t>
        </is>
      </c>
      <c r="L82" t="inlineStr">
        <is>
          <t>Italy|5Y</t>
        </is>
      </c>
      <c r="M82" t="inlineStr"/>
    </row>
    <row r="83">
      <c r="A83" t="inlineStr">
        <is>
          <t>Italy</t>
        </is>
      </c>
      <c r="B83" t="inlineStr">
        <is>
          <t>ITA</t>
        </is>
      </c>
      <c r="C83" t="inlineStr"/>
      <c r="D83" s="1" t="n">
        <v>46022</v>
      </c>
      <c r="E83" t="inlineStr">
        <is>
          <t>10Y</t>
        </is>
      </c>
      <c r="F83" t="inlineStr"/>
      <c r="G83" t="n">
        <v>1.007890224510355</v>
      </c>
      <c r="H83" t="n">
        <v>3.07640767700248</v>
      </c>
      <c r="I83" t="n">
        <v>3.259991546995633</v>
      </c>
      <c r="J83" t="inlineStr"/>
      <c r="K83" t="inlineStr">
        <is>
          <t>Italy||10Y</t>
        </is>
      </c>
      <c r="L83" t="inlineStr">
        <is>
          <t>Italy|10Y</t>
        </is>
      </c>
      <c r="M83" t="inlineStr"/>
    </row>
    <row r="84">
      <c r="A84" t="inlineStr">
        <is>
          <t>Italy</t>
        </is>
      </c>
      <c r="B84" t="inlineStr">
        <is>
          <t>ITA</t>
        </is>
      </c>
      <c r="C84" t="inlineStr">
        <is>
          <t>CMIB.L</t>
        </is>
      </c>
      <c r="D84" s="1" t="n">
        <v>43731</v>
      </c>
      <c r="E84" t="inlineStr">
        <is>
          <t>1Y</t>
        </is>
      </c>
      <c r="F84" t="n">
        <v>0</v>
      </c>
      <c r="G84" t="n">
        <v>0.4289999999999905</v>
      </c>
      <c r="H84" t="n">
        <v>1.48075299999999</v>
      </c>
      <c r="I84" t="n">
        <v>-3.835292999999995</v>
      </c>
      <c r="J84" t="n">
        <v>-3.835292999999995</v>
      </c>
      <c r="K84" t="inlineStr">
        <is>
          <t>Italy|CMIB.L|1Y</t>
        </is>
      </c>
      <c r="L84" t="inlineStr">
        <is>
          <t>Italy|1Y</t>
        </is>
      </c>
      <c r="M84" t="inlineStr">
        <is>
          <t>EUR</t>
        </is>
      </c>
    </row>
    <row r="85">
      <c r="A85" t="inlineStr">
        <is>
          <t>Japan</t>
        </is>
      </c>
      <c r="B85" t="inlineStr">
        <is>
          <t>JPN</t>
        </is>
      </c>
      <c r="C85" t="inlineStr"/>
      <c r="D85" s="1" t="n">
        <v>46022</v>
      </c>
      <c r="E85" t="inlineStr">
        <is>
          <t>1Y</t>
        </is>
      </c>
      <c r="F85" t="inlineStr"/>
      <c r="G85" t="n">
        <v>1.07600000000001</v>
      </c>
      <c r="H85" t="n">
        <v>3.887970000000007</v>
      </c>
      <c r="I85" t="n">
        <v>6.479751999999994</v>
      </c>
      <c r="J85" t="inlineStr"/>
      <c r="K85" t="inlineStr">
        <is>
          <t>Japan||1Y</t>
        </is>
      </c>
      <c r="L85" t="inlineStr">
        <is>
          <t>Japan|1Y</t>
        </is>
      </c>
      <c r="M85" t="inlineStr"/>
    </row>
    <row r="86">
      <c r="A86" t="inlineStr">
        <is>
          <t>Japan</t>
        </is>
      </c>
      <c r="B86" t="inlineStr">
        <is>
          <t>JPN</t>
        </is>
      </c>
      <c r="C86" t="inlineStr"/>
      <c r="D86" s="1" t="n">
        <v>46022</v>
      </c>
      <c r="E86" t="inlineStr">
        <is>
          <t>3Y</t>
        </is>
      </c>
      <c r="F86" t="inlineStr"/>
      <c r="G86" t="n">
        <v>0.8070767384687372</v>
      </c>
      <c r="H86" t="n">
        <v>4.079471863645368</v>
      </c>
      <c r="I86" t="n">
        <v>0.1296002875132762</v>
      </c>
      <c r="J86" t="inlineStr"/>
      <c r="K86" t="inlineStr">
        <is>
          <t>Japan||3Y</t>
        </is>
      </c>
      <c r="L86" t="inlineStr">
        <is>
          <t>Japan|3Y</t>
        </is>
      </c>
      <c r="M86" t="inlineStr"/>
    </row>
    <row r="87">
      <c r="A87" t="inlineStr">
        <is>
          <t>Japan</t>
        </is>
      </c>
      <c r="B87" t="inlineStr">
        <is>
          <t>JPN</t>
        </is>
      </c>
      <c r="C87" t="inlineStr"/>
      <c r="D87" s="1" t="n">
        <v>46022</v>
      </c>
      <c r="E87" t="inlineStr">
        <is>
          <t>5Y</t>
        </is>
      </c>
      <c r="F87" t="inlineStr"/>
      <c r="G87" t="n">
        <v>1.212938163621247</v>
      </c>
      <c r="H87" t="n">
        <v>3.211698957264009</v>
      </c>
      <c r="I87" t="n">
        <v>-3.270926251822071</v>
      </c>
      <c r="J87" t="inlineStr"/>
      <c r="K87" t="inlineStr">
        <is>
          <t>Japan||5Y</t>
        </is>
      </c>
      <c r="L87" t="inlineStr">
        <is>
          <t>Japan|5Y</t>
        </is>
      </c>
      <c r="M87" t="inlineStr"/>
    </row>
    <row r="88">
      <c r="A88" t="inlineStr">
        <is>
          <t>Japan</t>
        </is>
      </c>
      <c r="B88" t="inlineStr">
        <is>
          <t>JPN</t>
        </is>
      </c>
      <c r="C88" t="inlineStr"/>
      <c r="D88" s="1" t="n">
        <v>46022</v>
      </c>
      <c r="E88" t="inlineStr">
        <is>
          <t>10Y</t>
        </is>
      </c>
      <c r="F88" t="inlineStr"/>
      <c r="G88" t="n">
        <v>0.4430022080747165</v>
      </c>
      <c r="H88" t="n">
        <v>1.623588192451919</v>
      </c>
      <c r="I88" t="n">
        <v>-0.3777999050532999</v>
      </c>
      <c r="J88" t="inlineStr"/>
      <c r="K88" t="inlineStr">
        <is>
          <t>Japan||10Y</t>
        </is>
      </c>
      <c r="L88" t="inlineStr">
        <is>
          <t>Japan|10Y</t>
        </is>
      </c>
      <c r="M88" t="inlineStr"/>
    </row>
    <row r="89">
      <c r="A89" t="inlineStr">
        <is>
          <t>Japan</t>
        </is>
      </c>
      <c r="B89" t="inlineStr">
        <is>
          <t>JPN</t>
        </is>
      </c>
      <c r="C89" t="inlineStr">
        <is>
          <t>IJPN.L</t>
        </is>
      </c>
      <c r="D89" s="1" t="n">
        <v>46022</v>
      </c>
      <c r="E89" t="inlineStr">
        <is>
          <t>1Y</t>
        </is>
      </c>
      <c r="F89" t="n">
        <v>13.36075836165267</v>
      </c>
      <c r="G89" t="n">
        <v>1.07600000000001</v>
      </c>
      <c r="H89" t="n">
        <v>3.887970000000007</v>
      </c>
      <c r="I89" t="n">
        <v>6.479751999999994</v>
      </c>
      <c r="J89" t="n">
        <v>-6.881006361652675</v>
      </c>
      <c r="K89" t="inlineStr">
        <is>
          <t>Japan|IJPN.L|1Y</t>
        </is>
      </c>
      <c r="L89" t="inlineStr">
        <is>
          <t>Japan|1Y</t>
        </is>
      </c>
      <c r="M89" t="inlineStr">
        <is>
          <t>GBp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IJPN.L</t>
        </is>
      </c>
      <c r="D90" s="1" t="n">
        <v>46022</v>
      </c>
      <c r="E90" t="inlineStr">
        <is>
          <t>3Y</t>
        </is>
      </c>
      <c r="F90" t="n">
        <v>10.99433974661508</v>
      </c>
      <c r="G90" t="n">
        <v>0.8070767384687372</v>
      </c>
      <c r="H90" t="n">
        <v>4.079471863645368</v>
      </c>
      <c r="I90" t="n">
        <v>0.1296002875132762</v>
      </c>
      <c r="J90" t="n">
        <v>-10.8647394591018</v>
      </c>
      <c r="K90" t="inlineStr">
        <is>
          <t>Japan|IJPN.L|3Y</t>
        </is>
      </c>
      <c r="L90" t="inlineStr">
        <is>
          <t>Japan|3Y</t>
        </is>
      </c>
      <c r="M90" t="inlineStr">
        <is>
          <t>GBp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IJPN.L</t>
        </is>
      </c>
      <c r="D91" s="1" t="n">
        <v>46022</v>
      </c>
      <c r="E91" t="inlineStr">
        <is>
          <t>5Y</t>
        </is>
      </c>
      <c r="F91" t="n">
        <v>4.839993842296031</v>
      </c>
      <c r="G91" t="n">
        <v>1.212938163621247</v>
      </c>
      <c r="H91" t="n">
        <v>3.211698957264009</v>
      </c>
      <c r="I91" t="n">
        <v>-3.270926251822071</v>
      </c>
      <c r="J91" t="n">
        <v>-8.110920094118102</v>
      </c>
      <c r="K91" t="inlineStr">
        <is>
          <t>Japan|IJPN.L|5Y</t>
        </is>
      </c>
      <c r="L91" t="inlineStr">
        <is>
          <t>Japan|5Y</t>
        </is>
      </c>
      <c r="M91" t="inlineStr">
        <is>
          <t>GBp</t>
        </is>
      </c>
    </row>
    <row r="92">
      <c r="A92" t="inlineStr">
        <is>
          <t>Japan</t>
        </is>
      </c>
      <c r="B92" t="inlineStr">
        <is>
          <t>JPN</t>
        </is>
      </c>
      <c r="C92" t="inlineStr">
        <is>
          <t>IJPN.L</t>
        </is>
      </c>
      <c r="D92" s="1" t="n">
        <v>46022</v>
      </c>
      <c r="E92" t="inlineStr">
        <is>
          <t>10Y</t>
        </is>
      </c>
      <c r="F92" t="n">
        <v>6.946737118748292</v>
      </c>
      <c r="G92" t="n">
        <v>0.4430022080747165</v>
      </c>
      <c r="H92" t="n">
        <v>1.623588192451919</v>
      </c>
      <c r="I92" t="n">
        <v>-0.3777999050532999</v>
      </c>
      <c r="J92" t="n">
        <v>-7.324537023801591</v>
      </c>
      <c r="K92" t="inlineStr">
        <is>
          <t>Japan|IJPN.L|10Y</t>
        </is>
      </c>
      <c r="L92" t="inlineStr">
        <is>
          <t>Japan|10Y</t>
        </is>
      </c>
      <c r="M92" t="inlineStr">
        <is>
          <t>GBp</t>
        </is>
      </c>
    </row>
    <row r="93">
      <c r="A93" t="inlineStr">
        <is>
          <t>Japan</t>
        </is>
      </c>
      <c r="B93" t="inlineStr">
        <is>
          <t>JPN</t>
        </is>
      </c>
      <c r="C93" t="inlineStr">
        <is>
          <t>LCJP.L</t>
        </is>
      </c>
      <c r="D93" s="1" t="n">
        <v>46022</v>
      </c>
      <c r="E93" t="inlineStr">
        <is>
          <t>1Y</t>
        </is>
      </c>
      <c r="F93" t="n">
        <v>15.82411632877179</v>
      </c>
      <c r="G93" t="n">
        <v>1.07600000000001</v>
      </c>
      <c r="H93" t="n">
        <v>3.887970000000007</v>
      </c>
      <c r="I93" t="n">
        <v>6.479751999999994</v>
      </c>
      <c r="J93" t="n">
        <v>-9.344364328771793</v>
      </c>
      <c r="K93" t="inlineStr">
        <is>
          <t>Japan|LCJP.L|1Y</t>
        </is>
      </c>
      <c r="L93" t="inlineStr">
        <is>
          <t>Japan|1Y</t>
        </is>
      </c>
      <c r="M93" t="inlineStr">
        <is>
          <t>GBP</t>
        </is>
      </c>
    </row>
    <row r="94">
      <c r="A94" t="inlineStr">
        <is>
          <t>Japan</t>
        </is>
      </c>
      <c r="B94" t="inlineStr">
        <is>
          <t>JPN</t>
        </is>
      </c>
      <c r="C94" t="inlineStr">
        <is>
          <t>LCJP.L</t>
        </is>
      </c>
      <c r="D94" s="1" t="n">
        <v>46022</v>
      </c>
      <c r="E94" t="inlineStr">
        <is>
          <t>3Y</t>
        </is>
      </c>
      <c r="F94" t="n">
        <v>13.06392956971774</v>
      </c>
      <c r="G94" t="n">
        <v>0.8070767384687372</v>
      </c>
      <c r="H94" t="n">
        <v>4.079471863645368</v>
      </c>
      <c r="I94" t="n">
        <v>0.1296002875132762</v>
      </c>
      <c r="J94" t="n">
        <v>-12.93432928220446</v>
      </c>
      <c r="K94" t="inlineStr">
        <is>
          <t>Japan|LCJP.L|3Y</t>
        </is>
      </c>
      <c r="L94" t="inlineStr">
        <is>
          <t>Japan|3Y</t>
        </is>
      </c>
      <c r="M94" t="inlineStr">
        <is>
          <t>GBP</t>
        </is>
      </c>
    </row>
    <row r="95">
      <c r="A95" t="inlineStr">
        <is>
          <t>Japan</t>
        </is>
      </c>
      <c r="B95" t="inlineStr">
        <is>
          <t>JPN</t>
        </is>
      </c>
      <c r="C95" t="inlineStr">
        <is>
          <t>LCJP.L</t>
        </is>
      </c>
      <c r="D95" s="1" t="n">
        <v>46022</v>
      </c>
      <c r="E95" t="inlineStr">
        <is>
          <t>5Y</t>
        </is>
      </c>
      <c r="F95" t="n">
        <v>6.801909295749953</v>
      </c>
      <c r="G95" t="n">
        <v>1.212938163621247</v>
      </c>
      <c r="H95" t="n">
        <v>3.211698957264009</v>
      </c>
      <c r="I95" t="n">
        <v>-3.270926251822071</v>
      </c>
      <c r="J95" t="n">
        <v>-10.07283554757202</v>
      </c>
      <c r="K95" t="inlineStr">
        <is>
          <t>Japan|LCJP.L|5Y</t>
        </is>
      </c>
      <c r="L95" t="inlineStr">
        <is>
          <t>Japan|5Y</t>
        </is>
      </c>
      <c r="M95" t="inlineStr">
        <is>
          <t>GBP</t>
        </is>
      </c>
    </row>
    <row r="96">
      <c r="A96" t="inlineStr">
        <is>
          <t>Kuwait</t>
        </is>
      </c>
      <c r="B96" t="inlineStr">
        <is>
          <t>KWT</t>
        </is>
      </c>
      <c r="C96" t="inlineStr"/>
      <c r="D96" s="1" t="n">
        <v>46022</v>
      </c>
      <c r="E96" t="inlineStr">
        <is>
          <t>1Y</t>
        </is>
      </c>
      <c r="F96" t="inlineStr"/>
      <c r="G96" t="n">
        <v>2.57400000000001</v>
      </c>
      <c r="H96" t="n">
        <v>-1.719577000000005</v>
      </c>
      <c r="I96" t="n">
        <v>-1.720695000000005</v>
      </c>
      <c r="J96" t="inlineStr"/>
      <c r="K96" t="inlineStr">
        <is>
          <t>Kuwait||1Y</t>
        </is>
      </c>
      <c r="L96" t="inlineStr">
        <is>
          <t>Kuwait|1Y</t>
        </is>
      </c>
      <c r="M96" t="inlineStr"/>
    </row>
    <row r="97">
      <c r="A97" t="inlineStr">
        <is>
          <t>Kuwait</t>
        </is>
      </c>
      <c r="B97" t="inlineStr">
        <is>
          <t>KWT</t>
        </is>
      </c>
      <c r="C97" t="inlineStr"/>
      <c r="D97" s="1" t="n">
        <v>46022</v>
      </c>
      <c r="E97" t="inlineStr">
        <is>
          <t>3Y</t>
        </is>
      </c>
      <c r="F97" t="inlineStr"/>
      <c r="G97" t="n">
        <v>-0.5759876886007764</v>
      </c>
      <c r="H97" t="n">
        <v>-4.926291097228052</v>
      </c>
      <c r="I97" t="n">
        <v>-4.97842269540728</v>
      </c>
      <c r="J97" t="inlineStr"/>
      <c r="K97" t="inlineStr">
        <is>
          <t>Kuwait||3Y</t>
        </is>
      </c>
      <c r="L97" t="inlineStr">
        <is>
          <t>Kuwait|3Y</t>
        </is>
      </c>
      <c r="M97" t="inlineStr"/>
    </row>
    <row r="98">
      <c r="A98" t="inlineStr">
        <is>
          <t>Kuwait</t>
        </is>
      </c>
      <c r="B98" t="inlineStr">
        <is>
          <t>KWT</t>
        </is>
      </c>
      <c r="C98" t="inlineStr"/>
      <c r="D98" s="1" t="n">
        <v>46022</v>
      </c>
      <c r="E98" t="inlineStr">
        <is>
          <t>5Y</t>
        </is>
      </c>
      <c r="F98" t="inlineStr"/>
      <c r="G98" t="n">
        <v>1.301515826221089</v>
      </c>
      <c r="H98" t="n">
        <v>7.26778766784677</v>
      </c>
      <c r="I98" t="n">
        <v>7.23507633584064</v>
      </c>
      <c r="J98" t="inlineStr"/>
      <c r="K98" t="inlineStr">
        <is>
          <t>Kuwait||5Y</t>
        </is>
      </c>
      <c r="L98" t="inlineStr">
        <is>
          <t>Kuwait|5Y</t>
        </is>
      </c>
      <c r="M98" t="inlineStr"/>
    </row>
    <row r="99">
      <c r="A99" t="inlineStr">
        <is>
          <t>Kuwait</t>
        </is>
      </c>
      <c r="B99" t="inlineStr">
        <is>
          <t>KWT</t>
        </is>
      </c>
      <c r="C99" t="inlineStr"/>
      <c r="D99" s="1" t="n">
        <v>46022</v>
      </c>
      <c r="E99" t="inlineStr">
        <is>
          <t>10Y</t>
        </is>
      </c>
      <c r="F99" t="inlineStr"/>
      <c r="G99" t="n">
        <v>0.4541176664639712</v>
      </c>
      <c r="H99" t="n">
        <v>3.428995978213778</v>
      </c>
      <c r="I99" t="n">
        <v>3.228299065629847</v>
      </c>
      <c r="J99" t="inlineStr"/>
      <c r="K99" t="inlineStr">
        <is>
          <t>Kuwait||10Y</t>
        </is>
      </c>
      <c r="L99" t="inlineStr">
        <is>
          <t>Kuwait|10Y</t>
        </is>
      </c>
      <c r="M99" t="inlineStr"/>
    </row>
    <row r="100">
      <c r="A100" t="inlineStr">
        <is>
          <t>Kuwait</t>
        </is>
      </c>
      <c r="B100" t="inlineStr">
        <is>
          <t>KWT</t>
        </is>
      </c>
      <c r="C100" t="inlineStr">
        <is>
          <t>MKUW.L</t>
        </is>
      </c>
      <c r="D100" s="1" t="n">
        <v>46022</v>
      </c>
      <c r="E100" t="inlineStr">
        <is>
          <t>1Y</t>
        </is>
      </c>
      <c r="F100" t="n">
        <v>25.67082787963788</v>
      </c>
      <c r="G100" t="n">
        <v>2.57400000000001</v>
      </c>
      <c r="H100" t="n">
        <v>-1.719577000000005</v>
      </c>
      <c r="I100" t="n">
        <v>-1.720695000000005</v>
      </c>
      <c r="J100" t="n">
        <v>-27.39152287963789</v>
      </c>
      <c r="K100" t="inlineStr">
        <is>
          <t>Kuwait|MKUW.L|1Y</t>
        </is>
      </c>
      <c r="L100" t="inlineStr">
        <is>
          <t>Kuwait|1Y</t>
        </is>
      </c>
      <c r="M100" t="inlineStr">
        <is>
          <t>USD</t>
        </is>
      </c>
    </row>
    <row r="101">
      <c r="A101" t="inlineStr">
        <is>
          <t>Kuwait</t>
        </is>
      </c>
      <c r="B101" t="inlineStr">
        <is>
          <t>KWT</t>
        </is>
      </c>
      <c r="C101" t="inlineStr">
        <is>
          <t>MKUW.L</t>
        </is>
      </c>
      <c r="D101" s="1" t="n">
        <v>46022</v>
      </c>
      <c r="E101" t="inlineStr">
        <is>
          <t>3Y</t>
        </is>
      </c>
      <c r="F101" t="n">
        <v>8.309987966449018</v>
      </c>
      <c r="G101" t="n">
        <v>-0.5759876886007764</v>
      </c>
      <c r="H101" t="n">
        <v>-4.926291097228052</v>
      </c>
      <c r="I101" t="n">
        <v>-4.97842269540728</v>
      </c>
      <c r="J101" t="n">
        <v>-13.2884106618563</v>
      </c>
      <c r="K101" t="inlineStr">
        <is>
          <t>Kuwait|MKUW.L|3Y</t>
        </is>
      </c>
      <c r="L101" t="inlineStr">
        <is>
          <t>Kuwait|3Y</t>
        </is>
      </c>
      <c r="M101" t="inlineStr">
        <is>
          <t>USD</t>
        </is>
      </c>
    </row>
    <row r="102">
      <c r="A102" t="inlineStr">
        <is>
          <t>Kuwait</t>
        </is>
      </c>
      <c r="B102" t="inlineStr">
        <is>
          <t>KWT</t>
        </is>
      </c>
      <c r="C102" t="inlineStr">
        <is>
          <t>MKUW.L</t>
        </is>
      </c>
      <c r="D102" s="1" t="n">
        <v>46022</v>
      </c>
      <c r="E102" t="inlineStr">
        <is>
          <t>5Y</t>
        </is>
      </c>
      <c r="F102" t="n">
        <v>11.18340207437598</v>
      </c>
      <c r="G102" t="n">
        <v>1.301515826221089</v>
      </c>
      <c r="H102" t="n">
        <v>7.26778766784677</v>
      </c>
      <c r="I102" t="n">
        <v>7.23507633584064</v>
      </c>
      <c r="J102" t="n">
        <v>-3.94832573853534</v>
      </c>
      <c r="K102" t="inlineStr">
        <is>
          <t>Kuwait|MKUW.L|5Y</t>
        </is>
      </c>
      <c r="L102" t="inlineStr">
        <is>
          <t>Kuwait|5Y</t>
        </is>
      </c>
      <c r="M102" t="inlineStr">
        <is>
          <t>USD</t>
        </is>
      </c>
    </row>
    <row r="103">
      <c r="A103" t="inlineStr">
        <is>
          <t>Malaysia</t>
        </is>
      </c>
      <c r="B103" t="inlineStr">
        <is>
          <t>MYS</t>
        </is>
      </c>
      <c r="C103" t="inlineStr"/>
      <c r="D103" s="1" t="n">
        <v>46022</v>
      </c>
      <c r="E103" t="inlineStr">
        <is>
          <t>1Y</t>
        </is>
      </c>
      <c r="F103" t="inlineStr"/>
      <c r="G103" t="n">
        <v>4.499999999999993</v>
      </c>
      <c r="H103" t="n">
        <v>5.607851000000008</v>
      </c>
      <c r="I103" t="n">
        <v>11.45000199999999</v>
      </c>
      <c r="J103" t="inlineStr"/>
      <c r="K103" t="inlineStr">
        <is>
          <t>Malaysia||1Y</t>
        </is>
      </c>
      <c r="L103" t="inlineStr">
        <is>
          <t>Malaysia|1Y</t>
        </is>
      </c>
      <c r="M103" t="inlineStr"/>
    </row>
    <row r="104">
      <c r="A104" t="inlineStr">
        <is>
          <t>Malaysia</t>
        </is>
      </c>
      <c r="B104" t="inlineStr">
        <is>
          <t>MYS</t>
        </is>
      </c>
      <c r="C104" t="inlineStr"/>
      <c r="D104" s="1" t="n">
        <v>46022</v>
      </c>
      <c r="E104" t="inlineStr">
        <is>
          <t>3Y</t>
        </is>
      </c>
      <c r="F104" t="inlineStr"/>
      <c r="G104" t="n">
        <v>4.378667423638438</v>
      </c>
      <c r="H104" t="n">
        <v>4.370250040512258</v>
      </c>
      <c r="I104" t="n">
        <v>4.885544483325233</v>
      </c>
      <c r="J104" t="inlineStr"/>
      <c r="K104" t="inlineStr">
        <is>
          <t>Malaysia||3Y</t>
        </is>
      </c>
      <c r="L104" t="inlineStr">
        <is>
          <t>Malaysia|3Y</t>
        </is>
      </c>
      <c r="M104" t="inlineStr"/>
    </row>
    <row r="105">
      <c r="A105" t="inlineStr">
        <is>
          <t>Malaysia</t>
        </is>
      </c>
      <c r="B105" t="inlineStr">
        <is>
          <t>MYS</t>
        </is>
      </c>
      <c r="C105" t="inlineStr"/>
      <c r="D105" s="1" t="n">
        <v>46022</v>
      </c>
      <c r="E105" t="inlineStr">
        <is>
          <t>5Y</t>
        </is>
      </c>
      <c r="F105" t="inlineStr"/>
      <c r="G105" t="n">
        <v>5.077690900653709</v>
      </c>
      <c r="H105" t="n">
        <v>7.544555745421189</v>
      </c>
      <c r="I105" t="n">
        <v>6.876392291377909</v>
      </c>
      <c r="J105" t="inlineStr"/>
      <c r="K105" t="inlineStr">
        <is>
          <t>Malaysia||5Y</t>
        </is>
      </c>
      <c r="L105" t="inlineStr">
        <is>
          <t>Malaysia|5Y</t>
        </is>
      </c>
      <c r="M105" t="inlineStr"/>
    </row>
    <row r="106">
      <c r="A106" t="inlineStr">
        <is>
          <t>Malaysia</t>
        </is>
      </c>
      <c r="B106" t="inlineStr">
        <is>
          <t>MYS</t>
        </is>
      </c>
      <c r="C106" t="inlineStr"/>
      <c r="D106" s="1" t="n">
        <v>46022</v>
      </c>
      <c r="E106" t="inlineStr">
        <is>
          <t>10Y</t>
        </is>
      </c>
      <c r="F106" t="inlineStr"/>
      <c r="G106" t="n">
        <v>3.89444961245704</v>
      </c>
      <c r="H106" t="n">
        <v>5.657761217890767</v>
      </c>
      <c r="I106" t="n">
        <v>4.557398172221427</v>
      </c>
      <c r="J106" t="inlineStr"/>
      <c r="K106" t="inlineStr">
        <is>
          <t>Malaysia||10Y</t>
        </is>
      </c>
      <c r="L106" t="inlineStr">
        <is>
          <t>Malaysia|10Y</t>
        </is>
      </c>
      <c r="M106" t="inlineStr"/>
    </row>
    <row r="107">
      <c r="A107" t="inlineStr">
        <is>
          <t>Malaysia</t>
        </is>
      </c>
      <c r="B107" t="inlineStr">
        <is>
          <t>MYS</t>
        </is>
      </c>
      <c r="C107" t="inlineStr">
        <is>
          <t>XCX3.L</t>
        </is>
      </c>
      <c r="D107" s="1" t="n">
        <v>46022</v>
      </c>
      <c r="E107" t="inlineStr">
        <is>
          <t>1Y</t>
        </is>
      </c>
      <c r="F107" t="n">
        <v>6.998844227558743</v>
      </c>
      <c r="G107" t="n">
        <v>4.499999999999993</v>
      </c>
      <c r="H107" t="n">
        <v>5.607851000000008</v>
      </c>
      <c r="I107" t="n">
        <v>11.45000199999999</v>
      </c>
      <c r="J107" t="n">
        <v>4.45115777244125</v>
      </c>
      <c r="K107" t="inlineStr">
        <is>
          <t>Malaysia|XCX3.L|1Y</t>
        </is>
      </c>
      <c r="L107" t="inlineStr">
        <is>
          <t>Malaysia|1Y</t>
        </is>
      </c>
      <c r="M107" t="inlineStr">
        <is>
          <t>GBp</t>
        </is>
      </c>
    </row>
    <row r="108">
      <c r="A108" t="inlineStr">
        <is>
          <t>Malaysia</t>
        </is>
      </c>
      <c r="B108" t="inlineStr">
        <is>
          <t>MYS</t>
        </is>
      </c>
      <c r="C108" t="inlineStr">
        <is>
          <t>XCX3.L</t>
        </is>
      </c>
      <c r="D108" s="1" t="n">
        <v>46022</v>
      </c>
      <c r="E108" t="inlineStr">
        <is>
          <t>3Y</t>
        </is>
      </c>
      <c r="F108" t="n">
        <v>6.349313597470552</v>
      </c>
      <c r="G108" t="n">
        <v>4.378667423638438</v>
      </c>
      <c r="H108" t="n">
        <v>4.370250040512258</v>
      </c>
      <c r="I108" t="n">
        <v>4.885544483325233</v>
      </c>
      <c r="J108" t="n">
        <v>-1.463769114145319</v>
      </c>
      <c r="K108" t="inlineStr">
        <is>
          <t>Malaysia|XCX3.L|3Y</t>
        </is>
      </c>
      <c r="L108" t="inlineStr">
        <is>
          <t>Malaysia|3Y</t>
        </is>
      </c>
      <c r="M108" t="inlineStr">
        <is>
          <t>GBp</t>
        </is>
      </c>
    </row>
    <row r="109">
      <c r="A109" t="inlineStr">
        <is>
          <t>Malaysia</t>
        </is>
      </c>
      <c r="B109" t="inlineStr">
        <is>
          <t>MYS</t>
        </is>
      </c>
      <c r="C109" t="inlineStr">
        <is>
          <t>XCX3.L</t>
        </is>
      </c>
      <c r="D109" s="1" t="n">
        <v>46022</v>
      </c>
      <c r="E109" t="inlineStr">
        <is>
          <t>5Y</t>
        </is>
      </c>
      <c r="F109" t="n">
        <v>3.418519092784655</v>
      </c>
      <c r="G109" t="n">
        <v>5.077690900653709</v>
      </c>
      <c r="H109" t="n">
        <v>7.544555745421189</v>
      </c>
      <c r="I109" t="n">
        <v>6.876392291377909</v>
      </c>
      <c r="J109" t="n">
        <v>3.457873198593253</v>
      </c>
      <c r="K109" t="inlineStr">
        <is>
          <t>Malaysia|XCX3.L|5Y</t>
        </is>
      </c>
      <c r="L109" t="inlineStr">
        <is>
          <t>Malaysia|5Y</t>
        </is>
      </c>
      <c r="M109" t="inlineStr">
        <is>
          <t>GBp</t>
        </is>
      </c>
    </row>
    <row r="110">
      <c r="A110" t="inlineStr">
        <is>
          <t>Malaysia</t>
        </is>
      </c>
      <c r="B110" t="inlineStr">
        <is>
          <t>MYS</t>
        </is>
      </c>
      <c r="C110" t="inlineStr">
        <is>
          <t>XCX3.L</t>
        </is>
      </c>
      <c r="D110" s="1" t="n">
        <v>46022</v>
      </c>
      <c r="E110" t="inlineStr">
        <is>
          <t>10Y</t>
        </is>
      </c>
      <c r="F110" t="n">
        <v>3.97933024840591</v>
      </c>
      <c r="G110" t="n">
        <v>3.89444961245704</v>
      </c>
      <c r="H110" t="n">
        <v>5.657761217890767</v>
      </c>
      <c r="I110" t="n">
        <v>4.557398172221427</v>
      </c>
      <c r="J110" t="n">
        <v>0.5780679238155173</v>
      </c>
      <c r="K110" t="inlineStr">
        <is>
          <t>Malaysia|XCX3.L|10Y</t>
        </is>
      </c>
      <c r="L110" t="inlineStr">
        <is>
          <t>Malaysia|10Y</t>
        </is>
      </c>
      <c r="M110" t="inlineStr">
        <is>
          <t>GBp</t>
        </is>
      </c>
    </row>
    <row r="111">
      <c r="A111" t="inlineStr">
        <is>
          <t>Mexico</t>
        </is>
      </c>
      <c r="B111" t="inlineStr">
        <is>
          <t>MEX</t>
        </is>
      </c>
      <c r="C111" t="inlineStr"/>
      <c r="D111" s="1" t="n">
        <v>46022</v>
      </c>
      <c r="E111" t="inlineStr">
        <is>
          <t>1Y</t>
        </is>
      </c>
      <c r="F111" t="inlineStr"/>
      <c r="G111" t="n">
        <v>0.990000000000002</v>
      </c>
      <c r="H111" t="n">
        <v>6.194170999999993</v>
      </c>
      <c r="I111" t="n">
        <v>0.3433589999999986</v>
      </c>
      <c r="J111" t="inlineStr"/>
      <c r="K111" t="inlineStr">
        <is>
          <t>Mexico||1Y</t>
        </is>
      </c>
      <c r="L111" t="inlineStr">
        <is>
          <t>Mexico|1Y</t>
        </is>
      </c>
      <c r="M111" t="inlineStr"/>
    </row>
    <row r="112">
      <c r="A112" t="inlineStr">
        <is>
          <t>Mexico</t>
        </is>
      </c>
      <c r="B112" t="inlineStr">
        <is>
          <t>MEX</t>
        </is>
      </c>
      <c r="C112" t="inlineStr"/>
      <c r="D112" s="1" t="n">
        <v>46022</v>
      </c>
      <c r="E112" t="inlineStr">
        <is>
          <t>3Y</t>
        </is>
      </c>
      <c r="F112" t="inlineStr"/>
      <c r="G112" t="n">
        <v>1.918513449306825</v>
      </c>
      <c r="H112" t="n">
        <v>6.916414971568341</v>
      </c>
      <c r="I112" t="n">
        <v>8.288030696523553</v>
      </c>
      <c r="J112" t="inlineStr"/>
      <c r="K112" t="inlineStr">
        <is>
          <t>Mexico||3Y</t>
        </is>
      </c>
      <c r="L112" t="inlineStr">
        <is>
          <t>Mexico|3Y</t>
        </is>
      </c>
      <c r="M112" t="inlineStr"/>
    </row>
    <row r="113">
      <c r="A113" t="inlineStr">
        <is>
          <t>Mexico</t>
        </is>
      </c>
      <c r="B113" t="inlineStr">
        <is>
          <t>MEX</t>
        </is>
      </c>
      <c r="C113" t="inlineStr"/>
      <c r="D113" s="1" t="n">
        <v>46022</v>
      </c>
      <c r="E113" t="inlineStr">
        <is>
          <t>5Y</t>
        </is>
      </c>
      <c r="F113" t="inlineStr"/>
      <c r="G113" t="n">
        <v>3.089983868865098</v>
      </c>
      <c r="H113" t="n">
        <v>8.420259177260391</v>
      </c>
      <c r="I113" t="n">
        <v>10.68895551720954</v>
      </c>
      <c r="J113" t="inlineStr"/>
      <c r="K113" t="inlineStr">
        <is>
          <t>Mexico||5Y</t>
        </is>
      </c>
      <c r="L113" t="inlineStr">
        <is>
          <t>Mexico|5Y</t>
        </is>
      </c>
      <c r="M113" t="inlineStr"/>
    </row>
    <row r="114">
      <c r="A114" t="inlineStr">
        <is>
          <t>Mexico</t>
        </is>
      </c>
      <c r="B114" t="inlineStr">
        <is>
          <t>MEX</t>
        </is>
      </c>
      <c r="C114" t="inlineStr"/>
      <c r="D114" s="1" t="n">
        <v>46022</v>
      </c>
      <c r="E114" t="inlineStr">
        <is>
          <t>10Y</t>
        </is>
      </c>
      <c r="F114" t="inlineStr"/>
      <c r="G114" t="n">
        <v>1.173082287112415</v>
      </c>
      <c r="H114" t="n">
        <v>6.497216116328164</v>
      </c>
      <c r="I114" t="n">
        <v>4.380318769606451</v>
      </c>
      <c r="J114" t="inlineStr"/>
      <c r="K114" t="inlineStr">
        <is>
          <t>Mexico||10Y</t>
        </is>
      </c>
      <c r="L114" t="inlineStr">
        <is>
          <t>Mexico|10Y</t>
        </is>
      </c>
      <c r="M114" t="inlineStr"/>
    </row>
    <row r="115">
      <c r="A115" t="inlineStr">
        <is>
          <t>Mexico</t>
        </is>
      </c>
      <c r="B115" t="inlineStr">
        <is>
          <t>MEX</t>
        </is>
      </c>
      <c r="C115" t="inlineStr">
        <is>
          <t>XMEX.L</t>
        </is>
      </c>
      <c r="D115" s="1" t="n">
        <v>46022</v>
      </c>
      <c r="E115" t="inlineStr">
        <is>
          <t>1Y</t>
        </is>
      </c>
      <c r="F115" t="n">
        <v>41.10571760925725</v>
      </c>
      <c r="G115" t="n">
        <v>0.990000000000002</v>
      </c>
      <c r="H115" t="n">
        <v>6.194170999999993</v>
      </c>
      <c r="I115" t="n">
        <v>0.3433589999999986</v>
      </c>
      <c r="J115" t="n">
        <v>-40.76235860925726</v>
      </c>
      <c r="K115" t="inlineStr">
        <is>
          <t>Mexico|XMEX.L|1Y</t>
        </is>
      </c>
      <c r="L115" t="inlineStr">
        <is>
          <t>Mexico|1Y</t>
        </is>
      </c>
      <c r="M115" t="inlineStr">
        <is>
          <t>GBp</t>
        </is>
      </c>
    </row>
    <row r="116">
      <c r="A116" t="inlineStr">
        <is>
          <t>Mexico</t>
        </is>
      </c>
      <c r="B116" t="inlineStr">
        <is>
          <t>MEX</t>
        </is>
      </c>
      <c r="C116" t="inlineStr">
        <is>
          <t>XMEX.L</t>
        </is>
      </c>
      <c r="D116" s="1" t="n">
        <v>46022</v>
      </c>
      <c r="E116" t="inlineStr">
        <is>
          <t>3Y</t>
        </is>
      </c>
      <c r="F116" t="n">
        <v>11.47494740160904</v>
      </c>
      <c r="G116" t="n">
        <v>1.918513449306825</v>
      </c>
      <c r="H116" t="n">
        <v>6.916414971568341</v>
      </c>
      <c r="I116" t="n">
        <v>8.288030696523553</v>
      </c>
      <c r="J116" t="n">
        <v>-3.186916705085483</v>
      </c>
      <c r="K116" t="inlineStr">
        <is>
          <t>Mexico|XMEX.L|3Y</t>
        </is>
      </c>
      <c r="L116" t="inlineStr">
        <is>
          <t>Mexico|3Y</t>
        </is>
      </c>
      <c r="M116" t="inlineStr">
        <is>
          <t>GBp</t>
        </is>
      </c>
    </row>
    <row r="117">
      <c r="A117" t="inlineStr">
        <is>
          <t>Mexico</t>
        </is>
      </c>
      <c r="B117" t="inlineStr">
        <is>
          <t>MEX</t>
        </is>
      </c>
      <c r="C117" t="inlineStr">
        <is>
          <t>XMEX.L</t>
        </is>
      </c>
      <c r="D117" s="1" t="n">
        <v>46022</v>
      </c>
      <c r="E117" t="inlineStr">
        <is>
          <t>5Y</t>
        </is>
      </c>
      <c r="F117" t="n">
        <v>13.09811134650245</v>
      </c>
      <c r="G117" t="n">
        <v>3.089983868865098</v>
      </c>
      <c r="H117" t="n">
        <v>8.420259177260391</v>
      </c>
      <c r="I117" t="n">
        <v>10.68895551720954</v>
      </c>
      <c r="J117" t="n">
        <v>-2.409155829292907</v>
      </c>
      <c r="K117" t="inlineStr">
        <is>
          <t>Mexico|XMEX.L|5Y</t>
        </is>
      </c>
      <c r="L117" t="inlineStr">
        <is>
          <t>Mexico|5Y</t>
        </is>
      </c>
      <c r="M117" t="inlineStr">
        <is>
          <t>GBp</t>
        </is>
      </c>
    </row>
    <row r="118">
      <c r="A118" t="inlineStr">
        <is>
          <t>Mexico</t>
        </is>
      </c>
      <c r="B118" t="inlineStr">
        <is>
          <t>MEX</t>
        </is>
      </c>
      <c r="C118" t="inlineStr">
        <is>
          <t>XMEX.L</t>
        </is>
      </c>
      <c r="D118" s="1" t="n">
        <v>46022</v>
      </c>
      <c r="E118" t="inlineStr">
        <is>
          <t>10Y</t>
        </is>
      </c>
      <c r="F118" t="n">
        <v>7.216077462530146</v>
      </c>
      <c r="G118" t="n">
        <v>1.173082287112415</v>
      </c>
      <c r="H118" t="n">
        <v>6.497216116328164</v>
      </c>
      <c r="I118" t="n">
        <v>4.380318769606451</v>
      </c>
      <c r="J118" t="n">
        <v>-2.835758692923696</v>
      </c>
      <c r="K118" t="inlineStr">
        <is>
          <t>Mexico|XMEX.L|10Y</t>
        </is>
      </c>
      <c r="L118" t="inlineStr">
        <is>
          <t>Mexico|10Y</t>
        </is>
      </c>
      <c r="M118" t="inlineStr">
        <is>
          <t>GBp</t>
        </is>
      </c>
    </row>
    <row r="119">
      <c r="A119" t="inlineStr">
        <is>
          <t>Pakistan</t>
        </is>
      </c>
      <c r="B119" t="inlineStr">
        <is>
          <t>PAK</t>
        </is>
      </c>
      <c r="C119" t="inlineStr"/>
      <c r="D119" s="1" t="n">
        <v>46022</v>
      </c>
      <c r="E119" t="inlineStr">
        <is>
          <t>1Y</t>
        </is>
      </c>
      <c r="F119" t="inlineStr"/>
      <c r="G119" t="n">
        <v>2.675999999999989</v>
      </c>
      <c r="H119" t="n">
        <v>9.082017999999991</v>
      </c>
      <c r="I119" t="n">
        <v>10.52400600000001</v>
      </c>
      <c r="J119" t="inlineStr"/>
      <c r="K119" t="inlineStr">
        <is>
          <t>Pakistan||1Y</t>
        </is>
      </c>
      <c r="L119" t="inlineStr">
        <is>
          <t>Pakistan|1Y</t>
        </is>
      </c>
      <c r="M119" t="inlineStr"/>
    </row>
    <row r="120">
      <c r="A120" t="inlineStr">
        <is>
          <t>Pakistan</t>
        </is>
      </c>
      <c r="B120" t="inlineStr">
        <is>
          <t>PAK</t>
        </is>
      </c>
      <c r="C120" t="inlineStr"/>
      <c r="D120" s="1" t="n">
        <v>46022</v>
      </c>
      <c r="E120" t="inlineStr">
        <is>
          <t>3Y</t>
        </is>
      </c>
      <c r="F120" t="inlineStr"/>
      <c r="G120" t="n">
        <v>1.649324688558096</v>
      </c>
      <c r="H120" t="n">
        <v>19.82855796166916</v>
      </c>
      <c r="I120" t="n">
        <v>3.074234820321298</v>
      </c>
      <c r="J120" t="inlineStr"/>
      <c r="K120" t="inlineStr">
        <is>
          <t>Pakistan||3Y</t>
        </is>
      </c>
      <c r="L120" t="inlineStr">
        <is>
          <t>Pakistan|3Y</t>
        </is>
      </c>
      <c r="M120" t="inlineStr"/>
    </row>
    <row r="121">
      <c r="A121" t="inlineStr">
        <is>
          <t>Pakistan</t>
        </is>
      </c>
      <c r="B121" t="inlineStr">
        <is>
          <t>PAK</t>
        </is>
      </c>
      <c r="C121" t="inlineStr"/>
      <c r="D121" s="1" t="n">
        <v>46022</v>
      </c>
      <c r="E121" t="inlineStr">
        <is>
          <t>5Y</t>
        </is>
      </c>
      <c r="F121" t="inlineStr"/>
      <c r="G121" t="n">
        <v>3.357915911123643</v>
      </c>
      <c r="H121" t="n">
        <v>19.25975167337741</v>
      </c>
      <c r="I121" t="n">
        <v>6.443390111721992</v>
      </c>
      <c r="J121" t="inlineStr"/>
      <c r="K121" t="inlineStr">
        <is>
          <t>Pakistan||5Y</t>
        </is>
      </c>
      <c r="L121" t="inlineStr">
        <is>
          <t>Pakistan|5Y</t>
        </is>
      </c>
      <c r="M121" t="inlineStr"/>
    </row>
    <row r="122">
      <c r="A122" t="inlineStr">
        <is>
          <t>Pakistan</t>
        </is>
      </c>
      <c r="B122" t="inlineStr">
        <is>
          <t>PAK</t>
        </is>
      </c>
      <c r="C122" t="inlineStr"/>
      <c r="D122" s="1" t="n">
        <v>46022</v>
      </c>
      <c r="E122" t="inlineStr">
        <is>
          <t>10Y</t>
        </is>
      </c>
      <c r="F122" t="inlineStr"/>
      <c r="G122" t="n">
        <v>3.360565219461842</v>
      </c>
      <c r="H122" t="n">
        <v>14.19022457351622</v>
      </c>
      <c r="I122" t="n">
        <v>3.187905469920072</v>
      </c>
      <c r="J122" t="inlineStr"/>
      <c r="K122" t="inlineStr">
        <is>
          <t>Pakistan||10Y</t>
        </is>
      </c>
      <c r="L122" t="inlineStr">
        <is>
          <t>Pakistan|10Y</t>
        </is>
      </c>
      <c r="M122" t="inlineStr"/>
    </row>
    <row r="123">
      <c r="A123" t="inlineStr">
        <is>
          <t>Pakistan</t>
        </is>
      </c>
      <c r="B123" t="inlineStr">
        <is>
          <t>PAK</t>
        </is>
      </c>
      <c r="C123" t="inlineStr">
        <is>
          <t>XBAK.L</t>
        </is>
      </c>
      <c r="D123" s="1" t="n">
        <v>46022</v>
      </c>
      <c r="E123" t="inlineStr">
        <is>
          <t>1Y</t>
        </is>
      </c>
      <c r="F123" t="n">
        <v>34.99065889359694</v>
      </c>
      <c r="G123" t="n">
        <v>2.675999999999989</v>
      </c>
      <c r="H123" t="n">
        <v>9.082017999999991</v>
      </c>
      <c r="I123" t="n">
        <v>10.52400600000001</v>
      </c>
      <c r="J123" t="n">
        <v>-24.46665289359693</v>
      </c>
      <c r="K123" t="inlineStr">
        <is>
          <t>Pakistan|XBAK.L|1Y</t>
        </is>
      </c>
      <c r="L123" t="inlineStr">
        <is>
          <t>Pakistan|1Y</t>
        </is>
      </c>
      <c r="M123" t="inlineStr">
        <is>
          <t>USD</t>
        </is>
      </c>
    </row>
    <row r="124">
      <c r="A124" t="inlineStr">
        <is>
          <t>Pakistan</t>
        </is>
      </c>
      <c r="B124" t="inlineStr">
        <is>
          <t>PAK</t>
        </is>
      </c>
      <c r="C124" t="inlineStr">
        <is>
          <t>XBAK.L</t>
        </is>
      </c>
      <c r="D124" s="1" t="n">
        <v>46022</v>
      </c>
      <c r="E124" t="inlineStr">
        <is>
          <t>3Y</t>
        </is>
      </c>
      <c r="F124" t="n">
        <v>38.47228569219119</v>
      </c>
      <c r="G124" t="n">
        <v>1.649324688558096</v>
      </c>
      <c r="H124" t="n">
        <v>19.82855796166916</v>
      </c>
      <c r="I124" t="n">
        <v>3.074234820321298</v>
      </c>
      <c r="J124" t="n">
        <v>-35.39805087186988</v>
      </c>
      <c r="K124" t="inlineStr">
        <is>
          <t>Pakistan|XBAK.L|3Y</t>
        </is>
      </c>
      <c r="L124" t="inlineStr">
        <is>
          <t>Pakistan|3Y</t>
        </is>
      </c>
      <c r="M124" t="inlineStr">
        <is>
          <t>USD</t>
        </is>
      </c>
    </row>
    <row r="125">
      <c r="A125" t="inlineStr">
        <is>
          <t>Pakistan</t>
        </is>
      </c>
      <c r="B125" t="inlineStr">
        <is>
          <t>PAK</t>
        </is>
      </c>
      <c r="C125" t="inlineStr">
        <is>
          <t>XBAK.L</t>
        </is>
      </c>
      <c r="D125" s="1" t="n">
        <v>46022</v>
      </c>
      <c r="E125" t="inlineStr">
        <is>
          <t>5Y</t>
        </is>
      </c>
      <c r="F125" t="n">
        <v>9.251624829567318</v>
      </c>
      <c r="G125" t="n">
        <v>3.357915911123643</v>
      </c>
      <c r="H125" t="n">
        <v>19.25975167337741</v>
      </c>
      <c r="I125" t="n">
        <v>6.443390111721992</v>
      </c>
      <c r="J125" t="n">
        <v>-2.808234717845326</v>
      </c>
      <c r="K125" t="inlineStr">
        <is>
          <t>Pakistan|XBAK.L|5Y</t>
        </is>
      </c>
      <c r="L125" t="inlineStr">
        <is>
          <t>Pakistan|5Y</t>
        </is>
      </c>
      <c r="M125" t="inlineStr">
        <is>
          <t>USD</t>
        </is>
      </c>
    </row>
    <row r="126">
      <c r="A126" t="inlineStr">
        <is>
          <t>Pakistan</t>
        </is>
      </c>
      <c r="B126" t="inlineStr">
        <is>
          <t>PAK</t>
        </is>
      </c>
      <c r="C126" t="inlineStr">
        <is>
          <t>XBAK.L</t>
        </is>
      </c>
      <c r="D126" s="1" t="n">
        <v>46022</v>
      </c>
      <c r="E126" t="inlineStr">
        <is>
          <t>10Y</t>
        </is>
      </c>
      <c r="F126" t="n">
        <v>0.1423435164196407</v>
      </c>
      <c r="G126" t="n">
        <v>3.360565219461842</v>
      </c>
      <c r="H126" t="n">
        <v>14.19022457351622</v>
      </c>
      <c r="I126" t="n">
        <v>3.187905469920072</v>
      </c>
      <c r="J126" t="n">
        <v>3.045561953500431</v>
      </c>
      <c r="K126" t="inlineStr">
        <is>
          <t>Pakistan|XBAK.L|10Y</t>
        </is>
      </c>
      <c r="L126" t="inlineStr">
        <is>
          <t>Pakistan|10Y</t>
        </is>
      </c>
      <c r="M126" t="inlineStr">
        <is>
          <t>USD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/>
      <c r="D127" s="1" t="n">
        <v>46022</v>
      </c>
      <c r="E127" t="inlineStr">
        <is>
          <t>1Y</t>
        </is>
      </c>
      <c r="F127" t="inlineStr"/>
      <c r="G127" t="n">
        <v>5.43499999999999</v>
      </c>
      <c r="H127" t="n">
        <v>7.04919799999999</v>
      </c>
      <c r="I127" t="n">
        <v>7.049349999999999</v>
      </c>
      <c r="J127" t="inlineStr"/>
      <c r="K127" t="inlineStr">
        <is>
          <t>Philippines||1Y</t>
        </is>
      </c>
      <c r="L127" t="inlineStr">
        <is>
          <t>Philippines|1Y</t>
        </is>
      </c>
      <c r="M127" t="inlineStr"/>
    </row>
    <row r="128">
      <c r="A128" t="inlineStr">
        <is>
          <t>Philippines</t>
        </is>
      </c>
      <c r="B128" t="inlineStr">
        <is>
          <t>PHL</t>
        </is>
      </c>
      <c r="C128" t="inlineStr"/>
      <c r="D128" s="1" t="n">
        <v>46022</v>
      </c>
      <c r="E128" t="inlineStr">
        <is>
          <t>3Y</t>
        </is>
      </c>
      <c r="F128" t="inlineStr"/>
      <c r="G128" t="n">
        <v>5.5486124491402</v>
      </c>
      <c r="H128" t="n">
        <v>8.723390614114468</v>
      </c>
      <c r="I128" t="n">
        <v>6.914117046183832</v>
      </c>
      <c r="J128" t="inlineStr"/>
      <c r="K128" t="inlineStr">
        <is>
          <t>Philippines||3Y</t>
        </is>
      </c>
      <c r="L128" t="inlineStr">
        <is>
          <t>Philippines|3Y</t>
        </is>
      </c>
      <c r="M128" t="inlineStr"/>
    </row>
    <row r="129">
      <c r="A129" t="inlineStr">
        <is>
          <t>Philippines</t>
        </is>
      </c>
      <c r="B129" t="inlineStr">
        <is>
          <t>PHL</t>
        </is>
      </c>
      <c r="C129" t="inlineStr"/>
      <c r="D129" s="1" t="n">
        <v>46022</v>
      </c>
      <c r="E129" t="inlineStr">
        <is>
          <t>5Y</t>
        </is>
      </c>
      <c r="F129" t="inlineStr"/>
      <c r="G129" t="n">
        <v>5.98537852939689</v>
      </c>
      <c r="H129" t="n">
        <v>9.539154091663882</v>
      </c>
      <c r="I129" t="n">
        <v>6.43665521117589</v>
      </c>
      <c r="J129" t="inlineStr"/>
      <c r="K129" t="inlineStr">
        <is>
          <t>Philippines||5Y</t>
        </is>
      </c>
      <c r="L129" t="inlineStr">
        <is>
          <t>Philippines|5Y</t>
        </is>
      </c>
      <c r="M129" t="inlineStr"/>
    </row>
    <row r="130">
      <c r="A130" t="inlineStr">
        <is>
          <t>Philippines</t>
        </is>
      </c>
      <c r="B130" t="inlineStr">
        <is>
          <t>PHL</t>
        </is>
      </c>
      <c r="C130" t="inlineStr"/>
      <c r="D130" s="1" t="n">
        <v>46022</v>
      </c>
      <c r="E130" t="inlineStr">
        <is>
          <t>10Y</t>
        </is>
      </c>
      <c r="F130" t="inlineStr"/>
      <c r="G130" t="n">
        <v>4.577380856389279</v>
      </c>
      <c r="H130" t="n">
        <v>7.338547585198718</v>
      </c>
      <c r="I130" t="n">
        <v>4.894130513115047</v>
      </c>
      <c r="J130" t="inlineStr"/>
      <c r="K130" t="inlineStr">
        <is>
          <t>Philippines||10Y</t>
        </is>
      </c>
      <c r="L130" t="inlineStr">
        <is>
          <t>Philippines|10Y</t>
        </is>
      </c>
      <c r="M130" t="inlineStr"/>
    </row>
    <row r="131">
      <c r="A131" t="inlineStr">
        <is>
          <t>Philippines</t>
        </is>
      </c>
      <c r="B131" t="inlineStr">
        <is>
          <t>PHL</t>
        </is>
      </c>
      <c r="C131" t="inlineStr">
        <is>
          <t>XPHG.L</t>
        </is>
      </c>
      <c r="D131" s="1" t="n">
        <v>46022</v>
      </c>
      <c r="E131" t="inlineStr">
        <is>
          <t>1Y</t>
        </is>
      </c>
      <c r="F131" t="n">
        <v>-7.84634131086781</v>
      </c>
      <c r="G131" t="n">
        <v>5.43499999999999</v>
      </c>
      <c r="H131" t="n">
        <v>7.04919799999999</v>
      </c>
      <c r="I131" t="n">
        <v>7.049349999999999</v>
      </c>
      <c r="J131" t="n">
        <v>14.89569131086781</v>
      </c>
      <c r="K131" t="inlineStr">
        <is>
          <t>Philippines|XPHG.L|1Y</t>
        </is>
      </c>
      <c r="L131" t="inlineStr">
        <is>
          <t>Philippines|1Y</t>
        </is>
      </c>
      <c r="M131" t="inlineStr">
        <is>
          <t>GBp</t>
        </is>
      </c>
    </row>
    <row r="132">
      <c r="A132" t="inlineStr">
        <is>
          <t>Philippines</t>
        </is>
      </c>
      <c r="B132" t="inlineStr">
        <is>
          <t>PHL</t>
        </is>
      </c>
      <c r="C132" t="inlineStr">
        <is>
          <t>XPHG.L</t>
        </is>
      </c>
      <c r="D132" s="1" t="n">
        <v>46022</v>
      </c>
      <c r="E132" t="inlineStr">
        <is>
          <t>3Y</t>
        </is>
      </c>
      <c r="F132" t="n">
        <v>-4.002724599217933</v>
      </c>
      <c r="G132" t="n">
        <v>5.5486124491402</v>
      </c>
      <c r="H132" t="n">
        <v>8.723390614114468</v>
      </c>
      <c r="I132" t="n">
        <v>6.914117046183832</v>
      </c>
      <c r="J132" t="n">
        <v>10.91684164540176</v>
      </c>
      <c r="K132" t="inlineStr">
        <is>
          <t>Philippines|XPHG.L|3Y</t>
        </is>
      </c>
      <c r="L132" t="inlineStr">
        <is>
          <t>Philippines|3Y</t>
        </is>
      </c>
      <c r="M132" t="inlineStr">
        <is>
          <t>GBp</t>
        </is>
      </c>
    </row>
    <row r="133">
      <c r="A133" t="inlineStr">
        <is>
          <t>Philippines</t>
        </is>
      </c>
      <c r="B133" t="inlineStr">
        <is>
          <t>PHL</t>
        </is>
      </c>
      <c r="C133" t="inlineStr">
        <is>
          <t>XPHG.L</t>
        </is>
      </c>
      <c r="D133" s="1" t="n">
        <v>46022</v>
      </c>
      <c r="E133" t="inlineStr">
        <is>
          <t>5Y</t>
        </is>
      </c>
      <c r="F133" t="n">
        <v>-3.722647997553719</v>
      </c>
      <c r="G133" t="n">
        <v>5.98537852939689</v>
      </c>
      <c r="H133" t="n">
        <v>9.539154091663882</v>
      </c>
      <c r="I133" t="n">
        <v>6.43665521117589</v>
      </c>
      <c r="J133" t="n">
        <v>10.15930320872961</v>
      </c>
      <c r="K133" t="inlineStr">
        <is>
          <t>Philippines|XPHG.L|5Y</t>
        </is>
      </c>
      <c r="L133" t="inlineStr">
        <is>
          <t>Philippines|5Y</t>
        </is>
      </c>
      <c r="M133" t="inlineStr">
        <is>
          <t>GBp</t>
        </is>
      </c>
    </row>
    <row r="134">
      <c r="A134" t="inlineStr">
        <is>
          <t>Philippines</t>
        </is>
      </c>
      <c r="B134" t="inlineStr">
        <is>
          <t>PHL</t>
        </is>
      </c>
      <c r="C134" t="inlineStr">
        <is>
          <t>XPHG.L</t>
        </is>
      </c>
      <c r="D134" s="1" t="n">
        <v>46022</v>
      </c>
      <c r="E134" t="inlineStr">
        <is>
          <t>10Y</t>
        </is>
      </c>
      <c r="F134" t="n">
        <v>-0.8945038180884657</v>
      </c>
      <c r="G134" t="n">
        <v>4.577380856389279</v>
      </c>
      <c r="H134" t="n">
        <v>7.338547585198718</v>
      </c>
      <c r="I134" t="n">
        <v>4.894130513115047</v>
      </c>
      <c r="J134" t="n">
        <v>5.788634331203513</v>
      </c>
      <c r="K134" t="inlineStr">
        <is>
          <t>Philippines|XPHG.L|10Y</t>
        </is>
      </c>
      <c r="L134" t="inlineStr">
        <is>
          <t>Philippines|10Y</t>
        </is>
      </c>
      <c r="M134" t="inlineStr">
        <is>
          <t>GBp</t>
        </is>
      </c>
    </row>
    <row r="135">
      <c r="A135" t="inlineStr">
        <is>
          <t>Poland</t>
        </is>
      </c>
      <c r="B135" t="inlineStr">
        <is>
          <t>POL</t>
        </is>
      </c>
      <c r="C135" t="inlineStr"/>
      <c r="D135" s="1" t="n">
        <v>46022</v>
      </c>
      <c r="E135" t="inlineStr">
        <is>
          <t>1Y</t>
        </is>
      </c>
      <c r="F135" t="inlineStr"/>
      <c r="G135" t="n">
        <v>3.242999999999996</v>
      </c>
      <c r="H135" t="n">
        <v>6.963458</v>
      </c>
      <c r="I135" t="n">
        <v>13.67509600000001</v>
      </c>
      <c r="J135" t="inlineStr"/>
      <c r="K135" t="inlineStr">
        <is>
          <t>Poland||1Y</t>
        </is>
      </c>
      <c r="L135" t="inlineStr">
        <is>
          <t>Poland|1Y</t>
        </is>
      </c>
      <c r="M135" t="inlineStr"/>
    </row>
    <row r="136">
      <c r="A136" t="inlineStr">
        <is>
          <t>Poland</t>
        </is>
      </c>
      <c r="B136" t="inlineStr">
        <is>
          <t>POL</t>
        </is>
      </c>
      <c r="C136" t="inlineStr"/>
      <c r="D136" s="1" t="n">
        <v>46022</v>
      </c>
      <c r="E136" t="inlineStr">
        <is>
          <t>3Y</t>
        </is>
      </c>
      <c r="F136" t="inlineStr"/>
      <c r="G136" t="n">
        <v>2.129799151051381</v>
      </c>
      <c r="H136" t="n">
        <v>7.894685758453091</v>
      </c>
      <c r="I136" t="n">
        <v>14.3256449842778</v>
      </c>
      <c r="J136" t="inlineStr"/>
      <c r="K136" t="inlineStr">
        <is>
          <t>Poland||3Y</t>
        </is>
      </c>
      <c r="L136" t="inlineStr">
        <is>
          <t>Poland|3Y</t>
        </is>
      </c>
      <c r="M136" t="inlineStr"/>
    </row>
    <row r="137">
      <c r="A137" t="inlineStr">
        <is>
          <t>Poland</t>
        </is>
      </c>
      <c r="B137" t="inlineStr">
        <is>
          <t>POL</t>
        </is>
      </c>
      <c r="C137" t="inlineStr"/>
      <c r="D137" s="1" t="n">
        <v>46022</v>
      </c>
      <c r="E137" t="inlineStr">
        <is>
          <t>5Y</t>
        </is>
      </c>
      <c r="F137" t="inlineStr"/>
      <c r="G137" t="n">
        <v>3.694927012118776</v>
      </c>
      <c r="H137" t="n">
        <v>10.5113249209076</v>
      </c>
      <c r="I137" t="n">
        <v>11.40132337014548</v>
      </c>
      <c r="J137" t="inlineStr"/>
      <c r="K137" t="inlineStr">
        <is>
          <t>Poland||5Y</t>
        </is>
      </c>
      <c r="L137" t="inlineStr">
        <is>
          <t>Poland|5Y</t>
        </is>
      </c>
      <c r="M137" t="inlineStr"/>
    </row>
    <row r="138">
      <c r="A138" t="inlineStr">
        <is>
          <t>Poland</t>
        </is>
      </c>
      <c r="B138" t="inlineStr">
        <is>
          <t>POL</t>
        </is>
      </c>
      <c r="C138" t="inlineStr"/>
      <c r="D138" s="1" t="n">
        <v>46022</v>
      </c>
      <c r="E138" t="inlineStr">
        <is>
          <t>10Y</t>
        </is>
      </c>
      <c r="F138" t="inlineStr"/>
      <c r="G138" t="n">
        <v>3.523867731974173</v>
      </c>
      <c r="H138" t="n">
        <v>7.966916383506151</v>
      </c>
      <c r="I138" t="n">
        <v>8.040807864819421</v>
      </c>
      <c r="J138" t="inlineStr"/>
      <c r="K138" t="inlineStr">
        <is>
          <t>Poland||10Y</t>
        </is>
      </c>
      <c r="L138" t="inlineStr">
        <is>
          <t>Poland|10Y</t>
        </is>
      </c>
      <c r="M138" t="inlineStr"/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s="1" t="n">
        <v>46022</v>
      </c>
      <c r="E139" t="inlineStr">
        <is>
          <t>1Y</t>
        </is>
      </c>
      <c r="F139" t="n">
        <v>60.01501619451324</v>
      </c>
      <c r="G139" t="n">
        <v>3.242999999999996</v>
      </c>
      <c r="H139" t="n">
        <v>6.963458</v>
      </c>
      <c r="I139" t="n">
        <v>13.67509600000001</v>
      </c>
      <c r="J139" t="n">
        <v>-46.33992019451323</v>
      </c>
      <c r="K139" t="inlineStr">
        <is>
          <t>Poland|SPOL.L|1Y</t>
        </is>
      </c>
      <c r="L139" t="inlineStr">
        <is>
          <t>Poland|1Y</t>
        </is>
      </c>
      <c r="M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s="1" t="n">
        <v>46022</v>
      </c>
      <c r="E140" t="inlineStr">
        <is>
          <t>3Y</t>
        </is>
      </c>
      <c r="F140" t="n">
        <v>28.98523276978437</v>
      </c>
      <c r="G140" t="n">
        <v>2.129799151051381</v>
      </c>
      <c r="H140" t="n">
        <v>7.894685758453091</v>
      </c>
      <c r="I140" t="n">
        <v>14.3256449842778</v>
      </c>
      <c r="J140" t="n">
        <v>-14.65958778550658</v>
      </c>
      <c r="K140" t="inlineStr">
        <is>
          <t>Poland|SPOL.L|3Y</t>
        </is>
      </c>
      <c r="L140" t="inlineStr">
        <is>
          <t>Poland|3Y</t>
        </is>
      </c>
      <c r="M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s="1" t="n">
        <v>46022</v>
      </c>
      <c r="E141" t="inlineStr">
        <is>
          <t>5Y</t>
        </is>
      </c>
      <c r="F141" t="n">
        <v>13.64807943638702</v>
      </c>
      <c r="G141" t="n">
        <v>3.694927012118776</v>
      </c>
      <c r="H141" t="n">
        <v>10.5113249209076</v>
      </c>
      <c r="I141" t="n">
        <v>11.40132337014548</v>
      </c>
      <c r="J141" t="n">
        <v>-2.246756066241542</v>
      </c>
      <c r="K141" t="inlineStr">
        <is>
          <t>Poland|SPOL.L|5Y</t>
        </is>
      </c>
      <c r="L141" t="inlineStr">
        <is>
          <t>Poland|5Y</t>
        </is>
      </c>
      <c r="M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s="1" t="n">
        <v>46022</v>
      </c>
      <c r="E142" t="inlineStr">
        <is>
          <t>10Y</t>
        </is>
      </c>
      <c r="F142" t="n">
        <v>9.139330850037751</v>
      </c>
      <c r="G142" t="n">
        <v>3.523867731974173</v>
      </c>
      <c r="H142" t="n">
        <v>7.966916383506151</v>
      </c>
      <c r="I142" t="n">
        <v>8.040807864819421</v>
      </c>
      <c r="J142" t="n">
        <v>-1.098522985218331</v>
      </c>
      <c r="K142" t="inlineStr">
        <is>
          <t>Poland|SPOL.L|10Y</t>
        </is>
      </c>
      <c r="L142" t="inlineStr">
        <is>
          <t>Poland|10Y</t>
        </is>
      </c>
      <c r="M142" t="inlineStr">
        <is>
          <t>GBp</t>
        </is>
      </c>
    </row>
    <row r="143">
      <c r="A143" t="inlineStr">
        <is>
          <t>Saudi Arabia</t>
        </is>
      </c>
      <c r="B143" t="inlineStr">
        <is>
          <t>SAU</t>
        </is>
      </c>
      <c r="C143" t="inlineStr"/>
      <c r="D143" s="1" t="n">
        <v>46022</v>
      </c>
      <c r="E143" t="inlineStr">
        <is>
          <t>1Y</t>
        </is>
      </c>
      <c r="F143" t="inlineStr"/>
      <c r="G143" t="n">
        <v>4.021000000000008</v>
      </c>
      <c r="H143" t="n">
        <v>2.317311000000011</v>
      </c>
      <c r="I143" t="n">
        <v>2.317299999999989</v>
      </c>
      <c r="J143" t="inlineStr"/>
      <c r="K143" t="inlineStr">
        <is>
          <t>Saudi Arabia||1Y</t>
        </is>
      </c>
      <c r="L143" t="inlineStr">
        <is>
          <t>Saudi Arabia|1Y</t>
        </is>
      </c>
      <c r="M143" t="inlineStr"/>
    </row>
    <row r="144">
      <c r="A144" t="inlineStr">
        <is>
          <t>Saudi Arabia</t>
        </is>
      </c>
      <c r="B144" t="inlineStr">
        <is>
          <t>SAU</t>
        </is>
      </c>
      <c r="C144" t="inlineStr"/>
      <c r="D144" s="1" t="n">
        <v>46022</v>
      </c>
      <c r="E144" t="inlineStr">
        <is>
          <t>3Y</t>
        </is>
      </c>
      <c r="F144" t="inlineStr"/>
      <c r="G144" t="n">
        <v>2.177064339348544</v>
      </c>
      <c r="H144" t="n">
        <v>0.7863129775983468</v>
      </c>
      <c r="I144" t="n">
        <v>0.7863273913572888</v>
      </c>
      <c r="J144" t="inlineStr"/>
      <c r="K144" t="inlineStr">
        <is>
          <t>Saudi Arabia||3Y</t>
        </is>
      </c>
      <c r="L144" t="inlineStr">
        <is>
          <t>Saudi Arabia|3Y</t>
        </is>
      </c>
      <c r="M144" t="inlineStr"/>
    </row>
    <row r="145">
      <c r="A145" t="inlineStr">
        <is>
          <t>Saudi Arabia</t>
        </is>
      </c>
      <c r="B145" t="inlineStr">
        <is>
          <t>SAU</t>
        </is>
      </c>
      <c r="C145" t="inlineStr"/>
      <c r="D145" s="1" t="n">
        <v>46022</v>
      </c>
      <c r="E145" t="inlineStr">
        <is>
          <t>5Y</t>
        </is>
      </c>
      <c r="F145" t="inlineStr"/>
      <c r="G145" t="n">
        <v>4.94038762998803</v>
      </c>
      <c r="H145" t="n">
        <v>10.57758849202786</v>
      </c>
      <c r="I145" t="n">
        <v>10.57758768652199</v>
      </c>
      <c r="J145" t="inlineStr"/>
      <c r="K145" t="inlineStr">
        <is>
          <t>Saudi Arabia||5Y</t>
        </is>
      </c>
      <c r="L145" t="inlineStr">
        <is>
          <t>Saudi Arabia|5Y</t>
        </is>
      </c>
      <c r="M145" t="inlineStr"/>
    </row>
    <row r="146">
      <c r="A146" t="inlineStr">
        <is>
          <t>Saudi Arabia</t>
        </is>
      </c>
      <c r="B146" t="inlineStr">
        <is>
          <t>SAU</t>
        </is>
      </c>
      <c r="C146" t="inlineStr"/>
      <c r="D146" s="1" t="n">
        <v>46022</v>
      </c>
      <c r="E146" t="inlineStr">
        <is>
          <t>10Y</t>
        </is>
      </c>
      <c r="F146" t="inlineStr"/>
      <c r="G146" t="n">
        <v>2.830425925653413</v>
      </c>
      <c r="H146" t="n">
        <v>6.226023496121247</v>
      </c>
      <c r="I146" t="n">
        <v>6.226023085343857</v>
      </c>
      <c r="J146" t="inlineStr"/>
      <c r="K146" t="inlineStr">
        <is>
          <t>Saudi Arabia||10Y</t>
        </is>
      </c>
      <c r="L146" t="inlineStr">
        <is>
          <t>Saudi Arabia|10Y</t>
        </is>
      </c>
      <c r="M146" t="inlineStr"/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s="1" t="n">
        <v>46022</v>
      </c>
      <c r="E147" t="inlineStr">
        <is>
          <t>1Y</t>
        </is>
      </c>
      <c r="F147" t="n">
        <v>-6.082555514391419</v>
      </c>
      <c r="G147" t="n">
        <v>4.021000000000008</v>
      </c>
      <c r="H147" t="n">
        <v>2.317311000000011</v>
      </c>
      <c r="I147" t="n">
        <v>2.317299999999989</v>
      </c>
      <c r="J147" t="n">
        <v>8.399855514391408</v>
      </c>
      <c r="K147" t="inlineStr">
        <is>
          <t>Saudi Arabia|IKSA.L|1Y</t>
        </is>
      </c>
      <c r="L147" t="inlineStr">
        <is>
          <t>Saudi Arabia|1Y</t>
        </is>
      </c>
      <c r="M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s="1" t="n">
        <v>46022</v>
      </c>
      <c r="E148" t="inlineStr">
        <is>
          <t>3Y</t>
        </is>
      </c>
      <c r="F148" t="n">
        <v>0.8890605203422997</v>
      </c>
      <c r="G148" t="n">
        <v>2.177064339348544</v>
      </c>
      <c r="H148" t="n">
        <v>0.7863129775983468</v>
      </c>
      <c r="I148" t="n">
        <v>0.7863273913572888</v>
      </c>
      <c r="J148" t="n">
        <v>-0.1027331289850109</v>
      </c>
      <c r="K148" t="inlineStr">
        <is>
          <t>Saudi Arabia|IKSA.L|3Y</t>
        </is>
      </c>
      <c r="L148" t="inlineStr">
        <is>
          <t>Saudi Arabia|3Y</t>
        </is>
      </c>
      <c r="M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s="1" t="n">
        <v>46022</v>
      </c>
      <c r="E149" t="inlineStr">
        <is>
          <t>5Y</t>
        </is>
      </c>
      <c r="F149" t="n">
        <v>6.113729096202603</v>
      </c>
      <c r="G149" t="n">
        <v>4.94038762998803</v>
      </c>
      <c r="H149" t="n">
        <v>10.57758849202786</v>
      </c>
      <c r="I149" t="n">
        <v>10.57758768652199</v>
      </c>
      <c r="J149" t="n">
        <v>4.463858590319392</v>
      </c>
      <c r="K149" t="inlineStr">
        <is>
          <t>Saudi Arabia|IKSA.L|5Y</t>
        </is>
      </c>
      <c r="L149" t="inlineStr">
        <is>
          <t>Saudi Arabia|5Y</t>
        </is>
      </c>
      <c r="M149" t="inlineStr">
        <is>
          <t>USD</t>
        </is>
      </c>
    </row>
    <row r="150">
      <c r="A150" t="inlineStr">
        <is>
          <t>South Africa</t>
        </is>
      </c>
      <c r="B150" t="inlineStr">
        <is>
          <t>ZAF</t>
        </is>
      </c>
      <c r="C150" t="inlineStr"/>
      <c r="D150" s="1" t="n">
        <v>46022</v>
      </c>
      <c r="E150" t="inlineStr">
        <is>
          <t>1Y</t>
        </is>
      </c>
      <c r="F150" t="inlineStr"/>
      <c r="G150" t="n">
        <v>1.149</v>
      </c>
      <c r="H150" t="n">
        <v>4.70545200000001</v>
      </c>
      <c r="I150" t="n">
        <v>6.309776999999994</v>
      </c>
      <c r="J150" t="inlineStr"/>
      <c r="K150" t="inlineStr">
        <is>
          <t>South Africa||1Y</t>
        </is>
      </c>
      <c r="L150" t="inlineStr">
        <is>
          <t>South Africa|1Y</t>
        </is>
      </c>
      <c r="M150" t="inlineStr"/>
    </row>
    <row r="151">
      <c r="A151" t="inlineStr">
        <is>
          <t>South Africa</t>
        </is>
      </c>
      <c r="B151" t="inlineStr">
        <is>
          <t>ZAF</t>
        </is>
      </c>
      <c r="C151" t="inlineStr"/>
      <c r="D151" s="1" t="n">
        <v>46022</v>
      </c>
      <c r="E151" t="inlineStr">
        <is>
          <t>3Y</t>
        </is>
      </c>
      <c r="F151" t="inlineStr"/>
      <c r="G151" t="n">
        <v>0.829687067689866</v>
      </c>
      <c r="H151" t="n">
        <v>4.913829447217033</v>
      </c>
      <c r="I151" t="n">
        <v>1.527172730413695</v>
      </c>
      <c r="J151" t="inlineStr"/>
      <c r="K151" t="inlineStr">
        <is>
          <t>South Africa||3Y</t>
        </is>
      </c>
      <c r="L151" t="inlineStr">
        <is>
          <t>South Africa|3Y</t>
        </is>
      </c>
      <c r="M151" t="inlineStr"/>
    </row>
    <row r="152">
      <c r="A152" t="inlineStr">
        <is>
          <t>South Africa</t>
        </is>
      </c>
      <c r="B152" t="inlineStr">
        <is>
          <t>ZAF</t>
        </is>
      </c>
      <c r="C152" t="inlineStr"/>
      <c r="D152" s="1" t="n">
        <v>46022</v>
      </c>
      <c r="E152" t="inlineStr">
        <is>
          <t>5Y</t>
        </is>
      </c>
      <c r="F152" t="inlineStr"/>
      <c r="G152" t="n">
        <v>1.869366313573084</v>
      </c>
      <c r="H152" t="n">
        <v>6.71419962014479</v>
      </c>
      <c r="I152" t="n">
        <v>4.763139999836619</v>
      </c>
      <c r="J152" t="inlineStr"/>
      <c r="K152" t="inlineStr">
        <is>
          <t>South Africa||5Y</t>
        </is>
      </c>
      <c r="L152" t="inlineStr">
        <is>
          <t>South Africa|5Y</t>
        </is>
      </c>
      <c r="M152" t="inlineStr"/>
    </row>
    <row r="153">
      <c r="A153" t="inlineStr">
        <is>
          <t>South Africa</t>
        </is>
      </c>
      <c r="B153" t="inlineStr">
        <is>
          <t>ZAF</t>
        </is>
      </c>
      <c r="C153" t="inlineStr"/>
      <c r="D153" s="1" t="n">
        <v>46022</v>
      </c>
      <c r="E153" t="inlineStr">
        <is>
          <t>10Y</t>
        </is>
      </c>
      <c r="F153" t="inlineStr"/>
      <c r="G153" t="n">
        <v>0.6533111721663376</v>
      </c>
      <c r="H153" t="n">
        <v>5.703683055668485</v>
      </c>
      <c r="I153" t="n">
        <v>2.091418501604658</v>
      </c>
      <c r="J153" t="inlineStr"/>
      <c r="K153" t="inlineStr">
        <is>
          <t>South Africa||10Y</t>
        </is>
      </c>
      <c r="L153" t="inlineStr">
        <is>
          <t>South Africa|10Y</t>
        </is>
      </c>
      <c r="M153" t="inlineStr"/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SRSA.L</t>
        </is>
      </c>
      <c r="D154" s="1" t="n">
        <v>46022</v>
      </c>
      <c r="E154" t="inlineStr">
        <is>
          <t>1Y</t>
        </is>
      </c>
      <c r="F154" t="n">
        <v>61.05545617173524</v>
      </c>
      <c r="G154" t="n">
        <v>1.149</v>
      </c>
      <c r="H154" t="n">
        <v>4.70545200000001</v>
      </c>
      <c r="I154" t="n">
        <v>6.309776999999994</v>
      </c>
      <c r="J154" t="n">
        <v>-54.74567917173525</v>
      </c>
      <c r="K154" t="inlineStr">
        <is>
          <t>South Africa|SRSA.L|1Y</t>
        </is>
      </c>
      <c r="L154" t="inlineStr">
        <is>
          <t>South Africa|1Y</t>
        </is>
      </c>
      <c r="M154" t="inlineStr">
        <is>
          <t>GBp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SRSA.L</t>
        </is>
      </c>
      <c r="D155" s="1" t="n">
        <v>46022</v>
      </c>
      <c r="E155" t="inlineStr">
        <is>
          <t>3Y</t>
        </is>
      </c>
      <c r="F155" t="n">
        <v>18.79668488410962</v>
      </c>
      <c r="G155" t="n">
        <v>0.829687067689866</v>
      </c>
      <c r="H155" t="n">
        <v>4.913829447217033</v>
      </c>
      <c r="I155" t="n">
        <v>1.527172730413695</v>
      </c>
      <c r="J155" t="n">
        <v>-17.26951215369592</v>
      </c>
      <c r="K155" t="inlineStr">
        <is>
          <t>South Africa|SRSA.L|3Y</t>
        </is>
      </c>
      <c r="L155" t="inlineStr">
        <is>
          <t>South Africa|3Y</t>
        </is>
      </c>
      <c r="M155" t="inlineStr">
        <is>
          <t>GBp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SRSA.L</t>
        </is>
      </c>
      <c r="D156" s="1" t="n">
        <v>46022</v>
      </c>
      <c r="E156" t="inlineStr">
        <is>
          <t>5Y</t>
        </is>
      </c>
      <c r="F156" t="n">
        <v>14.01402923294555</v>
      </c>
      <c r="G156" t="n">
        <v>1.869366313573084</v>
      </c>
      <c r="H156" t="n">
        <v>6.71419962014479</v>
      </c>
      <c r="I156" t="n">
        <v>4.763139999836619</v>
      </c>
      <c r="J156" t="n">
        <v>-9.250889233108929</v>
      </c>
      <c r="K156" t="inlineStr">
        <is>
          <t>South Africa|SRSA.L|5Y</t>
        </is>
      </c>
      <c r="L156" t="inlineStr">
        <is>
          <t>South Africa|5Y</t>
        </is>
      </c>
      <c r="M156" t="inlineStr">
        <is>
          <t>GBp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SRSA.L</t>
        </is>
      </c>
      <c r="D157" s="1" t="n">
        <v>46022</v>
      </c>
      <c r="E157" t="inlineStr">
        <is>
          <t>10Y</t>
        </is>
      </c>
      <c r="F157" t="n">
        <v>10.63800490718259</v>
      </c>
      <c r="G157" t="n">
        <v>0.6533111721663376</v>
      </c>
      <c r="H157" t="n">
        <v>5.703683055668485</v>
      </c>
      <c r="I157" t="n">
        <v>2.091418501604658</v>
      </c>
      <c r="J157" t="n">
        <v>-8.546586405577926</v>
      </c>
      <c r="K157" t="inlineStr">
        <is>
          <t>South Africa|SRSA.L|10Y</t>
        </is>
      </c>
      <c r="L157" t="inlineStr">
        <is>
          <t>South Africa|10Y</t>
        </is>
      </c>
      <c r="M157" t="inlineStr">
        <is>
          <t>GBp</t>
        </is>
      </c>
    </row>
    <row r="158">
      <c r="A158" t="inlineStr">
        <is>
          <t>South Korea</t>
        </is>
      </c>
      <c r="B158" t="inlineStr">
        <is>
          <t>KOR</t>
        </is>
      </c>
      <c r="C158" t="inlineStr"/>
      <c r="D158" s="1" t="n">
        <v>46022</v>
      </c>
      <c r="E158" t="inlineStr">
        <is>
          <t>1Y</t>
        </is>
      </c>
      <c r="F158" t="inlineStr"/>
      <c r="G158" t="n">
        <v>0.8960000000000079</v>
      </c>
      <c r="H158" t="n">
        <v>2.117764000000011</v>
      </c>
      <c r="I158" t="n">
        <v>-0.8966680000000005</v>
      </c>
      <c r="J158" t="inlineStr"/>
      <c r="K158" t="inlineStr">
        <is>
          <t>South Korea||1Y</t>
        </is>
      </c>
      <c r="L158" t="inlineStr">
        <is>
          <t>South Korea|1Y</t>
        </is>
      </c>
      <c r="M158" t="inlineStr"/>
    </row>
    <row r="159">
      <c r="A159" t="inlineStr">
        <is>
          <t>South Korea</t>
        </is>
      </c>
      <c r="B159" t="inlineStr">
        <is>
          <t>KOR</t>
        </is>
      </c>
      <c r="C159" t="inlineStr"/>
      <c r="D159" s="1" t="n">
        <v>46022</v>
      </c>
      <c r="E159" t="inlineStr">
        <is>
          <t>3Y</t>
        </is>
      </c>
      <c r="F159" t="inlineStr"/>
      <c r="G159" t="n">
        <v>1.493305092303054</v>
      </c>
      <c r="H159" t="n">
        <v>3.961092019769596</v>
      </c>
      <c r="I159" t="n">
        <v>1.085035519760158</v>
      </c>
      <c r="J159" t="inlineStr"/>
      <c r="K159" t="inlineStr">
        <is>
          <t>South Korea||3Y</t>
        </is>
      </c>
      <c r="L159" t="inlineStr">
        <is>
          <t>South Korea|3Y</t>
        </is>
      </c>
      <c r="M159" t="inlineStr"/>
    </row>
    <row r="160">
      <c r="A160" t="inlineStr">
        <is>
          <t>South Korea</t>
        </is>
      </c>
      <c r="B160" t="inlineStr">
        <is>
          <t>KOR</t>
        </is>
      </c>
      <c r="C160" t="inlineStr"/>
      <c r="D160" s="1" t="n">
        <v>46022</v>
      </c>
      <c r="E160" t="inlineStr">
        <is>
          <t>5Y</t>
        </is>
      </c>
      <c r="F160" t="inlineStr"/>
      <c r="G160" t="n">
        <v>2.356949693623722</v>
      </c>
      <c r="H160" t="n">
        <v>4.870370138951352</v>
      </c>
      <c r="I160" t="n">
        <v>1.275389793357129</v>
      </c>
      <c r="J160" t="inlineStr"/>
      <c r="K160" t="inlineStr">
        <is>
          <t>South Korea||5Y</t>
        </is>
      </c>
      <c r="L160" t="inlineStr">
        <is>
          <t>South Korea|5Y</t>
        </is>
      </c>
      <c r="M160" t="inlineStr"/>
    </row>
    <row r="161">
      <c r="A161" t="inlineStr">
        <is>
          <t>South Korea</t>
        </is>
      </c>
      <c r="B161" t="inlineStr">
        <is>
          <t>KOR</t>
        </is>
      </c>
      <c r="C161" t="inlineStr"/>
      <c r="D161" s="1" t="n">
        <v>46022</v>
      </c>
      <c r="E161" t="inlineStr">
        <is>
          <t>10Y</t>
        </is>
      </c>
      <c r="F161" t="inlineStr"/>
      <c r="G161" t="n">
        <v>2.312115483549904</v>
      </c>
      <c r="H161" t="n">
        <v>4.137342685457113</v>
      </c>
      <c r="I161" t="n">
        <v>1.903263894932894</v>
      </c>
      <c r="J161" t="inlineStr"/>
      <c r="K161" t="inlineStr">
        <is>
          <t>South Korea||10Y</t>
        </is>
      </c>
      <c r="L161" t="inlineStr">
        <is>
          <t>South Korea|10Y</t>
        </is>
      </c>
      <c r="M161" t="inlineStr"/>
    </row>
    <row r="162">
      <c r="A162" t="inlineStr">
        <is>
          <t>South Korea</t>
        </is>
      </c>
      <c r="B162" t="inlineStr">
        <is>
          <t>KOR</t>
        </is>
      </c>
      <c r="C162" t="inlineStr">
        <is>
          <t>CSKR.L</t>
        </is>
      </c>
      <c r="D162" s="1" t="n">
        <v>46022</v>
      </c>
      <c r="E162" t="inlineStr">
        <is>
          <t>1Y</t>
        </is>
      </c>
      <c r="F162" t="n">
        <v>99.25350103748991</v>
      </c>
      <c r="G162" t="n">
        <v>0.8960000000000079</v>
      </c>
      <c r="H162" t="n">
        <v>2.117764000000011</v>
      </c>
      <c r="I162" t="n">
        <v>-0.8966680000000005</v>
      </c>
      <c r="J162" t="n">
        <v>-100.1501690374899</v>
      </c>
      <c r="K162" t="inlineStr">
        <is>
          <t>South Korea|CSKR.L|1Y</t>
        </is>
      </c>
      <c r="L162" t="inlineStr">
        <is>
          <t>South Korea|1Y</t>
        </is>
      </c>
      <c r="M162" t="inlineStr">
        <is>
          <t>USD</t>
        </is>
      </c>
    </row>
    <row r="163">
      <c r="A163" t="inlineStr">
        <is>
          <t>South Korea</t>
        </is>
      </c>
      <c r="B163" t="inlineStr">
        <is>
          <t>KOR</t>
        </is>
      </c>
      <c r="C163" t="inlineStr">
        <is>
          <t>CSKR.L</t>
        </is>
      </c>
      <c r="D163" s="1" t="n">
        <v>46022</v>
      </c>
      <c r="E163" t="inlineStr">
        <is>
          <t>3Y</t>
        </is>
      </c>
      <c r="F163" t="n">
        <v>23.80187708799604</v>
      </c>
      <c r="G163" t="n">
        <v>1.493305092303054</v>
      </c>
      <c r="H163" t="n">
        <v>3.961092019769596</v>
      </c>
      <c r="I163" t="n">
        <v>1.085035519760158</v>
      </c>
      <c r="J163" t="n">
        <v>-22.71684156823588</v>
      </c>
      <c r="K163" t="inlineStr">
        <is>
          <t>South Korea|CSKR.L|3Y</t>
        </is>
      </c>
      <c r="L163" t="inlineStr">
        <is>
          <t>South Korea|3Y</t>
        </is>
      </c>
      <c r="M163" t="inlineStr">
        <is>
          <t>USD</t>
        </is>
      </c>
    </row>
    <row r="164">
      <c r="A164" t="inlineStr">
        <is>
          <t>South Korea</t>
        </is>
      </c>
      <c r="B164" t="inlineStr">
        <is>
          <t>KOR</t>
        </is>
      </c>
      <c r="C164" t="inlineStr">
        <is>
          <t>CSKR.L</t>
        </is>
      </c>
      <c r="D164" s="1" t="n">
        <v>46022</v>
      </c>
      <c r="E164" t="inlineStr">
        <is>
          <t>5Y</t>
        </is>
      </c>
      <c r="F164" t="n">
        <v>3.410536753221516</v>
      </c>
      <c r="G164" t="n">
        <v>2.356949693623722</v>
      </c>
      <c r="H164" t="n">
        <v>4.870370138951352</v>
      </c>
      <c r="I164" t="n">
        <v>1.275389793357129</v>
      </c>
      <c r="J164" t="n">
        <v>-2.135146959864387</v>
      </c>
      <c r="K164" t="inlineStr">
        <is>
          <t>South Korea|CSKR.L|5Y</t>
        </is>
      </c>
      <c r="L164" t="inlineStr">
        <is>
          <t>South Korea|5Y</t>
        </is>
      </c>
      <c r="M164" t="inlineStr">
        <is>
          <t>USD</t>
        </is>
      </c>
    </row>
    <row r="165">
      <c r="A165" t="inlineStr">
        <is>
          <t>South Korea</t>
        </is>
      </c>
      <c r="B165" t="inlineStr">
        <is>
          <t>KOR</t>
        </is>
      </c>
      <c r="C165" t="inlineStr">
        <is>
          <t>CSKR.L</t>
        </is>
      </c>
      <c r="D165" s="1" t="n">
        <v>46022</v>
      </c>
      <c r="E165" t="inlineStr">
        <is>
          <t>10Y</t>
        </is>
      </c>
      <c r="F165" t="n">
        <v>9.786754183672386</v>
      </c>
      <c r="G165" t="n">
        <v>2.312115483549904</v>
      </c>
      <c r="H165" t="n">
        <v>4.137342685457113</v>
      </c>
      <c r="I165" t="n">
        <v>1.903263894932894</v>
      </c>
      <c r="J165" t="n">
        <v>-7.883490288739492</v>
      </c>
      <c r="K165" t="inlineStr">
        <is>
          <t>South Korea|CSKR.L|10Y</t>
        </is>
      </c>
      <c r="L165" t="inlineStr">
        <is>
          <t>South Korea|10Y</t>
        </is>
      </c>
      <c r="M165" t="inlineStr">
        <is>
          <t>USD</t>
        </is>
      </c>
    </row>
    <row r="166">
      <c r="A166" t="inlineStr">
        <is>
          <t>South Korea</t>
        </is>
      </c>
      <c r="B166" t="inlineStr">
        <is>
          <t>KOR</t>
        </is>
      </c>
      <c r="C166" t="inlineStr">
        <is>
          <t>FLRK.L</t>
        </is>
      </c>
      <c r="D166" s="1" t="n">
        <v>46022</v>
      </c>
      <c r="E166" t="inlineStr">
        <is>
          <t>1Y</t>
        </is>
      </c>
      <c r="F166" t="n">
        <v>78.89573439751459</v>
      </c>
      <c r="G166" t="n">
        <v>0.8960000000000079</v>
      </c>
      <c r="H166" t="n">
        <v>2.117764000000011</v>
      </c>
      <c r="I166" t="n">
        <v>-0.8966680000000005</v>
      </c>
      <c r="J166" t="n">
        <v>-79.79240239751459</v>
      </c>
      <c r="K166" t="inlineStr">
        <is>
          <t>South Korea|FLRK.L|1Y</t>
        </is>
      </c>
      <c r="L166" t="inlineStr">
        <is>
          <t>South Korea|1Y</t>
        </is>
      </c>
      <c r="M166" t="inlineStr">
        <is>
          <t>GBP</t>
        </is>
      </c>
    </row>
    <row r="167">
      <c r="A167" t="inlineStr">
        <is>
          <t>South Korea</t>
        </is>
      </c>
      <c r="B167" t="inlineStr">
        <is>
          <t>KOR</t>
        </is>
      </c>
      <c r="C167" t="inlineStr">
        <is>
          <t>FLRK.L</t>
        </is>
      </c>
      <c r="D167" s="1" t="n">
        <v>46022</v>
      </c>
      <c r="E167" t="inlineStr">
        <is>
          <t>3Y</t>
        </is>
      </c>
      <c r="F167" t="n">
        <v>19.11936486091217</v>
      </c>
      <c r="G167" t="n">
        <v>1.493305092303054</v>
      </c>
      <c r="H167" t="n">
        <v>3.961092019769596</v>
      </c>
      <c r="I167" t="n">
        <v>1.085035519760158</v>
      </c>
      <c r="J167" t="n">
        <v>-18.03432934115201</v>
      </c>
      <c r="K167" t="inlineStr">
        <is>
          <t>South Korea|FLRK.L|3Y</t>
        </is>
      </c>
      <c r="L167" t="inlineStr">
        <is>
          <t>South Korea|3Y</t>
        </is>
      </c>
      <c r="M167" t="inlineStr">
        <is>
          <t>GBP</t>
        </is>
      </c>
    </row>
    <row r="168">
      <c r="A168" t="inlineStr">
        <is>
          <t>South Korea</t>
        </is>
      </c>
      <c r="B168" t="inlineStr">
        <is>
          <t>KOR</t>
        </is>
      </c>
      <c r="C168" t="inlineStr">
        <is>
          <t>FLRK.L</t>
        </is>
      </c>
      <c r="D168" s="1" t="n">
        <v>46022</v>
      </c>
      <c r="E168" t="inlineStr">
        <is>
          <t>5Y</t>
        </is>
      </c>
      <c r="F168" t="n">
        <v>3.994291952869</v>
      </c>
      <c r="G168" t="n">
        <v>2.356949693623722</v>
      </c>
      <c r="H168" t="n">
        <v>4.870370138951352</v>
      </c>
      <c r="I168" t="n">
        <v>1.275389793357129</v>
      </c>
      <c r="J168" t="n">
        <v>-2.718902159511871</v>
      </c>
      <c r="K168" t="inlineStr">
        <is>
          <t>South Korea|FLRK.L|5Y</t>
        </is>
      </c>
      <c r="L168" t="inlineStr">
        <is>
          <t>South Korea|5Y</t>
        </is>
      </c>
      <c r="M168" t="inlineStr">
        <is>
          <t>GBP</t>
        </is>
      </c>
    </row>
    <row r="169">
      <c r="A169" t="inlineStr">
        <is>
          <t>Spain</t>
        </is>
      </c>
      <c r="B169" t="inlineStr">
        <is>
          <t>ESP</t>
        </is>
      </c>
      <c r="C169" t="inlineStr"/>
      <c r="D169" s="1" t="n">
        <v>46022</v>
      </c>
      <c r="E169" t="inlineStr">
        <is>
          <t>1Y</t>
        </is>
      </c>
      <c r="F169" t="inlineStr"/>
      <c r="G169" t="n">
        <v>2.907999999999999</v>
      </c>
      <c r="H169" t="n">
        <v>5.025308000000006</v>
      </c>
      <c r="I169" t="n">
        <v>9.635035000000002</v>
      </c>
      <c r="J169" t="inlineStr"/>
      <c r="K169" t="inlineStr">
        <is>
          <t>Spain||1Y</t>
        </is>
      </c>
      <c r="L169" t="inlineStr">
        <is>
          <t>Spain|1Y</t>
        </is>
      </c>
      <c r="M169" t="inlineStr"/>
    </row>
    <row r="170">
      <c r="A170" t="inlineStr">
        <is>
          <t>Spain</t>
        </is>
      </c>
      <c r="B170" t="inlineStr">
        <is>
          <t>ESP</t>
        </is>
      </c>
      <c r="C170" t="inlineStr"/>
      <c r="D170" s="1" t="n">
        <v>46022</v>
      </c>
      <c r="E170" t="inlineStr">
        <is>
          <t>3Y</t>
        </is>
      </c>
      <c r="F170" t="inlineStr"/>
      <c r="G170" t="n">
        <v>2.940531049927553</v>
      </c>
      <c r="H170" t="n">
        <v>6.765841907431169</v>
      </c>
      <c r="I170" t="n">
        <v>9.26235901856456</v>
      </c>
      <c r="J170" t="inlineStr"/>
      <c r="K170" t="inlineStr">
        <is>
          <t>Spain||3Y</t>
        </is>
      </c>
      <c r="L170" t="inlineStr">
        <is>
          <t>Spain|3Y</t>
        </is>
      </c>
      <c r="M170" t="inlineStr"/>
    </row>
    <row r="171">
      <c r="A171" t="inlineStr">
        <is>
          <t>Spain</t>
        </is>
      </c>
      <c r="B171" t="inlineStr">
        <is>
          <t>ESP</t>
        </is>
      </c>
      <c r="C171" t="inlineStr"/>
      <c r="D171" s="1" t="n">
        <v>46022</v>
      </c>
      <c r="E171" t="inlineStr">
        <is>
          <t>5Y</t>
        </is>
      </c>
      <c r="F171" t="inlineStr"/>
      <c r="G171" t="n">
        <v>4.360155714568359</v>
      </c>
      <c r="H171" t="n">
        <v>8.197987950592477</v>
      </c>
      <c r="I171" t="n">
        <v>7.974584615464853</v>
      </c>
      <c r="J171" t="inlineStr"/>
      <c r="K171" t="inlineStr">
        <is>
          <t>Spain||5Y</t>
        </is>
      </c>
      <c r="L171" t="inlineStr">
        <is>
          <t>Spain|5Y</t>
        </is>
      </c>
      <c r="M171" t="inlineStr"/>
    </row>
    <row r="172">
      <c r="A172" t="inlineStr">
        <is>
          <t>Spain</t>
        </is>
      </c>
      <c r="B172" t="inlineStr">
        <is>
          <t>ESP</t>
        </is>
      </c>
      <c r="C172" t="inlineStr"/>
      <c r="D172" s="1" t="n">
        <v>46022</v>
      </c>
      <c r="E172" t="inlineStr">
        <is>
          <t>10Y</t>
        </is>
      </c>
      <c r="F172" t="inlineStr"/>
      <c r="G172" t="n">
        <v>1.998698218618267</v>
      </c>
      <c r="H172" t="n">
        <v>4.41425375852782</v>
      </c>
      <c r="I172" t="n">
        <v>4.600222325606351</v>
      </c>
      <c r="J172" t="inlineStr"/>
      <c r="K172" t="inlineStr">
        <is>
          <t>Spain||10Y</t>
        </is>
      </c>
      <c r="L172" t="inlineStr">
        <is>
          <t>Spain|10Y</t>
        </is>
      </c>
      <c r="M172" t="inlineStr"/>
    </row>
    <row r="173">
      <c r="A173" t="inlineStr">
        <is>
          <t>Spain</t>
        </is>
      </c>
      <c r="B173" t="inlineStr">
        <is>
          <t>ESP</t>
        </is>
      </c>
      <c r="C173" t="inlineStr">
        <is>
          <t>CS1.L</t>
        </is>
      </c>
      <c r="D173" s="1" t="n">
        <v>46022</v>
      </c>
      <c r="E173" t="inlineStr">
        <is>
          <t>1Y</t>
        </is>
      </c>
      <c r="F173" t="n">
        <v>61.99406653952111</v>
      </c>
      <c r="G173" t="n">
        <v>2.907999999999999</v>
      </c>
      <c r="H173" t="n">
        <v>5.025308000000006</v>
      </c>
      <c r="I173" t="n">
        <v>9.635035000000002</v>
      </c>
      <c r="J173" t="n">
        <v>-52.35903153952111</v>
      </c>
      <c r="K173" t="inlineStr">
        <is>
          <t>Spain|CS1.L|1Y</t>
        </is>
      </c>
      <c r="L173" t="inlineStr">
        <is>
          <t>Spain|1Y</t>
        </is>
      </c>
      <c r="M173" t="inlineStr">
        <is>
          <t>GBp</t>
        </is>
      </c>
    </row>
    <row r="174">
      <c r="A174" t="inlineStr">
        <is>
          <t>Sweden</t>
        </is>
      </c>
      <c r="B174" t="inlineStr">
        <is>
          <t>SWE</t>
        </is>
      </c>
      <c r="C174" t="inlineStr"/>
      <c r="D174" s="1" t="n">
        <v>46022</v>
      </c>
      <c r="E174" t="inlineStr">
        <is>
          <t>1Y</t>
        </is>
      </c>
      <c r="F174" t="inlineStr"/>
      <c r="G174" t="n">
        <v>0.7500000000000062</v>
      </c>
      <c r="H174" t="n">
        <v>2.432129000000005</v>
      </c>
      <c r="I174" t="n">
        <v>9.70706400000001</v>
      </c>
      <c r="J174" t="inlineStr"/>
      <c r="K174" t="inlineStr">
        <is>
          <t>Sweden||1Y</t>
        </is>
      </c>
      <c r="L174" t="inlineStr">
        <is>
          <t>Sweden|1Y</t>
        </is>
      </c>
      <c r="M174" t="inlineStr"/>
    </row>
    <row r="175">
      <c r="A175" t="inlineStr">
        <is>
          <t>Sweden</t>
        </is>
      </c>
      <c r="B175" t="inlineStr">
        <is>
          <t>SWE</t>
        </is>
      </c>
      <c r="C175" t="inlineStr"/>
      <c r="D175" s="1" t="n">
        <v>46022</v>
      </c>
      <c r="E175" t="inlineStr">
        <is>
          <t>3Y</t>
        </is>
      </c>
      <c r="F175" t="inlineStr"/>
      <c r="G175" t="n">
        <v>0.4542450414806831</v>
      </c>
      <c r="H175" t="n">
        <v>3.959361240613513</v>
      </c>
      <c r="I175" t="n">
        <v>4.821015691858244</v>
      </c>
      <c r="J175" t="inlineStr"/>
      <c r="K175" t="inlineStr">
        <is>
          <t>Sweden||3Y</t>
        </is>
      </c>
      <c r="L175" t="inlineStr">
        <is>
          <t>Sweden|3Y</t>
        </is>
      </c>
      <c r="M175" t="inlineStr"/>
    </row>
    <row r="176">
      <c r="A176" t="inlineStr">
        <is>
          <t>Sweden</t>
        </is>
      </c>
      <c r="B176" t="inlineStr">
        <is>
          <t>SWE</t>
        </is>
      </c>
      <c r="C176" t="inlineStr"/>
      <c r="D176" s="1" t="n">
        <v>46022</v>
      </c>
      <c r="E176" t="inlineStr">
        <is>
          <t>5Y</t>
        </is>
      </c>
      <c r="F176" t="inlineStr"/>
      <c r="G176" t="n">
        <v>1.5520943328027</v>
      </c>
      <c r="H176" t="n">
        <v>5.446509835445701</v>
      </c>
      <c r="I176" t="n">
        <v>4.004246220294672</v>
      </c>
      <c r="J176" t="inlineStr"/>
      <c r="K176" t="inlineStr">
        <is>
          <t>Sweden||5Y</t>
        </is>
      </c>
      <c r="L176" t="inlineStr">
        <is>
          <t>Sweden|5Y</t>
        </is>
      </c>
      <c r="M176" t="inlineStr"/>
    </row>
    <row r="177">
      <c r="A177" t="inlineStr">
        <is>
          <t>Sweden</t>
        </is>
      </c>
      <c r="B177" t="inlineStr">
        <is>
          <t>SWE</t>
        </is>
      </c>
      <c r="C177" t="inlineStr"/>
      <c r="D177" s="1" t="n">
        <v>46022</v>
      </c>
      <c r="E177" t="inlineStr">
        <is>
          <t>10Y</t>
        </is>
      </c>
      <c r="F177" t="inlineStr"/>
      <c r="G177" t="n">
        <v>1.415028937020568</v>
      </c>
      <c r="H177" t="n">
        <v>4.443393256159789</v>
      </c>
      <c r="I177" t="n">
        <v>2.818373558130216</v>
      </c>
      <c r="J177" t="inlineStr"/>
      <c r="K177" t="inlineStr">
        <is>
          <t>Sweden||10Y</t>
        </is>
      </c>
      <c r="L177" t="inlineStr">
        <is>
          <t>Sweden|10Y</t>
        </is>
      </c>
      <c r="M177" t="inlineStr"/>
    </row>
    <row r="178">
      <c r="A178" t="inlineStr">
        <is>
          <t>Sweden</t>
        </is>
      </c>
      <c r="B178" t="inlineStr">
        <is>
          <t>SWE</t>
        </is>
      </c>
      <c r="C178" t="inlineStr">
        <is>
          <t>OMXS.L</t>
        </is>
      </c>
      <c r="D178" s="1" t="n">
        <v>46022</v>
      </c>
      <c r="E178" t="inlineStr">
        <is>
          <t>1Y</t>
        </is>
      </c>
      <c r="F178" t="n">
        <v>24.91961414790998</v>
      </c>
      <c r="G178" t="n">
        <v>0.7500000000000062</v>
      </c>
      <c r="H178" t="n">
        <v>2.432129000000005</v>
      </c>
      <c r="I178" t="n">
        <v>9.70706400000001</v>
      </c>
      <c r="J178" t="n">
        <v>-15.21255014790997</v>
      </c>
      <c r="K178" t="inlineStr">
        <is>
          <t>Sweden|OMXS.L|1Y</t>
        </is>
      </c>
      <c r="L178" t="inlineStr">
        <is>
          <t>Sweden|1Y</t>
        </is>
      </c>
      <c r="M178" t="inlineStr">
        <is>
          <t>GBp</t>
        </is>
      </c>
    </row>
    <row r="179">
      <c r="A179" t="inlineStr">
        <is>
          <t>Sweden</t>
        </is>
      </c>
      <c r="B179" t="inlineStr">
        <is>
          <t>SWE</t>
        </is>
      </c>
      <c r="C179" t="inlineStr">
        <is>
          <t>OMXS.L</t>
        </is>
      </c>
      <c r="D179" s="1" t="n">
        <v>46022</v>
      </c>
      <c r="E179" t="inlineStr">
        <is>
          <t>3Y</t>
        </is>
      </c>
      <c r="F179" t="n">
        <v>12.93013741432381</v>
      </c>
      <c r="G179" t="n">
        <v>0.4542450414806831</v>
      </c>
      <c r="H179" t="n">
        <v>3.959361240613513</v>
      </c>
      <c r="I179" t="n">
        <v>4.821015691858244</v>
      </c>
      <c r="J179" t="n">
        <v>-8.109121722465563</v>
      </c>
      <c r="K179" t="inlineStr">
        <is>
          <t>Sweden|OMXS.L|3Y</t>
        </is>
      </c>
      <c r="L179" t="inlineStr">
        <is>
          <t>Sweden|3Y</t>
        </is>
      </c>
      <c r="M179" t="inlineStr">
        <is>
          <t>GBp</t>
        </is>
      </c>
    </row>
    <row r="180">
      <c r="A180" t="inlineStr">
        <is>
          <t>Sweden</t>
        </is>
      </c>
      <c r="B180" t="inlineStr">
        <is>
          <t>SWE</t>
        </is>
      </c>
      <c r="C180" t="inlineStr">
        <is>
          <t>OMXS.L</t>
        </is>
      </c>
      <c r="D180" s="1" t="n">
        <v>46022</v>
      </c>
      <c r="E180" t="inlineStr">
        <is>
          <t>5Y</t>
        </is>
      </c>
      <c r="F180" t="n">
        <v>7.028618388520025</v>
      </c>
      <c r="G180" t="n">
        <v>1.5520943328027</v>
      </c>
      <c r="H180" t="n">
        <v>5.446509835445701</v>
      </c>
      <c r="I180" t="n">
        <v>4.004246220294672</v>
      </c>
      <c r="J180" t="n">
        <v>-3.024372168225353</v>
      </c>
      <c r="K180" t="inlineStr">
        <is>
          <t>Sweden|OMXS.L|5Y</t>
        </is>
      </c>
      <c r="L180" t="inlineStr">
        <is>
          <t>Sweden|5Y</t>
        </is>
      </c>
      <c r="M180" t="inlineStr">
        <is>
          <t>GBp</t>
        </is>
      </c>
    </row>
    <row r="181">
      <c r="A181" t="inlineStr">
        <is>
          <t>Sweden</t>
        </is>
      </c>
      <c r="B181" t="inlineStr">
        <is>
          <t>SWE</t>
        </is>
      </c>
      <c r="C181" t="inlineStr">
        <is>
          <t>OMXS.L</t>
        </is>
      </c>
      <c r="D181" s="1" t="n">
        <v>46022</v>
      </c>
      <c r="E181" t="inlineStr">
        <is>
          <t>10Y</t>
        </is>
      </c>
      <c r="F181" t="n">
        <v>-15.13095200124223</v>
      </c>
      <c r="G181" t="n">
        <v>1.415028937020568</v>
      </c>
      <c r="H181" t="n">
        <v>4.443393256159789</v>
      </c>
      <c r="I181" t="n">
        <v>2.818373558130216</v>
      </c>
      <c r="J181" t="n">
        <v>17.94932555937244</v>
      </c>
      <c r="K181" t="inlineStr">
        <is>
          <t>Sweden|OMXS.L|10Y</t>
        </is>
      </c>
      <c r="L181" t="inlineStr">
        <is>
          <t>Sweden|10Y</t>
        </is>
      </c>
      <c r="M181" t="inlineStr">
        <is>
          <t>GBp</t>
        </is>
      </c>
    </row>
    <row r="182">
      <c r="A182" t="inlineStr">
        <is>
          <t>Taiwan</t>
        </is>
      </c>
      <c r="B182" t="inlineStr">
        <is>
          <t>TWN</t>
        </is>
      </c>
      <c r="C182" t="inlineStr"/>
      <c r="D182" s="1" t="n">
        <v>46022</v>
      </c>
      <c r="E182" t="inlineStr">
        <is>
          <t>1Y</t>
        </is>
      </c>
      <c r="F182" t="inlineStr"/>
      <c r="G182" t="n">
        <v>3.673999999999999</v>
      </c>
      <c r="H182" t="n">
        <v>5.468292000000008</v>
      </c>
      <c r="I182" t="n">
        <v>10.96393499999999</v>
      </c>
      <c r="J182" t="inlineStr"/>
      <c r="K182" t="inlineStr">
        <is>
          <t>Taiwan||1Y</t>
        </is>
      </c>
      <c r="L182" t="inlineStr">
        <is>
          <t>Taiwan|1Y</t>
        </is>
      </c>
      <c r="M182" t="inlineStr"/>
    </row>
    <row r="183">
      <c r="A183" t="inlineStr">
        <is>
          <t>Taiwan</t>
        </is>
      </c>
      <c r="B183" t="inlineStr">
        <is>
          <t>TWN</t>
        </is>
      </c>
      <c r="C183" t="inlineStr"/>
      <c r="D183" s="1" t="n">
        <v>46022</v>
      </c>
      <c r="E183" t="inlineStr">
        <is>
          <t>3Y</t>
        </is>
      </c>
      <c r="F183" t="inlineStr"/>
      <c r="G183" t="n">
        <v>3.199286997583917</v>
      </c>
      <c r="H183" t="n">
        <v>5.756142806055453</v>
      </c>
      <c r="I183" t="n">
        <v>4.924185071867271</v>
      </c>
      <c r="J183" t="inlineStr"/>
      <c r="K183" t="inlineStr">
        <is>
          <t>Taiwan||3Y</t>
        </is>
      </c>
      <c r="L183" t="inlineStr">
        <is>
          <t>Taiwan|3Y</t>
        </is>
      </c>
      <c r="M183" t="inlineStr"/>
    </row>
    <row r="184">
      <c r="A184" t="inlineStr">
        <is>
          <t>Taiwan</t>
        </is>
      </c>
      <c r="B184" t="inlineStr">
        <is>
          <t>TWN</t>
        </is>
      </c>
      <c r="C184" t="inlineStr"/>
      <c r="D184" s="1" t="n">
        <v>46022</v>
      </c>
      <c r="E184" t="inlineStr">
        <is>
          <t>5Y</t>
        </is>
      </c>
      <c r="F184" t="inlineStr"/>
      <c r="G184" t="n">
        <v>3.790053779043401</v>
      </c>
      <c r="H184" t="n">
        <v>6.154652973093233</v>
      </c>
      <c r="I184" t="n">
        <v>5.494197356395891</v>
      </c>
      <c r="J184" t="inlineStr"/>
      <c r="K184" t="inlineStr">
        <is>
          <t>Taiwan||5Y</t>
        </is>
      </c>
      <c r="L184" t="inlineStr">
        <is>
          <t>Taiwan|5Y</t>
        </is>
      </c>
      <c r="M184" t="inlineStr"/>
    </row>
    <row r="185">
      <c r="A185" t="inlineStr">
        <is>
          <t>Taiwan</t>
        </is>
      </c>
      <c r="B185" t="inlineStr">
        <is>
          <t>TWN</t>
        </is>
      </c>
      <c r="C185" t="inlineStr"/>
      <c r="D185" s="1" t="n">
        <v>46022</v>
      </c>
      <c r="E185" t="inlineStr">
        <is>
          <t>10Y</t>
        </is>
      </c>
      <c r="F185" t="inlineStr"/>
      <c r="G185" t="n">
        <v>3.414407627179994</v>
      </c>
      <c r="H185" t="n">
        <v>4.698072696184274</v>
      </c>
      <c r="I185" t="n">
        <v>5.164278093211339</v>
      </c>
      <c r="J185" t="inlineStr"/>
      <c r="K185" t="inlineStr">
        <is>
          <t>Taiwan||10Y</t>
        </is>
      </c>
      <c r="L185" t="inlineStr">
        <is>
          <t>Taiwan|10Y</t>
        </is>
      </c>
      <c r="M185" t="inlineStr"/>
    </row>
    <row r="186">
      <c r="A186" t="inlineStr">
        <is>
          <t>Taiwan</t>
        </is>
      </c>
      <c r="B186" t="inlineStr">
        <is>
          <t>TWN</t>
        </is>
      </c>
      <c r="C186" t="inlineStr">
        <is>
          <t>FRXT.L</t>
        </is>
      </c>
      <c r="D186" s="1" t="n">
        <v>46022</v>
      </c>
      <c r="E186" t="inlineStr">
        <is>
          <t>1Y</t>
        </is>
      </c>
      <c r="F186" t="n">
        <v>24.86159844407421</v>
      </c>
      <c r="G186" t="n">
        <v>3.673999999999999</v>
      </c>
      <c r="H186" t="n">
        <v>5.468292000000008</v>
      </c>
      <c r="I186" t="n">
        <v>10.96393499999999</v>
      </c>
      <c r="J186" t="n">
        <v>-13.89766344407422</v>
      </c>
      <c r="K186" t="inlineStr">
        <is>
          <t>Taiwan|FRXT.L|1Y</t>
        </is>
      </c>
      <c r="L186" t="inlineStr">
        <is>
          <t>Taiwan|1Y</t>
        </is>
      </c>
      <c r="M186" t="inlineStr">
        <is>
          <t>GBP</t>
        </is>
      </c>
    </row>
    <row r="187">
      <c r="A187" t="inlineStr">
        <is>
          <t>Taiwan</t>
        </is>
      </c>
      <c r="B187" t="inlineStr">
        <is>
          <t>TWN</t>
        </is>
      </c>
      <c r="C187" t="inlineStr">
        <is>
          <t>FRXT.L</t>
        </is>
      </c>
      <c r="D187" s="1" t="n">
        <v>46022</v>
      </c>
      <c r="E187" t="inlineStr">
        <is>
          <t>3Y</t>
        </is>
      </c>
      <c r="F187" t="n">
        <v>24.19024373671219</v>
      </c>
      <c r="G187" t="n">
        <v>3.199286997583917</v>
      </c>
      <c r="H187" t="n">
        <v>5.756142806055453</v>
      </c>
      <c r="I187" t="n">
        <v>4.924185071867271</v>
      </c>
      <c r="J187" t="n">
        <v>-19.26605866484492</v>
      </c>
      <c r="K187" t="inlineStr">
        <is>
          <t>Taiwan|FRXT.L|3Y</t>
        </is>
      </c>
      <c r="L187" t="inlineStr">
        <is>
          <t>Taiwan|3Y</t>
        </is>
      </c>
      <c r="M187" t="inlineStr">
        <is>
          <t>GBP</t>
        </is>
      </c>
    </row>
    <row r="188">
      <c r="A188" t="inlineStr">
        <is>
          <t>Taiwan</t>
        </is>
      </c>
      <c r="B188" t="inlineStr">
        <is>
          <t>TWN</t>
        </is>
      </c>
      <c r="C188" t="inlineStr">
        <is>
          <t>XMTW.L</t>
        </is>
      </c>
      <c r="D188" s="1" t="n">
        <v>46022</v>
      </c>
      <c r="E188" t="inlineStr">
        <is>
          <t>1Y</t>
        </is>
      </c>
      <c r="F188" t="n">
        <v>23.8012125665993</v>
      </c>
      <c r="G188" t="n">
        <v>3.673999999999999</v>
      </c>
      <c r="H188" t="n">
        <v>5.468292000000008</v>
      </c>
      <c r="I188" t="n">
        <v>10.96393499999999</v>
      </c>
      <c r="J188" t="n">
        <v>-12.83727756659931</v>
      </c>
      <c r="K188" t="inlineStr">
        <is>
          <t>Taiwan|XMTW.L|1Y</t>
        </is>
      </c>
      <c r="L188" t="inlineStr">
        <is>
          <t>Taiwan|1Y</t>
        </is>
      </c>
      <c r="M188" t="inlineStr">
        <is>
          <t>GBp</t>
        </is>
      </c>
    </row>
    <row r="189">
      <c r="A189" t="inlineStr">
        <is>
          <t>Taiwan</t>
        </is>
      </c>
      <c r="B189" t="inlineStr">
        <is>
          <t>TWN</t>
        </is>
      </c>
      <c r="C189" t="inlineStr">
        <is>
          <t>XMTW.L</t>
        </is>
      </c>
      <c r="D189" s="1" t="n">
        <v>46022</v>
      </c>
      <c r="E189" t="inlineStr">
        <is>
          <t>3Y</t>
        </is>
      </c>
      <c r="F189" t="n">
        <v>23.50987090228076</v>
      </c>
      <c r="G189" t="n">
        <v>3.199286997583917</v>
      </c>
      <c r="H189" t="n">
        <v>5.756142806055453</v>
      </c>
      <c r="I189" t="n">
        <v>4.924185071867271</v>
      </c>
      <c r="J189" t="n">
        <v>-18.58568583041349</v>
      </c>
      <c r="K189" t="inlineStr">
        <is>
          <t>Taiwan|XMTW.L|3Y</t>
        </is>
      </c>
      <c r="L189" t="inlineStr">
        <is>
          <t>Taiwan|3Y</t>
        </is>
      </c>
      <c r="M189" t="inlineStr">
        <is>
          <t>GBp</t>
        </is>
      </c>
    </row>
    <row r="190">
      <c r="A190" t="inlineStr">
        <is>
          <t>Taiwan</t>
        </is>
      </c>
      <c r="B190" t="inlineStr">
        <is>
          <t>TWN</t>
        </is>
      </c>
      <c r="C190" t="inlineStr">
        <is>
          <t>XMTW.L</t>
        </is>
      </c>
      <c r="D190" s="1" t="n">
        <v>46022</v>
      </c>
      <c r="E190" t="inlineStr">
        <is>
          <t>5Y</t>
        </is>
      </c>
      <c r="F190" t="n">
        <v>13.63714029869942</v>
      </c>
      <c r="G190" t="n">
        <v>3.790053779043401</v>
      </c>
      <c r="H190" t="n">
        <v>6.154652973093233</v>
      </c>
      <c r="I190" t="n">
        <v>5.494197356395891</v>
      </c>
      <c r="J190" t="n">
        <v>-8.142942942303534</v>
      </c>
      <c r="K190" t="inlineStr">
        <is>
          <t>Taiwan|XMTW.L|5Y</t>
        </is>
      </c>
      <c r="L190" t="inlineStr">
        <is>
          <t>Taiwan|5Y</t>
        </is>
      </c>
      <c r="M190" t="inlineStr">
        <is>
          <t>GBp</t>
        </is>
      </c>
    </row>
    <row r="191">
      <c r="A191" t="inlineStr">
        <is>
          <t>Taiwan</t>
        </is>
      </c>
      <c r="B191" t="inlineStr">
        <is>
          <t>TWN</t>
        </is>
      </c>
      <c r="C191" t="inlineStr">
        <is>
          <t>XMTW.L</t>
        </is>
      </c>
      <c r="D191" s="1" t="n">
        <v>46022</v>
      </c>
      <c r="E191" t="inlineStr">
        <is>
          <t>10Y</t>
        </is>
      </c>
      <c r="F191" t="n">
        <v>18.54747320106178</v>
      </c>
      <c r="G191" t="n">
        <v>3.414407627179994</v>
      </c>
      <c r="H191" t="n">
        <v>4.698072696184274</v>
      </c>
      <c r="I191" t="n">
        <v>5.164278093211339</v>
      </c>
      <c r="J191" t="n">
        <v>-13.38319510785044</v>
      </c>
      <c r="K191" t="inlineStr">
        <is>
          <t>Taiwan|XMTW.L|10Y</t>
        </is>
      </c>
      <c r="L191" t="inlineStr">
        <is>
          <t>Taiwan|10Y</t>
        </is>
      </c>
      <c r="M191" t="inlineStr">
        <is>
          <t>GBp</t>
        </is>
      </c>
    </row>
    <row r="192">
      <c r="A192" t="inlineStr">
        <is>
          <t>Thailand</t>
        </is>
      </c>
      <c r="B192" t="inlineStr">
        <is>
          <t>THA</t>
        </is>
      </c>
      <c r="C192" t="inlineStr"/>
      <c r="D192" s="1" t="n">
        <v>46022</v>
      </c>
      <c r="E192" t="inlineStr">
        <is>
          <t>1Y</t>
        </is>
      </c>
      <c r="F192" t="inlineStr"/>
      <c r="G192" t="n">
        <v>2.000000000000002</v>
      </c>
      <c r="H192" t="n">
        <v>2.200039000000009</v>
      </c>
      <c r="I192" t="n">
        <v>6.088110999999996</v>
      </c>
      <c r="J192" t="inlineStr"/>
      <c r="K192" t="inlineStr">
        <is>
          <t>Thailand||1Y</t>
        </is>
      </c>
      <c r="L192" t="inlineStr">
        <is>
          <t>Thailand|1Y</t>
        </is>
      </c>
      <c r="M192" t="inlineStr"/>
    </row>
    <row r="193">
      <c r="A193" t="inlineStr">
        <is>
          <t>Thailand</t>
        </is>
      </c>
      <c r="B193" t="inlineStr">
        <is>
          <t>THA</t>
        </is>
      </c>
      <c r="C193" t="inlineStr"/>
      <c r="D193" s="1" t="n">
        <v>46022</v>
      </c>
      <c r="E193" t="inlineStr">
        <is>
          <t>3Y</t>
        </is>
      </c>
      <c r="F193" t="inlineStr"/>
      <c r="G193" t="n">
        <v>2.182688480328676</v>
      </c>
      <c r="H193" t="n">
        <v>3.003779255805794</v>
      </c>
      <c r="I193" t="n">
        <v>4.06461227936048</v>
      </c>
      <c r="J193" t="inlineStr"/>
      <c r="K193" t="inlineStr">
        <is>
          <t>Thailand||3Y</t>
        </is>
      </c>
      <c r="L193" t="inlineStr">
        <is>
          <t>Thailand|3Y</t>
        </is>
      </c>
      <c r="M193" t="inlineStr"/>
    </row>
    <row r="194">
      <c r="A194" t="inlineStr">
        <is>
          <t>Thailand</t>
        </is>
      </c>
      <c r="B194" t="inlineStr">
        <is>
          <t>THA</t>
        </is>
      </c>
      <c r="C194" t="inlineStr"/>
      <c r="D194" s="1" t="n">
        <v>46022</v>
      </c>
      <c r="E194" t="inlineStr">
        <is>
          <t>5Y</t>
        </is>
      </c>
      <c r="F194" t="inlineStr"/>
      <c r="G194" t="n">
        <v>2.142824827726608</v>
      </c>
      <c r="H194" t="n">
        <v>3.93129222977171</v>
      </c>
      <c r="I194" t="n">
        <v>2.221386476761178</v>
      </c>
      <c r="J194" t="inlineStr"/>
      <c r="K194" t="inlineStr">
        <is>
          <t>Thailand||5Y</t>
        </is>
      </c>
      <c r="L194" t="inlineStr">
        <is>
          <t>Thailand|5Y</t>
        </is>
      </c>
      <c r="M194" t="inlineStr"/>
    </row>
    <row r="195">
      <c r="A195" t="inlineStr">
        <is>
          <t>Thailand</t>
        </is>
      </c>
      <c r="B195" t="inlineStr">
        <is>
          <t>THA</t>
        </is>
      </c>
      <c r="C195" t="inlineStr"/>
      <c r="D195" s="1" t="n">
        <v>46022</v>
      </c>
      <c r="E195" t="inlineStr">
        <is>
          <t>10Y</t>
        </is>
      </c>
      <c r="F195" t="inlineStr"/>
      <c r="G195" t="n">
        <v>1.822387316345764</v>
      </c>
      <c r="H195" t="n">
        <v>3.287139139093043</v>
      </c>
      <c r="I195" t="n">
        <v>3.362144523071686</v>
      </c>
      <c r="J195" t="inlineStr"/>
      <c r="K195" t="inlineStr">
        <is>
          <t>Thailand||10Y</t>
        </is>
      </c>
      <c r="L195" t="inlineStr">
        <is>
          <t>Thailand|10Y</t>
        </is>
      </c>
      <c r="M195" t="inlineStr"/>
    </row>
    <row r="196">
      <c r="A196" t="inlineStr">
        <is>
          <t>Thailand</t>
        </is>
      </c>
      <c r="B196" t="inlineStr">
        <is>
          <t>THA</t>
        </is>
      </c>
      <c r="C196" t="inlineStr">
        <is>
          <t>XCX4.L</t>
        </is>
      </c>
      <c r="D196" s="1" t="n">
        <v>46022</v>
      </c>
      <c r="E196" t="inlineStr">
        <is>
          <t>1Y</t>
        </is>
      </c>
      <c r="F196" t="n">
        <v>0.5687618492052016</v>
      </c>
      <c r="G196" t="n">
        <v>2.000000000000002</v>
      </c>
      <c r="H196" t="n">
        <v>2.200039000000009</v>
      </c>
      <c r="I196" t="n">
        <v>6.088110999999996</v>
      </c>
      <c r="J196" t="n">
        <v>5.519349150794794</v>
      </c>
      <c r="K196" t="inlineStr">
        <is>
          <t>Thailand|XCX4.L|1Y</t>
        </is>
      </c>
      <c r="L196" t="inlineStr">
        <is>
          <t>Thailand|1Y</t>
        </is>
      </c>
      <c r="M196" t="inlineStr">
        <is>
          <t>GBp</t>
        </is>
      </c>
    </row>
    <row r="197">
      <c r="A197" t="inlineStr">
        <is>
          <t>Thailand</t>
        </is>
      </c>
      <c r="B197" t="inlineStr">
        <is>
          <t>THA</t>
        </is>
      </c>
      <c r="C197" t="inlineStr">
        <is>
          <t>XCX4.L</t>
        </is>
      </c>
      <c r="D197" s="1" t="n">
        <v>46022</v>
      </c>
      <c r="E197" t="inlineStr">
        <is>
          <t>3Y</t>
        </is>
      </c>
      <c r="F197" t="n">
        <v>-5.724436007445344</v>
      </c>
      <c r="G197" t="n">
        <v>2.182688480328676</v>
      </c>
      <c r="H197" t="n">
        <v>3.003779255805794</v>
      </c>
      <c r="I197" t="n">
        <v>4.06461227936048</v>
      </c>
      <c r="J197" t="n">
        <v>9.789048286805823</v>
      </c>
      <c r="K197" t="inlineStr">
        <is>
          <t>Thailand|XCX4.L|3Y</t>
        </is>
      </c>
      <c r="L197" t="inlineStr">
        <is>
          <t>Thailand|3Y</t>
        </is>
      </c>
      <c r="M197" t="inlineStr">
        <is>
          <t>GBp</t>
        </is>
      </c>
    </row>
    <row r="198">
      <c r="A198" t="inlineStr">
        <is>
          <t>Thailand</t>
        </is>
      </c>
      <c r="B198" t="inlineStr">
        <is>
          <t>THA</t>
        </is>
      </c>
      <c r="C198" t="inlineStr">
        <is>
          <t>XCX4.L</t>
        </is>
      </c>
      <c r="D198" s="1" t="n">
        <v>46022</v>
      </c>
      <c r="E198" t="inlineStr">
        <is>
          <t>5Y</t>
        </is>
      </c>
      <c r="F198" t="n">
        <v>-0.4971390837153478</v>
      </c>
      <c r="G198" t="n">
        <v>2.142824827726608</v>
      </c>
      <c r="H198" t="n">
        <v>3.93129222977171</v>
      </c>
      <c r="I198" t="n">
        <v>2.221386476761178</v>
      </c>
      <c r="J198" t="n">
        <v>2.718525560476526</v>
      </c>
      <c r="K198" t="inlineStr">
        <is>
          <t>Thailand|XCX4.L|5Y</t>
        </is>
      </c>
      <c r="L198" t="inlineStr">
        <is>
          <t>Thailand|5Y</t>
        </is>
      </c>
      <c r="M198" t="inlineStr">
        <is>
          <t>GBp</t>
        </is>
      </c>
    </row>
    <row r="199">
      <c r="A199" t="inlineStr">
        <is>
          <t>Thailand</t>
        </is>
      </c>
      <c r="B199" t="inlineStr">
        <is>
          <t>THA</t>
        </is>
      </c>
      <c r="C199" t="inlineStr">
        <is>
          <t>XCX4.L</t>
        </is>
      </c>
      <c r="D199" s="1" t="n">
        <v>46022</v>
      </c>
      <c r="E199" t="inlineStr">
        <is>
          <t>10Y</t>
        </is>
      </c>
      <c r="F199" t="n">
        <v>5.432630725851206</v>
      </c>
      <c r="G199" t="n">
        <v>1.822387316345764</v>
      </c>
      <c r="H199" t="n">
        <v>3.287139139093043</v>
      </c>
      <c r="I199" t="n">
        <v>3.362144523071686</v>
      </c>
      <c r="J199" t="n">
        <v>-2.07048620277952</v>
      </c>
      <c r="K199" t="inlineStr">
        <is>
          <t>Thailand|XCX4.L|10Y</t>
        </is>
      </c>
      <c r="L199" t="inlineStr">
        <is>
          <t>Thailand|10Y</t>
        </is>
      </c>
      <c r="M199" t="inlineStr">
        <is>
          <t>GBp</t>
        </is>
      </c>
    </row>
    <row r="200">
      <c r="A200" t="inlineStr">
        <is>
          <t>Turkey</t>
        </is>
      </c>
      <c r="B200" t="inlineStr">
        <is>
          <t>TUR</t>
        </is>
      </c>
      <c r="C200" t="inlineStr"/>
      <c r="D200" s="1" t="n">
        <v>46022</v>
      </c>
      <c r="E200" t="inlineStr">
        <is>
          <t>1Y</t>
        </is>
      </c>
      <c r="F200" t="inlineStr"/>
      <c r="G200" t="n">
        <v>3.493999999999997</v>
      </c>
      <c r="H200" t="n">
        <v>39.45333099999999</v>
      </c>
      <c r="I200" t="n">
        <v>15.25638499999999</v>
      </c>
      <c r="J200" t="inlineStr"/>
      <c r="K200" t="inlineStr">
        <is>
          <t>Turkey||1Y</t>
        </is>
      </c>
      <c r="L200" t="inlineStr">
        <is>
          <t>Turkey|1Y</t>
        </is>
      </c>
      <c r="M200" t="inlineStr"/>
    </row>
    <row r="201">
      <c r="A201" t="inlineStr">
        <is>
          <t>Turkey</t>
        </is>
      </c>
      <c r="B201" t="inlineStr">
        <is>
          <t>TUR</t>
        </is>
      </c>
      <c r="C201" t="inlineStr"/>
      <c r="D201" s="1" t="n">
        <v>46022</v>
      </c>
      <c r="E201" t="inlineStr">
        <is>
          <t>3Y</t>
        </is>
      </c>
      <c r="F201" t="inlineStr"/>
      <c r="G201" t="n">
        <v>3.95280050096356</v>
      </c>
      <c r="H201" t="n">
        <v>59.49173539936783</v>
      </c>
      <c r="I201" t="n">
        <v>19.18087843836862</v>
      </c>
      <c r="J201" t="inlineStr"/>
      <c r="K201" t="inlineStr">
        <is>
          <t>Turkey||3Y</t>
        </is>
      </c>
      <c r="L201" t="inlineStr">
        <is>
          <t>Turkey|3Y</t>
        </is>
      </c>
      <c r="M201" t="inlineStr"/>
    </row>
    <row r="202">
      <c r="A202" t="inlineStr">
        <is>
          <t>Turkey</t>
        </is>
      </c>
      <c r="B202" t="inlineStr">
        <is>
          <t>TUR</t>
        </is>
      </c>
      <c r="C202" t="inlineStr"/>
      <c r="D202" s="1" t="n">
        <v>46022</v>
      </c>
      <c r="E202" t="inlineStr">
        <is>
          <t>5Y</t>
        </is>
      </c>
      <c r="F202" t="inlineStr"/>
      <c r="G202" t="n">
        <v>5.77926032137992</v>
      </c>
      <c r="H202" t="n">
        <v>64.62899885264861</v>
      </c>
      <c r="I202" t="n">
        <v>16.47249888199764</v>
      </c>
      <c r="J202" t="inlineStr"/>
      <c r="K202" t="inlineStr">
        <is>
          <t>Turkey||5Y</t>
        </is>
      </c>
      <c r="L202" t="inlineStr">
        <is>
          <t>Turkey|5Y</t>
        </is>
      </c>
      <c r="M202" t="inlineStr"/>
    </row>
    <row r="203">
      <c r="A203" t="inlineStr">
        <is>
          <t>Turkey</t>
        </is>
      </c>
      <c r="B203" t="inlineStr">
        <is>
          <t>TUR</t>
        </is>
      </c>
      <c r="C203" t="inlineStr"/>
      <c r="D203" s="1" t="n">
        <v>46022</v>
      </c>
      <c r="E203" t="inlineStr">
        <is>
          <t>10Y</t>
        </is>
      </c>
      <c r="F203" t="inlineStr"/>
      <c r="G203" t="n">
        <v>4.643244943240665</v>
      </c>
      <c r="H203" t="n">
        <v>38.7337739966562</v>
      </c>
      <c r="I203" t="n">
        <v>6.072382672649201</v>
      </c>
      <c r="J203" t="inlineStr"/>
      <c r="K203" t="inlineStr">
        <is>
          <t>Turkey||10Y</t>
        </is>
      </c>
      <c r="L203" t="inlineStr">
        <is>
          <t>Turkey|10Y</t>
        </is>
      </c>
      <c r="M203" t="inlineStr"/>
    </row>
    <row r="204">
      <c r="A204" t="inlineStr">
        <is>
          <t>Turkey</t>
        </is>
      </c>
      <c r="B204" t="inlineStr">
        <is>
          <t>TUR</t>
        </is>
      </c>
      <c r="C204" t="inlineStr">
        <is>
          <t>TURL.L</t>
        </is>
      </c>
      <c r="D204" s="1" t="n">
        <v>46022</v>
      </c>
      <c r="E204" t="inlineStr">
        <is>
          <t>1Y</t>
        </is>
      </c>
      <c r="F204" t="n">
        <v>0</v>
      </c>
      <c r="G204" t="n">
        <v>3.493999999999997</v>
      </c>
      <c r="H204" t="n">
        <v>39.45333099999999</v>
      </c>
      <c r="I204" t="n">
        <v>15.25638499999999</v>
      </c>
      <c r="J204" t="n">
        <v>15.25638499999999</v>
      </c>
      <c r="K204" t="inlineStr">
        <is>
          <t>Turkey|TURL.L|1Y</t>
        </is>
      </c>
      <c r="L204" t="inlineStr">
        <is>
          <t>Turkey|1Y</t>
        </is>
      </c>
      <c r="M204" t="inlineStr">
        <is>
          <t>GBp</t>
        </is>
      </c>
    </row>
    <row r="205">
      <c r="A205" t="inlineStr">
        <is>
          <t>Turkey</t>
        </is>
      </c>
      <c r="B205" t="inlineStr">
        <is>
          <t>TUR</t>
        </is>
      </c>
      <c r="C205" t="inlineStr">
        <is>
          <t>TURL.L</t>
        </is>
      </c>
      <c r="D205" s="1" t="n">
        <v>46022</v>
      </c>
      <c r="E205" t="inlineStr">
        <is>
          <t>3Y</t>
        </is>
      </c>
      <c r="F205" t="n">
        <v>-7.103436841404709</v>
      </c>
      <c r="G205" t="n">
        <v>3.95280050096356</v>
      </c>
      <c r="H205" t="n">
        <v>59.49173539936783</v>
      </c>
      <c r="I205" t="n">
        <v>19.18087843836862</v>
      </c>
      <c r="J205" t="n">
        <v>26.28431527977333</v>
      </c>
      <c r="K205" t="inlineStr">
        <is>
          <t>Turkey|TURL.L|3Y</t>
        </is>
      </c>
      <c r="L205" t="inlineStr">
        <is>
          <t>Turkey|3Y</t>
        </is>
      </c>
      <c r="M205" t="inlineStr">
        <is>
          <t>GBp</t>
        </is>
      </c>
    </row>
    <row r="206">
      <c r="A206" t="inlineStr">
        <is>
          <t>Turkey</t>
        </is>
      </c>
      <c r="B206" t="inlineStr">
        <is>
          <t>TUR</t>
        </is>
      </c>
      <c r="C206" t="inlineStr">
        <is>
          <t>TURL.L</t>
        </is>
      </c>
      <c r="D206" s="1" t="n">
        <v>46022</v>
      </c>
      <c r="E206" t="inlineStr">
        <is>
          <t>5Y</t>
        </is>
      </c>
      <c r="F206" t="n">
        <v>5.013211641654847</v>
      </c>
      <c r="G206" t="n">
        <v>5.77926032137992</v>
      </c>
      <c r="H206" t="n">
        <v>64.62899885264861</v>
      </c>
      <c r="I206" t="n">
        <v>16.47249888199764</v>
      </c>
      <c r="J206" t="n">
        <v>11.4592872403428</v>
      </c>
      <c r="K206" t="inlineStr">
        <is>
          <t>Turkey|TURL.L|5Y</t>
        </is>
      </c>
      <c r="L206" t="inlineStr">
        <is>
          <t>Turkey|5Y</t>
        </is>
      </c>
      <c r="M206" t="inlineStr">
        <is>
          <t>GBp</t>
        </is>
      </c>
    </row>
    <row r="207">
      <c r="A207" t="inlineStr">
        <is>
          <t>Turkey</t>
        </is>
      </c>
      <c r="B207" t="inlineStr">
        <is>
          <t>TUR</t>
        </is>
      </c>
      <c r="C207" t="inlineStr">
        <is>
          <t>TURL.L</t>
        </is>
      </c>
      <c r="D207" s="1" t="n">
        <v>46022</v>
      </c>
      <c r="E207" t="inlineStr">
        <is>
          <t>10Y</t>
        </is>
      </c>
      <c r="F207" t="n">
        <v>-2.500003770955272</v>
      </c>
      <c r="G207" t="n">
        <v>4.643244943240665</v>
      </c>
      <c r="H207" t="n">
        <v>38.7337739966562</v>
      </c>
      <c r="I207" t="n">
        <v>6.072382672649201</v>
      </c>
      <c r="J207" t="n">
        <v>8.572386443604474</v>
      </c>
      <c r="K207" t="inlineStr">
        <is>
          <t>Turkey|TURL.L|10Y</t>
        </is>
      </c>
      <c r="L207" t="inlineStr">
        <is>
          <t>Turkey|10Y</t>
        </is>
      </c>
      <c r="M207" t="inlineStr">
        <is>
          <t>GBp</t>
        </is>
      </c>
    </row>
    <row r="208">
      <c r="A208" t="inlineStr">
        <is>
          <t>United Kingdom</t>
        </is>
      </c>
      <c r="B208" t="inlineStr">
        <is>
          <t>GBR</t>
        </is>
      </c>
      <c r="C208" t="inlineStr"/>
      <c r="D208" s="1" t="n">
        <v>46022</v>
      </c>
      <c r="E208" t="inlineStr">
        <is>
          <t>1Y</t>
        </is>
      </c>
      <c r="F208" t="inlineStr"/>
      <c r="G208" t="n">
        <v>1.307999999999998</v>
      </c>
      <c r="H208" t="n">
        <v>4.886900999999999</v>
      </c>
      <c r="I208" t="n">
        <v>8.619351999999992</v>
      </c>
      <c r="J208" t="inlineStr"/>
      <c r="K208" t="inlineStr">
        <is>
          <t>United Kingdom||1Y</t>
        </is>
      </c>
      <c r="L208" t="inlineStr">
        <is>
          <t>United Kingdom|1Y</t>
        </is>
      </c>
      <c r="M208" t="inlineStr"/>
    </row>
    <row r="209">
      <c r="A209" t="inlineStr">
        <is>
          <t>United Kingdom</t>
        </is>
      </c>
      <c r="B209" t="inlineStr">
        <is>
          <t>GBR</t>
        </is>
      </c>
      <c r="C209" t="inlineStr"/>
      <c r="D209" s="1" t="n">
        <v>46022</v>
      </c>
      <c r="E209" t="inlineStr">
        <is>
          <t>3Y</t>
        </is>
      </c>
      <c r="F209" t="inlineStr"/>
      <c r="G209" t="n">
        <v>0.934579070475805</v>
      </c>
      <c r="H209" t="n">
        <v>5.779933394896974</v>
      </c>
      <c r="I209" t="n">
        <v>8.197792806603864</v>
      </c>
      <c r="J209" t="inlineStr"/>
      <c r="K209" t="inlineStr">
        <is>
          <t>United Kingdom||3Y</t>
        </is>
      </c>
      <c r="L209" t="inlineStr">
        <is>
          <t>United Kingdom|3Y</t>
        </is>
      </c>
      <c r="M209" t="inlineStr"/>
    </row>
    <row r="210">
      <c r="A210" t="inlineStr">
        <is>
          <t>United Kingdom</t>
        </is>
      </c>
      <c r="B210" t="inlineStr">
        <is>
          <t>GBR</t>
        </is>
      </c>
      <c r="C210" t="inlineStr"/>
      <c r="D210" s="1" t="n">
        <v>46022</v>
      </c>
      <c r="E210" t="inlineStr">
        <is>
          <t>5Y</t>
        </is>
      </c>
      <c r="F210" t="inlineStr"/>
      <c r="G210" t="n">
        <v>3.198961574222303</v>
      </c>
      <c r="H210" t="n">
        <v>7.289058230505674</v>
      </c>
      <c r="I210" t="n">
        <v>7.964552917353718</v>
      </c>
      <c r="J210" t="inlineStr"/>
      <c r="K210" t="inlineStr">
        <is>
          <t>United Kingdom||5Y</t>
        </is>
      </c>
      <c r="L210" t="inlineStr">
        <is>
          <t>United Kingdom|5Y</t>
        </is>
      </c>
      <c r="M210" t="inlineStr"/>
    </row>
    <row r="211">
      <c r="A211" t="inlineStr">
        <is>
          <t>United Kingdom</t>
        </is>
      </c>
      <c r="B211" t="inlineStr">
        <is>
          <t>GBR</t>
        </is>
      </c>
      <c r="C211" t="inlineStr"/>
      <c r="D211" s="1" t="n">
        <v>46022</v>
      </c>
      <c r="E211" t="inlineStr">
        <is>
          <t>10Y</t>
        </is>
      </c>
      <c r="F211" t="inlineStr"/>
      <c r="G211" t="n">
        <v>1.248728139241617</v>
      </c>
      <c r="H211" t="n">
        <v>4.549487231423588</v>
      </c>
      <c r="I211" t="n">
        <v>3.060146113533135</v>
      </c>
      <c r="J211" t="inlineStr"/>
      <c r="K211" t="inlineStr">
        <is>
          <t>United Kingdom||10Y</t>
        </is>
      </c>
      <c r="L211" t="inlineStr">
        <is>
          <t>United Kingdom|10Y</t>
        </is>
      </c>
      <c r="M211" t="inlineStr"/>
    </row>
    <row r="212">
      <c r="A212" t="inlineStr">
        <is>
          <t>United Kingdom</t>
        </is>
      </c>
      <c r="B212" t="inlineStr">
        <is>
          <t>GBR</t>
        </is>
      </c>
      <c r="C212" t="inlineStr">
        <is>
          <t>CSUK.L</t>
        </is>
      </c>
      <c r="D212" s="1" t="n">
        <v>46022</v>
      </c>
      <c r="E212" t="inlineStr">
        <is>
          <t>1Y</t>
        </is>
      </c>
      <c r="F212" t="n">
        <v>23.79534380075798</v>
      </c>
      <c r="G212" t="n">
        <v>1.307999999999998</v>
      </c>
      <c r="H212" t="n">
        <v>4.886900999999999</v>
      </c>
      <c r="I212" t="n">
        <v>8.619351999999992</v>
      </c>
      <c r="J212" t="n">
        <v>-15.17599180075799</v>
      </c>
      <c r="K212" t="inlineStr">
        <is>
          <t>United Kingdom|CSUK.L|1Y</t>
        </is>
      </c>
      <c r="L212" t="inlineStr">
        <is>
          <t>United Kingdom|1Y</t>
        </is>
      </c>
      <c r="M212" t="inlineStr">
        <is>
          <t>GBp</t>
        </is>
      </c>
    </row>
    <row r="213">
      <c r="A213" t="inlineStr">
        <is>
          <t>United Kingdom</t>
        </is>
      </c>
      <c r="B213" t="inlineStr">
        <is>
          <t>GBR</t>
        </is>
      </c>
      <c r="C213" t="inlineStr">
        <is>
          <t>CSUK.L</t>
        </is>
      </c>
      <c r="D213" s="1" t="n">
        <v>46022</v>
      </c>
      <c r="E213" t="inlineStr">
        <is>
          <t>3Y</t>
        </is>
      </c>
      <c r="F213" t="n">
        <v>12.95331229270806</v>
      </c>
      <c r="G213" t="n">
        <v>0.934579070475805</v>
      </c>
      <c r="H213" t="n">
        <v>5.779933394896974</v>
      </c>
      <c r="I213" t="n">
        <v>8.197792806603864</v>
      </c>
      <c r="J213" t="n">
        <v>-4.755519486104198</v>
      </c>
      <c r="K213" t="inlineStr">
        <is>
          <t>United Kingdom|CSUK.L|3Y</t>
        </is>
      </c>
      <c r="L213" t="inlineStr">
        <is>
          <t>United Kingdom|3Y</t>
        </is>
      </c>
      <c r="M213" t="inlineStr">
        <is>
          <t>GBp</t>
        </is>
      </c>
    </row>
    <row r="214">
      <c r="A214" t="inlineStr">
        <is>
          <t>United Kingdom</t>
        </is>
      </c>
      <c r="B214" t="inlineStr">
        <is>
          <t>GBR</t>
        </is>
      </c>
      <c r="C214" t="inlineStr">
        <is>
          <t>CSUK.L</t>
        </is>
      </c>
      <c r="D214" s="1" t="n">
        <v>46022</v>
      </c>
      <c r="E214" t="inlineStr">
        <is>
          <t>5Y</t>
        </is>
      </c>
      <c r="F214" t="n">
        <v>12.70226452269452</v>
      </c>
      <c r="G214" t="n">
        <v>3.198961574222303</v>
      </c>
      <c r="H214" t="n">
        <v>7.289058230505674</v>
      </c>
      <c r="I214" t="n">
        <v>7.964552917353718</v>
      </c>
      <c r="J214" t="n">
        <v>-4.737711605340799</v>
      </c>
      <c r="K214" t="inlineStr">
        <is>
          <t>United Kingdom|CSUK.L|5Y</t>
        </is>
      </c>
      <c r="L214" t="inlineStr">
        <is>
          <t>United Kingdom|5Y</t>
        </is>
      </c>
      <c r="M214" t="inlineStr">
        <is>
          <t>GBp</t>
        </is>
      </c>
    </row>
    <row r="215">
      <c r="A215" t="inlineStr">
        <is>
          <t>United Kingdom</t>
        </is>
      </c>
      <c r="B215" t="inlineStr">
        <is>
          <t>GBR</t>
        </is>
      </c>
      <c r="C215" t="inlineStr">
        <is>
          <t>CSUK.L</t>
        </is>
      </c>
      <c r="D215" s="1" t="n">
        <v>46022</v>
      </c>
      <c r="E215" t="inlineStr">
        <is>
          <t>10Y</t>
        </is>
      </c>
      <c r="F215" t="n">
        <v>8.673561938778839</v>
      </c>
      <c r="G215" t="n">
        <v>1.248728139241617</v>
      </c>
      <c r="H215" t="n">
        <v>4.549487231423588</v>
      </c>
      <c r="I215" t="n">
        <v>3.060146113533135</v>
      </c>
      <c r="J215" t="n">
        <v>-5.613415825245704</v>
      </c>
      <c r="K215" t="inlineStr">
        <is>
          <t>United Kingdom|CSUK.L|10Y</t>
        </is>
      </c>
      <c r="L215" t="inlineStr">
        <is>
          <t>United Kingdom|10Y</t>
        </is>
      </c>
      <c r="M215" t="inlineStr">
        <is>
          <t>GBp</t>
        </is>
      </c>
    </row>
    <row r="216">
      <c r="A216" t="inlineStr">
        <is>
          <t>United Kingdom</t>
        </is>
      </c>
      <c r="B216" t="inlineStr">
        <is>
          <t>GBR</t>
        </is>
      </c>
      <c r="C216" t="inlineStr">
        <is>
          <t>CUKX.L</t>
        </is>
      </c>
      <c r="D216" s="1" t="n">
        <v>46022</v>
      </c>
      <c r="E216" t="inlineStr">
        <is>
          <t>1Y</t>
        </is>
      </c>
      <c r="F216" t="n">
        <v>24.46052139204191</v>
      </c>
      <c r="G216" t="n">
        <v>1.307999999999998</v>
      </c>
      <c r="H216" t="n">
        <v>4.886900999999999</v>
      </c>
      <c r="I216" t="n">
        <v>8.619351999999992</v>
      </c>
      <c r="J216" t="n">
        <v>-15.84116939204192</v>
      </c>
      <c r="K216" t="inlineStr">
        <is>
          <t>United Kingdom|CUKX.L|1Y</t>
        </is>
      </c>
      <c r="L216" t="inlineStr">
        <is>
          <t>United Kingdom|1Y</t>
        </is>
      </c>
      <c r="M216" t="inlineStr">
        <is>
          <t>GBp</t>
        </is>
      </c>
    </row>
    <row r="217">
      <c r="A217" t="inlineStr">
        <is>
          <t>United Kingdom</t>
        </is>
      </c>
      <c r="B217" t="inlineStr">
        <is>
          <t>GBR</t>
        </is>
      </c>
      <c r="C217" t="inlineStr">
        <is>
          <t>CUKX.L</t>
        </is>
      </c>
      <c r="D217" s="1" t="n">
        <v>46022</v>
      </c>
      <c r="E217" t="inlineStr">
        <is>
          <t>3Y</t>
        </is>
      </c>
      <c r="F217" t="n">
        <v>13.57919751825567</v>
      </c>
      <c r="G217" t="n">
        <v>0.934579070475805</v>
      </c>
      <c r="H217" t="n">
        <v>5.779933394896974</v>
      </c>
      <c r="I217" t="n">
        <v>8.197792806603864</v>
      </c>
      <c r="J217" t="n">
        <v>-5.381404711651806</v>
      </c>
      <c r="K217" t="inlineStr">
        <is>
          <t>United Kingdom|CUKX.L|3Y</t>
        </is>
      </c>
      <c r="L217" t="inlineStr">
        <is>
          <t>United Kingdom|3Y</t>
        </is>
      </c>
      <c r="M217" t="inlineStr">
        <is>
          <t>GBp</t>
        </is>
      </c>
    </row>
    <row r="218">
      <c r="A218" t="inlineStr">
        <is>
          <t>United Kingdom</t>
        </is>
      </c>
      <c r="B218" t="inlineStr">
        <is>
          <t>GBR</t>
        </is>
      </c>
      <c r="C218" t="inlineStr">
        <is>
          <t>CUKX.L</t>
        </is>
      </c>
      <c r="D218" s="1" t="n">
        <v>46022</v>
      </c>
      <c r="E218" t="inlineStr">
        <is>
          <t>5Y</t>
        </is>
      </c>
      <c r="F218" t="n">
        <v>12.44757739417313</v>
      </c>
      <c r="G218" t="n">
        <v>3.198961574222303</v>
      </c>
      <c r="H218" t="n">
        <v>7.289058230505674</v>
      </c>
      <c r="I218" t="n">
        <v>7.964552917353718</v>
      </c>
      <c r="J218" t="n">
        <v>-4.483024476819409</v>
      </c>
      <c r="K218" t="inlineStr">
        <is>
          <t>United Kingdom|CUKX.L|5Y</t>
        </is>
      </c>
      <c r="L218" t="inlineStr">
        <is>
          <t>United Kingdom|5Y</t>
        </is>
      </c>
      <c r="M218" t="inlineStr">
        <is>
          <t>GBp</t>
        </is>
      </c>
    </row>
    <row r="219">
      <c r="A219" t="inlineStr">
        <is>
          <t>United Kingdom</t>
        </is>
      </c>
      <c r="B219" t="inlineStr">
        <is>
          <t>GBR</t>
        </is>
      </c>
      <c r="C219" t="inlineStr">
        <is>
          <t>CUKX.L</t>
        </is>
      </c>
      <c r="D219" s="1" t="n">
        <v>46022</v>
      </c>
      <c r="E219" t="inlineStr">
        <is>
          <t>10Y</t>
        </is>
      </c>
      <c r="F219" t="n">
        <v>9.021526998775343</v>
      </c>
      <c r="G219" t="n">
        <v>1.248728139241617</v>
      </c>
      <c r="H219" t="n">
        <v>4.549487231423588</v>
      </c>
      <c r="I219" t="n">
        <v>3.060146113533135</v>
      </c>
      <c r="J219" t="n">
        <v>-5.961380885242208</v>
      </c>
      <c r="K219" t="inlineStr">
        <is>
          <t>United Kingdom|CUKX.L|10Y</t>
        </is>
      </c>
      <c r="L219" t="inlineStr">
        <is>
          <t>United Kingdom|10Y</t>
        </is>
      </c>
      <c r="M219" t="inlineStr">
        <is>
          <t>GBp</t>
        </is>
      </c>
    </row>
    <row r="220">
      <c r="A220" t="inlineStr">
        <is>
          <t>United States</t>
        </is>
      </c>
      <c r="B220" t="inlineStr">
        <is>
          <t>USA</t>
        </is>
      </c>
      <c r="C220" t="inlineStr"/>
      <c r="D220" s="1" t="n">
        <v>46022</v>
      </c>
      <c r="E220" t="inlineStr">
        <is>
          <t>1Y</t>
        </is>
      </c>
      <c r="F220" t="inlineStr"/>
      <c r="G220" t="n">
        <v>2.017000000000002</v>
      </c>
      <c r="H220" t="n">
        <v>4.497634000000006</v>
      </c>
      <c r="I220" t="n">
        <v>4.497634000000006</v>
      </c>
      <c r="J220" t="inlineStr"/>
      <c r="K220" t="inlineStr">
        <is>
          <t>United States||1Y</t>
        </is>
      </c>
      <c r="L220" t="inlineStr">
        <is>
          <t>United States|1Y</t>
        </is>
      </c>
      <c r="M220" t="inlineStr"/>
    </row>
    <row r="221">
      <c r="A221" t="inlineStr">
        <is>
          <t>United States</t>
        </is>
      </c>
      <c r="B221" t="inlineStr">
        <is>
          <t>USA</t>
        </is>
      </c>
      <c r="C221" t="inlineStr"/>
      <c r="D221" s="1" t="n">
        <v>46022</v>
      </c>
      <c r="E221" t="inlineStr">
        <is>
          <t>3Y</t>
        </is>
      </c>
      <c r="F221" t="inlineStr"/>
      <c r="G221" t="n">
        <v>2.580871884428859</v>
      </c>
      <c r="H221" t="n">
        <v>5.524539071077084</v>
      </c>
      <c r="I221" t="n">
        <v>5.524539071077084</v>
      </c>
      <c r="J221" t="inlineStr"/>
      <c r="K221" t="inlineStr">
        <is>
          <t>United States||3Y</t>
        </is>
      </c>
      <c r="L221" t="inlineStr">
        <is>
          <t>United States|3Y</t>
        </is>
      </c>
      <c r="M221" t="inlineStr"/>
    </row>
    <row r="222">
      <c r="A222" t="inlineStr">
        <is>
          <t>United States</t>
        </is>
      </c>
      <c r="B222" t="inlineStr">
        <is>
          <t>USA</t>
        </is>
      </c>
      <c r="C222" t="inlineStr"/>
      <c r="D222" s="1" t="n">
        <v>46022</v>
      </c>
      <c r="E222" t="inlineStr">
        <is>
          <t>5Y</t>
        </is>
      </c>
      <c r="F222" t="inlineStr"/>
      <c r="G222" t="n">
        <v>3.273899606073449</v>
      </c>
      <c r="H222" t="n">
        <v>7.450048996640191</v>
      </c>
      <c r="I222" t="n">
        <v>7.450048996640191</v>
      </c>
      <c r="J222" t="inlineStr"/>
      <c r="K222" t="inlineStr">
        <is>
          <t>United States||5Y</t>
        </is>
      </c>
      <c r="L222" t="inlineStr">
        <is>
          <t>United States|5Y</t>
        </is>
      </c>
      <c r="M222" t="inlineStr"/>
    </row>
    <row r="223">
      <c r="A223" t="inlineStr">
        <is>
          <t>United States</t>
        </is>
      </c>
      <c r="B223" t="inlineStr">
        <is>
          <t>USA</t>
        </is>
      </c>
      <c r="C223" t="inlineStr"/>
      <c r="D223" s="1" t="n">
        <v>46022</v>
      </c>
      <c r="E223" t="inlineStr">
        <is>
          <t>10Y</t>
        </is>
      </c>
      <c r="F223" t="inlineStr"/>
      <c r="G223" t="n">
        <v>2.399456279066103</v>
      </c>
      <c r="H223" t="n">
        <v>5.283724060684203</v>
      </c>
      <c r="I223" t="n">
        <v>5.283724060684203</v>
      </c>
      <c r="J223" t="inlineStr"/>
      <c r="K223" t="inlineStr">
        <is>
          <t>United States||10Y</t>
        </is>
      </c>
      <c r="L223" t="inlineStr">
        <is>
          <t>United States|10Y</t>
        </is>
      </c>
      <c r="M223" t="inlineStr"/>
    </row>
    <row r="224">
      <c r="A224" t="inlineStr">
        <is>
          <t>United States</t>
        </is>
      </c>
      <c r="B224" t="inlineStr">
        <is>
          <t>USA</t>
        </is>
      </c>
      <c r="C224" t="inlineStr">
        <is>
          <t>SPXL.L</t>
        </is>
      </c>
      <c r="D224" s="1" t="n">
        <v>46022</v>
      </c>
      <c r="E224" t="inlineStr">
        <is>
          <t>1Y</t>
        </is>
      </c>
      <c r="F224" t="n">
        <v>8.434565882238697</v>
      </c>
      <c r="G224" t="n">
        <v>2.017000000000002</v>
      </c>
      <c r="H224" t="n">
        <v>4.497634000000006</v>
      </c>
      <c r="I224" t="n">
        <v>4.497634000000006</v>
      </c>
      <c r="J224" t="n">
        <v>-3.936931882238691</v>
      </c>
      <c r="K224" t="inlineStr">
        <is>
          <t>United States|SPXL.L|1Y</t>
        </is>
      </c>
      <c r="L224" t="inlineStr">
        <is>
          <t>United States|1Y</t>
        </is>
      </c>
      <c r="M224" t="inlineStr">
        <is>
          <t>GBP</t>
        </is>
      </c>
    </row>
    <row r="225">
      <c r="A225" t="inlineStr">
        <is>
          <t>United States</t>
        </is>
      </c>
      <c r="B225" t="inlineStr">
        <is>
          <t>USA</t>
        </is>
      </c>
      <c r="C225" t="inlineStr">
        <is>
          <t>SPXL.L</t>
        </is>
      </c>
      <c r="D225" s="1" t="n">
        <v>46022</v>
      </c>
      <c r="E225" t="inlineStr">
        <is>
          <t>3Y</t>
        </is>
      </c>
      <c r="F225" t="n">
        <v>7.734577634027251</v>
      </c>
      <c r="G225" t="n">
        <v>2.580871884428859</v>
      </c>
      <c r="H225" t="n">
        <v>5.524539071077084</v>
      </c>
      <c r="I225" t="n">
        <v>5.524539071077084</v>
      </c>
      <c r="J225" t="n">
        <v>-2.210038562950167</v>
      </c>
      <c r="K225" t="inlineStr">
        <is>
          <t>United States|SPXL.L|3Y</t>
        </is>
      </c>
      <c r="L225" t="inlineStr">
        <is>
          <t>United States|3Y</t>
        </is>
      </c>
      <c r="M225" t="inlineStr">
        <is>
          <t>GBP</t>
        </is>
      </c>
    </row>
    <row r="226">
      <c r="A226" t="inlineStr">
        <is>
          <t>Vietnam</t>
        </is>
      </c>
      <c r="B226" t="inlineStr">
        <is>
          <t>VNM</t>
        </is>
      </c>
      <c r="C226" t="inlineStr"/>
      <c r="D226" s="1" t="n">
        <v>46022</v>
      </c>
      <c r="E226" t="inlineStr">
        <is>
          <t>1Y</t>
        </is>
      </c>
      <c r="F226" t="inlineStr"/>
      <c r="G226" t="n">
        <v>6.457000000000002</v>
      </c>
      <c r="H226" t="n">
        <v>9.991489999999992</v>
      </c>
      <c r="I226" t="n">
        <v>5.496308999999999</v>
      </c>
      <c r="J226" t="inlineStr"/>
      <c r="K226" t="inlineStr">
        <is>
          <t>Vietnam||1Y</t>
        </is>
      </c>
      <c r="L226" t="inlineStr">
        <is>
          <t>Vietnam|1Y</t>
        </is>
      </c>
      <c r="M226" t="inlineStr"/>
    </row>
    <row r="227">
      <c r="A227" t="inlineStr">
        <is>
          <t>Vietnam</t>
        </is>
      </c>
      <c r="B227" t="inlineStr">
        <is>
          <t>VNM</t>
        </is>
      </c>
      <c r="C227" t="inlineStr"/>
      <c r="D227" s="1" t="n">
        <v>46022</v>
      </c>
      <c r="E227" t="inlineStr">
        <is>
          <t>3Y</t>
        </is>
      </c>
      <c r="F227" t="inlineStr"/>
      <c r="G227" t="n">
        <v>6.200954667276259</v>
      </c>
      <c r="H227" t="n">
        <v>9.586221664232486</v>
      </c>
      <c r="I227" t="n">
        <v>5.647902927923876</v>
      </c>
      <c r="J227" t="inlineStr"/>
      <c r="K227" t="inlineStr">
        <is>
          <t>Vietnam||3Y</t>
        </is>
      </c>
      <c r="L227" t="inlineStr">
        <is>
          <t>Vietnam|3Y</t>
        </is>
      </c>
      <c r="M227" t="inlineStr"/>
    </row>
    <row r="228">
      <c r="A228" t="inlineStr">
        <is>
          <t>Vietnam</t>
        </is>
      </c>
      <c r="B228" t="inlineStr">
        <is>
          <t>VNM</t>
        </is>
      </c>
      <c r="C228" t="inlineStr"/>
      <c r="D228" s="1" t="n">
        <v>46022</v>
      </c>
      <c r="E228" t="inlineStr">
        <is>
          <t>5Y</t>
        </is>
      </c>
      <c r="F228" t="inlineStr"/>
      <c r="G228" t="n">
        <v>5.92145460004414</v>
      </c>
      <c r="H228" t="n">
        <v>9.497043660655734</v>
      </c>
      <c r="I228" t="n">
        <v>6.956271913500278</v>
      </c>
      <c r="J228" t="inlineStr"/>
      <c r="K228" t="inlineStr">
        <is>
          <t>Vietnam||5Y</t>
        </is>
      </c>
      <c r="L228" t="inlineStr">
        <is>
          <t>Vietnam|5Y</t>
        </is>
      </c>
      <c r="M228" t="inlineStr"/>
    </row>
    <row r="229">
      <c r="A229" t="inlineStr">
        <is>
          <t>Vietnam</t>
        </is>
      </c>
      <c r="B229" t="inlineStr">
        <is>
          <t>VNM</t>
        </is>
      </c>
      <c r="C229" t="inlineStr"/>
      <c r="D229" s="1" t="n">
        <v>46022</v>
      </c>
      <c r="E229" t="inlineStr">
        <is>
          <t>10Y</t>
        </is>
      </c>
      <c r="F229" t="inlineStr"/>
      <c r="G229" t="n">
        <v>6.085412813467572</v>
      </c>
      <c r="H229" t="n">
        <v>9.325802594010124</v>
      </c>
      <c r="I229" t="n">
        <v>7.426735577916199</v>
      </c>
      <c r="J229" t="inlineStr"/>
      <c r="K229" t="inlineStr">
        <is>
          <t>Vietnam||10Y</t>
        </is>
      </c>
      <c r="L229" t="inlineStr">
        <is>
          <t>Vietnam|10Y</t>
        </is>
      </c>
      <c r="M229" t="inlineStr"/>
    </row>
    <row r="230">
      <c r="A230" t="inlineStr">
        <is>
          <t>Vietnam</t>
        </is>
      </c>
      <c r="B230" t="inlineStr">
        <is>
          <t>VNM</t>
        </is>
      </c>
      <c r="C230" t="inlineStr">
        <is>
          <t>XFVT.L</t>
        </is>
      </c>
      <c r="D230" s="1" t="n">
        <v>46022</v>
      </c>
      <c r="E230" t="inlineStr">
        <is>
          <t>1Y</t>
        </is>
      </c>
      <c r="F230" t="n">
        <v>55.06464164679304</v>
      </c>
      <c r="G230" t="n">
        <v>6.457000000000002</v>
      </c>
      <c r="H230" t="n">
        <v>9.991489999999992</v>
      </c>
      <c r="I230" t="n">
        <v>5.496308999999999</v>
      </c>
      <c r="J230" t="n">
        <v>-49.56833264679304</v>
      </c>
      <c r="K230" t="inlineStr">
        <is>
          <t>Vietnam|XFVT.L|1Y</t>
        </is>
      </c>
      <c r="L230" t="inlineStr">
        <is>
          <t>Vietnam|1Y</t>
        </is>
      </c>
      <c r="M230" t="inlineStr">
        <is>
          <t>GBp</t>
        </is>
      </c>
    </row>
    <row r="231">
      <c r="A231" t="inlineStr">
        <is>
          <t>Vietnam</t>
        </is>
      </c>
      <c r="B231" t="inlineStr">
        <is>
          <t>VNM</t>
        </is>
      </c>
      <c r="C231" t="inlineStr">
        <is>
          <t>XFVT.L</t>
        </is>
      </c>
      <c r="D231" s="1" t="n">
        <v>46022</v>
      </c>
      <c r="E231" t="inlineStr">
        <is>
          <t>3Y</t>
        </is>
      </c>
      <c r="F231" t="n">
        <v>10.62626282053494</v>
      </c>
      <c r="G231" t="n">
        <v>6.200954667276259</v>
      </c>
      <c r="H231" t="n">
        <v>9.586221664232486</v>
      </c>
      <c r="I231" t="n">
        <v>5.647902927923876</v>
      </c>
      <c r="J231" t="n">
        <v>-4.978359892611061</v>
      </c>
      <c r="K231" t="inlineStr">
        <is>
          <t>Vietnam|XFVT.L|3Y</t>
        </is>
      </c>
      <c r="L231" t="inlineStr">
        <is>
          <t>Vietnam|3Y</t>
        </is>
      </c>
      <c r="M231" t="inlineStr">
        <is>
          <t>GBp</t>
        </is>
      </c>
    </row>
    <row r="232">
      <c r="A232" t="inlineStr">
        <is>
          <t>Vietnam</t>
        </is>
      </c>
      <c r="B232" t="inlineStr">
        <is>
          <t>VNM</t>
        </is>
      </c>
      <c r="C232" t="inlineStr">
        <is>
          <t>XFVT.L</t>
        </is>
      </c>
      <c r="D232" s="1" t="n">
        <v>46022</v>
      </c>
      <c r="E232" t="inlineStr">
        <is>
          <t>5Y</t>
        </is>
      </c>
      <c r="F232" t="n">
        <v>3.148848918391378</v>
      </c>
      <c r="G232" t="n">
        <v>5.92145460004414</v>
      </c>
      <c r="H232" t="n">
        <v>9.497043660655734</v>
      </c>
      <c r="I232" t="n">
        <v>6.956271913500278</v>
      </c>
      <c r="J232" t="n">
        <v>3.8074229951089</v>
      </c>
      <c r="K232" t="inlineStr">
        <is>
          <t>Vietnam|XFVT.L|5Y</t>
        </is>
      </c>
      <c r="L232" t="inlineStr">
        <is>
          <t>Vietnam|5Y</t>
        </is>
      </c>
      <c r="M232" t="inlineStr">
        <is>
          <t>GBp</t>
        </is>
      </c>
    </row>
    <row r="233">
      <c r="A233" t="inlineStr">
        <is>
          <t>Vietnam</t>
        </is>
      </c>
      <c r="B233" t="inlineStr">
        <is>
          <t>VNM</t>
        </is>
      </c>
      <c r="C233" t="inlineStr">
        <is>
          <t>XFVT.L</t>
        </is>
      </c>
      <c r="D233" s="1" t="n">
        <v>46022</v>
      </c>
      <c r="E233" t="inlineStr">
        <is>
          <t>10Y</t>
        </is>
      </c>
      <c r="F233" t="n">
        <v>7.347121104067589</v>
      </c>
      <c r="G233" t="n">
        <v>6.085412813467572</v>
      </c>
      <c r="H233" t="n">
        <v>9.325802594010124</v>
      </c>
      <c r="I233" t="n">
        <v>7.426735577916199</v>
      </c>
      <c r="J233" t="n">
        <v>0.07961447384861042</v>
      </c>
      <c r="K233" t="inlineStr">
        <is>
          <t>Vietnam|XFVT.L|10Y</t>
        </is>
      </c>
      <c r="L233" t="inlineStr">
        <is>
          <t>Vietnam|10Y</t>
        </is>
      </c>
      <c r="M233" t="inlineStr">
        <is>
          <t>GBp</t>
        </is>
      </c>
    </row>
  </sheetData>
  <autoFilter ref="A1:M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</row>
    <row r="2">
      <c r="A2" t="inlineStr">
        <is>
          <t>Australia</t>
        </is>
      </c>
      <c r="B2" t="inlineStr">
        <is>
          <t>BGX.L</t>
        </is>
      </c>
      <c r="C2" t="inlineStr">
        <is>
          <t>Australia</t>
        </is>
      </c>
      <c r="D2" t="inlineStr">
        <is>
          <t>SAUS.L</t>
        </is>
      </c>
    </row>
    <row r="3">
      <c r="A3" t="inlineStr">
        <is>
          <t>Brazil</t>
        </is>
      </c>
      <c r="B3" t="inlineStr">
        <is>
          <t>CMIB.L</t>
        </is>
      </c>
      <c r="C3" t="inlineStr">
        <is>
          <t>Brazil</t>
        </is>
      </c>
      <c r="D3" t="inlineStr">
        <is>
          <t>XMBR.L</t>
        </is>
      </c>
    </row>
    <row r="4">
      <c r="A4" t="inlineStr">
        <is>
          <t>Bulgaria</t>
        </is>
      </c>
      <c r="B4" t="inlineStr">
        <is>
          <t>CS1.L</t>
        </is>
      </c>
      <c r="C4" t="inlineStr">
        <is>
          <t>Bulgaria</t>
        </is>
      </c>
      <c r="D4" t="inlineStr">
        <is>
          <t>BGX.L</t>
        </is>
      </c>
    </row>
    <row r="5">
      <c r="A5" t="inlineStr">
        <is>
          <t>Canada</t>
        </is>
      </c>
      <c r="B5" t="inlineStr">
        <is>
          <t>CSCA.L</t>
        </is>
      </c>
      <c r="C5" t="inlineStr">
        <is>
          <t>Canada</t>
        </is>
      </c>
      <c r="D5" t="inlineStr">
        <is>
          <t>CSCA.L</t>
        </is>
      </c>
    </row>
    <row r="6">
      <c r="A6" t="inlineStr">
        <is>
          <t>China</t>
        </is>
      </c>
      <c r="B6" t="inlineStr">
        <is>
          <t>CSKR.L</t>
        </is>
      </c>
      <c r="C6" t="inlineStr">
        <is>
          <t>China</t>
        </is>
      </c>
      <c r="D6" t="inlineStr">
        <is>
          <t>FRCH.L</t>
        </is>
      </c>
    </row>
    <row r="7">
      <c r="A7" t="inlineStr">
        <is>
          <t>France</t>
        </is>
      </c>
      <c r="B7" t="inlineStr">
        <is>
          <t>CSUK.L</t>
        </is>
      </c>
      <c r="C7" t="inlineStr">
        <is>
          <t>France</t>
        </is>
      </c>
      <c r="D7" t="inlineStr">
        <is>
          <t>ISFR.L</t>
        </is>
      </c>
    </row>
    <row r="8">
      <c r="A8" t="inlineStr">
        <is>
          <t>Germany</t>
        </is>
      </c>
      <c r="B8" t="inlineStr">
        <is>
          <t>CUKX.L</t>
        </is>
      </c>
      <c r="C8" t="inlineStr">
        <is>
          <t>Germany</t>
        </is>
      </c>
      <c r="D8" t="inlineStr">
        <is>
          <t>XDAX.L</t>
        </is>
      </c>
    </row>
    <row r="9">
      <c r="A9" t="inlineStr">
        <is>
          <t>Hong Kong</t>
        </is>
      </c>
      <c r="B9" t="inlineStr">
        <is>
          <t>FLRK.L</t>
        </is>
      </c>
      <c r="C9" t="inlineStr">
        <is>
          <t>Hong Kong</t>
        </is>
      </c>
      <c r="D9" t="inlineStr">
        <is>
          <t>HKDU.L</t>
        </is>
      </c>
    </row>
    <row r="10">
      <c r="A10" t="inlineStr">
        <is>
          <t>India</t>
        </is>
      </c>
      <c r="B10" t="inlineStr">
        <is>
          <t>FRCH.L</t>
        </is>
      </c>
      <c r="C10" t="inlineStr">
        <is>
          <t>India</t>
        </is>
      </c>
      <c r="D10" t="inlineStr">
        <is>
          <t>FRIN.L</t>
        </is>
      </c>
    </row>
    <row r="11">
      <c r="A11" t="inlineStr">
        <is>
          <t>Indonesia</t>
        </is>
      </c>
      <c r="B11" t="inlineStr">
        <is>
          <t>FRIN.L</t>
        </is>
      </c>
      <c r="C11" t="inlineStr">
        <is>
          <t>Indonesia</t>
        </is>
      </c>
      <c r="D11" t="inlineStr">
        <is>
          <t>INDO.L</t>
        </is>
      </c>
    </row>
    <row r="12">
      <c r="A12" t="inlineStr">
        <is>
          <t>Italy</t>
        </is>
      </c>
      <c r="B12" t="inlineStr">
        <is>
          <t>FRXT.L</t>
        </is>
      </c>
      <c r="C12" t="inlineStr">
        <is>
          <t>Italy</t>
        </is>
      </c>
      <c r="D12" t="inlineStr">
        <is>
          <t>CMIB.L</t>
        </is>
      </c>
    </row>
    <row r="13">
      <c r="A13" t="inlineStr">
        <is>
          <t>Japan</t>
        </is>
      </c>
      <c r="B13" t="inlineStr">
        <is>
          <t>HKDU.L</t>
        </is>
      </c>
      <c r="C13" t="inlineStr">
        <is>
          <t>Japan</t>
        </is>
      </c>
      <c r="D13" t="inlineStr">
        <is>
          <t>IJPN.L</t>
        </is>
      </c>
    </row>
    <row r="14">
      <c r="A14" t="inlineStr">
        <is>
          <t>Kuwait</t>
        </is>
      </c>
      <c r="B14" t="inlineStr">
        <is>
          <t>IASH.L</t>
        </is>
      </c>
      <c r="C14" t="inlineStr">
        <is>
          <t>Kuwait</t>
        </is>
      </c>
      <c r="D14" t="inlineStr">
        <is>
          <t>MKUW.L</t>
        </is>
      </c>
    </row>
    <row r="15">
      <c r="A15" t="inlineStr">
        <is>
          <t>Malaysia</t>
        </is>
      </c>
      <c r="B15" t="inlineStr">
        <is>
          <t>IIND.L</t>
        </is>
      </c>
      <c r="C15" t="inlineStr">
        <is>
          <t>Malaysia</t>
        </is>
      </c>
      <c r="D15" t="inlineStr">
        <is>
          <t>XCX3.L</t>
        </is>
      </c>
    </row>
    <row r="16">
      <c r="A16" t="inlineStr">
        <is>
          <t>Mexico</t>
        </is>
      </c>
      <c r="B16" t="inlineStr">
        <is>
          <t>IJPN.L</t>
        </is>
      </c>
      <c r="C16" t="inlineStr">
        <is>
          <t>Mexico</t>
        </is>
      </c>
      <c r="D16" t="inlineStr">
        <is>
          <t>XMEX.L</t>
        </is>
      </c>
    </row>
    <row r="17">
      <c r="A17" t="inlineStr">
        <is>
          <t>Pakistan</t>
        </is>
      </c>
      <c r="B17" t="inlineStr">
        <is>
          <t>IKSA.L</t>
        </is>
      </c>
      <c r="C17" t="inlineStr">
        <is>
          <t>Pakistan</t>
        </is>
      </c>
      <c r="D17" t="inlineStr">
        <is>
          <t>XBAK.L</t>
        </is>
      </c>
    </row>
    <row r="18">
      <c r="A18" t="inlineStr">
        <is>
          <t>Philippines</t>
        </is>
      </c>
      <c r="B18" t="inlineStr">
        <is>
          <t>INDO.L</t>
        </is>
      </c>
      <c r="C18" t="inlineStr">
        <is>
          <t>Philippines</t>
        </is>
      </c>
      <c r="D18" t="inlineStr">
        <is>
          <t>XPHG.L</t>
        </is>
      </c>
    </row>
    <row r="19">
      <c r="A19" t="inlineStr">
        <is>
          <t>Poland</t>
        </is>
      </c>
      <c r="B19" t="inlineStr">
        <is>
          <t>ISFR.L</t>
        </is>
      </c>
      <c r="C19" t="inlineStr">
        <is>
          <t>Poland</t>
        </is>
      </c>
      <c r="D19" t="inlineStr">
        <is>
          <t>SPOL.L</t>
        </is>
      </c>
    </row>
    <row r="20">
      <c r="A20" t="inlineStr">
        <is>
          <t>Saudi Arabia</t>
        </is>
      </c>
      <c r="B20" t="inlineStr">
        <is>
          <t>LCJP.L</t>
        </is>
      </c>
      <c r="C20" t="inlineStr">
        <is>
          <t>Saudi Arabia</t>
        </is>
      </c>
      <c r="D20" t="inlineStr">
        <is>
          <t>IKSA.L</t>
        </is>
      </c>
    </row>
    <row r="21">
      <c r="A21" t="inlineStr">
        <is>
          <t>South Africa</t>
        </is>
      </c>
      <c r="B21" t="inlineStr">
        <is>
          <t>MKUW.L</t>
        </is>
      </c>
      <c r="C21" t="inlineStr">
        <is>
          <t>South Africa</t>
        </is>
      </c>
      <c r="D21" t="inlineStr">
        <is>
          <t>SRSA.L</t>
        </is>
      </c>
    </row>
    <row r="22">
      <c r="A22" t="inlineStr">
        <is>
          <t>South Korea</t>
        </is>
      </c>
      <c r="B22" t="inlineStr">
        <is>
          <t>OMXS.L</t>
        </is>
      </c>
      <c r="C22" t="inlineStr">
        <is>
          <t>South Korea</t>
        </is>
      </c>
      <c r="D22" t="inlineStr">
        <is>
          <t>CSKR.L</t>
        </is>
      </c>
    </row>
    <row r="23">
      <c r="A23" t="inlineStr">
        <is>
          <t>Spain</t>
        </is>
      </c>
      <c r="B23" t="inlineStr">
        <is>
          <t>SAUS.L</t>
        </is>
      </c>
      <c r="C23" t="inlineStr">
        <is>
          <t>Spain</t>
        </is>
      </c>
      <c r="D23" t="inlineStr">
        <is>
          <t>CS1.L</t>
        </is>
      </c>
    </row>
    <row r="24">
      <c r="A24" t="inlineStr">
        <is>
          <t>Sweden</t>
        </is>
      </c>
      <c r="B24" t="inlineStr">
        <is>
          <t>SPOL.L</t>
        </is>
      </c>
      <c r="C24" t="inlineStr">
        <is>
          <t>Sweden</t>
        </is>
      </c>
      <c r="D24" t="inlineStr">
        <is>
          <t>OMXS.L</t>
        </is>
      </c>
    </row>
    <row r="25">
      <c r="A25" t="inlineStr">
        <is>
          <t>Taiwan</t>
        </is>
      </c>
      <c r="B25" t="inlineStr">
        <is>
          <t>SPXL.L</t>
        </is>
      </c>
      <c r="C25" t="inlineStr">
        <is>
          <t>Taiwan</t>
        </is>
      </c>
      <c r="D25" t="inlineStr">
        <is>
          <t>FRXT.L</t>
        </is>
      </c>
    </row>
    <row r="26">
      <c r="A26" t="inlineStr">
        <is>
          <t>Thailand</t>
        </is>
      </c>
      <c r="B26" t="inlineStr">
        <is>
          <t>SRSA.L</t>
        </is>
      </c>
      <c r="C26" t="inlineStr">
        <is>
          <t>Thailand</t>
        </is>
      </c>
      <c r="D26" t="inlineStr">
        <is>
          <t>XCX4.L</t>
        </is>
      </c>
    </row>
    <row r="27">
      <c r="A27" t="inlineStr">
        <is>
          <t>Turkey</t>
        </is>
      </c>
      <c r="B27" t="inlineStr">
        <is>
          <t>TURL.L</t>
        </is>
      </c>
      <c r="C27" t="inlineStr">
        <is>
          <t>Turkey</t>
        </is>
      </c>
      <c r="D27" t="inlineStr">
        <is>
          <t>TURL.L</t>
        </is>
      </c>
    </row>
    <row r="28">
      <c r="A28" t="inlineStr">
        <is>
          <t>United Kingdom</t>
        </is>
      </c>
      <c r="B28" t="inlineStr">
        <is>
          <t>XBAK.L</t>
        </is>
      </c>
      <c r="C28" t="inlineStr">
        <is>
          <t>United Kingdom</t>
        </is>
      </c>
      <c r="D28" t="inlineStr">
        <is>
          <t>CSUK.L</t>
        </is>
      </c>
    </row>
    <row r="29">
      <c r="A29" t="inlineStr">
        <is>
          <t>United States</t>
        </is>
      </c>
      <c r="B29" t="inlineStr">
        <is>
          <t>XCX3.L</t>
        </is>
      </c>
      <c r="C29" t="inlineStr">
        <is>
          <t>United States</t>
        </is>
      </c>
      <c r="D29" t="inlineStr">
        <is>
          <t>SPXL.L</t>
        </is>
      </c>
    </row>
    <row r="30">
      <c r="A30" t="inlineStr">
        <is>
          <t>Vietnam</t>
        </is>
      </c>
      <c r="B30" t="inlineStr">
        <is>
          <t>XCX4.L</t>
        </is>
      </c>
      <c r="C30" t="inlineStr">
        <is>
          <t>Vietnam</t>
        </is>
      </c>
      <c r="D30" t="inlineStr">
        <is>
          <t>XFVT.L</t>
        </is>
      </c>
    </row>
    <row r="31">
      <c r="A31" t="inlineStr"/>
      <c r="B31" t="inlineStr">
        <is>
          <t>XDAX.L</t>
        </is>
      </c>
      <c r="C31" t="inlineStr"/>
      <c r="D31" t="inlineStr"/>
    </row>
    <row r="32">
      <c r="A32" t="inlineStr"/>
      <c r="B32" t="inlineStr">
        <is>
          <t>XFVT.L</t>
        </is>
      </c>
      <c r="C32" t="inlineStr"/>
      <c r="D32" t="inlineStr"/>
    </row>
    <row r="33">
      <c r="A33" t="inlineStr"/>
      <c r="B33" t="inlineStr">
        <is>
          <t>XMBR.L</t>
        </is>
      </c>
      <c r="C33" t="inlineStr"/>
      <c r="D33" t="inlineStr"/>
    </row>
    <row r="34">
      <c r="A34" t="inlineStr"/>
      <c r="B34" t="inlineStr">
        <is>
          <t>XMEX.L</t>
        </is>
      </c>
      <c r="C34" t="inlineStr"/>
      <c r="D34" t="inlineStr"/>
    </row>
    <row r="35">
      <c r="A35" t="inlineStr"/>
      <c r="B35" t="inlineStr">
        <is>
          <t>XMTW.L</t>
        </is>
      </c>
      <c r="C35" t="inlineStr"/>
      <c r="D35" t="inlineStr"/>
    </row>
    <row r="36">
      <c r="A36" t="inlineStr"/>
      <c r="B36" t="inlineStr">
        <is>
          <t>XPHG.L</t>
        </is>
      </c>
      <c r="C36" t="inlineStr"/>
      <c r="D3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3" customWidth="1" min="3" max="3"/>
    <col width="17" customWidth="1" min="4" max="4"/>
    <col width="12" customWidth="1" min="5" max="5"/>
    <col width="17" customWidth="1" min="6" max="6"/>
    <col width="26" customWidth="1" min="7" max="7"/>
    <col width="26" customWidth="1" min="8" max="8"/>
    <col width="30" customWidth="1" min="9" max="9"/>
    <col width="27" customWidth="1" min="11" max="11"/>
    <col width="14" customWidth="1" min="12" max="12"/>
    <col width="19" customWidth="1" min="13" max="13"/>
    <col width="28" customWidth="1" min="14" max="14"/>
    <col width="28" customWidth="1" min="15" max="15"/>
    <col width="30" customWidth="1" min="16" max="16"/>
  </cols>
  <sheetData>
    <row r="1">
      <c r="A1" s="2" t="inlineStr">
        <is>
          <t>Country CAGR Disconnect Screener</t>
        </is>
      </c>
      <c r="K1" s="2" t="inlineStr">
        <is>
          <t>Country Focus Dashboard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Choose horizon, then sort by Nominal USD GDP - ETF CAGR.</t>
        </is>
      </c>
      <c r="K2" t="inlineStr">
        <is>
          <t>Country</t>
        </is>
      </c>
      <c r="L2" t="inlineStr">
        <is>
          <t>Australia</t>
        </is>
      </c>
      <c r="N2" t="inlineStr">
        <is>
          <t>Same-year GDP comparison: last 10 completed years + one projection/YTD row.</t>
        </is>
      </c>
    </row>
    <row r="3">
      <c r="A3" t="inlineStr">
        <is>
          <t>Metrics are CAGR (annualized), not cumulative return.</t>
        </is>
      </c>
      <c r="K3" t="inlineStr">
        <is>
          <t>Ticker (auto)</t>
        </is>
      </c>
      <c r="L3">
        <f>IFERROR(INDEX(Lists!$D:$D, MATCH($L$2, Lists!$C:$C, 0)),"")</f>
        <v/>
      </c>
    </row>
    <row r="4">
      <c r="K4" t="inlineStr">
        <is>
          <t>As-of Date</t>
        </is>
      </c>
      <c r="L4" s="4">
        <f>IFERROR(INDEX(ETF_Timeframes!$F:$F, MATCH($L$2&amp;"|"&amp;$L$3&amp;"|MAX", ETF_Timeframes!$H:$H, 0)),"")</f>
        <v/>
      </c>
    </row>
    <row r="5">
      <c r="A5" s="3" t="inlineStr">
        <is>
          <t>country_name</t>
        </is>
      </c>
      <c r="B5" s="3" t="inlineStr">
        <is>
          <t>region</t>
        </is>
      </c>
      <c r="C5" s="3" t="inlineStr">
        <is>
          <t>ticker_used</t>
        </is>
      </c>
      <c r="D5" s="3" t="inlineStr">
        <is>
          <t>ticker_currency</t>
        </is>
      </c>
      <c r="E5" s="3" t="inlineStr">
        <is>
          <t>ETF CAGR %</t>
        </is>
      </c>
      <c r="F5" s="3" t="inlineStr">
        <is>
          <t>GDP Real CAGR %</t>
        </is>
      </c>
      <c r="G5" s="3" t="inlineStr">
        <is>
          <t>GDP Nominal CAGR % (LCU)</t>
        </is>
      </c>
      <c r="H5" s="3" t="inlineStr">
        <is>
          <t>GDP Nominal CAGR % (USD)</t>
        </is>
      </c>
      <c r="I5" s="3" t="inlineStr">
        <is>
          <t>GDP Nominal USD - ETF CAGR %</t>
        </is>
      </c>
      <c r="K5" t="inlineStr">
        <is>
          <t>Ticker Currency</t>
        </is>
      </c>
      <c r="L5">
        <f>IFERROR(INDEX(ETF_Timeframes!$I:$I, MATCH($L$2&amp;"|"&amp;$L$3&amp;"|MAX", ETF_Timeframes!$H:$H, 0)),"")</f>
        <v/>
      </c>
    </row>
    <row r="6">
      <c r="A6" t="inlineStr">
        <is>
          <t>South Africa</t>
        </is>
      </c>
      <c r="B6" t="inlineStr">
        <is>
          <t>Africa</t>
        </is>
      </c>
      <c r="C6" t="inlineStr">
        <is>
          <t>SRSA.L</t>
        </is>
      </c>
      <c r="D6" t="inlineStr">
        <is>
          <t>GBp</t>
        </is>
      </c>
      <c r="E6" s="5">
        <f>IFERROR(1*INDEX(CAGR!$F:$F, MATCH($A6&amp;"|"&amp;$C6&amp;"|"&amp;$B$2, CAGR!$K:$K, 0)), NA())</f>
        <v/>
      </c>
      <c r="F6" s="5">
        <f>IFERROR(1*INDEX(CAGR!$G:$G, MATCH($A6&amp;"|"&amp;$B$2, CAGR!$L:$L, 0)), NA())</f>
        <v/>
      </c>
      <c r="G6" s="5">
        <f>IFERROR(1*INDEX(CAGR!$H:$H, MATCH($A6&amp;"|"&amp;$B$2, CAGR!$L:$L, 0)), NA())</f>
        <v/>
      </c>
      <c r="H6" s="5">
        <f>IFERROR(1*INDEX(CAGR!$I:$I, MATCH($A6&amp;"|"&amp;$B$2, CAGR!$L:$L, 0)), NA())</f>
        <v/>
      </c>
      <c r="I6" s="5">
        <f>IF(AND(ISNUMBER(E6),ISNUMBER(H6)),H6-E6,NA())</f>
        <v/>
      </c>
    </row>
    <row r="7">
      <c r="A7" t="inlineStr">
        <is>
          <t>China</t>
        </is>
      </c>
      <c r="B7" t="inlineStr">
        <is>
          <t>Asia</t>
        </is>
      </c>
      <c r="C7" t="inlineStr">
        <is>
          <t>FRCH.L</t>
        </is>
      </c>
      <c r="D7" t="inlineStr">
        <is>
          <t>GBP</t>
        </is>
      </c>
      <c r="E7" s="5">
        <f>IFERROR(1*INDEX(CAGR!$F:$F, MATCH($A7&amp;"|"&amp;$C7&amp;"|"&amp;$B$2, CAGR!$K:$K, 0)), NA())</f>
        <v/>
      </c>
      <c r="F7" s="5">
        <f>IFERROR(1*INDEX(CAGR!$G:$G, MATCH($A7&amp;"|"&amp;$B$2, CAGR!$L:$L, 0)), NA())</f>
        <v/>
      </c>
      <c r="G7" s="5">
        <f>IFERROR(1*INDEX(CAGR!$H:$H, MATCH($A7&amp;"|"&amp;$B$2, CAGR!$L:$L, 0)), NA())</f>
        <v/>
      </c>
      <c r="H7" s="5">
        <f>IFERROR(1*INDEX(CAGR!$I:$I, MATCH($A7&amp;"|"&amp;$B$2, CAGR!$L:$L, 0)), NA())</f>
        <v/>
      </c>
      <c r="I7" s="5">
        <f>IF(AND(ISNUMBER(E7),ISNUMBER(H7)),H7-E7,NA())</f>
        <v/>
      </c>
      <c r="K7" s="3" t="inlineStr">
        <is>
          <t>ETF Timeframe Returns (%)</t>
        </is>
      </c>
    </row>
    <row r="8">
      <c r="A8" t="inlineStr">
        <is>
          <t>Hong Kong</t>
        </is>
      </c>
      <c r="B8" t="inlineStr">
        <is>
          <t>Asia</t>
        </is>
      </c>
      <c r="C8" t="inlineStr">
        <is>
          <t>HKDU.L</t>
        </is>
      </c>
      <c r="D8" t="inlineStr">
        <is>
          <t>USD</t>
        </is>
      </c>
      <c r="E8" s="5">
        <f>IFERROR(1*INDEX(CAGR!$F:$F, MATCH($A8&amp;"|"&amp;$C8&amp;"|"&amp;$B$2, CAGR!$K:$K, 0)), NA())</f>
        <v/>
      </c>
      <c r="F8" s="5">
        <f>IFERROR(1*INDEX(CAGR!$G:$G, MATCH($A8&amp;"|"&amp;$B$2, CAGR!$L:$L, 0)), NA())</f>
        <v/>
      </c>
      <c r="G8" s="5">
        <f>IFERROR(1*INDEX(CAGR!$H:$H, MATCH($A8&amp;"|"&amp;$B$2, CAGR!$L:$L, 0)), NA())</f>
        <v/>
      </c>
      <c r="H8" s="5">
        <f>IFERROR(1*INDEX(CAGR!$I:$I, MATCH($A8&amp;"|"&amp;$B$2, CAGR!$L:$L, 0)), NA())</f>
        <v/>
      </c>
      <c r="I8" s="5">
        <f>IF(AND(ISNUMBER(E8),ISNUMBER(H8)),H8-E8,NA())</f>
        <v/>
      </c>
      <c r="K8" s="3" t="inlineStr">
        <is>
          <t>Timeframe</t>
        </is>
      </c>
      <c r="L8" s="3" t="inlineStr">
        <is>
          <t>ETF Return %</t>
        </is>
      </c>
      <c r="M8" s="3" t="inlineStr">
        <is>
          <t>Start Date</t>
        </is>
      </c>
    </row>
    <row r="9">
      <c r="A9" t="inlineStr">
        <is>
          <t>India</t>
        </is>
      </c>
      <c r="B9" t="inlineStr">
        <is>
          <t>Asia</t>
        </is>
      </c>
      <c r="C9" t="inlineStr">
        <is>
          <t>FRIN.L</t>
        </is>
      </c>
      <c r="D9" t="inlineStr">
        <is>
          <t>GBP</t>
        </is>
      </c>
      <c r="E9" s="5">
        <f>IFERROR(1*INDEX(CAGR!$F:$F, MATCH($A9&amp;"|"&amp;$C9&amp;"|"&amp;$B$2, CAGR!$K:$K, 0)), NA())</f>
        <v/>
      </c>
      <c r="F9" s="5">
        <f>IFERROR(1*INDEX(CAGR!$G:$G, MATCH($A9&amp;"|"&amp;$B$2, CAGR!$L:$L, 0)), NA())</f>
        <v/>
      </c>
      <c r="G9" s="5">
        <f>IFERROR(1*INDEX(CAGR!$H:$H, MATCH($A9&amp;"|"&amp;$B$2, CAGR!$L:$L, 0)), NA())</f>
        <v/>
      </c>
      <c r="H9" s="5">
        <f>IFERROR(1*INDEX(CAGR!$I:$I, MATCH($A9&amp;"|"&amp;$B$2, CAGR!$L:$L, 0)), NA())</f>
        <v/>
      </c>
      <c r="I9" s="5">
        <f>IF(AND(ISNUMBER(E9),ISNUMBER(H9)),H9-E9,NA())</f>
        <v/>
      </c>
      <c r="K9" t="inlineStr">
        <is>
          <t>YTD</t>
        </is>
      </c>
      <c r="L9" s="5">
        <f>IFERROR(INDEX(ETF_Timeframes!$G:$G, MATCH($L$2&amp;"|"&amp;$L$3&amp;"|"&amp;$K9, ETF_Timeframes!$H:$H, 0)), "")</f>
        <v/>
      </c>
      <c r="M9" s="4">
        <f>IFERROR(INDEX(ETF_Timeframes!$E:$E, MATCH($L$2&amp;"|"&amp;$L$3&amp;"|"&amp;$K9, ETF_Timeframes!$H:$H, 0)),"")</f>
        <v/>
      </c>
    </row>
    <row r="10">
      <c r="A10" t="inlineStr">
        <is>
          <t>Indonesia</t>
        </is>
      </c>
      <c r="B10" t="inlineStr">
        <is>
          <t>Asia</t>
        </is>
      </c>
      <c r="C10" t="inlineStr">
        <is>
          <t>INDO.L</t>
        </is>
      </c>
      <c r="D10" t="inlineStr">
        <is>
          <t>USD</t>
        </is>
      </c>
      <c r="E10" s="5">
        <f>IFERROR(1*INDEX(CAGR!$F:$F, MATCH($A10&amp;"|"&amp;$C10&amp;"|"&amp;$B$2, CAGR!$K:$K, 0)), NA())</f>
        <v/>
      </c>
      <c r="F10" s="5">
        <f>IFERROR(1*INDEX(CAGR!$G:$G, MATCH($A10&amp;"|"&amp;$B$2, CAGR!$L:$L, 0)), NA())</f>
        <v/>
      </c>
      <c r="G10" s="5">
        <f>IFERROR(1*INDEX(CAGR!$H:$H, MATCH($A10&amp;"|"&amp;$B$2, CAGR!$L:$L, 0)), NA())</f>
        <v/>
      </c>
      <c r="H10" s="5">
        <f>IFERROR(1*INDEX(CAGR!$I:$I, MATCH($A10&amp;"|"&amp;$B$2, CAGR!$L:$L, 0)), NA())</f>
        <v/>
      </c>
      <c r="I10" s="5">
        <f>IF(AND(ISNUMBER(E10),ISNUMBER(H10)),H10-E10,NA())</f>
        <v/>
      </c>
      <c r="K10" t="inlineStr">
        <is>
          <t>1 Month</t>
        </is>
      </c>
      <c r="L10" s="5">
        <f>IFERROR(INDEX(ETF_Timeframes!$G:$G, MATCH($L$2&amp;"|"&amp;$L$3&amp;"|"&amp;$K10, ETF_Timeframes!$H:$H, 0)), "")</f>
        <v/>
      </c>
      <c r="M10" s="4">
        <f>IFERROR(INDEX(ETF_Timeframes!$E:$E, MATCH($L$2&amp;"|"&amp;$L$3&amp;"|"&amp;$K10, ETF_Timeframes!$H:$H, 0)),"")</f>
        <v/>
      </c>
    </row>
    <row r="11">
      <c r="A11" t="inlineStr">
        <is>
          <t>Japan</t>
        </is>
      </c>
      <c r="B11" t="inlineStr">
        <is>
          <t>Asia</t>
        </is>
      </c>
      <c r="C11" t="inlineStr">
        <is>
          <t>IJPN.L</t>
        </is>
      </c>
      <c r="D11" t="inlineStr">
        <is>
          <t>GBp</t>
        </is>
      </c>
      <c r="E11" s="5">
        <f>IFERROR(1*INDEX(CAGR!$F:$F, MATCH($A11&amp;"|"&amp;$C11&amp;"|"&amp;$B$2, CAGR!$K:$K, 0)), NA())</f>
        <v/>
      </c>
      <c r="F11" s="5">
        <f>IFERROR(1*INDEX(CAGR!$G:$G, MATCH($A11&amp;"|"&amp;$B$2, CAGR!$L:$L, 0)), NA())</f>
        <v/>
      </c>
      <c r="G11" s="5">
        <f>IFERROR(1*INDEX(CAGR!$H:$H, MATCH($A11&amp;"|"&amp;$B$2, CAGR!$L:$L, 0)), NA())</f>
        <v/>
      </c>
      <c r="H11" s="5">
        <f>IFERROR(1*INDEX(CAGR!$I:$I, MATCH($A11&amp;"|"&amp;$B$2, CAGR!$L:$L, 0)), NA())</f>
        <v/>
      </c>
      <c r="I11" s="5">
        <f>IF(AND(ISNUMBER(E11),ISNUMBER(H11)),H11-E11,NA())</f>
        <v/>
      </c>
      <c r="K11" t="inlineStr">
        <is>
          <t>3 Months</t>
        </is>
      </c>
      <c r="L11" s="5">
        <f>IFERROR(INDEX(ETF_Timeframes!$G:$G, MATCH($L$2&amp;"|"&amp;$L$3&amp;"|"&amp;$K11, ETF_Timeframes!$H:$H, 0)), "")</f>
        <v/>
      </c>
      <c r="M11" s="4">
        <f>IFERROR(INDEX(ETF_Timeframes!$E:$E, MATCH($L$2&amp;"|"&amp;$L$3&amp;"|"&amp;$K11, ETF_Timeframes!$H:$H, 0)),"")</f>
        <v/>
      </c>
    </row>
    <row r="12">
      <c r="A12" t="inlineStr">
        <is>
          <t>Malaysia</t>
        </is>
      </c>
      <c r="B12" t="inlineStr">
        <is>
          <t>Asia</t>
        </is>
      </c>
      <c r="C12" t="inlineStr">
        <is>
          <t>XCX3.L</t>
        </is>
      </c>
      <c r="D12" t="inlineStr">
        <is>
          <t>GBp</t>
        </is>
      </c>
      <c r="E12" s="5">
        <f>IFERROR(1*INDEX(CAGR!$F:$F, MATCH($A12&amp;"|"&amp;$C12&amp;"|"&amp;$B$2, CAGR!$K:$K, 0)), NA())</f>
        <v/>
      </c>
      <c r="F12" s="5">
        <f>IFERROR(1*INDEX(CAGR!$G:$G, MATCH($A12&amp;"|"&amp;$B$2, CAGR!$L:$L, 0)), NA())</f>
        <v/>
      </c>
      <c r="G12" s="5">
        <f>IFERROR(1*INDEX(CAGR!$H:$H, MATCH($A12&amp;"|"&amp;$B$2, CAGR!$L:$L, 0)), NA())</f>
        <v/>
      </c>
      <c r="H12" s="5">
        <f>IFERROR(1*INDEX(CAGR!$I:$I, MATCH($A12&amp;"|"&amp;$B$2, CAGR!$L:$L, 0)), NA())</f>
        <v/>
      </c>
      <c r="I12" s="5">
        <f>IF(AND(ISNUMBER(E12),ISNUMBER(H12)),H12-E12,NA())</f>
        <v/>
      </c>
      <c r="K12" t="inlineStr">
        <is>
          <t>6 Months</t>
        </is>
      </c>
      <c r="L12" s="5">
        <f>IFERROR(INDEX(ETF_Timeframes!$G:$G, MATCH($L$2&amp;"|"&amp;$L$3&amp;"|"&amp;$K12, ETF_Timeframes!$H:$H, 0)), "")</f>
        <v/>
      </c>
      <c r="M12" s="4">
        <f>IFERROR(INDEX(ETF_Timeframes!$E:$E, MATCH($L$2&amp;"|"&amp;$L$3&amp;"|"&amp;$K12, ETF_Timeframes!$H:$H, 0)),"")</f>
        <v/>
      </c>
    </row>
    <row r="13">
      <c r="A13" t="inlineStr">
        <is>
          <t>Pakistan</t>
        </is>
      </c>
      <c r="B13" t="inlineStr">
        <is>
          <t>Asia</t>
        </is>
      </c>
      <c r="C13" t="inlineStr">
        <is>
          <t>XBAK.L</t>
        </is>
      </c>
      <c r="D13" t="inlineStr">
        <is>
          <t>USD</t>
        </is>
      </c>
      <c r="E13" s="5">
        <f>IFERROR(1*INDEX(CAGR!$F:$F, MATCH($A13&amp;"|"&amp;$C13&amp;"|"&amp;$B$2, CAGR!$K:$K, 0)), NA())</f>
        <v/>
      </c>
      <c r="F13" s="5">
        <f>IFERROR(1*INDEX(CAGR!$G:$G, MATCH($A13&amp;"|"&amp;$B$2, CAGR!$L:$L, 0)), NA())</f>
        <v/>
      </c>
      <c r="G13" s="5">
        <f>IFERROR(1*INDEX(CAGR!$H:$H, MATCH($A13&amp;"|"&amp;$B$2, CAGR!$L:$L, 0)), NA())</f>
        <v/>
      </c>
      <c r="H13" s="5">
        <f>IFERROR(1*INDEX(CAGR!$I:$I, MATCH($A13&amp;"|"&amp;$B$2, CAGR!$L:$L, 0)), NA())</f>
        <v/>
      </c>
      <c r="I13" s="5">
        <f>IF(AND(ISNUMBER(E13),ISNUMBER(H13)),H13-E13,NA())</f>
        <v/>
      </c>
      <c r="K13" t="inlineStr">
        <is>
          <t>1 Year</t>
        </is>
      </c>
      <c r="L13" s="5">
        <f>IFERROR(INDEX(ETF_Timeframes!$G:$G, MATCH($L$2&amp;"|"&amp;$L$3&amp;"|"&amp;$K13, ETF_Timeframes!$H:$H, 0)), "")</f>
        <v/>
      </c>
      <c r="M13" s="4">
        <f>IFERROR(INDEX(ETF_Timeframes!$E:$E, MATCH($L$2&amp;"|"&amp;$L$3&amp;"|"&amp;$K13, ETF_Timeframes!$H:$H, 0)),"")</f>
        <v/>
      </c>
    </row>
    <row r="14">
      <c r="A14" t="inlineStr">
        <is>
          <t>Philippines</t>
        </is>
      </c>
      <c r="B14" t="inlineStr">
        <is>
          <t>Asia</t>
        </is>
      </c>
      <c r="C14" t="inlineStr">
        <is>
          <t>XPHG.L</t>
        </is>
      </c>
      <c r="D14" t="inlineStr">
        <is>
          <t>GBp</t>
        </is>
      </c>
      <c r="E14" s="5">
        <f>IFERROR(1*INDEX(CAGR!$F:$F, MATCH($A14&amp;"|"&amp;$C14&amp;"|"&amp;$B$2, CAGR!$K:$K, 0)), NA())</f>
        <v/>
      </c>
      <c r="F14" s="5">
        <f>IFERROR(1*INDEX(CAGR!$G:$G, MATCH($A14&amp;"|"&amp;$B$2, CAGR!$L:$L, 0)), NA())</f>
        <v/>
      </c>
      <c r="G14" s="5">
        <f>IFERROR(1*INDEX(CAGR!$H:$H, MATCH($A14&amp;"|"&amp;$B$2, CAGR!$L:$L, 0)), NA())</f>
        <v/>
      </c>
      <c r="H14" s="5">
        <f>IFERROR(1*INDEX(CAGR!$I:$I, MATCH($A14&amp;"|"&amp;$B$2, CAGR!$L:$L, 0)), NA())</f>
        <v/>
      </c>
      <c r="I14" s="5">
        <f>IF(AND(ISNUMBER(E14),ISNUMBER(H14)),H14-E14,NA())</f>
        <v/>
      </c>
      <c r="K14" t="inlineStr">
        <is>
          <t>3 Years</t>
        </is>
      </c>
      <c r="L14" s="5">
        <f>IFERROR(INDEX(ETF_Timeframes!$G:$G, MATCH($L$2&amp;"|"&amp;$L$3&amp;"|"&amp;$K14, ETF_Timeframes!$H:$H, 0)), "")</f>
        <v/>
      </c>
      <c r="M14" s="4">
        <f>IFERROR(INDEX(ETF_Timeframes!$E:$E, MATCH($L$2&amp;"|"&amp;$L$3&amp;"|"&amp;$K14, ETF_Timeframes!$H:$H, 0)),"")</f>
        <v/>
      </c>
    </row>
    <row r="15">
      <c r="A15" t="inlineStr">
        <is>
          <t>South Korea</t>
        </is>
      </c>
      <c r="B15" t="inlineStr">
        <is>
          <t>Asia</t>
        </is>
      </c>
      <c r="C15" t="inlineStr">
        <is>
          <t>CSKR.L</t>
        </is>
      </c>
      <c r="D15" t="inlineStr">
        <is>
          <t>USD</t>
        </is>
      </c>
      <c r="E15" s="5">
        <f>IFERROR(1*INDEX(CAGR!$F:$F, MATCH($A15&amp;"|"&amp;$C15&amp;"|"&amp;$B$2, CAGR!$K:$K, 0)), NA())</f>
        <v/>
      </c>
      <c r="F15" s="5">
        <f>IFERROR(1*INDEX(CAGR!$G:$G, MATCH($A15&amp;"|"&amp;$B$2, CAGR!$L:$L, 0)), NA())</f>
        <v/>
      </c>
      <c r="G15" s="5">
        <f>IFERROR(1*INDEX(CAGR!$H:$H, MATCH($A15&amp;"|"&amp;$B$2, CAGR!$L:$L, 0)), NA())</f>
        <v/>
      </c>
      <c r="H15" s="5">
        <f>IFERROR(1*INDEX(CAGR!$I:$I, MATCH($A15&amp;"|"&amp;$B$2, CAGR!$L:$L, 0)), NA())</f>
        <v/>
      </c>
      <c r="I15" s="5">
        <f>IF(AND(ISNUMBER(E15),ISNUMBER(H15)),H15-E15,NA())</f>
        <v/>
      </c>
      <c r="K15" t="inlineStr">
        <is>
          <t>5 Years</t>
        </is>
      </c>
      <c r="L15" s="5">
        <f>IFERROR(INDEX(ETF_Timeframes!$G:$G, MATCH($L$2&amp;"|"&amp;$L$3&amp;"|"&amp;$K15, ETF_Timeframes!$H:$H, 0)), "")</f>
        <v/>
      </c>
      <c r="M15" s="4">
        <f>IFERROR(INDEX(ETF_Timeframes!$E:$E, MATCH($L$2&amp;"|"&amp;$L$3&amp;"|"&amp;$K15, ETF_Timeframes!$H:$H, 0)),"")</f>
        <v/>
      </c>
    </row>
    <row r="16">
      <c r="A16" t="inlineStr">
        <is>
          <t>Taiwan</t>
        </is>
      </c>
      <c r="B16" t="inlineStr">
        <is>
          <t>Asia</t>
        </is>
      </c>
      <c r="C16" t="inlineStr">
        <is>
          <t>FRXT.L</t>
        </is>
      </c>
      <c r="D16" t="inlineStr">
        <is>
          <t>GBP</t>
        </is>
      </c>
      <c r="E16" s="5">
        <f>IFERROR(1*INDEX(CAGR!$F:$F, MATCH($A16&amp;"|"&amp;$C16&amp;"|"&amp;$B$2, CAGR!$K:$K, 0)), NA())</f>
        <v/>
      </c>
      <c r="F16" s="5">
        <f>IFERROR(1*INDEX(CAGR!$G:$G, MATCH($A16&amp;"|"&amp;$B$2, CAGR!$L:$L, 0)), NA())</f>
        <v/>
      </c>
      <c r="G16" s="5">
        <f>IFERROR(1*INDEX(CAGR!$H:$H, MATCH($A16&amp;"|"&amp;$B$2, CAGR!$L:$L, 0)), NA())</f>
        <v/>
      </c>
      <c r="H16" s="5">
        <f>IFERROR(1*INDEX(CAGR!$I:$I, MATCH($A16&amp;"|"&amp;$B$2, CAGR!$L:$L, 0)), NA())</f>
        <v/>
      </c>
      <c r="I16" s="5">
        <f>IF(AND(ISNUMBER(E16),ISNUMBER(H16)),H16-E16,NA())</f>
        <v/>
      </c>
      <c r="K16" t="inlineStr">
        <is>
          <t>10 Years</t>
        </is>
      </c>
      <c r="L16" s="5">
        <f>IFERROR(INDEX(ETF_Timeframes!$G:$G, MATCH($L$2&amp;"|"&amp;$L$3&amp;"|"&amp;$K16, ETF_Timeframes!$H:$H, 0)), "")</f>
        <v/>
      </c>
      <c r="M16" s="4">
        <f>IFERROR(INDEX(ETF_Timeframes!$E:$E, MATCH($L$2&amp;"|"&amp;$L$3&amp;"|"&amp;$K16, ETF_Timeframes!$H:$H, 0)),"")</f>
        <v/>
      </c>
    </row>
    <row r="17">
      <c r="A17" t="inlineStr">
        <is>
          <t>Thailand</t>
        </is>
      </c>
      <c r="B17" t="inlineStr">
        <is>
          <t>Asia</t>
        </is>
      </c>
      <c r="C17" t="inlineStr">
        <is>
          <t>XCX4.L</t>
        </is>
      </c>
      <c r="D17" t="inlineStr">
        <is>
          <t>GBp</t>
        </is>
      </c>
      <c r="E17" s="5">
        <f>IFERROR(1*INDEX(CAGR!$F:$F, MATCH($A17&amp;"|"&amp;$C17&amp;"|"&amp;$B$2, CAGR!$K:$K, 0)), NA())</f>
        <v/>
      </c>
      <c r="F17" s="5">
        <f>IFERROR(1*INDEX(CAGR!$G:$G, MATCH($A17&amp;"|"&amp;$B$2, CAGR!$L:$L, 0)), NA())</f>
        <v/>
      </c>
      <c r="G17" s="5">
        <f>IFERROR(1*INDEX(CAGR!$H:$H, MATCH($A17&amp;"|"&amp;$B$2, CAGR!$L:$L, 0)), NA())</f>
        <v/>
      </c>
      <c r="H17" s="5">
        <f>IFERROR(1*INDEX(CAGR!$I:$I, MATCH($A17&amp;"|"&amp;$B$2, CAGR!$L:$L, 0)), NA())</f>
        <v/>
      </c>
      <c r="I17" s="5">
        <f>IF(AND(ISNUMBER(E17),ISNUMBER(H17)),H17-E17,NA())</f>
        <v/>
      </c>
      <c r="K17" t="inlineStr">
        <is>
          <t>MAX</t>
        </is>
      </c>
      <c r="L17" s="5">
        <f>IFERROR(INDEX(ETF_Timeframes!$G:$G, MATCH($L$2&amp;"|"&amp;$L$3&amp;"|"&amp;$K17, ETF_Timeframes!$H:$H, 0)), "")</f>
        <v/>
      </c>
      <c r="M17" s="4">
        <f>IFERROR(INDEX(ETF_Timeframes!$E:$E, MATCH($L$2&amp;"|"&amp;$L$3&amp;"|"&amp;$K17, ETF_Timeframes!$H:$H, 0)),"")</f>
        <v/>
      </c>
    </row>
    <row r="18">
      <c r="A18" t="inlineStr">
        <is>
          <t>Vietnam</t>
        </is>
      </c>
      <c r="B18" t="inlineStr">
        <is>
          <t>Asia</t>
        </is>
      </c>
      <c r="C18" t="inlineStr">
        <is>
          <t>XFVT.L</t>
        </is>
      </c>
      <c r="D18" t="inlineStr">
        <is>
          <t>GBp</t>
        </is>
      </c>
      <c r="E18" s="5">
        <f>IFERROR(1*INDEX(CAGR!$F:$F, MATCH($A18&amp;"|"&amp;$C18&amp;"|"&amp;$B$2, CAGR!$K:$K, 0)), NA())</f>
        <v/>
      </c>
      <c r="F18" s="5">
        <f>IFERROR(1*INDEX(CAGR!$G:$G, MATCH($A18&amp;"|"&amp;$B$2, CAGR!$L:$L, 0)), NA())</f>
        <v/>
      </c>
      <c r="G18" s="5">
        <f>IFERROR(1*INDEX(CAGR!$H:$H, MATCH($A18&amp;"|"&amp;$B$2, CAGR!$L:$L, 0)), NA())</f>
        <v/>
      </c>
      <c r="H18" s="5">
        <f>IFERROR(1*INDEX(CAGR!$I:$I, MATCH($A18&amp;"|"&amp;$B$2, CAGR!$L:$L, 0)), NA())</f>
        <v/>
      </c>
      <c r="I18" s="5">
        <f>IF(AND(ISNUMBER(E18),ISNUMBER(H18)),H18-E18,NA())</f>
        <v/>
      </c>
    </row>
    <row r="19">
      <c r="A19" t="inlineStr">
        <is>
          <t>Bulgaria</t>
        </is>
      </c>
      <c r="B19" t="inlineStr">
        <is>
          <t>Europe</t>
        </is>
      </c>
      <c r="C19" t="inlineStr">
        <is>
          <t>BGX.L</t>
        </is>
      </c>
      <c r="D19" t="inlineStr">
        <is>
          <t>EUR</t>
        </is>
      </c>
      <c r="E19" s="5">
        <f>IFERROR(1*INDEX(CAGR!$F:$F, MATCH($A19&amp;"|"&amp;$C19&amp;"|"&amp;$B$2, CAGR!$K:$K, 0)), NA())</f>
        <v/>
      </c>
      <c r="F19" s="5">
        <f>IFERROR(1*INDEX(CAGR!$G:$G, MATCH($A19&amp;"|"&amp;$B$2, CAGR!$L:$L, 0)), NA())</f>
        <v/>
      </c>
      <c r="G19" s="5">
        <f>IFERROR(1*INDEX(CAGR!$H:$H, MATCH($A19&amp;"|"&amp;$B$2, CAGR!$L:$L, 0)), NA())</f>
        <v/>
      </c>
      <c r="H19" s="5">
        <f>IFERROR(1*INDEX(CAGR!$I:$I, MATCH($A19&amp;"|"&amp;$B$2, CAGR!$L:$L, 0)), NA())</f>
        <v/>
      </c>
      <c r="I19" s="5">
        <f>IF(AND(ISNUMBER(E19),ISNUMBER(H19)),H19-E19,NA())</f>
        <v/>
      </c>
    </row>
    <row r="20">
      <c r="A20" t="inlineStr">
        <is>
          <t>France</t>
        </is>
      </c>
      <c r="B20" t="inlineStr">
        <is>
          <t>Europe</t>
        </is>
      </c>
      <c r="C20" t="inlineStr">
        <is>
          <t>ISFR.L</t>
        </is>
      </c>
      <c r="D20" t="inlineStr">
        <is>
          <t>GBp</t>
        </is>
      </c>
      <c r="E20" s="5">
        <f>IFERROR(1*INDEX(CAGR!$F:$F, MATCH($A20&amp;"|"&amp;$C20&amp;"|"&amp;$B$2, CAGR!$K:$K, 0)), NA())</f>
        <v/>
      </c>
      <c r="F20" s="5">
        <f>IFERROR(1*INDEX(CAGR!$G:$G, MATCH($A20&amp;"|"&amp;$B$2, CAGR!$L:$L, 0)), NA())</f>
        <v/>
      </c>
      <c r="G20" s="5">
        <f>IFERROR(1*INDEX(CAGR!$H:$H, MATCH($A20&amp;"|"&amp;$B$2, CAGR!$L:$L, 0)), NA())</f>
        <v/>
      </c>
      <c r="H20" s="5">
        <f>IFERROR(1*INDEX(CAGR!$I:$I, MATCH($A20&amp;"|"&amp;$B$2, CAGR!$L:$L, 0)), NA())</f>
        <v/>
      </c>
      <c r="I20" s="5">
        <f>IF(AND(ISNUMBER(E20),ISNUMBER(H20)),H20-E20,NA())</f>
        <v/>
      </c>
      <c r="K20" s="3" t="inlineStr">
        <is>
          <t>Annual ETF vs GDP (Last 10 Years, %)</t>
        </is>
      </c>
    </row>
    <row r="21">
      <c r="A21" t="inlineStr">
        <is>
          <t>Germany</t>
        </is>
      </c>
      <c r="B21" t="inlineStr">
        <is>
          <t>Europe</t>
        </is>
      </c>
      <c r="C21" t="inlineStr">
        <is>
          <t>XDAX.L</t>
        </is>
      </c>
      <c r="D21" t="inlineStr">
        <is>
          <t>GBp</t>
        </is>
      </c>
      <c r="E21" s="5">
        <f>IFERROR(1*INDEX(CAGR!$F:$F, MATCH($A21&amp;"|"&amp;$C21&amp;"|"&amp;$B$2, CAGR!$K:$K, 0)), NA())</f>
        <v/>
      </c>
      <c r="F21" s="5">
        <f>IFERROR(1*INDEX(CAGR!$G:$G, MATCH($A21&amp;"|"&amp;$B$2, CAGR!$L:$L, 0)), NA())</f>
        <v/>
      </c>
      <c r="G21" s="5">
        <f>IFERROR(1*INDEX(CAGR!$H:$H, MATCH($A21&amp;"|"&amp;$B$2, CAGR!$L:$L, 0)), NA())</f>
        <v/>
      </c>
      <c r="H21" s="5">
        <f>IFERROR(1*INDEX(CAGR!$I:$I, MATCH($A21&amp;"|"&amp;$B$2, CAGR!$L:$L, 0)), NA())</f>
        <v/>
      </c>
      <c r="I21" s="5">
        <f>IF(AND(ISNUMBER(E21),ISNUMBER(H21)),H21-E21,NA())</f>
        <v/>
      </c>
      <c r="K21" s="3" t="inlineStr">
        <is>
          <t>Year</t>
        </is>
      </c>
      <c r="L21" s="3" t="inlineStr">
        <is>
          <t>ETF Return %</t>
        </is>
      </c>
      <c r="M21" s="3" t="inlineStr">
        <is>
          <t>Real GDP Growth %</t>
        </is>
      </c>
      <c r="N21" s="3" t="inlineStr">
        <is>
          <t>Nominal GDP Growth % (LCU)</t>
        </is>
      </c>
      <c r="O21" s="3" t="inlineStr">
        <is>
          <t>Nominal GDP Growth % (USD)</t>
        </is>
      </c>
      <c r="P21" s="3" t="inlineStr">
        <is>
          <t>Nominal GDP USD - ETF %</t>
        </is>
      </c>
    </row>
    <row r="22">
      <c r="A22" t="inlineStr">
        <is>
          <t>Italy</t>
        </is>
      </c>
      <c r="B22" t="inlineStr">
        <is>
          <t>Europe</t>
        </is>
      </c>
      <c r="C22" t="inlineStr">
        <is>
          <t>CMIB.L</t>
        </is>
      </c>
      <c r="D22" t="inlineStr">
        <is>
          <t>EUR</t>
        </is>
      </c>
      <c r="E22" s="5">
        <f>IFERROR(1*INDEX(CAGR!$F:$F, MATCH($A22&amp;"|"&amp;$C22&amp;"|"&amp;$B$2, CAGR!$K:$K, 0)), NA())</f>
        <v/>
      </c>
      <c r="F22" s="5">
        <f>IFERROR(1*INDEX(CAGR!$G:$G, MATCH($A22&amp;"|"&amp;$B$2, CAGR!$L:$L, 0)), NA())</f>
        <v/>
      </c>
      <c r="G22" s="5">
        <f>IFERROR(1*INDEX(CAGR!$H:$H, MATCH($A22&amp;"|"&amp;$B$2, CAGR!$L:$L, 0)), NA())</f>
        <v/>
      </c>
      <c r="H22" s="5">
        <f>IFERROR(1*INDEX(CAGR!$I:$I, MATCH($A22&amp;"|"&amp;$B$2, CAGR!$L:$L, 0)), NA())</f>
        <v/>
      </c>
      <c r="I22" s="5">
        <f>IF(AND(ISNUMBER(E22),ISNUMBER(H22)),H22-E22,NA())</f>
        <v/>
      </c>
      <c r="K22" t="n">
        <v>2016</v>
      </c>
      <c r="L22" s="5">
        <f>IFERROR(1*INDEX(Annual!$E:$E, MATCH($L$2&amp;"|"&amp;$L$3&amp;"|"&amp;$K22, Annual!$J:$J, 0)), NA())</f>
        <v/>
      </c>
      <c r="M22" s="5">
        <f>IFERROR(1*INDEX(Annual!$F:$F, MATCH($L$2&amp;"|"&amp;$K22, Annual!$K:$K, 0)), NA())</f>
        <v/>
      </c>
      <c r="N22" s="5">
        <f>IFERROR(1*INDEX(Annual!$G:$G, MATCH($L$2&amp;"|"&amp;$K22, Annual!$K:$K, 0)), NA())</f>
        <v/>
      </c>
      <c r="O22" s="5">
        <f>IFERROR(1*INDEX(Annual!$H:$H, MATCH($L$2&amp;"|"&amp;$K22, Annual!$K:$K, 0)), NA())</f>
        <v/>
      </c>
      <c r="P22" s="5">
        <f>IFERROR(1*INDEX(Annual!$I:$I, MATCH($L$2&amp;"|"&amp;$K22, Annual!$K:$K, 0)), NA())</f>
        <v/>
      </c>
    </row>
    <row r="23">
      <c r="A23" t="inlineStr">
        <is>
          <t>Poland</t>
        </is>
      </c>
      <c r="B23" t="inlineStr">
        <is>
          <t>Europe</t>
        </is>
      </c>
      <c r="C23" t="inlineStr">
        <is>
          <t>SPOL.L</t>
        </is>
      </c>
      <c r="D23" t="inlineStr">
        <is>
          <t>GBp</t>
        </is>
      </c>
      <c r="E23" s="5">
        <f>IFERROR(1*INDEX(CAGR!$F:$F, MATCH($A23&amp;"|"&amp;$C23&amp;"|"&amp;$B$2, CAGR!$K:$K, 0)), NA())</f>
        <v/>
      </c>
      <c r="F23" s="5">
        <f>IFERROR(1*INDEX(CAGR!$G:$G, MATCH($A23&amp;"|"&amp;$B$2, CAGR!$L:$L, 0)), NA())</f>
        <v/>
      </c>
      <c r="G23" s="5">
        <f>IFERROR(1*INDEX(CAGR!$H:$H, MATCH($A23&amp;"|"&amp;$B$2, CAGR!$L:$L, 0)), NA())</f>
        <v/>
      </c>
      <c r="H23" s="5">
        <f>IFERROR(1*INDEX(CAGR!$I:$I, MATCH($A23&amp;"|"&amp;$B$2, CAGR!$L:$L, 0)), NA())</f>
        <v/>
      </c>
      <c r="I23" s="5">
        <f>IF(AND(ISNUMBER(E23),ISNUMBER(H23)),H23-E23,NA())</f>
        <v/>
      </c>
      <c r="K23" t="n">
        <v>2017</v>
      </c>
      <c r="L23" s="5">
        <f>IFERROR(1*INDEX(Annual!$E:$E, MATCH($L$2&amp;"|"&amp;$L$3&amp;"|"&amp;$K23, Annual!$J:$J, 0)), NA())</f>
        <v/>
      </c>
      <c r="M23" s="5">
        <f>IFERROR(1*INDEX(Annual!$F:$F, MATCH($L$2&amp;"|"&amp;$K23, Annual!$K:$K, 0)), NA())</f>
        <v/>
      </c>
      <c r="N23" s="5">
        <f>IFERROR(1*INDEX(Annual!$G:$G, MATCH($L$2&amp;"|"&amp;$K23, Annual!$K:$K, 0)), NA())</f>
        <v/>
      </c>
      <c r="O23" s="5">
        <f>IFERROR(1*INDEX(Annual!$H:$H, MATCH($L$2&amp;"|"&amp;$K23, Annual!$K:$K, 0)), NA())</f>
        <v/>
      </c>
      <c r="P23" s="5">
        <f>IFERROR(1*INDEX(Annual!$I:$I, MATCH($L$2&amp;"|"&amp;$K23, Annual!$K:$K, 0)), NA())</f>
        <v/>
      </c>
    </row>
    <row r="24">
      <c r="A24" t="inlineStr">
        <is>
          <t>Spain</t>
        </is>
      </c>
      <c r="B24" t="inlineStr">
        <is>
          <t>Europe</t>
        </is>
      </c>
      <c r="C24" t="inlineStr">
        <is>
          <t>CS1.L</t>
        </is>
      </c>
      <c r="D24" t="inlineStr">
        <is>
          <t>GBp</t>
        </is>
      </c>
      <c r="E24" s="5">
        <f>IFERROR(1*INDEX(CAGR!$F:$F, MATCH($A24&amp;"|"&amp;$C24&amp;"|"&amp;$B$2, CAGR!$K:$K, 0)), NA())</f>
        <v/>
      </c>
      <c r="F24" s="5">
        <f>IFERROR(1*INDEX(CAGR!$G:$G, MATCH($A24&amp;"|"&amp;$B$2, CAGR!$L:$L, 0)), NA())</f>
        <v/>
      </c>
      <c r="G24" s="5">
        <f>IFERROR(1*INDEX(CAGR!$H:$H, MATCH($A24&amp;"|"&amp;$B$2, CAGR!$L:$L, 0)), NA())</f>
        <v/>
      </c>
      <c r="H24" s="5">
        <f>IFERROR(1*INDEX(CAGR!$I:$I, MATCH($A24&amp;"|"&amp;$B$2, CAGR!$L:$L, 0)), NA())</f>
        <v/>
      </c>
      <c r="I24" s="5">
        <f>IF(AND(ISNUMBER(E24),ISNUMBER(H24)),H24-E24,NA())</f>
        <v/>
      </c>
      <c r="K24" t="n">
        <v>2018</v>
      </c>
      <c r="L24" s="5">
        <f>IFERROR(1*INDEX(Annual!$E:$E, MATCH($L$2&amp;"|"&amp;$L$3&amp;"|"&amp;$K24, Annual!$J:$J, 0)), NA())</f>
        <v/>
      </c>
      <c r="M24" s="5">
        <f>IFERROR(1*INDEX(Annual!$F:$F, MATCH($L$2&amp;"|"&amp;$K24, Annual!$K:$K, 0)), NA())</f>
        <v/>
      </c>
      <c r="N24" s="5">
        <f>IFERROR(1*INDEX(Annual!$G:$G, MATCH($L$2&amp;"|"&amp;$K24, Annual!$K:$K, 0)), NA())</f>
        <v/>
      </c>
      <c r="O24" s="5">
        <f>IFERROR(1*INDEX(Annual!$H:$H, MATCH($L$2&amp;"|"&amp;$K24, Annual!$K:$K, 0)), NA())</f>
        <v/>
      </c>
      <c r="P24" s="5">
        <f>IFERROR(1*INDEX(Annual!$I:$I, MATCH($L$2&amp;"|"&amp;$K24, Annual!$K:$K, 0)), NA())</f>
        <v/>
      </c>
    </row>
    <row r="25">
      <c r="A25" t="inlineStr">
        <is>
          <t>Sweden</t>
        </is>
      </c>
      <c r="B25" t="inlineStr">
        <is>
          <t>Europe</t>
        </is>
      </c>
      <c r="C25" t="inlineStr">
        <is>
          <t>OMXS.L</t>
        </is>
      </c>
      <c r="D25" t="inlineStr">
        <is>
          <t>GBp</t>
        </is>
      </c>
      <c r="E25" s="5">
        <f>IFERROR(1*INDEX(CAGR!$F:$F, MATCH($A25&amp;"|"&amp;$C25&amp;"|"&amp;$B$2, CAGR!$K:$K, 0)), NA())</f>
        <v/>
      </c>
      <c r="F25" s="5">
        <f>IFERROR(1*INDEX(CAGR!$G:$G, MATCH($A25&amp;"|"&amp;$B$2, CAGR!$L:$L, 0)), NA())</f>
        <v/>
      </c>
      <c r="G25" s="5">
        <f>IFERROR(1*INDEX(CAGR!$H:$H, MATCH($A25&amp;"|"&amp;$B$2, CAGR!$L:$L, 0)), NA())</f>
        <v/>
      </c>
      <c r="H25" s="5">
        <f>IFERROR(1*INDEX(CAGR!$I:$I, MATCH($A25&amp;"|"&amp;$B$2, CAGR!$L:$L, 0)), NA())</f>
        <v/>
      </c>
      <c r="I25" s="5">
        <f>IF(AND(ISNUMBER(E25),ISNUMBER(H25)),H25-E25,NA())</f>
        <v/>
      </c>
      <c r="K25" t="n">
        <v>2019</v>
      </c>
      <c r="L25" s="5">
        <f>IFERROR(1*INDEX(Annual!$E:$E, MATCH($L$2&amp;"|"&amp;$L$3&amp;"|"&amp;$K25, Annual!$J:$J, 0)), NA())</f>
        <v/>
      </c>
      <c r="M25" s="5">
        <f>IFERROR(1*INDEX(Annual!$F:$F, MATCH($L$2&amp;"|"&amp;$K25, Annual!$K:$K, 0)), NA())</f>
        <v/>
      </c>
      <c r="N25" s="5">
        <f>IFERROR(1*INDEX(Annual!$G:$G, MATCH($L$2&amp;"|"&amp;$K25, Annual!$K:$K, 0)), NA())</f>
        <v/>
      </c>
      <c r="O25" s="5">
        <f>IFERROR(1*INDEX(Annual!$H:$H, MATCH($L$2&amp;"|"&amp;$K25, Annual!$K:$K, 0)), NA())</f>
        <v/>
      </c>
      <c r="P25" s="5">
        <f>IFERROR(1*INDEX(Annual!$I:$I, MATCH($L$2&amp;"|"&amp;$K25, Annual!$K:$K, 0)), NA())</f>
        <v/>
      </c>
    </row>
    <row r="26">
      <c r="A26" t="inlineStr">
        <is>
          <t>Turkey</t>
        </is>
      </c>
      <c r="B26" t="inlineStr">
        <is>
          <t>Europe</t>
        </is>
      </c>
      <c r="C26" t="inlineStr">
        <is>
          <t>TURL.L</t>
        </is>
      </c>
      <c r="D26" t="inlineStr">
        <is>
          <t>GBp</t>
        </is>
      </c>
      <c r="E26" s="5">
        <f>IFERROR(1*INDEX(CAGR!$F:$F, MATCH($A26&amp;"|"&amp;$C26&amp;"|"&amp;$B$2, CAGR!$K:$K, 0)), NA())</f>
        <v/>
      </c>
      <c r="F26" s="5">
        <f>IFERROR(1*INDEX(CAGR!$G:$G, MATCH($A26&amp;"|"&amp;$B$2, CAGR!$L:$L, 0)), NA())</f>
        <v/>
      </c>
      <c r="G26" s="5">
        <f>IFERROR(1*INDEX(CAGR!$H:$H, MATCH($A26&amp;"|"&amp;$B$2, CAGR!$L:$L, 0)), NA())</f>
        <v/>
      </c>
      <c r="H26" s="5">
        <f>IFERROR(1*INDEX(CAGR!$I:$I, MATCH($A26&amp;"|"&amp;$B$2, CAGR!$L:$L, 0)), NA())</f>
        <v/>
      </c>
      <c r="I26" s="5">
        <f>IF(AND(ISNUMBER(E26),ISNUMBER(H26)),H26-E26,NA())</f>
        <v/>
      </c>
      <c r="K26" t="n">
        <v>2020</v>
      </c>
      <c r="L26" s="5">
        <f>IFERROR(1*INDEX(Annual!$E:$E, MATCH($L$2&amp;"|"&amp;$L$3&amp;"|"&amp;$K26, Annual!$J:$J, 0)), NA())</f>
        <v/>
      </c>
      <c r="M26" s="5">
        <f>IFERROR(1*INDEX(Annual!$F:$F, MATCH($L$2&amp;"|"&amp;$K26, Annual!$K:$K, 0)), NA())</f>
        <v/>
      </c>
      <c r="N26" s="5">
        <f>IFERROR(1*INDEX(Annual!$G:$G, MATCH($L$2&amp;"|"&amp;$K26, Annual!$K:$K, 0)), NA())</f>
        <v/>
      </c>
      <c r="O26" s="5">
        <f>IFERROR(1*INDEX(Annual!$H:$H, MATCH($L$2&amp;"|"&amp;$K26, Annual!$K:$K, 0)), NA())</f>
        <v/>
      </c>
      <c r="P26" s="5">
        <f>IFERROR(1*INDEX(Annual!$I:$I, MATCH($L$2&amp;"|"&amp;$K26, Annual!$K:$K, 0)), NA())</f>
        <v/>
      </c>
    </row>
    <row r="27">
      <c r="A27" t="inlineStr">
        <is>
          <t>United Kingdom</t>
        </is>
      </c>
      <c r="B27" t="inlineStr">
        <is>
          <t>Europe</t>
        </is>
      </c>
      <c r="C27" t="inlineStr">
        <is>
          <t>CSUK.L</t>
        </is>
      </c>
      <c r="D27" t="inlineStr">
        <is>
          <t>GBp</t>
        </is>
      </c>
      <c r="E27" s="5">
        <f>IFERROR(1*INDEX(CAGR!$F:$F, MATCH($A27&amp;"|"&amp;$C27&amp;"|"&amp;$B$2, CAGR!$K:$K, 0)), NA())</f>
        <v/>
      </c>
      <c r="F27" s="5">
        <f>IFERROR(1*INDEX(CAGR!$G:$G, MATCH($A27&amp;"|"&amp;$B$2, CAGR!$L:$L, 0)), NA())</f>
        <v/>
      </c>
      <c r="G27" s="5">
        <f>IFERROR(1*INDEX(CAGR!$H:$H, MATCH($A27&amp;"|"&amp;$B$2, CAGR!$L:$L, 0)), NA())</f>
        <v/>
      </c>
      <c r="H27" s="5">
        <f>IFERROR(1*INDEX(CAGR!$I:$I, MATCH($A27&amp;"|"&amp;$B$2, CAGR!$L:$L, 0)), NA())</f>
        <v/>
      </c>
      <c r="I27" s="5">
        <f>IF(AND(ISNUMBER(E27),ISNUMBER(H27)),H27-E27,NA())</f>
        <v/>
      </c>
      <c r="K27" t="n">
        <v>2021</v>
      </c>
      <c r="L27" s="5">
        <f>IFERROR(1*INDEX(Annual!$E:$E, MATCH($L$2&amp;"|"&amp;$L$3&amp;"|"&amp;$K27, Annual!$J:$J, 0)), NA())</f>
        <v/>
      </c>
      <c r="M27" s="5">
        <f>IFERROR(1*INDEX(Annual!$F:$F, MATCH($L$2&amp;"|"&amp;$K27, Annual!$K:$K, 0)), NA())</f>
        <v/>
      </c>
      <c r="N27" s="5">
        <f>IFERROR(1*INDEX(Annual!$G:$G, MATCH($L$2&amp;"|"&amp;$K27, Annual!$K:$K, 0)), NA())</f>
        <v/>
      </c>
      <c r="O27" s="5">
        <f>IFERROR(1*INDEX(Annual!$H:$H, MATCH($L$2&amp;"|"&amp;$K27, Annual!$K:$K, 0)), NA())</f>
        <v/>
      </c>
      <c r="P27" s="5">
        <f>IFERROR(1*INDEX(Annual!$I:$I, MATCH($L$2&amp;"|"&amp;$K27, Annual!$K:$K, 0)), NA())</f>
        <v/>
      </c>
    </row>
    <row r="28">
      <c r="A28" t="inlineStr">
        <is>
          <t>Brazil</t>
        </is>
      </c>
      <c r="B28" t="inlineStr">
        <is>
          <t>Latin America</t>
        </is>
      </c>
      <c r="C28" t="inlineStr">
        <is>
          <t>XMBR.L</t>
        </is>
      </c>
      <c r="D28" t="inlineStr">
        <is>
          <t>GBp</t>
        </is>
      </c>
      <c r="E28" s="5">
        <f>IFERROR(1*INDEX(CAGR!$F:$F, MATCH($A28&amp;"|"&amp;$C28&amp;"|"&amp;$B$2, CAGR!$K:$K, 0)), NA())</f>
        <v/>
      </c>
      <c r="F28" s="5">
        <f>IFERROR(1*INDEX(CAGR!$G:$G, MATCH($A28&amp;"|"&amp;$B$2, CAGR!$L:$L, 0)), NA())</f>
        <v/>
      </c>
      <c r="G28" s="5">
        <f>IFERROR(1*INDEX(CAGR!$H:$H, MATCH($A28&amp;"|"&amp;$B$2, CAGR!$L:$L, 0)), NA())</f>
        <v/>
      </c>
      <c r="H28" s="5">
        <f>IFERROR(1*INDEX(CAGR!$I:$I, MATCH($A28&amp;"|"&amp;$B$2, CAGR!$L:$L, 0)), NA())</f>
        <v/>
      </c>
      <c r="I28" s="5">
        <f>IF(AND(ISNUMBER(E28),ISNUMBER(H28)),H28-E28,NA())</f>
        <v/>
      </c>
      <c r="K28" t="n">
        <v>2022</v>
      </c>
      <c r="L28" s="5">
        <f>IFERROR(1*INDEX(Annual!$E:$E, MATCH($L$2&amp;"|"&amp;$L$3&amp;"|"&amp;$K28, Annual!$J:$J, 0)), NA())</f>
        <v/>
      </c>
      <c r="M28" s="5">
        <f>IFERROR(1*INDEX(Annual!$F:$F, MATCH($L$2&amp;"|"&amp;$K28, Annual!$K:$K, 0)), NA())</f>
        <v/>
      </c>
      <c r="N28" s="5">
        <f>IFERROR(1*INDEX(Annual!$G:$G, MATCH($L$2&amp;"|"&amp;$K28, Annual!$K:$K, 0)), NA())</f>
        <v/>
      </c>
      <c r="O28" s="5">
        <f>IFERROR(1*INDEX(Annual!$H:$H, MATCH($L$2&amp;"|"&amp;$K28, Annual!$K:$K, 0)), NA())</f>
        <v/>
      </c>
      <c r="P28" s="5">
        <f>IFERROR(1*INDEX(Annual!$I:$I, MATCH($L$2&amp;"|"&amp;$K28, Annual!$K:$K, 0)), NA())</f>
        <v/>
      </c>
    </row>
    <row r="29">
      <c r="A29" t="inlineStr">
        <is>
          <t>Mexico</t>
        </is>
      </c>
      <c r="B29" t="inlineStr">
        <is>
          <t>Latin America</t>
        </is>
      </c>
      <c r="C29" t="inlineStr">
        <is>
          <t>XMEX.L</t>
        </is>
      </c>
      <c r="D29" t="inlineStr">
        <is>
          <t>GBp</t>
        </is>
      </c>
      <c r="E29" s="5">
        <f>IFERROR(1*INDEX(CAGR!$F:$F, MATCH($A29&amp;"|"&amp;$C29&amp;"|"&amp;$B$2, CAGR!$K:$K, 0)), NA())</f>
        <v/>
      </c>
      <c r="F29" s="5">
        <f>IFERROR(1*INDEX(CAGR!$G:$G, MATCH($A29&amp;"|"&amp;$B$2, CAGR!$L:$L, 0)), NA())</f>
        <v/>
      </c>
      <c r="G29" s="5">
        <f>IFERROR(1*INDEX(CAGR!$H:$H, MATCH($A29&amp;"|"&amp;$B$2, CAGR!$L:$L, 0)), NA())</f>
        <v/>
      </c>
      <c r="H29" s="5">
        <f>IFERROR(1*INDEX(CAGR!$I:$I, MATCH($A29&amp;"|"&amp;$B$2, CAGR!$L:$L, 0)), NA())</f>
        <v/>
      </c>
      <c r="I29" s="5">
        <f>IF(AND(ISNUMBER(E29),ISNUMBER(H29)),H29-E29,NA())</f>
        <v/>
      </c>
      <c r="K29" t="n">
        <v>2023</v>
      </c>
      <c r="L29" s="5">
        <f>IFERROR(1*INDEX(Annual!$E:$E, MATCH($L$2&amp;"|"&amp;$L$3&amp;"|"&amp;$K29, Annual!$J:$J, 0)), NA())</f>
        <v/>
      </c>
      <c r="M29" s="5">
        <f>IFERROR(1*INDEX(Annual!$F:$F, MATCH($L$2&amp;"|"&amp;$K29, Annual!$K:$K, 0)), NA())</f>
        <v/>
      </c>
      <c r="N29" s="5">
        <f>IFERROR(1*INDEX(Annual!$G:$G, MATCH($L$2&amp;"|"&amp;$K29, Annual!$K:$K, 0)), NA())</f>
        <v/>
      </c>
      <c r="O29" s="5">
        <f>IFERROR(1*INDEX(Annual!$H:$H, MATCH($L$2&amp;"|"&amp;$K29, Annual!$K:$K, 0)), NA())</f>
        <v/>
      </c>
      <c r="P29" s="5">
        <f>IFERROR(1*INDEX(Annual!$I:$I, MATCH($L$2&amp;"|"&amp;$K29, Annual!$K:$K, 0)), NA())</f>
        <v/>
      </c>
    </row>
    <row r="30">
      <c r="A30" t="inlineStr">
        <is>
          <t>Kuwait</t>
        </is>
      </c>
      <c r="B30" t="inlineStr">
        <is>
          <t>Middle East</t>
        </is>
      </c>
      <c r="C30" t="inlineStr">
        <is>
          <t>MKUW.L</t>
        </is>
      </c>
      <c r="D30" t="inlineStr">
        <is>
          <t>USD</t>
        </is>
      </c>
      <c r="E30" s="5">
        <f>IFERROR(1*INDEX(CAGR!$F:$F, MATCH($A30&amp;"|"&amp;$C30&amp;"|"&amp;$B$2, CAGR!$K:$K, 0)), NA())</f>
        <v/>
      </c>
      <c r="F30" s="5">
        <f>IFERROR(1*INDEX(CAGR!$G:$G, MATCH($A30&amp;"|"&amp;$B$2, CAGR!$L:$L, 0)), NA())</f>
        <v/>
      </c>
      <c r="G30" s="5">
        <f>IFERROR(1*INDEX(CAGR!$H:$H, MATCH($A30&amp;"|"&amp;$B$2, CAGR!$L:$L, 0)), NA())</f>
        <v/>
      </c>
      <c r="H30" s="5">
        <f>IFERROR(1*INDEX(CAGR!$I:$I, MATCH($A30&amp;"|"&amp;$B$2, CAGR!$L:$L, 0)), NA())</f>
        <v/>
      </c>
      <c r="I30" s="5">
        <f>IF(AND(ISNUMBER(E30),ISNUMBER(H30)),H30-E30,NA())</f>
        <v/>
      </c>
      <c r="K30" t="n">
        <v>2024</v>
      </c>
      <c r="L30" s="5">
        <f>IFERROR(1*INDEX(Annual!$E:$E, MATCH($L$2&amp;"|"&amp;$L$3&amp;"|"&amp;$K30, Annual!$J:$J, 0)), NA())</f>
        <v/>
      </c>
      <c r="M30" s="5">
        <f>IFERROR(1*INDEX(Annual!$F:$F, MATCH($L$2&amp;"|"&amp;$K30, Annual!$K:$K, 0)), NA())</f>
        <v/>
      </c>
      <c r="N30" s="5">
        <f>IFERROR(1*INDEX(Annual!$G:$G, MATCH($L$2&amp;"|"&amp;$K30, Annual!$K:$K, 0)), NA())</f>
        <v/>
      </c>
      <c r="O30" s="5">
        <f>IFERROR(1*INDEX(Annual!$H:$H, MATCH($L$2&amp;"|"&amp;$K30, Annual!$K:$K, 0)), NA())</f>
        <v/>
      </c>
      <c r="P30" s="5">
        <f>IFERROR(1*INDEX(Annual!$I:$I, MATCH($L$2&amp;"|"&amp;$K30, Annual!$K:$K, 0)), NA())</f>
        <v/>
      </c>
    </row>
    <row r="31">
      <c r="A31" t="inlineStr">
        <is>
          <t>Saudi Arabia</t>
        </is>
      </c>
      <c r="B31" t="inlineStr">
        <is>
          <t>Middle East</t>
        </is>
      </c>
      <c r="C31" t="inlineStr">
        <is>
          <t>IKSA.L</t>
        </is>
      </c>
      <c r="D31" t="inlineStr">
        <is>
          <t>USD</t>
        </is>
      </c>
      <c r="E31" s="5">
        <f>IFERROR(1*INDEX(CAGR!$F:$F, MATCH($A31&amp;"|"&amp;$C31&amp;"|"&amp;$B$2, CAGR!$K:$K, 0)), NA())</f>
        <v/>
      </c>
      <c r="F31" s="5">
        <f>IFERROR(1*INDEX(CAGR!$G:$G, MATCH($A31&amp;"|"&amp;$B$2, CAGR!$L:$L, 0)), NA())</f>
        <v/>
      </c>
      <c r="G31" s="5">
        <f>IFERROR(1*INDEX(CAGR!$H:$H, MATCH($A31&amp;"|"&amp;$B$2, CAGR!$L:$L, 0)), NA())</f>
        <v/>
      </c>
      <c r="H31" s="5">
        <f>IFERROR(1*INDEX(CAGR!$I:$I, MATCH($A31&amp;"|"&amp;$B$2, CAGR!$L:$L, 0)), NA())</f>
        <v/>
      </c>
      <c r="I31" s="5">
        <f>IF(AND(ISNUMBER(E31),ISNUMBER(H31)),H31-E31,NA())</f>
        <v/>
      </c>
      <c r="K31" t="n">
        <v>2025</v>
      </c>
      <c r="L31" s="5">
        <f>IFERROR(1*INDEX(Annual!$E:$E, MATCH($L$2&amp;"|"&amp;$L$3&amp;"|"&amp;$K31, Annual!$J:$J, 0)), NA())</f>
        <v/>
      </c>
      <c r="M31" s="5">
        <f>IFERROR(1*INDEX(Annual!$F:$F, MATCH($L$2&amp;"|"&amp;$K31, Annual!$K:$K, 0)), NA())</f>
        <v/>
      </c>
      <c r="N31" s="5">
        <f>IFERROR(1*INDEX(Annual!$G:$G, MATCH($L$2&amp;"|"&amp;$K31, Annual!$K:$K, 0)), NA())</f>
        <v/>
      </c>
      <c r="O31" s="5">
        <f>IFERROR(1*INDEX(Annual!$H:$H, MATCH($L$2&amp;"|"&amp;$K31, Annual!$K:$K, 0)), NA())</f>
        <v/>
      </c>
      <c r="P31" s="5">
        <f>IFERROR(1*INDEX(Annual!$I:$I, MATCH($L$2&amp;"|"&amp;$K31, Annual!$K:$K, 0)), NA())</f>
        <v/>
      </c>
    </row>
    <row r="32">
      <c r="A32" t="inlineStr">
        <is>
          <t>Canada</t>
        </is>
      </c>
      <c r="B32" t="inlineStr">
        <is>
          <t>North America</t>
        </is>
      </c>
      <c r="C32" t="inlineStr">
        <is>
          <t>CSCA.L</t>
        </is>
      </c>
      <c r="D32" t="inlineStr">
        <is>
          <t>GBp</t>
        </is>
      </c>
      <c r="E32" s="5">
        <f>IFERROR(1*INDEX(CAGR!$F:$F, MATCH($A32&amp;"|"&amp;$C32&amp;"|"&amp;$B$2, CAGR!$K:$K, 0)), NA())</f>
        <v/>
      </c>
      <c r="F32" s="5">
        <f>IFERROR(1*INDEX(CAGR!$G:$G, MATCH($A32&amp;"|"&amp;$B$2, CAGR!$L:$L, 0)), NA())</f>
        <v/>
      </c>
      <c r="G32" s="5">
        <f>IFERROR(1*INDEX(CAGR!$H:$H, MATCH($A32&amp;"|"&amp;$B$2, CAGR!$L:$L, 0)), NA())</f>
        <v/>
      </c>
      <c r="H32" s="5">
        <f>IFERROR(1*INDEX(CAGR!$I:$I, MATCH($A32&amp;"|"&amp;$B$2, CAGR!$L:$L, 0)), NA())</f>
        <v/>
      </c>
      <c r="I32" s="5">
        <f>IF(AND(ISNUMBER(E32),ISNUMBER(H32)),H32-E32,NA())</f>
        <v/>
      </c>
      <c r="K32" t="inlineStr">
        <is>
          <t>2026 (Proj GDP / ETF YTD)</t>
        </is>
      </c>
      <c r="L32" s="5">
        <f>IFERROR(1*INDEX(ETF_Timeframes!$G:$G, MATCH($L$2&amp;"|"&amp;$L$3&amp;"|YTD", ETF_Timeframes!$H:$H, 0)), NA())</f>
        <v/>
      </c>
      <c r="M32" s="5">
        <f>IFERROR(1*INDEX(Annual!$F:$F, MATCH($L$2&amp;"|"&amp;2026, Annual!$K:$K, 0)), NA())</f>
        <v/>
      </c>
      <c r="N32" s="5">
        <f>IFERROR(1*INDEX(Annual!$G:$G, MATCH($L$2&amp;"|"&amp;2026, Annual!$K:$K, 0)), NA())</f>
        <v/>
      </c>
      <c r="O32" s="5">
        <f>IFERROR(1*INDEX(Annual!$H:$H, MATCH($L$2&amp;"|"&amp;2026, Annual!$K:$K, 0)), NA())</f>
        <v/>
      </c>
      <c r="P32" s="5">
        <f>IFERROR(1*INDEX(Annual!$I:$I, MATCH($L$2&amp;"|"&amp;2026, Annual!$K:$K, 0)), NA())</f>
        <v/>
      </c>
    </row>
    <row r="33">
      <c r="A33" t="inlineStr">
        <is>
          <t>United States</t>
        </is>
      </c>
      <c r="B33" t="inlineStr">
        <is>
          <t>North America</t>
        </is>
      </c>
      <c r="C33" t="inlineStr">
        <is>
          <t>SPXL.L</t>
        </is>
      </c>
      <c r="D33" t="inlineStr">
        <is>
          <t>GBP</t>
        </is>
      </c>
      <c r="E33" s="5">
        <f>IFERROR(1*INDEX(CAGR!$F:$F, MATCH($A33&amp;"|"&amp;$C33&amp;"|"&amp;$B$2, CAGR!$K:$K, 0)), NA())</f>
        <v/>
      </c>
      <c r="F33" s="5">
        <f>IFERROR(1*INDEX(CAGR!$G:$G, MATCH($A33&amp;"|"&amp;$B$2, CAGR!$L:$L, 0)), NA())</f>
        <v/>
      </c>
      <c r="G33" s="5">
        <f>IFERROR(1*INDEX(CAGR!$H:$H, MATCH($A33&amp;"|"&amp;$B$2, CAGR!$L:$L, 0)), NA())</f>
        <v/>
      </c>
      <c r="H33" s="5">
        <f>IFERROR(1*INDEX(CAGR!$I:$I, MATCH($A33&amp;"|"&amp;$B$2, CAGR!$L:$L, 0)), NA())</f>
        <v/>
      </c>
      <c r="I33" s="5">
        <f>IF(AND(ISNUMBER(E33),ISNUMBER(H33)),H33-E33,NA())</f>
        <v/>
      </c>
      <c r="K33" t="inlineStr">
        <is>
          <t>* 2026 row: GDP is IMF projection; ETF is YTD return.</t>
        </is>
      </c>
    </row>
    <row r="34">
      <c r="A34" t="inlineStr">
        <is>
          <t>Australia</t>
        </is>
      </c>
      <c r="B34" t="inlineStr">
        <is>
          <t>Oceania</t>
        </is>
      </c>
      <c r="C34" t="inlineStr">
        <is>
          <t>SAUS.L</t>
        </is>
      </c>
      <c r="D34" t="inlineStr">
        <is>
          <t>GBp</t>
        </is>
      </c>
      <c r="E34" s="5">
        <f>IFERROR(1*INDEX(CAGR!$F:$F, MATCH($A34&amp;"|"&amp;$C34&amp;"|"&amp;$B$2, CAGR!$K:$K, 0)), NA())</f>
        <v/>
      </c>
      <c r="F34" s="5">
        <f>IFERROR(1*INDEX(CAGR!$G:$G, MATCH($A34&amp;"|"&amp;$B$2, CAGR!$L:$L, 0)), NA())</f>
        <v/>
      </c>
      <c r="G34" s="5">
        <f>IFERROR(1*INDEX(CAGR!$H:$H, MATCH($A34&amp;"|"&amp;$B$2, CAGR!$L:$L, 0)), NA())</f>
        <v/>
      </c>
      <c r="H34" s="5">
        <f>IFERROR(1*INDEX(CAGR!$I:$I, MATCH($A34&amp;"|"&amp;$B$2, CAGR!$L:$L, 0)), NA())</f>
        <v/>
      </c>
      <c r="I34" s="5">
        <f>IF(AND(ISNUMBER(E34),ISNUMBER(H34)),H34-E34,NA())</f>
        <v/>
      </c>
    </row>
    <row r="35">
      <c r="K35" s="3" t="inlineStr">
        <is>
          <t>CAGR Comparison (%)</t>
        </is>
      </c>
    </row>
    <row r="36">
      <c r="K36" s="3" t="inlineStr">
        <is>
          <t>Horizon</t>
        </is>
      </c>
      <c r="L36" s="3" t="inlineStr">
        <is>
          <t>ETF CAGR %</t>
        </is>
      </c>
      <c r="M36" s="3" t="inlineStr">
        <is>
          <t>Real GDP CAGR %</t>
        </is>
      </c>
      <c r="N36" s="3" t="inlineStr">
        <is>
          <t>Nominal GDP CAGR % (LCU)</t>
        </is>
      </c>
      <c r="O36" s="3" t="inlineStr">
        <is>
          <t>Nominal GDP CAGR % (USD)</t>
        </is>
      </c>
      <c r="P36" s="3" t="inlineStr">
        <is>
          <t>Nominal GDP USD - ETF CAGR %</t>
        </is>
      </c>
    </row>
    <row r="37">
      <c r="K37" t="inlineStr">
        <is>
          <t>3Y</t>
        </is>
      </c>
      <c r="L37" s="5">
        <f>IFERROR(1*INDEX(CAGR!$F:$F, MATCH($L$2&amp;"|"&amp;$L$3&amp;"|"&amp;$K37, CAGR!$K:$K, 0)), NA())</f>
        <v/>
      </c>
      <c r="M37" s="5">
        <f>IFERROR(1*INDEX(CAGR!$G:$G, MATCH($L$2&amp;"|"&amp;$K37, CAGR!$L:$L, 0)), NA())</f>
        <v/>
      </c>
      <c r="N37" s="5">
        <f>IFERROR(1*INDEX(CAGR!$H:$H, MATCH($L$2&amp;"|"&amp;$K37, CAGR!$L:$L, 0)), NA())</f>
        <v/>
      </c>
      <c r="O37" s="5">
        <f>IFERROR(1*INDEX(CAGR!$I:$I, MATCH($L$2&amp;"|"&amp;$K37, CAGR!$L:$L, 0)), NA())</f>
        <v/>
      </c>
      <c r="P37" s="5">
        <f>IFERROR(1*INDEX(CAGR!$J:$J, MATCH($L$2&amp;"|"&amp;$K37, CAGR!$L:$L, 0)), NA())</f>
        <v/>
      </c>
    </row>
    <row r="38">
      <c r="K38" t="inlineStr">
        <is>
          <t>5Y</t>
        </is>
      </c>
      <c r="L38" s="5">
        <f>IFERROR(1*INDEX(CAGR!$F:$F, MATCH($L$2&amp;"|"&amp;$L$3&amp;"|"&amp;$K38, CAGR!$K:$K, 0)), NA())</f>
        <v/>
      </c>
      <c r="M38" s="5">
        <f>IFERROR(1*INDEX(CAGR!$G:$G, MATCH($L$2&amp;"|"&amp;$K38, CAGR!$L:$L, 0)), NA())</f>
        <v/>
      </c>
      <c r="N38" s="5">
        <f>IFERROR(1*INDEX(CAGR!$H:$H, MATCH($L$2&amp;"|"&amp;$K38, CAGR!$L:$L, 0)), NA())</f>
        <v/>
      </c>
      <c r="O38" s="5">
        <f>IFERROR(1*INDEX(CAGR!$I:$I, MATCH($L$2&amp;"|"&amp;$K38, CAGR!$L:$L, 0)), NA())</f>
        <v/>
      </c>
      <c r="P38" s="5">
        <f>IFERROR(1*INDEX(CAGR!$J:$J, MATCH($L$2&amp;"|"&amp;$K38, CAGR!$L:$L, 0)), NA())</f>
        <v/>
      </c>
    </row>
    <row r="39">
      <c r="K39" t="inlineStr">
        <is>
          <t>10Y</t>
        </is>
      </c>
      <c r="L39" s="5">
        <f>IFERROR(1*INDEX(CAGR!$F:$F, MATCH($L$2&amp;"|"&amp;$L$3&amp;"|"&amp;$K39, CAGR!$K:$K, 0)), NA())</f>
        <v/>
      </c>
      <c r="M39" s="5">
        <f>IFERROR(1*INDEX(CAGR!$G:$G, MATCH($L$2&amp;"|"&amp;$K39, CAGR!$L:$L, 0)), NA())</f>
        <v/>
      </c>
      <c r="N39" s="5">
        <f>IFERROR(1*INDEX(CAGR!$H:$H, MATCH($L$2&amp;"|"&amp;$K39, CAGR!$L:$L, 0)), NA())</f>
        <v/>
      </c>
      <c r="O39" s="5">
        <f>IFERROR(1*INDEX(CAGR!$I:$I, MATCH($L$2&amp;"|"&amp;$K39, CAGR!$L:$L, 0)), NA())</f>
        <v/>
      </c>
      <c r="P39" s="5">
        <f>IFERROR(1*INDEX(CAGR!$J:$J, MATCH($L$2&amp;"|"&amp;$K39, CAGR!$L:$L, 0)), NA())</f>
        <v/>
      </c>
    </row>
  </sheetData>
  <autoFilter ref="A5:I34"/>
  <conditionalFormatting sqref="L9:L1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L22:P32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L37:P39">
    <cfRule type="cellIs" priority="5" operator="greaterThanOrEqual" dxfId="0">
      <formula>0</formula>
    </cfRule>
    <cfRule type="cellIs" priority="6" operator="lessThan" dxfId="1">
      <formula>0</formula>
    </cfRule>
  </conditionalFormatting>
  <conditionalFormatting sqref="E6:I34">
    <cfRule type="cellIs" priority="7" operator="greaterThanOrEqual" dxfId="0">
      <formula>0</formula>
    </cfRule>
    <cfRule type="cellIs" priority="8" operator="lessThan" dxfId="1">
      <formula>0</formula>
    </cfRule>
  </conditionalFormatting>
  <dataValidations count="2">
    <dataValidation sqref="B2" showDropDown="0" showInputMessage="0" showErrorMessage="0" allowBlank="0" type="list">
      <formula1>"1Y,3Y,5Y,10Y"</formula1>
    </dataValidation>
    <dataValidation sqref="L2" showDropDown="0" showInputMessage="0" showErrorMessage="0" allowBlank="0" type="list">
      <formula1>=Lists!$A$2:$A$36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2026-03-05T14:57:45Z</dcterms:created>
  <dcterms:modified xsi:type="dcterms:W3CDTF">2026-03-05T14:57:46Z</dcterms:modified>
</cp:coreProperties>
</file>