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'ETF_Timeframes'!$A$1:$I$591</definedName>
    <definedName name="_xlnm._FilterDatabase" localSheetId="1" hidden="1">'Annual'!$A$1:$Q$805</definedName>
    <definedName name="_xlnm._FilterDatabase" localSheetId="2" hidden="1">'CAGR'!$A$1:$M$397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NDIA.L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-8.656991902346245</v>
      </c>
      <c r="H186" t="inlineStr">
        <is>
          <t>India|NDIA.L|YTD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NDIA.L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-7.099788139562802</v>
      </c>
      <c r="H187" t="inlineStr">
        <is>
          <t>India|NDIA.L|1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NDIA.L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-8.638308617289169</v>
      </c>
      <c r="H188" t="inlineStr">
        <is>
          <t>India|NDIA.L|3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NDIA.L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-5.338414478313602</v>
      </c>
      <c r="H189" t="inlineStr">
        <is>
          <t>India|NDIA.L|6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NDIA.L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5.401582476237432</v>
      </c>
      <c r="H190" t="inlineStr">
        <is>
          <t>India|NDIA.L|1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NDIA.L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30.79174645355427</v>
      </c>
      <c r="H191" t="inlineStr">
        <is>
          <t>India|NDIA.L|3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NDIA.L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34.20934648102551</v>
      </c>
      <c r="H192" t="inlineStr">
        <is>
          <t>India|NDIA.L|5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NDIA.L</t>
        </is>
      </c>
      <c r="D193" t="inlineStr">
        <is>
          <t>MAX</t>
        </is>
      </c>
      <c r="E193" s="1" t="n">
        <v>43250</v>
      </c>
      <c r="F193" s="1" t="n">
        <v>46086</v>
      </c>
      <c r="G193" t="n">
        <v>74.32946549406803</v>
      </c>
      <c r="H193" t="inlineStr">
        <is>
          <t>India|NDIA.L|MAX</t>
        </is>
      </c>
      <c r="I193" t="inlineStr">
        <is>
          <t>USD</t>
        </is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EIDO</t>
        </is>
      </c>
      <c r="D194" t="inlineStr">
        <is>
          <t>YTD</t>
        </is>
      </c>
      <c r="E194" s="1" t="n">
        <v>46022</v>
      </c>
      <c r="F194" s="1" t="n">
        <v>46086</v>
      </c>
      <c r="G194" t="n">
        <v>-10.90909535987995</v>
      </c>
      <c r="H194" t="inlineStr">
        <is>
          <t>Indonesia|EIDO|YTD</t>
        </is>
      </c>
      <c r="I194" t="inlineStr">
        <is>
          <t>USD</t>
        </is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EIDO</t>
        </is>
      </c>
      <c r="D195" t="inlineStr">
        <is>
          <t>1 Month</t>
        </is>
      </c>
      <c r="E195" s="1" t="n">
        <v>46058</v>
      </c>
      <c r="F195" s="1" t="n">
        <v>46086</v>
      </c>
      <c r="G195" t="n">
        <v>-4.854371047167061</v>
      </c>
      <c r="H195" t="inlineStr">
        <is>
          <t>Indonesia|EIDO|1 Month</t>
        </is>
      </c>
      <c r="I195" t="inlineStr">
        <is>
          <t>USD</t>
        </is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EIDO</t>
        </is>
      </c>
      <c r="D196" t="inlineStr">
        <is>
          <t>3 Months</t>
        </is>
      </c>
      <c r="E196" s="1" t="n">
        <v>45996</v>
      </c>
      <c r="F196" s="1" t="n">
        <v>46086</v>
      </c>
      <c r="G196" t="n">
        <v>-11.47715134132623</v>
      </c>
      <c r="H196" t="inlineStr">
        <is>
          <t>Indonesia|EIDO|3 Months</t>
        </is>
      </c>
      <c r="I196" t="inlineStr">
        <is>
          <t>USD</t>
        </is>
      </c>
    </row>
    <row r="197">
      <c r="A197" t="inlineStr">
        <is>
          <t>Indonesia</t>
        </is>
      </c>
      <c r="B197" t="inlineStr">
        <is>
          <t>IDN</t>
        </is>
      </c>
      <c r="C197" t="inlineStr">
        <is>
          <t>EIDO</t>
        </is>
      </c>
      <c r="D197" t="inlineStr">
        <is>
          <t>6 Months</t>
        </is>
      </c>
      <c r="E197" s="1" t="n">
        <v>45905</v>
      </c>
      <c r="F197" s="1" t="n">
        <v>46086</v>
      </c>
      <c r="G197" t="n">
        <v>-7.083103380634448</v>
      </c>
      <c r="H197" t="inlineStr">
        <is>
          <t>Indonesia|EIDO|6 Months</t>
        </is>
      </c>
      <c r="I197" t="inlineStr">
        <is>
          <t>USD</t>
        </is>
      </c>
    </row>
    <row r="198">
      <c r="A198" t="inlineStr">
        <is>
          <t>Indonesia</t>
        </is>
      </c>
      <c r="B198" t="inlineStr">
        <is>
          <t>IDN</t>
        </is>
      </c>
      <c r="C198" t="inlineStr">
        <is>
          <t>EIDO</t>
        </is>
      </c>
      <c r="D198" t="inlineStr">
        <is>
          <t>1 Year</t>
        </is>
      </c>
      <c r="E198" s="1" t="n">
        <v>45721</v>
      </c>
      <c r="F198" s="1" t="n">
        <v>46086</v>
      </c>
      <c r="G198" t="n">
        <v>-2.287386551905057</v>
      </c>
      <c r="H198" t="inlineStr">
        <is>
          <t>Indonesia|EIDO|1 Year</t>
        </is>
      </c>
      <c r="I198" t="inlineStr">
        <is>
          <t>USD</t>
        </is>
      </c>
    </row>
    <row r="199">
      <c r="A199" t="inlineStr">
        <is>
          <t>Indonesia</t>
        </is>
      </c>
      <c r="B199" t="inlineStr">
        <is>
          <t>IDN</t>
        </is>
      </c>
      <c r="C199" t="inlineStr">
        <is>
          <t>EIDO</t>
        </is>
      </c>
      <c r="D199" t="inlineStr">
        <is>
          <t>3 Years</t>
        </is>
      </c>
      <c r="E199" s="1" t="n">
        <v>44988</v>
      </c>
      <c r="F199" s="1" t="n">
        <v>46086</v>
      </c>
      <c r="G199" t="n">
        <v>-26.31579213764088</v>
      </c>
      <c r="H199" t="inlineStr">
        <is>
          <t>Indonesia|EIDO|3 Years</t>
        </is>
      </c>
      <c r="I199" t="inlineStr">
        <is>
          <t>USD</t>
        </is>
      </c>
    </row>
    <row r="200">
      <c r="A200" t="inlineStr">
        <is>
          <t>Indonesia</t>
        </is>
      </c>
      <c r="B200" t="inlineStr">
        <is>
          <t>IDN</t>
        </is>
      </c>
      <c r="C200" t="inlineStr">
        <is>
          <t>EIDO</t>
        </is>
      </c>
      <c r="D200" t="inlineStr">
        <is>
          <t>5 Years</t>
        </is>
      </c>
      <c r="E200" s="1" t="n">
        <v>44260</v>
      </c>
      <c r="F200" s="1" t="n">
        <v>46086</v>
      </c>
      <c r="G200" t="n">
        <v>-27.28066364743339</v>
      </c>
      <c r="H200" t="inlineStr">
        <is>
          <t>Indonesia|EIDO|5 Years</t>
        </is>
      </c>
      <c r="I200" t="inlineStr">
        <is>
          <t>USD</t>
        </is>
      </c>
    </row>
    <row r="201">
      <c r="A201" t="inlineStr">
        <is>
          <t>Indonesia</t>
        </is>
      </c>
      <c r="B201" t="inlineStr">
        <is>
          <t>IDN</t>
        </is>
      </c>
      <c r="C201" t="inlineStr">
        <is>
          <t>EIDO</t>
        </is>
      </c>
      <c r="D201" t="inlineStr">
        <is>
          <t>10 Years</t>
        </is>
      </c>
      <c r="E201" s="1" t="n">
        <v>42433</v>
      </c>
      <c r="F201" s="1" t="n">
        <v>46086</v>
      </c>
      <c r="G201" t="n">
        <v>-30.05877388389676</v>
      </c>
      <c r="H201" t="inlineStr">
        <is>
          <t>Indonesia|EIDO|10 Years</t>
        </is>
      </c>
      <c r="I201" t="inlineStr">
        <is>
          <t>USD</t>
        </is>
      </c>
    </row>
    <row r="202">
      <c r="A202" t="inlineStr">
        <is>
          <t>Indonesia</t>
        </is>
      </c>
      <c r="B202" t="inlineStr">
        <is>
          <t>IDN</t>
        </is>
      </c>
      <c r="C202" t="inlineStr">
        <is>
          <t>EIDO</t>
        </is>
      </c>
      <c r="D202" t="inlineStr">
        <is>
          <t>MAX</t>
        </is>
      </c>
      <c r="E202" s="1" t="n">
        <v>40308</v>
      </c>
      <c r="F202" s="1" t="n">
        <v>46086</v>
      </c>
      <c r="G202" t="n">
        <v>-29.67497057055326</v>
      </c>
      <c r="H202" t="inlineStr">
        <is>
          <t>Indonesia|EIDO|MAX</t>
        </is>
      </c>
      <c r="I202" t="inlineStr">
        <is>
          <t>USD</t>
        </is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-1.65654609892627</v>
      </c>
      <c r="H203" t="inlineStr">
        <is>
          <t>Italy|EWI|YTD</t>
        </is>
      </c>
      <c r="I203" t="inlineStr">
        <is>
          <t>USD</t>
        </is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-4.0754047157465</v>
      </c>
      <c r="H204" t="inlineStr">
        <is>
          <t>Italy|EWI|1 Month</t>
        </is>
      </c>
      <c r="I204" t="inlineStr">
        <is>
          <t>USD</t>
        </is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0.8493785708335144</v>
      </c>
      <c r="H205" t="inlineStr">
        <is>
          <t>Italy|EWI|3 Months</t>
        </is>
      </c>
      <c r="I205" t="inlineStr">
        <is>
          <t>USD</t>
        </is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5.885852704299865</v>
      </c>
      <c r="H206" t="inlineStr">
        <is>
          <t>Italy|EWI|6 Months</t>
        </is>
      </c>
      <c r="I206" t="inlineStr">
        <is>
          <t>USD</t>
        </is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25.15812139602021</v>
      </c>
      <c r="H207" t="inlineStr">
        <is>
          <t>Italy|EWI|1 Year</t>
        </is>
      </c>
      <c r="I207" t="inlineStr">
        <is>
          <t>USD</t>
        </is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73.41772551550261</v>
      </c>
      <c r="H208" t="inlineStr">
        <is>
          <t>Italy|EWI|3 Years</t>
        </is>
      </c>
      <c r="I208" t="inlineStr">
        <is>
          <t>USD</t>
        </is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76.80344645661386</v>
      </c>
      <c r="H209" t="inlineStr">
        <is>
          <t>Italy|EWI|5 Years</t>
        </is>
      </c>
      <c r="I209" t="inlineStr">
        <is>
          <t>USD</t>
        </is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123.5564902007368</v>
      </c>
      <c r="H210" t="inlineStr">
        <is>
          <t>Italy|EWI|10 Years</t>
        </is>
      </c>
      <c r="I210" t="inlineStr">
        <is>
          <t>USD</t>
        </is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inlineStr">
        <is>
          <t>MAX</t>
        </is>
      </c>
      <c r="E211" s="1" t="n">
        <v>35143</v>
      </c>
      <c r="F211" s="1" t="n">
        <v>46086</v>
      </c>
      <c r="G211" t="n">
        <v>97.88889001916957</v>
      </c>
      <c r="H211" t="inlineStr">
        <is>
          <t>Italy|EWI|MAX</t>
        </is>
      </c>
      <c r="I211" t="inlineStr">
        <is>
          <t>USD</t>
        </is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6.035538922148342</v>
      </c>
      <c r="H212" t="inlineStr">
        <is>
          <t>Japan|CJPU.L|YTD</t>
        </is>
      </c>
      <c r="I212" t="inlineStr">
        <is>
          <t>USD</t>
        </is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-1.088831544776814</v>
      </c>
      <c r="H213" t="inlineStr">
        <is>
          <t>Japan|CJPU.L|1 Month</t>
        </is>
      </c>
      <c r="I213" t="inlineStr">
        <is>
          <t>USD</t>
        </is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6.50495085541134</v>
      </c>
      <c r="H214" t="inlineStr">
        <is>
          <t>Japan|CJPU.L|3 Months</t>
        </is>
      </c>
      <c r="I214" t="inlineStr">
        <is>
          <t>USD</t>
        </is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12.38668279828246</v>
      </c>
      <c r="H215" t="inlineStr">
        <is>
          <t>Japan|CJPU.L|6 Months</t>
        </is>
      </c>
      <c r="I215" t="inlineStr">
        <is>
          <t>USD</t>
        </is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29.08031121978949</v>
      </c>
      <c r="H216" t="inlineStr">
        <is>
          <t>Japan|CJPU.L|1 Year</t>
        </is>
      </c>
      <c r="I216" t="inlineStr">
        <is>
          <t>USD</t>
        </is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65.11956217044454</v>
      </c>
      <c r="H217" t="inlineStr">
        <is>
          <t>Japan|CJPU.L|3 Years</t>
        </is>
      </c>
      <c r="I217" t="inlineStr">
        <is>
          <t>USD</t>
        </is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44.6677614561158</v>
      </c>
      <c r="H218" t="inlineStr">
        <is>
          <t>Japan|CJPU.L|5 Years</t>
        </is>
      </c>
      <c r="I218" t="inlineStr">
        <is>
          <t>USD</t>
        </is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126.9860485809562</v>
      </c>
      <c r="H219" t="inlineStr">
        <is>
          <t>Japan|CJPU.L|10 Years</t>
        </is>
      </c>
      <c r="I219" t="inlineStr">
        <is>
          <t>USD</t>
        </is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inlineStr">
        <is>
          <t>MAX</t>
        </is>
      </c>
      <c r="E220" s="1" t="n">
        <v>40190</v>
      </c>
      <c r="F220" s="1" t="n">
        <v>46086</v>
      </c>
      <c r="G220" t="n">
        <v>142.7794648005505</v>
      </c>
      <c r="H220" t="inlineStr">
        <is>
          <t>Japan|CJPU.L|MAX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EWJ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6.378500943941523</v>
      </c>
      <c r="H221" t="inlineStr">
        <is>
          <t>Japan|EWJ|YTD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EWJ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-0.243901380016609</v>
      </c>
      <c r="H222" t="inlineStr">
        <is>
          <t>Japan|EWJ|1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EWJ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2.616490467449473</v>
      </c>
      <c r="H223" t="inlineStr">
        <is>
          <t>Japan|EWJ|3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EWJ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8.474361023757204</v>
      </c>
      <c r="H224" t="inlineStr">
        <is>
          <t>Japan|EWJ|6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EWJ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22.43763010890729</v>
      </c>
      <c r="H225" t="inlineStr">
        <is>
          <t>Japan|EWJ|1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EWJ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49.68629799725739</v>
      </c>
      <c r="H226" t="inlineStr">
        <is>
          <t>Japan|EWJ|3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EWJ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26.01231627778695</v>
      </c>
      <c r="H227" t="inlineStr">
        <is>
          <t>Japan|EWJ|5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EWJ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86.39322043551788</v>
      </c>
      <c r="H228" t="inlineStr">
        <is>
          <t>Japan|EWJ|10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EWJ</t>
        </is>
      </c>
      <c r="D229" t="inlineStr">
        <is>
          <t>MAX</t>
        </is>
      </c>
      <c r="E229" s="1" t="n">
        <v>35143</v>
      </c>
      <c r="F229" s="1" t="n">
        <v>46086</v>
      </c>
      <c r="G229" t="n">
        <v>43.14999898274741</v>
      </c>
      <c r="H229" t="inlineStr">
        <is>
          <t>Japan|EWJ|MAX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LCJP.L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7.097084991972569</v>
      </c>
      <c r="H230" t="inlineStr">
        <is>
          <t>Japan|LCJP.L|YTD</t>
        </is>
      </c>
      <c r="I230" t="inlineStr">
        <is>
          <t>GBP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LCJP.L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0.6419301158234969</v>
      </c>
      <c r="H231" t="inlineStr">
        <is>
          <t>Japan|LCJP.L|1 Month</t>
        </is>
      </c>
      <c r="I231" t="inlineStr">
        <is>
          <t>GBP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LCJP.L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6.434359363494457</v>
      </c>
      <c r="H232" t="inlineStr">
        <is>
          <t>Japan|LCJP.L|3 Months</t>
        </is>
      </c>
      <c r="I232" t="inlineStr">
        <is>
          <t>GBP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LCJP.L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14.13477159033638</v>
      </c>
      <c r="H233" t="inlineStr">
        <is>
          <t>Japan|LCJP.L|6 Months</t>
        </is>
      </c>
      <c r="I233" t="inlineStr">
        <is>
          <t>GBP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LCJP.L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24.50628638191423</v>
      </c>
      <c r="H234" t="inlineStr">
        <is>
          <t>Japan|LCJP.L|1 Year</t>
        </is>
      </c>
      <c r="I234" t="inlineStr">
        <is>
          <t>GBP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LCJP.L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48.79891986332323</v>
      </c>
      <c r="H235" t="inlineStr">
        <is>
          <t>Japan|LCJP.L|3 Years</t>
        </is>
      </c>
      <c r="I235" t="inlineStr">
        <is>
          <t>GBP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LCJP.L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51.08306205747388</v>
      </c>
      <c r="H236" t="inlineStr">
        <is>
          <t>Japan|LCJP.L|5 Years</t>
        </is>
      </c>
      <c r="I236" t="inlineStr">
        <is>
          <t>GBP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LCJP.L</t>
        </is>
      </c>
      <c r="D237" t="inlineStr">
        <is>
          <t>MAX</t>
        </is>
      </c>
      <c r="E237" s="1" t="n">
        <v>43185</v>
      </c>
      <c r="F237" s="1" t="n">
        <v>46086</v>
      </c>
      <c r="G237" t="n">
        <v>88.5884554242536</v>
      </c>
      <c r="H237" t="inlineStr">
        <is>
          <t>Japan|LCJP.L|MAX</t>
        </is>
      </c>
      <c r="I237" t="inlineStr">
        <is>
          <t>GBP</t>
        </is>
      </c>
    </row>
    <row r="238">
      <c r="A238" t="inlineStr">
        <is>
          <t>Kuwait</t>
        </is>
      </c>
      <c r="B238" t="inlineStr">
        <is>
          <t>KWT</t>
        </is>
      </c>
      <c r="C238" t="inlineStr">
        <is>
          <t>MKUW.L</t>
        </is>
      </c>
      <c r="D238" t="inlineStr">
        <is>
          <t>YTD</t>
        </is>
      </c>
      <c r="E238" s="1" t="n">
        <v>46022</v>
      </c>
      <c r="F238" s="1" t="n">
        <v>46086</v>
      </c>
      <c r="G238" t="n">
        <v>-3.762695582167697</v>
      </c>
      <c r="H238" t="inlineStr">
        <is>
          <t>Kuwait|MKUW.L|YTD</t>
        </is>
      </c>
      <c r="I238" t="inlineStr">
        <is>
          <t>USD</t>
        </is>
      </c>
    </row>
    <row r="239">
      <c r="A239" t="inlineStr">
        <is>
          <t>Kuwait</t>
        </is>
      </c>
      <c r="B239" t="inlineStr">
        <is>
          <t>KWT</t>
        </is>
      </c>
      <c r="C239" t="inlineStr">
        <is>
          <t>MKUW.L</t>
        </is>
      </c>
      <c r="D239" t="inlineStr">
        <is>
          <t>1 Month</t>
        </is>
      </c>
      <c r="E239" s="1" t="n">
        <v>46058</v>
      </c>
      <c r="F239" s="1" t="n">
        <v>46086</v>
      </c>
      <c r="G239" t="n">
        <v>-0.6390919321806687</v>
      </c>
      <c r="H239" t="inlineStr">
        <is>
          <t>Kuwait|MKUW.L|1 Month</t>
        </is>
      </c>
      <c r="I239" t="inlineStr">
        <is>
          <t>USD</t>
        </is>
      </c>
    </row>
    <row r="240">
      <c r="A240" t="inlineStr">
        <is>
          <t>Kuwait</t>
        </is>
      </c>
      <c r="B240" t="inlineStr">
        <is>
          <t>KWT</t>
        </is>
      </c>
      <c r="C240" t="inlineStr">
        <is>
          <t>MKUW.L</t>
        </is>
      </c>
      <c r="D240" t="inlineStr">
        <is>
          <t>3 Months</t>
        </is>
      </c>
      <c r="E240" s="1" t="n">
        <v>45996</v>
      </c>
      <c r="F240" s="1" t="n">
        <v>46086</v>
      </c>
      <c r="G240" t="n">
        <v>-3.802837430455497</v>
      </c>
      <c r="H240" t="inlineStr">
        <is>
          <t>Kuwait|MKUW.L|3 Months</t>
        </is>
      </c>
      <c r="I240" t="inlineStr">
        <is>
          <t>USD</t>
        </is>
      </c>
    </row>
    <row r="241">
      <c r="A241" t="inlineStr">
        <is>
          <t>Kuwait</t>
        </is>
      </c>
      <c r="B241" t="inlineStr">
        <is>
          <t>KWT</t>
        </is>
      </c>
      <c r="C241" t="inlineStr">
        <is>
          <t>MKUW.L</t>
        </is>
      </c>
      <c r="D241" t="inlineStr">
        <is>
          <t>6 Months</t>
        </is>
      </c>
      <c r="E241" s="1" t="n">
        <v>45905</v>
      </c>
      <c r="F241" s="1" t="n">
        <v>46086</v>
      </c>
      <c r="G241" t="n">
        <v>-0.4317522474240554</v>
      </c>
      <c r="H241" t="inlineStr">
        <is>
          <t>Kuwait|MKUW.L|6 Months</t>
        </is>
      </c>
      <c r="I241" t="inlineStr">
        <is>
          <t>USD</t>
        </is>
      </c>
    </row>
    <row r="242">
      <c r="A242" t="inlineStr">
        <is>
          <t>Kuwait</t>
        </is>
      </c>
      <c r="B242" t="inlineStr">
        <is>
          <t>KWT</t>
        </is>
      </c>
      <c r="C242" t="inlineStr">
        <is>
          <t>MKUW.L</t>
        </is>
      </c>
      <c r="D242" t="inlineStr">
        <is>
          <t>1 Year</t>
        </is>
      </c>
      <c r="E242" s="1" t="n">
        <v>45721</v>
      </c>
      <c r="F242" s="1" t="n">
        <v>46086</v>
      </c>
      <c r="G242" t="n">
        <v>10.17596874906599</v>
      </c>
      <c r="H242" t="inlineStr">
        <is>
          <t>Kuwait|MKUW.L|1 Year</t>
        </is>
      </c>
      <c r="I242" t="inlineStr">
        <is>
          <t>USD</t>
        </is>
      </c>
    </row>
    <row r="243">
      <c r="A243" t="inlineStr">
        <is>
          <t>Kuwait</t>
        </is>
      </c>
      <c r="B243" t="inlineStr">
        <is>
          <t>KWT</t>
        </is>
      </c>
      <c r="C243" t="inlineStr">
        <is>
          <t>MKUW.L</t>
        </is>
      </c>
      <c r="D243" t="inlineStr">
        <is>
          <t>3 Years</t>
        </is>
      </c>
      <c r="E243" s="1" t="n">
        <v>44988</v>
      </c>
      <c r="F243" s="1" t="n">
        <v>46086</v>
      </c>
      <c r="G243" t="n">
        <v>22.82086864845816</v>
      </c>
      <c r="H243" t="inlineStr">
        <is>
          <t>Kuwait|MKUW.L|3 Years</t>
        </is>
      </c>
      <c r="I243" t="inlineStr">
        <is>
          <t>USD</t>
        </is>
      </c>
    </row>
    <row r="244">
      <c r="A244" t="inlineStr">
        <is>
          <t>Kuwait</t>
        </is>
      </c>
      <c r="B244" t="inlineStr">
        <is>
          <t>KWT</t>
        </is>
      </c>
      <c r="C244" t="inlineStr">
        <is>
          <t>MKUW.L</t>
        </is>
      </c>
      <c r="D244" t="inlineStr">
        <is>
          <t>5 Years</t>
        </is>
      </c>
      <c r="E244" s="1" t="n">
        <v>44260</v>
      </c>
      <c r="F244" s="1" t="n">
        <v>46086</v>
      </c>
      <c r="G244" t="n">
        <v>61.1389201017525</v>
      </c>
      <c r="H244" t="inlineStr">
        <is>
          <t>Kuwait|MKUW.L|5 Years</t>
        </is>
      </c>
      <c r="I244" t="inlineStr">
        <is>
          <t>USD</t>
        </is>
      </c>
    </row>
    <row r="245">
      <c r="A245" t="inlineStr">
        <is>
          <t>Kuwait</t>
        </is>
      </c>
      <c r="B245" t="inlineStr">
        <is>
          <t>KWT</t>
        </is>
      </c>
      <c r="C245" t="inlineStr">
        <is>
          <t>MKUW.L</t>
        </is>
      </c>
      <c r="D245" t="inlineStr">
        <is>
          <t>MAX</t>
        </is>
      </c>
      <c r="E245" s="1" t="n">
        <v>43766</v>
      </c>
      <c r="F245" s="1" t="n">
        <v>46086</v>
      </c>
      <c r="G245" t="n">
        <v>62.82079043409345</v>
      </c>
      <c r="H245" t="inlineStr">
        <is>
          <t>Kuwait|MKUW.L|MAX</t>
        </is>
      </c>
      <c r="I245" t="inlineStr">
        <is>
          <t>USD</t>
        </is>
      </c>
    </row>
    <row r="246">
      <c r="A246" t="inlineStr">
        <is>
          <t>Malaysia</t>
        </is>
      </c>
      <c r="B246" t="inlineStr">
        <is>
          <t>MYS</t>
        </is>
      </c>
      <c r="C246" t="inlineStr">
        <is>
          <t>EWM</t>
        </is>
      </c>
      <c r="D246" t="inlineStr">
        <is>
          <t>YTD</t>
        </is>
      </c>
      <c r="E246" s="1" t="n">
        <v>46022</v>
      </c>
      <c r="F246" s="1" t="n">
        <v>46086</v>
      </c>
      <c r="G246" t="n">
        <v>4.312866516272429</v>
      </c>
      <c r="H246" t="inlineStr">
        <is>
          <t>Malaysia|EWM|YTD</t>
        </is>
      </c>
      <c r="I246" t="inlineStr">
        <is>
          <t>USD</t>
        </is>
      </c>
    </row>
    <row r="247">
      <c r="A247" t="inlineStr">
        <is>
          <t>Malaysia</t>
        </is>
      </c>
      <c r="B247" t="inlineStr">
        <is>
          <t>MYS</t>
        </is>
      </c>
      <c r="C247" t="inlineStr">
        <is>
          <t>EWM</t>
        </is>
      </c>
      <c r="D247" t="inlineStr">
        <is>
          <t>1 Month</t>
        </is>
      </c>
      <c r="E247" s="1" t="n">
        <v>46058</v>
      </c>
      <c r="F247" s="1" t="n">
        <v>46086</v>
      </c>
      <c r="G247" t="n">
        <v>-2.193280955980381</v>
      </c>
      <c r="H247" t="inlineStr">
        <is>
          <t>Malaysia|EWM|1 Month</t>
        </is>
      </c>
      <c r="I247" t="inlineStr">
        <is>
          <t>USD</t>
        </is>
      </c>
    </row>
    <row r="248">
      <c r="A248" t="inlineStr">
        <is>
          <t>Malaysia</t>
        </is>
      </c>
      <c r="B248" t="inlineStr">
        <is>
          <t>MYS</t>
        </is>
      </c>
      <c r="C248" t="inlineStr">
        <is>
          <t>EWM</t>
        </is>
      </c>
      <c r="D248" t="inlineStr">
        <is>
          <t>3 Months</t>
        </is>
      </c>
      <c r="E248" s="1" t="n">
        <v>45996</v>
      </c>
      <c r="F248" s="1" t="n">
        <v>46086</v>
      </c>
      <c r="G248" t="n">
        <v>7.132138023310874</v>
      </c>
      <c r="H248" t="inlineStr">
        <is>
          <t>Malaysia|EWM|3 Months</t>
        </is>
      </c>
      <c r="I248" t="inlineStr">
        <is>
          <t>USD</t>
        </is>
      </c>
    </row>
    <row r="249">
      <c r="A249" t="inlineStr">
        <is>
          <t>Malaysia</t>
        </is>
      </c>
      <c r="B249" t="inlineStr">
        <is>
          <t>MYS</t>
        </is>
      </c>
      <c r="C249" t="inlineStr">
        <is>
          <t>EWM</t>
        </is>
      </c>
      <c r="D249" t="inlineStr">
        <is>
          <t>6 Months</t>
        </is>
      </c>
      <c r="E249" s="1" t="n">
        <v>45905</v>
      </c>
      <c r="F249" s="1" t="n">
        <v>46086</v>
      </c>
      <c r="G249" t="n">
        <v>14.02317272310167</v>
      </c>
      <c r="H249" t="inlineStr">
        <is>
          <t>Malaysia|EWM|6 Months</t>
        </is>
      </c>
      <c r="I249" t="inlineStr">
        <is>
          <t>USD</t>
        </is>
      </c>
    </row>
    <row r="250">
      <c r="A250" t="inlineStr">
        <is>
          <t>Malaysia</t>
        </is>
      </c>
      <c r="B250" t="inlineStr">
        <is>
          <t>MYS</t>
        </is>
      </c>
      <c r="C250" t="inlineStr">
        <is>
          <t>EWM</t>
        </is>
      </c>
      <c r="D250" t="inlineStr">
        <is>
          <t>1 Year</t>
        </is>
      </c>
      <c r="E250" s="1" t="n">
        <v>45721</v>
      </c>
      <c r="F250" s="1" t="n">
        <v>46086</v>
      </c>
      <c r="G250" t="n">
        <v>20.26970697883847</v>
      </c>
      <c r="H250" t="inlineStr">
        <is>
          <t>Malaysia|EWM|1 Year</t>
        </is>
      </c>
      <c r="I250" t="inlineStr">
        <is>
          <t>USD</t>
        </is>
      </c>
    </row>
    <row r="251">
      <c r="A251" t="inlineStr">
        <is>
          <t>Malaysia</t>
        </is>
      </c>
      <c r="B251" t="inlineStr">
        <is>
          <t>MYS</t>
        </is>
      </c>
      <c r="C251" t="inlineStr">
        <is>
          <t>EWM</t>
        </is>
      </c>
      <c r="D251" t="inlineStr">
        <is>
          <t>3 Years</t>
        </is>
      </c>
      <c r="E251" s="1" t="n">
        <v>44988</v>
      </c>
      <c r="F251" s="1" t="n">
        <v>46086</v>
      </c>
      <c r="G251" t="n">
        <v>29.72727688876065</v>
      </c>
      <c r="H251" t="inlineStr">
        <is>
          <t>Malaysia|EWM|3 Years</t>
        </is>
      </c>
      <c r="I251" t="inlineStr">
        <is>
          <t>USD</t>
        </is>
      </c>
    </row>
    <row r="252">
      <c r="A252" t="inlineStr">
        <is>
          <t>Malaysia</t>
        </is>
      </c>
      <c r="B252" t="inlineStr">
        <is>
          <t>MYS</t>
        </is>
      </c>
      <c r="C252" t="inlineStr">
        <is>
          <t>EWM</t>
        </is>
      </c>
      <c r="D252" t="inlineStr">
        <is>
          <t>5 Years</t>
        </is>
      </c>
      <c r="E252" s="1" t="n">
        <v>44260</v>
      </c>
      <c r="F252" s="1" t="n">
        <v>46086</v>
      </c>
      <c r="G252" t="n">
        <v>3.970856547514234</v>
      </c>
      <c r="H252" t="inlineStr">
        <is>
          <t>Malaysia|EWM|5 Years</t>
        </is>
      </c>
      <c r="I252" t="inlineStr">
        <is>
          <t>USD</t>
        </is>
      </c>
    </row>
    <row r="253">
      <c r="A253" t="inlineStr">
        <is>
          <t>Malaysia</t>
        </is>
      </c>
      <c r="B253" t="inlineStr">
        <is>
          <t>MYS</t>
        </is>
      </c>
      <c r="C253" t="inlineStr">
        <is>
          <t>EWM</t>
        </is>
      </c>
      <c r="D253" t="inlineStr">
        <is>
          <t>10 Years</t>
        </is>
      </c>
      <c r="E253" s="1" t="n">
        <v>42433</v>
      </c>
      <c r="F253" s="1" t="n">
        <v>46086</v>
      </c>
      <c r="G253" t="n">
        <v>-14.75507375822088</v>
      </c>
      <c r="H253" t="inlineStr">
        <is>
          <t>Malaysia|EWM|10 Years</t>
        </is>
      </c>
      <c r="I253" t="inlineStr">
        <is>
          <t>USD</t>
        </is>
      </c>
    </row>
    <row r="254">
      <c r="A254" t="inlineStr">
        <is>
          <t>Malaysia</t>
        </is>
      </c>
      <c r="B254" t="inlineStr">
        <is>
          <t>MYS</t>
        </is>
      </c>
      <c r="C254" t="inlineStr">
        <is>
          <t>EWM</t>
        </is>
      </c>
      <c r="D254" t="inlineStr">
        <is>
          <t>MAX</t>
        </is>
      </c>
      <c r="E254" s="1" t="n">
        <v>35143</v>
      </c>
      <c r="F254" s="1" t="n">
        <v>46086</v>
      </c>
      <c r="G254" t="n">
        <v>-47.6330258430691</v>
      </c>
      <c r="H254" t="inlineStr">
        <is>
          <t>Malaysia|EWM|MAX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XCX3.L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5.616898703792605</v>
      </c>
      <c r="H255" t="inlineStr">
        <is>
          <t>Malaysia|XCX3.L|YTD</t>
        </is>
      </c>
      <c r="I255" t="inlineStr">
        <is>
          <t>GBp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XCX3.L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0.1821493624772241</v>
      </c>
      <c r="H256" t="inlineStr">
        <is>
          <t>Malaysia|XCX3.L|1 Month</t>
        </is>
      </c>
      <c r="I256" t="inlineStr">
        <is>
          <t>GBp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XCX3.L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9.126984126984116</v>
      </c>
      <c r="H257" t="inlineStr">
        <is>
          <t>Malaysia|XCX3.L|3 Months</t>
        </is>
      </c>
      <c r="I257" t="inlineStr">
        <is>
          <t>GBp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XCX3.L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18.24778285407149</v>
      </c>
      <c r="H258" t="inlineStr">
        <is>
          <t>Malaysia|XCX3.L|6 Months</t>
        </is>
      </c>
      <c r="I258" t="inlineStr">
        <is>
          <t>GBp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XCX3.L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22.1035104759262</v>
      </c>
      <c r="H259" t="inlineStr">
        <is>
          <t>Malaysia|XCX3.L|1 Year</t>
        </is>
      </c>
      <c r="I259" t="inlineStr">
        <is>
          <t>GBp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XCX3.L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30.75780089153046</v>
      </c>
      <c r="H260" t="inlineStr">
        <is>
          <t>Malaysia|XCX3.L|3 Years</t>
        </is>
      </c>
      <c r="I260" t="inlineStr">
        <is>
          <t>GBp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XCX3.L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32.37063778580023</v>
      </c>
      <c r="H261" t="inlineStr">
        <is>
          <t>Malaysia|XCX3.L|5 Years</t>
        </is>
      </c>
      <c r="I261" t="inlineStr">
        <is>
          <t>GBp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35.17665130568357</v>
      </c>
      <c r="H262" t="inlineStr">
        <is>
          <t>Malaysia|XCX3.L|10 Years</t>
        </is>
      </c>
      <c r="I262" t="inlineStr">
        <is>
          <t>GBp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inlineStr">
        <is>
          <t>MAX</t>
        </is>
      </c>
      <c r="E263" s="1" t="n">
        <v>40354</v>
      </c>
      <c r="F263" s="1" t="n">
        <v>46086</v>
      </c>
      <c r="G263" t="n">
        <v>8.297565444000554</v>
      </c>
      <c r="H263" t="inlineStr">
        <is>
          <t>Malaysia|XCX3.L|MAX</t>
        </is>
      </c>
      <c r="I263" t="inlineStr">
        <is>
          <t>GBp</t>
        </is>
      </c>
    </row>
    <row r="264">
      <c r="A264" t="inlineStr">
        <is>
          <t>Mexico</t>
        </is>
      </c>
      <c r="B264" t="inlineStr">
        <is>
          <t>MEX</t>
        </is>
      </c>
      <c r="C264" t="inlineStr">
        <is>
          <t>EWW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8.538869194567923</v>
      </c>
      <c r="H264" t="inlineStr">
        <is>
          <t>Mexico|EWW|YTD</t>
        </is>
      </c>
      <c r="I264" t="inlineStr">
        <is>
          <t>USD</t>
        </is>
      </c>
    </row>
    <row r="265">
      <c r="A265" t="inlineStr">
        <is>
          <t>Mexico</t>
        </is>
      </c>
      <c r="B265" t="inlineStr">
        <is>
          <t>MEX</t>
        </is>
      </c>
      <c r="C265" t="inlineStr">
        <is>
          <t>EWW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-2.056490685148016</v>
      </c>
      <c r="H265" t="inlineStr">
        <is>
          <t>Mexico|EWW|1 Month</t>
        </is>
      </c>
      <c r="I265" t="inlineStr">
        <is>
          <t>USD</t>
        </is>
      </c>
    </row>
    <row r="266">
      <c r="A266" t="inlineStr">
        <is>
          <t>Mexico</t>
        </is>
      </c>
      <c r="B266" t="inlineStr">
        <is>
          <t>MEX</t>
        </is>
      </c>
      <c r="C266" t="inlineStr">
        <is>
          <t>EWW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9.566103182339525</v>
      </c>
      <c r="H266" t="inlineStr">
        <is>
          <t>Mexico|EWW|3 Months</t>
        </is>
      </c>
      <c r="I266" t="inlineStr">
        <is>
          <t>USD</t>
        </is>
      </c>
    </row>
    <row r="267">
      <c r="A267" t="inlineStr">
        <is>
          <t>Mexico</t>
        </is>
      </c>
      <c r="B267" t="inlineStr">
        <is>
          <t>MEX</t>
        </is>
      </c>
      <c r="C267" t="inlineStr">
        <is>
          <t>EWW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17.89127031387494</v>
      </c>
      <c r="H267" t="inlineStr">
        <is>
          <t>Mexico|EWW|6 Months</t>
        </is>
      </c>
      <c r="I267" t="inlineStr">
        <is>
          <t>USD</t>
        </is>
      </c>
    </row>
    <row r="268">
      <c r="A268" t="inlineStr">
        <is>
          <t>Mexico</t>
        </is>
      </c>
      <c r="B268" t="inlineStr">
        <is>
          <t>MEX</t>
        </is>
      </c>
      <c r="C268" t="inlineStr">
        <is>
          <t>EWW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47.46228061939379</v>
      </c>
      <c r="H268" t="inlineStr">
        <is>
          <t>Mexico|EWW|1 Year</t>
        </is>
      </c>
      <c r="I268" t="inlineStr">
        <is>
          <t>USD</t>
        </is>
      </c>
    </row>
    <row r="269">
      <c r="A269" t="inlineStr">
        <is>
          <t>Mexico</t>
        </is>
      </c>
      <c r="B269" t="inlineStr">
        <is>
          <t>MEX</t>
        </is>
      </c>
      <c r="C269" t="inlineStr">
        <is>
          <t>EWW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24.77200843395326</v>
      </c>
      <c r="H269" t="inlineStr">
        <is>
          <t>Mexico|EWW|3 Years</t>
        </is>
      </c>
      <c r="I269" t="inlineStr">
        <is>
          <t>USD</t>
        </is>
      </c>
    </row>
    <row r="270">
      <c r="A270" t="inlineStr">
        <is>
          <t>Mexico</t>
        </is>
      </c>
      <c r="B270" t="inlineStr">
        <is>
          <t>MEX</t>
        </is>
      </c>
      <c r="C270" t="inlineStr">
        <is>
          <t>EWW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80.88942971190785</v>
      </c>
      <c r="H270" t="inlineStr">
        <is>
          <t>Mexico|EWW|5 Years</t>
        </is>
      </c>
      <c r="I270" t="inlineStr">
        <is>
          <t>USD</t>
        </is>
      </c>
    </row>
    <row r="271">
      <c r="A271" t="inlineStr">
        <is>
          <t>Mexico</t>
        </is>
      </c>
      <c r="B271" t="inlineStr">
        <is>
          <t>MEX</t>
        </is>
      </c>
      <c r="C271" t="inlineStr">
        <is>
          <t>EWW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47.57795160414411</v>
      </c>
      <c r="H271" t="inlineStr">
        <is>
          <t>Mexico|EWW|10 Years</t>
        </is>
      </c>
      <c r="I271" t="inlineStr">
        <is>
          <t>USD</t>
        </is>
      </c>
    </row>
    <row r="272">
      <c r="A272" t="inlineStr">
        <is>
          <t>Mexico</t>
        </is>
      </c>
      <c r="B272" t="inlineStr">
        <is>
          <t>MEX</t>
        </is>
      </c>
      <c r="C272" t="inlineStr">
        <is>
          <t>EWW</t>
        </is>
      </c>
      <c r="D272" t="inlineStr">
        <is>
          <t>MAX</t>
        </is>
      </c>
      <c r="E272" s="1" t="n">
        <v>35143</v>
      </c>
      <c r="F272" s="1" t="n">
        <v>46086</v>
      </c>
      <c r="G272" t="n">
        <v>625.301204819277</v>
      </c>
      <c r="H272" t="inlineStr">
        <is>
          <t>Mexico|EWW|MAX</t>
        </is>
      </c>
      <c r="I272" t="inlineStr">
        <is>
          <t>USD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XMEX.L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9.672131147540973</v>
      </c>
      <c r="H273" t="inlineStr">
        <is>
          <t>Mexico|XMEX.L|YTD</t>
        </is>
      </c>
      <c r="I273" t="inlineStr">
        <is>
          <t>GBp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XMEX.L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-0.2609019754006736</v>
      </c>
      <c r="H274" t="inlineStr">
        <is>
          <t>Mexico|XMEX.L|1 Month</t>
        </is>
      </c>
      <c r="I274" t="inlineStr">
        <is>
          <t>GBp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XMEX.L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11.59299416180151</v>
      </c>
      <c r="H275" t="inlineStr">
        <is>
          <t>Mexico|XMEX.L|3 Months</t>
        </is>
      </c>
      <c r="I275" t="inlineStr">
        <is>
          <t>GBp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XMEX.L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24.75524475524477</v>
      </c>
      <c r="H276" t="inlineStr">
        <is>
          <t>Mexico|XMEX.L|6 Months</t>
        </is>
      </c>
      <c r="I276" t="inlineStr">
        <is>
          <t>GBp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XMEX.L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50.82854659264748</v>
      </c>
      <c r="H277" t="inlineStr">
        <is>
          <t>Mexico|XMEX.L|1 Year</t>
        </is>
      </c>
      <c r="I277" t="inlineStr">
        <is>
          <t>GBp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XMEX.L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26.01836590534496</v>
      </c>
      <c r="H278" t="inlineStr">
        <is>
          <t>Mexico|XMEX.L|3 Years</t>
        </is>
      </c>
      <c r="I278" t="inlineStr">
        <is>
          <t>GBp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XMEX.L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115.910920387879</v>
      </c>
      <c r="H279" t="inlineStr">
        <is>
          <t>Mexico|XMEX.L|5 Years</t>
        </is>
      </c>
      <c r="I279" t="inlineStr">
        <is>
          <t>GBp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XMEX.L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100.7803047691133</v>
      </c>
      <c r="H280" t="inlineStr">
        <is>
          <t>Mexico|XMEX.L|10 Years</t>
        </is>
      </c>
      <c r="I280" t="inlineStr">
        <is>
          <t>GBp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XMEX.L</t>
        </is>
      </c>
      <c r="D281" t="inlineStr">
        <is>
          <t>MAX</t>
        </is>
      </c>
      <c r="E281" s="1" t="n">
        <v>40266</v>
      </c>
      <c r="F281" s="1" t="n">
        <v>46086</v>
      </c>
      <c r="G281" t="n">
        <v>46.20553617497561</v>
      </c>
      <c r="H281" t="inlineStr">
        <is>
          <t>Mexico|XMEX.L|MAX</t>
        </is>
      </c>
      <c r="I281" t="inlineStr">
        <is>
          <t>GBp</t>
        </is>
      </c>
    </row>
    <row r="282">
      <c r="A282" t="inlineStr">
        <is>
          <t>Netherlands</t>
        </is>
      </c>
      <c r="B282" t="inlineStr">
        <is>
          <t>NLD</t>
        </is>
      </c>
      <c r="C282" t="inlineStr">
        <is>
          <t>EWN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4.401196194907953</v>
      </c>
      <c r="H282" t="inlineStr">
        <is>
          <t>Netherlands|EWN|YTD</t>
        </is>
      </c>
      <c r="I282" t="inlineStr">
        <is>
          <t>USD</t>
        </is>
      </c>
    </row>
    <row r="283">
      <c r="A283" t="inlineStr">
        <is>
          <t>Netherlands</t>
        </is>
      </c>
      <c r="B283" t="inlineStr">
        <is>
          <t>NLD</t>
        </is>
      </c>
      <c r="C283" t="inlineStr">
        <is>
          <t>EWN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-1.684280770531033</v>
      </c>
      <c r="H283" t="inlineStr">
        <is>
          <t>Netherlands|EWN|1 Month</t>
        </is>
      </c>
      <c r="I283" t="inlineStr">
        <is>
          <t>USD</t>
        </is>
      </c>
    </row>
    <row r="284">
      <c r="A284" t="inlineStr">
        <is>
          <t>Netherlands</t>
        </is>
      </c>
      <c r="B284" t="inlineStr">
        <is>
          <t>NLD</t>
        </is>
      </c>
      <c r="C284" t="inlineStr">
        <is>
          <t>EWN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1.690865399431396</v>
      </c>
      <c r="H284" t="inlineStr">
        <is>
          <t>Netherlands|EWN|3 Months</t>
        </is>
      </c>
      <c r="I284" t="inlineStr">
        <is>
          <t>USD</t>
        </is>
      </c>
    </row>
    <row r="285">
      <c r="A285" t="inlineStr">
        <is>
          <t>Netherlands</t>
        </is>
      </c>
      <c r="B285" t="inlineStr">
        <is>
          <t>NLD</t>
        </is>
      </c>
      <c r="C285" t="inlineStr">
        <is>
          <t>EWN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11.3521592598617</v>
      </c>
      <c r="H285" t="inlineStr">
        <is>
          <t>Netherlands|EWN|6 Months</t>
        </is>
      </c>
      <c r="I285" t="inlineStr">
        <is>
          <t>USD</t>
        </is>
      </c>
    </row>
    <row r="286">
      <c r="A286" t="inlineStr">
        <is>
          <t>Netherlands</t>
        </is>
      </c>
      <c r="B286" t="inlineStr">
        <is>
          <t>NLD</t>
        </is>
      </c>
      <c r="C286" t="inlineStr">
        <is>
          <t>EWN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21.46062904839803</v>
      </c>
      <c r="H286" t="inlineStr">
        <is>
          <t>Netherlands|EWN|1 Year</t>
        </is>
      </c>
      <c r="I286" t="inlineStr">
        <is>
          <t>USD</t>
        </is>
      </c>
    </row>
    <row r="287">
      <c r="A287" t="inlineStr">
        <is>
          <t>Netherlands</t>
        </is>
      </c>
      <c r="B287" t="inlineStr">
        <is>
          <t>NLD</t>
        </is>
      </c>
      <c r="C287" t="inlineStr">
        <is>
          <t>EWN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42.50838356900819</v>
      </c>
      <c r="H287" t="inlineStr">
        <is>
          <t>Netherlands|EWN|3 Years</t>
        </is>
      </c>
      <c r="I287" t="inlineStr">
        <is>
          <t>USD</t>
        </is>
      </c>
    </row>
    <row r="288">
      <c r="A288" t="inlineStr">
        <is>
          <t>Netherlands</t>
        </is>
      </c>
      <c r="B288" t="inlineStr">
        <is>
          <t>NLD</t>
        </is>
      </c>
      <c r="C288" t="inlineStr">
        <is>
          <t>EWN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36.93652608641447</v>
      </c>
      <c r="H288" t="inlineStr">
        <is>
          <t>Netherlands|EWN|5 Years</t>
        </is>
      </c>
      <c r="I288" t="inlineStr">
        <is>
          <t>USD</t>
        </is>
      </c>
    </row>
    <row r="289">
      <c r="A289" t="inlineStr">
        <is>
          <t>Netherlands</t>
        </is>
      </c>
      <c r="B289" t="inlineStr">
        <is>
          <t>NLD</t>
        </is>
      </c>
      <c r="C289" t="inlineStr">
        <is>
          <t>EWN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151.754764802941</v>
      </c>
      <c r="H289" t="inlineStr">
        <is>
          <t>Netherlands|EWN|10 Years</t>
        </is>
      </c>
      <c r="I289" t="inlineStr">
        <is>
          <t>USD</t>
        </is>
      </c>
    </row>
    <row r="290">
      <c r="A290" t="inlineStr">
        <is>
          <t>Netherlands</t>
        </is>
      </c>
      <c r="B290" t="inlineStr">
        <is>
          <t>NLD</t>
        </is>
      </c>
      <c r="C290" t="inlineStr">
        <is>
          <t>EWN</t>
        </is>
      </c>
      <c r="D290" t="inlineStr">
        <is>
          <t>MAX</t>
        </is>
      </c>
      <c r="E290" s="1" t="n">
        <v>35143</v>
      </c>
      <c r="F290" s="1" t="n">
        <v>46086</v>
      </c>
      <c r="G290" t="n">
        <v>262.2205378891397</v>
      </c>
      <c r="H290" t="inlineStr">
        <is>
          <t>Netherlands|EWN|MAX</t>
        </is>
      </c>
      <c r="I290" t="inlineStr">
        <is>
          <t>USD</t>
        </is>
      </c>
    </row>
    <row r="291">
      <c r="A291" t="inlineStr">
        <is>
          <t>Pakistan</t>
        </is>
      </c>
      <c r="B291" t="inlineStr">
        <is>
          <t>PAK</t>
        </is>
      </c>
      <c r="C291" t="inlineStr">
        <is>
          <t>XBAK.L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-8.834117982002986</v>
      </c>
      <c r="H291" t="inlineStr">
        <is>
          <t>Pakistan|XBAK.L|YTD</t>
        </is>
      </c>
      <c r="I291" t="inlineStr">
        <is>
          <t>USD</t>
        </is>
      </c>
    </row>
    <row r="292">
      <c r="A292" t="inlineStr">
        <is>
          <t>Pakistan</t>
        </is>
      </c>
      <c r="B292" t="inlineStr">
        <is>
          <t>PAK</t>
        </is>
      </c>
      <c r="C292" t="inlineStr">
        <is>
          <t>XBAK.L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-12.63269231341136</v>
      </c>
      <c r="H292" t="inlineStr">
        <is>
          <t>Pakistan|XBAK.L|1 Month</t>
        </is>
      </c>
      <c r="I292" t="inlineStr">
        <is>
          <t>USD</t>
        </is>
      </c>
    </row>
    <row r="293">
      <c r="A293" t="inlineStr">
        <is>
          <t>Pakistan</t>
        </is>
      </c>
      <c r="B293" t="inlineStr">
        <is>
          <t>PAK</t>
        </is>
      </c>
      <c r="C293" t="inlineStr">
        <is>
          <t>XBAK.L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-5.347897477815177</v>
      </c>
      <c r="H293" t="inlineStr">
        <is>
          <t>Pakistan|XBAK.L|3 Months</t>
        </is>
      </c>
      <c r="I293" t="inlineStr">
        <is>
          <t>USD</t>
        </is>
      </c>
    </row>
    <row r="294">
      <c r="A294" t="inlineStr">
        <is>
          <t>Pakistan</t>
        </is>
      </c>
      <c r="B294" t="inlineStr">
        <is>
          <t>PAK</t>
        </is>
      </c>
      <c r="C294" t="inlineStr">
        <is>
          <t>XBAK.L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2.109183582011398</v>
      </c>
      <c r="H294" t="inlineStr">
        <is>
          <t>Pakistan|XBAK.L|6 Months</t>
        </is>
      </c>
      <c r="I294" t="inlineStr">
        <is>
          <t>USD</t>
        </is>
      </c>
    </row>
    <row r="295">
      <c r="A295" t="inlineStr">
        <is>
          <t>Pakistan</t>
        </is>
      </c>
      <c r="B295" t="inlineStr">
        <is>
          <t>PAK</t>
        </is>
      </c>
      <c r="C295" t="inlineStr">
        <is>
          <t>XBAK.L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29.19936929492575</v>
      </c>
      <c r="H295" t="inlineStr">
        <is>
          <t>Pakistan|XBAK.L|1 Year</t>
        </is>
      </c>
      <c r="I295" t="inlineStr">
        <is>
          <t>USD</t>
        </is>
      </c>
    </row>
    <row r="296">
      <c r="A296" t="inlineStr">
        <is>
          <t>Pakistan</t>
        </is>
      </c>
      <c r="B296" t="inlineStr">
        <is>
          <t>PAK</t>
        </is>
      </c>
      <c r="C296" t="inlineStr">
        <is>
          <t>XBAK.L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183.7931163826968</v>
      </c>
      <c r="H296" t="inlineStr">
        <is>
          <t>Pakistan|XBAK.L|3 Years</t>
        </is>
      </c>
      <c r="I296" t="inlineStr">
        <is>
          <t>USD</t>
        </is>
      </c>
    </row>
    <row r="297">
      <c r="A297" t="inlineStr">
        <is>
          <t>Pakistan</t>
        </is>
      </c>
      <c r="B297" t="inlineStr">
        <is>
          <t>PAK</t>
        </is>
      </c>
      <c r="C297" t="inlineStr">
        <is>
          <t>XBAK.L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40.68376820781869</v>
      </c>
      <c r="H297" t="inlineStr">
        <is>
          <t>Pakistan|XBAK.L|5 Years</t>
        </is>
      </c>
      <c r="I297" t="inlineStr">
        <is>
          <t>USD</t>
        </is>
      </c>
    </row>
    <row r="298">
      <c r="A298" t="inlineStr">
        <is>
          <t>Pakistan</t>
        </is>
      </c>
      <c r="B298" t="inlineStr">
        <is>
          <t>PAK</t>
        </is>
      </c>
      <c r="C298" t="inlineStr">
        <is>
          <t>XBAK.L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-7.005647152891504</v>
      </c>
      <c r="H298" t="inlineStr">
        <is>
          <t>Pakistan|XBAK.L|10 Years</t>
        </is>
      </c>
      <c r="I298" t="inlineStr">
        <is>
          <t>USD</t>
        </is>
      </c>
    </row>
    <row r="299">
      <c r="A299" t="inlineStr">
        <is>
          <t>Pakistan</t>
        </is>
      </c>
      <c r="B299" t="inlineStr">
        <is>
          <t>PAK</t>
        </is>
      </c>
      <c r="C299" t="inlineStr">
        <is>
          <t>XBAK.L</t>
        </is>
      </c>
      <c r="D299" t="inlineStr">
        <is>
          <t>MAX</t>
        </is>
      </c>
      <c r="E299" s="1" t="n">
        <v>41095</v>
      </c>
      <c r="F299" s="1" t="n">
        <v>46086</v>
      </c>
      <c r="G299" t="n">
        <v>43.13044015491403</v>
      </c>
      <c r="H299" t="inlineStr">
        <is>
          <t>Pakistan|XBAK.L|MAX</t>
        </is>
      </c>
      <c r="I299" t="inlineStr">
        <is>
          <t>USD</t>
        </is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EPHE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4.855534031975028</v>
      </c>
      <c r="H300" t="inlineStr">
        <is>
          <t>Philippines|EPHE|YTD</t>
        </is>
      </c>
      <c r="I300" t="inlineStr">
        <is>
          <t>USD</t>
        </is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EPHE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-1.209835890141919</v>
      </c>
      <c r="H301" t="inlineStr">
        <is>
          <t>Philippines|EPHE|1 Month</t>
        </is>
      </c>
      <c r="I301" t="inlineStr">
        <is>
          <t>USD</t>
        </is>
      </c>
    </row>
    <row r="302">
      <c r="A302" t="inlineStr">
        <is>
          <t>Philippines</t>
        </is>
      </c>
      <c r="B302" t="inlineStr">
        <is>
          <t>PHL</t>
        </is>
      </c>
      <c r="C302" t="inlineStr">
        <is>
          <t>EPHE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5.661138877658356</v>
      </c>
      <c r="H302" t="inlineStr">
        <is>
          <t>Philippines|EPHE|3 Months</t>
        </is>
      </c>
      <c r="I302" t="inlineStr">
        <is>
          <t>USD</t>
        </is>
      </c>
    </row>
    <row r="303">
      <c r="A303" t="inlineStr">
        <is>
          <t>Philippines</t>
        </is>
      </c>
      <c r="B303" t="inlineStr">
        <is>
          <t>PHL</t>
        </is>
      </c>
      <c r="C303" t="inlineStr">
        <is>
          <t>EPHE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0.268609732382008</v>
      </c>
      <c r="H303" t="inlineStr">
        <is>
          <t>Philippines|EPHE|6 Months</t>
        </is>
      </c>
      <c r="I303" t="inlineStr">
        <is>
          <t>USD</t>
        </is>
      </c>
    </row>
    <row r="304">
      <c r="A304" t="inlineStr">
        <is>
          <t>Philippines</t>
        </is>
      </c>
      <c r="B304" t="inlineStr">
        <is>
          <t>PHL</t>
        </is>
      </c>
      <c r="C304" t="inlineStr">
        <is>
          <t>EPHE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5.746661792416852</v>
      </c>
      <c r="H304" t="inlineStr">
        <is>
          <t>Philippines|EPHE|1 Year</t>
        </is>
      </c>
      <c r="I304" t="inlineStr">
        <is>
          <t>USD</t>
        </is>
      </c>
    </row>
    <row r="305">
      <c r="A305" t="inlineStr">
        <is>
          <t>Philippines</t>
        </is>
      </c>
      <c r="B305" t="inlineStr">
        <is>
          <t>PHL</t>
        </is>
      </c>
      <c r="C305" t="inlineStr">
        <is>
          <t>EPHE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-3.329639300836429</v>
      </c>
      <c r="H305" t="inlineStr">
        <is>
          <t>Philippines|EPHE|3 Years</t>
        </is>
      </c>
      <c r="I305" t="inlineStr">
        <is>
          <t>USD</t>
        </is>
      </c>
    </row>
    <row r="306">
      <c r="A306" t="inlineStr">
        <is>
          <t>Philippines</t>
        </is>
      </c>
      <c r="B306" t="inlineStr">
        <is>
          <t>PHL</t>
        </is>
      </c>
      <c r="C306" t="inlineStr">
        <is>
          <t>EPHE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-15.35471833367306</v>
      </c>
      <c r="H306" t="inlineStr">
        <is>
          <t>Philippines|EPHE|5 Years</t>
        </is>
      </c>
      <c r="I306" t="inlineStr">
        <is>
          <t>USD</t>
        </is>
      </c>
    </row>
    <row r="307">
      <c r="A307" t="inlineStr">
        <is>
          <t>Philippines</t>
        </is>
      </c>
      <c r="B307" t="inlineStr">
        <is>
          <t>PHL</t>
        </is>
      </c>
      <c r="C307" t="inlineStr">
        <is>
          <t>EPHE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-23.8636381319454</v>
      </c>
      <c r="H307" t="inlineStr">
        <is>
          <t>Philippines|EPHE|10 Years</t>
        </is>
      </c>
      <c r="I307" t="inlineStr">
        <is>
          <t>USD</t>
        </is>
      </c>
    </row>
    <row r="308">
      <c r="A308" t="inlineStr">
        <is>
          <t>Philippines</t>
        </is>
      </c>
      <c r="B308" t="inlineStr">
        <is>
          <t>PHL</t>
        </is>
      </c>
      <c r="C308" t="inlineStr">
        <is>
          <t>EPHE</t>
        </is>
      </c>
      <c r="D308" t="inlineStr">
        <is>
          <t>MAX</t>
        </is>
      </c>
      <c r="E308" s="1" t="n">
        <v>40451</v>
      </c>
      <c r="F308" s="1" t="n">
        <v>46086</v>
      </c>
      <c r="G308" t="n">
        <v>4.645574206290504</v>
      </c>
      <c r="H308" t="inlineStr">
        <is>
          <t>Philippines|EPHE|MAX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XPHG.L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4.96673922316726</v>
      </c>
      <c r="H309" t="inlineStr">
        <is>
          <t>Philippines|XPHG.L|YTD</t>
        </is>
      </c>
      <c r="I309" t="inlineStr">
        <is>
          <t>GBp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XPHG.L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-0.4206983646776297</v>
      </c>
      <c r="H310" t="inlineStr">
        <is>
          <t>Philippines|XPHG.L|1 Month</t>
        </is>
      </c>
      <c r="I310" t="inlineStr">
        <is>
          <t>GBp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XPHG.L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6.143496389346259</v>
      </c>
      <c r="H311" t="inlineStr">
        <is>
          <t>Philippines|XPHG.L|3 Months</t>
        </is>
      </c>
      <c r="I311" t="inlineStr">
        <is>
          <t>GBp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XPHG.L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1.413883092568291</v>
      </c>
      <c r="H312" t="inlineStr">
        <is>
          <t>Philippines|XPHG.L|6 Months</t>
        </is>
      </c>
      <c r="I312" t="inlineStr">
        <is>
          <t>GBp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XPHG.L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3.998238401007681</v>
      </c>
      <c r="H313" t="inlineStr">
        <is>
          <t>Philippines|XPHG.L|1 Year</t>
        </is>
      </c>
      <c r="I313" t="inlineStr">
        <is>
          <t>GBp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XPHG.L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-8.926509231655688</v>
      </c>
      <c r="H314" t="inlineStr">
        <is>
          <t>Philippines|XPHG.L|3 Years</t>
        </is>
      </c>
      <c r="I314" t="inlineStr">
        <is>
          <t>GBp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XPHG.L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-5.65962427009895</v>
      </c>
      <c r="H315" t="inlineStr">
        <is>
          <t>Philippines|XPHG.L|5 Years</t>
        </is>
      </c>
      <c r="I315" t="inlineStr">
        <is>
          <t>GBp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XPHG.L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-10.88102729335401</v>
      </c>
      <c r="H316" t="inlineStr">
        <is>
          <t>Philippines|XPHG.L|10 Years</t>
        </is>
      </c>
      <c r="I316" t="inlineStr">
        <is>
          <t>GBp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XPHG.L</t>
        </is>
      </c>
      <c r="D317" t="inlineStr">
        <is>
          <t>MAX</t>
        </is>
      </c>
      <c r="E317" s="1" t="n">
        <v>40731</v>
      </c>
      <c r="F317" s="1" t="n">
        <v>46086</v>
      </c>
      <c r="G317" t="n">
        <v>45.2147220541363</v>
      </c>
      <c r="H317" t="inlineStr">
        <is>
          <t>Philippines|XPHG.L|MAX</t>
        </is>
      </c>
      <c r="I317" t="inlineStr">
        <is>
          <t>GBp</t>
        </is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EPOL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1.733448804083149</v>
      </c>
      <c r="H318" t="inlineStr">
        <is>
          <t>Poland|EPOL|YTD</t>
        </is>
      </c>
      <c r="I318" t="inlineStr">
        <is>
          <t>USD</t>
        </is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EPOL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-4.20123023735135</v>
      </c>
      <c r="H319" t="inlineStr">
        <is>
          <t>Poland|EPOL|1 Month</t>
        </is>
      </c>
      <c r="I319" t="inlineStr">
        <is>
          <t>USD</t>
        </is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EPOL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7.057418382985814</v>
      </c>
      <c r="H320" t="inlineStr">
        <is>
          <t>Poland|EPOL|3 Months</t>
        </is>
      </c>
      <c r="I320" t="inlineStr">
        <is>
          <t>USD</t>
        </is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EPOL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11.38767864628807</v>
      </c>
      <c r="H321" t="inlineStr">
        <is>
          <t>Poland|EPOL|6 Months</t>
        </is>
      </c>
      <c r="I321" t="inlineStr">
        <is>
          <t>USD</t>
        </is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EPOL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32.98662383209437</v>
      </c>
      <c r="H322" t="inlineStr">
        <is>
          <t>Poland|EPOL|1 Year</t>
        </is>
      </c>
      <c r="I322" t="inlineStr">
        <is>
          <t>USD</t>
        </is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EPOL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125.15723330797</v>
      </c>
      <c r="H323" t="inlineStr">
        <is>
          <t>Poland|EPOL|3 Years</t>
        </is>
      </c>
      <c r="I323" t="inlineStr">
        <is>
          <t>USD</t>
        </is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EPOL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93.30452673964713</v>
      </c>
      <c r="H324" t="inlineStr">
        <is>
          <t>Poland|EPOL|5 Years</t>
        </is>
      </c>
      <c r="I324" t="inlineStr">
        <is>
          <t>USD</t>
        </is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EPOL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96.27192810466742</v>
      </c>
      <c r="H325" t="inlineStr">
        <is>
          <t>Poland|EPOL|10 Years</t>
        </is>
      </c>
      <c r="I325" t="inlineStr">
        <is>
          <t>USD</t>
        </is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EPOL</t>
        </is>
      </c>
      <c r="D326" t="inlineStr">
        <is>
          <t>MAX</t>
        </is>
      </c>
      <c r="E326" s="1" t="n">
        <v>40325</v>
      </c>
      <c r="F326" s="1" t="n">
        <v>46086</v>
      </c>
      <c r="G326" t="n">
        <v>36.6412144830947</v>
      </c>
      <c r="H326" t="inlineStr">
        <is>
          <t>Poland|EPOL|MAX</t>
        </is>
      </c>
      <c r="I326" t="inlineStr">
        <is>
          <t>USD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IPOL.L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0.3337787575258044</v>
      </c>
      <c r="H327" t="inlineStr">
        <is>
          <t>Poland|IPOL.L|YTD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IPOL.L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-5.925031686489667</v>
      </c>
      <c r="H328" t="inlineStr">
        <is>
          <t>Poland|IPOL.L|1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IPOL.L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9.750221693069673</v>
      </c>
      <c r="H329" t="inlineStr">
        <is>
          <t>Poland|IPOL.L|3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IPOL.L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15.67255443667255</v>
      </c>
      <c r="H330" t="inlineStr">
        <is>
          <t>Poland|IPOL.L|6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IPOL.L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37.4986912880074</v>
      </c>
      <c r="H331" t="inlineStr">
        <is>
          <t>Poland|IPOL.L|1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IPOL.L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140.1408853109152</v>
      </c>
      <c r="H332" t="inlineStr">
        <is>
          <t>Poland|IPOL.L|3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IPOL.L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104.2057792712708</v>
      </c>
      <c r="H333" t="inlineStr">
        <is>
          <t>Poland|IPOL.L|5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IPOL.L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109.8032877316457</v>
      </c>
      <c r="H334" t="inlineStr">
        <is>
          <t>Poland|IPOL.L|10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IPOL.L</t>
        </is>
      </c>
      <c r="D335" t="inlineStr">
        <is>
          <t>MAX</t>
        </is>
      </c>
      <c r="E335" s="1" t="n">
        <v>40567</v>
      </c>
      <c r="F335" s="1" t="n">
        <v>46086</v>
      </c>
      <c r="G335" t="n">
        <v>31.89070215080761</v>
      </c>
      <c r="H335" t="inlineStr">
        <is>
          <t>Poland|IPOL.L|MAX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SPOL.L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1.80483328234935</v>
      </c>
      <c r="H336" t="inlineStr">
        <is>
          <t>Poland|SPOL.L|YTD</t>
        </is>
      </c>
      <c r="I336" t="inlineStr">
        <is>
          <t>GBp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SPOL.L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-3.833558081294541</v>
      </c>
      <c r="H337" t="inlineStr">
        <is>
          <t>Poland|SPOL.L|1 Month</t>
        </is>
      </c>
      <c r="I337" t="inlineStr">
        <is>
          <t>GBp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SPOL.L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10.61378240638156</v>
      </c>
      <c r="H338" t="inlineStr">
        <is>
          <t>Poland|SPOL.L|3 Months</t>
        </is>
      </c>
      <c r="I338" t="inlineStr">
        <is>
          <t>GBp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SPOL.L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18.18181818181819</v>
      </c>
      <c r="H339" t="inlineStr">
        <is>
          <t>Poland|SPOL.L|6 Months</t>
        </is>
      </c>
      <c r="I339" t="inlineStr">
        <is>
          <t>GBp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SPOL.L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33.59738450821077</v>
      </c>
      <c r="H340" t="inlineStr">
        <is>
          <t>Poland|SPOL.L|1 Year</t>
        </is>
      </c>
      <c r="I340" t="inlineStr">
        <is>
          <t>GBp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SPOL.L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117.0623486395567</v>
      </c>
      <c r="H341" t="inlineStr">
        <is>
          <t>Poland|SPOL.L|3 Years</t>
        </is>
      </c>
      <c r="I341" t="inlineStr">
        <is>
          <t>GBp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SPOL.L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112.7877237851663</v>
      </c>
      <c r="H342" t="inlineStr">
        <is>
          <t>Poland|SPOL.L|5 Years</t>
        </is>
      </c>
      <c r="I342" t="inlineStr">
        <is>
          <t>GBp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SPOL.L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125.2707581227437</v>
      </c>
      <c r="H343" t="inlineStr">
        <is>
          <t>Poland|SPOL.L|10 Years</t>
        </is>
      </c>
      <c r="I343" t="inlineStr">
        <is>
          <t>GBp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SPOL.L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59.38697318007664</v>
      </c>
      <c r="H344" t="inlineStr">
        <is>
          <t>Poland|SPOL.L|MAX</t>
        </is>
      </c>
      <c r="I344" t="inlineStr">
        <is>
          <t>GBp</t>
        </is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3.358485218166751</v>
      </c>
      <c r="H345" t="inlineStr">
        <is>
          <t>Saudi Arabia|IKSA.L|YTD</t>
        </is>
      </c>
      <c r="I345" t="inlineStr">
        <is>
          <t>USD</t>
        </is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-5.115712147746343</v>
      </c>
      <c r="H346" t="inlineStr">
        <is>
          <t>Saudi Arabia|IKSA.L|1 Month</t>
        </is>
      </c>
      <c r="I346" t="inlineStr">
        <is>
          <t>USD</t>
        </is>
      </c>
    </row>
    <row r="347">
      <c r="A347" t="inlineStr">
        <is>
          <t>Saudi Arabia</t>
        </is>
      </c>
      <c r="B347" t="inlineStr">
        <is>
          <t>SAU</t>
        </is>
      </c>
      <c r="C347" t="inlineStr">
        <is>
          <t>IKSA.L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2.863746247224164</v>
      </c>
      <c r="H347" t="inlineStr">
        <is>
          <t>Saudi Arabia|IKSA.L|3 Months</t>
        </is>
      </c>
      <c r="I347" t="inlineStr">
        <is>
          <t>USD</t>
        </is>
      </c>
    </row>
    <row r="348">
      <c r="A348" t="inlineStr">
        <is>
          <t>Saudi Arabia</t>
        </is>
      </c>
      <c r="B348" t="inlineStr">
        <is>
          <t>SAU</t>
        </is>
      </c>
      <c r="C348" t="inlineStr">
        <is>
          <t>IKSA.L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3.90996137678612</v>
      </c>
      <c r="H348" t="inlineStr">
        <is>
          <t>Saudi Arabia|IKSA.L|6 Months</t>
        </is>
      </c>
      <c r="I348" t="inlineStr">
        <is>
          <t>USD</t>
        </is>
      </c>
    </row>
    <row r="349">
      <c r="A349" t="inlineStr">
        <is>
          <t>Saudi Arabia</t>
        </is>
      </c>
      <c r="B349" t="inlineStr">
        <is>
          <t>SAU</t>
        </is>
      </c>
      <c r="C349" t="inlineStr">
        <is>
          <t>IKSA.L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-1.47814618860076</v>
      </c>
      <c r="H349" t="inlineStr">
        <is>
          <t>Saudi Arabia|IKSA.L|1 Year</t>
        </is>
      </c>
      <c r="I349" t="inlineStr">
        <is>
          <t>USD</t>
        </is>
      </c>
    </row>
    <row r="350">
      <c r="A350" t="inlineStr">
        <is>
          <t>Saudi Arabia</t>
        </is>
      </c>
      <c r="B350" t="inlineStr">
        <is>
          <t>SAU</t>
        </is>
      </c>
      <c r="C350" t="inlineStr">
        <is>
          <t>IKSA.L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10.86995341315231</v>
      </c>
      <c r="H350" t="inlineStr">
        <is>
          <t>Saudi Arabia|IKSA.L|3 Years</t>
        </is>
      </c>
      <c r="I350" t="inlineStr">
        <is>
          <t>USD</t>
        </is>
      </c>
    </row>
    <row r="351">
      <c r="A351" t="inlineStr">
        <is>
          <t>Saudi Arabia</t>
        </is>
      </c>
      <c r="B351" t="inlineStr">
        <is>
          <t>SAU</t>
        </is>
      </c>
      <c r="C351" t="inlineStr">
        <is>
          <t>IKSA.L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29.45574794788668</v>
      </c>
      <c r="H351" t="inlineStr">
        <is>
          <t>Saudi Arabia|IKSA.L|5 Years</t>
        </is>
      </c>
      <c r="I351" t="inlineStr">
        <is>
          <t>USD</t>
        </is>
      </c>
    </row>
    <row r="352">
      <c r="A352" t="inlineStr">
        <is>
          <t>Saudi Arabia</t>
        </is>
      </c>
      <c r="B352" t="inlineStr">
        <is>
          <t>SAU</t>
        </is>
      </c>
      <c r="C352" t="inlineStr">
        <is>
          <t>IKSA.L</t>
        </is>
      </c>
      <c r="D352" t="inlineStr">
        <is>
          <t>MAX</t>
        </is>
      </c>
      <c r="E352" s="1" t="n">
        <v>43566</v>
      </c>
      <c r="F352" s="1" t="n">
        <v>46086</v>
      </c>
      <c r="G352" t="n">
        <v>23.65079208896874</v>
      </c>
      <c r="H352" t="inlineStr">
        <is>
          <t>Saudi Arabia|IKSA.L|MAX</t>
        </is>
      </c>
      <c r="I352" t="inlineStr">
        <is>
          <t>USD</t>
        </is>
      </c>
    </row>
    <row r="353">
      <c r="A353" t="inlineStr">
        <is>
          <t>Saudi Arabia</t>
        </is>
      </c>
      <c r="B353" t="inlineStr">
        <is>
          <t>SAU</t>
        </is>
      </c>
      <c r="C353" t="inlineStr">
        <is>
          <t>KSA</t>
        </is>
      </c>
      <c r="D353" t="inlineStr">
        <is>
          <t>YTD</t>
        </is>
      </c>
      <c r="E353" s="1" t="n">
        <v>46022</v>
      </c>
      <c r="F353" s="1" t="n">
        <v>46086</v>
      </c>
      <c r="G353" t="n">
        <v>2.307058929162831</v>
      </c>
      <c r="H353" t="inlineStr">
        <is>
          <t>Saudi Arabia|KSA|YTD</t>
        </is>
      </c>
      <c r="I353" t="inlineStr">
        <is>
          <t>USD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KSA</t>
        </is>
      </c>
      <c r="D354" t="inlineStr">
        <is>
          <t>1 Month</t>
        </is>
      </c>
      <c r="E354" s="1" t="n">
        <v>46058</v>
      </c>
      <c r="F354" s="1" t="n">
        <v>46086</v>
      </c>
      <c r="G354" t="n">
        <v>-5.022950431891415</v>
      </c>
      <c r="H354" t="inlineStr">
        <is>
          <t>Saudi Arabia|KSA|1 Month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KSA</t>
        </is>
      </c>
      <c r="D355" t="inlineStr">
        <is>
          <t>3 Months</t>
        </is>
      </c>
      <c r="E355" s="1" t="n">
        <v>45996</v>
      </c>
      <c r="F355" s="1" t="n">
        <v>46086</v>
      </c>
      <c r="G355" t="n">
        <v>0.1344065484814694</v>
      </c>
      <c r="H355" t="inlineStr">
        <is>
          <t>Saudi Arabia|KSA|3 Months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KSA</t>
        </is>
      </c>
      <c r="D356" t="inlineStr">
        <is>
          <t>6 Months</t>
        </is>
      </c>
      <c r="E356" s="1" t="n">
        <v>45905</v>
      </c>
      <c r="F356" s="1" t="n">
        <v>46086</v>
      </c>
      <c r="G356" t="n">
        <v>0.1344065484814694</v>
      </c>
      <c r="H356" t="inlineStr">
        <is>
          <t>Saudi Arabia|KSA|6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KSA</t>
        </is>
      </c>
      <c r="D357" t="inlineStr">
        <is>
          <t>1 Year</t>
        </is>
      </c>
      <c r="E357" s="1" t="n">
        <v>45721</v>
      </c>
      <c r="F357" s="1" t="n">
        <v>46086</v>
      </c>
      <c r="G357" t="n">
        <v>-8.588957055214719</v>
      </c>
      <c r="H357" t="inlineStr">
        <is>
          <t>Saudi Arabia|KSA|1 Year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KSA</t>
        </is>
      </c>
      <c r="D358" t="inlineStr">
        <is>
          <t>3 Years</t>
        </is>
      </c>
      <c r="E358" s="1" t="n">
        <v>44988</v>
      </c>
      <c r="F358" s="1" t="n">
        <v>46086</v>
      </c>
      <c r="G358" t="n">
        <v>-0.2410287954475399</v>
      </c>
      <c r="H358" t="inlineStr">
        <is>
          <t>Saudi Arabia|KSA|3 Years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KSA</t>
        </is>
      </c>
      <c r="D359" t="inlineStr">
        <is>
          <t>5 Years</t>
        </is>
      </c>
      <c r="E359" s="1" t="n">
        <v>44260</v>
      </c>
      <c r="F359" s="1" t="n">
        <v>46086</v>
      </c>
      <c r="G359" t="n">
        <v>11.72765395775983</v>
      </c>
      <c r="H359" t="inlineStr">
        <is>
          <t>Saudi Arabia|KSA|5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KSA</t>
        </is>
      </c>
      <c r="D360" t="inlineStr">
        <is>
          <t>10 Years</t>
        </is>
      </c>
      <c r="E360" s="1" t="n">
        <v>42433</v>
      </c>
      <c r="F360" s="1" t="n">
        <v>46086</v>
      </c>
      <c r="G360" t="n">
        <v>69.08760253730173</v>
      </c>
      <c r="H360" t="inlineStr">
        <is>
          <t>Saudi Arabia|KSA|10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KSA</t>
        </is>
      </c>
      <c r="D361" t="inlineStr">
        <is>
          <t>MAX</t>
        </is>
      </c>
      <c r="E361" s="1" t="n">
        <v>42265</v>
      </c>
      <c r="F361" s="1" t="n">
        <v>46086</v>
      </c>
      <c r="G361" t="n">
        <v>47.93486715066963</v>
      </c>
      <c r="H361" t="inlineStr">
        <is>
          <t>Saudi Arabia|KSA|MAX</t>
        </is>
      </c>
      <c r="I361" t="inlineStr">
        <is>
          <t>USD</t>
        </is>
      </c>
    </row>
    <row r="362">
      <c r="A362" t="inlineStr">
        <is>
          <t>Singapore</t>
        </is>
      </c>
      <c r="B362" t="inlineStr">
        <is>
          <t>SGP</t>
        </is>
      </c>
      <c r="C362" t="inlineStr">
        <is>
          <t>0JLR.L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-1.746060444421837</v>
      </c>
      <c r="H362" t="inlineStr">
        <is>
          <t>Singapore|0JLR.L|YTD</t>
        </is>
      </c>
      <c r="I362" t="inlineStr">
        <is>
          <t>USD</t>
        </is>
      </c>
    </row>
    <row r="363">
      <c r="A363" t="inlineStr">
        <is>
          <t>Singapore</t>
        </is>
      </c>
      <c r="B363" t="inlineStr">
        <is>
          <t>SGP</t>
        </is>
      </c>
      <c r="C363" t="inlineStr">
        <is>
          <t>0JLR.L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-3.765230081925564</v>
      </c>
      <c r="H363" t="inlineStr">
        <is>
          <t>Singapore|0JLR.L|1 Month</t>
        </is>
      </c>
      <c r="I363" t="inlineStr">
        <is>
          <t>USD</t>
        </is>
      </c>
    </row>
    <row r="364">
      <c r="A364" t="inlineStr">
        <is>
          <t>Singapore</t>
        </is>
      </c>
      <c r="B364" t="inlineStr">
        <is>
          <t>SGP</t>
        </is>
      </c>
      <c r="C364" t="inlineStr">
        <is>
          <t>0JLR.L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-2.728771938618102</v>
      </c>
      <c r="H364" t="inlineStr">
        <is>
          <t>Singapore|0JLR.L|3 Months</t>
        </is>
      </c>
      <c r="I364" t="inlineStr">
        <is>
          <t>USD</t>
        </is>
      </c>
    </row>
    <row r="365">
      <c r="A365" t="inlineStr">
        <is>
          <t>Singapore</t>
        </is>
      </c>
      <c r="B365" t="inlineStr">
        <is>
          <t>SGP</t>
        </is>
      </c>
      <c r="C365" t="inlineStr">
        <is>
          <t>0JLR.L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-4.348882640769059</v>
      </c>
      <c r="H365" t="inlineStr">
        <is>
          <t>Singapore|0JLR.L|6 Months</t>
        </is>
      </c>
      <c r="I365" t="inlineStr">
        <is>
          <t>USD</t>
        </is>
      </c>
    </row>
    <row r="366">
      <c r="A366" t="inlineStr">
        <is>
          <t>Singapore</t>
        </is>
      </c>
      <c r="B366" t="inlineStr">
        <is>
          <t>SGP</t>
        </is>
      </c>
      <c r="C366" t="inlineStr">
        <is>
          <t>0JLR.L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12.81175142413058</v>
      </c>
      <c r="H366" t="inlineStr">
        <is>
          <t>Singapore|0JLR.L|1 Year</t>
        </is>
      </c>
      <c r="I366" t="inlineStr">
        <is>
          <t>USD</t>
        </is>
      </c>
    </row>
    <row r="367">
      <c r="A367" t="inlineStr">
        <is>
          <t>Singapore</t>
        </is>
      </c>
      <c r="B367" t="inlineStr">
        <is>
          <t>SGP</t>
        </is>
      </c>
      <c r="C367" t="inlineStr">
        <is>
          <t>0JLR.L</t>
        </is>
      </c>
      <c r="D367" t="inlineStr">
        <is>
          <t>3 Years</t>
        </is>
      </c>
      <c r="E367" s="1" t="n">
        <v>44986</v>
      </c>
      <c r="F367" s="1" t="n">
        <v>46086</v>
      </c>
      <c r="G367" t="n">
        <v>41.48773196322946</v>
      </c>
      <c r="H367" t="inlineStr">
        <is>
          <t>Singapore|0JLR.L|3 Years</t>
        </is>
      </c>
      <c r="I367" t="inlineStr">
        <is>
          <t>USD</t>
        </is>
      </c>
    </row>
    <row r="368">
      <c r="A368" t="inlineStr">
        <is>
          <t>Singapore</t>
        </is>
      </c>
      <c r="B368" t="inlineStr">
        <is>
          <t>SGP</t>
        </is>
      </c>
      <c r="C368" t="inlineStr">
        <is>
          <t>0JLR.L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19.3082396456413</v>
      </c>
      <c r="H368" t="inlineStr">
        <is>
          <t>Singapore|0JLR.L|5 Years</t>
        </is>
      </c>
      <c r="I368" t="inlineStr">
        <is>
          <t>USD</t>
        </is>
      </c>
    </row>
    <row r="369">
      <c r="A369" t="inlineStr">
        <is>
          <t>Singapore</t>
        </is>
      </c>
      <c r="B369" t="inlineStr">
        <is>
          <t>SGP</t>
        </is>
      </c>
      <c r="C369" t="inlineStr">
        <is>
          <t>0JLR.L</t>
        </is>
      </c>
      <c r="D369" t="inlineStr">
        <is>
          <t>MAX</t>
        </is>
      </c>
      <c r="E369" s="1" t="n">
        <v>43130</v>
      </c>
      <c r="F369" s="1" t="n">
        <v>46086</v>
      </c>
      <c r="G369" t="n">
        <v>-3.024697160624223</v>
      </c>
      <c r="H369" t="inlineStr">
        <is>
          <t>Singapore|0JLR.L|MAX</t>
        </is>
      </c>
      <c r="I369" t="inlineStr">
        <is>
          <t>USD</t>
        </is>
      </c>
    </row>
    <row r="370">
      <c r="A370" t="inlineStr">
        <is>
          <t>Singapore</t>
        </is>
      </c>
      <c r="B370" t="inlineStr">
        <is>
          <t>SGP</t>
        </is>
      </c>
      <c r="C370" t="inlineStr">
        <is>
          <t>EWS</t>
        </is>
      </c>
      <c r="D370" t="inlineStr">
        <is>
          <t>YTD</t>
        </is>
      </c>
      <c r="E370" s="1" t="n">
        <v>46022</v>
      </c>
      <c r="F370" s="1" t="n">
        <v>46086</v>
      </c>
      <c r="G370" t="n">
        <v>-0.9087604431843421</v>
      </c>
      <c r="H370" t="inlineStr">
        <is>
          <t>Singapore|EWS|YTD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EWS</t>
        </is>
      </c>
      <c r="D371" t="inlineStr">
        <is>
          <t>1 Month</t>
        </is>
      </c>
      <c r="E371" s="1" t="n">
        <v>46058</v>
      </c>
      <c r="F371" s="1" t="n">
        <v>46086</v>
      </c>
      <c r="G371" t="n">
        <v>-3.023836225591203</v>
      </c>
      <c r="H371" t="inlineStr">
        <is>
          <t>Singapore|EWS|1 Month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EWS</t>
        </is>
      </c>
      <c r="D372" t="inlineStr">
        <is>
          <t>3 Months</t>
        </is>
      </c>
      <c r="E372" s="1" t="n">
        <v>45996</v>
      </c>
      <c r="F372" s="1" t="n">
        <v>46086</v>
      </c>
      <c r="G372" t="n">
        <v>-2.012938433089073</v>
      </c>
      <c r="H372" t="inlineStr">
        <is>
          <t>Singapore|EWS|3 Months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EWS</t>
        </is>
      </c>
      <c r="D373" t="inlineStr">
        <is>
          <t>6 Months</t>
        </is>
      </c>
      <c r="E373" s="1" t="n">
        <v>45905</v>
      </c>
      <c r="F373" s="1" t="n">
        <v>46086</v>
      </c>
      <c r="G373" t="n">
        <v>-4.451456106547303</v>
      </c>
      <c r="H373" t="inlineStr">
        <is>
          <t>Singapore|EWS|6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EWS</t>
        </is>
      </c>
      <c r="D374" t="inlineStr">
        <is>
          <t>1 Year</t>
        </is>
      </c>
      <c r="E374" s="1" t="n">
        <v>45721</v>
      </c>
      <c r="F374" s="1" t="n">
        <v>46086</v>
      </c>
      <c r="G374" t="n">
        <v>12.97140976782281</v>
      </c>
      <c r="H374" t="inlineStr">
        <is>
          <t>Singapore|EWS|1 Year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EWS</t>
        </is>
      </c>
      <c r="D375" t="inlineStr">
        <is>
          <t>3 Years</t>
        </is>
      </c>
      <c r="E375" s="1" t="n">
        <v>44988</v>
      </c>
      <c r="F375" s="1" t="n">
        <v>46086</v>
      </c>
      <c r="G375" t="n">
        <v>42.72251143685164</v>
      </c>
      <c r="H375" t="inlineStr">
        <is>
          <t>Singapore|EWS|3 Years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EWS</t>
        </is>
      </c>
      <c r="D376" t="inlineStr">
        <is>
          <t>5 Years</t>
        </is>
      </c>
      <c r="E376" s="1" t="n">
        <v>44260</v>
      </c>
      <c r="F376" s="1" t="n">
        <v>46086</v>
      </c>
      <c r="G376" t="n">
        <v>19.35201421525883</v>
      </c>
      <c r="H376" t="inlineStr">
        <is>
          <t>Singapore|EWS|5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EWS</t>
        </is>
      </c>
      <c r="D377" t="inlineStr">
        <is>
          <t>10 Years</t>
        </is>
      </c>
      <c r="E377" s="1" t="n">
        <v>42433</v>
      </c>
      <c r="F377" s="1" t="n">
        <v>46086</v>
      </c>
      <c r="G377" t="n">
        <v>28.46371871334683</v>
      </c>
      <c r="H377" t="inlineStr">
        <is>
          <t>Singapore|EWS|10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EWS</t>
        </is>
      </c>
      <c r="D378" t="inlineStr">
        <is>
          <t>MAX</t>
        </is>
      </c>
      <c r="E378" s="1" t="n">
        <v>35143</v>
      </c>
      <c r="F378" s="1" t="n">
        <v>46086</v>
      </c>
      <c r="G378" t="n">
        <v>7.960396946066695</v>
      </c>
      <c r="H378" t="inlineStr">
        <is>
          <t>Singapore|EWS|MAX</t>
        </is>
      </c>
      <c r="I378" t="inlineStr">
        <is>
          <t>USD</t>
        </is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EZA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3.808132268855413</v>
      </c>
      <c r="H379" t="inlineStr">
        <is>
          <t>South Africa|EZA|YTD</t>
        </is>
      </c>
      <c r="I379" t="inlineStr">
        <is>
          <t>USD</t>
        </is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EZA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-0.251397079625415</v>
      </c>
      <c r="H380" t="inlineStr">
        <is>
          <t>South Africa|EZA|1 Month</t>
        </is>
      </c>
      <c r="I380" t="inlineStr">
        <is>
          <t>USD</t>
        </is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EZA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5.215087004661156</v>
      </c>
      <c r="H381" t="inlineStr">
        <is>
          <t>South Africa|EZA|3 Months</t>
        </is>
      </c>
      <c r="I381" t="inlineStr">
        <is>
          <t>USD</t>
        </is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EZA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23.30801178657189</v>
      </c>
      <c r="H382" t="inlineStr">
        <is>
          <t>South Africa|EZA|6 Months</t>
        </is>
      </c>
      <c r="I382" t="inlineStr">
        <is>
          <t>USD</t>
        </is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EZA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53.95559195648991</v>
      </c>
      <c r="H383" t="inlineStr">
        <is>
          <t>South Africa|EZA|1 Year</t>
        </is>
      </c>
      <c r="I383" t="inlineStr">
        <is>
          <t>USD</t>
        </is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EZA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69.32194796637205</v>
      </c>
      <c r="H384" t="inlineStr">
        <is>
          <t>South Africa|EZA|3 Years</t>
        </is>
      </c>
      <c r="I384" t="inlineStr">
        <is>
          <t>USD</t>
        </is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EZA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48.88471201064202</v>
      </c>
      <c r="H385" t="inlineStr">
        <is>
          <t>South Africa|EZA|5 Years</t>
        </is>
      </c>
      <c r="I385" t="inlineStr">
        <is>
          <t>USD</t>
        </is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EZA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43.78900906341998</v>
      </c>
      <c r="H386" t="inlineStr">
        <is>
          <t>South Africa|EZA|10 Years</t>
        </is>
      </c>
      <c r="I386" t="inlineStr">
        <is>
          <t>USD</t>
        </is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EZA</t>
        </is>
      </c>
      <c r="D387" t="inlineStr">
        <is>
          <t>MAX</t>
        </is>
      </c>
      <c r="E387" s="1" t="n">
        <v>37662</v>
      </c>
      <c r="F387" s="1" t="n">
        <v>46086</v>
      </c>
      <c r="G387" t="n">
        <v>266.7265559434892</v>
      </c>
      <c r="H387" t="inlineStr">
        <is>
          <t>South Africa|EZA|MAX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IRSA.L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2.666559423902304</v>
      </c>
      <c r="H388" t="inlineStr">
        <is>
          <t>South Africa|IRSA.L|YTD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IRSA.L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-2.047887911838431</v>
      </c>
      <c r="H389" t="inlineStr">
        <is>
          <t>South Africa|IRSA.L|1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IRSA.L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9.626232311292204</v>
      </c>
      <c r="H390" t="inlineStr">
        <is>
          <t>South Africa|IRSA.L|3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IRSA.L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29.67674518419339</v>
      </c>
      <c r="H391" t="inlineStr">
        <is>
          <t>South Africa|IRSA.L|6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IRSA.L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66.8813824643703</v>
      </c>
      <c r="H392" t="inlineStr">
        <is>
          <t>South Africa|IRSA.L|1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IRSA.L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102.4747709504646</v>
      </c>
      <c r="H393" t="inlineStr">
        <is>
          <t>South Africa|IRSA.L|3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IRSA.L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83.25965147630919</v>
      </c>
      <c r="H394" t="inlineStr">
        <is>
          <t>South Africa|IRSA.L|5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IRSA.L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135.1295179532393</v>
      </c>
      <c r="H395" t="inlineStr">
        <is>
          <t>South Africa|IRSA.L|10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IRSA.L</t>
        </is>
      </c>
      <c r="D396" t="inlineStr">
        <is>
          <t>MAX</t>
        </is>
      </c>
      <c r="E396" s="1" t="n">
        <v>40203</v>
      </c>
      <c r="F396" s="1" t="n">
        <v>46086</v>
      </c>
      <c r="G396" t="n">
        <v>155.2545104565923</v>
      </c>
      <c r="H396" t="inlineStr">
        <is>
          <t>South Africa|IRSA.L|MAX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SRSA.L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2.743529934466293</v>
      </c>
      <c r="H397" t="inlineStr">
        <is>
          <t>South Africa|SRSA.L|YTD</t>
        </is>
      </c>
      <c r="I397" t="inlineStr">
        <is>
          <t>GBp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SRSA.L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-1.196325571459089</v>
      </c>
      <c r="H398" t="inlineStr">
        <is>
          <t>South Africa|SRSA.L|1 Month</t>
        </is>
      </c>
      <c r="I398" t="inlineStr">
        <is>
          <t>GBp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SRSA.L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8.849140974346902</v>
      </c>
      <c r="H399" t="inlineStr">
        <is>
          <t>South Africa|SRSA.L|3 Months</t>
        </is>
      </c>
      <c r="I399" t="inlineStr">
        <is>
          <t>GBp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SRSA.L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30.52067165232115</v>
      </c>
      <c r="H400" t="inlineStr">
        <is>
          <t>South Africa|SRSA.L|6 Months</t>
        </is>
      </c>
      <c r="I400" t="inlineStr">
        <is>
          <t>GBp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SRSA.L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59.62036238136324</v>
      </c>
      <c r="H401" t="inlineStr">
        <is>
          <t>South Africa|SRSA.L|1 Year</t>
        </is>
      </c>
      <c r="I401" t="inlineStr">
        <is>
          <t>GBp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SRSA.L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79.89109295993777</v>
      </c>
      <c r="H402" t="inlineStr">
        <is>
          <t>South Africa|SRSA.L|3 Years</t>
        </is>
      </c>
      <c r="I402" t="inlineStr">
        <is>
          <t>GBp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SRSA.L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87.91264601320468</v>
      </c>
      <c r="H403" t="inlineStr">
        <is>
          <t>South Africa|SRSA.L|5 Years</t>
        </is>
      </c>
      <c r="I403" t="inlineStr">
        <is>
          <t>GBp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SRSA.L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148.7562189054726</v>
      </c>
      <c r="H404" t="inlineStr">
        <is>
          <t>South Africa|SRSA.L|10 Years</t>
        </is>
      </c>
      <c r="I404" t="inlineStr">
        <is>
          <t>GBp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SRSA.L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207.6176116928468</v>
      </c>
      <c r="H405" t="inlineStr">
        <is>
          <t>South Africa|SRSA.L|MAX</t>
        </is>
      </c>
      <c r="I405" t="inlineStr">
        <is>
          <t>GBp</t>
        </is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29.88834908258586</v>
      </c>
      <c r="H406" t="inlineStr">
        <is>
          <t>South Korea|CSKR.L|YTD</t>
        </is>
      </c>
      <c r="I406" t="inlineStr">
        <is>
          <t>USD</t>
        </is>
      </c>
    </row>
    <row r="407">
      <c r="A407" t="inlineStr">
        <is>
          <t>South Korea</t>
        </is>
      </c>
      <c r="B407" t="inlineStr">
        <is>
          <t>KOR</t>
        </is>
      </c>
      <c r="C407" t="inlineStr">
        <is>
          <t>CSKR.L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4.90385484896052</v>
      </c>
      <c r="H407" t="inlineStr">
        <is>
          <t>South Korea|CSKR.L|1 Month</t>
        </is>
      </c>
      <c r="I407" t="inlineStr">
        <is>
          <t>USD</t>
        </is>
      </c>
    </row>
    <row r="408">
      <c r="A408" t="inlineStr">
        <is>
          <t>South Korea</t>
        </is>
      </c>
      <c r="B408" t="inlineStr">
        <is>
          <t>KOR</t>
        </is>
      </c>
      <c r="C408" t="inlineStr">
        <is>
          <t>CSKR.L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39.69829393528843</v>
      </c>
      <c r="H408" t="inlineStr">
        <is>
          <t>South Korea|CSKR.L|3 Months</t>
        </is>
      </c>
      <c r="I408" t="inlineStr">
        <is>
          <t>USD</t>
        </is>
      </c>
    </row>
    <row r="409">
      <c r="A409" t="inlineStr">
        <is>
          <t>South Korea</t>
        </is>
      </c>
      <c r="B409" t="inlineStr">
        <is>
          <t>KOR</t>
        </is>
      </c>
      <c r="C409" t="inlineStr">
        <is>
          <t>CSKR.L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80.40602804312952</v>
      </c>
      <c r="H409" t="inlineStr">
        <is>
          <t>South Korea|CSKR.L|6 Months</t>
        </is>
      </c>
      <c r="I409" t="inlineStr">
        <is>
          <t>USD</t>
        </is>
      </c>
    </row>
    <row r="410">
      <c r="A410" t="inlineStr">
        <is>
          <t>South Korea</t>
        </is>
      </c>
      <c r="B410" t="inlineStr">
        <is>
          <t>KOR</t>
        </is>
      </c>
      <c r="C410" t="inlineStr">
        <is>
          <t>CSKR.L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139.9754469184249</v>
      </c>
      <c r="H410" t="inlineStr">
        <is>
          <t>South Korea|CSKR.L|1 Year</t>
        </is>
      </c>
      <c r="I410" t="inlineStr">
        <is>
          <t>USD</t>
        </is>
      </c>
    </row>
    <row r="411">
      <c r="A411" t="inlineStr">
        <is>
          <t>South Korea</t>
        </is>
      </c>
      <c r="B411" t="inlineStr">
        <is>
          <t>KOR</t>
        </is>
      </c>
      <c r="C411" t="inlineStr">
        <is>
          <t>CSKR.L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127.0615586511813</v>
      </c>
      <c r="H411" t="inlineStr">
        <is>
          <t>South Korea|CSKR.L|3 Years</t>
        </is>
      </c>
      <c r="I411" t="inlineStr">
        <is>
          <t>USD</t>
        </is>
      </c>
    </row>
    <row r="412">
      <c r="A412" t="inlineStr">
        <is>
          <t>South Korea</t>
        </is>
      </c>
      <c r="B412" t="inlineStr">
        <is>
          <t>KOR</t>
        </is>
      </c>
      <c r="C412" t="inlineStr">
        <is>
          <t>CSKR.L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56.4278020066365</v>
      </c>
      <c r="H412" t="inlineStr">
        <is>
          <t>South Korea|CSKR.L|5 Years</t>
        </is>
      </c>
      <c r="I412" t="inlineStr">
        <is>
          <t>USD</t>
        </is>
      </c>
    </row>
    <row r="413">
      <c r="A413" t="inlineStr">
        <is>
          <t>South Korea</t>
        </is>
      </c>
      <c r="B413" t="inlineStr">
        <is>
          <t>KOR</t>
        </is>
      </c>
      <c r="C413" t="inlineStr">
        <is>
          <t>CSKR.L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220.0254609188841</v>
      </c>
      <c r="H413" t="inlineStr">
        <is>
          <t>South Korea|CSKR.L|10 Years</t>
        </is>
      </c>
      <c r="I413" t="inlineStr">
        <is>
          <t>USD</t>
        </is>
      </c>
    </row>
    <row r="414">
      <c r="A414" t="inlineStr">
        <is>
          <t>South Korea</t>
        </is>
      </c>
      <c r="B414" t="inlineStr">
        <is>
          <t>KOR</t>
        </is>
      </c>
      <c r="C414" t="inlineStr">
        <is>
          <t>CSKR.L</t>
        </is>
      </c>
      <c r="D414" t="inlineStr">
        <is>
          <t>MAX</t>
        </is>
      </c>
      <c r="E414" s="1" t="n">
        <v>40441</v>
      </c>
      <c r="F414" s="1" t="n">
        <v>46086</v>
      </c>
      <c r="G414" t="n">
        <v>226.7409506665059</v>
      </c>
      <c r="H414" t="inlineStr">
        <is>
          <t>South Korea|CSKR.L|MAX</t>
        </is>
      </c>
      <c r="I414" t="inlineStr">
        <is>
          <t>USD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EWY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29.33552384793945</v>
      </c>
      <c r="H415" t="inlineStr">
        <is>
          <t>South Korea|EWY|YTD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EWY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4.600281857926714</v>
      </c>
      <c r="H416" t="inlineStr">
        <is>
          <t>South Korea|EWY|1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EWY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33.34039638869943</v>
      </c>
      <c r="H417" t="inlineStr">
        <is>
          <t>South Korea|EWY|3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EWY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70.7727863020293</v>
      </c>
      <c r="H418" t="inlineStr">
        <is>
          <t>South Korea|EWY|6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EWY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124.3354140505136</v>
      </c>
      <c r="H419" t="inlineStr">
        <is>
          <t>South Korea|EWY|1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EWY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107.4917508743274</v>
      </c>
      <c r="H420" t="inlineStr">
        <is>
          <t>South Korea|EWY|3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EWY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41.26502061119324</v>
      </c>
      <c r="H421" t="inlineStr">
        <is>
          <t>South Korea|EWY|5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EWY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152.7945187388369</v>
      </c>
      <c r="H422" t="inlineStr">
        <is>
          <t>South Korea|EWY|10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EWY</t>
        </is>
      </c>
      <c r="D423" t="inlineStr">
        <is>
          <t>MAX</t>
        </is>
      </c>
      <c r="E423" s="1" t="n">
        <v>36661</v>
      </c>
      <c r="F423" s="1" t="n">
        <v>46086</v>
      </c>
      <c r="G423" t="n">
        <v>546.893879684988</v>
      </c>
      <c r="H423" t="inlineStr">
        <is>
          <t>South Korea|EWY|MAX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FLRK.L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31.46281981474612</v>
      </c>
      <c r="H424" t="inlineStr">
        <is>
          <t>South Korea|FLRK.L|YTD</t>
        </is>
      </c>
      <c r="I424" t="inlineStr">
        <is>
          <t>GBP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FLRK.L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7.235372516051686</v>
      </c>
      <c r="H425" t="inlineStr">
        <is>
          <t>South Korea|FLRK.L|1 Month</t>
        </is>
      </c>
      <c r="I425" t="inlineStr">
        <is>
          <t>GBP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FLRK.L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39.50467273314879</v>
      </c>
      <c r="H426" t="inlineStr">
        <is>
          <t>South Korea|FLRK.L|3 Months</t>
        </is>
      </c>
      <c r="I426" t="inlineStr">
        <is>
          <t>GBP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FLRK.L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81.51082966943723</v>
      </c>
      <c r="H427" t="inlineStr">
        <is>
          <t>South Korea|FLRK.L|6 Months</t>
        </is>
      </c>
      <c r="I427" t="inlineStr">
        <is>
          <t>GBP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FLRK.L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127.9522314206871</v>
      </c>
      <c r="H428" t="inlineStr">
        <is>
          <t>South Korea|FLRK.L|1 Year</t>
        </is>
      </c>
      <c r="I428" t="inlineStr">
        <is>
          <t>GBP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FLRK.L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104.6456303690805</v>
      </c>
      <c r="H429" t="inlineStr">
        <is>
          <t>South Korea|FLRK.L|3 Years</t>
        </is>
      </c>
      <c r="I429" t="inlineStr">
        <is>
          <t>GBP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FLRK.L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65.88349347204246</v>
      </c>
      <c r="H430" t="inlineStr">
        <is>
          <t>South Korea|FLRK.L|5 Years</t>
        </is>
      </c>
      <c r="I430" t="inlineStr">
        <is>
          <t>GBP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FLRK.L</t>
        </is>
      </c>
      <c r="D431" t="inlineStr">
        <is>
          <t>MAX</t>
        </is>
      </c>
      <c r="E431" s="1" t="n">
        <v>43621</v>
      </c>
      <c r="F431" s="1" t="n">
        <v>46086</v>
      </c>
      <c r="G431" t="n">
        <v>100.7009357594887</v>
      </c>
      <c r="H431" t="inlineStr">
        <is>
          <t>South Korea|FLRK.L|MAX</t>
        </is>
      </c>
      <c r="I431" t="inlineStr">
        <is>
          <t>GBP</t>
        </is>
      </c>
    </row>
    <row r="432">
      <c r="A432" t="inlineStr">
        <is>
          <t>Spain</t>
        </is>
      </c>
      <c r="B432" t="inlineStr">
        <is>
          <t>ESP</t>
        </is>
      </c>
      <c r="C432" t="inlineStr">
        <is>
          <t>EWP</t>
        </is>
      </c>
      <c r="D432" t="inlineStr">
        <is>
          <t>YTD</t>
        </is>
      </c>
      <c r="E432" s="1" t="n">
        <v>46022</v>
      </c>
      <c r="F432" s="1" t="n">
        <v>46086</v>
      </c>
      <c r="G432" t="n">
        <v>-0.6677807667789137</v>
      </c>
      <c r="H432" t="inlineStr">
        <is>
          <t>Spain|EWP|YTD</t>
        </is>
      </c>
      <c r="I432" t="inlineStr">
        <is>
          <t>USD</t>
        </is>
      </c>
    </row>
    <row r="433">
      <c r="A433" t="inlineStr">
        <is>
          <t>Spain</t>
        </is>
      </c>
      <c r="B433" t="inlineStr">
        <is>
          <t>ESP</t>
        </is>
      </c>
      <c r="C433" t="inlineStr">
        <is>
          <t>EWP</t>
        </is>
      </c>
      <c r="D433" t="inlineStr">
        <is>
          <t>1 Month</t>
        </is>
      </c>
      <c r="E433" s="1" t="n">
        <v>46058</v>
      </c>
      <c r="F433" s="1" t="n">
        <v>46086</v>
      </c>
      <c r="G433" t="n">
        <v>-3.006701457959216</v>
      </c>
      <c r="H433" t="inlineStr">
        <is>
          <t>Spain|EWP|1 Month</t>
        </is>
      </c>
      <c r="I433" t="inlineStr">
        <is>
          <t>USD</t>
        </is>
      </c>
    </row>
    <row r="434">
      <c r="A434" t="inlineStr">
        <is>
          <t>Spain</t>
        </is>
      </c>
      <c r="B434" t="inlineStr">
        <is>
          <t>ESP</t>
        </is>
      </c>
      <c r="C434" t="inlineStr">
        <is>
          <t>EWP</t>
        </is>
      </c>
      <c r="D434" t="inlineStr">
        <is>
          <t>3 Months</t>
        </is>
      </c>
      <c r="E434" s="1" t="n">
        <v>45996</v>
      </c>
      <c r="F434" s="1" t="n">
        <v>46086</v>
      </c>
      <c r="G434" t="n">
        <v>2.409635302108115</v>
      </c>
      <c r="H434" t="inlineStr">
        <is>
          <t>Spain|EWP|3 Months</t>
        </is>
      </c>
      <c r="I434" t="inlineStr">
        <is>
          <t>USD</t>
        </is>
      </c>
    </row>
    <row r="435">
      <c r="A435" t="inlineStr">
        <is>
          <t>Spain</t>
        </is>
      </c>
      <c r="B435" t="inlineStr">
        <is>
          <t>ESP</t>
        </is>
      </c>
      <c r="C435" t="inlineStr">
        <is>
          <t>EWP</t>
        </is>
      </c>
      <c r="D435" t="inlineStr">
        <is>
          <t>6 Months</t>
        </is>
      </c>
      <c r="E435" s="1" t="n">
        <v>45905</v>
      </c>
      <c r="F435" s="1" t="n">
        <v>46086</v>
      </c>
      <c r="G435" t="n">
        <v>12.50000200351755</v>
      </c>
      <c r="H435" t="inlineStr">
        <is>
          <t>Spain|EWP|6 Months</t>
        </is>
      </c>
      <c r="I435" t="inlineStr">
        <is>
          <t>USD</t>
        </is>
      </c>
    </row>
    <row r="436">
      <c r="A436" t="inlineStr">
        <is>
          <t>Spain</t>
        </is>
      </c>
      <c r="B436" t="inlineStr">
        <is>
          <t>ESP</t>
        </is>
      </c>
      <c r="C436" t="inlineStr">
        <is>
          <t>EWP</t>
        </is>
      </c>
      <c r="D436" t="inlineStr">
        <is>
          <t>1 Year</t>
        </is>
      </c>
      <c r="E436" s="1" t="n">
        <v>45721</v>
      </c>
      <c r="F436" s="1" t="n">
        <v>46086</v>
      </c>
      <c r="G436" t="n">
        <v>42.72387682228809</v>
      </c>
      <c r="H436" t="inlineStr">
        <is>
          <t>Spain|EWP|1 Year</t>
        </is>
      </c>
      <c r="I436" t="inlineStr">
        <is>
          <t>USD</t>
        </is>
      </c>
    </row>
    <row r="437">
      <c r="A437" t="inlineStr">
        <is>
          <t>Spain</t>
        </is>
      </c>
      <c r="B437" t="inlineStr">
        <is>
          <t>ESP</t>
        </is>
      </c>
      <c r="C437" t="inlineStr">
        <is>
          <t>EWP</t>
        </is>
      </c>
      <c r="D437" t="inlineStr">
        <is>
          <t>3 Years</t>
        </is>
      </c>
      <c r="E437" s="1" t="n">
        <v>44988</v>
      </c>
      <c r="F437" s="1" t="n">
        <v>46086</v>
      </c>
      <c r="G437" t="n">
        <v>92.48741849204001</v>
      </c>
      <c r="H437" t="inlineStr">
        <is>
          <t>Spain|EWP|3 Years</t>
        </is>
      </c>
      <c r="I437" t="inlineStr">
        <is>
          <t>USD</t>
        </is>
      </c>
    </row>
    <row r="438">
      <c r="A438" t="inlineStr">
        <is>
          <t>Spain</t>
        </is>
      </c>
      <c r="B438" t="inlineStr">
        <is>
          <t>ESP</t>
        </is>
      </c>
      <c r="C438" t="inlineStr">
        <is>
          <t>EWP</t>
        </is>
      </c>
      <c r="D438" t="inlineStr">
        <is>
          <t>5 Years</t>
        </is>
      </c>
      <c r="E438" s="1" t="n">
        <v>44260</v>
      </c>
      <c r="F438" s="1" t="n">
        <v>46086</v>
      </c>
      <c r="G438" t="n">
        <v>97.31024480967834</v>
      </c>
      <c r="H438" t="inlineStr">
        <is>
          <t>Spain|EWP|5 Years</t>
        </is>
      </c>
      <c r="I438" t="inlineStr">
        <is>
          <t>USD</t>
        </is>
      </c>
    </row>
    <row r="439">
      <c r="A439" t="inlineStr">
        <is>
          <t>Spain</t>
        </is>
      </c>
      <c r="B439" t="inlineStr">
        <is>
          <t>ESP</t>
        </is>
      </c>
      <c r="C439" t="inlineStr">
        <is>
          <t>EWP</t>
        </is>
      </c>
      <c r="D439" t="inlineStr">
        <is>
          <t>10 Years</t>
        </is>
      </c>
      <c r="E439" s="1" t="n">
        <v>42433</v>
      </c>
      <c r="F439" s="1" t="n">
        <v>46086</v>
      </c>
      <c r="G439" t="n">
        <v>101.6189770851734</v>
      </c>
      <c r="H439" t="inlineStr">
        <is>
          <t>Spain|EWP|10 Years</t>
        </is>
      </c>
      <c r="I439" t="inlineStr">
        <is>
          <t>USD</t>
        </is>
      </c>
    </row>
    <row r="440">
      <c r="A440" t="inlineStr">
        <is>
          <t>Spain</t>
        </is>
      </c>
      <c r="B440" t="inlineStr">
        <is>
          <t>ESP</t>
        </is>
      </c>
      <c r="C440" t="inlineStr">
        <is>
          <t>EWP</t>
        </is>
      </c>
      <c r="D440" t="inlineStr">
        <is>
          <t>MAX</t>
        </is>
      </c>
      <c r="E440" s="1" t="n">
        <v>35143</v>
      </c>
      <c r="F440" s="1" t="n">
        <v>46086</v>
      </c>
      <c r="G440" t="n">
        <v>300.3738260714807</v>
      </c>
      <c r="H440" t="inlineStr">
        <is>
          <t>Spain|EWP|MAX</t>
        </is>
      </c>
      <c r="I440" t="inlineStr">
        <is>
          <t>USD</t>
        </is>
      </c>
    </row>
    <row r="441">
      <c r="A441" t="inlineStr">
        <is>
          <t>Sweden</t>
        </is>
      </c>
      <c r="B441" t="inlineStr">
        <is>
          <t>SWE</t>
        </is>
      </c>
      <c r="C441" t="inlineStr">
        <is>
          <t>EWD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5.707904528579588</v>
      </c>
      <c r="H441" t="inlineStr">
        <is>
          <t>Sweden|EWD|YTD</t>
        </is>
      </c>
      <c r="I441" t="inlineStr">
        <is>
          <t>USD</t>
        </is>
      </c>
    </row>
    <row r="442">
      <c r="A442" t="inlineStr">
        <is>
          <t>Sweden</t>
        </is>
      </c>
      <c r="B442" t="inlineStr">
        <is>
          <t>SWE</t>
        </is>
      </c>
      <c r="C442" t="inlineStr">
        <is>
          <t>EWD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0.34708889906927</v>
      </c>
      <c r="H442" t="inlineStr">
        <is>
          <t>Sweden|EWD|1 Month</t>
        </is>
      </c>
      <c r="I442" t="inlineStr">
        <is>
          <t>USD</t>
        </is>
      </c>
    </row>
    <row r="443">
      <c r="A443" t="inlineStr">
        <is>
          <t>Sweden</t>
        </is>
      </c>
      <c r="B443" t="inlineStr">
        <is>
          <t>SWE</t>
        </is>
      </c>
      <c r="C443" t="inlineStr">
        <is>
          <t>EWD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7.587351797982711</v>
      </c>
      <c r="H443" t="inlineStr">
        <is>
          <t>Sweden|EWD|3 Months</t>
        </is>
      </c>
      <c r="I443" t="inlineStr">
        <is>
          <t>USD</t>
        </is>
      </c>
    </row>
    <row r="444">
      <c r="A444" t="inlineStr">
        <is>
          <t>Sweden</t>
        </is>
      </c>
      <c r="B444" t="inlineStr">
        <is>
          <t>SWE</t>
        </is>
      </c>
      <c r="C444" t="inlineStr">
        <is>
          <t>EWD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10.69985699550669</v>
      </c>
      <c r="H444" t="inlineStr">
        <is>
          <t>Sweden|EWD|6 Months</t>
        </is>
      </c>
      <c r="I444" t="inlineStr">
        <is>
          <t>USD</t>
        </is>
      </c>
    </row>
    <row r="445">
      <c r="A445" t="inlineStr">
        <is>
          <t>Sweden</t>
        </is>
      </c>
      <c r="B445" t="inlineStr">
        <is>
          <t>SWE</t>
        </is>
      </c>
      <c r="C445" t="inlineStr">
        <is>
          <t>EWD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15.38803254148338</v>
      </c>
      <c r="H445" t="inlineStr">
        <is>
          <t>Sweden|EWD|1 Year</t>
        </is>
      </c>
      <c r="I445" t="inlineStr">
        <is>
          <t>USD</t>
        </is>
      </c>
    </row>
    <row r="446">
      <c r="A446" t="inlineStr">
        <is>
          <t>Sweden</t>
        </is>
      </c>
      <c r="B446" t="inlineStr">
        <is>
          <t>SWE</t>
        </is>
      </c>
      <c r="C446" t="inlineStr">
        <is>
          <t>EWD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44.3550680079587</v>
      </c>
      <c r="H446" t="inlineStr">
        <is>
          <t>Sweden|EWD|3 Years</t>
        </is>
      </c>
      <c r="I446" t="inlineStr">
        <is>
          <t>USD</t>
        </is>
      </c>
    </row>
    <row r="447">
      <c r="A447" t="inlineStr">
        <is>
          <t>Sweden</t>
        </is>
      </c>
      <c r="B447" t="inlineStr">
        <is>
          <t>SWE</t>
        </is>
      </c>
      <c r="C447" t="inlineStr">
        <is>
          <t>EWD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21.5887893532154</v>
      </c>
      <c r="H447" t="inlineStr">
        <is>
          <t>Sweden|EWD|5 Years</t>
        </is>
      </c>
      <c r="I447" t="inlineStr">
        <is>
          <t>USD</t>
        </is>
      </c>
    </row>
    <row r="448">
      <c r="A448" t="inlineStr">
        <is>
          <t>Sweden</t>
        </is>
      </c>
      <c r="B448" t="inlineStr">
        <is>
          <t>SWE</t>
        </is>
      </c>
      <c r="C448" t="inlineStr">
        <is>
          <t>EWD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82.72472525272035</v>
      </c>
      <c r="H448" t="inlineStr">
        <is>
          <t>Sweden|EWD|10 Years</t>
        </is>
      </c>
      <c r="I448" t="inlineStr">
        <is>
          <t>USD</t>
        </is>
      </c>
    </row>
    <row r="449">
      <c r="A449" t="inlineStr">
        <is>
          <t>Sweden</t>
        </is>
      </c>
      <c r="B449" t="inlineStr">
        <is>
          <t>SWE</t>
        </is>
      </c>
      <c r="C449" t="inlineStr">
        <is>
          <t>EWD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271.7142922537668</v>
      </c>
      <c r="H449" t="inlineStr">
        <is>
          <t>Sweden|EWD|MAX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OMXS.L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5.276705276705274</v>
      </c>
      <c r="H450" t="inlineStr">
        <is>
          <t>Sweden|OMXS.L|YTD</t>
        </is>
      </c>
      <c r="I450" t="inlineStr">
        <is>
          <t>GBp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OMXS.L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-1.564380264741283</v>
      </c>
      <c r="H451" t="inlineStr">
        <is>
          <t>Sweden|OMXS.L|1 Month</t>
        </is>
      </c>
      <c r="I451" t="inlineStr">
        <is>
          <t>GBp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OMXS.L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8.093822266270223</v>
      </c>
      <c r="H452" t="inlineStr">
        <is>
          <t>Sweden|OMXS.L|3 Months</t>
        </is>
      </c>
      <c r="I452" t="inlineStr">
        <is>
          <t>GBp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OMXS.L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16.15193468228611</v>
      </c>
      <c r="H453" t="inlineStr">
        <is>
          <t>Sweden|OMXS.L|6 Months</t>
        </is>
      </c>
      <c r="I453" t="inlineStr">
        <is>
          <t>GBp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OMXS.L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17.67667685668044</v>
      </c>
      <c r="H454" t="inlineStr">
        <is>
          <t>Sweden|OMXS.L|1 Year</t>
        </is>
      </c>
      <c r="I454" t="inlineStr">
        <is>
          <t>GBp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OMXS.L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40.42918454935622</v>
      </c>
      <c r="H455" t="inlineStr">
        <is>
          <t>Sweden|OMXS.L|3 Years</t>
        </is>
      </c>
      <c r="I455" t="inlineStr">
        <is>
          <t>GBp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OMXS.L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46.66069027341999</v>
      </c>
      <c r="H456" t="inlineStr">
        <is>
          <t>Sweden|OMXS.L|5 Years</t>
        </is>
      </c>
      <c r="I456" t="inlineStr">
        <is>
          <t>GBp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OMXS.L</t>
        </is>
      </c>
      <c r="D457" t="inlineStr">
        <is>
          <t>MAX</t>
        </is>
      </c>
      <c r="E457" s="1" t="n">
        <v>42724</v>
      </c>
      <c r="F457" s="1" t="n">
        <v>46086</v>
      </c>
      <c r="G457" t="n">
        <v>137.3766643968886</v>
      </c>
      <c r="H457" t="inlineStr">
        <is>
          <t>Sweden|OMXS.L|MAX</t>
        </is>
      </c>
      <c r="I457" t="inlineStr">
        <is>
          <t>GBp</t>
        </is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inlineStr">
        <is>
          <t>YTD</t>
        </is>
      </c>
      <c r="E458" s="1" t="n">
        <v>46022</v>
      </c>
      <c r="F458" s="1" t="n">
        <v>46086</v>
      </c>
      <c r="G458" t="n">
        <v>2.936204224855699</v>
      </c>
      <c r="H458" t="inlineStr">
        <is>
          <t>Switzerland|CSWG.L|YTD</t>
        </is>
      </c>
      <c r="I458" t="inlineStr">
        <is>
          <t>GBp</t>
        </is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inlineStr">
        <is>
          <t>1 Month</t>
        </is>
      </c>
      <c r="E459" s="1" t="n">
        <v>46058</v>
      </c>
      <c r="F459" s="1" t="n">
        <v>46086</v>
      </c>
      <c r="G459" t="n">
        <v>-0.4645981405151933</v>
      </c>
      <c r="H459" t="inlineStr">
        <is>
          <t>Switzerland|CSWG.L|1 Month</t>
        </is>
      </c>
      <c r="I459" t="inlineStr">
        <is>
          <t>GBp</t>
        </is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inlineStr">
        <is>
          <t>3 Months</t>
        </is>
      </c>
      <c r="E460" s="1" t="n">
        <v>45996</v>
      </c>
      <c r="F460" s="1" t="n">
        <v>46086</v>
      </c>
      <c r="G460" t="n">
        <v>5.826937073488048</v>
      </c>
      <c r="H460" t="inlineStr">
        <is>
          <t>Switzerland|CSWG.L|3 Months</t>
        </is>
      </c>
      <c r="I460" t="inlineStr">
        <is>
          <t>GBp</t>
        </is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inlineStr">
        <is>
          <t>6 Months</t>
        </is>
      </c>
      <c r="E461" s="1" t="n">
        <v>45905</v>
      </c>
      <c r="F461" s="1" t="n">
        <v>46086</v>
      </c>
      <c r="G461" t="n">
        <v>10.97362344499397</v>
      </c>
      <c r="H461" t="inlineStr">
        <is>
          <t>Switzerland|CSWG.L|6 Months</t>
        </is>
      </c>
      <c r="I461" t="inlineStr">
        <is>
          <t>GBp</t>
        </is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inlineStr">
        <is>
          <t>1 Year</t>
        </is>
      </c>
      <c r="E462" s="1" t="n">
        <v>45721</v>
      </c>
      <c r="F462" s="1" t="n">
        <v>46086</v>
      </c>
      <c r="G462" t="n">
        <v>14.11521388283112</v>
      </c>
      <c r="H462" t="inlineStr">
        <is>
          <t>Switzerland|CSWG.L|1 Year</t>
        </is>
      </c>
      <c r="I462" t="inlineStr">
        <is>
          <t>GBp</t>
        </is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inlineStr">
        <is>
          <t>3 Years</t>
        </is>
      </c>
      <c r="E463" s="1" t="n">
        <v>44988</v>
      </c>
      <c r="F463" s="1" t="n">
        <v>46086</v>
      </c>
      <c r="G463" t="n">
        <v>32.92354304200597</v>
      </c>
      <c r="H463" t="inlineStr">
        <is>
          <t>Switzerland|CSWG.L|3 Years</t>
        </is>
      </c>
      <c r="I463" t="inlineStr">
        <is>
          <t>GBp</t>
        </is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inlineStr">
        <is>
          <t>5 Years</t>
        </is>
      </c>
      <c r="E464" s="1" t="n">
        <v>44260</v>
      </c>
      <c r="F464" s="1" t="n">
        <v>46086</v>
      </c>
      <c r="G464" t="n">
        <v>-95.91598261613605</v>
      </c>
      <c r="H464" t="inlineStr">
        <is>
          <t>Switzerland|CSWG.L|5 Years</t>
        </is>
      </c>
      <c r="I464" t="inlineStr">
        <is>
          <t>GBp</t>
        </is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inlineStr">
        <is>
          <t>10 Years</t>
        </is>
      </c>
      <c r="E465" s="1" t="n">
        <v>42433</v>
      </c>
      <c r="F465" s="1" t="n">
        <v>46086</v>
      </c>
      <c r="G465" t="n">
        <v>86.54021784914316</v>
      </c>
      <c r="H465" t="inlineStr">
        <is>
          <t>Switzerland|CSWG.L|10 Years</t>
        </is>
      </c>
      <c r="I465" t="inlineStr">
        <is>
          <t>GBp</t>
        </is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inlineStr">
        <is>
          <t>MAX</t>
        </is>
      </c>
      <c r="E466" s="1" t="n">
        <v>40347</v>
      </c>
      <c r="F466" s="1" t="n">
        <v>46086</v>
      </c>
      <c r="G466" t="n">
        <v>-93.47600505039158</v>
      </c>
      <c r="H466" t="inlineStr">
        <is>
          <t>Switzerland|CSWG.L|MAX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1.817878867963763</v>
      </c>
      <c r="H467" t="inlineStr">
        <is>
          <t>Switzerland|EWL|YTD</t>
        </is>
      </c>
      <c r="I467" t="inlineStr">
        <is>
          <t>USD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-1.911957598513303</v>
      </c>
      <c r="H468" t="inlineStr">
        <is>
          <t>Switzerland|EWL|1 Month</t>
        </is>
      </c>
      <c r="I468" t="inlineStr">
        <is>
          <t>USD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5.204205620009583</v>
      </c>
      <c r="H469" t="inlineStr">
        <is>
          <t>Switzerland|EWL|3 Months</t>
        </is>
      </c>
      <c r="I469" t="inlineStr">
        <is>
          <t>USD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8.533331976996529</v>
      </c>
      <c r="H470" t="inlineStr">
        <is>
          <t>Switzerland|EWL|6 Months</t>
        </is>
      </c>
      <c r="I470" t="inlineStr">
        <is>
          <t>USD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15.49375431733373</v>
      </c>
      <c r="H471" t="inlineStr">
        <is>
          <t>Switzerland|EWL|1 Year</t>
        </is>
      </c>
      <c r="I471" t="inlineStr">
        <is>
          <t>USD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38.27858918934706</v>
      </c>
      <c r="H472" t="inlineStr">
        <is>
          <t>Switzerland|EWL|3 Years</t>
        </is>
      </c>
      <c r="I472" t="inlineStr">
        <is>
          <t>USD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41.02563628073985</v>
      </c>
      <c r="H473" t="inlineStr">
        <is>
          <t>Switzerland|EWL|5 Years</t>
        </is>
      </c>
      <c r="I473" t="inlineStr">
        <is>
          <t>USD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108.7179461096087</v>
      </c>
      <c r="H474" t="inlineStr">
        <is>
          <t>Switzerland|EWL|10 Years</t>
        </is>
      </c>
      <c r="I474" t="inlineStr">
        <is>
          <t>USD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inlineStr">
        <is>
          <t>MAX</t>
        </is>
      </c>
      <c r="E475" s="1" t="n">
        <v>35143</v>
      </c>
      <c r="F475" s="1" t="n">
        <v>46086</v>
      </c>
      <c r="G475" t="n">
        <v>393.333327168166</v>
      </c>
      <c r="H475" t="inlineStr">
        <is>
          <t>Switzerland|EWL|MAX</t>
        </is>
      </c>
      <c r="I475" t="inlineStr">
        <is>
          <t>USD</t>
        </is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EWT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10.81379329228134</v>
      </c>
      <c r="H476" t="inlineStr">
        <is>
          <t>Taiwan|EWT|YTD</t>
        </is>
      </c>
      <c r="I476" t="inlineStr">
        <is>
          <t>USD</t>
        </is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EWT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3.743001610200225</v>
      </c>
      <c r="H477" t="inlineStr">
        <is>
          <t>Taiwan|EWT|1 Month</t>
        </is>
      </c>
      <c r="I477" t="inlineStr">
        <is>
          <t>USD</t>
        </is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EWT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7.727625355274692</v>
      </c>
      <c r="H478" t="inlineStr">
        <is>
          <t>Taiwan|EWT|3 Months</t>
        </is>
      </c>
      <c r="I478" t="inlineStr">
        <is>
          <t>USD</t>
        </is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EWT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16.92410329903844</v>
      </c>
      <c r="H479" t="inlineStr">
        <is>
          <t>Taiwan|EWT|6 Months</t>
        </is>
      </c>
      <c r="I479" t="inlineStr">
        <is>
          <t>USD</t>
        </is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EWT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35.20261559148175</v>
      </c>
      <c r="H480" t="inlineStr">
        <is>
          <t>Taiwan|EWT|1 Year</t>
        </is>
      </c>
      <c r="I480" t="inlineStr">
        <is>
          <t>USD</t>
        </is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EWT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56.967678753658</v>
      </c>
      <c r="H481" t="inlineStr">
        <is>
          <t>Taiwan|EWT|3 Years</t>
        </is>
      </c>
      <c r="I481" t="inlineStr">
        <is>
          <t>USD</t>
        </is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EWT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21.29565888246723</v>
      </c>
      <c r="H482" t="inlineStr">
        <is>
          <t>Taiwan|EWT|5 Years</t>
        </is>
      </c>
      <c r="I482" t="inlineStr">
        <is>
          <t>USD</t>
        </is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EWT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159.5870182423966</v>
      </c>
      <c r="H483" t="inlineStr">
        <is>
          <t>Taiwan|EWT|10 Years</t>
        </is>
      </c>
      <c r="I483" t="inlineStr">
        <is>
          <t>USD</t>
        </is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EWT</t>
        </is>
      </c>
      <c r="D484" t="inlineStr">
        <is>
          <t>MAX</t>
        </is>
      </c>
      <c r="E484" s="1" t="n">
        <v>36703</v>
      </c>
      <c r="F484" s="1" t="n">
        <v>46086</v>
      </c>
      <c r="G484" t="n">
        <v>85.26316191020764</v>
      </c>
      <c r="H484" t="inlineStr">
        <is>
          <t>Taiwan|EWT|MAX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12.22824070638866</v>
      </c>
      <c r="H485" t="inlineStr">
        <is>
          <t>Taiwan|XMTW.L|YTD</t>
        </is>
      </c>
      <c r="I485" t="inlineStr">
        <is>
          <t>GBp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5.180806675938787</v>
      </c>
      <c r="H486" t="inlineStr">
        <is>
          <t>Taiwan|XMTW.L|1 Month</t>
        </is>
      </c>
      <c r="I486" t="inlineStr">
        <is>
          <t>GBp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14.02186204297022</v>
      </c>
      <c r="H487" t="inlineStr">
        <is>
          <t>Taiwan|XMTW.L|3 Months</t>
        </is>
      </c>
      <c r="I487" t="inlineStr">
        <is>
          <t>GBp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28.72340425531914</v>
      </c>
      <c r="H488" t="inlineStr">
        <is>
          <t>Taiwan|XMTW.L|6 Months</t>
        </is>
      </c>
      <c r="I488" t="inlineStr">
        <is>
          <t>GBp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45.33487076006535</v>
      </c>
      <c r="H489" t="inlineStr">
        <is>
          <t>Taiwan|XMTW.L|1 Year</t>
        </is>
      </c>
      <c r="I489" t="inlineStr">
        <is>
          <t>GBp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90.58719758064517</v>
      </c>
      <c r="H490" t="inlineStr">
        <is>
          <t>Taiwan|XMTW.L|3 Years</t>
        </is>
      </c>
      <c r="I490" t="inlineStr">
        <is>
          <t>GBp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102.4494712889841</v>
      </c>
      <c r="H491" t="inlineStr">
        <is>
          <t>Taiwan|XMTW.L|5 Years</t>
        </is>
      </c>
      <c r="I491" t="inlineStr">
        <is>
          <t>GBp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441.241724816604</v>
      </c>
      <c r="H492" t="inlineStr">
        <is>
          <t>Taiwan|XMTW.L|10 Years</t>
        </is>
      </c>
      <c r="I492" t="inlineStr">
        <is>
          <t>GBp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inlineStr">
        <is>
          <t>MAX</t>
        </is>
      </c>
      <c r="E493" s="1" t="n">
        <v>39818</v>
      </c>
      <c r="F493" s="1" t="n">
        <v>46086</v>
      </c>
      <c r="G493" t="n">
        <v>1043.2350718065</v>
      </c>
      <c r="H493" t="inlineStr">
        <is>
          <t>Taiwan|XMTW.L|MAX</t>
        </is>
      </c>
      <c r="I493" t="inlineStr">
        <is>
          <t>GBp</t>
        </is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THD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11.84849993594224</v>
      </c>
      <c r="H494" t="inlineStr">
        <is>
          <t>Thailand|THD|YTD</t>
        </is>
      </c>
      <c r="I494" t="inlineStr">
        <is>
          <t>USD</t>
        </is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THD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4.526232511688755</v>
      </c>
      <c r="H495" t="inlineStr">
        <is>
          <t>Thailand|THD|1 Month</t>
        </is>
      </c>
      <c r="I495" t="inlineStr">
        <is>
          <t>USD</t>
        </is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THD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10.93749673046329</v>
      </c>
      <c r="H496" t="inlineStr">
        <is>
          <t>Thailand|THD|3 Months</t>
        </is>
      </c>
      <c r="I496" t="inlineStr">
        <is>
          <t>USD</t>
        </is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THD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12.56535138000161</v>
      </c>
      <c r="H497" t="inlineStr">
        <is>
          <t>Thailand|THD|6 Months</t>
        </is>
      </c>
      <c r="I497" t="inlineStr">
        <is>
          <t>USD</t>
        </is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THD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22.32403992651115</v>
      </c>
      <c r="H498" t="inlineStr">
        <is>
          <t>Thailand|THD|1 Year</t>
        </is>
      </c>
      <c r="I498" t="inlineStr">
        <is>
          <t>USD</t>
        </is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THD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-7.995592746837577</v>
      </c>
      <c r="H499" t="inlineStr">
        <is>
          <t>Thailand|THD|3 Years</t>
        </is>
      </c>
      <c r="I499" t="inlineStr">
        <is>
          <t>USD</t>
        </is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THD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-18.38082352492224</v>
      </c>
      <c r="H500" t="inlineStr">
        <is>
          <t>Thailand|THD|5 Years</t>
        </is>
      </c>
      <c r="I500" t="inlineStr">
        <is>
          <t>USD</t>
        </is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THD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0.08997834181037057</v>
      </c>
      <c r="H501" t="inlineStr">
        <is>
          <t>Thailand|THD|10 Years</t>
        </is>
      </c>
      <c r="I501" t="inlineStr">
        <is>
          <t>USD</t>
        </is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THD</t>
        </is>
      </c>
      <c r="D502" t="inlineStr">
        <is>
          <t>MAX</t>
        </is>
      </c>
      <c r="E502" s="1" t="n">
        <v>39540</v>
      </c>
      <c r="F502" s="1" t="n">
        <v>46086</v>
      </c>
      <c r="G502" t="n">
        <v>30.96546126921926</v>
      </c>
      <c r="H502" t="inlineStr">
        <is>
          <t>Thailand|THD|MAX</t>
        </is>
      </c>
      <c r="I502" t="inlineStr">
        <is>
          <t>USD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16.11078886310901</v>
      </c>
      <c r="H503" t="inlineStr">
        <is>
          <t>Thailand|XCX4.L|YTD</t>
        </is>
      </c>
      <c r="I503" t="inlineStr">
        <is>
          <t>GBp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7.751312071053684</v>
      </c>
      <c r="H504" t="inlineStr">
        <is>
          <t>Thailand|XCX4.L|1 Month</t>
        </is>
      </c>
      <c r="I504" t="inlineStr">
        <is>
          <t>GBp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15.44117647058822</v>
      </c>
      <c r="H505" t="inlineStr">
        <is>
          <t>Thailand|XCX4.L|3 Months</t>
        </is>
      </c>
      <c r="I505" t="inlineStr">
        <is>
          <t>GBp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22.59990813045474</v>
      </c>
      <c r="H506" t="inlineStr">
        <is>
          <t>Thailand|XCX4.L|6 Months</t>
        </is>
      </c>
      <c r="I506" t="inlineStr">
        <is>
          <t>GBp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33.29448976194438</v>
      </c>
      <c r="H507" t="inlineStr">
        <is>
          <t>Thailand|XCX4.L|1 Year</t>
        </is>
      </c>
      <c r="I507" t="inlineStr">
        <is>
          <t>GBp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3.396177685950397</v>
      </c>
      <c r="H508" t="inlineStr">
        <is>
          <t>Thailand|XCX4.L|3 Years</t>
        </is>
      </c>
      <c r="I508" t="inlineStr">
        <is>
          <t>GBp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12.88594388834059</v>
      </c>
      <c r="H509" t="inlineStr">
        <is>
          <t>Thailand|XCX4.L|5 Years</t>
        </is>
      </c>
      <c r="I509" t="inlineStr">
        <is>
          <t>GBp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57.68018905080739</v>
      </c>
      <c r="H510" t="inlineStr">
        <is>
          <t>Thailand|XCX4.L|10 Years</t>
        </is>
      </c>
      <c r="I510" t="inlineStr">
        <is>
          <t>GBp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inlineStr">
        <is>
          <t>MAX</t>
        </is>
      </c>
      <c r="E511" s="1" t="n">
        <v>40354</v>
      </c>
      <c r="F511" s="1" t="n">
        <v>46086</v>
      </c>
      <c r="G511" t="n">
        <v>74.42011923250334</v>
      </c>
      <c r="H511" t="inlineStr">
        <is>
          <t>Thailand|XCX4.L|MAX</t>
        </is>
      </c>
      <c r="I511" t="inlineStr">
        <is>
          <t>GBp</t>
        </is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12.52179431310843</v>
      </c>
      <c r="H512" t="inlineStr">
        <is>
          <t>Turkey|TUR|YTD</t>
        </is>
      </c>
      <c r="I512" t="inlineStr">
        <is>
          <t>USD</t>
        </is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-4.746680551939598</v>
      </c>
      <c r="H513" t="inlineStr">
        <is>
          <t>Turkey|TUR|1 Month</t>
        </is>
      </c>
      <c r="I513" t="inlineStr">
        <is>
          <t>USD</t>
        </is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14.45035274113165</v>
      </c>
      <c r="H514" t="inlineStr">
        <is>
          <t>Turkey|TUR|3 Months</t>
        </is>
      </c>
      <c r="I514" t="inlineStr">
        <is>
          <t>USD</t>
        </is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16.20161240480424</v>
      </c>
      <c r="H515" t="inlineStr">
        <is>
          <t>Turkey|TUR|6 Months</t>
        </is>
      </c>
      <c r="I515" t="inlineStr">
        <is>
          <t>USD</t>
        </is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6.576773196513708</v>
      </c>
      <c r="H516" t="inlineStr">
        <is>
          <t>Turkey|TUR|1 Year</t>
        </is>
      </c>
      <c r="I516" t="inlineStr">
        <is>
          <t>USD</t>
        </is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9.810034135429223</v>
      </c>
      <c r="H517" t="inlineStr">
        <is>
          <t>Turkey|TUR|3 Years</t>
        </is>
      </c>
      <c r="I517" t="inlineStr">
        <is>
          <t>USD</t>
        </is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40.32608335845942</v>
      </c>
      <c r="H518" t="inlineStr">
        <is>
          <t>Turkey|TUR|5 Years</t>
        </is>
      </c>
      <c r="I518" t="inlineStr">
        <is>
          <t>USD</t>
        </is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-2.615038731598307</v>
      </c>
      <c r="H519" t="inlineStr">
        <is>
          <t>Turkey|TUR|10 Years</t>
        </is>
      </c>
      <c r="I519" t="inlineStr">
        <is>
          <t>USD</t>
        </is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inlineStr">
        <is>
          <t>MAX</t>
        </is>
      </c>
      <c r="E520" s="1" t="n">
        <v>39538</v>
      </c>
      <c r="F520" s="1" t="n">
        <v>46086</v>
      </c>
      <c r="G520" t="n">
        <v>-16.45815566795217</v>
      </c>
      <c r="H520" t="inlineStr">
        <is>
          <t>Turkey|TUR|MAX</t>
        </is>
      </c>
      <c r="I520" t="inlineStr">
        <is>
          <t>USD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TURL.L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0</v>
      </c>
      <c r="H521" t="inlineStr">
        <is>
          <t>Turkey|TURL.L|YTD</t>
        </is>
      </c>
      <c r="I521" t="inlineStr">
        <is>
          <t>GBp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TURL.L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0</v>
      </c>
      <c r="H522" t="inlineStr">
        <is>
          <t>Turkey|TURL.L|1 Month</t>
        </is>
      </c>
      <c r="I522" t="inlineStr">
        <is>
          <t>GBp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TURL.L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0</v>
      </c>
      <c r="H523" t="inlineStr">
        <is>
          <t>Turkey|TURL.L|3 Months</t>
        </is>
      </c>
      <c r="I523" t="inlineStr">
        <is>
          <t>GBp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TURL.L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0</v>
      </c>
      <c r="H524" t="inlineStr">
        <is>
          <t>Turkey|TURL.L|6 Months</t>
        </is>
      </c>
      <c r="I524" t="inlineStr">
        <is>
          <t>GBp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TURL.L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0</v>
      </c>
      <c r="H525" t="inlineStr">
        <is>
          <t>Turkey|TURL.L|1 Year</t>
        </is>
      </c>
      <c r="I525" t="inlineStr">
        <is>
          <t>GBp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TURL.L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-15.31205053427353</v>
      </c>
      <c r="H526" t="inlineStr">
        <is>
          <t>Turkey|TURL.L|3 Years</t>
        </is>
      </c>
      <c r="I526" t="inlineStr">
        <is>
          <t>GBp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36.26809642685265</v>
      </c>
      <c r="H527" t="inlineStr">
        <is>
          <t>Turkey|TURL.L|5 Years</t>
        </is>
      </c>
      <c r="I527" t="inlineStr">
        <is>
          <t>GBp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-30.6263991640392</v>
      </c>
      <c r="H528" t="inlineStr">
        <is>
          <t>Turkey|TURL.L|10 Years</t>
        </is>
      </c>
      <c r="I528" t="inlineStr">
        <is>
          <t>GBp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inlineStr">
        <is>
          <t>MAX</t>
        </is>
      </c>
      <c r="E529" s="1" t="n">
        <v>39450</v>
      </c>
      <c r="F529" s="1" t="n">
        <v>46086</v>
      </c>
      <c r="G529" t="n">
        <v>-99.43612293704946</v>
      </c>
      <c r="H529" t="inlineStr">
        <is>
          <t>Turkey|TURL.L|MAX</t>
        </is>
      </c>
      <c r="I529" t="inlineStr">
        <is>
          <t>GBp</t>
        </is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CSUK.L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5.827684233544739</v>
      </c>
      <c r="H530" t="inlineStr">
        <is>
          <t>United Kingdom|CSUK.L|YTD</t>
        </is>
      </c>
      <c r="I530" t="inlineStr">
        <is>
          <t>GBp</t>
        </is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CSUK.L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1.723594324750399</v>
      </c>
      <c r="H531" t="inlineStr">
        <is>
          <t>United Kingdom|CSUK.L|1 Month</t>
        </is>
      </c>
      <c r="I531" t="inlineStr">
        <is>
          <t>GBp</t>
        </is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CSUK.L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8.521134656351625</v>
      </c>
      <c r="H532" t="inlineStr">
        <is>
          <t>United Kingdom|CSUK.L|3 Months</t>
        </is>
      </c>
      <c r="I532" t="inlineStr">
        <is>
          <t>GBp</t>
        </is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CSUK.L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14.53082475446692</v>
      </c>
      <c r="H533" t="inlineStr">
        <is>
          <t>United Kingdom|CSUK.L|6 Months</t>
        </is>
      </c>
      <c r="I533" t="inlineStr">
        <is>
          <t>GBp</t>
        </is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CSUK.L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22.68982127012296</v>
      </c>
      <c r="H534" t="inlineStr">
        <is>
          <t>United Kingdom|CSUK.L|1 Year</t>
        </is>
      </c>
      <c r="I534" t="inlineStr">
        <is>
          <t>GBp</t>
        </is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CSUK.L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44.35495898583148</v>
      </c>
      <c r="H535" t="inlineStr">
        <is>
          <t>United Kingdom|CSUK.L|3 Years</t>
        </is>
      </c>
      <c r="I535" t="inlineStr">
        <is>
          <t>GBp</t>
        </is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CSUK.L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89.13531998045923</v>
      </c>
      <c r="H536" t="inlineStr">
        <is>
          <t>United Kingdom|CSUK.L|5 Years</t>
        </is>
      </c>
      <c r="I536" t="inlineStr">
        <is>
          <t>GBp</t>
        </is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CSUK.L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135.3985529275856</v>
      </c>
      <c r="H537" t="inlineStr">
        <is>
          <t>United Kingdom|CSUK.L|10 Years</t>
        </is>
      </c>
      <c r="I537" t="inlineStr">
        <is>
          <t>GBp</t>
        </is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CSUK.L</t>
        </is>
      </c>
      <c r="D538" t="inlineStr">
        <is>
          <t>MAX</t>
        </is>
      </c>
      <c r="E538" s="1" t="n">
        <v>40443</v>
      </c>
      <c r="F538" s="1" t="n">
        <v>46086</v>
      </c>
      <c r="G538" t="n">
        <v>209.9263528658342</v>
      </c>
      <c r="H538" t="inlineStr">
        <is>
          <t>United Kingdom|CSUK.L|MAX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5.331729805572261</v>
      </c>
      <c r="H539" t="inlineStr">
        <is>
          <t>United Kingdom|CUKX.L|YTD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1.179302045728026</v>
      </c>
      <c r="H540" t="inlineStr">
        <is>
          <t>United Kingdom|CUKX.L|1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8.060867777092318</v>
      </c>
      <c r="H541" t="inlineStr">
        <is>
          <t>United Kingdom|CUKX.L|3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CUKX.L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14.47554732599934</v>
      </c>
      <c r="H542" t="inlineStr">
        <is>
          <t>United Kingdom|CUKX.L|6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CUKX.L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23.01749868320946</v>
      </c>
      <c r="H543" t="inlineStr">
        <is>
          <t>United Kingdom|CUKX.L|1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CUKX.L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45.72933998890736</v>
      </c>
      <c r="H544" t="inlineStr">
        <is>
          <t>United Kingdom|CUKX.L|3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CUKX.L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86.67850799289521</v>
      </c>
      <c r="H545" t="inlineStr">
        <is>
          <t>United Kingdom|CUKX.L|5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CUKX.L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142.3613513201891</v>
      </c>
      <c r="H546" t="inlineStr">
        <is>
          <t>United Kingdom|CUKX.L|10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CUKX.L</t>
        </is>
      </c>
      <c r="D547" t="inlineStr">
        <is>
          <t>MAX</t>
        </is>
      </c>
      <c r="E547" s="1" t="n">
        <v>40438</v>
      </c>
      <c r="F547" s="1" t="n">
        <v>46086</v>
      </c>
      <c r="G547" t="n">
        <v>224.182603331277</v>
      </c>
      <c r="H547" t="inlineStr">
        <is>
          <t>United Kingdom|CUKX.L|MAX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EWU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5.138704319585252</v>
      </c>
      <c r="H548" t="inlineStr">
        <is>
          <t>United Kingdom|EWU|YTD</t>
        </is>
      </c>
      <c r="I548" t="inlineStr">
        <is>
          <t>USD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EWU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0.6530323481189759</v>
      </c>
      <c r="H549" t="inlineStr">
        <is>
          <t>United Kingdom|EWU|1 Month</t>
        </is>
      </c>
      <c r="I549" t="inlineStr">
        <is>
          <t>USD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EWU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6.987506646152153</v>
      </c>
      <c r="H550" t="inlineStr">
        <is>
          <t>United Kingdom|EWU|3 Months</t>
        </is>
      </c>
      <c r="I550" t="inlineStr">
        <is>
          <t>USD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EWU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11.2876113779155</v>
      </c>
      <c r="H551" t="inlineStr">
        <is>
          <t>United Kingdom|EWU|6 Months</t>
        </is>
      </c>
      <c r="I551" t="inlineStr">
        <is>
          <t>USD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EWU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21.94093858457824</v>
      </c>
      <c r="H552" t="inlineStr">
        <is>
          <t>United Kingdom|EWU|1 Year</t>
        </is>
      </c>
      <c r="I552" t="inlineStr">
        <is>
          <t>USD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EWU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41.32029325600721</v>
      </c>
      <c r="H553" t="inlineStr">
        <is>
          <t>United Kingdom|EWU|3 Years</t>
        </is>
      </c>
      <c r="I553" t="inlineStr">
        <is>
          <t>USD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EWU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47.82608907744756</v>
      </c>
      <c r="H554" t="inlineStr">
        <is>
          <t>United Kingdom|EWU|5 Years</t>
        </is>
      </c>
      <c r="I554" t="inlineStr">
        <is>
          <t>USD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EWU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48.49069551953138</v>
      </c>
      <c r="H555" t="inlineStr">
        <is>
          <t>United Kingdom|EWU|10 Years</t>
        </is>
      </c>
      <c r="I555" t="inlineStr">
        <is>
          <t>USD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EWU</t>
        </is>
      </c>
      <c r="D556" t="inlineStr">
        <is>
          <t>MAX</t>
        </is>
      </c>
      <c r="E556" s="1" t="n">
        <v>35143</v>
      </c>
      <c r="F556" s="1" t="n">
        <v>46086</v>
      </c>
      <c r="G556" t="n">
        <v>86.82828960996684</v>
      </c>
      <c r="H556" t="inlineStr">
        <is>
          <t>United Kingdom|EWU|MAX</t>
        </is>
      </c>
      <c r="I556" t="inlineStr">
        <is>
          <t>USD</t>
        </is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CSPX.L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-0.932936288995212</v>
      </c>
      <c r="H557" t="inlineStr">
        <is>
          <t>United States|CSPX.L|YTD</t>
        </is>
      </c>
      <c r="I557" t="inlineStr">
        <is>
          <t>USD</t>
        </is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CSPX.L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-0.03279092648711401</v>
      </c>
      <c r="H558" t="inlineStr">
        <is>
          <t>United States|CSPX.L|1 Month</t>
        </is>
      </c>
      <c r="I558" t="inlineStr">
        <is>
          <t>USD</t>
        </is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CSPX.L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-0.4909874670605219</v>
      </c>
      <c r="H559" t="inlineStr">
        <is>
          <t>United States|CSPX.L|3 Months</t>
        </is>
      </c>
      <c r="I559" t="inlineStr">
        <is>
          <t>USD</t>
        </is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CSPX.L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5.84916181631705</v>
      </c>
      <c r="H560" t="inlineStr">
        <is>
          <t>United States|CSPX.L|6 Months</t>
        </is>
      </c>
      <c r="I560" t="inlineStr">
        <is>
          <t>USD</t>
        </is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CSPX.L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19.80939543839979</v>
      </c>
      <c r="H561" t="inlineStr">
        <is>
          <t>United States|CSPX.L|1 Year</t>
        </is>
      </c>
      <c r="I561" t="inlineStr">
        <is>
          <t>USD</t>
        </is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CSPX.L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75.64278864222962</v>
      </c>
      <c r="H562" t="inlineStr">
        <is>
          <t>United States|CSPX.L|3 Years</t>
        </is>
      </c>
      <c r="I562" t="inlineStr">
        <is>
          <t>USD</t>
        </is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CSPX.L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93.4378535274093</v>
      </c>
      <c r="H563" t="inlineStr">
        <is>
          <t>United States|CSPX.L|5 Years</t>
        </is>
      </c>
      <c r="I563" t="inlineStr">
        <is>
          <t>USD</t>
        </is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CSPX.L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291.6702369890848</v>
      </c>
      <c r="H564" t="inlineStr">
        <is>
          <t>United States|CSPX.L|10 Years</t>
        </is>
      </c>
      <c r="I564" t="inlineStr">
        <is>
          <t>USD</t>
        </is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CSPX.L</t>
        </is>
      </c>
      <c r="D565" t="inlineStr">
        <is>
          <t>MAX</t>
        </is>
      </c>
      <c r="E565" s="1" t="n">
        <v>40437</v>
      </c>
      <c r="F565" s="1" t="n">
        <v>46086</v>
      </c>
      <c r="G565" t="n">
        <v>665.7944396455725</v>
      </c>
      <c r="H565" t="inlineStr">
        <is>
          <t>United States|CSPX.L|MAX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VUAA.L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-0.9364186001437846</v>
      </c>
      <c r="H566" t="inlineStr">
        <is>
          <t>United States|VUAA.L|YTD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VUAA.L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-0.04572753342800828</v>
      </c>
      <c r="H567" t="inlineStr">
        <is>
          <t>United States|VUAA.L|1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VUAA.L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-0.5157044831053392</v>
      </c>
      <c r="H568" t="inlineStr">
        <is>
          <t>United States|VUAA.L|3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VUAA.L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5.790316674017126</v>
      </c>
      <c r="H569" t="inlineStr">
        <is>
          <t>United States|VUAA.L|6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VUAA.L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19.79908006920663</v>
      </c>
      <c r="H570" t="inlineStr">
        <is>
          <t>United States|VUAA.L|1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VUAA.L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75.58558999239102</v>
      </c>
      <c r="H571" t="inlineStr">
        <is>
          <t>United States|VUAA.L|3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VUAA.L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93.60932476336828</v>
      </c>
      <c r="H572" t="inlineStr">
        <is>
          <t>United States|VUAA.L|5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VUAA.L</t>
        </is>
      </c>
      <c r="D573" t="inlineStr">
        <is>
          <t>MAX</t>
        </is>
      </c>
      <c r="E573" s="1" t="n">
        <v>43600</v>
      </c>
      <c r="F573" s="1" t="n">
        <v>46086</v>
      </c>
      <c r="G573" t="n">
        <v>160.7941697704881</v>
      </c>
      <c r="H573" t="inlineStr">
        <is>
          <t>United States|VUAA.L|MAX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VUSA.L</t>
        </is>
      </c>
      <c r="D574" t="inlineStr">
        <is>
          <t>YTD</t>
        </is>
      </c>
      <c r="E574" s="1" t="n">
        <v>46022</v>
      </c>
      <c r="F574" s="1" t="n">
        <v>46086</v>
      </c>
      <c r="G574" t="n">
        <v>0.1339842156529381</v>
      </c>
      <c r="H574" t="inlineStr">
        <is>
          <t>United States|VUSA.L|YTD</t>
        </is>
      </c>
      <c r="I574" t="inlineStr">
        <is>
          <t>GBP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VUSA.L</t>
        </is>
      </c>
      <c r="D575" t="inlineStr">
        <is>
          <t>1 Month</t>
        </is>
      </c>
      <c r="E575" s="1" t="n">
        <v>46058</v>
      </c>
      <c r="F575" s="1" t="n">
        <v>46086</v>
      </c>
      <c r="G575" t="n">
        <v>1.700947231600414</v>
      </c>
      <c r="H575" t="inlineStr">
        <is>
          <t>United States|VUSA.L|1 Month</t>
        </is>
      </c>
      <c r="I575" t="inlineStr">
        <is>
          <t>GBP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VUSA.L</t>
        </is>
      </c>
      <c r="D576" t="inlineStr">
        <is>
          <t>3 Months</t>
        </is>
      </c>
      <c r="E576" s="1" t="n">
        <v>45996</v>
      </c>
      <c r="F576" s="1" t="n">
        <v>46086</v>
      </c>
      <c r="G576" t="n">
        <v>-0.664547503024937</v>
      </c>
      <c r="H576" t="inlineStr">
        <is>
          <t>United States|VUSA.L|3 Months</t>
        </is>
      </c>
      <c r="I576" t="inlineStr">
        <is>
          <t>GBP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VUSA.L</t>
        </is>
      </c>
      <c r="D577" t="inlineStr">
        <is>
          <t>6 Months</t>
        </is>
      </c>
      <c r="E577" s="1" t="n">
        <v>45905</v>
      </c>
      <c r="F577" s="1" t="n">
        <v>46086</v>
      </c>
      <c r="G577" t="n">
        <v>7.054517796120252</v>
      </c>
      <c r="H577" t="inlineStr">
        <is>
          <t>United States|VUSA.L|6 Months</t>
        </is>
      </c>
      <c r="I577" t="inlineStr">
        <is>
          <t>GBP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VUSA.L</t>
        </is>
      </c>
      <c r="D578" t="inlineStr">
        <is>
          <t>1 Year</t>
        </is>
      </c>
      <c r="E578" s="1" t="n">
        <v>45721</v>
      </c>
      <c r="F578" s="1" t="n">
        <v>46086</v>
      </c>
      <c r="G578" t="n">
        <v>14.55520941502251</v>
      </c>
      <c r="H578" t="inlineStr">
        <is>
          <t>United States|VUSA.L|1 Year</t>
        </is>
      </c>
      <c r="I578" t="inlineStr">
        <is>
          <t>GBP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VUSA.L</t>
        </is>
      </c>
      <c r="D579" t="inlineStr">
        <is>
          <t>3 Years</t>
        </is>
      </c>
      <c r="E579" s="1" t="n">
        <v>44988</v>
      </c>
      <c r="F579" s="1" t="n">
        <v>46086</v>
      </c>
      <c r="G579" t="n">
        <v>52.54543632727295</v>
      </c>
      <c r="H579" t="inlineStr">
        <is>
          <t>United States|VUSA.L|3 Years</t>
        </is>
      </c>
      <c r="I579" t="inlineStr">
        <is>
          <t>GBP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VUSA.L</t>
        </is>
      </c>
      <c r="D580" t="inlineStr">
        <is>
          <t>5 Years</t>
        </is>
      </c>
      <c r="E580" s="1" t="n">
        <v>44260</v>
      </c>
      <c r="F580" s="1" t="n">
        <v>46086</v>
      </c>
      <c r="G580" t="n">
        <v>88.6418826273113</v>
      </c>
      <c r="H580" t="inlineStr">
        <is>
          <t>United States|VUSA.L|5 Years</t>
        </is>
      </c>
      <c r="I580" t="inlineStr">
        <is>
          <t>GBP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VUSA.L</t>
        </is>
      </c>
      <c r="D581" t="inlineStr">
        <is>
          <t>10 Years</t>
        </is>
      </c>
      <c r="E581" s="1" t="n">
        <v>42433</v>
      </c>
      <c r="F581" s="1" t="n">
        <v>46086</v>
      </c>
      <c r="G581" t="n">
        <v>261.9970309603045</v>
      </c>
      <c r="H581" t="inlineStr">
        <is>
          <t>United States|VUSA.L|10 Years</t>
        </is>
      </c>
      <c r="I581" t="inlineStr">
        <is>
          <t>GBP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VUSA.L</t>
        </is>
      </c>
      <c r="D582" t="inlineStr">
        <is>
          <t>MAX</t>
        </is>
      </c>
      <c r="E582" s="1" t="n">
        <v>41052</v>
      </c>
      <c r="F582" s="1" t="n">
        <v>46086</v>
      </c>
      <c r="G582" t="n">
        <v>517.2808454571353</v>
      </c>
      <c r="H582" t="inlineStr">
        <is>
          <t>United States|VUSA.L|MAX</t>
        </is>
      </c>
      <c r="I582" t="inlineStr">
        <is>
          <t>GBP</t>
        </is>
      </c>
    </row>
    <row r="583">
      <c r="A583" t="inlineStr">
        <is>
          <t>Vietnam</t>
        </is>
      </c>
      <c r="B583" t="inlineStr">
        <is>
          <t>VNM</t>
        </is>
      </c>
      <c r="C583" t="inlineStr">
        <is>
          <t>XFVT.L</t>
        </is>
      </c>
      <c r="D583" t="inlineStr">
        <is>
          <t>YTD</t>
        </is>
      </c>
      <c r="E583" s="1" t="n">
        <v>46022</v>
      </c>
      <c r="F583" s="1" t="n">
        <v>46086</v>
      </c>
      <c r="G583" t="n">
        <v>-2.023636069289303</v>
      </c>
      <c r="H583" t="inlineStr">
        <is>
          <t>Vietnam|XFVT.L|YTD</t>
        </is>
      </c>
      <c r="I583" t="inlineStr">
        <is>
          <t>GBp</t>
        </is>
      </c>
    </row>
    <row r="584">
      <c r="A584" t="inlineStr">
        <is>
          <t>Vietnam</t>
        </is>
      </c>
      <c r="B584" t="inlineStr">
        <is>
          <t>VNM</t>
        </is>
      </c>
      <c r="C584" t="inlineStr">
        <is>
          <t>XFVT.L</t>
        </is>
      </c>
      <c r="D584" t="inlineStr">
        <is>
          <t>1 Month</t>
        </is>
      </c>
      <c r="E584" s="1" t="n">
        <v>46058</v>
      </c>
      <c r="F584" s="1" t="n">
        <v>46086</v>
      </c>
      <c r="G584" t="n">
        <v>5.343777197563093</v>
      </c>
      <c r="H584" t="inlineStr">
        <is>
          <t>Vietnam|XFVT.L|1 Month</t>
        </is>
      </c>
      <c r="I584" t="inlineStr">
        <is>
          <t>GBp</t>
        </is>
      </c>
    </row>
    <row r="585">
      <c r="A585" t="inlineStr">
        <is>
          <t>Vietnam</t>
        </is>
      </c>
      <c r="B585" t="inlineStr">
        <is>
          <t>VNM</t>
        </is>
      </c>
      <c r="C585" t="inlineStr">
        <is>
          <t>XFVT.L</t>
        </is>
      </c>
      <c r="D585" t="inlineStr">
        <is>
          <t>3 Months</t>
        </is>
      </c>
      <c r="E585" s="1" t="n">
        <v>45996</v>
      </c>
      <c r="F585" s="1" t="n">
        <v>46086</v>
      </c>
      <c r="G585" t="n">
        <v>0.7659007659007733</v>
      </c>
      <c r="H585" t="inlineStr">
        <is>
          <t>Vietnam|XFVT.L|3 Months</t>
        </is>
      </c>
      <c r="I585" t="inlineStr">
        <is>
          <t>GBp</t>
        </is>
      </c>
    </row>
    <row r="586">
      <c r="A586" t="inlineStr">
        <is>
          <t>Vietnam</t>
        </is>
      </c>
      <c r="B586" t="inlineStr">
        <is>
          <t>VNM</t>
        </is>
      </c>
      <c r="C586" t="inlineStr">
        <is>
          <t>XFVT.L</t>
        </is>
      </c>
      <c r="D586" t="inlineStr">
        <is>
          <t>6 Months</t>
        </is>
      </c>
      <c r="E586" s="1" t="n">
        <v>45905</v>
      </c>
      <c r="F586" s="1" t="n">
        <v>46086</v>
      </c>
      <c r="G586" t="n">
        <v>9.340560072267401</v>
      </c>
      <c r="H586" t="inlineStr">
        <is>
          <t>Vietnam|XFVT.L|6 Months</t>
        </is>
      </c>
      <c r="I586" t="inlineStr">
        <is>
          <t>GBp</t>
        </is>
      </c>
    </row>
    <row r="587">
      <c r="A587" t="inlineStr">
        <is>
          <t>Vietnam</t>
        </is>
      </c>
      <c r="B587" t="inlineStr">
        <is>
          <t>VNM</t>
        </is>
      </c>
      <c r="C587" t="inlineStr">
        <is>
          <t>XFVT.L</t>
        </is>
      </c>
      <c r="D587" t="inlineStr">
        <is>
          <t>1 Year</t>
        </is>
      </c>
      <c r="E587" s="1" t="n">
        <v>45721</v>
      </c>
      <c r="F587" s="1" t="n">
        <v>46086</v>
      </c>
      <c r="G587" t="n">
        <v>54.44685466377442</v>
      </c>
      <c r="H587" t="inlineStr">
        <is>
          <t>Vietnam|XFVT.L|1 Year</t>
        </is>
      </c>
      <c r="I587" t="inlineStr">
        <is>
          <t>GBp</t>
        </is>
      </c>
    </row>
    <row r="588">
      <c r="A588" t="inlineStr">
        <is>
          <t>Vietnam</t>
        </is>
      </c>
      <c r="B588" t="inlineStr">
        <is>
          <t>VNM</t>
        </is>
      </c>
      <c r="C588" t="inlineStr">
        <is>
          <t>XFVT.L</t>
        </is>
      </c>
      <c r="D588" t="inlineStr">
        <is>
          <t>3 Years</t>
        </is>
      </c>
      <c r="E588" s="1" t="n">
        <v>44988</v>
      </c>
      <c r="F588" s="1" t="n">
        <v>46086</v>
      </c>
      <c r="G588" t="n">
        <v>44.45637904284521</v>
      </c>
      <c r="H588" t="inlineStr">
        <is>
          <t>Vietnam|XFVT.L|3 Years</t>
        </is>
      </c>
      <c r="I588" t="inlineStr">
        <is>
          <t>GBp</t>
        </is>
      </c>
    </row>
    <row r="589">
      <c r="A589" t="inlineStr">
        <is>
          <t>Vietnam</t>
        </is>
      </c>
      <c r="B589" t="inlineStr">
        <is>
          <t>VNM</t>
        </is>
      </c>
      <c r="C589" t="inlineStr">
        <is>
          <t>XFVT.L</t>
        </is>
      </c>
      <c r="D589" t="inlineStr">
        <is>
          <t>5 Years</t>
        </is>
      </c>
      <c r="E589" s="1" t="n">
        <v>44260</v>
      </c>
      <c r="F589" s="1" t="n">
        <v>46086</v>
      </c>
      <c r="G589" t="n">
        <v>13.12149532710281</v>
      </c>
      <c r="H589" t="inlineStr">
        <is>
          <t>Vietnam|XFVT.L|5 Years</t>
        </is>
      </c>
      <c r="I589" t="inlineStr">
        <is>
          <t>GBp</t>
        </is>
      </c>
    </row>
    <row r="590">
      <c r="A590" t="inlineStr">
        <is>
          <t>Vietnam</t>
        </is>
      </c>
      <c r="B590" t="inlineStr">
        <is>
          <t>VNM</t>
        </is>
      </c>
      <c r="C590" t="inlineStr">
        <is>
          <t>XFVT.L</t>
        </is>
      </c>
      <c r="D590" t="inlineStr">
        <is>
          <t>10 Years</t>
        </is>
      </c>
      <c r="E590" s="1" t="n">
        <v>42433</v>
      </c>
      <c r="F590" s="1" t="n">
        <v>46086</v>
      </c>
      <c r="G590" t="n">
        <v>91.85290854335078</v>
      </c>
      <c r="H590" t="inlineStr">
        <is>
          <t>Vietnam|XFVT.L|10 Years</t>
        </is>
      </c>
      <c r="I590" t="inlineStr">
        <is>
          <t>GBp</t>
        </is>
      </c>
    </row>
    <row r="591">
      <c r="A591" t="inlineStr">
        <is>
          <t>Vietnam</t>
        </is>
      </c>
      <c r="B591" t="inlineStr">
        <is>
          <t>VNM</t>
        </is>
      </c>
      <c r="C591" t="inlineStr">
        <is>
          <t>XFVT.L</t>
        </is>
      </c>
      <c r="D591" t="inlineStr">
        <is>
          <t>MAX</t>
        </is>
      </c>
      <c r="E591" s="1" t="n">
        <v>39818</v>
      </c>
      <c r="F591" s="1" t="n">
        <v>46086</v>
      </c>
      <c r="G591" t="n">
        <v>28.16603134265143</v>
      </c>
      <c r="H591" t="inlineStr">
        <is>
          <t>Vietnam|XFVT.L|MAX</t>
        </is>
      </c>
      <c r="I591" t="inlineStr">
        <is>
          <t>GBp</t>
        </is>
      </c>
    </row>
  </sheetData>
  <autoFilter ref="A1:I5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-2.74552708623739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-0.7992828493713855</v>
      </c>
      <c r="O25" t="n">
        <v>9.23464908623739</v>
      </c>
      <c r="P25" t="n">
        <v>-1.192799344672812</v>
      </c>
      <c r="Q25" t="n">
        <v>10.55332846366599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-12.31303362271599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-0.7992828493713855</v>
      </c>
      <c r="O73" t="n">
        <v>13.89838662271599</v>
      </c>
      <c r="P73" t="n">
        <v>5.035304169500088</v>
      </c>
      <c r="Q73" t="n">
        <v>8.438193732378929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3.059153667768101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-1.146473888724431</v>
      </c>
      <c r="O85" t="n">
        <v>8.102942332231899</v>
      </c>
      <c r="P85" t="n">
        <v>-3.219129451695324</v>
      </c>
      <c r="Q85" t="n">
        <v>11.69866701940465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0.6041632311553142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-0.7992828493713855</v>
      </c>
      <c r="O97" t="n">
        <v>5.405560768844686</v>
      </c>
      <c r="P97" t="n">
        <v>-1.881561290634082</v>
      </c>
      <c r="Q97" t="n">
        <v>7.426863039539144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14.11368399237961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-0.7992828493713855</v>
      </c>
      <c r="O121" t="n">
        <v>-7.658689992379609</v>
      </c>
      <c r="P121" t="n">
        <v>-1.686566925985811</v>
      </c>
      <c r="Q121" t="n">
        <v>-6.074574836480129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5.145090910800773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-0.7992828493713855</v>
      </c>
      <c r="O133" t="n">
        <v>1.309903089199227</v>
      </c>
      <c r="P133" t="n">
        <v>-1.686566925985811</v>
      </c>
      <c r="Q133" t="n">
        <v>3.047874457734756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7.952150467297006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-0.7992828493713855</v>
      </c>
      <c r="O169" t="n">
        <v>-2.091622467297005</v>
      </c>
      <c r="P169" t="n">
        <v>-3.218751203146586</v>
      </c>
      <c r="Q169" t="n">
        <v>1.164614788362006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10.2655188696014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-0.7992828493713855</v>
      </c>
      <c r="O193" t="n">
        <v>-3.990354869601398</v>
      </c>
      <c r="P193" t="n">
        <v>-3.21872711082527</v>
      </c>
      <c r="Q193" t="n">
        <v>-0.7972903597369796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17.27493157805535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-0.7992828493713855</v>
      </c>
      <c r="O241" t="n">
        <v>-8.053201578055347</v>
      </c>
      <c r="P241" t="n">
        <v>0.8245690710504849</v>
      </c>
      <c r="Q241" t="n">
        <v>-8.805165973830963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18.58889984236807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-0.7992828493713855</v>
      </c>
      <c r="O253" t="n">
        <v>-9.367169842368073</v>
      </c>
      <c r="P253" t="n">
        <v>0.8245690710504849</v>
      </c>
      <c r="Q253" t="n">
        <v>-10.10838827016112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NDIA.L</t>
        </is>
      </c>
      <c r="D254" t="n">
        <v>2015</v>
      </c>
      <c r="E254" t="inlineStr"/>
      <c r="F254" t="n">
        <v>7.996</v>
      </c>
      <c r="G254" t="inlineStr"/>
      <c r="H254" t="inlineStr"/>
      <c r="I254" t="inlineStr"/>
      <c r="J254" t="inlineStr">
        <is>
          <t>India|NDIA.L|2015</t>
        </is>
      </c>
      <c r="K254" t="inlineStr">
        <is>
          <t>India|2015</t>
        </is>
      </c>
      <c r="L254" t="inlineStr">
        <is>
          <t>USD</t>
        </is>
      </c>
      <c r="M254" t="inlineStr"/>
      <c r="N254" t="n">
        <v>0</v>
      </c>
      <c r="O254" t="inlineStr"/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NDIA.L</t>
        </is>
      </c>
      <c r="D255" t="n">
        <v>2016</v>
      </c>
      <c r="E255" t="inlineStr"/>
      <c r="F255" t="n">
        <v>8.256</v>
      </c>
      <c r="G255" t="n">
        <v>11.761656</v>
      </c>
      <c r="H255" t="n">
        <v>9.08966</v>
      </c>
      <c r="I255" t="inlineStr"/>
      <c r="J255" t="inlineStr">
        <is>
          <t>India|NDIA.L|2016</t>
        </is>
      </c>
      <c r="K255" t="inlineStr">
        <is>
          <t>India|2016</t>
        </is>
      </c>
      <c r="L255" t="inlineStr">
        <is>
          <t>USD</t>
        </is>
      </c>
      <c r="M255" t="inlineStr"/>
      <c r="N255" t="n">
        <v>0</v>
      </c>
      <c r="O255" t="inlineStr"/>
      <c r="P255" t="n">
        <v>2.449357749862746</v>
      </c>
      <c r="Q255" t="inlineStr"/>
    </row>
    <row r="256">
      <c r="A256" t="inlineStr">
        <is>
          <t>India</t>
        </is>
      </c>
      <c r="B256" t="inlineStr">
        <is>
          <t>IND</t>
        </is>
      </c>
      <c r="C256" t="inlineStr">
        <is>
          <t>NDIA.L</t>
        </is>
      </c>
      <c r="D256" t="n">
        <v>2017</v>
      </c>
      <c r="E256" t="inlineStr"/>
      <c r="F256" t="n">
        <v>6.795</v>
      </c>
      <c r="G256" t="n">
        <v>11.034345</v>
      </c>
      <c r="H256" t="n">
        <v>15.542856</v>
      </c>
      <c r="I256" t="inlineStr"/>
      <c r="J256" t="inlineStr">
        <is>
          <t>India|NDIA.L|2017</t>
        </is>
      </c>
      <c r="K256" t="inlineStr">
        <is>
          <t>India|2017</t>
        </is>
      </c>
      <c r="L256" t="inlineStr">
        <is>
          <t>USD</t>
        </is>
      </c>
      <c r="M256" t="inlineStr"/>
      <c r="N256" t="n">
        <v>0</v>
      </c>
      <c r="O256" t="inlineStr"/>
      <c r="P256" t="n">
        <v>-3.902024962629203</v>
      </c>
      <c r="Q256" t="inlineStr"/>
    </row>
    <row r="257">
      <c r="A257" t="inlineStr">
        <is>
          <t>India</t>
        </is>
      </c>
      <c r="B257" t="inlineStr">
        <is>
          <t>IND</t>
        </is>
      </c>
      <c r="C257" t="inlineStr">
        <is>
          <t>NDIA.L</t>
        </is>
      </c>
      <c r="D257" t="n">
        <v>2018</v>
      </c>
      <c r="E257" t="n">
        <v>-0.2217676852006467</v>
      </c>
      <c r="F257" t="n">
        <v>6.454</v>
      </c>
      <c r="G257" t="n">
        <v>10.588799</v>
      </c>
      <c r="H257" t="n">
        <v>1.940656</v>
      </c>
      <c r="I257" t="n">
        <v>2.162423685200647</v>
      </c>
      <c r="J257" t="inlineStr">
        <is>
          <t>India|NDIA.L|2018</t>
        </is>
      </c>
      <c r="K257" t="inlineStr">
        <is>
          <t>India|2018</t>
        </is>
      </c>
      <c r="L257" t="inlineStr">
        <is>
          <t>USD</t>
        </is>
      </c>
      <c r="M257" t="n">
        <v>-0.2217676852006467</v>
      </c>
      <c r="N257" t="n">
        <v>0</v>
      </c>
      <c r="O257" t="n">
        <v>-0.2217676852006467</v>
      </c>
      <c r="P257" t="n">
        <v>8.483506964053378</v>
      </c>
      <c r="Q257" t="n">
        <v>-8.024514410414996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NDIA.L</t>
        </is>
      </c>
      <c r="D258" t="n">
        <v>2019</v>
      </c>
      <c r="E258" t="n">
        <v>7.839086708854581</v>
      </c>
      <c r="F258" t="n">
        <v>3.871</v>
      </c>
      <c r="G258" t="n">
        <v>6.370058</v>
      </c>
      <c r="H258" t="n">
        <v>4.908599</v>
      </c>
      <c r="I258" t="n">
        <v>-2.930487708854582</v>
      </c>
      <c r="J258" t="inlineStr">
        <is>
          <t>India|NDIA.L|2019</t>
        </is>
      </c>
      <c r="K258" t="inlineStr">
        <is>
          <t>India|2019</t>
        </is>
      </c>
      <c r="L258" t="inlineStr">
        <is>
          <t>USD</t>
        </is>
      </c>
      <c r="M258" t="n">
        <v>7.839086708854581</v>
      </c>
      <c r="N258" t="n">
        <v>0</v>
      </c>
      <c r="O258" t="n">
        <v>7.839086708854581</v>
      </c>
      <c r="P258" t="n">
        <v>1.393078487090182</v>
      </c>
      <c r="Q258" t="n">
        <v>6.357444036562243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NDIA.L</t>
        </is>
      </c>
      <c r="D259" t="n">
        <v>2020</v>
      </c>
      <c r="E259" t="n">
        <v>13.43445185425762</v>
      </c>
      <c r="F259" t="n">
        <v>-5.778</v>
      </c>
      <c r="G259" t="n">
        <v>-1.241022</v>
      </c>
      <c r="H259" t="n">
        <v>-5.669123</v>
      </c>
      <c r="I259" t="n">
        <v>-19.10357485425762</v>
      </c>
      <c r="J259" t="inlineStr">
        <is>
          <t>India|NDIA.L|2020</t>
        </is>
      </c>
      <c r="K259" t="inlineStr">
        <is>
          <t>India|2020</t>
        </is>
      </c>
      <c r="L259" t="inlineStr">
        <is>
          <t>USD</t>
        </is>
      </c>
      <c r="M259" t="n">
        <v>13.43445185425762</v>
      </c>
      <c r="N259" t="n">
        <v>0</v>
      </c>
      <c r="O259" t="n">
        <v>13.43445185425762</v>
      </c>
      <c r="P259" t="n">
        <v>4.694222414424543</v>
      </c>
      <c r="Q259" t="n">
        <v>8.34833980163252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NDIA.L</t>
        </is>
      </c>
      <c r="D260" t="n">
        <v>2021</v>
      </c>
      <c r="E260" t="n">
        <v>23.88766895914149</v>
      </c>
      <c r="F260" t="n">
        <v>9.69</v>
      </c>
      <c r="G260" t="n">
        <v>18.85404</v>
      </c>
      <c r="H260" t="n">
        <v>18.409205</v>
      </c>
      <c r="I260" t="n">
        <v>-5.478463959141493</v>
      </c>
      <c r="J260" t="inlineStr">
        <is>
          <t>India|NDIA.L|2021</t>
        </is>
      </c>
      <c r="K260" t="inlineStr">
        <is>
          <t>India|2021</t>
        </is>
      </c>
      <c r="L260" t="inlineStr">
        <is>
          <t>USD</t>
        </is>
      </c>
      <c r="M260" t="n">
        <v>23.88766895914149</v>
      </c>
      <c r="N260" t="n">
        <v>0</v>
      </c>
      <c r="O260" t="n">
        <v>23.88766895914149</v>
      </c>
      <c r="P260" t="n">
        <v>0.3756758419857231</v>
      </c>
      <c r="Q260" t="n">
        <v>23.42399482736139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NDIA.L</t>
        </is>
      </c>
      <c r="D261" t="n">
        <v>2022</v>
      </c>
      <c r="E261" t="n">
        <v>-9.520832647279621</v>
      </c>
      <c r="F261" t="n">
        <v>7.609</v>
      </c>
      <c r="G261" t="n">
        <v>13.955224</v>
      </c>
      <c r="H261" t="n">
        <v>5.646375</v>
      </c>
      <c r="I261" t="n">
        <v>15.16720764727962</v>
      </c>
      <c r="J261" t="inlineStr">
        <is>
          <t>India|NDIA.L|2022</t>
        </is>
      </c>
      <c r="K261" t="inlineStr">
        <is>
          <t>India|2022</t>
        </is>
      </c>
      <c r="L261" t="inlineStr">
        <is>
          <t>USD</t>
        </is>
      </c>
      <c r="M261" t="n">
        <v>-9.520832647279621</v>
      </c>
      <c r="N261" t="n">
        <v>0</v>
      </c>
      <c r="O261" t="n">
        <v>-9.520832647279621</v>
      </c>
      <c r="P261" t="n">
        <v>7.864774167569166</v>
      </c>
      <c r="Q261" t="n">
        <v>-16.11796524770918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NDIA.L</t>
        </is>
      </c>
      <c r="D262" t="n">
        <v>2023</v>
      </c>
      <c r="E262" t="n">
        <v>19.41315410109134</v>
      </c>
      <c r="F262" t="n">
        <v>9.191000000000001</v>
      </c>
      <c r="G262" t="n">
        <v>12.02095</v>
      </c>
      <c r="H262" t="n">
        <v>8.738004999999999</v>
      </c>
      <c r="I262" t="n">
        <v>-10.67514910109134</v>
      </c>
      <c r="J262" t="inlineStr">
        <is>
          <t>India|NDIA.L|2023</t>
        </is>
      </c>
      <c r="K262" t="inlineStr">
        <is>
          <t>India|2023</t>
        </is>
      </c>
      <c r="L262" t="inlineStr">
        <is>
          <t>USD</t>
        </is>
      </c>
      <c r="M262" t="n">
        <v>19.41315410109134</v>
      </c>
      <c r="N262" t="n">
        <v>0</v>
      </c>
      <c r="O262" t="n">
        <v>19.41315410109134</v>
      </c>
      <c r="P262" t="n">
        <v>3.019133080125758</v>
      </c>
      <c r="Q262" t="n">
        <v>15.91356918934148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NDIA.L</t>
        </is>
      </c>
      <c r="D263" t="n">
        <v>2024</v>
      </c>
      <c r="E263" t="n">
        <v>9.699660022969759</v>
      </c>
      <c r="F263" t="n">
        <v>6.495</v>
      </c>
      <c r="G263" t="n">
        <v>9.777226000000001</v>
      </c>
      <c r="H263" t="n">
        <v>7.459193</v>
      </c>
      <c r="I263" t="n">
        <v>-2.240467022969759</v>
      </c>
      <c r="J263" t="inlineStr">
        <is>
          <t>India|NDIA.L|2024</t>
        </is>
      </c>
      <c r="K263" t="inlineStr">
        <is>
          <t>India|2024</t>
        </is>
      </c>
      <c r="L263" t="inlineStr">
        <is>
          <t>USD</t>
        </is>
      </c>
      <c r="M263" t="n">
        <v>9.699660022969759</v>
      </c>
      <c r="N263" t="n">
        <v>0</v>
      </c>
      <c r="O263" t="n">
        <v>9.699660022969759</v>
      </c>
      <c r="P263" t="n">
        <v>2.157128768096217</v>
      </c>
      <c r="Q263" t="n">
        <v>7.383264727413796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NDIA.L</t>
        </is>
      </c>
      <c r="D264" t="n">
        <v>2025</v>
      </c>
      <c r="E264" t="n">
        <v>2.525413076480532</v>
      </c>
      <c r="F264" t="n">
        <v>6.646</v>
      </c>
      <c r="G264" t="n">
        <v>8.515731000000001</v>
      </c>
      <c r="H264" t="n">
        <v>5.507083</v>
      </c>
      <c r="I264" t="n">
        <v>2.981669923519468</v>
      </c>
      <c r="J264" t="inlineStr">
        <is>
          <t>India|NDIA.L|2025</t>
        </is>
      </c>
      <c r="K264" t="inlineStr">
        <is>
          <t>India|2025</t>
        </is>
      </c>
      <c r="L264" t="inlineStr">
        <is>
          <t>USD</t>
        </is>
      </c>
      <c r="M264" t="n">
        <v>2.525413076480532</v>
      </c>
      <c r="N264" t="n">
        <v>0</v>
      </c>
      <c r="O264" t="n">
        <v>2.525413076480532</v>
      </c>
      <c r="P264" t="n">
        <v>2.851607828596303</v>
      </c>
      <c r="Q264" t="n">
        <v>-0.3171508535475542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NDIA.L</t>
        </is>
      </c>
      <c r="D265" t="n">
        <v>2026</v>
      </c>
      <c r="E265" t="n">
        <v>-9.617711414936213</v>
      </c>
      <c r="F265" t="n">
        <v>6.159</v>
      </c>
      <c r="G265" t="n">
        <v>10.122338</v>
      </c>
      <c r="H265" t="n">
        <v>9.221730000000001</v>
      </c>
      <c r="I265" t="n">
        <v>18.83944141493621</v>
      </c>
      <c r="J265" t="inlineStr">
        <is>
          <t>India|NDIA.L|2026</t>
        </is>
      </c>
      <c r="K265" t="inlineStr">
        <is>
          <t>India|2026</t>
        </is>
      </c>
      <c r="L265" t="inlineStr">
        <is>
          <t>USD</t>
        </is>
      </c>
      <c r="M265" t="n">
        <v>-9.617711414936213</v>
      </c>
      <c r="N265" t="n">
        <v>0</v>
      </c>
      <c r="O265" t="n">
        <v>-9.617711414936213</v>
      </c>
      <c r="P265" t="n">
        <v>0.8245690710504849</v>
      </c>
      <c r="Q265" t="n">
        <v>-10.35688084977391</v>
      </c>
    </row>
    <row r="266">
      <c r="A266" t="inlineStr">
        <is>
          <t>Indonesia</t>
        </is>
      </c>
      <c r="B266" t="inlineStr">
        <is>
          <t>IDN</t>
        </is>
      </c>
      <c r="C266" t="inlineStr">
        <is>
          <t>EIDO</t>
        </is>
      </c>
      <c r="D266" t="n">
        <v>2015</v>
      </c>
      <c r="E266" t="n">
        <v>-22.06870685540824</v>
      </c>
      <c r="F266" t="n">
        <v>4.876</v>
      </c>
      <c r="G266" t="inlineStr"/>
      <c r="H266" t="inlineStr"/>
      <c r="I266" t="inlineStr"/>
      <c r="J266" t="inlineStr">
        <is>
          <t>Indonesia|EIDO|2015</t>
        </is>
      </c>
      <c r="K266" t="inlineStr">
        <is>
          <t>Indonesia|2015</t>
        </is>
      </c>
      <c r="L266" t="inlineStr">
        <is>
          <t>USD</t>
        </is>
      </c>
      <c r="M266" t="n">
        <v>-22.06870685540824</v>
      </c>
      <c r="N266" t="n">
        <v>0</v>
      </c>
      <c r="O266" t="n">
        <v>-22.06870685540824</v>
      </c>
      <c r="P266" t="inlineStr"/>
      <c r="Q266" t="inlineStr"/>
    </row>
    <row r="267">
      <c r="A267" t="inlineStr">
        <is>
          <t>Indonesia</t>
        </is>
      </c>
      <c r="B267" t="inlineStr">
        <is>
          <t>IDN</t>
        </is>
      </c>
      <c r="C267" t="inlineStr">
        <is>
          <t>EIDO</t>
        </is>
      </c>
      <c r="D267" t="n">
        <v>2016</v>
      </c>
      <c r="E267" t="n">
        <v>17.42092484971856</v>
      </c>
      <c r="F267" t="n">
        <v>5.033</v>
      </c>
      <c r="G267" t="n">
        <v>7.594746</v>
      </c>
      <c r="H267" t="n">
        <v>8.250296000000001</v>
      </c>
      <c r="I267" t="n">
        <v>-9.170628849718556</v>
      </c>
      <c r="J267" t="inlineStr">
        <is>
          <t>Indonesia|EIDO|2016</t>
        </is>
      </c>
      <c r="K267" t="inlineStr">
        <is>
          <t>Indonesia|2016</t>
        </is>
      </c>
      <c r="L267" t="inlineStr">
        <is>
          <t>USD</t>
        </is>
      </c>
      <c r="M267" t="n">
        <v>17.42092484971856</v>
      </c>
      <c r="N267" t="n">
        <v>0</v>
      </c>
      <c r="O267" t="n">
        <v>17.42092484971856</v>
      </c>
      <c r="P267" t="n">
        <v>-0.605586919195289</v>
      </c>
      <c r="Q267" t="n">
        <v>18.13634309028902</v>
      </c>
    </row>
    <row r="268">
      <c r="A268" t="inlineStr">
        <is>
          <t>Indonesia</t>
        </is>
      </c>
      <c r="B268" t="inlineStr">
        <is>
          <t>IDN</t>
        </is>
      </c>
      <c r="C268" t="inlineStr">
        <is>
          <t>EIDO</t>
        </is>
      </c>
      <c r="D268" t="n">
        <v>2017</v>
      </c>
      <c r="E268" t="n">
        <v>16.94776194876271</v>
      </c>
      <c r="F268" t="n">
        <v>5.07</v>
      </c>
      <c r="G268" t="n">
        <v>9.580094000000001</v>
      </c>
      <c r="H268" t="n">
        <v>8.986378999999999</v>
      </c>
      <c r="I268" t="n">
        <v>-7.961382948762708</v>
      </c>
      <c r="J268" t="inlineStr">
        <is>
          <t>Indonesia|EIDO|2017</t>
        </is>
      </c>
      <c r="K268" t="inlineStr">
        <is>
          <t>Indonesia|2017</t>
        </is>
      </c>
      <c r="L268" t="inlineStr">
        <is>
          <t>USD</t>
        </is>
      </c>
      <c r="M268" t="n">
        <v>16.94776194876271</v>
      </c>
      <c r="N268" t="n">
        <v>0</v>
      </c>
      <c r="O268" t="n">
        <v>16.94776194876271</v>
      </c>
      <c r="P268" t="n">
        <v>0.5447602854287137</v>
      </c>
      <c r="Q268" t="n">
        <v>16.3141287688874</v>
      </c>
    </row>
    <row r="269">
      <c r="A269" t="inlineStr">
        <is>
          <t>Indonesia</t>
        </is>
      </c>
      <c r="B269" t="inlineStr">
        <is>
          <t>IDN</t>
        </is>
      </c>
      <c r="C269" t="inlineStr">
        <is>
          <t>EIDO</t>
        </is>
      </c>
      <c r="D269" t="n">
        <v>2018</v>
      </c>
      <c r="E269" t="n">
        <v>-13.0647973447034</v>
      </c>
      <c r="F269" t="n">
        <v>5.174</v>
      </c>
      <c r="G269" t="n">
        <v>9.190186000000001</v>
      </c>
      <c r="H269" t="n">
        <v>2.624311</v>
      </c>
      <c r="I269" t="n">
        <v>15.6891083447034</v>
      </c>
      <c r="J269" t="inlineStr">
        <is>
          <t>Indonesia|EIDO|2018</t>
        </is>
      </c>
      <c r="K269" t="inlineStr">
        <is>
          <t>Indonesia|2018</t>
        </is>
      </c>
      <c r="L269" t="inlineStr">
        <is>
          <t>USD</t>
        </is>
      </c>
      <c r="M269" t="n">
        <v>-13.0647973447034</v>
      </c>
      <c r="N269" t="n">
        <v>0</v>
      </c>
      <c r="O269" t="n">
        <v>-13.0647973447034</v>
      </c>
      <c r="P269" t="n">
        <v>6.397972719449885</v>
      </c>
      <c r="Q269" t="n">
        <v>-18.29242566065869</v>
      </c>
    </row>
    <row r="270">
      <c r="A270" t="inlineStr">
        <is>
          <t>Indonesia</t>
        </is>
      </c>
      <c r="B270" t="inlineStr">
        <is>
          <t>IDN</t>
        </is>
      </c>
      <c r="C270" t="inlineStr">
        <is>
          <t>EIDO</t>
        </is>
      </c>
      <c r="D270" t="n">
        <v>2019</v>
      </c>
      <c r="E270" t="n">
        <v>1.704321494163885</v>
      </c>
      <c r="F270" t="n">
        <v>5.019</v>
      </c>
      <c r="G270" t="n">
        <v>6.698009</v>
      </c>
      <c r="H270" t="n">
        <v>7.371204</v>
      </c>
      <c r="I270" t="n">
        <v>5.666882505836115</v>
      </c>
      <c r="J270" t="inlineStr">
        <is>
          <t>Indonesia|EIDO|2019</t>
        </is>
      </c>
      <c r="K270" t="inlineStr">
        <is>
          <t>Indonesia|2019</t>
        </is>
      </c>
      <c r="L270" t="inlineStr">
        <is>
          <t>USD</t>
        </is>
      </c>
      <c r="M270" t="n">
        <v>1.704321494163885</v>
      </c>
      <c r="N270" t="n">
        <v>0</v>
      </c>
      <c r="O270" t="n">
        <v>1.704321494163885</v>
      </c>
      <c r="P270" t="n">
        <v>-0.6269795821865154</v>
      </c>
      <c r="Q270" t="n">
        <v>2.346010080551486</v>
      </c>
    </row>
    <row r="271">
      <c r="A271" t="inlineStr">
        <is>
          <t>Indonesia</t>
        </is>
      </c>
      <c r="B271" t="inlineStr">
        <is>
          <t>IDN</t>
        </is>
      </c>
      <c r="C271" t="inlineStr">
        <is>
          <t>EIDO</t>
        </is>
      </c>
      <c r="D271" t="n">
        <v>2020</v>
      </c>
      <c r="E271" t="n">
        <v>-9.714727856135031</v>
      </c>
      <c r="F271" t="n">
        <v>-2.066</v>
      </c>
      <c r="G271" t="n">
        <v>-2.458867</v>
      </c>
      <c r="H271" t="n">
        <v>-5.365472</v>
      </c>
      <c r="I271" t="n">
        <v>4.349255856135032</v>
      </c>
      <c r="J271" t="inlineStr">
        <is>
          <t>Indonesia|EIDO|2020</t>
        </is>
      </c>
      <c r="K271" t="inlineStr">
        <is>
          <t>Indonesia|2020</t>
        </is>
      </c>
      <c r="L271" t="inlineStr">
        <is>
          <t>USD</t>
        </is>
      </c>
      <c r="M271" t="n">
        <v>-9.714727856135031</v>
      </c>
      <c r="N271" t="n">
        <v>0</v>
      </c>
      <c r="O271" t="n">
        <v>-9.714727856135031</v>
      </c>
      <c r="P271" t="n">
        <v>3.071400277553216</v>
      </c>
      <c r="Q271" t="n">
        <v>-12.40511732571542</v>
      </c>
    </row>
    <row r="272">
      <c r="A272" t="inlineStr">
        <is>
          <t>Indonesia</t>
        </is>
      </c>
      <c r="B272" t="inlineStr">
        <is>
          <t>IDN</t>
        </is>
      </c>
      <c r="C272" t="inlineStr">
        <is>
          <t>EIDO</t>
        </is>
      </c>
      <c r="D272" t="n">
        <v>2021</v>
      </c>
      <c r="E272" t="n">
        <v>-3.608898921967829</v>
      </c>
      <c r="F272" t="n">
        <v>3.703</v>
      </c>
      <c r="G272" t="n">
        <v>9.929179</v>
      </c>
      <c r="H272" t="n">
        <v>12.034786</v>
      </c>
      <c r="I272" t="n">
        <v>15.64368492196783</v>
      </c>
      <c r="J272" t="inlineStr">
        <is>
          <t>Indonesia|EIDO|2021</t>
        </is>
      </c>
      <c r="K272" t="inlineStr">
        <is>
          <t>Indonesia|2021</t>
        </is>
      </c>
      <c r="L272" t="inlineStr">
        <is>
          <t>USD</t>
        </is>
      </c>
      <c r="M272" t="n">
        <v>-3.608898921967829</v>
      </c>
      <c r="N272" t="n">
        <v>0</v>
      </c>
      <c r="O272" t="n">
        <v>-3.608898921967829</v>
      </c>
      <c r="P272" t="n">
        <v>-1.879422184735302</v>
      </c>
      <c r="Q272" t="n">
        <v>-1.762603498410575</v>
      </c>
    </row>
    <row r="273">
      <c r="A273" t="inlineStr">
        <is>
          <t>Indonesia</t>
        </is>
      </c>
      <c r="B273" t="inlineStr">
        <is>
          <t>IDN</t>
        </is>
      </c>
      <c r="C273" t="inlineStr">
        <is>
          <t>EIDO</t>
        </is>
      </c>
      <c r="D273" t="n">
        <v>2022</v>
      </c>
      <c r="E273" t="n">
        <v>-3.491385114887313</v>
      </c>
      <c r="F273" t="n">
        <v>5.307</v>
      </c>
      <c r="G273" t="n">
        <v>15.38403</v>
      </c>
      <c r="H273" t="n">
        <v>11.174874</v>
      </c>
      <c r="I273" t="n">
        <v>14.66625911488731</v>
      </c>
      <c r="J273" t="inlineStr">
        <is>
          <t>Indonesia|EIDO|2022</t>
        </is>
      </c>
      <c r="K273" t="inlineStr">
        <is>
          <t>Indonesia|2022</t>
        </is>
      </c>
      <c r="L273" t="inlineStr">
        <is>
          <t>USD</t>
        </is>
      </c>
      <c r="M273" t="n">
        <v>-3.491385114887313</v>
      </c>
      <c r="N273" t="n">
        <v>0</v>
      </c>
      <c r="O273" t="n">
        <v>-3.491385114887313</v>
      </c>
      <c r="P273" t="n">
        <v>3.786067357087641</v>
      </c>
      <c r="Q273" t="n">
        <v>-7.011974398197463</v>
      </c>
    </row>
    <row r="274">
      <c r="A274" t="inlineStr">
        <is>
          <t>Indonesia</t>
        </is>
      </c>
      <c r="B274" t="inlineStr">
        <is>
          <t>IDN</t>
        </is>
      </c>
      <c r="C274" t="inlineStr">
        <is>
          <t>EIDO</t>
        </is>
      </c>
      <c r="D274" t="n">
        <v>2023</v>
      </c>
      <c r="E274" t="n">
        <v>-0.4460320300153087</v>
      </c>
      <c r="F274" t="n">
        <v>5.049</v>
      </c>
      <c r="G274" t="n">
        <v>6.656412</v>
      </c>
      <c r="H274" t="n">
        <v>3.947234</v>
      </c>
      <c r="I274" t="n">
        <v>4.393266030015308</v>
      </c>
      <c r="J274" t="inlineStr">
        <is>
          <t>Indonesia|EIDO|2023</t>
        </is>
      </c>
      <c r="K274" t="inlineStr">
        <is>
          <t>Indonesia|2023</t>
        </is>
      </c>
      <c r="L274" t="inlineStr">
        <is>
          <t>USD</t>
        </is>
      </c>
      <c r="M274" t="n">
        <v>-0.4460320300153087</v>
      </c>
      <c r="N274" t="n">
        <v>0</v>
      </c>
      <c r="O274" t="n">
        <v>-0.4460320300153087</v>
      </c>
      <c r="P274" t="n">
        <v>2.606301452699777</v>
      </c>
      <c r="Q274" t="n">
        <v>-2.974801195930621</v>
      </c>
    </row>
    <row r="275">
      <c r="A275" t="inlineStr">
        <is>
          <t>Indonesia</t>
        </is>
      </c>
      <c r="B275" t="inlineStr">
        <is>
          <t>IDN</t>
        </is>
      </c>
      <c r="C275" t="inlineStr">
        <is>
          <t>EIDO</t>
        </is>
      </c>
      <c r="D275" t="n">
        <v>2024</v>
      </c>
      <c r="E275" t="n">
        <v>-16.79423546146846</v>
      </c>
      <c r="F275" t="n">
        <v>5.03</v>
      </c>
      <c r="G275" t="n">
        <v>5.966852</v>
      </c>
      <c r="H275" t="n">
        <v>1.832816</v>
      </c>
      <c r="I275" t="n">
        <v>18.62705146146847</v>
      </c>
      <c r="J275" t="inlineStr">
        <is>
          <t>Indonesia|EIDO|2024</t>
        </is>
      </c>
      <c r="K275" t="inlineStr">
        <is>
          <t>Indonesia|2024</t>
        </is>
      </c>
      <c r="L275" t="inlineStr">
        <is>
          <t>USD</t>
        </is>
      </c>
      <c r="M275" t="n">
        <v>-16.79423546146846</v>
      </c>
      <c r="N275" t="n">
        <v>0</v>
      </c>
      <c r="O275" t="n">
        <v>-16.79423546146846</v>
      </c>
      <c r="P275" t="n">
        <v>4.059630735522934</v>
      </c>
      <c r="Q275" t="n">
        <v>-20.04030386192068</v>
      </c>
    </row>
    <row r="276">
      <c r="A276" t="inlineStr">
        <is>
          <t>Indonesia</t>
        </is>
      </c>
      <c r="B276" t="inlineStr">
        <is>
          <t>IDN</t>
        </is>
      </c>
      <c r="C276" t="inlineStr">
        <is>
          <t>EIDO</t>
        </is>
      </c>
      <c r="D276" t="n">
        <v>2025</v>
      </c>
      <c r="E276" t="n">
        <v>-0.3729339004638454</v>
      </c>
      <c r="F276" t="n">
        <v>4.861</v>
      </c>
      <c r="G276" t="n">
        <v>7.022756</v>
      </c>
      <c r="H276" t="n">
        <v>3.362888</v>
      </c>
      <c r="I276" t="n">
        <v>3.735821900463845</v>
      </c>
      <c r="J276" t="inlineStr">
        <is>
          <t>Indonesia|EIDO|2025</t>
        </is>
      </c>
      <c r="K276" t="inlineStr">
        <is>
          <t>Indonesia|2025</t>
        </is>
      </c>
      <c r="L276" t="inlineStr">
        <is>
          <t>USD</t>
        </is>
      </c>
      <c r="M276" t="n">
        <v>-0.3729339004638454</v>
      </c>
      <c r="N276" t="n">
        <v>0</v>
      </c>
      <c r="O276" t="n">
        <v>-0.3729339004638454</v>
      </c>
      <c r="P276" t="n">
        <v>3.540795687862541</v>
      </c>
      <c r="Q276" t="n">
        <v>-3.779891358112453</v>
      </c>
    </row>
    <row r="277">
      <c r="A277" t="inlineStr">
        <is>
          <t>Indonesia</t>
        </is>
      </c>
      <c r="B277" t="inlineStr">
        <is>
          <t>IDN</t>
        </is>
      </c>
      <c r="C277" t="inlineStr">
        <is>
          <t>EIDO</t>
        </is>
      </c>
      <c r="D277" t="n">
        <v>2026</v>
      </c>
      <c r="E277" t="n">
        <v>-11.43008867396881</v>
      </c>
      <c r="F277" t="n">
        <v>4.942</v>
      </c>
      <c r="G277" t="n">
        <v>7.932287</v>
      </c>
      <c r="H277" t="n">
        <v>7.412406</v>
      </c>
      <c r="I277" t="n">
        <v>18.84249467396881</v>
      </c>
      <c r="J277" t="inlineStr">
        <is>
          <t>Indonesia|EIDO|2026</t>
        </is>
      </c>
      <c r="K277" t="inlineStr">
        <is>
          <t>Indonesia|2026</t>
        </is>
      </c>
      <c r="L277" t="inlineStr">
        <is>
          <t>USD</t>
        </is>
      </c>
      <c r="M277" t="n">
        <v>-11.43008867396881</v>
      </c>
      <c r="N277" t="n">
        <v>0</v>
      </c>
      <c r="O277" t="n">
        <v>-11.43008867396881</v>
      </c>
      <c r="P277" t="n">
        <v>0.4840044697987045</v>
      </c>
      <c r="Q277" t="n">
        <v>-11.85670615600156</v>
      </c>
    </row>
    <row r="278">
      <c r="A278" t="inlineStr">
        <is>
          <t>Italy</t>
        </is>
      </c>
      <c r="B278" t="inlineStr">
        <is>
          <t>ITA</t>
        </is>
      </c>
      <c r="C278" t="inlineStr">
        <is>
          <t>EWI</t>
        </is>
      </c>
      <c r="D278" t="n">
        <v>2015</v>
      </c>
      <c r="E278" t="n">
        <v>0.8070407612154051</v>
      </c>
      <c r="F278" t="n">
        <v>0.886</v>
      </c>
      <c r="G278" t="inlineStr"/>
      <c r="H278" t="inlineStr"/>
      <c r="I278" t="inlineStr"/>
      <c r="J278" t="inlineStr">
        <is>
          <t>Italy|EWI|2015</t>
        </is>
      </c>
      <c r="K278" t="inlineStr">
        <is>
          <t>Italy|2015</t>
        </is>
      </c>
      <c r="L278" t="inlineStr">
        <is>
          <t>USD</t>
        </is>
      </c>
      <c r="M278" t="n">
        <v>0.8070407612154051</v>
      </c>
      <c r="N278" t="n">
        <v>0</v>
      </c>
      <c r="O278" t="n">
        <v>0.8070407612154051</v>
      </c>
      <c r="P278" t="inlineStr"/>
      <c r="Q278" t="inlineStr"/>
    </row>
    <row r="279">
      <c r="A279" t="inlineStr">
        <is>
          <t>Italy</t>
        </is>
      </c>
      <c r="B279" t="inlineStr">
        <is>
          <t>ITA</t>
        </is>
      </c>
      <c r="C279" t="inlineStr">
        <is>
          <t>EWI</t>
        </is>
      </c>
      <c r="D279" t="n">
        <v>2016</v>
      </c>
      <c r="E279" t="n">
        <v>-10.59823060309898</v>
      </c>
      <c r="F279" t="n">
        <v>1.236</v>
      </c>
      <c r="G279" t="n">
        <v>2.499763</v>
      </c>
      <c r="H279" t="n">
        <v>2.220127</v>
      </c>
      <c r="I279" t="n">
        <v>12.81835760309898</v>
      </c>
      <c r="J279" t="inlineStr">
        <is>
          <t>Italy|EWI|2016</t>
        </is>
      </c>
      <c r="K279" t="inlineStr">
        <is>
          <t>Italy|2016</t>
        </is>
      </c>
      <c r="L279" t="inlineStr">
        <is>
          <t>USD</t>
        </is>
      </c>
      <c r="M279" t="n">
        <v>-10.59823060309898</v>
      </c>
      <c r="N279" t="n">
        <v>0</v>
      </c>
      <c r="O279" t="n">
        <v>-10.59823060309898</v>
      </c>
      <c r="P279" t="n">
        <v>0.2735619281823753</v>
      </c>
      <c r="Q279" t="n">
        <v>-10.84213258432758</v>
      </c>
    </row>
    <row r="280">
      <c r="A280" t="inlineStr">
        <is>
          <t>Italy</t>
        </is>
      </c>
      <c r="B280" t="inlineStr">
        <is>
          <t>ITA</t>
        </is>
      </c>
      <c r="C280" t="inlineStr">
        <is>
          <t>EWI</t>
        </is>
      </c>
      <c r="D280" t="n">
        <v>2017</v>
      </c>
      <c r="E280" t="n">
        <v>24.2956342121182</v>
      </c>
      <c r="F280" t="n">
        <v>1.604</v>
      </c>
      <c r="G280" t="n">
        <v>2.325006</v>
      </c>
      <c r="H280" t="n">
        <v>4.422636</v>
      </c>
      <c r="I280" t="n">
        <v>-19.8729982121182</v>
      </c>
      <c r="J280" t="inlineStr">
        <is>
          <t>Italy|EWI|2017</t>
        </is>
      </c>
      <c r="K280" t="inlineStr">
        <is>
          <t>Italy|2017</t>
        </is>
      </c>
      <c r="L280" t="inlineStr">
        <is>
          <t>USD</t>
        </is>
      </c>
      <c r="M280" t="n">
        <v>24.2956342121182</v>
      </c>
      <c r="N280" t="n">
        <v>0</v>
      </c>
      <c r="O280" t="n">
        <v>24.2956342121182</v>
      </c>
      <c r="P280" t="n">
        <v>-2.008788410179652</v>
      </c>
      <c r="Q280" t="n">
        <v>26.84365484978903</v>
      </c>
    </row>
    <row r="281">
      <c r="A281" t="inlineStr">
        <is>
          <t>Italy</t>
        </is>
      </c>
      <c r="B281" t="inlineStr">
        <is>
          <t>ITA</t>
        </is>
      </c>
      <c r="C281" t="inlineStr">
        <is>
          <t>EWI</t>
        </is>
      </c>
      <c r="D281" t="n">
        <v>2018</v>
      </c>
      <c r="E281" t="n">
        <v>-20.95984411425385</v>
      </c>
      <c r="F281" t="n">
        <v>0.827</v>
      </c>
      <c r="G281" t="n">
        <v>1.905997</v>
      </c>
      <c r="H281" t="n">
        <v>6.617168</v>
      </c>
      <c r="I281" t="n">
        <v>27.57701211425385</v>
      </c>
      <c r="J281" t="inlineStr">
        <is>
          <t>Italy|EWI|2018</t>
        </is>
      </c>
      <c r="K281" t="inlineStr">
        <is>
          <t>Italy|2018</t>
        </is>
      </c>
      <c r="L281" t="inlineStr">
        <is>
          <t>USD</t>
        </is>
      </c>
      <c r="M281" t="n">
        <v>-20.95984411425385</v>
      </c>
      <c r="N281" t="n">
        <v>0</v>
      </c>
      <c r="O281" t="n">
        <v>-20.95984411425385</v>
      </c>
      <c r="P281" t="n">
        <v>-4.418773693290456</v>
      </c>
      <c r="Q281" t="n">
        <v>-17.30577338261484</v>
      </c>
    </row>
    <row r="282">
      <c r="A282" t="inlineStr">
        <is>
          <t>Italy</t>
        </is>
      </c>
      <c r="B282" t="inlineStr">
        <is>
          <t>ITA</t>
        </is>
      </c>
      <c r="C282" t="inlineStr">
        <is>
          <t>EWI</t>
        </is>
      </c>
      <c r="D282" t="n">
        <v>2019</v>
      </c>
      <c r="E282" t="n">
        <v>22.15321103924437</v>
      </c>
      <c r="F282" t="n">
        <v>0.429</v>
      </c>
      <c r="G282" t="n">
        <v>1.480753</v>
      </c>
      <c r="H282" t="n">
        <v>-3.835293</v>
      </c>
      <c r="I282" t="n">
        <v>-25.98850403924437</v>
      </c>
      <c r="J282" t="inlineStr">
        <is>
          <t>Italy|EWI|2019</t>
        </is>
      </c>
      <c r="K282" t="inlineStr">
        <is>
          <t>Italy|2019</t>
        </is>
      </c>
      <c r="L282" t="inlineStr">
        <is>
          <t>USD</t>
        </is>
      </c>
      <c r="M282" t="n">
        <v>22.15321103924437</v>
      </c>
      <c r="N282" t="n">
        <v>0</v>
      </c>
      <c r="O282" t="n">
        <v>22.15321103924437</v>
      </c>
      <c r="P282" t="n">
        <v>5.528063800146166</v>
      </c>
      <c r="Q282" t="n">
        <v>15.7542426539576</v>
      </c>
    </row>
    <row r="283">
      <c r="A283" t="inlineStr">
        <is>
          <t>Italy</t>
        </is>
      </c>
      <c r="B283" t="inlineStr">
        <is>
          <t>ITA</t>
        </is>
      </c>
      <c r="C283" t="inlineStr">
        <is>
          <t>EWI</t>
        </is>
      </c>
      <c r="D283" t="n">
        <v>2020</v>
      </c>
      <c r="E283" t="n">
        <v>-1.538458496125128</v>
      </c>
      <c r="F283" t="n">
        <v>-8.868</v>
      </c>
      <c r="G283" t="n">
        <v>-7.430707</v>
      </c>
      <c r="H283" t="n">
        <v>-5.637848</v>
      </c>
      <c r="I283" t="n">
        <v>-4.099389503874872</v>
      </c>
      <c r="J283" t="inlineStr">
        <is>
          <t>Italy|EWI|2020</t>
        </is>
      </c>
      <c r="K283" t="inlineStr">
        <is>
          <t>Italy|2020</t>
        </is>
      </c>
      <c r="L283" t="inlineStr">
        <is>
          <t>USD</t>
        </is>
      </c>
      <c r="M283" t="n">
        <v>-1.538458496125128</v>
      </c>
      <c r="N283" t="n">
        <v>0</v>
      </c>
      <c r="O283" t="n">
        <v>-1.538458496125128</v>
      </c>
      <c r="P283" t="n">
        <v>-1.899976467872144</v>
      </c>
      <c r="Q283" t="n">
        <v>0.3685197604755164</v>
      </c>
    </row>
    <row r="284">
      <c r="A284" t="inlineStr">
        <is>
          <t>Italy</t>
        </is>
      </c>
      <c r="B284" t="inlineStr">
        <is>
          <t>ITA</t>
        </is>
      </c>
      <c r="C284" t="inlineStr">
        <is>
          <t>EWI</t>
        </is>
      </c>
      <c r="D284" t="n">
        <v>2021</v>
      </c>
      <c r="E284" t="n">
        <v>10.58308489694242</v>
      </c>
      <c r="F284" t="n">
        <v>8.930999999999999</v>
      </c>
      <c r="G284" t="n">
        <v>10.328962</v>
      </c>
      <c r="H284" t="n">
        <v>14.412767</v>
      </c>
      <c r="I284" t="n">
        <v>3.829682103057582</v>
      </c>
      <c r="J284" t="inlineStr">
        <is>
          <t>Italy|EWI|2021</t>
        </is>
      </c>
      <c r="K284" t="inlineStr">
        <is>
          <t>Italy|2021</t>
        </is>
      </c>
      <c r="L284" t="inlineStr">
        <is>
          <t>USD</t>
        </is>
      </c>
      <c r="M284" t="n">
        <v>10.58308489694242</v>
      </c>
      <c r="N284" t="n">
        <v>0</v>
      </c>
      <c r="O284" t="n">
        <v>10.58308489694242</v>
      </c>
      <c r="P284" t="n">
        <v>-3.569361818108818</v>
      </c>
      <c r="Q284" t="n">
        <v>14.67629685116918</v>
      </c>
    </row>
    <row r="285">
      <c r="A285" t="inlineStr">
        <is>
          <t>Italy</t>
        </is>
      </c>
      <c r="B285" t="inlineStr">
        <is>
          <t>ITA</t>
        </is>
      </c>
      <c r="C285" t="inlineStr">
        <is>
          <t>EWI</t>
        </is>
      </c>
      <c r="D285" t="n">
        <v>2022</v>
      </c>
      <c r="E285" t="n">
        <v>-19.19615953581061</v>
      </c>
      <c r="F285" t="n">
        <v>4.821</v>
      </c>
      <c r="G285" t="n">
        <v>8.443111</v>
      </c>
      <c r="H285" t="n">
        <v>-3.436304</v>
      </c>
      <c r="I285" t="n">
        <v>15.75985553581061</v>
      </c>
      <c r="J285" t="inlineStr">
        <is>
          <t>Italy|EWI|2022</t>
        </is>
      </c>
      <c r="K285" t="inlineStr">
        <is>
          <t>Italy|2022</t>
        </is>
      </c>
      <c r="L285" t="inlineStr">
        <is>
          <t>USD</t>
        </is>
      </c>
      <c r="M285" t="n">
        <v>-19.19615953581061</v>
      </c>
      <c r="N285" t="n">
        <v>0</v>
      </c>
      <c r="O285" t="n">
        <v>-19.19615953581061</v>
      </c>
      <c r="P285" t="n">
        <v>12.30215447228928</v>
      </c>
      <c r="Q285" t="n">
        <v>-28.04782700395312</v>
      </c>
    </row>
    <row r="286">
      <c r="A286" t="inlineStr">
        <is>
          <t>Italy</t>
        </is>
      </c>
      <c r="B286" t="inlineStr">
        <is>
          <t>ITA</t>
        </is>
      </c>
      <c r="C286" t="inlineStr">
        <is>
          <t>EWI</t>
        </is>
      </c>
      <c r="D286" t="n">
        <v>2023</v>
      </c>
      <c r="E286" t="n">
        <v>23.78694087581053</v>
      </c>
      <c r="F286" t="n">
        <v>0.715</v>
      </c>
      <c r="G286" t="n">
        <v>6.672279</v>
      </c>
      <c r="H286" t="n">
        <v>9.476413000000001</v>
      </c>
      <c r="I286" t="n">
        <v>-14.31052787581052</v>
      </c>
      <c r="J286" t="inlineStr">
        <is>
          <t>Italy|EWI|2023</t>
        </is>
      </c>
      <c r="K286" t="inlineStr">
        <is>
          <t>Italy|2023</t>
        </is>
      </c>
      <c r="L286" t="inlineStr">
        <is>
          <t>USD</t>
        </is>
      </c>
      <c r="M286" t="n">
        <v>23.78694087581053</v>
      </c>
      <c r="N286" t="n">
        <v>0</v>
      </c>
      <c r="O286" t="n">
        <v>23.78694087581053</v>
      </c>
      <c r="P286" t="n">
        <v>-2.561404604917428</v>
      </c>
      <c r="Q286" t="n">
        <v>27.04097424012915</v>
      </c>
    </row>
    <row r="287">
      <c r="A287" t="inlineStr">
        <is>
          <t>Italy</t>
        </is>
      </c>
      <c r="B287" t="inlineStr">
        <is>
          <t>ITA</t>
        </is>
      </c>
      <c r="C287" t="inlineStr">
        <is>
          <t>EWI</t>
        </is>
      </c>
      <c r="D287" t="n">
        <v>2024</v>
      </c>
      <c r="E287" t="n">
        <v>6.767594796476439</v>
      </c>
      <c r="F287" t="n">
        <v>0.726</v>
      </c>
      <c r="G287" t="n">
        <v>2.852176</v>
      </c>
      <c r="H287" t="n">
        <v>2.897231</v>
      </c>
      <c r="I287" t="n">
        <v>-3.870363796476439</v>
      </c>
      <c r="J287" t="inlineStr">
        <is>
          <t>Italy|EWI|2024</t>
        </is>
      </c>
      <c r="K287" t="inlineStr">
        <is>
          <t>Italy|2024</t>
        </is>
      </c>
      <c r="L287" t="inlineStr">
        <is>
          <t>USD</t>
        </is>
      </c>
      <c r="M287" t="n">
        <v>6.767594796476439</v>
      </c>
      <c r="N287" t="n">
        <v>0</v>
      </c>
      <c r="O287" t="n">
        <v>6.767594796476439</v>
      </c>
      <c r="P287" t="n">
        <v>-0.04378625849956741</v>
      </c>
      <c r="Q287" t="n">
        <v>6.814364810366969</v>
      </c>
    </row>
    <row r="288">
      <c r="A288" t="inlineStr">
        <is>
          <t>Italy</t>
        </is>
      </c>
      <c r="B288" t="inlineStr">
        <is>
          <t>ITA</t>
        </is>
      </c>
      <c r="C288" t="inlineStr">
        <is>
          <t>EWI</t>
        </is>
      </c>
      <c r="D288" t="n">
        <v>2025</v>
      </c>
      <c r="E288" t="n">
        <v>52.82701264987979</v>
      </c>
      <c r="F288" t="n">
        <v>0.546</v>
      </c>
      <c r="G288" t="n">
        <v>2.726189</v>
      </c>
      <c r="H288" t="n">
        <v>7.23498</v>
      </c>
      <c r="I288" t="n">
        <v>-45.59203264987979</v>
      </c>
      <c r="J288" t="inlineStr">
        <is>
          <t>Italy|EWI|2025</t>
        </is>
      </c>
      <c r="K288" t="inlineStr">
        <is>
          <t>Italy|2025</t>
        </is>
      </c>
      <c r="L288" t="inlineStr">
        <is>
          <t>USD</t>
        </is>
      </c>
      <c r="M288" t="n">
        <v>52.82701264987979</v>
      </c>
      <c r="N288" t="n">
        <v>0</v>
      </c>
      <c r="O288" t="n">
        <v>52.82701264987979</v>
      </c>
      <c r="P288" t="n">
        <v>-4.20458987236051</v>
      </c>
      <c r="Q288" t="n">
        <v>59.53479654844674</v>
      </c>
    </row>
    <row r="289">
      <c r="A289" t="inlineStr">
        <is>
          <t>Italy</t>
        </is>
      </c>
      <c r="B289" t="inlineStr">
        <is>
          <t>ITA</t>
        </is>
      </c>
      <c r="C289" t="inlineStr">
        <is>
          <t>EWI</t>
        </is>
      </c>
      <c r="D289" t="n">
        <v>2026</v>
      </c>
      <c r="E289" t="n">
        <v>-3.13632985319432</v>
      </c>
      <c r="F289" t="n">
        <v>0.759</v>
      </c>
      <c r="G289" t="n">
        <v>2.787725</v>
      </c>
      <c r="H289" t="n">
        <v>6.206252</v>
      </c>
      <c r="I289" t="n">
        <v>9.34258185319432</v>
      </c>
      <c r="J289" t="inlineStr">
        <is>
          <t>Italy|EWI|2026</t>
        </is>
      </c>
      <c r="K289" t="inlineStr">
        <is>
          <t>Italy|2026</t>
        </is>
      </c>
      <c r="L289" t="inlineStr">
        <is>
          <t>USD</t>
        </is>
      </c>
      <c r="M289" t="n">
        <v>-3.13632985319432</v>
      </c>
      <c r="N289" t="n">
        <v>0</v>
      </c>
      <c r="O289" t="n">
        <v>-3.13632985319432</v>
      </c>
      <c r="P289" t="n">
        <v>-3.218762566395739</v>
      </c>
      <c r="Q289" t="n">
        <v>0.08517427074434814</v>
      </c>
    </row>
    <row r="290">
      <c r="A290" t="inlineStr">
        <is>
          <t>Japan</t>
        </is>
      </c>
      <c r="B290" t="inlineStr">
        <is>
          <t>JPN</t>
        </is>
      </c>
      <c r="C290" t="inlineStr">
        <is>
          <t>CJPU.L</t>
        </is>
      </c>
      <c r="D290" t="n">
        <v>2015</v>
      </c>
      <c r="E290" t="n">
        <v>9.329169648484047</v>
      </c>
      <c r="F290" t="n">
        <v>1.561</v>
      </c>
      <c r="G290" t="inlineStr"/>
      <c r="H290" t="inlineStr"/>
      <c r="I290" t="inlineStr"/>
      <c r="J290" t="inlineStr">
        <is>
          <t>Japan|CJPU.L|2015</t>
        </is>
      </c>
      <c r="K290" t="inlineStr">
        <is>
          <t>Japan|2015</t>
        </is>
      </c>
      <c r="L290" t="inlineStr">
        <is>
          <t>USD</t>
        </is>
      </c>
      <c r="M290" t="n">
        <v>9.329169648484047</v>
      </c>
      <c r="N290" t="n">
        <v>0</v>
      </c>
      <c r="O290" t="n">
        <v>9.329169648484047</v>
      </c>
      <c r="P290" t="inlineStr"/>
      <c r="Q290" t="inlineStr"/>
    </row>
    <row r="291">
      <c r="A291" t="inlineStr">
        <is>
          <t>Japan</t>
        </is>
      </c>
      <c r="B291" t="inlineStr">
        <is>
          <t>JPN</t>
        </is>
      </c>
      <c r="C291" t="inlineStr">
        <is>
          <t>CJPU.L</t>
        </is>
      </c>
      <c r="D291" t="n">
        <v>2016</v>
      </c>
      <c r="E291" t="n">
        <v>5.378466409585814</v>
      </c>
      <c r="F291" t="n">
        <v>0.754</v>
      </c>
      <c r="G291" t="n">
        <v>1.176918</v>
      </c>
      <c r="H291" t="n">
        <v>12.570431</v>
      </c>
      <c r="I291" t="n">
        <v>7.191964590414186</v>
      </c>
      <c r="J291" t="inlineStr">
        <is>
          <t>Japan|CJPU.L|2016</t>
        </is>
      </c>
      <c r="K291" t="inlineStr">
        <is>
          <t>Japan|2016</t>
        </is>
      </c>
      <c r="L291" t="inlineStr">
        <is>
          <t>USD</t>
        </is>
      </c>
      <c r="M291" t="n">
        <v>5.378466409585814</v>
      </c>
      <c r="N291" t="n">
        <v>0</v>
      </c>
      <c r="O291" t="n">
        <v>5.378466409585814</v>
      </c>
      <c r="P291" t="n">
        <v>-10.12123098862643</v>
      </c>
      <c r="Q291" t="n">
        <v>17.24511535783368</v>
      </c>
    </row>
    <row r="292">
      <c r="A292" t="inlineStr">
        <is>
          <t>Japan</t>
        </is>
      </c>
      <c r="B292" t="inlineStr">
        <is>
          <t>JPN</t>
        </is>
      </c>
      <c r="C292" t="inlineStr">
        <is>
          <t>CJPU.L</t>
        </is>
      </c>
      <c r="D292" t="n">
        <v>2017</v>
      </c>
      <c r="E292" t="n">
        <v>23.90629384021681</v>
      </c>
      <c r="F292" t="n">
        <v>1.675</v>
      </c>
      <c r="G292" t="n">
        <v>1.599737</v>
      </c>
      <c r="H292" t="n">
        <v>-1.455749</v>
      </c>
      <c r="I292" t="n">
        <v>-25.36204284021681</v>
      </c>
      <c r="J292" t="inlineStr">
        <is>
          <t>Japan|CJPU.L|2017</t>
        </is>
      </c>
      <c r="K292" t="inlineStr">
        <is>
          <t>Japan|2017</t>
        </is>
      </c>
      <c r="L292" t="inlineStr">
        <is>
          <t>USD</t>
        </is>
      </c>
      <c r="M292" t="n">
        <v>23.90629384021681</v>
      </c>
      <c r="N292" t="n">
        <v>0</v>
      </c>
      <c r="O292" t="n">
        <v>23.90629384021681</v>
      </c>
      <c r="P292" t="n">
        <v>3.100623092357724</v>
      </c>
      <c r="Q292" t="n">
        <v>20.17996606016759</v>
      </c>
    </row>
    <row r="293">
      <c r="A293" t="inlineStr">
        <is>
          <t>Japan</t>
        </is>
      </c>
      <c r="B293" t="inlineStr">
        <is>
          <t>JPN</t>
        </is>
      </c>
      <c r="C293" t="inlineStr">
        <is>
          <t>CJPU.L</t>
        </is>
      </c>
      <c r="D293" t="n">
        <v>2018</v>
      </c>
      <c r="E293" t="n">
        <v>-13.49926345850369</v>
      </c>
      <c r="F293" t="n">
        <v>0.643</v>
      </c>
      <c r="G293" t="n">
        <v>0.6431519999999999</v>
      </c>
      <c r="H293" t="n">
        <v>2.231751</v>
      </c>
      <c r="I293" t="n">
        <v>15.73101445850369</v>
      </c>
      <c r="J293" t="inlineStr">
        <is>
          <t>Japan|CJPU.L|2018</t>
        </is>
      </c>
      <c r="K293" t="inlineStr">
        <is>
          <t>Japan|2018</t>
        </is>
      </c>
      <c r="L293" t="inlineStr">
        <is>
          <t>USD</t>
        </is>
      </c>
      <c r="M293" t="n">
        <v>-13.49926345850369</v>
      </c>
      <c r="N293" t="n">
        <v>0</v>
      </c>
      <c r="O293" t="n">
        <v>-13.49926345850369</v>
      </c>
      <c r="P293" t="n">
        <v>-1.553919320079944</v>
      </c>
      <c r="Q293" t="n">
        <v>-12.13389507832405</v>
      </c>
    </row>
    <row r="294">
      <c r="A294" t="inlineStr">
        <is>
          <t>Japan</t>
        </is>
      </c>
      <c r="B294" t="inlineStr">
        <is>
          <t>JPN</t>
        </is>
      </c>
      <c r="C294" t="inlineStr">
        <is>
          <t>CJPU.L</t>
        </is>
      </c>
      <c r="D294" t="n">
        <v>2019</v>
      </c>
      <c r="E294" t="n">
        <v>18.55612029358247</v>
      </c>
      <c r="F294" t="n">
        <v>-0.402</v>
      </c>
      <c r="G294" t="n">
        <v>0.230099</v>
      </c>
      <c r="H294" t="n">
        <v>1.529772</v>
      </c>
      <c r="I294" t="n">
        <v>-17.02634829358247</v>
      </c>
      <c r="J294" t="inlineStr">
        <is>
          <t>Japan|CJPU.L|2019</t>
        </is>
      </c>
      <c r="K294" t="inlineStr">
        <is>
          <t>Japan|2019</t>
        </is>
      </c>
      <c r="L294" t="inlineStr">
        <is>
          <t>USD</t>
        </is>
      </c>
      <c r="M294" t="n">
        <v>18.55612029358247</v>
      </c>
      <c r="N294" t="n">
        <v>0</v>
      </c>
      <c r="O294" t="n">
        <v>18.55612029358247</v>
      </c>
      <c r="P294" t="n">
        <v>-1.280090853712723</v>
      </c>
      <c r="Q294" t="n">
        <v>20.0934252460677</v>
      </c>
    </row>
    <row r="295">
      <c r="A295" t="inlineStr">
        <is>
          <t>Japan</t>
        </is>
      </c>
      <c r="B295" t="inlineStr">
        <is>
          <t>JPN</t>
        </is>
      </c>
      <c r="C295" t="inlineStr">
        <is>
          <t>CJPU.L</t>
        </is>
      </c>
      <c r="D295" t="n">
        <v>2020</v>
      </c>
      <c r="E295" t="n">
        <v>14.51507284137148</v>
      </c>
      <c r="F295" t="n">
        <v>-4.169</v>
      </c>
      <c r="G295" t="n">
        <v>-3.273784</v>
      </c>
      <c r="H295" t="n">
        <v>-1.249044</v>
      </c>
      <c r="I295" t="n">
        <v>-15.76411684137148</v>
      </c>
      <c r="J295" t="inlineStr">
        <is>
          <t>Japan|CJPU.L|2020</t>
        </is>
      </c>
      <c r="K295" t="inlineStr">
        <is>
          <t>Japan|2020</t>
        </is>
      </c>
      <c r="L295" t="inlineStr">
        <is>
          <t>USD</t>
        </is>
      </c>
      <c r="M295" t="n">
        <v>14.51507284137148</v>
      </c>
      <c r="N295" t="n">
        <v>0</v>
      </c>
      <c r="O295" t="n">
        <v>14.51507284137148</v>
      </c>
      <c r="P295" t="n">
        <v>-2.050350357506614</v>
      </c>
      <c r="Q295" t="n">
        <v>16.91218218680748</v>
      </c>
    </row>
    <row r="296">
      <c r="A296" t="inlineStr">
        <is>
          <t>Japan</t>
        </is>
      </c>
      <c r="B296" t="inlineStr">
        <is>
          <t>JPN</t>
        </is>
      </c>
      <c r="C296" t="inlineStr">
        <is>
          <t>CJPU.L</t>
        </is>
      </c>
      <c r="D296" t="n">
        <v>2021</v>
      </c>
      <c r="E296" t="n">
        <v>1.286765336928752</v>
      </c>
      <c r="F296" t="n">
        <v>2.697</v>
      </c>
      <c r="G296" t="n">
        <v>2.487223</v>
      </c>
      <c r="H296" t="n">
        <v>-0.295227</v>
      </c>
      <c r="I296" t="n">
        <v>-1.581992336928753</v>
      </c>
      <c r="J296" t="inlineStr">
        <is>
          <t>Japan|CJPU.L|2021</t>
        </is>
      </c>
      <c r="K296" t="inlineStr">
        <is>
          <t>Japan|2021</t>
        </is>
      </c>
      <c r="L296" t="inlineStr">
        <is>
          <t>USD</t>
        </is>
      </c>
      <c r="M296" t="n">
        <v>1.286765336928752</v>
      </c>
      <c r="N296" t="n">
        <v>0</v>
      </c>
      <c r="O296" t="n">
        <v>1.286765336928752</v>
      </c>
      <c r="P296" t="n">
        <v>2.79068899430297</v>
      </c>
      <c r="Q296" t="n">
        <v>-1.463093274389449</v>
      </c>
    </row>
    <row r="297">
      <c r="A297" t="inlineStr">
        <is>
          <t>Japan</t>
        </is>
      </c>
      <c r="B297" t="inlineStr">
        <is>
          <t>JPN</t>
        </is>
      </c>
      <c r="C297" t="inlineStr">
        <is>
          <t>CJPU.L</t>
        </is>
      </c>
      <c r="D297" t="n">
        <v>2022</v>
      </c>
      <c r="E297" t="n">
        <v>-18.75000101541136</v>
      </c>
      <c r="F297" t="n">
        <v>0.96</v>
      </c>
      <c r="G297" t="n">
        <v>1.36305</v>
      </c>
      <c r="H297" t="n">
        <v>-15.397782</v>
      </c>
      <c r="I297" t="n">
        <v>3.352219015411357</v>
      </c>
      <c r="J297" t="inlineStr">
        <is>
          <t>Japan|CJPU.L|2022</t>
        </is>
      </c>
      <c r="K297" t="inlineStr">
        <is>
          <t>Japan|2022</t>
        </is>
      </c>
      <c r="L297" t="inlineStr">
        <is>
          <t>USD</t>
        </is>
      </c>
      <c r="M297" t="n">
        <v>-18.75000101541136</v>
      </c>
      <c r="N297" t="n">
        <v>0</v>
      </c>
      <c r="O297" t="n">
        <v>-18.75000101541136</v>
      </c>
      <c r="P297" t="n">
        <v>19.81133862856353</v>
      </c>
      <c r="Q297" t="n">
        <v>-32.18505033444446</v>
      </c>
    </row>
    <row r="298">
      <c r="A298" t="inlineStr">
        <is>
          <t>Japan</t>
        </is>
      </c>
      <c r="B298" t="inlineStr">
        <is>
          <t>JPN</t>
        </is>
      </c>
      <c r="C298" t="inlineStr">
        <is>
          <t>CJPU.L</t>
        </is>
      </c>
      <c r="D298" t="n">
        <v>2023</v>
      </c>
      <c r="E298" t="n">
        <v>19.82893339712084</v>
      </c>
      <c r="F298" t="n">
        <v>1.245</v>
      </c>
      <c r="G298" t="n">
        <v>5.36886</v>
      </c>
      <c r="H298" t="n">
        <v>-1.375905</v>
      </c>
      <c r="I298" t="n">
        <v>-21.20483839712084</v>
      </c>
      <c r="J298" t="inlineStr">
        <is>
          <t>Japan|CJPU.L|2023</t>
        </is>
      </c>
      <c r="K298" t="inlineStr">
        <is>
          <t>Japan|2023</t>
        </is>
      </c>
      <c r="L298" t="inlineStr">
        <is>
          <t>USD</t>
        </is>
      </c>
      <c r="M298" t="n">
        <v>19.82893339712084</v>
      </c>
      <c r="N298" t="n">
        <v>0</v>
      </c>
      <c r="O298" t="n">
        <v>19.82893339712084</v>
      </c>
      <c r="P298" t="n">
        <v>6.838861088206349</v>
      </c>
      <c r="Q298" t="n">
        <v>12.1585649421982</v>
      </c>
    </row>
    <row r="299">
      <c r="A299" t="inlineStr">
        <is>
          <t>Japan</t>
        </is>
      </c>
      <c r="B299" t="inlineStr">
        <is>
          <t>JPN</t>
        </is>
      </c>
      <c r="C299" t="inlineStr">
        <is>
          <t>CJPU.L</t>
        </is>
      </c>
      <c r="D299" t="n">
        <v>2024</v>
      </c>
      <c r="E299" t="n">
        <v>8.123835572930771</v>
      </c>
      <c r="F299" t="n">
        <v>0.104</v>
      </c>
      <c r="G299" t="n">
        <v>2.995369</v>
      </c>
      <c r="H299" t="n">
        <v>-4.404514</v>
      </c>
      <c r="I299" t="n">
        <v>-12.52834957293077</v>
      </c>
      <c r="J299" t="inlineStr">
        <is>
          <t>Japan|CJPU.L|2024</t>
        </is>
      </c>
      <c r="K299" t="inlineStr">
        <is>
          <t>Japan|2024</t>
        </is>
      </c>
      <c r="L299" t="inlineStr">
        <is>
          <t>USD</t>
        </is>
      </c>
      <c r="M299" t="n">
        <v>8.123835572930771</v>
      </c>
      <c r="N299" t="n">
        <v>0</v>
      </c>
      <c r="O299" t="n">
        <v>8.123835572930771</v>
      </c>
      <c r="P299" t="n">
        <v>7.740829172186858</v>
      </c>
      <c r="Q299" t="n">
        <v>0.3554886329413698</v>
      </c>
    </row>
    <row r="300">
      <c r="A300" t="inlineStr">
        <is>
          <t>Japan</t>
        </is>
      </c>
      <c r="B300" t="inlineStr">
        <is>
          <t>JPN</t>
        </is>
      </c>
      <c r="C300" t="inlineStr">
        <is>
          <t>CJPU.L</t>
        </is>
      </c>
      <c r="D300" t="n">
        <v>2025</v>
      </c>
      <c r="E300" t="n">
        <v>25.89693520558538</v>
      </c>
      <c r="F300" t="n">
        <v>1.076</v>
      </c>
      <c r="G300" t="n">
        <v>3.88797</v>
      </c>
      <c r="H300" t="n">
        <v>6.479752</v>
      </c>
      <c r="I300" t="n">
        <v>-19.41718320558538</v>
      </c>
      <c r="J300" t="inlineStr">
        <is>
          <t>Japan|CJPU.L|2025</t>
        </is>
      </c>
      <c r="K300" t="inlineStr">
        <is>
          <t>Japan|2025</t>
        </is>
      </c>
      <c r="L300" t="inlineStr">
        <is>
          <t>USD</t>
        </is>
      </c>
      <c r="M300" t="n">
        <v>25.89693520558538</v>
      </c>
      <c r="N300" t="n">
        <v>0</v>
      </c>
      <c r="O300" t="n">
        <v>25.89693520558538</v>
      </c>
      <c r="P300" t="n">
        <v>-2.434060867425714</v>
      </c>
      <c r="Q300" t="n">
        <v>29.03779364488508</v>
      </c>
    </row>
    <row r="301">
      <c r="A301" t="inlineStr">
        <is>
          <t>Japan</t>
        </is>
      </c>
      <c r="B301" t="inlineStr">
        <is>
          <t>JPN</t>
        </is>
      </c>
      <c r="C301" t="inlineStr">
        <is>
          <t>CJPU.L</t>
        </is>
      </c>
      <c r="D301" t="n">
        <v>2026</v>
      </c>
      <c r="E301" t="n">
        <v>5.426603687219012</v>
      </c>
      <c r="F301" t="n">
        <v>0.633</v>
      </c>
      <c r="G301" t="n">
        <v>2.602655</v>
      </c>
      <c r="H301" t="n">
        <v>4.294705</v>
      </c>
      <c r="I301" t="n">
        <v>-1.131898687219011</v>
      </c>
      <c r="J301" t="inlineStr">
        <is>
          <t>Japan|CJPU.L|2026</t>
        </is>
      </c>
      <c r="K301" t="inlineStr">
        <is>
          <t>Japan|2026</t>
        </is>
      </c>
      <c r="L301" t="inlineStr">
        <is>
          <t>USD</t>
        </is>
      </c>
      <c r="M301" t="n">
        <v>5.426603687219012</v>
      </c>
      <c r="N301" t="n">
        <v>0</v>
      </c>
      <c r="O301" t="n">
        <v>5.426603687219012</v>
      </c>
      <c r="P301" t="n">
        <v>-1.62237396371292</v>
      </c>
      <c r="Q301" t="n">
        <v>7.16522438580891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EWJ</t>
        </is>
      </c>
      <c r="D302" t="n">
        <v>2015</v>
      </c>
      <c r="E302" t="n">
        <v>7.63765221310877</v>
      </c>
      <c r="F302" t="n">
        <v>1.561</v>
      </c>
      <c r="G302" t="inlineStr"/>
      <c r="H302" t="inlineStr"/>
      <c r="I302" t="inlineStr"/>
      <c r="J302" t="inlineStr">
        <is>
          <t>Japan|EWJ|2015</t>
        </is>
      </c>
      <c r="K302" t="inlineStr">
        <is>
          <t>Japan|2015</t>
        </is>
      </c>
      <c r="L302" t="inlineStr">
        <is>
          <t>USD</t>
        </is>
      </c>
      <c r="M302" t="n">
        <v>7.63765221310877</v>
      </c>
      <c r="N302" t="n">
        <v>0</v>
      </c>
      <c r="O302" t="n">
        <v>7.63765221310877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EWJ</t>
        </is>
      </c>
      <c r="D303" t="n">
        <v>2016</v>
      </c>
      <c r="E303" t="n">
        <v>2.388934116694563</v>
      </c>
      <c r="F303" t="n">
        <v>0.754</v>
      </c>
      <c r="G303" t="n">
        <v>1.176918</v>
      </c>
      <c r="H303" t="n">
        <v>12.570431</v>
      </c>
      <c r="I303" t="n">
        <v>10.18149688330544</v>
      </c>
      <c r="J303" t="inlineStr">
        <is>
          <t>Japan|EWJ|2016</t>
        </is>
      </c>
      <c r="K303" t="inlineStr">
        <is>
          <t>Japan|2016</t>
        </is>
      </c>
      <c r="L303" t="inlineStr">
        <is>
          <t>USD</t>
        </is>
      </c>
      <c r="M303" t="n">
        <v>2.388934116694563</v>
      </c>
      <c r="N303" t="n">
        <v>0</v>
      </c>
      <c r="O303" t="n">
        <v>2.388934116694563</v>
      </c>
      <c r="P303" t="n">
        <v>-10.12123098862643</v>
      </c>
      <c r="Q303" t="n">
        <v>13.9189324052023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EWJ</t>
        </is>
      </c>
      <c r="D304" t="n">
        <v>2017</v>
      </c>
      <c r="E304" t="n">
        <v>21.66058129762127</v>
      </c>
      <c r="F304" t="n">
        <v>1.675</v>
      </c>
      <c r="G304" t="n">
        <v>1.599737</v>
      </c>
      <c r="H304" t="n">
        <v>-1.455749</v>
      </c>
      <c r="I304" t="n">
        <v>-23.11633029762127</v>
      </c>
      <c r="J304" t="inlineStr">
        <is>
          <t>Japan|EWJ|2017</t>
        </is>
      </c>
      <c r="K304" t="inlineStr">
        <is>
          <t>Japan|2017</t>
        </is>
      </c>
      <c r="L304" t="inlineStr">
        <is>
          <t>USD</t>
        </is>
      </c>
      <c r="M304" t="n">
        <v>21.66058129762127</v>
      </c>
      <c r="N304" t="n">
        <v>0</v>
      </c>
      <c r="O304" t="n">
        <v>21.66058129762127</v>
      </c>
      <c r="P304" t="n">
        <v>3.100623092357724</v>
      </c>
      <c r="Q304" t="n">
        <v>18.00179053102084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EWJ</t>
        </is>
      </c>
      <c r="D305" t="n">
        <v>2018</v>
      </c>
      <c r="E305" t="n">
        <v>-15.92304220109232</v>
      </c>
      <c r="F305" t="n">
        <v>0.643</v>
      </c>
      <c r="G305" t="n">
        <v>0.6431519999999999</v>
      </c>
      <c r="H305" t="n">
        <v>2.231751</v>
      </c>
      <c r="I305" t="n">
        <v>18.15479320109232</v>
      </c>
      <c r="J305" t="inlineStr">
        <is>
          <t>Japan|EWJ|2018</t>
        </is>
      </c>
      <c r="K305" t="inlineStr">
        <is>
          <t>Japan|2018</t>
        </is>
      </c>
      <c r="L305" t="inlineStr">
        <is>
          <t>USD</t>
        </is>
      </c>
      <c r="M305" t="n">
        <v>-15.92304220109232</v>
      </c>
      <c r="N305" t="n">
        <v>0</v>
      </c>
      <c r="O305" t="n">
        <v>-15.92304220109232</v>
      </c>
      <c r="P305" t="n">
        <v>-1.553919320079944</v>
      </c>
      <c r="Q305" t="n">
        <v>-14.59593188654308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EWJ</t>
        </is>
      </c>
      <c r="D306" t="n">
        <v>2019</v>
      </c>
      <c r="E306" t="n">
        <v>16.06583192761044</v>
      </c>
      <c r="F306" t="n">
        <v>-0.402</v>
      </c>
      <c r="G306" t="n">
        <v>0.230099</v>
      </c>
      <c r="H306" t="n">
        <v>1.529772</v>
      </c>
      <c r="I306" t="n">
        <v>-14.53605992761044</v>
      </c>
      <c r="J306" t="inlineStr">
        <is>
          <t>Japan|EWJ|2019</t>
        </is>
      </c>
      <c r="K306" t="inlineStr">
        <is>
          <t>Japan|2019</t>
        </is>
      </c>
      <c r="L306" t="inlineStr">
        <is>
          <t>USD</t>
        </is>
      </c>
      <c r="M306" t="n">
        <v>16.06583192761044</v>
      </c>
      <c r="N306" t="n">
        <v>0</v>
      </c>
      <c r="O306" t="n">
        <v>16.06583192761044</v>
      </c>
      <c r="P306" t="n">
        <v>-1.280090853712723</v>
      </c>
      <c r="Q306" t="n">
        <v>17.57084556836377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EWJ</t>
        </is>
      </c>
      <c r="D307" t="n">
        <v>2020</v>
      </c>
      <c r="E307" t="n">
        <v>12.86334258224286</v>
      </c>
      <c r="F307" t="n">
        <v>-4.169</v>
      </c>
      <c r="G307" t="n">
        <v>-3.273784</v>
      </c>
      <c r="H307" t="n">
        <v>-1.249044</v>
      </c>
      <c r="I307" t="n">
        <v>-14.11238658224286</v>
      </c>
      <c r="J307" t="inlineStr">
        <is>
          <t>Japan|EWJ|2020</t>
        </is>
      </c>
      <c r="K307" t="inlineStr">
        <is>
          <t>Japan|2020</t>
        </is>
      </c>
      <c r="L307" t="inlineStr">
        <is>
          <t>USD</t>
        </is>
      </c>
      <c r="M307" t="n">
        <v>12.86334258224286</v>
      </c>
      <c r="N307" t="n">
        <v>0</v>
      </c>
      <c r="O307" t="n">
        <v>12.86334258224286</v>
      </c>
      <c r="P307" t="n">
        <v>-2.050350357506614</v>
      </c>
      <c r="Q307" t="n">
        <v>15.22587675829674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EWJ</t>
        </is>
      </c>
      <c r="D308" t="n">
        <v>2021</v>
      </c>
      <c r="E308" t="n">
        <v>0.2995760063549291</v>
      </c>
      <c r="F308" t="n">
        <v>2.697</v>
      </c>
      <c r="G308" t="n">
        <v>2.487223</v>
      </c>
      <c r="H308" t="n">
        <v>-0.295227</v>
      </c>
      <c r="I308" t="n">
        <v>-0.5948030063549291</v>
      </c>
      <c r="J308" t="inlineStr">
        <is>
          <t>Japan|EWJ|2021</t>
        </is>
      </c>
      <c r="K308" t="inlineStr">
        <is>
          <t>Japan|2021</t>
        </is>
      </c>
      <c r="L308" t="inlineStr">
        <is>
          <t>USD</t>
        </is>
      </c>
      <c r="M308" t="n">
        <v>0.2995760063549291</v>
      </c>
      <c r="N308" t="n">
        <v>0</v>
      </c>
      <c r="O308" t="n">
        <v>0.2995760063549291</v>
      </c>
      <c r="P308" t="n">
        <v>2.79068899430297</v>
      </c>
      <c r="Q308" t="n">
        <v>-2.423481165775732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EWJ</t>
        </is>
      </c>
      <c r="D309" t="n">
        <v>2022</v>
      </c>
      <c r="E309" t="n">
        <v>-18.78263521090275</v>
      </c>
      <c r="F309" t="n">
        <v>0.96</v>
      </c>
      <c r="G309" t="n">
        <v>1.36305</v>
      </c>
      <c r="H309" t="n">
        <v>-15.397782</v>
      </c>
      <c r="I309" t="n">
        <v>3.384853210902754</v>
      </c>
      <c r="J309" t="inlineStr">
        <is>
          <t>Japan|EWJ|2022</t>
        </is>
      </c>
      <c r="K309" t="inlineStr">
        <is>
          <t>Japan|2022</t>
        </is>
      </c>
      <c r="L309" t="inlineStr">
        <is>
          <t>USD</t>
        </is>
      </c>
      <c r="M309" t="n">
        <v>-18.78263521090275</v>
      </c>
      <c r="N309" t="n">
        <v>0</v>
      </c>
      <c r="O309" t="n">
        <v>-18.78263521090275</v>
      </c>
      <c r="P309" t="n">
        <v>19.81133862856353</v>
      </c>
      <c r="Q309" t="n">
        <v>-32.21228832031871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EWJ</t>
        </is>
      </c>
      <c r="D310" t="n">
        <v>2023</v>
      </c>
      <c r="E310" t="n">
        <v>17.25776690135772</v>
      </c>
      <c r="F310" t="n">
        <v>1.245</v>
      </c>
      <c r="G310" t="n">
        <v>5.36886</v>
      </c>
      <c r="H310" t="n">
        <v>-1.375905</v>
      </c>
      <c r="I310" t="n">
        <v>-18.63367190135772</v>
      </c>
      <c r="J310" t="inlineStr">
        <is>
          <t>Japan|EWJ|2023</t>
        </is>
      </c>
      <c r="K310" t="inlineStr">
        <is>
          <t>Japan|2023</t>
        </is>
      </c>
      <c r="L310" t="inlineStr">
        <is>
          <t>USD</t>
        </is>
      </c>
      <c r="M310" t="n">
        <v>17.25776690135772</v>
      </c>
      <c r="N310" t="n">
        <v>0</v>
      </c>
      <c r="O310" t="n">
        <v>17.25776690135772</v>
      </c>
      <c r="P310" t="n">
        <v>6.838861088206349</v>
      </c>
      <c r="Q310" t="n">
        <v>9.751981354939288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EWJ</t>
        </is>
      </c>
      <c r="D311" t="n">
        <v>2024</v>
      </c>
      <c r="E311" t="n">
        <v>5.569535909918422</v>
      </c>
      <c r="F311" t="n">
        <v>0.104</v>
      </c>
      <c r="G311" t="n">
        <v>2.995369</v>
      </c>
      <c r="H311" t="n">
        <v>-4.404514</v>
      </c>
      <c r="I311" t="n">
        <v>-9.974049909918421</v>
      </c>
      <c r="J311" t="inlineStr">
        <is>
          <t>Japan|EWJ|2024</t>
        </is>
      </c>
      <c r="K311" t="inlineStr">
        <is>
          <t>Japan|2024</t>
        </is>
      </c>
      <c r="L311" t="inlineStr">
        <is>
          <t>USD</t>
        </is>
      </c>
      <c r="M311" t="n">
        <v>5.569535909918422</v>
      </c>
      <c r="N311" t="n">
        <v>0</v>
      </c>
      <c r="O311" t="n">
        <v>5.569535909918422</v>
      </c>
      <c r="P311" t="n">
        <v>7.740829172186858</v>
      </c>
      <c r="Q311" t="n">
        <v>-2.015292882885067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EWJ</t>
        </is>
      </c>
      <c r="D312" t="n">
        <v>2025</v>
      </c>
      <c r="E312" t="n">
        <v>20.48947215316628</v>
      </c>
      <c r="F312" t="n">
        <v>1.076</v>
      </c>
      <c r="G312" t="n">
        <v>3.88797</v>
      </c>
      <c r="H312" t="n">
        <v>6.479752</v>
      </c>
      <c r="I312" t="n">
        <v>-14.00972015316627</v>
      </c>
      <c r="J312" t="inlineStr">
        <is>
          <t>Japan|EWJ|2025</t>
        </is>
      </c>
      <c r="K312" t="inlineStr">
        <is>
          <t>Japan|2025</t>
        </is>
      </c>
      <c r="L312" t="inlineStr">
        <is>
          <t>USD</t>
        </is>
      </c>
      <c r="M312" t="n">
        <v>20.48947215316628</v>
      </c>
      <c r="N312" t="n">
        <v>0</v>
      </c>
      <c r="O312" t="n">
        <v>20.48947215316628</v>
      </c>
      <c r="P312" t="n">
        <v>-2.434060867425714</v>
      </c>
      <c r="Q312" t="n">
        <v>23.49542599025578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EWJ</t>
        </is>
      </c>
      <c r="D313" t="n">
        <v>2026</v>
      </c>
      <c r="E313" t="n">
        <v>5.606784035325796</v>
      </c>
      <c r="F313" t="n">
        <v>0.633</v>
      </c>
      <c r="G313" t="n">
        <v>2.602655</v>
      </c>
      <c r="H313" t="n">
        <v>4.294705</v>
      </c>
      <c r="I313" t="n">
        <v>-1.312079035325795</v>
      </c>
      <c r="J313" t="inlineStr">
        <is>
          <t>Japan|EWJ|2026</t>
        </is>
      </c>
      <c r="K313" t="inlineStr">
        <is>
          <t>Japan|2026</t>
        </is>
      </c>
      <c r="L313" t="inlineStr">
        <is>
          <t>USD</t>
        </is>
      </c>
      <c r="M313" t="n">
        <v>5.606784035325796</v>
      </c>
      <c r="N313" t="n">
        <v>0</v>
      </c>
      <c r="O313" t="n">
        <v>5.606784035325796</v>
      </c>
      <c r="P313" t="n">
        <v>-1.62237396371292</v>
      </c>
      <c r="Q313" t="n">
        <v>7.348376140294555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LCJP.L</t>
        </is>
      </c>
      <c r="D314" t="n">
        <v>2015</v>
      </c>
      <c r="E314" t="inlineStr"/>
      <c r="F314" t="n">
        <v>1.561</v>
      </c>
      <c r="G314" t="inlineStr"/>
      <c r="H314" t="inlineStr"/>
      <c r="I314" t="inlineStr"/>
      <c r="J314" t="inlineStr">
        <is>
          <t>Japan|LCJP.L|2015</t>
        </is>
      </c>
      <c r="K314" t="inlineStr">
        <is>
          <t>Japan|2015</t>
        </is>
      </c>
      <c r="L314" t="inlineStr">
        <is>
          <t>GBP</t>
        </is>
      </c>
      <c r="M314" t="inlineStr"/>
      <c r="N314" t="n">
        <v>-4.888855870697362</v>
      </c>
      <c r="O314" t="inlineStr"/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LCJP.L</t>
        </is>
      </c>
      <c r="D315" t="n">
        <v>2016</v>
      </c>
      <c r="E315" t="inlineStr"/>
      <c r="F315" t="n">
        <v>0.754</v>
      </c>
      <c r="G315" t="n">
        <v>1.176918</v>
      </c>
      <c r="H315" t="n">
        <v>12.570431</v>
      </c>
      <c r="I315" t="inlineStr"/>
      <c r="J315" t="inlineStr">
        <is>
          <t>Japan|LCJP.L|2016</t>
        </is>
      </c>
      <c r="K315" t="inlineStr">
        <is>
          <t>Japan|2016</t>
        </is>
      </c>
      <c r="L315" t="inlineStr">
        <is>
          <t>GBP</t>
        </is>
      </c>
      <c r="M315" t="inlineStr"/>
      <c r="N315" t="n">
        <v>-16.62570861023462</v>
      </c>
      <c r="O315" t="inlineStr"/>
      <c r="P315" t="n">
        <v>-10.12123098862643</v>
      </c>
      <c r="Q315" t="inlineStr"/>
    </row>
    <row r="316">
      <c r="A316" t="inlineStr">
        <is>
          <t>Japan</t>
        </is>
      </c>
      <c r="B316" t="inlineStr">
        <is>
          <t>JPN</t>
        </is>
      </c>
      <c r="C316" t="inlineStr">
        <is>
          <t>LCJP.L</t>
        </is>
      </c>
      <c r="D316" t="n">
        <v>2017</v>
      </c>
      <c r="E316" t="inlineStr"/>
      <c r="F316" t="n">
        <v>1.675</v>
      </c>
      <c r="G316" t="n">
        <v>1.599737</v>
      </c>
      <c r="H316" t="n">
        <v>-1.455749</v>
      </c>
      <c r="I316" t="inlineStr"/>
      <c r="J316" t="inlineStr">
        <is>
          <t>Japan|LCJP.L|2017</t>
        </is>
      </c>
      <c r="K316" t="inlineStr">
        <is>
          <t>Japan|2017</t>
        </is>
      </c>
      <c r="L316" t="inlineStr">
        <is>
          <t>GBP</t>
        </is>
      </c>
      <c r="M316" t="inlineStr"/>
      <c r="N316" t="n">
        <v>8.841388071573641</v>
      </c>
      <c r="O316" t="inlineStr"/>
      <c r="P316" t="n">
        <v>3.100623092357724</v>
      </c>
      <c r="Q316" t="inlineStr"/>
    </row>
    <row r="317">
      <c r="A317" t="inlineStr">
        <is>
          <t>Japan</t>
        </is>
      </c>
      <c r="B317" t="inlineStr">
        <is>
          <t>JPN</t>
        </is>
      </c>
      <c r="C317" t="inlineStr">
        <is>
          <t>LCJP.L</t>
        </is>
      </c>
      <c r="D317" t="n">
        <v>2018</v>
      </c>
      <c r="E317" t="n">
        <v>-99.38213335673014</v>
      </c>
      <c r="F317" t="n">
        <v>0.643</v>
      </c>
      <c r="G317" t="n">
        <v>0.6431519999999999</v>
      </c>
      <c r="H317" t="n">
        <v>2.231751</v>
      </c>
      <c r="I317" t="n">
        <v>101.6514834216757</v>
      </c>
      <c r="J317" t="inlineStr">
        <is>
          <t>Japan|LCJP.L|2018</t>
        </is>
      </c>
      <c r="K317" t="inlineStr">
        <is>
          <t>Japan|2018</t>
        </is>
      </c>
      <c r="L317" t="inlineStr">
        <is>
          <t>GBP</t>
        </is>
      </c>
      <c r="M317" t="n">
        <v>-99.38213335673014</v>
      </c>
      <c r="N317" t="n">
        <v>-6.085304224640065</v>
      </c>
      <c r="O317" t="n">
        <v>-99.41973242167568</v>
      </c>
      <c r="P317" t="n">
        <v>-1.553919320079944</v>
      </c>
      <c r="Q317" t="n">
        <v>-99.41057320482777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LCJP.L</t>
        </is>
      </c>
      <c r="D318" t="n">
        <v>2019</v>
      </c>
      <c r="E318" t="n">
        <v>13.37103048725012</v>
      </c>
      <c r="F318" t="n">
        <v>-0.402</v>
      </c>
      <c r="G318" t="n">
        <v>0.230099</v>
      </c>
      <c r="H318" t="n">
        <v>1.529772</v>
      </c>
      <c r="I318" t="n">
        <v>-15.17874777339796</v>
      </c>
      <c r="J318" t="inlineStr">
        <is>
          <t>Japan|LCJP.L|2019</t>
        </is>
      </c>
      <c r="K318" t="inlineStr">
        <is>
          <t>Japan|2019</t>
        </is>
      </c>
      <c r="L318" t="inlineStr">
        <is>
          <t>GBP</t>
        </is>
      </c>
      <c r="M318" t="n">
        <v>13.37103048725012</v>
      </c>
      <c r="N318" t="n">
        <v>2.94386429390634</v>
      </c>
      <c r="O318" t="n">
        <v>16.70851977339796</v>
      </c>
      <c r="P318" t="n">
        <v>-1.280090853712723</v>
      </c>
      <c r="Q318" t="n">
        <v>18.22186708099012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LCJP.L</t>
        </is>
      </c>
      <c r="D319" t="n">
        <v>2020</v>
      </c>
      <c r="E319" t="n">
        <v>10.47610752457546</v>
      </c>
      <c r="F319" t="n">
        <v>-4.169</v>
      </c>
      <c r="G319" t="n">
        <v>-3.273784</v>
      </c>
      <c r="H319" t="n">
        <v>-1.249044</v>
      </c>
      <c r="I319" t="n">
        <v>-14.79108265134917</v>
      </c>
      <c r="J319" t="inlineStr">
        <is>
          <t>Japan|LCJP.L|2020</t>
        </is>
      </c>
      <c r="K319" t="inlineStr">
        <is>
          <t>Japan|2020</t>
        </is>
      </c>
      <c r="L319" t="inlineStr">
        <is>
          <t>GBP</t>
        </is>
      </c>
      <c r="M319" t="n">
        <v>10.47610752457546</v>
      </c>
      <c r="N319" t="n">
        <v>2.775198362317122</v>
      </c>
      <c r="O319" t="n">
        <v>13.54203865134918</v>
      </c>
      <c r="P319" t="n">
        <v>-2.050350357506614</v>
      </c>
      <c r="Q319" t="n">
        <v>15.91877976671327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LCJP.L</t>
        </is>
      </c>
      <c r="D320" t="n">
        <v>2021</v>
      </c>
      <c r="E320" t="n">
        <v>2.436155535753204</v>
      </c>
      <c r="F320" t="n">
        <v>2.697</v>
      </c>
      <c r="G320" t="n">
        <v>2.487223</v>
      </c>
      <c r="H320" t="n">
        <v>-0.295227</v>
      </c>
      <c r="I320" t="n">
        <v>-1.423046942644859</v>
      </c>
      <c r="J320" t="inlineStr">
        <is>
          <t>Japan|LCJP.L|2021</t>
        </is>
      </c>
      <c r="K320" t="inlineStr">
        <is>
          <t>Japan|2021</t>
        </is>
      </c>
      <c r="L320" t="inlineStr">
        <is>
          <t>GBP</t>
        </is>
      </c>
      <c r="M320" t="n">
        <v>2.436155535753204</v>
      </c>
      <c r="N320" t="n">
        <v>-1.277220514832489</v>
      </c>
      <c r="O320" t="n">
        <v>1.127819942644859</v>
      </c>
      <c r="P320" t="n">
        <v>2.79068899430297</v>
      </c>
      <c r="Q320" t="n">
        <v>-1.617723422157691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LCJP.L</t>
        </is>
      </c>
      <c r="D321" t="n">
        <v>2022</v>
      </c>
      <c r="E321" t="n">
        <v>-8.411516781782735</v>
      </c>
      <c r="F321" t="n">
        <v>0.96</v>
      </c>
      <c r="G321" t="n">
        <v>1.36305</v>
      </c>
      <c r="H321" t="n">
        <v>-15.397782</v>
      </c>
      <c r="I321" t="n">
        <v>2.94288527712045</v>
      </c>
      <c r="J321" t="inlineStr">
        <is>
          <t>Japan|LCJP.L|2022</t>
        </is>
      </c>
      <c r="K321" t="inlineStr">
        <is>
          <t>Japan|2022</t>
        </is>
      </c>
      <c r="L321" t="inlineStr">
        <is>
          <t>GBP</t>
        </is>
      </c>
      <c r="M321" t="n">
        <v>-8.411516781782735</v>
      </c>
      <c r="N321" t="n">
        <v>-10.84104698150823</v>
      </c>
      <c r="O321" t="n">
        <v>-18.34066727712045</v>
      </c>
      <c r="P321" t="n">
        <v>19.81133862856353</v>
      </c>
      <c r="Q321" t="n">
        <v>-31.84340175345338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LCJP.L</t>
        </is>
      </c>
      <c r="D322" t="n">
        <v>2023</v>
      </c>
      <c r="E322" t="n">
        <v>12.84403937287639</v>
      </c>
      <c r="F322" t="n">
        <v>1.245</v>
      </c>
      <c r="G322" t="n">
        <v>5.36886</v>
      </c>
      <c r="H322" t="n">
        <v>-1.375905</v>
      </c>
      <c r="I322" t="n">
        <v>-19.93327271333103</v>
      </c>
      <c r="J322" t="inlineStr">
        <is>
          <t>Japan|LCJP.L|2023</t>
        </is>
      </c>
      <c r="K322" t="inlineStr">
        <is>
          <t>Japan|2023</t>
        </is>
      </c>
      <c r="L322" t="inlineStr">
        <is>
          <t>GBP</t>
        </is>
      </c>
      <c r="M322" t="n">
        <v>12.84403937287639</v>
      </c>
      <c r="N322" t="n">
        <v>5.06303068571996</v>
      </c>
      <c r="O322" t="n">
        <v>18.55736771333103</v>
      </c>
      <c r="P322" t="n">
        <v>6.838861088206349</v>
      </c>
      <c r="Q322" t="n">
        <v>10.96839343452929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LCJP.L</t>
        </is>
      </c>
      <c r="D323" t="n">
        <v>2024</v>
      </c>
      <c r="E323" t="n">
        <v>8.710773527333115</v>
      </c>
      <c r="F323" t="n">
        <v>0.104</v>
      </c>
      <c r="G323" t="n">
        <v>2.995369</v>
      </c>
      <c r="H323" t="n">
        <v>-4.404514</v>
      </c>
      <c r="I323" t="n">
        <v>-11.57044924951956</v>
      </c>
      <c r="J323" t="inlineStr">
        <is>
          <t>Japan|LCJP.L|2024</t>
        </is>
      </c>
      <c r="K323" t="inlineStr">
        <is>
          <t>Japan|2024</t>
        </is>
      </c>
      <c r="L323" t="inlineStr">
        <is>
          <t>GBP</t>
        </is>
      </c>
      <c r="M323" t="n">
        <v>8.710773527333115</v>
      </c>
      <c r="N323" t="n">
        <v>-1.421053523664917</v>
      </c>
      <c r="O323" t="n">
        <v>7.165935249519562</v>
      </c>
      <c r="P323" t="n">
        <v>7.740829172186858</v>
      </c>
      <c r="Q323" t="n">
        <v>-0.5335896587063793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LCJP.L</t>
        </is>
      </c>
      <c r="D324" t="n">
        <v>2025</v>
      </c>
      <c r="E324" t="n">
        <v>15.82411632877179</v>
      </c>
      <c r="F324" t="n">
        <v>1.076</v>
      </c>
      <c r="G324" t="n">
        <v>3.88797</v>
      </c>
      <c r="H324" t="n">
        <v>6.479752</v>
      </c>
      <c r="I324" t="n">
        <v>-18.1144848252007</v>
      </c>
      <c r="J324" t="inlineStr">
        <is>
          <t>Japan|LCJP.L|2025</t>
        </is>
      </c>
      <c r="K324" t="inlineStr">
        <is>
          <t>Japan|2025</t>
        </is>
      </c>
      <c r="L324" t="inlineStr">
        <is>
          <t>GBP</t>
        </is>
      </c>
      <c r="M324" t="n">
        <v>15.82411632877179</v>
      </c>
      <c r="N324" t="n">
        <v>7.571929555270285</v>
      </c>
      <c r="O324" t="n">
        <v>24.5942368252007</v>
      </c>
      <c r="P324" t="n">
        <v>-2.434060867425714</v>
      </c>
      <c r="Q324" t="n">
        <v>27.70259573466505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LCJP.L</t>
        </is>
      </c>
      <c r="D325" t="n">
        <v>2026</v>
      </c>
      <c r="E325" t="n">
        <v>6.967753347879335</v>
      </c>
      <c r="F325" t="n">
        <v>0.633</v>
      </c>
      <c r="G325" t="n">
        <v>2.602655</v>
      </c>
      <c r="H325" t="n">
        <v>4.294705</v>
      </c>
      <c r="I325" t="n">
        <v>-1.818073441011856</v>
      </c>
      <c r="J325" t="inlineStr">
        <is>
          <t>Japan|LCJP.L|2026</t>
        </is>
      </c>
      <c r="K325" t="inlineStr">
        <is>
          <t>Japan|2026</t>
        </is>
      </c>
      <c r="L325" t="inlineStr">
        <is>
          <t>GBP</t>
        </is>
      </c>
      <c r="M325" t="n">
        <v>6.967753347879335</v>
      </c>
      <c r="N325" t="n">
        <v>-0.7992828493713855</v>
      </c>
      <c r="O325" t="n">
        <v>6.112778441011857</v>
      </c>
      <c r="P325" t="n">
        <v>-1.62237396371292</v>
      </c>
      <c r="Q325" t="n">
        <v>7.862715046479796</v>
      </c>
    </row>
    <row r="326">
      <c r="A326" t="inlineStr">
        <is>
          <t>Kuwait</t>
        </is>
      </c>
      <c r="B326" t="inlineStr">
        <is>
          <t>KWT</t>
        </is>
      </c>
      <c r="C326" t="inlineStr">
        <is>
          <t>MKUW.L</t>
        </is>
      </c>
      <c r="D326" t="n">
        <v>2015</v>
      </c>
      <c r="E326" t="inlineStr"/>
      <c r="F326" t="n">
        <v>0.593</v>
      </c>
      <c r="G326" t="inlineStr"/>
      <c r="H326" t="inlineStr"/>
      <c r="I326" t="inlineStr"/>
      <c r="J326" t="inlineStr">
        <is>
          <t>Kuwait|MKUW.L|2015</t>
        </is>
      </c>
      <c r="K326" t="inlineStr">
        <is>
          <t>Kuwait|2015</t>
        </is>
      </c>
      <c r="L326" t="inlineStr">
        <is>
          <t>USD</t>
        </is>
      </c>
      <c r="M326" t="inlineStr"/>
      <c r="N326" t="n">
        <v>0</v>
      </c>
      <c r="O326" t="inlineStr"/>
      <c r="P326" t="inlineStr"/>
      <c r="Q326" t="inlineStr"/>
    </row>
    <row r="327">
      <c r="A327" t="inlineStr">
        <is>
          <t>Kuwait</t>
        </is>
      </c>
      <c r="B327" t="inlineStr">
        <is>
          <t>KWT</t>
        </is>
      </c>
      <c r="C327" t="inlineStr">
        <is>
          <t>MKUW.L</t>
        </is>
      </c>
      <c r="D327" t="n">
        <v>2016</v>
      </c>
      <c r="E327" t="inlineStr"/>
      <c r="F327" t="n">
        <v>2.926</v>
      </c>
      <c r="G327" t="n">
        <v>-4.110463</v>
      </c>
      <c r="H327" t="n">
        <v>-4.543392</v>
      </c>
      <c r="I327" t="inlineStr"/>
      <c r="J327" t="inlineStr">
        <is>
          <t>Kuwait|MKUW.L|2016</t>
        </is>
      </c>
      <c r="K327" t="inlineStr">
        <is>
          <t>Kuwait|2016</t>
        </is>
      </c>
      <c r="L327" t="inlineStr">
        <is>
          <t>USD</t>
        </is>
      </c>
      <c r="M327" t="inlineStr"/>
      <c r="N327" t="n">
        <v>0</v>
      </c>
      <c r="O327" t="inlineStr"/>
      <c r="P327" t="n">
        <v>0.4535347443582083</v>
      </c>
      <c r="Q327" t="inlineStr"/>
    </row>
    <row r="328">
      <c r="A328" t="inlineStr">
        <is>
          <t>Kuwait</t>
        </is>
      </c>
      <c r="B328" t="inlineStr">
        <is>
          <t>KWT</t>
        </is>
      </c>
      <c r="C328" t="inlineStr">
        <is>
          <t>MKUW.L</t>
        </is>
      </c>
      <c r="D328" t="n">
        <v>2017</v>
      </c>
      <c r="E328" t="inlineStr"/>
      <c r="F328" t="n">
        <v>-4.712</v>
      </c>
      <c r="G328" t="n">
        <v>10.754477</v>
      </c>
      <c r="H328" t="n">
        <v>10.319107</v>
      </c>
      <c r="I328" t="inlineStr"/>
      <c r="J328" t="inlineStr">
        <is>
          <t>Kuwait|MKUW.L|2017</t>
        </is>
      </c>
      <c r="K328" t="inlineStr">
        <is>
          <t>Kuwait|2017</t>
        </is>
      </c>
      <c r="L328" t="inlineStr">
        <is>
          <t>USD</t>
        </is>
      </c>
      <c r="M328" t="inlineStr"/>
      <c r="N328" t="n">
        <v>0</v>
      </c>
      <c r="O328" t="inlineStr"/>
      <c r="P328" t="n">
        <v>0.3946461682369229</v>
      </c>
      <c r="Q328" t="inlineStr"/>
    </row>
    <row r="329">
      <c r="A329" t="inlineStr">
        <is>
          <t>Kuwait</t>
        </is>
      </c>
      <c r="B329" t="inlineStr">
        <is>
          <t>KWT</t>
        </is>
      </c>
      <c r="C329" t="inlineStr">
        <is>
          <t>MKUW.L</t>
        </is>
      </c>
      <c r="D329" t="n">
        <v>2018</v>
      </c>
      <c r="E329" t="inlineStr"/>
      <c r="F329" t="n">
        <v>2.743</v>
      </c>
      <c r="G329" t="n">
        <v>14.350878</v>
      </c>
      <c r="H329" t="n">
        <v>14.887147</v>
      </c>
      <c r="I329" t="inlineStr"/>
      <c r="J329" t="inlineStr">
        <is>
          <t>Kuwait|MKUW.L|2018</t>
        </is>
      </c>
      <c r="K329" t="inlineStr">
        <is>
          <t>Kuwait|2018</t>
        </is>
      </c>
      <c r="L329" t="inlineStr">
        <is>
          <t>USD</t>
        </is>
      </c>
      <c r="M329" t="inlineStr"/>
      <c r="N329" t="n">
        <v>0</v>
      </c>
      <c r="O329" t="inlineStr"/>
      <c r="P329" t="n">
        <v>-0.4667788227386116</v>
      </c>
      <c r="Q329" t="inlineStr"/>
    </row>
    <row r="330">
      <c r="A330" t="inlineStr">
        <is>
          <t>Kuwait</t>
        </is>
      </c>
      <c r="B330" t="inlineStr">
        <is>
          <t>KWT</t>
        </is>
      </c>
      <c r="C330" t="inlineStr">
        <is>
          <t>MKUW.L</t>
        </is>
      </c>
      <c r="D330" t="n">
        <v>2019</v>
      </c>
      <c r="E330" t="n">
        <v>10.34847552438021</v>
      </c>
      <c r="F330" t="n">
        <v>2.264</v>
      </c>
      <c r="G330" t="n">
        <v>2.152156</v>
      </c>
      <c r="H330" t="n">
        <v>1.586672</v>
      </c>
      <c r="I330" t="n">
        <v>-8.761803524380207</v>
      </c>
      <c r="J330" t="inlineStr">
        <is>
          <t>Kuwait|MKUW.L|2019</t>
        </is>
      </c>
      <c r="K330" t="inlineStr">
        <is>
          <t>Kuwait|2019</t>
        </is>
      </c>
      <c r="L330" t="inlineStr">
        <is>
          <t>USD</t>
        </is>
      </c>
      <c r="M330" t="n">
        <v>10.34847552438021</v>
      </c>
      <c r="N330" t="n">
        <v>0</v>
      </c>
      <c r="O330" t="n">
        <v>10.34847552438021</v>
      </c>
      <c r="P330" t="n">
        <v>0.5566515490909918</v>
      </c>
      <c r="Q330" t="n">
        <v>9.737619366242445</v>
      </c>
    </row>
    <row r="331">
      <c r="A331" t="inlineStr">
        <is>
          <t>Kuwait</t>
        </is>
      </c>
      <c r="B331" t="inlineStr">
        <is>
          <t>KWT</t>
        </is>
      </c>
      <c r="C331" t="inlineStr">
        <is>
          <t>MKUW.L</t>
        </is>
      </c>
      <c r="D331" t="n">
        <v>2020</v>
      </c>
      <c r="E331" t="n">
        <v>-9.859384906803459</v>
      </c>
      <c r="F331" t="n">
        <v>-4.817</v>
      </c>
      <c r="G331" t="n">
        <v>-20.483562</v>
      </c>
      <c r="H331" t="n">
        <v>-21.161478</v>
      </c>
      <c r="I331" t="n">
        <v>-11.30209309319654</v>
      </c>
      <c r="J331" t="inlineStr">
        <is>
          <t>Kuwait|MKUW.L|2020</t>
        </is>
      </c>
      <c r="K331" t="inlineStr">
        <is>
          <t>Kuwait|2020</t>
        </is>
      </c>
      <c r="L331" t="inlineStr">
        <is>
          <t>USD</t>
        </is>
      </c>
      <c r="M331" t="n">
        <v>-9.859384906803459</v>
      </c>
      <c r="N331" t="n">
        <v>0</v>
      </c>
      <c r="O331" t="n">
        <v>-9.859384906803459</v>
      </c>
      <c r="P331" t="n">
        <v>0.8598796523477725</v>
      </c>
      <c r="Q331" t="n">
        <v>-10.62787760217372</v>
      </c>
    </row>
    <row r="332">
      <c r="A332" t="inlineStr">
        <is>
          <t>Kuwait</t>
        </is>
      </c>
      <c r="B332" t="inlineStr">
        <is>
          <t>KWT</t>
        </is>
      </c>
      <c r="C332" t="inlineStr">
        <is>
          <t>MKUW.L</t>
        </is>
      </c>
      <c r="D332" t="n">
        <v>2021</v>
      </c>
      <c r="E332" t="n">
        <v>28.55539251465564</v>
      </c>
      <c r="F332" t="n">
        <v>1.672</v>
      </c>
      <c r="G332" t="n">
        <v>31.591484</v>
      </c>
      <c r="H332" t="n">
        <v>33.587278</v>
      </c>
      <c r="I332" t="n">
        <v>5.031885485344354</v>
      </c>
      <c r="J332" t="inlineStr">
        <is>
          <t>Kuwait|MKUW.L|2021</t>
        </is>
      </c>
      <c r="K332" t="inlineStr">
        <is>
          <t>Kuwait|2021</t>
        </is>
      </c>
      <c r="L332" t="inlineStr">
        <is>
          <t>USD</t>
        </is>
      </c>
      <c r="M332" t="n">
        <v>28.55539251465564</v>
      </c>
      <c r="N332" t="n">
        <v>0</v>
      </c>
      <c r="O332" t="n">
        <v>28.55539251465564</v>
      </c>
      <c r="P332" t="n">
        <v>-1.493999843488969</v>
      </c>
      <c r="Q332" t="n">
        <v>30.50513908838113</v>
      </c>
    </row>
    <row r="333">
      <c r="A333" t="inlineStr">
        <is>
          <t>Kuwait</t>
        </is>
      </c>
      <c r="B333" t="inlineStr">
        <is>
          <t>KWT</t>
        </is>
      </c>
      <c r="C333" t="inlineStr">
        <is>
          <t>MKUW.L</t>
        </is>
      </c>
      <c r="D333" t="n">
        <v>2022</v>
      </c>
      <c r="E333" t="n">
        <v>5.65328770702791</v>
      </c>
      <c r="F333" t="n">
        <v>6.759</v>
      </c>
      <c r="G333" t="n">
        <v>25.584929</v>
      </c>
      <c r="H333" t="n">
        <v>23.723592</v>
      </c>
      <c r="I333" t="n">
        <v>18.07030429297209</v>
      </c>
      <c r="J333" t="inlineStr">
        <is>
          <t>Kuwait|MKUW.L|2022</t>
        </is>
      </c>
      <c r="K333" t="inlineStr">
        <is>
          <t>Kuwait|2022</t>
        </is>
      </c>
      <c r="L333" t="inlineStr">
        <is>
          <t>USD</t>
        </is>
      </c>
      <c r="M333" t="n">
        <v>5.65328770702791</v>
      </c>
      <c r="N333" t="n">
        <v>0</v>
      </c>
      <c r="O333" t="n">
        <v>5.65328770702791</v>
      </c>
      <c r="P333" t="n">
        <v>1.50443185267557</v>
      </c>
      <c r="Q333" t="n">
        <v>4.087364244719893</v>
      </c>
    </row>
    <row r="334">
      <c r="A334" t="inlineStr">
        <is>
          <t>Kuwait</t>
        </is>
      </c>
      <c r="B334" t="inlineStr">
        <is>
          <t>KWT</t>
        </is>
      </c>
      <c r="C334" t="inlineStr">
        <is>
          <t>MKUW.L</t>
        </is>
      </c>
      <c r="D334" t="n">
        <v>2023</v>
      </c>
      <c r="E334" t="n">
        <v>-7.149172592324704</v>
      </c>
      <c r="F334" t="n">
        <v>-1.667</v>
      </c>
      <c r="G334" t="n">
        <v>-9.598205999999999</v>
      </c>
      <c r="H334" t="n">
        <v>-9.885092999999999</v>
      </c>
      <c r="I334" t="n">
        <v>-2.735920407675295</v>
      </c>
      <c r="J334" t="inlineStr">
        <is>
          <t>Kuwait|MKUW.L|2023</t>
        </is>
      </c>
      <c r="K334" t="inlineStr">
        <is>
          <t>Kuwait|2023</t>
        </is>
      </c>
      <c r="L334" t="inlineStr">
        <is>
          <t>USD</t>
        </is>
      </c>
      <c r="M334" t="n">
        <v>-7.149172592324704</v>
      </c>
      <c r="N334" t="n">
        <v>0</v>
      </c>
      <c r="O334" t="n">
        <v>-7.149172592324704</v>
      </c>
      <c r="P334" t="n">
        <v>0.3183559833421556</v>
      </c>
      <c r="Q334" t="n">
        <v>-7.443830695258646</v>
      </c>
    </row>
    <row r="335">
      <c r="A335" t="inlineStr">
        <is>
          <t>Kuwait</t>
        </is>
      </c>
      <c r="B335" t="inlineStr">
        <is>
          <t>KWT</t>
        </is>
      </c>
      <c r="C335" t="inlineStr">
        <is>
          <t>MKUW.L</t>
        </is>
      </c>
      <c r="D335" t="n">
        <v>2024</v>
      </c>
      <c r="E335" t="n">
        <v>8.024869943864266</v>
      </c>
      <c r="F335" t="n">
        <v>-2.56</v>
      </c>
      <c r="G335" t="n">
        <v>-3.275333</v>
      </c>
      <c r="H335" t="n">
        <v>-3.125831</v>
      </c>
      <c r="I335" t="n">
        <v>-11.15070094386427</v>
      </c>
      <c r="J335" t="inlineStr">
        <is>
          <t>Kuwait|MKUW.L|2024</t>
        </is>
      </c>
      <c r="K335" t="inlineStr">
        <is>
          <t>Kuwait|2024</t>
        </is>
      </c>
      <c r="L335" t="inlineStr">
        <is>
          <t>USD</t>
        </is>
      </c>
      <c r="M335" t="n">
        <v>8.024869943864266</v>
      </c>
      <c r="N335" t="n">
        <v>0</v>
      </c>
      <c r="O335" t="n">
        <v>8.024869943864266</v>
      </c>
      <c r="P335" t="n">
        <v>-0.1543252601963752</v>
      </c>
      <c r="Q335" t="n">
        <v>8.191837278255164</v>
      </c>
    </row>
    <row r="336">
      <c r="A336" t="inlineStr">
        <is>
          <t>Kuwait</t>
        </is>
      </c>
      <c r="B336" t="inlineStr">
        <is>
          <t>KWT</t>
        </is>
      </c>
      <c r="C336" t="inlineStr">
        <is>
          <t>MKUW.L</t>
        </is>
      </c>
      <c r="D336" t="n">
        <v>2025</v>
      </c>
      <c r="E336" t="n">
        <v>25.67082787963788</v>
      </c>
      <c r="F336" t="n">
        <v>2.574</v>
      </c>
      <c r="G336" t="n">
        <v>-1.719577</v>
      </c>
      <c r="H336" t="n">
        <v>-1.720695</v>
      </c>
      <c r="I336" t="n">
        <v>-27.39152287963788</v>
      </c>
      <c r="J336" t="inlineStr">
        <is>
          <t>Kuwait|MKUW.L|2025</t>
        </is>
      </c>
      <c r="K336" t="inlineStr">
        <is>
          <t>Kuwait|2025</t>
        </is>
      </c>
      <c r="L336" t="inlineStr">
        <is>
          <t>USD</t>
        </is>
      </c>
      <c r="M336" t="n">
        <v>25.67082787963788</v>
      </c>
      <c r="N336" t="n">
        <v>0</v>
      </c>
      <c r="O336" t="n">
        <v>25.67082787963788</v>
      </c>
      <c r="P336" t="n">
        <v>0.001137370079828948</v>
      </c>
      <c r="Q336" t="n">
        <v>25.66939855349924</v>
      </c>
    </row>
    <row r="337">
      <c r="A337" t="inlineStr">
        <is>
          <t>Kuwait</t>
        </is>
      </c>
      <c r="B337" t="inlineStr">
        <is>
          <t>KWT</t>
        </is>
      </c>
      <c r="C337" t="inlineStr">
        <is>
          <t>MKUW.L</t>
        </is>
      </c>
      <c r="D337" t="n">
        <v>2026</v>
      </c>
      <c r="E337" t="n">
        <v>-3.695711184072747</v>
      </c>
      <c r="F337" t="n">
        <v>3.927</v>
      </c>
      <c r="G337" t="n">
        <v>3.445491</v>
      </c>
      <c r="H337" t="n">
        <v>3.445758</v>
      </c>
      <c r="I337" t="n">
        <v>7.141469184072747</v>
      </c>
      <c r="J337" t="inlineStr">
        <is>
          <t>Kuwait|MKUW.L|2026</t>
        </is>
      </c>
      <c r="K337" t="inlineStr">
        <is>
          <t>Kuwait|2026</t>
        </is>
      </c>
      <c r="L337" t="inlineStr">
        <is>
          <t>USD</t>
        </is>
      </c>
      <c r="M337" t="n">
        <v>-3.695711184072747</v>
      </c>
      <c r="N337" t="n">
        <v>0</v>
      </c>
      <c r="O337" t="n">
        <v>-3.695711184072747</v>
      </c>
      <c r="P337" t="n">
        <v>-0.0002574547335876254</v>
      </c>
      <c r="Q337" t="n">
        <v>-3.695463243484209</v>
      </c>
    </row>
    <row r="338">
      <c r="A338" t="inlineStr">
        <is>
          <t>Malaysia</t>
        </is>
      </c>
      <c r="B338" t="inlineStr">
        <is>
          <t>MYS</t>
        </is>
      </c>
      <c r="C338" t="inlineStr">
        <is>
          <t>EWM</t>
        </is>
      </c>
      <c r="D338" t="n">
        <v>2015</v>
      </c>
      <c r="E338" t="n">
        <v>-41.23007041548773</v>
      </c>
      <c r="F338" t="n">
        <v>5.007</v>
      </c>
      <c r="G338" t="inlineStr"/>
      <c r="H338" t="inlineStr"/>
      <c r="I338" t="inlineStr"/>
      <c r="J338" t="inlineStr">
        <is>
          <t>Malaysia|EWM|2015</t>
        </is>
      </c>
      <c r="K338" t="inlineStr">
        <is>
          <t>Malaysia|2015</t>
        </is>
      </c>
      <c r="L338" t="inlineStr">
        <is>
          <t>USD</t>
        </is>
      </c>
      <c r="M338" t="n">
        <v>-41.23007041548773</v>
      </c>
      <c r="N338" t="n">
        <v>0</v>
      </c>
      <c r="O338" t="n">
        <v>-41.23007041548773</v>
      </c>
      <c r="P338" t="inlineStr"/>
      <c r="Q338" t="inlineStr"/>
    </row>
    <row r="339">
      <c r="A339" t="inlineStr">
        <is>
          <t>Malaysia</t>
        </is>
      </c>
      <c r="B339" t="inlineStr">
        <is>
          <t>MYS</t>
        </is>
      </c>
      <c r="C339" t="inlineStr">
        <is>
          <t>EWM</t>
        </is>
      </c>
      <c r="D339" t="n">
        <v>2016</v>
      </c>
      <c r="E339" t="n">
        <v>-6.308409370506174</v>
      </c>
      <c r="F339" t="n">
        <v>4.45</v>
      </c>
      <c r="G339" t="n">
        <v>6.181873</v>
      </c>
      <c r="H339" t="n">
        <v>-0.032852</v>
      </c>
      <c r="I339" t="n">
        <v>6.275557370506174</v>
      </c>
      <c r="J339" t="inlineStr">
        <is>
          <t>Malaysia|EWM|2016</t>
        </is>
      </c>
      <c r="K339" t="inlineStr">
        <is>
          <t>Malaysia|2016</t>
        </is>
      </c>
      <c r="L339" t="inlineStr">
        <is>
          <t>USD</t>
        </is>
      </c>
      <c r="M339" t="n">
        <v>-6.308409370506174</v>
      </c>
      <c r="N339" t="n">
        <v>0</v>
      </c>
      <c r="O339" t="n">
        <v>-6.308409370506174</v>
      </c>
      <c r="P339" t="n">
        <v>6.216767106909526</v>
      </c>
      <c r="Q339" t="n">
        <v>-11.79208972234001</v>
      </c>
    </row>
    <row r="340">
      <c r="A340" t="inlineStr">
        <is>
          <t>Malaysia</t>
        </is>
      </c>
      <c r="B340" t="inlineStr">
        <is>
          <t>MYS</t>
        </is>
      </c>
      <c r="C340" t="inlineStr">
        <is>
          <t>EWM</t>
        </is>
      </c>
      <c r="D340" t="n">
        <v>2017</v>
      </c>
      <c r="E340" t="n">
        <v>17.37273421718244</v>
      </c>
      <c r="F340" t="n">
        <v>5.813</v>
      </c>
      <c r="G340" t="n">
        <v>9.81133</v>
      </c>
      <c r="H340" t="n">
        <v>5.926189</v>
      </c>
      <c r="I340" t="n">
        <v>-11.44654521718244</v>
      </c>
      <c r="J340" t="inlineStr">
        <is>
          <t>Malaysia|EWM|2017</t>
        </is>
      </c>
      <c r="K340" t="inlineStr">
        <is>
          <t>Malaysia|2017</t>
        </is>
      </c>
      <c r="L340" t="inlineStr">
        <is>
          <t>USD</t>
        </is>
      </c>
      <c r="M340" t="n">
        <v>17.37273421718244</v>
      </c>
      <c r="N340" t="n">
        <v>0</v>
      </c>
      <c r="O340" t="n">
        <v>17.37273421718244</v>
      </c>
      <c r="P340" t="n">
        <v>3.667781717948859</v>
      </c>
      <c r="Q340" t="n">
        <v>13.22006921737839</v>
      </c>
    </row>
    <row r="341">
      <c r="A341" t="inlineStr">
        <is>
          <t>Malaysia</t>
        </is>
      </c>
      <c r="B341" t="inlineStr">
        <is>
          <t>MYS</t>
        </is>
      </c>
      <c r="C341" t="inlineStr">
        <is>
          <t>EWM</t>
        </is>
      </c>
      <c r="D341" t="n">
        <v>2018</v>
      </c>
      <c r="E341" t="n">
        <v>-10.49307889324226</v>
      </c>
      <c r="F341" t="n">
        <v>4.843</v>
      </c>
      <c r="G341" t="n">
        <v>5.498029</v>
      </c>
      <c r="H341" t="n">
        <v>12.432742</v>
      </c>
      <c r="I341" t="n">
        <v>22.92582089324226</v>
      </c>
      <c r="J341" t="inlineStr">
        <is>
          <t>Malaysia|EWM|2018</t>
        </is>
      </c>
      <c r="K341" t="inlineStr">
        <is>
          <t>Malaysia|2018</t>
        </is>
      </c>
      <c r="L341" t="inlineStr">
        <is>
          <t>USD</t>
        </is>
      </c>
      <c r="M341" t="n">
        <v>-10.49307889324226</v>
      </c>
      <c r="N341" t="n">
        <v>0</v>
      </c>
      <c r="O341" t="n">
        <v>-10.49307889324226</v>
      </c>
      <c r="P341" t="n">
        <v>-6.167877254483145</v>
      </c>
      <c r="Q341" t="n">
        <v>-4.609510594244515</v>
      </c>
    </row>
    <row r="342">
      <c r="A342" t="inlineStr">
        <is>
          <t>Malaysia</t>
        </is>
      </c>
      <c r="B342" t="inlineStr">
        <is>
          <t>MYS</t>
        </is>
      </c>
      <c r="C342" t="inlineStr">
        <is>
          <t>EWM</t>
        </is>
      </c>
      <c r="D342" t="n">
        <v>2019</v>
      </c>
      <c r="E342" t="n">
        <v>-4.006735701981978</v>
      </c>
      <c r="F342" t="n">
        <v>4.413</v>
      </c>
      <c r="G342" t="n">
        <v>4.488175</v>
      </c>
      <c r="H342" t="n">
        <v>1.782414</v>
      </c>
      <c r="I342" t="n">
        <v>5.789149701981978</v>
      </c>
      <c r="J342" t="inlineStr">
        <is>
          <t>Malaysia|EWM|2019</t>
        </is>
      </c>
      <c r="K342" t="inlineStr">
        <is>
          <t>Malaysia|2019</t>
        </is>
      </c>
      <c r="L342" t="inlineStr">
        <is>
          <t>USD</t>
        </is>
      </c>
      <c r="M342" t="n">
        <v>-4.006735701981978</v>
      </c>
      <c r="N342" t="n">
        <v>0</v>
      </c>
      <c r="O342" t="n">
        <v>-4.006735701981978</v>
      </c>
      <c r="P342" t="n">
        <v>2.658377098412235</v>
      </c>
      <c r="Q342" t="n">
        <v>-6.492517209778981</v>
      </c>
    </row>
    <row r="343">
      <c r="A343" t="inlineStr">
        <is>
          <t>Malaysia</t>
        </is>
      </c>
      <c r="B343" t="inlineStr">
        <is>
          <t>MYS</t>
        </is>
      </c>
      <c r="C343" t="inlineStr">
        <is>
          <t>EWM</t>
        </is>
      </c>
      <c r="D343" t="n">
        <v>2020</v>
      </c>
      <c r="E343" t="n">
        <v>-0.3804932927435112</v>
      </c>
      <c r="F343" t="n">
        <v>-5.457</v>
      </c>
      <c r="G343" t="n">
        <v>-6.230226</v>
      </c>
      <c r="H343" t="n">
        <v>-7.591366</v>
      </c>
      <c r="I343" t="n">
        <v>-7.210872707256488</v>
      </c>
      <c r="J343" t="inlineStr">
        <is>
          <t>Malaysia|EWM|2020</t>
        </is>
      </c>
      <c r="K343" t="inlineStr">
        <is>
          <t>Malaysia|2020</t>
        </is>
      </c>
      <c r="L343" t="inlineStr">
        <is>
          <t>USD</t>
        </is>
      </c>
      <c r="M343" t="n">
        <v>-0.3804932927435112</v>
      </c>
      <c r="N343" t="n">
        <v>0</v>
      </c>
      <c r="O343" t="n">
        <v>-0.3804932927435112</v>
      </c>
      <c r="P343" t="n">
        <v>1.472957771521788</v>
      </c>
      <c r="Q343" t="n">
        <v>-1.826546801206441</v>
      </c>
    </row>
    <row r="344">
      <c r="A344" t="inlineStr">
        <is>
          <t>Malaysia</t>
        </is>
      </c>
      <c r="B344" t="inlineStr">
        <is>
          <t>MYS</t>
        </is>
      </c>
      <c r="C344" t="inlineStr">
        <is>
          <t>EWM</t>
        </is>
      </c>
      <c r="D344" t="n">
        <v>2021</v>
      </c>
      <c r="E344" t="n">
        <v>-11.89721639887474</v>
      </c>
      <c r="F344" t="n">
        <v>3.315</v>
      </c>
      <c r="G344" t="n">
        <v>9.179473</v>
      </c>
      <c r="H344" t="n">
        <v>10.765552</v>
      </c>
      <c r="I344" t="n">
        <v>22.66276839887474</v>
      </c>
      <c r="J344" t="inlineStr">
        <is>
          <t>Malaysia|EWM|2021</t>
        </is>
      </c>
      <c r="K344" t="inlineStr">
        <is>
          <t>Malaysia|2021</t>
        </is>
      </c>
      <c r="L344" t="inlineStr">
        <is>
          <t>USD</t>
        </is>
      </c>
      <c r="M344" t="n">
        <v>-11.89721639887474</v>
      </c>
      <c r="N344" t="n">
        <v>0</v>
      </c>
      <c r="O344" t="n">
        <v>-11.89721639887474</v>
      </c>
      <c r="P344" t="n">
        <v>-1.431924020805164</v>
      </c>
      <c r="Q344" t="n">
        <v>-10.61732439646943</v>
      </c>
    </row>
    <row r="345">
      <c r="A345" t="inlineStr">
        <is>
          <t>Malaysia</t>
        </is>
      </c>
      <c r="B345" t="inlineStr">
        <is>
          <t>MYS</t>
        </is>
      </c>
      <c r="C345" t="inlineStr">
        <is>
          <t>EWM</t>
        </is>
      </c>
      <c r="D345" t="n">
        <v>2022</v>
      </c>
      <c r="E345" t="n">
        <v>-8.493585775824785</v>
      </c>
      <c r="F345" t="n">
        <v>9.032</v>
      </c>
      <c r="G345" t="n">
        <v>15.896677</v>
      </c>
      <c r="H345" t="n">
        <v>9.108177</v>
      </c>
      <c r="I345" t="n">
        <v>17.60176277582478</v>
      </c>
      <c r="J345" t="inlineStr">
        <is>
          <t>Malaysia|EWM|2022</t>
        </is>
      </c>
      <c r="K345" t="inlineStr">
        <is>
          <t>Malaysia|2022</t>
        </is>
      </c>
      <c r="L345" t="inlineStr">
        <is>
          <t>USD</t>
        </is>
      </c>
      <c r="M345" t="n">
        <v>-8.493585775824785</v>
      </c>
      <c r="N345" t="n">
        <v>0</v>
      </c>
      <c r="O345" t="n">
        <v>-8.493585775824785</v>
      </c>
      <c r="P345" t="n">
        <v>6.221806922132567</v>
      </c>
      <c r="Q345" t="n">
        <v>-13.85345733079525</v>
      </c>
    </row>
    <row r="346">
      <c r="A346" t="inlineStr">
        <is>
          <t>Malaysia</t>
        </is>
      </c>
      <c r="B346" t="inlineStr">
        <is>
          <t>MYS</t>
        </is>
      </c>
      <c r="C346" t="inlineStr">
        <is>
          <t>EWM</t>
        </is>
      </c>
      <c r="D346" t="n">
        <v>2023</v>
      </c>
      <c r="E346" t="n">
        <v>-5.890167972541594</v>
      </c>
      <c r="F346" t="n">
        <v>3.537</v>
      </c>
      <c r="G346" t="n">
        <v>1.622715</v>
      </c>
      <c r="H346" t="n">
        <v>-1.932423</v>
      </c>
      <c r="I346" t="n">
        <v>3.957744972541594</v>
      </c>
      <c r="J346" t="inlineStr">
        <is>
          <t>Malaysia|EWM|2023</t>
        </is>
      </c>
      <c r="K346" t="inlineStr">
        <is>
          <t>Malaysia|2023</t>
        </is>
      </c>
      <c r="L346" t="inlineStr">
        <is>
          <t>USD</t>
        </is>
      </c>
      <c r="M346" t="n">
        <v>-5.890167972541594</v>
      </c>
      <c r="N346" t="n">
        <v>0</v>
      </c>
      <c r="O346" t="n">
        <v>-5.890167972541594</v>
      </c>
      <c r="P346" t="n">
        <v>3.625191974837283</v>
      </c>
      <c r="Q346" t="n">
        <v>-9.182477509609278</v>
      </c>
    </row>
    <row r="347">
      <c r="A347" t="inlineStr">
        <is>
          <t>Malaysia</t>
        </is>
      </c>
      <c r="B347" t="inlineStr">
        <is>
          <t>MYS</t>
        </is>
      </c>
      <c r="C347" t="inlineStr">
        <is>
          <t>EWM</t>
        </is>
      </c>
      <c r="D347" t="n">
        <v>2024</v>
      </c>
      <c r="E347" t="n">
        <v>16.42145724696535</v>
      </c>
      <c r="F347" t="n">
        <v>5.105</v>
      </c>
      <c r="G347" t="n">
        <v>5.935903</v>
      </c>
      <c r="H347" t="n">
        <v>5.57021</v>
      </c>
      <c r="I347" t="n">
        <v>-10.85124724696535</v>
      </c>
      <c r="J347" t="inlineStr">
        <is>
          <t>Malaysia|EWM|2024</t>
        </is>
      </c>
      <c r="K347" t="inlineStr">
        <is>
          <t>Malaysia|2024</t>
        </is>
      </c>
      <c r="L347" t="inlineStr">
        <is>
          <t>USD</t>
        </is>
      </c>
      <c r="M347" t="n">
        <v>16.42145724696535</v>
      </c>
      <c r="N347" t="n">
        <v>0</v>
      </c>
      <c r="O347" t="n">
        <v>16.42145724696535</v>
      </c>
      <c r="P347" t="n">
        <v>0.3463977929542894</v>
      </c>
      <c r="Q347" t="n">
        <v>16.01956802393534</v>
      </c>
    </row>
    <row r="348">
      <c r="A348" t="inlineStr">
        <is>
          <t>Malaysia</t>
        </is>
      </c>
      <c r="B348" t="inlineStr">
        <is>
          <t>MYS</t>
        </is>
      </c>
      <c r="C348" t="inlineStr">
        <is>
          <t>EWM</t>
        </is>
      </c>
      <c r="D348" t="n">
        <v>2025</v>
      </c>
      <c r="E348" t="n">
        <v>12.45376365041915</v>
      </c>
      <c r="F348" t="n">
        <v>4.5</v>
      </c>
      <c r="G348" t="n">
        <v>5.607851</v>
      </c>
      <c r="H348" t="n">
        <v>11.450002</v>
      </c>
      <c r="I348" t="n">
        <v>-1.003761650419149</v>
      </c>
      <c r="J348" t="inlineStr">
        <is>
          <t>Malaysia|EWM|2025</t>
        </is>
      </c>
      <c r="K348" t="inlineStr">
        <is>
          <t>Malaysia|2025</t>
        </is>
      </c>
      <c r="L348" t="inlineStr">
        <is>
          <t>USD</t>
        </is>
      </c>
      <c r="M348" t="n">
        <v>12.45376365041915</v>
      </c>
      <c r="N348" t="n">
        <v>0</v>
      </c>
      <c r="O348" t="n">
        <v>12.45376365041915</v>
      </c>
      <c r="P348" t="n">
        <v>-5.241947883552878</v>
      </c>
      <c r="Q348" t="n">
        <v>18.67462567954221</v>
      </c>
    </row>
    <row r="349">
      <c r="A349" t="inlineStr">
        <is>
          <t>Malaysia</t>
        </is>
      </c>
      <c r="B349" t="inlineStr">
        <is>
          <t>MYS</t>
        </is>
      </c>
      <c r="C349" t="inlineStr">
        <is>
          <t>EWM</t>
        </is>
      </c>
      <c r="D349" t="n">
        <v>2026</v>
      </c>
      <c r="E349" t="n">
        <v>4.084612823184131</v>
      </c>
      <c r="F349" t="n">
        <v>4</v>
      </c>
      <c r="G349" t="n">
        <v>5.973192</v>
      </c>
      <c r="H349" t="n">
        <v>7.393555</v>
      </c>
      <c r="I349" t="n">
        <v>3.30894217681587</v>
      </c>
      <c r="J349" t="inlineStr">
        <is>
          <t>Malaysia|EWM|2026</t>
        </is>
      </c>
      <c r="K349" t="inlineStr">
        <is>
          <t>Malaysia|2026</t>
        </is>
      </c>
      <c r="L349" t="inlineStr">
        <is>
          <t>USD</t>
        </is>
      </c>
      <c r="M349" t="n">
        <v>4.084612823184131</v>
      </c>
      <c r="N349" t="n">
        <v>0</v>
      </c>
      <c r="O349" t="n">
        <v>4.084612823184131</v>
      </c>
      <c r="P349" t="n">
        <v>-1.322577680148807</v>
      </c>
      <c r="Q349" t="n">
        <v>5.479663307181015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XCX3.L</t>
        </is>
      </c>
      <c r="D350" t="n">
        <v>2015</v>
      </c>
      <c r="E350" t="n">
        <v>-16.44470179502026</v>
      </c>
      <c r="F350" t="n">
        <v>5.007</v>
      </c>
      <c r="G350" t="inlineStr"/>
      <c r="H350" t="inlineStr"/>
      <c r="I350" t="inlineStr"/>
      <c r="J350" t="inlineStr">
        <is>
          <t>Malaysia|XCX3.L|2015</t>
        </is>
      </c>
      <c r="K350" t="inlineStr">
        <is>
          <t>Malaysia|2015</t>
        </is>
      </c>
      <c r="L350" t="inlineStr">
        <is>
          <t>GBp</t>
        </is>
      </c>
      <c r="M350" t="n">
        <v>-16.44470179502026</v>
      </c>
      <c r="N350" t="n">
        <v>-4.888855870697362</v>
      </c>
      <c r="O350" t="n">
        <v>-20.52959989659311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XCX3.L</t>
        </is>
      </c>
      <c r="D351" t="n">
        <v>2016</v>
      </c>
      <c r="E351" t="n">
        <v>18.38652482269503</v>
      </c>
      <c r="F351" t="n">
        <v>4.45</v>
      </c>
      <c r="G351" t="n">
        <v>6.181873</v>
      </c>
      <c r="H351" t="n">
        <v>-0.032852</v>
      </c>
      <c r="I351" t="n">
        <v>1.263221828109334</v>
      </c>
      <c r="J351" t="inlineStr">
        <is>
          <t>Malaysia|XCX3.L|2016</t>
        </is>
      </c>
      <c r="K351" t="inlineStr">
        <is>
          <t>Malaysia|2016</t>
        </is>
      </c>
      <c r="L351" t="inlineStr">
        <is>
          <t>GBp</t>
        </is>
      </c>
      <c r="M351" t="n">
        <v>18.38652482269503</v>
      </c>
      <c r="N351" t="n">
        <v>-16.62570861023462</v>
      </c>
      <c r="O351" t="n">
        <v>-1.296073828109334</v>
      </c>
      <c r="P351" t="n">
        <v>6.216767106909526</v>
      </c>
      <c r="Q351" t="n">
        <v>-7.073121447442487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XCX3.L</t>
        </is>
      </c>
      <c r="D352" t="n">
        <v>2017</v>
      </c>
      <c r="E352" t="n">
        <v>10.07011785767567</v>
      </c>
      <c r="F352" t="n">
        <v>5.813</v>
      </c>
      <c r="G352" t="n">
        <v>9.81133</v>
      </c>
      <c r="H352" t="n">
        <v>5.926189</v>
      </c>
      <c r="I352" t="n">
        <v>-13.87565512831125</v>
      </c>
      <c r="J352" t="inlineStr">
        <is>
          <t>Malaysia|XCX3.L|2017</t>
        </is>
      </c>
      <c r="K352" t="inlineStr">
        <is>
          <t>Malaysia|2017</t>
        </is>
      </c>
      <c r="L352" t="inlineStr">
        <is>
          <t>GBp</t>
        </is>
      </c>
      <c r="M352" t="n">
        <v>10.07011785767567</v>
      </c>
      <c r="N352" t="n">
        <v>8.841388071573641</v>
      </c>
      <c r="O352" t="n">
        <v>19.80184412831125</v>
      </c>
      <c r="P352" t="n">
        <v>3.667781717948859</v>
      </c>
      <c r="Q352" t="n">
        <v>15.56323685429932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XCX3.L</t>
        </is>
      </c>
      <c r="D353" t="n">
        <v>2018</v>
      </c>
      <c r="E353" t="n">
        <v>2.100840336134446</v>
      </c>
      <c r="F353" t="n">
        <v>4.843</v>
      </c>
      <c r="G353" t="n">
        <v>5.498029</v>
      </c>
      <c r="H353" t="n">
        <v>12.432742</v>
      </c>
      <c r="I353" t="n">
        <v>16.54504841423335</v>
      </c>
      <c r="J353" t="inlineStr">
        <is>
          <t>Malaysia|XCX3.L|2018</t>
        </is>
      </c>
      <c r="K353" t="inlineStr">
        <is>
          <t>Malaysia|2018</t>
        </is>
      </c>
      <c r="L353" t="inlineStr">
        <is>
          <t>GBp</t>
        </is>
      </c>
      <c r="M353" t="n">
        <v>2.100840336134446</v>
      </c>
      <c r="N353" t="n">
        <v>-6.085304224640065</v>
      </c>
      <c r="O353" t="n">
        <v>-4.112306414233347</v>
      </c>
      <c r="P353" t="n">
        <v>-6.167877254483145</v>
      </c>
      <c r="Q353" t="n">
        <v>2.190689904591347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XCX3.L</t>
        </is>
      </c>
      <c r="D354" t="n">
        <v>2019</v>
      </c>
      <c r="E354" t="n">
        <v>-6.105762890676503</v>
      </c>
      <c r="F354" t="n">
        <v>4.413</v>
      </c>
      <c r="G354" t="n">
        <v>4.488175</v>
      </c>
      <c r="H354" t="n">
        <v>1.782414</v>
      </c>
      <c r="I354" t="n">
        <v>5.124057970379371</v>
      </c>
      <c r="J354" t="inlineStr">
        <is>
          <t>Malaysia|XCX3.L|2019</t>
        </is>
      </c>
      <c r="K354" t="inlineStr">
        <is>
          <t>Malaysia|2019</t>
        </is>
      </c>
      <c r="L354" t="inlineStr">
        <is>
          <t>GBp</t>
        </is>
      </c>
      <c r="M354" t="n">
        <v>-6.105762890676503</v>
      </c>
      <c r="N354" t="n">
        <v>2.94386429390634</v>
      </c>
      <c r="O354" t="n">
        <v>-3.341643970379371</v>
      </c>
      <c r="P354" t="n">
        <v>2.658377098412235</v>
      </c>
      <c r="Q354" t="n">
        <v>-5.844648277499809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XCX3.L</t>
        </is>
      </c>
      <c r="D355" t="n">
        <v>2020</v>
      </c>
      <c r="E355" t="n">
        <v>-1.636615811373088</v>
      </c>
      <c r="F355" t="n">
        <v>-5.457</v>
      </c>
      <c r="G355" t="n">
        <v>-6.230226</v>
      </c>
      <c r="H355" t="n">
        <v>-7.591366</v>
      </c>
      <c r="I355" t="n">
        <v>-8.684529215749393</v>
      </c>
      <c r="J355" t="inlineStr">
        <is>
          <t>Malaysia|XCX3.L|2020</t>
        </is>
      </c>
      <c r="K355" t="inlineStr">
        <is>
          <t>Malaysia|2020</t>
        </is>
      </c>
      <c r="L355" t="inlineStr">
        <is>
          <t>GBp</t>
        </is>
      </c>
      <c r="M355" t="n">
        <v>-1.636615811373088</v>
      </c>
      <c r="N355" t="n">
        <v>2.775198362317122</v>
      </c>
      <c r="O355" t="n">
        <v>1.093163215749393</v>
      </c>
      <c r="P355" t="n">
        <v>1.472957771521788</v>
      </c>
      <c r="Q355" t="n">
        <v>-0.3742815466437288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XCX3.L</t>
        </is>
      </c>
      <c r="D356" t="n">
        <v>2021</v>
      </c>
      <c r="E356" t="n">
        <v>-5.977566377963949</v>
      </c>
      <c r="F356" t="n">
        <v>3.315</v>
      </c>
      <c r="G356" t="n">
        <v>9.179473</v>
      </c>
      <c r="H356" t="n">
        <v>10.765552</v>
      </c>
      <c r="I356" t="n">
        <v>17.94399218872935</v>
      </c>
      <c r="J356" t="inlineStr">
        <is>
          <t>Malaysia|XCX3.L|2021</t>
        </is>
      </c>
      <c r="K356" t="inlineStr">
        <is>
          <t>Malaysia|2021</t>
        </is>
      </c>
      <c r="L356" t="inlineStr">
        <is>
          <t>GBp</t>
        </is>
      </c>
      <c r="M356" t="n">
        <v>-5.977566377963949</v>
      </c>
      <c r="N356" t="n">
        <v>-1.277220514832489</v>
      </c>
      <c r="O356" t="n">
        <v>-7.178440188729351</v>
      </c>
      <c r="P356" t="n">
        <v>-1.431924020805164</v>
      </c>
      <c r="Q356" t="n">
        <v>-5.829997299670464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XCX3.L</t>
        </is>
      </c>
      <c r="D357" t="n">
        <v>2022</v>
      </c>
      <c r="E357" t="n">
        <v>7.51303281202087</v>
      </c>
      <c r="F357" t="n">
        <v>9.032</v>
      </c>
      <c r="G357" t="n">
        <v>15.896677</v>
      </c>
      <c r="H357" t="n">
        <v>9.108177</v>
      </c>
      <c r="I357" t="n">
        <v>13.25068258637467</v>
      </c>
      <c r="J357" t="inlineStr">
        <is>
          <t>Malaysia|XCX3.L|2022</t>
        </is>
      </c>
      <c r="K357" t="inlineStr">
        <is>
          <t>Malaysia|2022</t>
        </is>
      </c>
      <c r="L357" t="inlineStr">
        <is>
          <t>GBp</t>
        </is>
      </c>
      <c r="M357" t="n">
        <v>7.51303281202087</v>
      </c>
      <c r="N357" t="n">
        <v>-10.84104698150823</v>
      </c>
      <c r="O357" t="n">
        <v>-4.142505586374668</v>
      </c>
      <c r="P357" t="n">
        <v>6.221806922132567</v>
      </c>
      <c r="Q357" t="n">
        <v>-9.757236116407753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XCX3.L</t>
        </is>
      </c>
      <c r="D358" t="n">
        <v>2023</v>
      </c>
      <c r="E358" t="n">
        <v>-8.690630864732206</v>
      </c>
      <c r="F358" t="n">
        <v>3.537</v>
      </c>
      <c r="G358" t="n">
        <v>1.622715</v>
      </c>
      <c r="H358" t="n">
        <v>-1.932423</v>
      </c>
      <c r="I358" t="n">
        <v>2.135186486476287</v>
      </c>
      <c r="J358" t="inlineStr">
        <is>
          <t>Malaysia|XCX3.L|2023</t>
        </is>
      </c>
      <c r="K358" t="inlineStr">
        <is>
          <t>Malaysia|2023</t>
        </is>
      </c>
      <c r="L358" t="inlineStr">
        <is>
          <t>GBp</t>
        </is>
      </c>
      <c r="M358" t="n">
        <v>-8.690630864732206</v>
      </c>
      <c r="N358" t="n">
        <v>5.06303068571996</v>
      </c>
      <c r="O358" t="n">
        <v>-4.067609486476287</v>
      </c>
      <c r="P358" t="n">
        <v>3.625191974837283</v>
      </c>
      <c r="Q358" t="n">
        <v>-7.423678851356497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XCX3.L</t>
        </is>
      </c>
      <c r="D359" t="n">
        <v>2024</v>
      </c>
      <c r="E359" t="n">
        <v>21.8267716535433</v>
      </c>
      <c r="F359" t="n">
        <v>5.105</v>
      </c>
      <c r="G359" t="n">
        <v>5.935903</v>
      </c>
      <c r="H359" t="n">
        <v>5.57021</v>
      </c>
      <c r="I359" t="n">
        <v>-14.5253380221934</v>
      </c>
      <c r="J359" t="inlineStr">
        <is>
          <t>Malaysia|XCX3.L|2024</t>
        </is>
      </c>
      <c r="K359" t="inlineStr">
        <is>
          <t>Malaysia|2024</t>
        </is>
      </c>
      <c r="L359" t="inlineStr">
        <is>
          <t>GBp</t>
        </is>
      </c>
      <c r="M359" t="n">
        <v>21.8267716535433</v>
      </c>
      <c r="N359" t="n">
        <v>-1.421053523664917</v>
      </c>
      <c r="O359" t="n">
        <v>20.0955480221934</v>
      </c>
      <c r="P359" t="n">
        <v>0.3463977929542894</v>
      </c>
      <c r="Q359" t="n">
        <v>19.68097576356227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XCX3.L</t>
        </is>
      </c>
      <c r="D360" t="n">
        <v>2025</v>
      </c>
      <c r="E360" t="n">
        <v>6.998844227558743</v>
      </c>
      <c r="F360" t="n">
        <v>4.5</v>
      </c>
      <c r="G360" t="n">
        <v>5.607851</v>
      </c>
      <c r="H360" t="n">
        <v>11.450002</v>
      </c>
      <c r="I360" t="n">
        <v>-3.650719337422885</v>
      </c>
      <c r="J360" t="inlineStr">
        <is>
          <t>Malaysia|XCX3.L|2025</t>
        </is>
      </c>
      <c r="K360" t="inlineStr">
        <is>
          <t>Malaysia|2025</t>
        </is>
      </c>
      <c r="L360" t="inlineStr">
        <is>
          <t>GBp</t>
        </is>
      </c>
      <c r="M360" t="n">
        <v>6.998844227558743</v>
      </c>
      <c r="N360" t="n">
        <v>7.571929555270285</v>
      </c>
      <c r="O360" t="n">
        <v>15.10072133742288</v>
      </c>
      <c r="P360" t="n">
        <v>-5.241947883552878</v>
      </c>
      <c r="Q360" t="n">
        <v>21.46801117859292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XCX3.L</t>
        </is>
      </c>
      <c r="D361" t="n">
        <v>2026</v>
      </c>
      <c r="E361" t="n">
        <v>6.10079575596818</v>
      </c>
      <c r="F361" t="n">
        <v>4</v>
      </c>
      <c r="G361" t="n">
        <v>5.973192</v>
      </c>
      <c r="H361" t="n">
        <v>7.393555</v>
      </c>
      <c r="I361" t="n">
        <v>2.140804707555836</v>
      </c>
      <c r="J361" t="inlineStr">
        <is>
          <t>Malaysia|XCX3.L|2026</t>
        </is>
      </c>
      <c r="K361" t="inlineStr">
        <is>
          <t>Malaysia|2026</t>
        </is>
      </c>
      <c r="L361" t="inlineStr">
        <is>
          <t>GBp</t>
        </is>
      </c>
      <c r="M361" t="n">
        <v>6.10079575596818</v>
      </c>
      <c r="N361" t="n">
        <v>-0.7992828493713855</v>
      </c>
      <c r="O361" t="n">
        <v>5.252750292444164</v>
      </c>
      <c r="P361" t="n">
        <v>-1.322577680148807</v>
      </c>
      <c r="Q361" t="n">
        <v>6.66345737252827</v>
      </c>
    </row>
    <row r="362">
      <c r="A362" t="inlineStr">
        <is>
          <t>Mexico</t>
        </is>
      </c>
      <c r="B362" t="inlineStr">
        <is>
          <t>MEX</t>
        </is>
      </c>
      <c r="C362" t="inlineStr">
        <is>
          <t>EWW</t>
        </is>
      </c>
      <c r="D362" t="n">
        <v>2015</v>
      </c>
      <c r="E362" t="n">
        <v>-13.90808411974116</v>
      </c>
      <c r="F362" t="n">
        <v>2.702</v>
      </c>
      <c r="G362" t="inlineStr"/>
      <c r="H362" t="inlineStr"/>
      <c r="I362" t="inlineStr"/>
      <c r="J362" t="inlineStr">
        <is>
          <t>Mexico|EWW|2015</t>
        </is>
      </c>
      <c r="K362" t="inlineStr">
        <is>
          <t>Mexico|2015</t>
        </is>
      </c>
      <c r="L362" t="inlineStr">
        <is>
          <t>USD</t>
        </is>
      </c>
      <c r="M362" t="n">
        <v>-13.90808411974116</v>
      </c>
      <c r="N362" t="n">
        <v>0</v>
      </c>
      <c r="O362" t="n">
        <v>-13.90808411974116</v>
      </c>
      <c r="P362" t="inlineStr"/>
      <c r="Q362" t="inlineStr"/>
    </row>
    <row r="363">
      <c r="A363" t="inlineStr">
        <is>
          <t>Mexico</t>
        </is>
      </c>
      <c r="B363" t="inlineStr">
        <is>
          <t>MEX</t>
        </is>
      </c>
      <c r="C363" t="inlineStr">
        <is>
          <t>EWW</t>
        </is>
      </c>
      <c r="D363" t="n">
        <v>2016</v>
      </c>
      <c r="E363" t="n">
        <v>-10.39331262653142</v>
      </c>
      <c r="F363" t="n">
        <v>1.772</v>
      </c>
      <c r="G363" t="n">
        <v>7.957807</v>
      </c>
      <c r="H363" t="n">
        <v>-8.329473</v>
      </c>
      <c r="I363" t="n">
        <v>2.063839626531415</v>
      </c>
      <c r="J363" t="inlineStr">
        <is>
          <t>Mexico|EWW|2016</t>
        </is>
      </c>
      <c r="K363" t="inlineStr">
        <is>
          <t>Mexico|2016</t>
        </is>
      </c>
      <c r="L363" t="inlineStr">
        <is>
          <t>USD</t>
        </is>
      </c>
      <c r="M363" t="n">
        <v>-10.39331262653142</v>
      </c>
      <c r="N363" t="n">
        <v>0</v>
      </c>
      <c r="O363" t="n">
        <v>-10.39331262653142</v>
      </c>
      <c r="P363" t="n">
        <v>17.76719360204619</v>
      </c>
      <c r="Q363" t="n">
        <v>-23.91201264737306</v>
      </c>
    </row>
    <row r="364">
      <c r="A364" t="inlineStr">
        <is>
          <t>Mexico</t>
        </is>
      </c>
      <c r="B364" t="inlineStr">
        <is>
          <t>MEX</t>
        </is>
      </c>
      <c r="C364" t="inlineStr">
        <is>
          <t>EWW</t>
        </is>
      </c>
      <c r="D364" t="n">
        <v>2017</v>
      </c>
      <c r="E364" t="n">
        <v>12.97272452177049</v>
      </c>
      <c r="F364" t="n">
        <v>1.872</v>
      </c>
      <c r="G364" t="n">
        <v>8.562246999999999</v>
      </c>
      <c r="H364" t="n">
        <v>7.056795</v>
      </c>
      <c r="I364" t="n">
        <v>-5.915929521770495</v>
      </c>
      <c r="J364" t="inlineStr">
        <is>
          <t>Mexico|EWW|2017</t>
        </is>
      </c>
      <c r="K364" t="inlineStr">
        <is>
          <t>Mexico|2017</t>
        </is>
      </c>
      <c r="L364" t="inlineStr">
        <is>
          <t>USD</t>
        </is>
      </c>
      <c r="M364" t="n">
        <v>12.97272452177049</v>
      </c>
      <c r="N364" t="n">
        <v>0</v>
      </c>
      <c r="O364" t="n">
        <v>12.97272452177049</v>
      </c>
      <c r="P364" t="n">
        <v>1.406218487646393</v>
      </c>
      <c r="Q364" t="n">
        <v>11.40611118985091</v>
      </c>
    </row>
    <row r="365">
      <c r="A365" t="inlineStr">
        <is>
          <t>Mexico</t>
        </is>
      </c>
      <c r="B365" t="inlineStr">
        <is>
          <t>MEX</t>
        </is>
      </c>
      <c r="C365" t="inlineStr">
        <is>
          <t>EWW</t>
        </is>
      </c>
      <c r="D365" t="n">
        <v>2018</v>
      </c>
      <c r="E365" t="n">
        <v>-18.26121589497544</v>
      </c>
      <c r="F365" t="n">
        <v>1.972</v>
      </c>
      <c r="G365" t="n">
        <v>7.279219</v>
      </c>
      <c r="H365" t="n">
        <v>5.507503</v>
      </c>
      <c r="I365" t="n">
        <v>23.76871889497544</v>
      </c>
      <c r="J365" t="inlineStr">
        <is>
          <t>Mexico|EWW|2018</t>
        </is>
      </c>
      <c r="K365" t="inlineStr">
        <is>
          <t>Mexico|2018</t>
        </is>
      </c>
      <c r="L365" t="inlineStr">
        <is>
          <t>USD</t>
        </is>
      </c>
      <c r="M365" t="n">
        <v>-18.26121589497544</v>
      </c>
      <c r="N365" t="n">
        <v>0</v>
      </c>
      <c r="O365" t="n">
        <v>-18.26121589497544</v>
      </c>
      <c r="P365" t="n">
        <v>1.679231475886001</v>
      </c>
      <c r="Q365" t="n">
        <v>-19.61113108490642</v>
      </c>
    </row>
    <row r="366">
      <c r="A366" t="inlineStr">
        <is>
          <t>Mexico</t>
        </is>
      </c>
      <c r="B366" t="inlineStr">
        <is>
          <t>MEX</t>
        </is>
      </c>
      <c r="C366" t="inlineStr">
        <is>
          <t>EWW</t>
        </is>
      </c>
      <c r="D366" t="n">
        <v>2019</v>
      </c>
      <c r="E366" t="n">
        <v>6.403589565252532</v>
      </c>
      <c r="F366" t="n">
        <v>-0.393</v>
      </c>
      <c r="G366" t="n">
        <v>3.90936</v>
      </c>
      <c r="H366" t="n">
        <v>3.805301</v>
      </c>
      <c r="I366" t="n">
        <v>-2.598288565252532</v>
      </c>
      <c r="J366" t="inlineStr">
        <is>
          <t>Mexico|EWW|2019</t>
        </is>
      </c>
      <c r="K366" t="inlineStr">
        <is>
          <t>Mexico|2019</t>
        </is>
      </c>
      <c r="L366" t="inlineStr">
        <is>
          <t>USD</t>
        </is>
      </c>
      <c r="M366" t="n">
        <v>6.403589565252532</v>
      </c>
      <c r="N366" t="n">
        <v>0</v>
      </c>
      <c r="O366" t="n">
        <v>6.403589565252532</v>
      </c>
      <c r="P366" t="n">
        <v>0.1002438631682034</v>
      </c>
      <c r="Q366" t="n">
        <v>6.297033312626765</v>
      </c>
    </row>
    <row r="367">
      <c r="A367" t="inlineStr">
        <is>
          <t>Mexico</t>
        </is>
      </c>
      <c r="B367" t="inlineStr">
        <is>
          <t>MEX</t>
        </is>
      </c>
      <c r="C367" t="inlineStr">
        <is>
          <t>EWW</t>
        </is>
      </c>
      <c r="D367" t="n">
        <v>2020</v>
      </c>
      <c r="E367" t="n">
        <v>-7.068734893456064</v>
      </c>
      <c r="F367" t="n">
        <v>-8.353999999999999</v>
      </c>
      <c r="G367" t="n">
        <v>-4.120183</v>
      </c>
      <c r="H367" t="n">
        <v>-14.035746</v>
      </c>
      <c r="I367" t="n">
        <v>-6.967011106543936</v>
      </c>
      <c r="J367" t="inlineStr">
        <is>
          <t>Mexico|EWW|2020</t>
        </is>
      </c>
      <c r="K367" t="inlineStr">
        <is>
          <t>Mexico|2020</t>
        </is>
      </c>
      <c r="L367" t="inlineStr">
        <is>
          <t>USD</t>
        </is>
      </c>
      <c r="M367" t="n">
        <v>-7.068734893456064</v>
      </c>
      <c r="N367" t="n">
        <v>0</v>
      </c>
      <c r="O367" t="n">
        <v>-7.068734893456064</v>
      </c>
      <c r="P367" t="n">
        <v>11.5345185575102</v>
      </c>
      <c r="Q367" t="n">
        <v>-16.67936858612423</v>
      </c>
    </row>
    <row r="368">
      <c r="A368" t="inlineStr">
        <is>
          <t>Mexico</t>
        </is>
      </c>
      <c r="B368" t="inlineStr">
        <is>
          <t>MEX</t>
        </is>
      </c>
      <c r="C368" t="inlineStr">
        <is>
          <t>EWW</t>
        </is>
      </c>
      <c r="D368" t="n">
        <v>2021</v>
      </c>
      <c r="E368" t="n">
        <v>16.7782052523616</v>
      </c>
      <c r="F368" t="n">
        <v>6.048</v>
      </c>
      <c r="G368" t="n">
        <v>10.807909</v>
      </c>
      <c r="H368" t="n">
        <v>17.439132</v>
      </c>
      <c r="I368" t="n">
        <v>0.6609267476383991</v>
      </c>
      <c r="J368" t="inlineStr">
        <is>
          <t>Mexico|EWW|2021</t>
        </is>
      </c>
      <c r="K368" t="inlineStr">
        <is>
          <t>Mexico|2021</t>
        </is>
      </c>
      <c r="L368" t="inlineStr">
        <is>
          <t>USD</t>
        </is>
      </c>
      <c r="M368" t="n">
        <v>16.7782052523616</v>
      </c>
      <c r="N368" t="n">
        <v>0</v>
      </c>
      <c r="O368" t="n">
        <v>16.7782052523616</v>
      </c>
      <c r="P368" t="n">
        <v>-5.646518310005288</v>
      </c>
      <c r="Q368" t="n">
        <v>23.76671550504619</v>
      </c>
    </row>
    <row r="369">
      <c r="A369" t="inlineStr">
        <is>
          <t>Mexico</t>
        </is>
      </c>
      <c r="B369" t="inlineStr">
        <is>
          <t>MEX</t>
        </is>
      </c>
      <c r="C369" t="inlineStr">
        <is>
          <t>EWW</t>
        </is>
      </c>
      <c r="D369" t="n">
        <v>2022</v>
      </c>
      <c r="E369" t="n">
        <v>-1.923834671226343</v>
      </c>
      <c r="F369" t="n">
        <v>3.71</v>
      </c>
      <c r="G369" t="n">
        <v>10.623726</v>
      </c>
      <c r="H369" t="n">
        <v>11.42105</v>
      </c>
      <c r="I369" t="n">
        <v>13.34488467122634</v>
      </c>
      <c r="J369" t="inlineStr">
        <is>
          <t>Mexico|EWW|2022</t>
        </is>
      </c>
      <c r="K369" t="inlineStr">
        <is>
          <t>Mexico|2022</t>
        </is>
      </c>
      <c r="L369" t="inlineStr">
        <is>
          <t>USD</t>
        </is>
      </c>
      <c r="M369" t="n">
        <v>-1.923834671226343</v>
      </c>
      <c r="N369" t="n">
        <v>0</v>
      </c>
      <c r="O369" t="n">
        <v>-1.923834671226343</v>
      </c>
      <c r="P369" t="n">
        <v>-0.715595143423664</v>
      </c>
      <c r="Q369" t="n">
        <v>-1.216947948218117</v>
      </c>
    </row>
    <row r="370">
      <c r="A370" t="inlineStr">
        <is>
          <t>Mexico</t>
        </is>
      </c>
      <c r="B370" t="inlineStr">
        <is>
          <t>MEX</t>
        </is>
      </c>
      <c r="C370" t="inlineStr">
        <is>
          <t>EWW</t>
        </is>
      </c>
      <c r="D370" t="n">
        <v>2023</v>
      </c>
      <c r="E370" t="n">
        <v>34.78346894806881</v>
      </c>
      <c r="F370" t="n">
        <v>3.354</v>
      </c>
      <c r="G370" t="n">
        <v>8.163463</v>
      </c>
      <c r="H370" t="n">
        <v>22.590162</v>
      </c>
      <c r="I370" t="n">
        <v>-12.19330694806881</v>
      </c>
      <c r="J370" t="inlineStr">
        <is>
          <t>Mexico|EWW|2023</t>
        </is>
      </c>
      <c r="K370" t="inlineStr">
        <is>
          <t>Mexico|2023</t>
        </is>
      </c>
      <c r="L370" t="inlineStr">
        <is>
          <t>USD</t>
        </is>
      </c>
      <c r="M370" t="n">
        <v>34.78346894806881</v>
      </c>
      <c r="N370" t="n">
        <v>0</v>
      </c>
      <c r="O370" t="n">
        <v>34.78346894806881</v>
      </c>
      <c r="P370" t="n">
        <v>-11.76823588369271</v>
      </c>
      <c r="Q370" t="n">
        <v>52.76070959025252</v>
      </c>
    </row>
    <row r="371">
      <c r="A371" t="inlineStr">
        <is>
          <t>Mexico</t>
        </is>
      </c>
      <c r="B371" t="inlineStr">
        <is>
          <t>MEX</t>
        </is>
      </c>
      <c r="C371" t="inlineStr">
        <is>
          <t>EWW</t>
        </is>
      </c>
      <c r="D371" t="n">
        <v>2024</v>
      </c>
      <c r="E371" t="n">
        <v>-30.32737824246444</v>
      </c>
      <c r="F371" t="n">
        <v>1.427</v>
      </c>
      <c r="G371" t="n">
        <v>6.402517</v>
      </c>
      <c r="H371" t="n">
        <v>3.227905</v>
      </c>
      <c r="I371" t="n">
        <v>33.55528324246444</v>
      </c>
      <c r="J371" t="inlineStr">
        <is>
          <t>Mexico|EWW|2024</t>
        </is>
      </c>
      <c r="K371" t="inlineStr">
        <is>
          <t>Mexico|2024</t>
        </is>
      </c>
      <c r="L371" t="inlineStr">
        <is>
          <t>USD</t>
        </is>
      </c>
      <c r="M371" t="n">
        <v>-30.32737824246444</v>
      </c>
      <c r="N371" t="n">
        <v>0</v>
      </c>
      <c r="O371" t="n">
        <v>-30.32737824246444</v>
      </c>
      <c r="P371" t="n">
        <v>3.075343103110462</v>
      </c>
      <c r="Q371" t="n">
        <v>-32.40612191041732</v>
      </c>
    </row>
    <row r="372">
      <c r="A372" t="inlineStr">
        <is>
          <t>Mexico</t>
        </is>
      </c>
      <c r="B372" t="inlineStr">
        <is>
          <t>MEX</t>
        </is>
      </c>
      <c r="C372" t="inlineStr">
        <is>
          <t>EWW</t>
        </is>
      </c>
      <c r="D372" t="n">
        <v>2025</v>
      </c>
      <c r="E372" t="n">
        <v>45.28499592949748</v>
      </c>
      <c r="F372" t="n">
        <v>0.99</v>
      </c>
      <c r="G372" t="n">
        <v>6.194171</v>
      </c>
      <c r="H372" t="n">
        <v>0.343359</v>
      </c>
      <c r="I372" t="n">
        <v>-44.94163692949748</v>
      </c>
      <c r="J372" t="inlineStr">
        <is>
          <t>Mexico|EWW|2025</t>
        </is>
      </c>
      <c r="K372" t="inlineStr">
        <is>
          <t>Mexico|2025</t>
        </is>
      </c>
      <c r="L372" t="inlineStr">
        <is>
          <t>USD</t>
        </is>
      </c>
      <c r="M372" t="n">
        <v>45.28499592949748</v>
      </c>
      <c r="N372" t="n">
        <v>0</v>
      </c>
      <c r="O372" t="n">
        <v>45.28499592949748</v>
      </c>
      <c r="P372" t="n">
        <v>5.830791924120904</v>
      </c>
      <c r="Q372" t="n">
        <v>37.28045806712345</v>
      </c>
    </row>
    <row r="373">
      <c r="A373" t="inlineStr">
        <is>
          <t>Mexico</t>
        </is>
      </c>
      <c r="B373" t="inlineStr">
        <is>
          <t>MEX</t>
        </is>
      </c>
      <c r="C373" t="inlineStr">
        <is>
          <t>EWW</t>
        </is>
      </c>
      <c r="D373" t="n">
        <v>2026</v>
      </c>
      <c r="E373" t="n">
        <v>8.024685679037979</v>
      </c>
      <c r="F373" t="n">
        <v>1.544</v>
      </c>
      <c r="G373" t="n">
        <v>6.135736</v>
      </c>
      <c r="H373" t="n">
        <v>9.032876</v>
      </c>
      <c r="I373" t="n">
        <v>1.00819032096202</v>
      </c>
      <c r="J373" t="inlineStr">
        <is>
          <t>Mexico|EWW|2026</t>
        </is>
      </c>
      <c r="K373" t="inlineStr">
        <is>
          <t>Mexico|2026</t>
        </is>
      </c>
      <c r="L373" t="inlineStr">
        <is>
          <t>USD</t>
        </is>
      </c>
      <c r="M373" t="n">
        <v>8.024685679037979</v>
      </c>
      <c r="N373" t="n">
        <v>0</v>
      </c>
      <c r="O373" t="n">
        <v>8.024685679037979</v>
      </c>
      <c r="P373" t="n">
        <v>-2.657125369469626</v>
      </c>
      <c r="Q373" t="n">
        <v>10.97338771743792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XMEX.L</t>
        </is>
      </c>
      <c r="D374" t="n">
        <v>2015</v>
      </c>
      <c r="E374" t="n">
        <v>-9.970801137659679</v>
      </c>
      <c r="F374" t="n">
        <v>2.702</v>
      </c>
      <c r="G374" t="inlineStr"/>
      <c r="H374" t="inlineStr"/>
      <c r="I374" t="inlineStr"/>
      <c r="J374" t="inlineStr">
        <is>
          <t>Mexico|XMEX.L|2015</t>
        </is>
      </c>
      <c r="K374" t="inlineStr">
        <is>
          <t>Mexico|2015</t>
        </is>
      </c>
      <c r="L374" t="inlineStr">
        <is>
          <t>GBp</t>
        </is>
      </c>
      <c r="M374" t="n">
        <v>-9.970801137659679</v>
      </c>
      <c r="N374" t="n">
        <v>-4.888855870697362</v>
      </c>
      <c r="O374" t="n">
        <v>-14.37219891158301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XMEX.L</t>
        </is>
      </c>
      <c r="D375" t="n">
        <v>2016</v>
      </c>
      <c r="E375" t="n">
        <v>11.89535854640324</v>
      </c>
      <c r="F375" t="n">
        <v>1.772</v>
      </c>
      <c r="G375" t="n">
        <v>7.957807</v>
      </c>
      <c r="H375" t="n">
        <v>-8.329473</v>
      </c>
      <c r="I375" t="n">
        <v>-1.621435286100971</v>
      </c>
      <c r="J375" t="inlineStr">
        <is>
          <t>Mexico|XMEX.L|2016</t>
        </is>
      </c>
      <c r="K375" t="inlineStr">
        <is>
          <t>Mexico|2016</t>
        </is>
      </c>
      <c r="L375" t="inlineStr">
        <is>
          <t>GBp</t>
        </is>
      </c>
      <c r="M375" t="n">
        <v>11.89535854640324</v>
      </c>
      <c r="N375" t="n">
        <v>-16.62570861023462</v>
      </c>
      <c r="O375" t="n">
        <v>-6.708037713899029</v>
      </c>
      <c r="P375" t="n">
        <v>17.76719360204619</v>
      </c>
      <c r="Q375" t="n">
        <v>-20.78272443058367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XMEX.L</t>
        </is>
      </c>
      <c r="D376" t="n">
        <v>2017</v>
      </c>
      <c r="E376" t="n">
        <v>3.693817729694904</v>
      </c>
      <c r="F376" t="n">
        <v>1.872</v>
      </c>
      <c r="G376" t="n">
        <v>8.562246999999999</v>
      </c>
      <c r="H376" t="n">
        <v>7.056795</v>
      </c>
      <c r="I376" t="n">
        <v>-5.80499556140746</v>
      </c>
      <c r="J376" t="inlineStr">
        <is>
          <t>Mexico|XMEX.L|2017</t>
        </is>
      </c>
      <c r="K376" t="inlineStr">
        <is>
          <t>Mexico|2017</t>
        </is>
      </c>
      <c r="L376" t="inlineStr">
        <is>
          <t>GBp</t>
        </is>
      </c>
      <c r="M376" t="n">
        <v>3.693817729694904</v>
      </c>
      <c r="N376" t="n">
        <v>8.841388071573641</v>
      </c>
      <c r="O376" t="n">
        <v>12.86179056140746</v>
      </c>
      <c r="P376" t="n">
        <v>1.406218487646393</v>
      </c>
      <c r="Q376" t="n">
        <v>11.29671557090615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XMEX.L</t>
        </is>
      </c>
      <c r="D377" t="n">
        <v>2018</v>
      </c>
      <c r="E377" t="n">
        <v>-10.87596013818325</v>
      </c>
      <c r="F377" t="n">
        <v>1.972</v>
      </c>
      <c r="G377" t="n">
        <v>7.279219</v>
      </c>
      <c r="H377" t="n">
        <v>5.507503</v>
      </c>
      <c r="I377" t="n">
        <v>21.80693210106428</v>
      </c>
      <c r="J377" t="inlineStr">
        <is>
          <t>Mexico|XMEX.L|2018</t>
        </is>
      </c>
      <c r="K377" t="inlineStr">
        <is>
          <t>Mexico|2018</t>
        </is>
      </c>
      <c r="L377" t="inlineStr">
        <is>
          <t>GBp</t>
        </is>
      </c>
      <c r="M377" t="n">
        <v>-10.87596013818325</v>
      </c>
      <c r="N377" t="n">
        <v>-6.085304224640065</v>
      </c>
      <c r="O377" t="n">
        <v>-16.29942910106428</v>
      </c>
      <c r="P377" t="n">
        <v>1.679231475886001</v>
      </c>
      <c r="Q377" t="n">
        <v>-17.68174317998662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XMEX.L</t>
        </is>
      </c>
      <c r="D378" t="n">
        <v>2019</v>
      </c>
      <c r="E378" t="n">
        <v>4.346498216753458</v>
      </c>
      <c r="F378" t="n">
        <v>-0.393</v>
      </c>
      <c r="G378" t="n">
        <v>3.90936</v>
      </c>
      <c r="H378" t="n">
        <v>3.805301</v>
      </c>
      <c r="I378" t="n">
        <v>-3.613016519698081</v>
      </c>
      <c r="J378" t="inlineStr">
        <is>
          <t>Mexico|XMEX.L|2019</t>
        </is>
      </c>
      <c r="K378" t="inlineStr">
        <is>
          <t>Mexico|2019</t>
        </is>
      </c>
      <c r="L378" t="inlineStr">
        <is>
          <t>GBp</t>
        </is>
      </c>
      <c r="M378" t="n">
        <v>4.346498216753458</v>
      </c>
      <c r="N378" t="n">
        <v>2.94386429390634</v>
      </c>
      <c r="O378" t="n">
        <v>7.418317519698081</v>
      </c>
      <c r="P378" t="n">
        <v>0.1002438631682034</v>
      </c>
      <c r="Q378" t="n">
        <v>7.310745083232062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XMEX.L</t>
        </is>
      </c>
      <c r="D379" t="n">
        <v>2020</v>
      </c>
      <c r="E379" t="n">
        <v>-5.381167780111673</v>
      </c>
      <c r="F379" t="n">
        <v>-8.353999999999999</v>
      </c>
      <c r="G379" t="n">
        <v>-4.120183</v>
      </c>
      <c r="H379" t="n">
        <v>-14.035746</v>
      </c>
      <c r="I379" t="n">
        <v>-11.28043850209825</v>
      </c>
      <c r="J379" t="inlineStr">
        <is>
          <t>Mexico|XMEX.L|2020</t>
        </is>
      </c>
      <c r="K379" t="inlineStr">
        <is>
          <t>Mexico|2020</t>
        </is>
      </c>
      <c r="L379" t="inlineStr">
        <is>
          <t>GBp</t>
        </is>
      </c>
      <c r="M379" t="n">
        <v>-5.381167780111673</v>
      </c>
      <c r="N379" t="n">
        <v>2.775198362317122</v>
      </c>
      <c r="O379" t="n">
        <v>-2.755307497901749</v>
      </c>
      <c r="P379" t="n">
        <v>11.5345185575102</v>
      </c>
      <c r="Q379" t="n">
        <v>-12.81202110362248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XMEX.L</t>
        </is>
      </c>
      <c r="D380" t="n">
        <v>2021</v>
      </c>
      <c r="E380" t="n">
        <v>19.99089795741909</v>
      </c>
      <c r="F380" t="n">
        <v>6.048</v>
      </c>
      <c r="G380" t="n">
        <v>10.807909</v>
      </c>
      <c r="H380" t="n">
        <v>17.439132</v>
      </c>
      <c r="I380" t="n">
        <v>-1.019217592775213</v>
      </c>
      <c r="J380" t="inlineStr">
        <is>
          <t>Mexico|XMEX.L|2021</t>
        </is>
      </c>
      <c r="K380" t="inlineStr">
        <is>
          <t>Mexico|2021</t>
        </is>
      </c>
      <c r="L380" t="inlineStr">
        <is>
          <t>GBp</t>
        </is>
      </c>
      <c r="M380" t="n">
        <v>19.99089795741909</v>
      </c>
      <c r="N380" t="n">
        <v>-1.277220514832489</v>
      </c>
      <c r="O380" t="n">
        <v>18.45834959277521</v>
      </c>
      <c r="P380" t="n">
        <v>-5.646518310005288</v>
      </c>
      <c r="Q380" t="n">
        <v>25.54740691178605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XMEX.L</t>
        </is>
      </c>
      <c r="D381" t="n">
        <v>2022</v>
      </c>
      <c r="E381" t="n">
        <v>11.77221792262422</v>
      </c>
      <c r="F381" t="n">
        <v>3.71</v>
      </c>
      <c r="G381" t="n">
        <v>10.623726</v>
      </c>
      <c r="H381" t="n">
        <v>11.42105</v>
      </c>
      <c r="I381" t="n">
        <v>11.76611073464123</v>
      </c>
      <c r="J381" t="inlineStr">
        <is>
          <t>Mexico|XMEX.L|2022</t>
        </is>
      </c>
      <c r="K381" t="inlineStr">
        <is>
          <t>Mexico|2022</t>
        </is>
      </c>
      <c r="L381" t="inlineStr">
        <is>
          <t>GBp</t>
        </is>
      </c>
      <c r="M381" t="n">
        <v>11.77221792262422</v>
      </c>
      <c r="N381" t="n">
        <v>-10.84104698150823</v>
      </c>
      <c r="O381" t="n">
        <v>-0.3450607346412338</v>
      </c>
      <c r="P381" t="n">
        <v>-0.715595143423664</v>
      </c>
      <c r="Q381" t="n">
        <v>0.3732050459663849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XMEX.L</t>
        </is>
      </c>
      <c r="D382" t="n">
        <v>2023</v>
      </c>
      <c r="E382" t="n">
        <v>29.66957921780331</v>
      </c>
      <c r="F382" t="n">
        <v>3.354</v>
      </c>
      <c r="G382" t="n">
        <v>8.163463</v>
      </c>
      <c r="H382" t="n">
        <v>22.590162</v>
      </c>
      <c r="I382" t="n">
        <v>-13.64462780364465</v>
      </c>
      <c r="J382" t="inlineStr">
        <is>
          <t>Mexico|XMEX.L|2023</t>
        </is>
      </c>
      <c r="K382" t="inlineStr">
        <is>
          <t>Mexico|2023</t>
        </is>
      </c>
      <c r="L382" t="inlineStr">
        <is>
          <t>GBp</t>
        </is>
      </c>
      <c r="M382" t="n">
        <v>29.66957921780331</v>
      </c>
      <c r="N382" t="n">
        <v>5.06303068571996</v>
      </c>
      <c r="O382" t="n">
        <v>36.23478980364465</v>
      </c>
      <c r="P382" t="n">
        <v>-11.76823588369271</v>
      </c>
      <c r="Q382" t="n">
        <v>54.40560570007382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XMEX.L</t>
        </is>
      </c>
      <c r="D383" t="n">
        <v>2024</v>
      </c>
      <c r="E383" t="n">
        <v>-26.73406378777472</v>
      </c>
      <c r="F383" t="n">
        <v>1.427</v>
      </c>
      <c r="G383" t="n">
        <v>6.402517</v>
      </c>
      <c r="H383" t="n">
        <v>3.227905</v>
      </c>
      <c r="I383" t="n">
        <v>31.00311695596464</v>
      </c>
      <c r="J383" t="inlineStr">
        <is>
          <t>Mexico|XMEX.L|2024</t>
        </is>
      </c>
      <c r="K383" t="inlineStr">
        <is>
          <t>Mexico|2024</t>
        </is>
      </c>
      <c r="L383" t="inlineStr">
        <is>
          <t>GBp</t>
        </is>
      </c>
      <c r="M383" t="n">
        <v>-26.73406378777472</v>
      </c>
      <c r="N383" t="n">
        <v>-1.421053523664917</v>
      </c>
      <c r="O383" t="n">
        <v>-27.77521195596464</v>
      </c>
      <c r="P383" t="n">
        <v>3.075343103110462</v>
      </c>
      <c r="Q383" t="n">
        <v>-29.93010173947618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XMEX.L</t>
        </is>
      </c>
      <c r="D384" t="n">
        <v>2025</v>
      </c>
      <c r="E384" t="n">
        <v>41.10571760925725</v>
      </c>
      <c r="F384" t="n">
        <v>0.99</v>
      </c>
      <c r="G384" t="n">
        <v>6.194171</v>
      </c>
      <c r="H384" t="n">
        <v>0.343359</v>
      </c>
      <c r="I384" t="n">
        <v>-51.44678414508883</v>
      </c>
      <c r="J384" t="inlineStr">
        <is>
          <t>Mexico|XMEX.L|2025</t>
        </is>
      </c>
      <c r="K384" t="inlineStr">
        <is>
          <t>Mexico|2025</t>
        </is>
      </c>
      <c r="L384" t="inlineStr">
        <is>
          <t>GBp</t>
        </is>
      </c>
      <c r="M384" t="n">
        <v>41.10571760925725</v>
      </c>
      <c r="N384" t="n">
        <v>7.571929555270285</v>
      </c>
      <c r="O384" t="n">
        <v>51.79014314508883</v>
      </c>
      <c r="P384" t="n">
        <v>5.830791924120904</v>
      </c>
      <c r="Q384" t="n">
        <v>43.42720146507087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XMEX.L</t>
        </is>
      </c>
      <c r="D385" t="n">
        <v>2026</v>
      </c>
      <c r="E385" t="n">
        <v>9.447852760736208</v>
      </c>
      <c r="F385" t="n">
        <v>1.544</v>
      </c>
      <c r="G385" t="n">
        <v>6.135736</v>
      </c>
      <c r="H385" t="n">
        <v>9.032876</v>
      </c>
      <c r="I385" t="n">
        <v>0.4598211553856082</v>
      </c>
      <c r="J385" t="inlineStr">
        <is>
          <t>Mexico|XMEX.L|2026</t>
        </is>
      </c>
      <c r="K385" t="inlineStr">
        <is>
          <t>Mexico|2026</t>
        </is>
      </c>
      <c r="L385" t="inlineStr">
        <is>
          <t>GBp</t>
        </is>
      </c>
      <c r="M385" t="n">
        <v>9.447852760736208</v>
      </c>
      <c r="N385" t="n">
        <v>-0.7992828493713855</v>
      </c>
      <c r="O385" t="n">
        <v>8.573054844614392</v>
      </c>
      <c r="P385" t="n">
        <v>-2.657125369469626</v>
      </c>
      <c r="Q385" t="n">
        <v>11.536725473445</v>
      </c>
    </row>
    <row r="386">
      <c r="A386" t="inlineStr">
        <is>
          <t>Netherlands</t>
        </is>
      </c>
      <c r="B386" t="inlineStr">
        <is>
          <t>NLD</t>
        </is>
      </c>
      <c r="C386" t="inlineStr">
        <is>
          <t>EWN</t>
        </is>
      </c>
      <c r="D386" t="n">
        <v>2015</v>
      </c>
      <c r="E386" t="n">
        <v>0.1680710790320283</v>
      </c>
      <c r="F386" t="n">
        <v>2.121</v>
      </c>
      <c r="G386" t="inlineStr"/>
      <c r="H386" t="inlineStr"/>
      <c r="I386" t="inlineStr"/>
      <c r="J386" t="inlineStr">
        <is>
          <t>Netherlands|EWN|2015</t>
        </is>
      </c>
      <c r="K386" t="inlineStr">
        <is>
          <t>Netherlands|2015</t>
        </is>
      </c>
      <c r="L386" t="inlineStr">
        <is>
          <t>USD</t>
        </is>
      </c>
      <c r="M386" t="n">
        <v>0.1680710790320283</v>
      </c>
      <c r="N386" t="n">
        <v>0</v>
      </c>
      <c r="O386" t="n">
        <v>0.1680710790320283</v>
      </c>
      <c r="P386" t="inlineStr"/>
      <c r="Q386" t="inlineStr"/>
    </row>
    <row r="387">
      <c r="A387" t="inlineStr">
        <is>
          <t>Netherlands</t>
        </is>
      </c>
      <c r="B387" t="inlineStr">
        <is>
          <t>NLD</t>
        </is>
      </c>
      <c r="C387" t="inlineStr">
        <is>
          <t>EWN</t>
        </is>
      </c>
      <c r="D387" t="n">
        <v>2016</v>
      </c>
      <c r="E387" t="n">
        <v>2.985069649537531</v>
      </c>
      <c r="F387" t="n">
        <v>2.425</v>
      </c>
      <c r="G387" t="n">
        <v>3.00354</v>
      </c>
      <c r="H387" t="n">
        <v>2.722532</v>
      </c>
      <c r="I387" t="n">
        <v>-0.2625376495375304</v>
      </c>
      <c r="J387" t="inlineStr">
        <is>
          <t>Netherlands|EWN|2016</t>
        </is>
      </c>
      <c r="K387" t="inlineStr">
        <is>
          <t>Netherlands|2016</t>
        </is>
      </c>
      <c r="L387" t="inlineStr">
        <is>
          <t>USD</t>
        </is>
      </c>
      <c r="M387" t="n">
        <v>2.985069649537531</v>
      </c>
      <c r="N387" t="n">
        <v>0</v>
      </c>
      <c r="O387" t="n">
        <v>2.985069649537531</v>
      </c>
      <c r="P387" t="n">
        <v>0.2735604028197836</v>
      </c>
      <c r="Q387" t="n">
        <v>2.704111867400583</v>
      </c>
    </row>
    <row r="388">
      <c r="A388" t="inlineStr">
        <is>
          <t>Netherlands</t>
        </is>
      </c>
      <c r="B388" t="inlineStr">
        <is>
          <t>NLD</t>
        </is>
      </c>
      <c r="C388" t="inlineStr">
        <is>
          <t>EWN</t>
        </is>
      </c>
      <c r="D388" t="n">
        <v>2017</v>
      </c>
      <c r="E388" t="n">
        <v>31.33278039169804</v>
      </c>
      <c r="F388" t="n">
        <v>2.783</v>
      </c>
      <c r="G388" t="n">
        <v>4.260909</v>
      </c>
      <c r="H388" t="n">
        <v>6.398191</v>
      </c>
      <c r="I388" t="n">
        <v>-24.93458939169804</v>
      </c>
      <c r="J388" t="inlineStr">
        <is>
          <t>Netherlands|EWN|2017</t>
        </is>
      </c>
      <c r="K388" t="inlineStr">
        <is>
          <t>Netherlands|2017</t>
        </is>
      </c>
      <c r="L388" t="inlineStr">
        <is>
          <t>USD</t>
        </is>
      </c>
      <c r="M388" t="n">
        <v>31.33278039169804</v>
      </c>
      <c r="N388" t="n">
        <v>0</v>
      </c>
      <c r="O388" t="n">
        <v>31.33278039169804</v>
      </c>
      <c r="P388" t="n">
        <v>-2.008758101224939</v>
      </c>
      <c r="Q388" t="n">
        <v>34.02501881480877</v>
      </c>
    </row>
    <row r="389">
      <c r="A389" t="inlineStr">
        <is>
          <t>Netherlands</t>
        </is>
      </c>
      <c r="B389" t="inlineStr">
        <is>
          <t>NLD</t>
        </is>
      </c>
      <c r="C389" t="inlineStr">
        <is>
          <t>EWN</t>
        </is>
      </c>
      <c r="D389" t="n">
        <v>2018</v>
      </c>
      <c r="E389" t="n">
        <v>-17.52900677195504</v>
      </c>
      <c r="F389" t="n">
        <v>2.26</v>
      </c>
      <c r="G389" t="n">
        <v>4.849366</v>
      </c>
      <c r="H389" t="n">
        <v>9.696626999999999</v>
      </c>
      <c r="I389" t="n">
        <v>27.22563377195504</v>
      </c>
      <c r="J389" t="inlineStr">
        <is>
          <t>Netherlands|EWN|2018</t>
        </is>
      </c>
      <c r="K389" t="inlineStr">
        <is>
          <t>Netherlands|2018</t>
        </is>
      </c>
      <c r="L389" t="inlineStr">
        <is>
          <t>USD</t>
        </is>
      </c>
      <c r="M389" t="n">
        <v>-17.52900677195504</v>
      </c>
      <c r="N389" t="n">
        <v>0</v>
      </c>
      <c r="O389" t="n">
        <v>-17.52900677195504</v>
      </c>
      <c r="P389" t="n">
        <v>-4.418787695555004</v>
      </c>
      <c r="Q389" t="n">
        <v>-13.71631386578505</v>
      </c>
    </row>
    <row r="390">
      <c r="A390" t="inlineStr">
        <is>
          <t>Netherlands</t>
        </is>
      </c>
      <c r="B390" t="inlineStr">
        <is>
          <t>NLD</t>
        </is>
      </c>
      <c r="C390" t="inlineStr">
        <is>
          <t>EWN</t>
        </is>
      </c>
      <c r="D390" t="n">
        <v>2019</v>
      </c>
      <c r="E390" t="n">
        <v>28.94135687444102</v>
      </c>
      <c r="F390" t="n">
        <v>2.3</v>
      </c>
      <c r="G390" t="n">
        <v>5.397619</v>
      </c>
      <c r="H390" t="n">
        <v>-0.123528</v>
      </c>
      <c r="I390" t="n">
        <v>-29.06488487444102</v>
      </c>
      <c r="J390" t="inlineStr">
        <is>
          <t>Netherlands|EWN|2019</t>
        </is>
      </c>
      <c r="K390" t="inlineStr">
        <is>
          <t>Netherlands|2019</t>
        </is>
      </c>
      <c r="L390" t="inlineStr">
        <is>
          <t>USD</t>
        </is>
      </c>
      <c r="M390" t="n">
        <v>28.94135687444102</v>
      </c>
      <c r="N390" t="n">
        <v>0</v>
      </c>
      <c r="O390" t="n">
        <v>28.94135687444102</v>
      </c>
      <c r="P390" t="n">
        <v>5.527975763195103</v>
      </c>
      <c r="Q390" t="n">
        <v>22.18689493654797</v>
      </c>
    </row>
    <row r="391">
      <c r="A391" t="inlineStr">
        <is>
          <t>Netherlands</t>
        </is>
      </c>
      <c r="B391" t="inlineStr">
        <is>
          <t>NLD</t>
        </is>
      </c>
      <c r="C391" t="inlineStr">
        <is>
          <t>EWN</t>
        </is>
      </c>
      <c r="D391" t="n">
        <v>2020</v>
      </c>
      <c r="E391" t="n">
        <v>20.84186278552524</v>
      </c>
      <c r="F391" t="n">
        <v>-3.877</v>
      </c>
      <c r="G391" t="n">
        <v>-1.603342</v>
      </c>
      <c r="H391" t="n">
        <v>0.302259</v>
      </c>
      <c r="I391" t="n">
        <v>-20.53960378552524</v>
      </c>
      <c r="J391" t="inlineStr">
        <is>
          <t>Netherlands|EWN|2020</t>
        </is>
      </c>
      <c r="K391" t="inlineStr">
        <is>
          <t>Netherlands|2020</t>
        </is>
      </c>
      <c r="L391" t="inlineStr">
        <is>
          <t>USD</t>
        </is>
      </c>
      <c r="M391" t="n">
        <v>20.84186278552524</v>
      </c>
      <c r="N391" t="n">
        <v>0</v>
      </c>
      <c r="O391" t="n">
        <v>20.84186278552524</v>
      </c>
      <c r="P391" t="n">
        <v>-1.899857721705445</v>
      </c>
      <c r="Q391" t="n">
        <v>23.1821483425743</v>
      </c>
    </row>
    <row r="392">
      <c r="A392" t="inlineStr">
        <is>
          <t>Netherlands</t>
        </is>
      </c>
      <c r="B392" t="inlineStr">
        <is>
          <t>NLD</t>
        </is>
      </c>
      <c r="C392" t="inlineStr">
        <is>
          <t>EWN</t>
        </is>
      </c>
      <c r="D392" t="n">
        <v>2021</v>
      </c>
      <c r="E392" t="n">
        <v>19.62839868584678</v>
      </c>
      <c r="F392" t="n">
        <v>6.278</v>
      </c>
      <c r="G392" t="n">
        <v>9.196619999999999</v>
      </c>
      <c r="H392" t="n">
        <v>13.238586</v>
      </c>
      <c r="I392" t="n">
        <v>-6.389812685846783</v>
      </c>
      <c r="J392" t="inlineStr">
        <is>
          <t>Netherlands|EWN|2021</t>
        </is>
      </c>
      <c r="K392" t="inlineStr">
        <is>
          <t>Netherlands|2021</t>
        </is>
      </c>
      <c r="L392" t="inlineStr">
        <is>
          <t>USD</t>
        </is>
      </c>
      <c r="M392" t="n">
        <v>19.62839868584678</v>
      </c>
      <c r="N392" t="n">
        <v>0</v>
      </c>
      <c r="O392" t="n">
        <v>19.62839868584678</v>
      </c>
      <c r="P392" t="n">
        <v>-3.56942480525072</v>
      </c>
      <c r="Q392" t="n">
        <v>24.05650224967304</v>
      </c>
    </row>
    <row r="393">
      <c r="A393" t="inlineStr">
        <is>
          <t>Netherlands</t>
        </is>
      </c>
      <c r="B393" t="inlineStr">
        <is>
          <t>NLD</t>
        </is>
      </c>
      <c r="C393" t="inlineStr">
        <is>
          <t>EWN</t>
        </is>
      </c>
      <c r="D393" t="n">
        <v>2022</v>
      </c>
      <c r="E393" t="n">
        <v>-26.30120210150342</v>
      </c>
      <c r="F393" t="n">
        <v>5.007</v>
      </c>
      <c r="G393" t="n">
        <v>11.471034</v>
      </c>
      <c r="H393" t="n">
        <v>-0.7400679999999999</v>
      </c>
      <c r="I393" t="n">
        <v>25.56113410150342</v>
      </c>
      <c r="J393" t="inlineStr">
        <is>
          <t>Netherlands|EWN|2022</t>
        </is>
      </c>
      <c r="K393" t="inlineStr">
        <is>
          <t>Netherlands|2022</t>
        </is>
      </c>
      <c r="L393" t="inlineStr">
        <is>
          <t>USD</t>
        </is>
      </c>
      <c r="M393" t="n">
        <v>-26.30120210150342</v>
      </c>
      <c r="N393" t="n">
        <v>0</v>
      </c>
      <c r="O393" t="n">
        <v>-26.30120210150342</v>
      </c>
      <c r="P393" t="n">
        <v>12.30214608256246</v>
      </c>
      <c r="Q393" t="n">
        <v>-34.37454183260702</v>
      </c>
    </row>
    <row r="394">
      <c r="A394" t="inlineStr">
        <is>
          <t>Netherlands</t>
        </is>
      </c>
      <c r="B394" t="inlineStr">
        <is>
          <t>NLD</t>
        </is>
      </c>
      <c r="C394" t="inlineStr">
        <is>
          <t>EWN</t>
        </is>
      </c>
      <c r="D394" t="n">
        <v>2023</v>
      </c>
      <c r="E394" t="n">
        <v>17.54016232103977</v>
      </c>
      <c r="F394" t="n">
        <v>-0.601</v>
      </c>
      <c r="G394" t="n">
        <v>5.666318</v>
      </c>
      <c r="H394" t="n">
        <v>8.443960000000001</v>
      </c>
      <c r="I394" t="n">
        <v>-9.096202321039765</v>
      </c>
      <c r="J394" t="inlineStr">
        <is>
          <t>Netherlands|EWN|2023</t>
        </is>
      </c>
      <c r="K394" t="inlineStr">
        <is>
          <t>Netherlands|2023</t>
        </is>
      </c>
      <c r="L394" t="inlineStr">
        <is>
          <t>USD</t>
        </is>
      </c>
      <c r="M394" t="n">
        <v>17.54016232103977</v>
      </c>
      <c r="N394" t="n">
        <v>0</v>
      </c>
      <c r="O394" t="n">
        <v>17.54016232103977</v>
      </c>
      <c r="P394" t="n">
        <v>-2.561362029635428</v>
      </c>
      <c r="Q394" t="n">
        <v>20.62993158503401</v>
      </c>
    </row>
    <row r="395">
      <c r="A395" t="inlineStr">
        <is>
          <t>Netherlands</t>
        </is>
      </c>
      <c r="B395" t="inlineStr">
        <is>
          <t>NLD</t>
        </is>
      </c>
      <c r="C395" t="inlineStr">
        <is>
          <t>EWN</t>
        </is>
      </c>
      <c r="D395" t="n">
        <v>2024</v>
      </c>
      <c r="E395" t="n">
        <v>2.228863075597887</v>
      </c>
      <c r="F395" t="n">
        <v>1.08</v>
      </c>
      <c r="G395" t="n">
        <v>6.887318</v>
      </c>
      <c r="H395" t="n">
        <v>6.934213</v>
      </c>
      <c r="I395" t="n">
        <v>4.705349924402113</v>
      </c>
      <c r="J395" t="inlineStr">
        <is>
          <t>Netherlands|EWN|2024</t>
        </is>
      </c>
      <c r="K395" t="inlineStr">
        <is>
          <t>Netherlands|2024</t>
        </is>
      </c>
      <c r="L395" t="inlineStr">
        <is>
          <t>USD</t>
        </is>
      </c>
      <c r="M395" t="n">
        <v>2.228863075597887</v>
      </c>
      <c r="N395" t="n">
        <v>0</v>
      </c>
      <c r="O395" t="n">
        <v>2.228863075597887</v>
      </c>
      <c r="P395" t="n">
        <v>-0.04385404768674217</v>
      </c>
      <c r="Q395" t="n">
        <v>2.27371423901126</v>
      </c>
    </row>
    <row r="396">
      <c r="A396" t="inlineStr">
        <is>
          <t>Netherlands</t>
        </is>
      </c>
      <c r="B396" t="inlineStr">
        <is>
          <t>NLD</t>
        </is>
      </c>
      <c r="C396" t="inlineStr">
        <is>
          <t>EWN</t>
        </is>
      </c>
      <c r="D396" t="n">
        <v>2025</v>
      </c>
      <c r="E396" t="n">
        <v>28.47488074666664</v>
      </c>
      <c r="F396" t="n">
        <v>1.433</v>
      </c>
      <c r="G396" t="n">
        <v>4.161666</v>
      </c>
      <c r="H396" t="n">
        <v>8.733435999999999</v>
      </c>
      <c r="I396" t="n">
        <v>-19.74144474666664</v>
      </c>
      <c r="J396" t="inlineStr">
        <is>
          <t>Netherlands|EWN|2025</t>
        </is>
      </c>
      <c r="K396" t="inlineStr">
        <is>
          <t>Netherlands|2025</t>
        </is>
      </c>
      <c r="L396" t="inlineStr">
        <is>
          <t>USD</t>
        </is>
      </c>
      <c r="M396" t="n">
        <v>28.47488074666664</v>
      </c>
      <c r="N396" t="n">
        <v>0</v>
      </c>
      <c r="O396" t="n">
        <v>28.47488074666664</v>
      </c>
      <c r="P396" t="n">
        <v>-4.204566766609396</v>
      </c>
      <c r="Q396" t="n">
        <v>34.11378435301573</v>
      </c>
    </row>
    <row r="397">
      <c r="A397" t="inlineStr">
        <is>
          <t>Netherlands</t>
        </is>
      </c>
      <c r="B397" t="inlineStr">
        <is>
          <t>NLD</t>
        </is>
      </c>
      <c r="C397" t="inlineStr">
        <is>
          <t>EWN</t>
        </is>
      </c>
      <c r="D397" t="n">
        <v>2026</v>
      </c>
      <c r="E397" t="n">
        <v>1.534791158333104</v>
      </c>
      <c r="F397" t="n">
        <v>1.222</v>
      </c>
      <c r="G397" t="n">
        <v>3.555679</v>
      </c>
      <c r="H397" t="n">
        <v>6.999739</v>
      </c>
      <c r="I397" t="n">
        <v>5.464947841666896</v>
      </c>
      <c r="J397" t="inlineStr">
        <is>
          <t>Netherlands|EWN|2026</t>
        </is>
      </c>
      <c r="K397" t="inlineStr">
        <is>
          <t>Netherlands|2026</t>
        </is>
      </c>
      <c r="L397" t="inlineStr">
        <is>
          <t>USD</t>
        </is>
      </c>
      <c r="M397" t="n">
        <v>1.534791158333104</v>
      </c>
      <c r="N397" t="n">
        <v>0</v>
      </c>
      <c r="O397" t="n">
        <v>1.534791158333104</v>
      </c>
      <c r="P397" t="n">
        <v>-3.218755561687436</v>
      </c>
      <c r="Q397" t="n">
        <v>4.911640419183083</v>
      </c>
    </row>
    <row r="398">
      <c r="A398" t="inlineStr">
        <is>
          <t>Pakistan</t>
        </is>
      </c>
      <c r="B398" t="inlineStr">
        <is>
          <t>PAK</t>
        </is>
      </c>
      <c r="C398" t="inlineStr">
        <is>
          <t>XBAK.L</t>
        </is>
      </c>
      <c r="D398" t="n">
        <v>2015</v>
      </c>
      <c r="E398" t="n">
        <v>-11.00000143051147</v>
      </c>
      <c r="F398" t="n">
        <v>3.812</v>
      </c>
      <c r="G398" t="inlineStr"/>
      <c r="H398" t="inlineStr"/>
      <c r="I398" t="inlineStr"/>
      <c r="J398" t="inlineStr">
        <is>
          <t>Pakistan|XBAK.L|2015</t>
        </is>
      </c>
      <c r="K398" t="inlineStr">
        <is>
          <t>Pakistan|2015</t>
        </is>
      </c>
      <c r="L398" t="inlineStr">
        <is>
          <t>USD</t>
        </is>
      </c>
      <c r="M398" t="n">
        <v>-11.00000143051147</v>
      </c>
      <c r="N398" t="n">
        <v>0</v>
      </c>
      <c r="O398" t="n">
        <v>-11.00000143051147</v>
      </c>
      <c r="P398" t="inlineStr"/>
      <c r="Q398" t="inlineStr"/>
    </row>
    <row r="399">
      <c r="A399" t="inlineStr">
        <is>
          <t>Pakistan</t>
        </is>
      </c>
      <c r="B399" t="inlineStr">
        <is>
          <t>PAK</t>
        </is>
      </c>
      <c r="C399" t="inlineStr">
        <is>
          <t>XBAK.L</t>
        </is>
      </c>
      <c r="D399" t="n">
        <v>2016</v>
      </c>
      <c r="E399" t="n">
        <v>33.1460631265436</v>
      </c>
      <c r="F399" t="n">
        <v>4.072</v>
      </c>
      <c r="G399" t="n">
        <v>7.556623</v>
      </c>
      <c r="H399" t="n">
        <v>4.565399</v>
      </c>
      <c r="I399" t="n">
        <v>-28.5806641265436</v>
      </c>
      <c r="J399" t="inlineStr">
        <is>
          <t>Pakistan|XBAK.L|2016</t>
        </is>
      </c>
      <c r="K399" t="inlineStr">
        <is>
          <t>Pakistan|2016</t>
        </is>
      </c>
      <c r="L399" t="inlineStr">
        <is>
          <t>USD</t>
        </is>
      </c>
      <c r="M399" t="n">
        <v>33.1460631265436</v>
      </c>
      <c r="N399" t="n">
        <v>0</v>
      </c>
      <c r="O399" t="n">
        <v>33.1460631265436</v>
      </c>
      <c r="P399" t="n">
        <v>2.860625308132758</v>
      </c>
      <c r="Q399" t="n">
        <v>29.44317879430225</v>
      </c>
    </row>
    <row r="400">
      <c r="A400" t="inlineStr">
        <is>
          <t>Pakistan</t>
        </is>
      </c>
      <c r="B400" t="inlineStr">
        <is>
          <t>PAK</t>
        </is>
      </c>
      <c r="C400" t="inlineStr">
        <is>
          <t>XBAK.L</t>
        </is>
      </c>
      <c r="D400" t="n">
        <v>2017</v>
      </c>
      <c r="E400" t="n">
        <v>-27.01613190084786</v>
      </c>
      <c r="F400" t="n">
        <v>4.609</v>
      </c>
      <c r="G400" t="n">
        <v>8.640995</v>
      </c>
      <c r="H400" t="n">
        <v>8.164580000000001</v>
      </c>
      <c r="I400" t="n">
        <v>35.18071190084786</v>
      </c>
      <c r="J400" t="inlineStr">
        <is>
          <t>Pakistan|XBAK.L|2017</t>
        </is>
      </c>
      <c r="K400" t="inlineStr">
        <is>
          <t>Pakistan|2017</t>
        </is>
      </c>
      <c r="L400" t="inlineStr">
        <is>
          <t>USD</t>
        </is>
      </c>
      <c r="M400" t="n">
        <v>-27.01613190084786</v>
      </c>
      <c r="N400" t="n">
        <v>0</v>
      </c>
      <c r="O400" t="n">
        <v>-27.01613190084786</v>
      </c>
      <c r="P400" t="n">
        <v>0.4404544443754599</v>
      </c>
      <c r="Q400" t="n">
        <v>-27.3361829126619</v>
      </c>
    </row>
    <row r="401">
      <c r="A401" t="inlineStr">
        <is>
          <t>Pakistan</t>
        </is>
      </c>
      <c r="B401" t="inlineStr">
        <is>
          <t>PAK</t>
        </is>
      </c>
      <c r="C401" t="inlineStr">
        <is>
          <t>XBAK.L</t>
        </is>
      </c>
      <c r="D401" t="n">
        <v>2018</v>
      </c>
      <c r="E401" t="n">
        <v>-36.50793350442705</v>
      </c>
      <c r="F401" t="n">
        <v>6.096</v>
      </c>
      <c r="G401" t="n">
        <v>10.229825</v>
      </c>
      <c r="H401" t="n">
        <v>4.991908</v>
      </c>
      <c r="I401" t="n">
        <v>41.49984150442705</v>
      </c>
      <c r="J401" t="inlineStr">
        <is>
          <t>Pakistan|XBAK.L|2018</t>
        </is>
      </c>
      <c r="K401" t="inlineStr">
        <is>
          <t>Pakistan|2018</t>
        </is>
      </c>
      <c r="L401" t="inlineStr">
        <is>
          <t>USD</t>
        </is>
      </c>
      <c r="M401" t="n">
        <v>-36.50793350442705</v>
      </c>
      <c r="N401" t="n">
        <v>0</v>
      </c>
      <c r="O401" t="n">
        <v>-36.50793350442705</v>
      </c>
      <c r="P401" t="n">
        <v>4.988876290576916</v>
      </c>
      <c r="Q401" t="n">
        <v>-39.52495851098887</v>
      </c>
    </row>
    <row r="402">
      <c r="A402" t="inlineStr">
        <is>
          <t>Pakistan</t>
        </is>
      </c>
      <c r="B402" t="inlineStr">
        <is>
          <t>PAK</t>
        </is>
      </c>
      <c r="C402" t="inlineStr">
        <is>
          <t>XBAK.L</t>
        </is>
      </c>
      <c r="D402" t="n">
        <v>2019</v>
      </c>
      <c r="E402" t="n">
        <v>-3.968250213867131</v>
      </c>
      <c r="F402" t="n">
        <v>3.12</v>
      </c>
      <c r="G402" t="n">
        <v>11.759667</v>
      </c>
      <c r="H402" t="n">
        <v>-9.852792000000001</v>
      </c>
      <c r="I402" t="n">
        <v>-5.88454178613287</v>
      </c>
      <c r="J402" t="inlineStr">
        <is>
          <t>Pakistan|XBAK.L|2019</t>
        </is>
      </c>
      <c r="K402" t="inlineStr">
        <is>
          <t>Pakistan|2019</t>
        </is>
      </c>
      <c r="L402" t="inlineStr">
        <is>
          <t>USD</t>
        </is>
      </c>
      <c r="M402" t="n">
        <v>-3.968250213867131</v>
      </c>
      <c r="N402" t="n">
        <v>0</v>
      </c>
      <c r="O402" t="n">
        <v>-3.968250213867131</v>
      </c>
      <c r="P402" t="n">
        <v>23.97462909395305</v>
      </c>
      <c r="Q402" t="n">
        <v>-22.53919169755606</v>
      </c>
    </row>
    <row r="403">
      <c r="A403" t="inlineStr">
        <is>
          <t>Pakistan</t>
        </is>
      </c>
      <c r="B403" t="inlineStr">
        <is>
          <t>PAK</t>
        </is>
      </c>
      <c r="C403" t="inlineStr">
        <is>
          <t>XBAK.L</t>
        </is>
      </c>
      <c r="D403" t="n">
        <v>2020</v>
      </c>
      <c r="E403" t="n">
        <v>-10.39999961853028</v>
      </c>
      <c r="F403" t="n">
        <v>-0.9429999999999999</v>
      </c>
      <c r="G403" t="n">
        <v>8.543709</v>
      </c>
      <c r="H403" t="n">
        <v>-6.435025</v>
      </c>
      <c r="I403" t="n">
        <v>3.964974618530275</v>
      </c>
      <c r="J403" t="inlineStr">
        <is>
          <t>Pakistan|XBAK.L|2020</t>
        </is>
      </c>
      <c r="K403" t="inlineStr">
        <is>
          <t>Pakistan|2020</t>
        </is>
      </c>
      <c r="L403" t="inlineStr">
        <is>
          <t>USD</t>
        </is>
      </c>
      <c r="M403" t="n">
        <v>-10.39999961853028</v>
      </c>
      <c r="N403" t="n">
        <v>0</v>
      </c>
      <c r="O403" t="n">
        <v>-10.39999961853028</v>
      </c>
      <c r="P403" t="n">
        <v>16.00891197047862</v>
      </c>
      <c r="Q403" t="n">
        <v>-22.76455415401991</v>
      </c>
    </row>
    <row r="404">
      <c r="A404" t="inlineStr">
        <is>
          <t>Pakistan</t>
        </is>
      </c>
      <c r="B404" t="inlineStr">
        <is>
          <t>PAK</t>
        </is>
      </c>
      <c r="C404" t="inlineStr">
        <is>
          <t>XBAK.L</t>
        </is>
      </c>
      <c r="D404" t="n">
        <v>2021</v>
      </c>
      <c r="E404" t="n">
        <v>-18.1034469469832</v>
      </c>
      <c r="F404" t="n">
        <v>5.77</v>
      </c>
      <c r="G404" t="n">
        <v>17.450031</v>
      </c>
      <c r="H404" t="n">
        <v>16.001798</v>
      </c>
      <c r="I404" t="n">
        <v>34.10524494698321</v>
      </c>
      <c r="J404" t="inlineStr">
        <is>
          <t>Pakistan|XBAK.L|2021</t>
        </is>
      </c>
      <c r="K404" t="inlineStr">
        <is>
          <t>Pakistan|2021</t>
        </is>
      </c>
      <c r="L404" t="inlineStr">
        <is>
          <t>USD</t>
        </is>
      </c>
      <c r="M404" t="n">
        <v>-18.1034469469832</v>
      </c>
      <c r="N404" t="n">
        <v>0</v>
      </c>
      <c r="O404" t="n">
        <v>-18.1034469469832</v>
      </c>
      <c r="P404" t="n">
        <v>1.248457575728312</v>
      </c>
      <c r="Q404" t="n">
        <v>-19.11328328951317</v>
      </c>
    </row>
    <row r="405">
      <c r="A405" t="inlineStr">
        <is>
          <t>Pakistan</t>
        </is>
      </c>
      <c r="B405" t="inlineStr">
        <is>
          <t>PAK</t>
        </is>
      </c>
      <c r="C405" t="inlineStr">
        <is>
          <t>XBAK.L</t>
        </is>
      </c>
      <c r="D405" t="n">
        <v>2022</v>
      </c>
      <c r="E405" t="n">
        <v>-31.63265268885063</v>
      </c>
      <c r="F405" t="n">
        <v>6.18</v>
      </c>
      <c r="G405" t="n">
        <v>19.381043</v>
      </c>
      <c r="H405" t="n">
        <v>7.56684</v>
      </c>
      <c r="I405" t="n">
        <v>39.19949268885063</v>
      </c>
      <c r="J405" t="inlineStr">
        <is>
          <t>Pakistan|XBAK.L|2022</t>
        </is>
      </c>
      <c r="K405" t="inlineStr">
        <is>
          <t>Pakistan|2022</t>
        </is>
      </c>
      <c r="L405" t="inlineStr">
        <is>
          <t>USD</t>
        </is>
      </c>
      <c r="M405" t="n">
        <v>-31.63265268885063</v>
      </c>
      <c r="N405" t="n">
        <v>0</v>
      </c>
      <c r="O405" t="n">
        <v>-31.63265268885063</v>
      </c>
      <c r="P405" t="n">
        <v>10.98312761095976</v>
      </c>
      <c r="Q405" t="n">
        <v>-38.39843156087269</v>
      </c>
    </row>
    <row r="406">
      <c r="A406" t="inlineStr">
        <is>
          <t>Pakistan</t>
        </is>
      </c>
      <c r="B406" t="inlineStr">
        <is>
          <t>PAK</t>
        </is>
      </c>
      <c r="C406" t="inlineStr">
        <is>
          <t>XBAK.L</t>
        </is>
      </c>
      <c r="D406" t="n">
        <v>2023</v>
      </c>
      <c r="E406" t="n">
        <v>17.64705933914053</v>
      </c>
      <c r="F406" t="n">
        <v>-0.212</v>
      </c>
      <c r="G406" t="n">
        <v>25.492808</v>
      </c>
      <c r="H406" t="n">
        <v>-10.216086</v>
      </c>
      <c r="I406" t="n">
        <v>-27.86314533914053</v>
      </c>
      <c r="J406" t="inlineStr">
        <is>
          <t>Pakistan|XBAK.L|2023</t>
        </is>
      </c>
      <c r="K406" t="inlineStr">
        <is>
          <t>Pakistan|2023</t>
        </is>
      </c>
      <c r="L406" t="inlineStr">
        <is>
          <t>USD</t>
        </is>
      </c>
      <c r="M406" t="n">
        <v>17.64705933914053</v>
      </c>
      <c r="N406" t="n">
        <v>0</v>
      </c>
      <c r="O406" t="n">
        <v>17.64705933914053</v>
      </c>
      <c r="P406" t="n">
        <v>39.77203995378498</v>
      </c>
      <c r="Q406" t="n">
        <v>-15.82933226270432</v>
      </c>
    </row>
    <row r="407">
      <c r="A407" t="inlineStr">
        <is>
          <t>Pakistan</t>
        </is>
      </c>
      <c r="B407" t="inlineStr">
        <is>
          <t>PAK</t>
        </is>
      </c>
      <c r="C407" t="inlineStr">
        <is>
          <t>XBAK.L</t>
        </is>
      </c>
      <c r="D407" t="n">
        <v>2024</v>
      </c>
      <c r="E407" t="n">
        <v>64.64020240140165</v>
      </c>
      <c r="F407" t="n">
        <v>2.51</v>
      </c>
      <c r="G407" t="n">
        <v>25.692394</v>
      </c>
      <c r="H407" t="n">
        <v>10.355811</v>
      </c>
      <c r="I407" t="n">
        <v>-54.28439140140165</v>
      </c>
      <c r="J407" t="inlineStr">
        <is>
          <t>Pakistan|XBAK.L|2024</t>
        </is>
      </c>
      <c r="K407" t="inlineStr">
        <is>
          <t>Pakistan|2024</t>
        </is>
      </c>
      <c r="L407" t="inlineStr">
        <is>
          <t>USD</t>
        </is>
      </c>
      <c r="M407" t="n">
        <v>64.64020240140165</v>
      </c>
      <c r="N407" t="n">
        <v>0</v>
      </c>
      <c r="O407" t="n">
        <v>64.64020240140165</v>
      </c>
      <c r="P407" t="n">
        <v>13.89739513398613</v>
      </c>
      <c r="Q407" t="n">
        <v>44.55133254603663</v>
      </c>
    </row>
    <row r="408">
      <c r="A408" t="inlineStr">
        <is>
          <t>Pakistan</t>
        </is>
      </c>
      <c r="B408" t="inlineStr">
        <is>
          <t>PAK</t>
        </is>
      </c>
      <c r="C408" t="inlineStr">
        <is>
          <t>XBAK.L</t>
        </is>
      </c>
      <c r="D408" t="n">
        <v>2025</v>
      </c>
      <c r="E408" t="n">
        <v>34.99065889359694</v>
      </c>
      <c r="F408" t="n">
        <v>2.676</v>
      </c>
      <c r="G408" t="n">
        <v>9.082018</v>
      </c>
      <c r="H408" t="n">
        <v>10.524006</v>
      </c>
      <c r="I408" t="n">
        <v>-24.46665289359694</v>
      </c>
      <c r="J408" t="inlineStr">
        <is>
          <t>Pakistan|XBAK.L|2025</t>
        </is>
      </c>
      <c r="K408" t="inlineStr">
        <is>
          <t>Pakistan|2025</t>
        </is>
      </c>
      <c r="L408" t="inlineStr">
        <is>
          <t>USD</t>
        </is>
      </c>
      <c r="M408" t="n">
        <v>34.99065889359694</v>
      </c>
      <c r="N408" t="n">
        <v>0</v>
      </c>
      <c r="O408" t="n">
        <v>34.99065889359694</v>
      </c>
      <c r="P408" t="n">
        <v>-1.30468281501892</v>
      </c>
      <c r="Q408" t="n">
        <v>36.77514064886059</v>
      </c>
    </row>
    <row r="409">
      <c r="A409" t="inlineStr">
        <is>
          <t>Pakistan</t>
        </is>
      </c>
      <c r="B409" t="inlineStr">
        <is>
          <t>PAK</t>
        </is>
      </c>
      <c r="C409" t="inlineStr">
        <is>
          <t>XBAK.L</t>
        </is>
      </c>
      <c r="D409" t="n">
        <v>2026</v>
      </c>
      <c r="E409" t="n">
        <v>-11.21898316017659</v>
      </c>
      <c r="F409" t="n">
        <v>3.578</v>
      </c>
      <c r="G409" t="n">
        <v>11.117481</v>
      </c>
      <c r="H409" t="inlineStr"/>
      <c r="I409" t="inlineStr"/>
      <c r="J409" t="inlineStr">
        <is>
          <t>Pakistan|XBAK.L|2026</t>
        </is>
      </c>
      <c r="K409" t="inlineStr">
        <is>
          <t>Pakistan|2026</t>
        </is>
      </c>
      <c r="L409" t="inlineStr">
        <is>
          <t>USD</t>
        </is>
      </c>
      <c r="M409" t="n">
        <v>-11.21898316017659</v>
      </c>
      <c r="N409" t="n">
        <v>0</v>
      </c>
      <c r="O409" t="n">
        <v>-11.21898316017659</v>
      </c>
      <c r="P409" t="inlineStr"/>
      <c r="Q409" t="inlineStr"/>
    </row>
    <row r="410">
      <c r="A410" t="inlineStr">
        <is>
          <t>Philippines</t>
        </is>
      </c>
      <c r="B410" t="inlineStr">
        <is>
          <t>PHL</t>
        </is>
      </c>
      <c r="C410" t="inlineStr">
        <is>
          <t>EPHE</t>
        </is>
      </c>
      <c r="D410" t="n">
        <v>2015</v>
      </c>
      <c r="E410" t="n">
        <v>-11.46680362607439</v>
      </c>
      <c r="F410" t="n">
        <v>6.348</v>
      </c>
      <c r="G410" t="inlineStr"/>
      <c r="H410" t="inlineStr"/>
      <c r="I410" t="inlineStr"/>
      <c r="J410" t="inlineStr">
        <is>
          <t>Philippines|EPHE|2015</t>
        </is>
      </c>
      <c r="K410" t="inlineStr">
        <is>
          <t>Philippines|2015</t>
        </is>
      </c>
      <c r="L410" t="inlineStr">
        <is>
          <t>USD</t>
        </is>
      </c>
      <c r="M410" t="n">
        <v>-11.46680362607439</v>
      </c>
      <c r="N410" t="n">
        <v>0</v>
      </c>
      <c r="O410" t="n">
        <v>-11.46680362607439</v>
      </c>
      <c r="P410" t="inlineStr"/>
      <c r="Q410" t="inlineStr"/>
    </row>
    <row r="411">
      <c r="A411" t="inlineStr">
        <is>
          <t>Philippines</t>
        </is>
      </c>
      <c r="B411" t="inlineStr">
        <is>
          <t>PHL</t>
        </is>
      </c>
      <c r="C411" t="inlineStr">
        <is>
          <t>EPHE</t>
        </is>
      </c>
      <c r="D411" t="n">
        <v>2016</v>
      </c>
      <c r="E411" t="n">
        <v>-2.875982230231033</v>
      </c>
      <c r="F411" t="n">
        <v>7.149</v>
      </c>
      <c r="G411" t="n">
        <v>8.521296</v>
      </c>
      <c r="H411" t="n">
        <v>3.974925</v>
      </c>
      <c r="I411" t="n">
        <v>6.850907230231034</v>
      </c>
      <c r="J411" t="inlineStr">
        <is>
          <t>Philippines|EPHE|2016</t>
        </is>
      </c>
      <c r="K411" t="inlineStr">
        <is>
          <t>Philippines|2016</t>
        </is>
      </c>
      <c r="L411" t="inlineStr">
        <is>
          <t>USD</t>
        </is>
      </c>
      <c r="M411" t="n">
        <v>-2.875982230231033</v>
      </c>
      <c r="N411" t="n">
        <v>0</v>
      </c>
      <c r="O411" t="n">
        <v>-2.875982230231033</v>
      </c>
      <c r="P411" t="n">
        <v>4.372563955163522</v>
      </c>
      <c r="Q411" t="n">
        <v>-6.944876997089377</v>
      </c>
    </row>
    <row r="412">
      <c r="A412" t="inlineStr">
        <is>
          <t>Philippines</t>
        </is>
      </c>
      <c r="B412" t="inlineStr">
        <is>
          <t>PHL</t>
        </is>
      </c>
      <c r="C412" t="inlineStr">
        <is>
          <t>EPHE</t>
        </is>
      </c>
      <c r="D412" t="n">
        <v>2017</v>
      </c>
      <c r="E412" t="n">
        <v>19.77784596603118</v>
      </c>
      <c r="F412" t="n">
        <v>6.931</v>
      </c>
      <c r="G412" t="n">
        <v>9.412061</v>
      </c>
      <c r="H412" t="n">
        <v>3.092644</v>
      </c>
      <c r="I412" t="n">
        <v>-16.68520196603118</v>
      </c>
      <c r="J412" t="inlineStr">
        <is>
          <t>Philippines|EPHE|2017</t>
        </is>
      </c>
      <c r="K412" t="inlineStr">
        <is>
          <t>Philippines|2017</t>
        </is>
      </c>
      <c r="L412" t="inlineStr">
        <is>
          <t>USD</t>
        </is>
      </c>
      <c r="M412" t="n">
        <v>19.77784596603118</v>
      </c>
      <c r="N412" t="n">
        <v>0</v>
      </c>
      <c r="O412" t="n">
        <v>19.77784596603118</v>
      </c>
      <c r="P412" t="n">
        <v>6.129842238863148</v>
      </c>
      <c r="Q412" t="n">
        <v>12.85972299520703</v>
      </c>
    </row>
    <row r="413">
      <c r="A413" t="inlineStr">
        <is>
          <t>Philippines</t>
        </is>
      </c>
      <c r="B413" t="inlineStr">
        <is>
          <t>PHL</t>
        </is>
      </c>
      <c r="C413" t="inlineStr">
        <is>
          <t>EPHE</t>
        </is>
      </c>
      <c r="D413" t="n">
        <v>2018</v>
      </c>
      <c r="E413" t="n">
        <v>-18.52798801290153</v>
      </c>
      <c r="F413" t="n">
        <v>6.341</v>
      </c>
      <c r="G413" t="n">
        <v>10.319357</v>
      </c>
      <c r="H413" t="n">
        <v>5.589669</v>
      </c>
      <c r="I413" t="n">
        <v>24.11765701290153</v>
      </c>
      <c r="J413" t="inlineStr">
        <is>
          <t>Philippines|EPHE|2018</t>
        </is>
      </c>
      <c r="K413" t="inlineStr">
        <is>
          <t>Philippines|2018</t>
        </is>
      </c>
      <c r="L413" t="inlineStr">
        <is>
          <t>USD</t>
        </is>
      </c>
      <c r="M413" t="n">
        <v>-18.52798801290153</v>
      </c>
      <c r="N413" t="n">
        <v>0</v>
      </c>
      <c r="O413" t="n">
        <v>-18.52798801290153</v>
      </c>
      <c r="P413" t="n">
        <v>4.479310053656849</v>
      </c>
      <c r="Q413" t="n">
        <v>-22.02091309249903</v>
      </c>
    </row>
    <row r="414">
      <c r="A414" t="inlineStr">
        <is>
          <t>Philippines</t>
        </is>
      </c>
      <c r="B414" t="inlineStr">
        <is>
          <t>PHL</t>
        </is>
      </c>
      <c r="C414" t="inlineStr">
        <is>
          <t>EPHE</t>
        </is>
      </c>
      <c r="D414" t="n">
        <v>2019</v>
      </c>
      <c r="E414" t="n">
        <v>5.276077611072649</v>
      </c>
      <c r="F414" t="n">
        <v>6.119</v>
      </c>
      <c r="G414" t="n">
        <v>6.858253</v>
      </c>
      <c r="H414" t="n">
        <v>8.643993999999999</v>
      </c>
      <c r="I414" t="n">
        <v>3.36791638892735</v>
      </c>
      <c r="J414" t="inlineStr">
        <is>
          <t>Philippines|EPHE|2019</t>
        </is>
      </c>
      <c r="K414" t="inlineStr">
        <is>
          <t>Philippines|2019</t>
        </is>
      </c>
      <c r="L414" t="inlineStr">
        <is>
          <t>USD</t>
        </is>
      </c>
      <c r="M414" t="n">
        <v>5.276077611072649</v>
      </c>
      <c r="N414" t="n">
        <v>0</v>
      </c>
      <c r="O414" t="n">
        <v>5.276077611072649</v>
      </c>
      <c r="P414" t="n">
        <v>-1.643662492519515</v>
      </c>
      <c r="Q414" t="n">
        <v>7.035377972533685</v>
      </c>
    </row>
    <row r="415">
      <c r="A415" t="inlineStr">
        <is>
          <t>Philippines</t>
        </is>
      </c>
      <c r="B415" t="inlineStr">
        <is>
          <t>PHL</t>
        </is>
      </c>
      <c r="C415" t="inlineStr">
        <is>
          <t>EPHE</t>
        </is>
      </c>
      <c r="D415" t="n">
        <v>2020</v>
      </c>
      <c r="E415" t="n">
        <v>-4.553408158263849</v>
      </c>
      <c r="F415" t="n">
        <v>-9.518000000000001</v>
      </c>
      <c r="G415" t="n">
        <v>-8.024900000000001</v>
      </c>
      <c r="H415" t="n">
        <v>-3.999756</v>
      </c>
      <c r="I415" t="n">
        <v>0.5536521582638492</v>
      </c>
      <c r="J415" t="inlineStr">
        <is>
          <t>Philippines|EPHE|2020</t>
        </is>
      </c>
      <c r="K415" t="inlineStr">
        <is>
          <t>Philippines|2020</t>
        </is>
      </c>
      <c r="L415" t="inlineStr">
        <is>
          <t>USD</t>
        </is>
      </c>
      <c r="M415" t="n">
        <v>-4.553408158263849</v>
      </c>
      <c r="N415" t="n">
        <v>0</v>
      </c>
      <c r="O415" t="n">
        <v>-4.553408158263849</v>
      </c>
      <c r="P415" t="n">
        <v>-4.192847459033311</v>
      </c>
      <c r="Q415" t="n">
        <v>-0.3763400640430903</v>
      </c>
    </row>
    <row r="416">
      <c r="A416" t="inlineStr">
        <is>
          <t>Philippines</t>
        </is>
      </c>
      <c r="B416" t="inlineStr">
        <is>
          <t>PHL</t>
        </is>
      </c>
      <c r="C416" t="inlineStr">
        <is>
          <t>EPHE</t>
        </is>
      </c>
      <c r="D416" t="n">
        <v>2021</v>
      </c>
      <c r="E416" t="n">
        <v>-3.448279073330063</v>
      </c>
      <c r="F416" t="n">
        <v>5.715</v>
      </c>
      <c r="G416" t="n">
        <v>8.127649</v>
      </c>
      <c r="H416" t="n">
        <v>8.938745000000001</v>
      </c>
      <c r="I416" t="n">
        <v>12.38702407333006</v>
      </c>
      <c r="J416" t="inlineStr">
        <is>
          <t>Philippines|EPHE|2021</t>
        </is>
      </c>
      <c r="K416" t="inlineStr">
        <is>
          <t>Philippines|2021</t>
        </is>
      </c>
      <c r="L416" t="inlineStr">
        <is>
          <t>USD</t>
        </is>
      </c>
      <c r="M416" t="n">
        <v>-3.448279073330063</v>
      </c>
      <c r="N416" t="n">
        <v>0</v>
      </c>
      <c r="O416" t="n">
        <v>-3.448279073330063</v>
      </c>
      <c r="P416" t="n">
        <v>-0.7445433587886963</v>
      </c>
      <c r="Q416" t="n">
        <v>-2.72401720372395</v>
      </c>
    </row>
    <row r="417">
      <c r="A417" t="inlineStr">
        <is>
          <t>Philippines</t>
        </is>
      </c>
      <c r="B417" t="inlineStr">
        <is>
          <t>PHL</t>
        </is>
      </c>
      <c r="C417" t="inlineStr">
        <is>
          <t>EPHE</t>
        </is>
      </c>
      <c r="D417" t="n">
        <v>2022</v>
      </c>
      <c r="E417" t="n">
        <v>-16.29913784674548</v>
      </c>
      <c r="F417" t="n">
        <v>7.581</v>
      </c>
      <c r="G417" t="n">
        <v>13.485713</v>
      </c>
      <c r="H417" t="n">
        <v>2.605009</v>
      </c>
      <c r="I417" t="n">
        <v>18.90414684674548</v>
      </c>
      <c r="J417" t="inlineStr">
        <is>
          <t>Philippines|EPHE|2022</t>
        </is>
      </c>
      <c r="K417" t="inlineStr">
        <is>
          <t>Philippines|2022</t>
        </is>
      </c>
      <c r="L417" t="inlineStr">
        <is>
          <t>USD</t>
        </is>
      </c>
      <c r="M417" t="n">
        <v>-16.29913784674548</v>
      </c>
      <c r="N417" t="n">
        <v>0</v>
      </c>
      <c r="O417" t="n">
        <v>-16.29913784674548</v>
      </c>
      <c r="P417" t="n">
        <v>10.60445761376145</v>
      </c>
      <c r="Q417" t="n">
        <v>-24.32415116075718</v>
      </c>
    </row>
    <row r="418">
      <c r="A418" t="inlineStr">
        <is>
          <t>Philippines</t>
        </is>
      </c>
      <c r="B418" t="inlineStr">
        <is>
          <t>PHL</t>
        </is>
      </c>
      <c r="C418" t="inlineStr">
        <is>
          <t>EPHE</t>
        </is>
      </c>
      <c r="D418" t="n">
        <v>2023</v>
      </c>
      <c r="E418" t="n">
        <v>-2.072347872781721</v>
      </c>
      <c r="F418" t="n">
        <v>5.519</v>
      </c>
      <c r="G418" t="n">
        <v>10.374339</v>
      </c>
      <c r="H418" t="n">
        <v>8.087488</v>
      </c>
      <c r="I418" t="n">
        <v>10.15983587278172</v>
      </c>
      <c r="J418" t="inlineStr">
        <is>
          <t>Philippines|EPHE|2023</t>
        </is>
      </c>
      <c r="K418" t="inlineStr">
        <is>
          <t>Philippines|2023</t>
        </is>
      </c>
      <c r="L418" t="inlineStr">
        <is>
          <t>USD</t>
        </is>
      </c>
      <c r="M418" t="n">
        <v>-2.072347872781721</v>
      </c>
      <c r="N418" t="n">
        <v>0</v>
      </c>
      <c r="O418" t="n">
        <v>-2.072347872781721</v>
      </c>
      <c r="P418" t="n">
        <v>2.11574068731486</v>
      </c>
      <c r="Q418" t="n">
        <v>-4.101315362262103</v>
      </c>
    </row>
    <row r="419">
      <c r="A419" t="inlineStr">
        <is>
          <t>Philippines</t>
        </is>
      </c>
      <c r="B419" t="inlineStr">
        <is>
          <t>PHL</t>
        </is>
      </c>
      <c r="C419" t="inlineStr">
        <is>
          <t>EPHE</t>
        </is>
      </c>
      <c r="D419" t="n">
        <v>2024</v>
      </c>
      <c r="E419" t="n">
        <v>-3.952412894877344</v>
      </c>
      <c r="F419" t="n">
        <v>5.692</v>
      </c>
      <c r="G419" t="n">
        <v>8.772079</v>
      </c>
      <c r="H419" t="n">
        <v>5.619888</v>
      </c>
      <c r="I419" t="n">
        <v>9.572300894877344</v>
      </c>
      <c r="J419" t="inlineStr">
        <is>
          <t>Philippines|EPHE|2024</t>
        </is>
      </c>
      <c r="K419" t="inlineStr">
        <is>
          <t>Philippines|2024</t>
        </is>
      </c>
      <c r="L419" t="inlineStr">
        <is>
          <t>USD</t>
        </is>
      </c>
      <c r="M419" t="n">
        <v>-3.952412894877344</v>
      </c>
      <c r="N419" t="n">
        <v>0</v>
      </c>
      <c r="O419" t="n">
        <v>-3.952412894877344</v>
      </c>
      <c r="P419" t="n">
        <v>2.984467452919337</v>
      </c>
      <c r="Q419" t="n">
        <v>-6.735851065082188</v>
      </c>
    </row>
    <row r="420">
      <c r="A420" t="inlineStr">
        <is>
          <t>Philippines</t>
        </is>
      </c>
      <c r="B420" t="inlineStr">
        <is>
          <t>PHL</t>
        </is>
      </c>
      <c r="C420" t="inlineStr">
        <is>
          <t>EPHE</t>
        </is>
      </c>
      <c r="D420" t="n">
        <v>2025</v>
      </c>
      <c r="E420" t="n">
        <v>-1.50197301274998</v>
      </c>
      <c r="F420" t="n">
        <v>5.435</v>
      </c>
      <c r="G420" t="n">
        <v>7.049198</v>
      </c>
      <c r="H420" t="n">
        <v>7.04935</v>
      </c>
      <c r="I420" t="n">
        <v>8.551323012749979</v>
      </c>
      <c r="J420" t="inlineStr">
        <is>
          <t>Philippines|EPHE|2025</t>
        </is>
      </c>
      <c r="K420" t="inlineStr">
        <is>
          <t>Philippines|2025</t>
        </is>
      </c>
      <c r="L420" t="inlineStr">
        <is>
          <t>USD</t>
        </is>
      </c>
      <c r="M420" t="n">
        <v>-1.50197301274998</v>
      </c>
      <c r="N420" t="n">
        <v>0</v>
      </c>
      <c r="O420" t="n">
        <v>-1.50197301274998</v>
      </c>
      <c r="P420" t="n">
        <v>-0.0001420958594233745</v>
      </c>
      <c r="Q420" t="n">
        <v>-1.501833050933132</v>
      </c>
    </row>
    <row r="421">
      <c r="A421" t="inlineStr">
        <is>
          <t>Philippines</t>
        </is>
      </c>
      <c r="B421" t="inlineStr">
        <is>
          <t>PHL</t>
        </is>
      </c>
      <c r="C421" t="inlineStr">
        <is>
          <t>EPHE</t>
        </is>
      </c>
      <c r="D421" t="n">
        <v>2026</v>
      </c>
      <c r="E421" t="n">
        <v>3.280632208439882</v>
      </c>
      <c r="F421" t="n">
        <v>5.731</v>
      </c>
      <c r="G421" t="n">
        <v>8.046950000000001</v>
      </c>
      <c r="H421" t="n">
        <v>8.046818999999999</v>
      </c>
      <c r="I421" t="n">
        <v>4.766186791560117</v>
      </c>
      <c r="J421" t="inlineStr">
        <is>
          <t>Philippines|EPHE|2026</t>
        </is>
      </c>
      <c r="K421" t="inlineStr">
        <is>
          <t>Philippines|2026</t>
        </is>
      </c>
      <c r="L421" t="inlineStr">
        <is>
          <t>USD</t>
        </is>
      </c>
      <c r="M421" t="n">
        <v>3.280632208439882</v>
      </c>
      <c r="N421" t="n">
        <v>0</v>
      </c>
      <c r="O421" t="n">
        <v>3.280632208439882</v>
      </c>
      <c r="P421" t="n">
        <v>0.000121477756476196</v>
      </c>
      <c r="Q421" t="n">
        <v>3.280506745597411</v>
      </c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XPHG.L</t>
        </is>
      </c>
      <c r="D422" t="n">
        <v>2015</v>
      </c>
      <c r="E422" t="n">
        <v>-5.919815719102905</v>
      </c>
      <c r="F422" t="n">
        <v>6.348</v>
      </c>
      <c r="G422" t="inlineStr"/>
      <c r="H422" t="inlineStr"/>
      <c r="I422" t="inlineStr"/>
      <c r="J422" t="inlineStr">
        <is>
          <t>Philippines|XPHG.L|2015</t>
        </is>
      </c>
      <c r="K422" t="inlineStr">
        <is>
          <t>Philippines|2015</t>
        </is>
      </c>
      <c r="L422" t="inlineStr">
        <is>
          <t>GBp</t>
        </is>
      </c>
      <c r="M422" t="n">
        <v>-5.919815719102905</v>
      </c>
      <c r="N422" t="n">
        <v>-4.888855870697362</v>
      </c>
      <c r="O422" t="n">
        <v>-10.51926033148244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XPHG.L</t>
        </is>
      </c>
      <c r="D423" t="n">
        <v>2016</v>
      </c>
      <c r="E423" t="n">
        <v>17.71382143851849</v>
      </c>
      <c r="F423" t="n">
        <v>7.149</v>
      </c>
      <c r="G423" t="n">
        <v>8.521296</v>
      </c>
      <c r="H423" t="n">
        <v>3.974925</v>
      </c>
      <c r="I423" t="n">
        <v>5.831860507821489</v>
      </c>
      <c r="J423" t="inlineStr">
        <is>
          <t>Philippines|XPHG.L|2016</t>
        </is>
      </c>
      <c r="K423" t="inlineStr">
        <is>
          <t>Philippines|2016</t>
        </is>
      </c>
      <c r="L423" t="inlineStr">
        <is>
          <t>GBp</t>
        </is>
      </c>
      <c r="M423" t="n">
        <v>17.71382143851849</v>
      </c>
      <c r="N423" t="n">
        <v>-16.62570861023462</v>
      </c>
      <c r="O423" t="n">
        <v>-1.856935507821489</v>
      </c>
      <c r="P423" t="n">
        <v>4.372563955163522</v>
      </c>
      <c r="Q423" t="n">
        <v>-5.968522020462275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XPHG.L</t>
        </is>
      </c>
      <c r="D424" t="n">
        <v>2017</v>
      </c>
      <c r="E424" t="n">
        <v>9.373920972458262</v>
      </c>
      <c r="F424" t="n">
        <v>6.931</v>
      </c>
      <c r="G424" t="n">
        <v>9.412061</v>
      </c>
      <c r="H424" t="n">
        <v>3.092644</v>
      </c>
      <c r="I424" t="n">
        <v>-15.95144977472957</v>
      </c>
      <c r="J424" t="inlineStr">
        <is>
          <t>Philippines|XPHG.L|2017</t>
        </is>
      </c>
      <c r="K424" t="inlineStr">
        <is>
          <t>Philippines|2017</t>
        </is>
      </c>
      <c r="L424" t="inlineStr">
        <is>
          <t>GBp</t>
        </is>
      </c>
      <c r="M424" t="n">
        <v>9.373920972458262</v>
      </c>
      <c r="N424" t="n">
        <v>8.841388071573641</v>
      </c>
      <c r="O424" t="n">
        <v>19.04409377472957</v>
      </c>
      <c r="P424" t="n">
        <v>6.129842238863148</v>
      </c>
      <c r="Q424" t="n">
        <v>12.16835082709416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XPHG.L</t>
        </is>
      </c>
      <c r="D425" t="n">
        <v>2018</v>
      </c>
      <c r="E425" t="n">
        <v>-11.28058424625853</v>
      </c>
      <c r="F425" t="n">
        <v>6.341</v>
      </c>
      <c r="G425" t="n">
        <v>10.319357</v>
      </c>
      <c r="H425" t="n">
        <v>5.589669</v>
      </c>
      <c r="I425" t="n">
        <v>22.26909960119694</v>
      </c>
      <c r="J425" t="inlineStr">
        <is>
          <t>Philippines|XPHG.L|2018</t>
        </is>
      </c>
      <c r="K425" t="inlineStr">
        <is>
          <t>Philippines|2018</t>
        </is>
      </c>
      <c r="L425" t="inlineStr">
        <is>
          <t>GBp</t>
        </is>
      </c>
      <c r="M425" t="n">
        <v>-11.28058424625853</v>
      </c>
      <c r="N425" t="n">
        <v>-6.085304224640065</v>
      </c>
      <c r="O425" t="n">
        <v>-16.67943060119694</v>
      </c>
      <c r="P425" t="n">
        <v>4.479310053656849</v>
      </c>
      <c r="Q425" t="n">
        <v>-20.25160832703376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XPHG.L</t>
        </is>
      </c>
      <c r="D426" t="n">
        <v>2019</v>
      </c>
      <c r="E426" t="n">
        <v>1.759943643992123</v>
      </c>
      <c r="F426" t="n">
        <v>6.119</v>
      </c>
      <c r="G426" t="n">
        <v>6.858253</v>
      </c>
      <c r="H426" t="n">
        <v>8.643993999999999</v>
      </c>
      <c r="I426" t="n">
        <v>3.888375709573189</v>
      </c>
      <c r="J426" t="inlineStr">
        <is>
          <t>Philippines|XPHG.L|2019</t>
        </is>
      </c>
      <c r="K426" t="inlineStr">
        <is>
          <t>Philippines|2019</t>
        </is>
      </c>
      <c r="L426" t="inlineStr">
        <is>
          <t>GBp</t>
        </is>
      </c>
      <c r="M426" t="n">
        <v>1.759943643992123</v>
      </c>
      <c r="N426" t="n">
        <v>2.94386429390634</v>
      </c>
      <c r="O426" t="n">
        <v>4.755618290426811</v>
      </c>
      <c r="P426" t="n">
        <v>-1.643662492519515</v>
      </c>
      <c r="Q426" t="n">
        <v>6.506221098828147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XPHG.L</t>
        </is>
      </c>
      <c r="D427" t="n">
        <v>2020</v>
      </c>
      <c r="E427" t="n">
        <v>-5.298006975537762</v>
      </c>
      <c r="F427" t="n">
        <v>-9.518000000000001</v>
      </c>
      <c r="G427" t="n">
        <v>-8.024900000000001</v>
      </c>
      <c r="H427" t="n">
        <v>-3.999756</v>
      </c>
      <c r="I427" t="n">
        <v>-1.329917183958786</v>
      </c>
      <c r="J427" t="inlineStr">
        <is>
          <t>Philippines|XPHG.L|2020</t>
        </is>
      </c>
      <c r="K427" t="inlineStr">
        <is>
          <t>Philippines|2020</t>
        </is>
      </c>
      <c r="L427" t="inlineStr">
        <is>
          <t>GBp</t>
        </is>
      </c>
      <c r="M427" t="n">
        <v>-5.298006975537762</v>
      </c>
      <c r="N427" t="n">
        <v>2.775198362317122</v>
      </c>
      <c r="O427" t="n">
        <v>-2.669838816041215</v>
      </c>
      <c r="P427" t="n">
        <v>-4.192847459033311</v>
      </c>
      <c r="Q427" t="n">
        <v>1.589660690876782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XPHG.L</t>
        </is>
      </c>
      <c r="D428" t="n">
        <v>2021</v>
      </c>
      <c r="E428" t="n">
        <v>-2.604550970119768</v>
      </c>
      <c r="F428" t="n">
        <v>5.715</v>
      </c>
      <c r="G428" t="n">
        <v>8.127649</v>
      </c>
      <c r="H428" t="n">
        <v>8.938745000000001</v>
      </c>
      <c r="I428" t="n">
        <v>12.78725062564262</v>
      </c>
      <c r="J428" t="inlineStr">
        <is>
          <t>Philippines|XPHG.L|2021</t>
        </is>
      </c>
      <c r="K428" t="inlineStr">
        <is>
          <t>Philippines|2021</t>
        </is>
      </c>
      <c r="L428" t="inlineStr">
        <is>
          <t>GBp</t>
        </is>
      </c>
      <c r="M428" t="n">
        <v>-2.604550970119768</v>
      </c>
      <c r="N428" t="n">
        <v>-1.277220514832489</v>
      </c>
      <c r="O428" t="n">
        <v>-3.848505625642618</v>
      </c>
      <c r="P428" t="n">
        <v>-0.7445433587886963</v>
      </c>
      <c r="Q428" t="n">
        <v>-3.127245969029313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XPHG.L</t>
        </is>
      </c>
      <c r="D429" t="n">
        <v>2022</v>
      </c>
      <c r="E429" t="n">
        <v>-3.244274809160308</v>
      </c>
      <c r="F429" t="n">
        <v>7.581</v>
      </c>
      <c r="G429" t="n">
        <v>13.485713</v>
      </c>
      <c r="H429" t="n">
        <v>2.605009</v>
      </c>
      <c r="I429" t="n">
        <v>16.33861743439824</v>
      </c>
      <c r="J429" t="inlineStr">
        <is>
          <t>Philippines|XPHG.L|2022</t>
        </is>
      </c>
      <c r="K429" t="inlineStr">
        <is>
          <t>Philippines|2022</t>
        </is>
      </c>
      <c r="L429" t="inlineStr">
        <is>
          <t>GBp</t>
        </is>
      </c>
      <c r="M429" t="n">
        <v>-3.244274809160308</v>
      </c>
      <c r="N429" t="n">
        <v>-10.84104698150823</v>
      </c>
      <c r="O429" t="n">
        <v>-13.73360843439824</v>
      </c>
      <c r="P429" t="n">
        <v>10.60445761376145</v>
      </c>
      <c r="Q429" t="n">
        <v>-22.00459780124769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XPHG.L</t>
        </is>
      </c>
      <c r="D430" t="n">
        <v>2023</v>
      </c>
      <c r="E430" t="n">
        <v>-5.217727780083791</v>
      </c>
      <c r="F430" t="n">
        <v>5.519</v>
      </c>
      <c r="G430" t="n">
        <v>10.374339</v>
      </c>
      <c r="H430" t="n">
        <v>8.087488</v>
      </c>
      <c r="I430" t="n">
        <v>8.506360252966807</v>
      </c>
      <c r="J430" t="inlineStr">
        <is>
          <t>Philippines|XPHG.L|2023</t>
        </is>
      </c>
      <c r="K430" t="inlineStr">
        <is>
          <t>Philippines|2023</t>
        </is>
      </c>
      <c r="L430" t="inlineStr">
        <is>
          <t>GBp</t>
        </is>
      </c>
      <c r="M430" t="n">
        <v>-5.217727780083791</v>
      </c>
      <c r="N430" t="n">
        <v>5.06303068571996</v>
      </c>
      <c r="O430" t="n">
        <v>-0.4188722529668065</v>
      </c>
      <c r="P430" t="n">
        <v>2.11574068731486</v>
      </c>
      <c r="Q430" t="n">
        <v>-2.482098179205128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XPHG.L</t>
        </is>
      </c>
      <c r="D431" t="n">
        <v>2024</v>
      </c>
      <c r="E431" t="n">
        <v>-2.961461684283073</v>
      </c>
      <c r="F431" t="n">
        <v>5.692</v>
      </c>
      <c r="G431" t="n">
        <v>8.772079</v>
      </c>
      <c r="H431" t="n">
        <v>5.619888</v>
      </c>
      <c r="I431" t="n">
        <v>9.960319252331502</v>
      </c>
      <c r="J431" t="inlineStr">
        <is>
          <t>Philippines|XPHG.L|2024</t>
        </is>
      </c>
      <c r="K431" t="inlineStr">
        <is>
          <t>Philippines|2024</t>
        </is>
      </c>
      <c r="L431" t="inlineStr">
        <is>
          <t>GBp</t>
        </is>
      </c>
      <c r="M431" t="n">
        <v>-2.961461684283073</v>
      </c>
      <c r="N431" t="n">
        <v>-1.421053523664917</v>
      </c>
      <c r="O431" t="n">
        <v>-4.3404312523315</v>
      </c>
      <c r="P431" t="n">
        <v>2.984467452919337</v>
      </c>
      <c r="Q431" t="n">
        <v>-7.112624734986861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XPHG.L</t>
        </is>
      </c>
      <c r="D432" t="n">
        <v>2025</v>
      </c>
      <c r="E432" t="n">
        <v>-7.84634131086781</v>
      </c>
      <c r="F432" t="n">
        <v>5.435</v>
      </c>
      <c r="G432" t="n">
        <v>7.049198</v>
      </c>
      <c r="H432" t="n">
        <v>7.04935</v>
      </c>
      <c r="I432" t="n">
        <v>7.917881192322508</v>
      </c>
      <c r="J432" t="inlineStr">
        <is>
          <t>Philippines|XPHG.L|2025</t>
        </is>
      </c>
      <c r="K432" t="inlineStr">
        <is>
          <t>Philippines|2025</t>
        </is>
      </c>
      <c r="L432" t="inlineStr">
        <is>
          <t>GBp</t>
        </is>
      </c>
      <c r="M432" t="n">
        <v>-7.84634131086781</v>
      </c>
      <c r="N432" t="n">
        <v>7.571929555270285</v>
      </c>
      <c r="O432" t="n">
        <v>-0.8685311923225081</v>
      </c>
      <c r="P432" t="n">
        <v>-0.0001420958594233745</v>
      </c>
      <c r="Q432" t="n">
        <v>-0.8683903304097851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XPHG.L</t>
        </is>
      </c>
      <c r="D433" t="n">
        <v>2026</v>
      </c>
      <c r="E433" t="n">
        <v>4.08971121432451</v>
      </c>
      <c r="F433" t="n">
        <v>5.731</v>
      </c>
      <c r="G433" t="n">
        <v>8.046950000000001</v>
      </c>
      <c r="H433" t="n">
        <v>8.046818999999999</v>
      </c>
      <c r="I433" t="n">
        <v>4.789078995371781</v>
      </c>
      <c r="J433" t="inlineStr">
        <is>
          <t>Philippines|XPHG.L|2026</t>
        </is>
      </c>
      <c r="K433" t="inlineStr">
        <is>
          <t>Philippines|2026</t>
        </is>
      </c>
      <c r="L433" t="inlineStr">
        <is>
          <t>GBp</t>
        </is>
      </c>
      <c r="M433" t="n">
        <v>4.08971121432451</v>
      </c>
      <c r="N433" t="n">
        <v>-0.7992828493713855</v>
      </c>
      <c r="O433" t="n">
        <v>3.257740004628218</v>
      </c>
      <c r="P433" t="n">
        <v>0.000121477756476196</v>
      </c>
      <c r="Q433" t="n">
        <v>3.257614569594658</v>
      </c>
    </row>
    <row r="434">
      <c r="A434" t="inlineStr">
        <is>
          <t>Poland</t>
        </is>
      </c>
      <c r="B434" t="inlineStr">
        <is>
          <t>POL</t>
        </is>
      </c>
      <c r="C434" t="inlineStr">
        <is>
          <t>EPOL</t>
        </is>
      </c>
      <c r="D434" t="n">
        <v>2015</v>
      </c>
      <c r="E434" t="n">
        <v>-23.61639262598233</v>
      </c>
      <c r="F434" t="n">
        <v>4.432</v>
      </c>
      <c r="G434" t="inlineStr"/>
      <c r="H434" t="inlineStr"/>
      <c r="I434" t="inlineStr"/>
      <c r="J434" t="inlineStr">
        <is>
          <t>Poland|EPOL|2015</t>
        </is>
      </c>
      <c r="K434" t="inlineStr">
        <is>
          <t>Poland|2015</t>
        </is>
      </c>
      <c r="L434" t="inlineStr">
        <is>
          <t>USD</t>
        </is>
      </c>
      <c r="M434" t="n">
        <v>-23.61639262598233</v>
      </c>
      <c r="N434" t="n">
        <v>0</v>
      </c>
      <c r="O434" t="n">
        <v>-23.61639262598233</v>
      </c>
      <c r="P434" t="inlineStr"/>
      <c r="Q434" t="inlineStr"/>
    </row>
    <row r="435">
      <c r="A435" t="inlineStr">
        <is>
          <t>Poland</t>
        </is>
      </c>
      <c r="B435" t="inlineStr">
        <is>
          <t>POL</t>
        </is>
      </c>
      <c r="C435" t="inlineStr">
        <is>
          <t>EPOL</t>
        </is>
      </c>
      <c r="D435" t="n">
        <v>2016</v>
      </c>
      <c r="E435" t="n">
        <v>3.247872518245876</v>
      </c>
      <c r="F435" t="n">
        <v>3.031</v>
      </c>
      <c r="G435" t="n">
        <v>3.116552</v>
      </c>
      <c r="H435" t="n">
        <v>-1.427056</v>
      </c>
      <c r="I435" t="n">
        <v>-4.674928518245876</v>
      </c>
      <c r="J435" t="inlineStr">
        <is>
          <t>Poland|EPOL|2016</t>
        </is>
      </c>
      <c r="K435" t="inlineStr">
        <is>
          <t>Poland|2016</t>
        </is>
      </c>
      <c r="L435" t="inlineStr">
        <is>
          <t>USD</t>
        </is>
      </c>
      <c r="M435" t="n">
        <v>3.247872518245876</v>
      </c>
      <c r="N435" t="n">
        <v>0</v>
      </c>
      <c r="O435" t="n">
        <v>3.247872518245876</v>
      </c>
      <c r="P435" t="n">
        <v>4.609386029934415</v>
      </c>
      <c r="Q435" t="n">
        <v>-1.30152136759405</v>
      </c>
    </row>
    <row r="436">
      <c r="A436" t="inlineStr">
        <is>
          <t>Poland</t>
        </is>
      </c>
      <c r="B436" t="inlineStr">
        <is>
          <t>POL</t>
        </is>
      </c>
      <c r="C436" t="inlineStr">
        <is>
          <t>EPOL</t>
        </is>
      </c>
      <c r="D436" t="n">
        <v>2017</v>
      </c>
      <c r="E436" t="n">
        <v>47.70992326717793</v>
      </c>
      <c r="F436" t="n">
        <v>5.152</v>
      </c>
      <c r="G436" t="n">
        <v>7.01387</v>
      </c>
      <c r="H436" t="n">
        <v>11.760626</v>
      </c>
      <c r="I436" t="n">
        <v>-35.94929726717793</v>
      </c>
      <c r="J436" t="inlineStr">
        <is>
          <t>Poland|EPOL|2017</t>
        </is>
      </c>
      <c r="K436" t="inlineStr">
        <is>
          <t>Poland|2017</t>
        </is>
      </c>
      <c r="L436" t="inlineStr">
        <is>
          <t>USD</t>
        </is>
      </c>
      <c r="M436" t="n">
        <v>47.70992326717793</v>
      </c>
      <c r="N436" t="n">
        <v>0</v>
      </c>
      <c r="O436" t="n">
        <v>47.70992326717793</v>
      </c>
      <c r="P436" t="n">
        <v>-4.247252741367092</v>
      </c>
      <c r="Q436" t="n">
        <v>54.26181231981377</v>
      </c>
    </row>
    <row r="437">
      <c r="A437" t="inlineStr">
        <is>
          <t>Poland</t>
        </is>
      </c>
      <c r="B437" t="inlineStr">
        <is>
          <t>POL</t>
        </is>
      </c>
      <c r="C437" t="inlineStr">
        <is>
          <t>EPOL</t>
        </is>
      </c>
      <c r="D437" t="n">
        <v>2018</v>
      </c>
      <c r="E437" t="n">
        <v>-15.88750404475652</v>
      </c>
      <c r="F437" t="n">
        <v>6.246</v>
      </c>
      <c r="G437" t="n">
        <v>7.549493</v>
      </c>
      <c r="H437" t="n">
        <v>12.515492</v>
      </c>
      <c r="I437" t="n">
        <v>28.40299604475652</v>
      </c>
      <c r="J437" t="inlineStr">
        <is>
          <t>Poland|EPOL|2018</t>
        </is>
      </c>
      <c r="K437" t="inlineStr">
        <is>
          <t>Poland|2018</t>
        </is>
      </c>
      <c r="L437" t="inlineStr">
        <is>
          <t>USD</t>
        </is>
      </c>
      <c r="M437" t="n">
        <v>-15.88750404475652</v>
      </c>
      <c r="N437" t="n">
        <v>0</v>
      </c>
      <c r="O437" t="n">
        <v>-15.88750404475652</v>
      </c>
      <c r="P437" t="n">
        <v>-4.413613323461574</v>
      </c>
      <c r="Q437" t="n">
        <v>-12.00368705234382</v>
      </c>
    </row>
    <row r="438">
      <c r="A438" t="inlineStr">
        <is>
          <t>Poland</t>
        </is>
      </c>
      <c r="B438" t="inlineStr">
        <is>
          <t>POL</t>
        </is>
      </c>
      <c r="C438" t="inlineStr">
        <is>
          <t>EPOL</t>
        </is>
      </c>
      <c r="D438" t="n">
        <v>2019</v>
      </c>
      <c r="E438" t="n">
        <v>-8.823533051372456</v>
      </c>
      <c r="F438" t="n">
        <v>4.581</v>
      </c>
      <c r="G438" t="n">
        <v>7.74553</v>
      </c>
      <c r="H438" t="n">
        <v>1.337109</v>
      </c>
      <c r="I438" t="n">
        <v>10.16064205137246</v>
      </c>
      <c r="J438" t="inlineStr">
        <is>
          <t>Poland|EPOL|2019</t>
        </is>
      </c>
      <c r="K438" t="inlineStr">
        <is>
          <t>Poland|2019</t>
        </is>
      </c>
      <c r="L438" t="inlineStr">
        <is>
          <t>USD</t>
        </is>
      </c>
      <c r="M438" t="n">
        <v>-8.823533051372456</v>
      </c>
      <c r="N438" t="n">
        <v>0</v>
      </c>
      <c r="O438" t="n">
        <v>-8.823533051372456</v>
      </c>
      <c r="P438" t="n">
        <v>6.323863962972553</v>
      </c>
      <c r="Q438" t="n">
        <v>-14.24646965390584</v>
      </c>
    </row>
    <row r="439">
      <c r="A439" t="inlineStr">
        <is>
          <t>Poland</t>
        </is>
      </c>
      <c r="B439" t="inlineStr">
        <is>
          <t>POL</t>
        </is>
      </c>
      <c r="C439" t="inlineStr">
        <is>
          <t>EPOL</t>
        </is>
      </c>
      <c r="D439" t="n">
        <v>2020</v>
      </c>
      <c r="E439" t="n">
        <v>-12.30982024228867</v>
      </c>
      <c r="F439" t="n">
        <v>-2.036</v>
      </c>
      <c r="G439" t="n">
        <v>2.116746</v>
      </c>
      <c r="H439" t="n">
        <v>0.55394</v>
      </c>
      <c r="I439" t="n">
        <v>12.86376024228867</v>
      </c>
      <c r="J439" t="inlineStr">
        <is>
          <t>Poland|EPOL|2020</t>
        </is>
      </c>
      <c r="K439" t="inlineStr">
        <is>
          <t>Poland|2020</t>
        </is>
      </c>
      <c r="L439" t="inlineStr">
        <is>
          <t>USD</t>
        </is>
      </c>
      <c r="M439" t="n">
        <v>-12.30982024228867</v>
      </c>
      <c r="N439" t="n">
        <v>0</v>
      </c>
      <c r="O439" t="n">
        <v>-12.30982024228867</v>
      </c>
      <c r="P439" t="n">
        <v>1.554196387935947</v>
      </c>
      <c r="Q439" t="n">
        <v>-13.65184022259821</v>
      </c>
    </row>
    <row r="440">
      <c r="A440" t="inlineStr">
        <is>
          <t>Poland</t>
        </is>
      </c>
      <c r="B440" t="inlineStr">
        <is>
          <t>POL</t>
        </is>
      </c>
      <c r="C440" t="inlineStr">
        <is>
          <t>EPOL</t>
        </is>
      </c>
      <c r="D440" t="n">
        <v>2021</v>
      </c>
      <c r="E440" t="n">
        <v>8.893481384612812</v>
      </c>
      <c r="F440" t="n">
        <v>6.927</v>
      </c>
      <c r="G440" t="n">
        <v>12.637347</v>
      </c>
      <c r="H440" t="n">
        <v>13.751258</v>
      </c>
      <c r="I440" t="n">
        <v>4.857776615387188</v>
      </c>
      <c r="J440" t="inlineStr">
        <is>
          <t>Poland|EPOL|2021</t>
        </is>
      </c>
      <c r="K440" t="inlineStr">
        <is>
          <t>Poland|2021</t>
        </is>
      </c>
      <c r="L440" t="inlineStr">
        <is>
          <t>USD</t>
        </is>
      </c>
      <c r="M440" t="n">
        <v>8.893481384612812</v>
      </c>
      <c r="N440" t="n">
        <v>0</v>
      </c>
      <c r="O440" t="n">
        <v>8.893481384612812</v>
      </c>
      <c r="P440" t="n">
        <v>-0.979252290650745</v>
      </c>
      <c r="Q440" t="n">
        <v>9.970368739531743</v>
      </c>
    </row>
    <row r="441">
      <c r="A441" t="inlineStr">
        <is>
          <t>Poland</t>
        </is>
      </c>
      <c r="B441" t="inlineStr">
        <is>
          <t>POL</t>
        </is>
      </c>
      <c r="C441" t="inlineStr">
        <is>
          <t>EPOL</t>
        </is>
      </c>
      <c r="D441" t="n">
        <v>2022</v>
      </c>
      <c r="E441" t="n">
        <v>-27.68942635640104</v>
      </c>
      <c r="F441" t="n">
        <v>5.255</v>
      </c>
      <c r="G441" t="n">
        <v>16.506821</v>
      </c>
      <c r="H441" t="n">
        <v>0.940293</v>
      </c>
      <c r="I441" t="n">
        <v>28.62971935640104</v>
      </c>
      <c r="J441" t="inlineStr">
        <is>
          <t>Poland|EPOL|2022</t>
        </is>
      </c>
      <c r="K441" t="inlineStr">
        <is>
          <t>Poland|2022</t>
        </is>
      </c>
      <c r="L441" t="inlineStr">
        <is>
          <t>USD</t>
        </is>
      </c>
      <c r="M441" t="n">
        <v>-27.68942635640104</v>
      </c>
      <c r="N441" t="n">
        <v>0</v>
      </c>
      <c r="O441" t="n">
        <v>-27.68942635640104</v>
      </c>
      <c r="P441" t="n">
        <v>15.42151969035805</v>
      </c>
      <c r="Q441" t="n">
        <v>-37.35087370397917</v>
      </c>
    </row>
    <row r="442">
      <c r="A442" t="inlineStr">
        <is>
          <t>Poland</t>
        </is>
      </c>
      <c r="B442" t="inlineStr">
        <is>
          <t>POL</t>
        </is>
      </c>
      <c r="C442" t="inlineStr">
        <is>
          <t>EPOL</t>
        </is>
      </c>
      <c r="D442" t="n">
        <v>2023</v>
      </c>
      <c r="E442" t="n">
        <v>44.26751524648868</v>
      </c>
      <c r="F442" t="n">
        <v>0.25</v>
      </c>
      <c r="G442" t="n">
        <v>10.139929</v>
      </c>
      <c r="H442" t="n">
        <v>16.849112</v>
      </c>
      <c r="I442" t="n">
        <v>-27.41840324648868</v>
      </c>
      <c r="J442" t="inlineStr">
        <is>
          <t>Poland|EPOL|2023</t>
        </is>
      </c>
      <c r="K442" t="inlineStr">
        <is>
          <t>Poland|2023</t>
        </is>
      </c>
      <c r="L442" t="inlineStr">
        <is>
          <t>USD</t>
        </is>
      </c>
      <c r="M442" t="n">
        <v>44.26751524648868</v>
      </c>
      <c r="N442" t="n">
        <v>0</v>
      </c>
      <c r="O442" t="n">
        <v>44.26751524648868</v>
      </c>
      <c r="P442" t="n">
        <v>-5.741748817305248</v>
      </c>
      <c r="Q442" t="n">
        <v>53.05558233502994</v>
      </c>
    </row>
    <row r="443">
      <c r="A443" t="inlineStr">
        <is>
          <t>Poland</t>
        </is>
      </c>
      <c r="B443" t="inlineStr">
        <is>
          <t>POL</t>
        </is>
      </c>
      <c r="C443" t="inlineStr">
        <is>
          <t>EPOL</t>
        </is>
      </c>
      <c r="D443" t="n">
        <v>2024</v>
      </c>
      <c r="E443" t="n">
        <v>-4.833558828962758</v>
      </c>
      <c r="F443" t="n">
        <v>2.923</v>
      </c>
      <c r="G443" t="n">
        <v>6.615399</v>
      </c>
      <c r="H443" t="n">
        <v>12.496817</v>
      </c>
      <c r="I443" t="n">
        <v>17.33037582896276</v>
      </c>
      <c r="J443" t="inlineStr">
        <is>
          <t>Poland|EPOL|2024</t>
        </is>
      </c>
      <c r="K443" t="inlineStr">
        <is>
          <t>Poland|2024</t>
        </is>
      </c>
      <c r="L443" t="inlineStr">
        <is>
          <t>USD</t>
        </is>
      </c>
      <c r="M443" t="n">
        <v>-4.833558828962758</v>
      </c>
      <c r="N443" t="n">
        <v>0</v>
      </c>
      <c r="O443" t="n">
        <v>-4.833558828962758</v>
      </c>
      <c r="P443" t="n">
        <v>-5.228075237844054</v>
      </c>
      <c r="Q443" t="n">
        <v>0.4162798316815763</v>
      </c>
    </row>
    <row r="444">
      <c r="A444" t="inlineStr">
        <is>
          <t>Poland</t>
        </is>
      </c>
      <c r="B444" t="inlineStr">
        <is>
          <t>POL</t>
        </is>
      </c>
      <c r="C444" t="inlineStr">
        <is>
          <t>EPOL</t>
        </is>
      </c>
      <c r="D444" t="n">
        <v>2025</v>
      </c>
      <c r="E444" t="n">
        <v>68.29267758729426</v>
      </c>
      <c r="F444" t="n">
        <v>3.243</v>
      </c>
      <c r="G444" t="n">
        <v>6.963458</v>
      </c>
      <c r="H444" t="n">
        <v>13.675096</v>
      </c>
      <c r="I444" t="n">
        <v>-54.61758158729427</v>
      </c>
      <c r="J444" t="inlineStr">
        <is>
          <t>Poland|EPOL|2025</t>
        </is>
      </c>
      <c r="K444" t="inlineStr">
        <is>
          <t>Poland|2025</t>
        </is>
      </c>
      <c r="L444" t="inlineStr">
        <is>
          <t>USD</t>
        </is>
      </c>
      <c r="M444" t="n">
        <v>68.29267758729426</v>
      </c>
      <c r="N444" t="n">
        <v>0</v>
      </c>
      <c r="O444" t="n">
        <v>68.29267758729426</v>
      </c>
      <c r="P444" t="n">
        <v>-5.904228701907133</v>
      </c>
      <c r="Q444" t="n">
        <v>78.85254062496345</v>
      </c>
    </row>
    <row r="445">
      <c r="A445" t="inlineStr">
        <is>
          <t>Poland</t>
        </is>
      </c>
      <c r="B445" t="inlineStr">
        <is>
          <t>POL</t>
        </is>
      </c>
      <c r="C445" t="inlineStr">
        <is>
          <t>EPOL</t>
        </is>
      </c>
      <c r="D445" t="n">
        <v>2026</v>
      </c>
      <c r="E445" t="n">
        <v>-1.241381415005383</v>
      </c>
      <c r="F445" t="n">
        <v>3.136</v>
      </c>
      <c r="G445" t="n">
        <v>6.397182</v>
      </c>
      <c r="H445" t="n">
        <v>6.766229</v>
      </c>
      <c r="I445" t="n">
        <v>8.007610415005383</v>
      </c>
      <c r="J445" t="inlineStr">
        <is>
          <t>Poland|EPOL|2026</t>
        </is>
      </c>
      <c r="K445" t="inlineStr">
        <is>
          <t>Poland|2026</t>
        </is>
      </c>
      <c r="L445" t="inlineStr">
        <is>
          <t>USD</t>
        </is>
      </c>
      <c r="M445" t="n">
        <v>-1.241381415005383</v>
      </c>
      <c r="N445" t="n">
        <v>0</v>
      </c>
      <c r="O445" t="n">
        <v>-1.241381415005383</v>
      </c>
      <c r="P445" t="n">
        <v>-0.3456590491800249</v>
      </c>
      <c r="Q445" t="n">
        <v>-0.8988292504662709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IPOL.L</t>
        </is>
      </c>
      <c r="D446" t="n">
        <v>2015</v>
      </c>
      <c r="E446" t="n">
        <v>-24.55335253145974</v>
      </c>
      <c r="F446" t="n">
        <v>4.432</v>
      </c>
      <c r="G446" t="inlineStr"/>
      <c r="H446" t="inlineStr"/>
      <c r="I446" t="inlineStr"/>
      <c r="J446" t="inlineStr">
        <is>
          <t>Poland|IPOL.L|2015</t>
        </is>
      </c>
      <c r="K446" t="inlineStr">
        <is>
          <t>Poland|2015</t>
        </is>
      </c>
      <c r="L446" t="inlineStr">
        <is>
          <t>USD</t>
        </is>
      </c>
      <c r="M446" t="n">
        <v>-24.55335253145974</v>
      </c>
      <c r="N446" t="n">
        <v>0</v>
      </c>
      <c r="O446" t="n">
        <v>-24.55335253145974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IPOL.L</t>
        </is>
      </c>
      <c r="D447" t="n">
        <v>2016</v>
      </c>
      <c r="E447" t="n">
        <v>3.866666158040366</v>
      </c>
      <c r="F447" t="n">
        <v>3.031</v>
      </c>
      <c r="G447" t="n">
        <v>3.116552</v>
      </c>
      <c r="H447" t="n">
        <v>-1.427056</v>
      </c>
      <c r="I447" t="n">
        <v>-5.293722158040366</v>
      </c>
      <c r="J447" t="inlineStr">
        <is>
          <t>Poland|IPOL.L|2016</t>
        </is>
      </c>
      <c r="K447" t="inlineStr">
        <is>
          <t>Poland|2016</t>
        </is>
      </c>
      <c r="L447" t="inlineStr">
        <is>
          <t>USD</t>
        </is>
      </c>
      <c r="M447" t="n">
        <v>3.866666158040366</v>
      </c>
      <c r="N447" t="n">
        <v>0</v>
      </c>
      <c r="O447" t="n">
        <v>3.866666158040366</v>
      </c>
      <c r="P447" t="n">
        <v>4.609386029934415</v>
      </c>
      <c r="Q447" t="n">
        <v>-0.7099935293392479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IPOL.L</t>
        </is>
      </c>
      <c r="D448" t="n">
        <v>2017</v>
      </c>
      <c r="E448" t="n">
        <v>52.89624697287321</v>
      </c>
      <c r="F448" t="n">
        <v>5.152</v>
      </c>
      <c r="G448" t="n">
        <v>7.01387</v>
      </c>
      <c r="H448" t="n">
        <v>11.760626</v>
      </c>
      <c r="I448" t="n">
        <v>-41.13562097287321</v>
      </c>
      <c r="J448" t="inlineStr">
        <is>
          <t>Poland|IPOL.L|2017</t>
        </is>
      </c>
      <c r="K448" t="inlineStr">
        <is>
          <t>Poland|2017</t>
        </is>
      </c>
      <c r="L448" t="inlineStr">
        <is>
          <t>USD</t>
        </is>
      </c>
      <c r="M448" t="n">
        <v>52.89624697287321</v>
      </c>
      <c r="N448" t="n">
        <v>0</v>
      </c>
      <c r="O448" t="n">
        <v>52.89624697287321</v>
      </c>
      <c r="P448" t="n">
        <v>-4.247252741367092</v>
      </c>
      <c r="Q448" t="n">
        <v>59.67818297671699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IPOL.L</t>
        </is>
      </c>
      <c r="D449" t="n">
        <v>2018</v>
      </c>
      <c r="E449" t="n">
        <v>-12.83222658794891</v>
      </c>
      <c r="F449" t="n">
        <v>6.246</v>
      </c>
      <c r="G449" t="n">
        <v>7.549493</v>
      </c>
      <c r="H449" t="n">
        <v>12.515492</v>
      </c>
      <c r="I449" t="n">
        <v>25.34771858794891</v>
      </c>
      <c r="J449" t="inlineStr">
        <is>
          <t>Poland|IPOL.L|2018</t>
        </is>
      </c>
      <c r="K449" t="inlineStr">
        <is>
          <t>Poland|2018</t>
        </is>
      </c>
      <c r="L449" t="inlineStr">
        <is>
          <t>USD</t>
        </is>
      </c>
      <c r="M449" t="n">
        <v>-12.83222658794891</v>
      </c>
      <c r="N449" t="n">
        <v>0</v>
      </c>
      <c r="O449" t="n">
        <v>-12.83222658794891</v>
      </c>
      <c r="P449" t="n">
        <v>-4.413613323461574</v>
      </c>
      <c r="Q449" t="n">
        <v>-8.807334974357472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IPOL.L</t>
        </is>
      </c>
      <c r="D450" t="n">
        <v>2019</v>
      </c>
      <c r="E450" t="n">
        <v>-6.94100666991273</v>
      </c>
      <c r="F450" t="n">
        <v>4.581</v>
      </c>
      <c r="G450" t="n">
        <v>7.74553</v>
      </c>
      <c r="H450" t="n">
        <v>1.337109</v>
      </c>
      <c r="I450" t="n">
        <v>8.278115669912731</v>
      </c>
      <c r="J450" t="inlineStr">
        <is>
          <t>Poland|IPOL.L|2019</t>
        </is>
      </c>
      <c r="K450" t="inlineStr">
        <is>
          <t>Poland|2019</t>
        </is>
      </c>
      <c r="L450" t="inlineStr">
        <is>
          <t>USD</t>
        </is>
      </c>
      <c r="M450" t="n">
        <v>-6.94100666991273</v>
      </c>
      <c r="N450" t="n">
        <v>0</v>
      </c>
      <c r="O450" t="n">
        <v>-6.94100666991273</v>
      </c>
      <c r="P450" t="n">
        <v>6.323863962972553</v>
      </c>
      <c r="Q450" t="n">
        <v>-12.47591099351393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IPOL.L</t>
        </is>
      </c>
      <c r="D451" t="n">
        <v>2020</v>
      </c>
      <c r="E451" t="n">
        <v>-13.32834986178385</v>
      </c>
      <c r="F451" t="n">
        <v>-2.036</v>
      </c>
      <c r="G451" t="n">
        <v>2.116746</v>
      </c>
      <c r="H451" t="n">
        <v>0.55394</v>
      </c>
      <c r="I451" t="n">
        <v>13.88228986178385</v>
      </c>
      <c r="J451" t="inlineStr">
        <is>
          <t>Poland|IPOL.L|2020</t>
        </is>
      </c>
      <c r="K451" t="inlineStr">
        <is>
          <t>Poland|2020</t>
        </is>
      </c>
      <c r="L451" t="inlineStr">
        <is>
          <t>USD</t>
        </is>
      </c>
      <c r="M451" t="n">
        <v>-13.32834986178385</v>
      </c>
      <c r="N451" t="n">
        <v>0</v>
      </c>
      <c r="O451" t="n">
        <v>-13.32834986178385</v>
      </c>
      <c r="P451" t="n">
        <v>1.554196387935947</v>
      </c>
      <c r="Q451" t="n">
        <v>-14.65478215480987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IPOL.L</t>
        </is>
      </c>
      <c r="D452" t="n">
        <v>2021</v>
      </c>
      <c r="E452" t="n">
        <v>5.569779315299028</v>
      </c>
      <c r="F452" t="n">
        <v>6.927</v>
      </c>
      <c r="G452" t="n">
        <v>12.637347</v>
      </c>
      <c r="H452" t="n">
        <v>13.751258</v>
      </c>
      <c r="I452" t="n">
        <v>8.181478684700972</v>
      </c>
      <c r="J452" t="inlineStr">
        <is>
          <t>Poland|IPOL.L|2021</t>
        </is>
      </c>
      <c r="K452" t="inlineStr">
        <is>
          <t>Poland|2021</t>
        </is>
      </c>
      <c r="L452" t="inlineStr">
        <is>
          <t>USD</t>
        </is>
      </c>
      <c r="M452" t="n">
        <v>5.569779315299028</v>
      </c>
      <c r="N452" t="n">
        <v>0</v>
      </c>
      <c r="O452" t="n">
        <v>5.569779315299028</v>
      </c>
      <c r="P452" t="n">
        <v>-0.979252290650745</v>
      </c>
      <c r="Q452" t="n">
        <v>6.613797368176644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IPOL.L</t>
        </is>
      </c>
      <c r="D453" t="n">
        <v>2022</v>
      </c>
      <c r="E453" t="n">
        <v>-28.04459025763768</v>
      </c>
      <c r="F453" t="n">
        <v>5.255</v>
      </c>
      <c r="G453" t="n">
        <v>16.506821</v>
      </c>
      <c r="H453" t="n">
        <v>0.940293</v>
      </c>
      <c r="I453" t="n">
        <v>28.98488325763768</v>
      </c>
      <c r="J453" t="inlineStr">
        <is>
          <t>Poland|IPOL.L|2022</t>
        </is>
      </c>
      <c r="K453" t="inlineStr">
        <is>
          <t>Poland|2022</t>
        </is>
      </c>
      <c r="L453" t="inlineStr">
        <is>
          <t>USD</t>
        </is>
      </c>
      <c r="M453" t="n">
        <v>-28.04459025763768</v>
      </c>
      <c r="N453" t="n">
        <v>0</v>
      </c>
      <c r="O453" t="n">
        <v>-28.04459025763768</v>
      </c>
      <c r="P453" t="n">
        <v>15.42151969035805</v>
      </c>
      <c r="Q453" t="n">
        <v>-37.65858400114858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IPOL.L</t>
        </is>
      </c>
      <c r="D454" t="n">
        <v>2023</v>
      </c>
      <c r="E454" t="n">
        <v>48.43636363129584</v>
      </c>
      <c r="F454" t="n">
        <v>0.25</v>
      </c>
      <c r="G454" t="n">
        <v>10.139929</v>
      </c>
      <c r="H454" t="n">
        <v>16.849112</v>
      </c>
      <c r="I454" t="n">
        <v>-31.58725163129584</v>
      </c>
      <c r="J454" t="inlineStr">
        <is>
          <t>Poland|IPOL.L|2023</t>
        </is>
      </c>
      <c r="K454" t="inlineStr">
        <is>
          <t>Poland|2023</t>
        </is>
      </c>
      <c r="L454" t="inlineStr">
        <is>
          <t>USD</t>
        </is>
      </c>
      <c r="M454" t="n">
        <v>48.43636363129584</v>
      </c>
      <c r="N454" t="n">
        <v>0</v>
      </c>
      <c r="O454" t="n">
        <v>48.43636363129584</v>
      </c>
      <c r="P454" t="n">
        <v>-5.741748817305248</v>
      </c>
      <c r="Q454" t="n">
        <v>57.47837644854148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IPOL.L</t>
        </is>
      </c>
      <c r="D455" t="n">
        <v>2024</v>
      </c>
      <c r="E455" t="n">
        <v>-2.90150003330214</v>
      </c>
      <c r="F455" t="n">
        <v>2.923</v>
      </c>
      <c r="G455" t="n">
        <v>6.615399</v>
      </c>
      <c r="H455" t="n">
        <v>12.496817</v>
      </c>
      <c r="I455" t="n">
        <v>15.39831703330214</v>
      </c>
      <c r="J455" t="inlineStr">
        <is>
          <t>Poland|IPOL.L|2024</t>
        </is>
      </c>
      <c r="K455" t="inlineStr">
        <is>
          <t>Poland|2024</t>
        </is>
      </c>
      <c r="L455" t="inlineStr">
        <is>
          <t>USD</t>
        </is>
      </c>
      <c r="M455" t="n">
        <v>-2.90150003330214</v>
      </c>
      <c r="N455" t="n">
        <v>0</v>
      </c>
      <c r="O455" t="n">
        <v>-2.90150003330214</v>
      </c>
      <c r="P455" t="n">
        <v>-5.228075237844054</v>
      </c>
      <c r="Q455" t="n">
        <v>2.454920284019546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IPOL.L</t>
        </is>
      </c>
      <c r="D456" t="n">
        <v>2025</v>
      </c>
      <c r="E456" t="n">
        <v>74.00603656381143</v>
      </c>
      <c r="F456" t="n">
        <v>3.243</v>
      </c>
      <c r="G456" t="n">
        <v>6.963458</v>
      </c>
      <c r="H456" t="n">
        <v>13.675096</v>
      </c>
      <c r="I456" t="n">
        <v>-60.33094056381144</v>
      </c>
      <c r="J456" t="inlineStr">
        <is>
          <t>Poland|IPOL.L|2025</t>
        </is>
      </c>
      <c r="K456" t="inlineStr">
        <is>
          <t>Poland|2025</t>
        </is>
      </c>
      <c r="L456" t="inlineStr">
        <is>
          <t>USD</t>
        </is>
      </c>
      <c r="M456" t="n">
        <v>74.00603656381143</v>
      </c>
      <c r="N456" t="n">
        <v>0</v>
      </c>
      <c r="O456" t="n">
        <v>74.00603656381143</v>
      </c>
      <c r="P456" t="n">
        <v>-5.904228701907133</v>
      </c>
      <c r="Q456" t="n">
        <v>84.92439581855918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IPOL.L</t>
        </is>
      </c>
      <c r="D457" t="n">
        <v>2026</v>
      </c>
      <c r="E457" t="n">
        <v>-2.405556126659203</v>
      </c>
      <c r="F457" t="n">
        <v>3.136</v>
      </c>
      <c r="G457" t="n">
        <v>6.397182</v>
      </c>
      <c r="H457" t="n">
        <v>6.766229</v>
      </c>
      <c r="I457" t="n">
        <v>9.171785126659202</v>
      </c>
      <c r="J457" t="inlineStr">
        <is>
          <t>Poland|IPOL.L|2026</t>
        </is>
      </c>
      <c r="K457" t="inlineStr">
        <is>
          <t>Poland|2026</t>
        </is>
      </c>
      <c r="L457" t="inlineStr">
        <is>
          <t>USD</t>
        </is>
      </c>
      <c r="M457" t="n">
        <v>-2.405556126659203</v>
      </c>
      <c r="N457" t="n">
        <v>0</v>
      </c>
      <c r="O457" t="n">
        <v>-2.405556126659203</v>
      </c>
      <c r="P457" t="n">
        <v>-0.3456590491800249</v>
      </c>
      <c r="Q457" t="n">
        <v>-2.067041995185892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SPOL.L</t>
        </is>
      </c>
      <c r="D458" t="n">
        <v>2015</v>
      </c>
      <c r="E458" t="n">
        <v>-21.83268410313485</v>
      </c>
      <c r="F458" t="n">
        <v>4.432</v>
      </c>
      <c r="G458" t="inlineStr"/>
      <c r="H458" t="inlineStr"/>
      <c r="I458" t="inlineStr"/>
      <c r="J458" t="inlineStr">
        <is>
          <t>Poland|SPOL.L|2015</t>
        </is>
      </c>
      <c r="K458" t="inlineStr">
        <is>
          <t>Poland|2015</t>
        </is>
      </c>
      <c r="L458" t="inlineStr">
        <is>
          <t>GBp</t>
        </is>
      </c>
      <c r="M458" t="n">
        <v>-21.83268410313485</v>
      </c>
      <c r="N458" t="n">
        <v>-4.888855870697362</v>
      </c>
      <c r="O458" t="n">
        <v>-25.6541715153253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SPOL.L</t>
        </is>
      </c>
      <c r="D459" t="n">
        <v>2016</v>
      </c>
      <c r="E459" t="n">
        <v>23.83863080684596</v>
      </c>
      <c r="F459" t="n">
        <v>3.031</v>
      </c>
      <c r="G459" t="n">
        <v>3.116552</v>
      </c>
      <c r="H459" t="n">
        <v>-1.427056</v>
      </c>
      <c r="I459" t="n">
        <v>-4.676636901995497</v>
      </c>
      <c r="J459" t="inlineStr">
        <is>
          <t>Poland|SPOL.L|2016</t>
        </is>
      </c>
      <c r="K459" t="inlineStr">
        <is>
          <t>Poland|2016</t>
        </is>
      </c>
      <c r="L459" t="inlineStr">
        <is>
          <t>GBp</t>
        </is>
      </c>
      <c r="M459" t="n">
        <v>23.83863080684596</v>
      </c>
      <c r="N459" t="n">
        <v>-16.62570861023462</v>
      </c>
      <c r="O459" t="n">
        <v>3.249580901995497</v>
      </c>
      <c r="P459" t="n">
        <v>4.609386029934415</v>
      </c>
      <c r="Q459" t="n">
        <v>-1.2998882600743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SPOL.L</t>
        </is>
      </c>
      <c r="D460" t="n">
        <v>2017</v>
      </c>
      <c r="E460" t="n">
        <v>38.72854914196569</v>
      </c>
      <c r="F460" t="n">
        <v>5.152</v>
      </c>
      <c r="G460" t="n">
        <v>7.01387</v>
      </c>
      <c r="H460" t="n">
        <v>11.760626</v>
      </c>
      <c r="I460" t="n">
        <v>-39.23345253767062</v>
      </c>
      <c r="J460" t="inlineStr">
        <is>
          <t>Poland|SPOL.L|2017</t>
        </is>
      </c>
      <c r="K460" t="inlineStr">
        <is>
          <t>Poland|2017</t>
        </is>
      </c>
      <c r="L460" t="inlineStr">
        <is>
          <t>GBp</t>
        </is>
      </c>
      <c r="M460" t="n">
        <v>38.72854914196569</v>
      </c>
      <c r="N460" t="n">
        <v>8.841388071573641</v>
      </c>
      <c r="O460" t="n">
        <v>50.99407853767062</v>
      </c>
      <c r="P460" t="n">
        <v>-4.247252741367092</v>
      </c>
      <c r="Q460" t="n">
        <v>57.69164108662923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SPOL.L</t>
        </is>
      </c>
      <c r="D461" t="n">
        <v>2018</v>
      </c>
      <c r="E461" t="n">
        <v>-7.426416568687122</v>
      </c>
      <c r="F461" t="n">
        <v>6.246</v>
      </c>
      <c r="G461" t="n">
        <v>7.549493</v>
      </c>
      <c r="H461" t="n">
        <v>12.515492</v>
      </c>
      <c r="I461" t="n">
        <v>25.5752927521335</v>
      </c>
      <c r="J461" t="inlineStr">
        <is>
          <t>Poland|SPOL.L|2018</t>
        </is>
      </c>
      <c r="K461" t="inlineStr">
        <is>
          <t>Poland|2018</t>
        </is>
      </c>
      <c r="L461" t="inlineStr">
        <is>
          <t>GBp</t>
        </is>
      </c>
      <c r="M461" t="n">
        <v>-7.426416568687122</v>
      </c>
      <c r="N461" t="n">
        <v>-6.085304224640065</v>
      </c>
      <c r="O461" t="n">
        <v>-13.0598007521335</v>
      </c>
      <c r="P461" t="n">
        <v>-4.413613323461574</v>
      </c>
      <c r="Q461" t="n">
        <v>-9.045417165867331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SPOL.L</t>
        </is>
      </c>
      <c r="D462" t="n">
        <v>2019</v>
      </c>
      <c r="E462" t="n">
        <v>-11.19362207638414</v>
      </c>
      <c r="F462" t="n">
        <v>4.581</v>
      </c>
      <c r="G462" t="n">
        <v>7.74553</v>
      </c>
      <c r="H462" t="n">
        <v>1.337109</v>
      </c>
      <c r="I462" t="n">
        <v>9.916391825979284</v>
      </c>
      <c r="J462" t="inlineStr">
        <is>
          <t>Poland|SPOL.L|2019</t>
        </is>
      </c>
      <c r="K462" t="inlineStr">
        <is>
          <t>Poland|2019</t>
        </is>
      </c>
      <c r="L462" t="inlineStr">
        <is>
          <t>GBp</t>
        </is>
      </c>
      <c r="M462" t="n">
        <v>-11.19362207638414</v>
      </c>
      <c r="N462" t="n">
        <v>2.94386429390634</v>
      </c>
      <c r="O462" t="n">
        <v>-8.579282825979284</v>
      </c>
      <c r="P462" t="n">
        <v>6.323863962972553</v>
      </c>
      <c r="Q462" t="n">
        <v>-14.0167467899228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SPOL.L</t>
        </is>
      </c>
      <c r="D463" t="n">
        <v>2020</v>
      </c>
      <c r="E463" t="n">
        <v>-16.46533185382913</v>
      </c>
      <c r="F463" t="n">
        <v>-2.036</v>
      </c>
      <c r="G463" t="n">
        <v>2.116746</v>
      </c>
      <c r="H463" t="n">
        <v>0.55394</v>
      </c>
      <c r="I463" t="n">
        <v>14.70101911146956</v>
      </c>
      <c r="J463" t="inlineStr">
        <is>
          <t>Poland|SPOL.L|2020</t>
        </is>
      </c>
      <c r="K463" t="inlineStr">
        <is>
          <t>Poland|2020</t>
        </is>
      </c>
      <c r="L463" t="inlineStr">
        <is>
          <t>GBp</t>
        </is>
      </c>
      <c r="M463" t="n">
        <v>-16.46533185382913</v>
      </c>
      <c r="N463" t="n">
        <v>2.775198362317122</v>
      </c>
      <c r="O463" t="n">
        <v>-14.14707911146956</v>
      </c>
      <c r="P463" t="n">
        <v>1.554196387935947</v>
      </c>
      <c r="Q463" t="n">
        <v>-15.46098148364722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SPOL.L</t>
        </is>
      </c>
      <c r="D464" t="n">
        <v>2021</v>
      </c>
      <c r="E464" t="n">
        <v>6.55738107253101</v>
      </c>
      <c r="F464" t="n">
        <v>6.927</v>
      </c>
      <c r="G464" t="n">
        <v>12.637347</v>
      </c>
      <c r="H464" t="n">
        <v>13.751258</v>
      </c>
      <c r="I464" t="n">
        <v>8.554849658595598</v>
      </c>
      <c r="J464" t="inlineStr">
        <is>
          <t>Poland|SPOL.L|2021</t>
        </is>
      </c>
      <c r="K464" t="inlineStr">
        <is>
          <t>Poland|2021</t>
        </is>
      </c>
      <c r="L464" t="inlineStr">
        <is>
          <t>GBp</t>
        </is>
      </c>
      <c r="M464" t="n">
        <v>6.55738107253101</v>
      </c>
      <c r="N464" t="n">
        <v>-1.277220514832489</v>
      </c>
      <c r="O464" t="n">
        <v>5.196408341404402</v>
      </c>
      <c r="P464" t="n">
        <v>-0.979252290650745</v>
      </c>
      <c r="Q464" t="n">
        <v>6.236733992538879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SPOL.L</t>
        </is>
      </c>
      <c r="D465" t="n">
        <v>2022</v>
      </c>
      <c r="E465" t="n">
        <v>-19.146042091298</v>
      </c>
      <c r="F465" t="n">
        <v>5.255</v>
      </c>
      <c r="G465" t="n">
        <v>16.506821</v>
      </c>
      <c r="H465" t="n">
        <v>0.940293</v>
      </c>
      <c r="I465" t="n">
        <v>28.85175065458927</v>
      </c>
      <c r="J465" t="inlineStr">
        <is>
          <t>Poland|SPOL.L|2022</t>
        </is>
      </c>
      <c r="K465" t="inlineStr">
        <is>
          <t>Poland|2022</t>
        </is>
      </c>
      <c r="L465" t="inlineStr">
        <is>
          <t>GBp</t>
        </is>
      </c>
      <c r="M465" t="n">
        <v>-19.146042091298</v>
      </c>
      <c r="N465" t="n">
        <v>-10.84104698150823</v>
      </c>
      <c r="O465" t="n">
        <v>-27.91145765458927</v>
      </c>
      <c r="P465" t="n">
        <v>15.42151969035805</v>
      </c>
      <c r="Q465" t="n">
        <v>-37.54323930337855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SPOL.L</t>
        </is>
      </c>
      <c r="D466" t="n">
        <v>2023</v>
      </c>
      <c r="E466" t="n">
        <v>40.03501307781727</v>
      </c>
      <c r="F466" t="n">
        <v>0.25</v>
      </c>
      <c r="G466" t="n">
        <v>10.139929</v>
      </c>
      <c r="H466" t="n">
        <v>16.849112</v>
      </c>
      <c r="I466" t="n">
        <v>-30.27591676069913</v>
      </c>
      <c r="J466" t="inlineStr">
        <is>
          <t>Poland|SPOL.L|2023</t>
        </is>
      </c>
      <c r="K466" t="inlineStr">
        <is>
          <t>Poland|2023</t>
        </is>
      </c>
      <c r="L466" t="inlineStr">
        <is>
          <t>GBp</t>
        </is>
      </c>
      <c r="M466" t="n">
        <v>40.03501307781727</v>
      </c>
      <c r="N466" t="n">
        <v>5.06303068571996</v>
      </c>
      <c r="O466" t="n">
        <v>47.12502876069913</v>
      </c>
      <c r="P466" t="n">
        <v>-5.741748817305248</v>
      </c>
      <c r="Q466" t="n">
        <v>56.08716151070539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SPOL.L</t>
        </is>
      </c>
      <c r="D467" t="n">
        <v>2024</v>
      </c>
      <c r="E467" t="n">
        <v>-2.256652631798706</v>
      </c>
      <c r="F467" t="n">
        <v>2.923</v>
      </c>
      <c r="G467" t="n">
        <v>6.615399</v>
      </c>
      <c r="H467" t="n">
        <v>12.496817</v>
      </c>
      <c r="I467" t="n">
        <v>16.14245491372257</v>
      </c>
      <c r="J467" t="inlineStr">
        <is>
          <t>Poland|SPOL.L|2024</t>
        </is>
      </c>
      <c r="K467" t="inlineStr">
        <is>
          <t>Poland|2024</t>
        </is>
      </c>
      <c r="L467" t="inlineStr">
        <is>
          <t>GBp</t>
        </is>
      </c>
      <c r="M467" t="n">
        <v>-2.256652631798706</v>
      </c>
      <c r="N467" t="n">
        <v>-1.421053523664917</v>
      </c>
      <c r="O467" t="n">
        <v>-3.645637913722566</v>
      </c>
      <c r="P467" t="n">
        <v>-5.228075237844054</v>
      </c>
      <c r="Q467" t="n">
        <v>1.669732178694106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SPOL.L</t>
        </is>
      </c>
      <c r="D468" t="n">
        <v>2025</v>
      </c>
      <c r="E468" t="n">
        <v>60.01501619451324</v>
      </c>
      <c r="F468" t="n">
        <v>3.243</v>
      </c>
      <c r="G468" t="n">
        <v>6.963458</v>
      </c>
      <c r="H468" t="n">
        <v>13.675096</v>
      </c>
      <c r="I468" t="n">
        <v>-58.45614449861613</v>
      </c>
      <c r="J468" t="inlineStr">
        <is>
          <t>Poland|SPOL.L|2025</t>
        </is>
      </c>
      <c r="K468" t="inlineStr">
        <is>
          <t>Poland|2025</t>
        </is>
      </c>
      <c r="L468" t="inlineStr">
        <is>
          <t>GBp</t>
        </is>
      </c>
      <c r="M468" t="n">
        <v>60.01501619451324</v>
      </c>
      <c r="N468" t="n">
        <v>7.571929555270285</v>
      </c>
      <c r="O468" t="n">
        <v>72.13124049861612</v>
      </c>
      <c r="P468" t="n">
        <v>-5.904228701907133</v>
      </c>
      <c r="Q468" t="n">
        <v>82.93196189795712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SPOL.L</t>
        </is>
      </c>
      <c r="D469" t="n">
        <v>2026</v>
      </c>
      <c r="E469" t="n">
        <v>-0.9916699722332445</v>
      </c>
      <c r="F469" t="n">
        <v>3.136</v>
      </c>
      <c r="G469" t="n">
        <v>6.397182</v>
      </c>
      <c r="H469" t="n">
        <v>6.766229</v>
      </c>
      <c r="I469" t="n">
        <v>8.549255573594204</v>
      </c>
      <c r="J469" t="inlineStr">
        <is>
          <t>Poland|SPOL.L|2026</t>
        </is>
      </c>
      <c r="K469" t="inlineStr">
        <is>
          <t>Poland|2026</t>
        </is>
      </c>
      <c r="L469" t="inlineStr">
        <is>
          <t>GBp</t>
        </is>
      </c>
      <c r="M469" t="n">
        <v>-0.9916699722332445</v>
      </c>
      <c r="N469" t="n">
        <v>-0.7992828493713855</v>
      </c>
      <c r="O469" t="n">
        <v>-1.783026573594204</v>
      </c>
      <c r="P469" t="n">
        <v>-0.3456590491800249</v>
      </c>
      <c r="Q469" t="n">
        <v>-1.442353148593423</v>
      </c>
    </row>
    <row r="470">
      <c r="A470" t="inlineStr">
        <is>
          <t>Saudi Arabia</t>
        </is>
      </c>
      <c r="B470" t="inlineStr">
        <is>
          <t>SAU</t>
        </is>
      </c>
      <c r="C470" t="inlineStr">
        <is>
          <t>IKSA.L</t>
        </is>
      </c>
      <c r="D470" t="n">
        <v>2015</v>
      </c>
      <c r="E470" t="inlineStr"/>
      <c r="F470" t="n">
        <v>4.655</v>
      </c>
      <c r="G470" t="inlineStr"/>
      <c r="H470" t="inlineStr"/>
      <c r="I470" t="inlineStr"/>
      <c r="J470" t="inlineStr">
        <is>
          <t>Saudi Arabia|IKSA.L|2015</t>
        </is>
      </c>
      <c r="K470" t="inlineStr">
        <is>
          <t>Saudi Arabia|2015</t>
        </is>
      </c>
      <c r="L470" t="inlineStr">
        <is>
          <t>USD</t>
        </is>
      </c>
      <c r="M470" t="inlineStr"/>
      <c r="N470" t="n">
        <v>0</v>
      </c>
      <c r="O470" t="inlineStr"/>
      <c r="P470" t="inlineStr"/>
      <c r="Q470" t="inlineStr"/>
    </row>
    <row r="471">
      <c r="A471" t="inlineStr">
        <is>
          <t>Saudi Arabia</t>
        </is>
      </c>
      <c r="B471" t="inlineStr">
        <is>
          <t>SAU</t>
        </is>
      </c>
      <c r="C471" t="inlineStr">
        <is>
          <t>IKSA.L</t>
        </is>
      </c>
      <c r="D471" t="n">
        <v>2016</v>
      </c>
      <c r="E471" t="inlineStr"/>
      <c r="F471" t="n">
        <v>1.704</v>
      </c>
      <c r="G471" t="n">
        <v>-0.596391</v>
      </c>
      <c r="H471" t="n">
        <v>-0.596468</v>
      </c>
      <c r="I471" t="inlineStr"/>
      <c r="J471" t="inlineStr">
        <is>
          <t>Saudi Arabia|IKSA.L|2016</t>
        </is>
      </c>
      <c r="K471" t="inlineStr">
        <is>
          <t>Saudi Arabia|2016</t>
        </is>
      </c>
      <c r="L471" t="inlineStr">
        <is>
          <t>USD</t>
        </is>
      </c>
      <c r="M471" t="inlineStr"/>
      <c r="N471" t="n">
        <v>0</v>
      </c>
      <c r="O471" t="inlineStr"/>
      <c r="P471" t="n">
        <v>7.731785518494405e-05</v>
      </c>
      <c r="Q471" t="inlineStr"/>
    </row>
    <row r="472">
      <c r="A472" t="inlineStr">
        <is>
          <t>Saudi Arabia</t>
        </is>
      </c>
      <c r="B472" t="inlineStr">
        <is>
          <t>SAU</t>
        </is>
      </c>
      <c r="C472" t="inlineStr">
        <is>
          <t>IKSA.L</t>
        </is>
      </c>
      <c r="D472" t="n">
        <v>2017</v>
      </c>
      <c r="E472" t="inlineStr"/>
      <c r="F472" t="n">
        <v>1.182</v>
      </c>
      <c r="G472" t="n">
        <v>7.542137</v>
      </c>
      <c r="H472" t="n">
        <v>7.542229</v>
      </c>
      <c r="I472" t="inlineStr"/>
      <c r="J472" t="inlineStr">
        <is>
          <t>Saudi Arabia|IKSA.L|2017</t>
        </is>
      </c>
      <c r="K472" t="inlineStr">
        <is>
          <t>Saudi Arabia|2017</t>
        </is>
      </c>
      <c r="L472" t="inlineStr">
        <is>
          <t>USD</t>
        </is>
      </c>
      <c r="M472" t="inlineStr"/>
      <c r="N472" t="n">
        <v>0</v>
      </c>
      <c r="O472" t="inlineStr"/>
      <c r="P472" t="n">
        <v>-8.569078282505416e-05</v>
      </c>
      <c r="Q472" t="inlineStr"/>
    </row>
    <row r="473">
      <c r="A473" t="inlineStr">
        <is>
          <t>Saudi Arabia</t>
        </is>
      </c>
      <c r="B473" t="inlineStr">
        <is>
          <t>SAU</t>
        </is>
      </c>
      <c r="C473" t="inlineStr">
        <is>
          <t>IKSA.L</t>
        </is>
      </c>
      <c r="D473" t="n">
        <v>2018</v>
      </c>
      <c r="E473" t="inlineStr"/>
      <c r="F473" t="n">
        <v>3.227</v>
      </c>
      <c r="G473" t="n">
        <v>19.601316</v>
      </c>
      <c r="H473" t="n">
        <v>19.601331</v>
      </c>
      <c r="I473" t="inlineStr"/>
      <c r="J473" t="inlineStr">
        <is>
          <t>Saudi Arabia|IKSA.L|2018</t>
        </is>
      </c>
      <c r="K473" t="inlineStr">
        <is>
          <t>Saudi Arabia|2018</t>
        </is>
      </c>
      <c r="L473" t="inlineStr">
        <is>
          <t>USD</t>
        </is>
      </c>
      <c r="M473" t="inlineStr"/>
      <c r="N473" t="n">
        <v>0</v>
      </c>
      <c r="O473" t="inlineStr"/>
      <c r="P473" t="n">
        <v>-1.209142769242888e-05</v>
      </c>
      <c r="Q473" t="inlineStr"/>
    </row>
    <row r="474">
      <c r="A474" t="inlineStr">
        <is>
          <t>Saudi Arabia</t>
        </is>
      </c>
      <c r="B474" t="inlineStr">
        <is>
          <t>SAU</t>
        </is>
      </c>
      <c r="C474" t="inlineStr">
        <is>
          <t>IKSA.L</t>
        </is>
      </c>
      <c r="D474" t="n">
        <v>2019</v>
      </c>
      <c r="E474" t="n">
        <v>-10.50999641418455</v>
      </c>
      <c r="F474" t="n">
        <v>1.652</v>
      </c>
      <c r="G474" t="n">
        <v>0.262136</v>
      </c>
      <c r="H474" t="n">
        <v>0.262136</v>
      </c>
      <c r="I474" t="n">
        <v>10.77213241418455</v>
      </c>
      <c r="J474" t="inlineStr">
        <is>
          <t>Saudi Arabia|IKSA.L|2019</t>
        </is>
      </c>
      <c r="K474" t="inlineStr">
        <is>
          <t>Saudi Arabia|2019</t>
        </is>
      </c>
      <c r="L474" t="inlineStr">
        <is>
          <t>USD</t>
        </is>
      </c>
      <c r="M474" t="n">
        <v>-10.50999641418455</v>
      </c>
      <c r="N474" t="n">
        <v>0</v>
      </c>
      <c r="O474" t="n">
        <v>-10.50999641418455</v>
      </c>
      <c r="P474" t="n">
        <v>7.864078277464159e-08</v>
      </c>
      <c r="Q474" t="n">
        <v>-10.50999648456019</v>
      </c>
    </row>
    <row r="475">
      <c r="A475" t="inlineStr">
        <is>
          <t>Saudi Arabia</t>
        </is>
      </c>
      <c r="B475" t="inlineStr">
        <is>
          <t>SAU</t>
        </is>
      </c>
      <c r="C475" t="inlineStr">
        <is>
          <t>IKSA.L</t>
        </is>
      </c>
      <c r="D475" t="n">
        <v>2020</v>
      </c>
      <c r="E475" t="n">
        <v>0.06664281421631113</v>
      </c>
      <c r="F475" t="n">
        <v>-3.805</v>
      </c>
      <c r="G475" t="n">
        <v>-13.678308</v>
      </c>
      <c r="H475" t="n">
        <v>-13.678326</v>
      </c>
      <c r="I475" t="n">
        <v>-13.74496881421631</v>
      </c>
      <c r="J475" t="inlineStr">
        <is>
          <t>Saudi Arabia|IKSA.L|2020</t>
        </is>
      </c>
      <c r="K475" t="inlineStr">
        <is>
          <t>Saudi Arabia|2020</t>
        </is>
      </c>
      <c r="L475" t="inlineStr">
        <is>
          <t>USD</t>
        </is>
      </c>
      <c r="M475" t="n">
        <v>0.06664281421631113</v>
      </c>
      <c r="N475" t="n">
        <v>0</v>
      </c>
      <c r="O475" t="n">
        <v>0.06664281421631113</v>
      </c>
      <c r="P475" t="n">
        <v>2.131159562157592e-05</v>
      </c>
      <c r="Q475" t="n">
        <v>0.0666214884225802</v>
      </c>
    </row>
    <row r="476">
      <c r="A476" t="inlineStr">
        <is>
          <t>Saudi Arabia</t>
        </is>
      </c>
      <c r="B476" t="inlineStr">
        <is>
          <t>SAU</t>
        </is>
      </c>
      <c r="C476" t="inlineStr">
        <is>
          <t>IKSA.L</t>
        </is>
      </c>
      <c r="D476" t="n">
        <v>2021</v>
      </c>
      <c r="E476" t="n">
        <v>37.43165715563745</v>
      </c>
      <c r="F476" t="n">
        <v>6.52</v>
      </c>
      <c r="G476" t="n">
        <v>28.066898</v>
      </c>
      <c r="H476" t="n">
        <v>28.066878</v>
      </c>
      <c r="I476" t="n">
        <v>-9.364779155637454</v>
      </c>
      <c r="J476" t="inlineStr">
        <is>
          <t>Saudi Arabia|IKSA.L|2021</t>
        </is>
      </c>
      <c r="K476" t="inlineStr">
        <is>
          <t>Saudi Arabia|2021</t>
        </is>
      </c>
      <c r="L476" t="inlineStr">
        <is>
          <t>USD</t>
        </is>
      </c>
      <c r="M476" t="n">
        <v>37.43165715563745</v>
      </c>
      <c r="N476" t="n">
        <v>0</v>
      </c>
      <c r="O476" t="n">
        <v>37.43165715563745</v>
      </c>
      <c r="P476" t="n">
        <v>1.547274175450752e-05</v>
      </c>
      <c r="Q476" t="n">
        <v>37.43163589119533</v>
      </c>
    </row>
    <row r="477">
      <c r="A477" t="inlineStr">
        <is>
          <t>Saudi Arabia</t>
        </is>
      </c>
      <c r="B477" t="inlineStr">
        <is>
          <t>SAU</t>
        </is>
      </c>
      <c r="C477" t="inlineStr">
        <is>
          <t>IKSA.L</t>
        </is>
      </c>
      <c r="D477" t="n">
        <v>2022</v>
      </c>
      <c r="E477" t="n">
        <v>-6.324523575817764</v>
      </c>
      <c r="F477" t="n">
        <v>12.001</v>
      </c>
      <c r="G477" t="n">
        <v>26.09388</v>
      </c>
      <c r="H477" t="n">
        <v>26.093841</v>
      </c>
      <c r="I477" t="n">
        <v>32.41836457581776</v>
      </c>
      <c r="J477" t="inlineStr">
        <is>
          <t>Saudi Arabia|IKSA.L|2022</t>
        </is>
      </c>
      <c r="K477" t="inlineStr">
        <is>
          <t>Saudi Arabia|2022</t>
        </is>
      </c>
      <c r="L477" t="inlineStr">
        <is>
          <t>USD</t>
        </is>
      </c>
      <c r="M477" t="n">
        <v>-6.324523575817764</v>
      </c>
      <c r="N477" t="n">
        <v>0</v>
      </c>
      <c r="O477" t="n">
        <v>-6.324523575817764</v>
      </c>
      <c r="P477" t="n">
        <v>3.087820188429902e-05</v>
      </c>
      <c r="Q477" t="n">
        <v>-6.324552501111558</v>
      </c>
    </row>
    <row r="478">
      <c r="A478" t="inlineStr">
        <is>
          <t>Saudi Arabia</t>
        </is>
      </c>
      <c r="B478" t="inlineStr">
        <is>
          <t>SAU</t>
        </is>
      </c>
      <c r="C478" t="inlineStr">
        <is>
          <t>IKSA.L</t>
        </is>
      </c>
      <c r="D478" t="n">
        <v>2023</v>
      </c>
      <c r="E478" t="n">
        <v>8.379461836297741</v>
      </c>
      <c r="F478" t="n">
        <v>0.543</v>
      </c>
      <c r="G478" t="n">
        <v>-1.653728</v>
      </c>
      <c r="H478" t="n">
        <v>-1.653653</v>
      </c>
      <c r="I478" t="n">
        <v>-10.03311483629774</v>
      </c>
      <c r="J478" t="inlineStr">
        <is>
          <t>Saudi Arabia|IKSA.L|2023</t>
        </is>
      </c>
      <c r="K478" t="inlineStr">
        <is>
          <t>Saudi Arabia|2023</t>
        </is>
      </c>
      <c r="L478" t="inlineStr">
        <is>
          <t>USD</t>
        </is>
      </c>
      <c r="M478" t="n">
        <v>8.379461836297741</v>
      </c>
      <c r="N478" t="n">
        <v>0</v>
      </c>
      <c r="O478" t="n">
        <v>8.379461836297741</v>
      </c>
      <c r="P478" t="n">
        <v>-7.595825795014832e-05</v>
      </c>
      <c r="Q478" t="n">
        <v>8.379544159511454</v>
      </c>
    </row>
    <row r="479">
      <c r="A479" t="inlineStr">
        <is>
          <t>Saudi Arabia</t>
        </is>
      </c>
      <c r="B479" t="inlineStr">
        <is>
          <t>SAU</t>
        </is>
      </c>
      <c r="C479" t="inlineStr">
        <is>
          <t>IKSA.L</t>
        </is>
      </c>
      <c r="D479" t="n">
        <v>2024</v>
      </c>
      <c r="E479" t="n">
        <v>-1.739530777835496</v>
      </c>
      <c r="F479" t="n">
        <v>1.997</v>
      </c>
      <c r="G479" t="n">
        <v>1.741387</v>
      </c>
      <c r="H479" t="n">
        <v>1.741364</v>
      </c>
      <c r="I479" t="n">
        <v>3.480894777835496</v>
      </c>
      <c r="J479" t="inlineStr">
        <is>
          <t>Saudi Arabia|IKSA.L|2024</t>
        </is>
      </c>
      <c r="K479" t="inlineStr">
        <is>
          <t>Saudi Arabia|2024</t>
        </is>
      </c>
      <c r="L479" t="inlineStr">
        <is>
          <t>USD</t>
        </is>
      </c>
      <c r="M479" t="n">
        <v>-1.739530777835496</v>
      </c>
      <c r="N479" t="n">
        <v>0</v>
      </c>
      <c r="O479" t="n">
        <v>-1.739530777835496</v>
      </c>
      <c r="P479" t="n">
        <v>2.216422236855919e-05</v>
      </c>
      <c r="Q479" t="n">
        <v>-1.739552556499568</v>
      </c>
    </row>
    <row r="480">
      <c r="A480" t="inlineStr">
        <is>
          <t>Saudi Arabia</t>
        </is>
      </c>
      <c r="B480" t="inlineStr">
        <is>
          <t>SAU</t>
        </is>
      </c>
      <c r="C480" t="inlineStr">
        <is>
          <t>IKSA.L</t>
        </is>
      </c>
      <c r="D480" t="n">
        <v>2025</v>
      </c>
      <c r="E480" t="n">
        <v>-6.082555514391419</v>
      </c>
      <c r="F480" t="n">
        <v>4.021</v>
      </c>
      <c r="G480" t="n">
        <v>2.317311</v>
      </c>
      <c r="H480" t="n">
        <v>2.3173</v>
      </c>
      <c r="I480" t="n">
        <v>8.399855514391419</v>
      </c>
      <c r="J480" t="inlineStr">
        <is>
          <t>Saudi Arabia|IKSA.L|2025</t>
        </is>
      </c>
      <c r="K480" t="inlineStr">
        <is>
          <t>Saudi Arabia|2025</t>
        </is>
      </c>
      <c r="L480" t="inlineStr">
        <is>
          <t>USD</t>
        </is>
      </c>
      <c r="M480" t="n">
        <v>-6.082555514391419</v>
      </c>
      <c r="N480" t="n">
        <v>0</v>
      </c>
      <c r="O480" t="n">
        <v>-6.082555514391419</v>
      </c>
      <c r="P480" t="n">
        <v>1.087616465778041e-05</v>
      </c>
      <c r="Q480" t="n">
        <v>-6.082565729006218</v>
      </c>
    </row>
    <row r="481">
      <c r="A481" t="inlineStr">
        <is>
          <t>Saudi Arabia</t>
        </is>
      </c>
      <c r="B481" t="inlineStr">
        <is>
          <t>SAU</t>
        </is>
      </c>
      <c r="C481" t="inlineStr">
        <is>
          <t>IKSA.L</t>
        </is>
      </c>
      <c r="D481" t="n">
        <v>2026</v>
      </c>
      <c r="E481" t="n">
        <v>3.093462290503224</v>
      </c>
      <c r="F481" t="n">
        <v>3.978</v>
      </c>
      <c r="G481" t="n">
        <v>3.761463</v>
      </c>
      <c r="H481" t="n">
        <v>3.761426</v>
      </c>
      <c r="I481" t="n">
        <v>0.6679637094967763</v>
      </c>
      <c r="J481" t="inlineStr">
        <is>
          <t>Saudi Arabia|IKSA.L|2026</t>
        </is>
      </c>
      <c r="K481" t="inlineStr">
        <is>
          <t>Saudi Arabia|2026</t>
        </is>
      </c>
      <c r="L481" t="inlineStr">
        <is>
          <t>USD</t>
        </is>
      </c>
      <c r="M481" t="n">
        <v>3.093462290503224</v>
      </c>
      <c r="N481" t="n">
        <v>0</v>
      </c>
      <c r="O481" t="n">
        <v>3.093462290503224</v>
      </c>
      <c r="P481" t="n">
        <v>3.564477177864234e-05</v>
      </c>
      <c r="Q481" t="n">
        <v>3.093425543086981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KSA</t>
        </is>
      </c>
      <c r="D482" t="n">
        <v>2015</v>
      </c>
      <c r="E482" t="n">
        <v>-5.868636827618834</v>
      </c>
      <c r="F482" t="n">
        <v>4.655</v>
      </c>
      <c r="G482" t="inlineStr"/>
      <c r="H482" t="inlineStr"/>
      <c r="I482" t="inlineStr"/>
      <c r="J482" t="inlineStr">
        <is>
          <t>Saudi Arabia|KSA|2015</t>
        </is>
      </c>
      <c r="K482" t="inlineStr">
        <is>
          <t>Saudi Arabia|2015</t>
        </is>
      </c>
      <c r="L482" t="inlineStr">
        <is>
          <t>USD</t>
        </is>
      </c>
      <c r="M482" t="n">
        <v>-5.868636827618834</v>
      </c>
      <c r="N482" t="n">
        <v>0</v>
      </c>
      <c r="O482" t="n">
        <v>-5.868636827618834</v>
      </c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KSA</t>
        </is>
      </c>
      <c r="D483" t="n">
        <v>2016</v>
      </c>
      <c r="E483" t="n">
        <v>7.331060024575864</v>
      </c>
      <c r="F483" t="n">
        <v>1.704</v>
      </c>
      <c r="G483" t="n">
        <v>-0.596391</v>
      </c>
      <c r="H483" t="n">
        <v>-0.596468</v>
      </c>
      <c r="I483" t="n">
        <v>-7.927528024575864</v>
      </c>
      <c r="J483" t="inlineStr">
        <is>
          <t>Saudi Arabia|KSA|2016</t>
        </is>
      </c>
      <c r="K483" t="inlineStr">
        <is>
          <t>Saudi Arabia|2016</t>
        </is>
      </c>
      <c r="L483" t="inlineStr">
        <is>
          <t>USD</t>
        </is>
      </c>
      <c r="M483" t="n">
        <v>7.331060024575864</v>
      </c>
      <c r="N483" t="n">
        <v>0</v>
      </c>
      <c r="O483" t="n">
        <v>7.331060024575864</v>
      </c>
      <c r="P483" t="n">
        <v>7.731785518494405e-05</v>
      </c>
      <c r="Q483" t="n">
        <v>7.330977038566466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KSA</t>
        </is>
      </c>
      <c r="D484" t="n">
        <v>2017</v>
      </c>
      <c r="E484" t="n">
        <v>3.437379919363837</v>
      </c>
      <c r="F484" t="n">
        <v>1.182</v>
      </c>
      <c r="G484" t="n">
        <v>7.542137</v>
      </c>
      <c r="H484" t="n">
        <v>7.542229</v>
      </c>
      <c r="I484" t="n">
        <v>4.104849080636163</v>
      </c>
      <c r="J484" t="inlineStr">
        <is>
          <t>Saudi Arabia|KSA|2017</t>
        </is>
      </c>
      <c r="K484" t="inlineStr">
        <is>
          <t>Saudi Arabia|2017</t>
        </is>
      </c>
      <c r="L484" t="inlineStr">
        <is>
          <t>USD</t>
        </is>
      </c>
      <c r="M484" t="n">
        <v>3.437379919363837</v>
      </c>
      <c r="N484" t="n">
        <v>0</v>
      </c>
      <c r="O484" t="n">
        <v>3.437379919363837</v>
      </c>
      <c r="P484" t="n">
        <v>-8.569078282505416e-05</v>
      </c>
      <c r="Q484" t="n">
        <v>3.437468555740386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KSA</t>
        </is>
      </c>
      <c r="D485" t="n">
        <v>2018</v>
      </c>
      <c r="E485" t="n">
        <v>11.11965375302877</v>
      </c>
      <c r="F485" t="n">
        <v>3.227</v>
      </c>
      <c r="G485" t="n">
        <v>19.601316</v>
      </c>
      <c r="H485" t="n">
        <v>19.601331</v>
      </c>
      <c r="I485" t="n">
        <v>8.48167724697123</v>
      </c>
      <c r="J485" t="inlineStr">
        <is>
          <t>Saudi Arabia|KSA|2018</t>
        </is>
      </c>
      <c r="K485" t="inlineStr">
        <is>
          <t>Saudi Arabia|2018</t>
        </is>
      </c>
      <c r="L485" t="inlineStr">
        <is>
          <t>USD</t>
        </is>
      </c>
      <c r="M485" t="n">
        <v>11.11965375302877</v>
      </c>
      <c r="N485" t="n">
        <v>0</v>
      </c>
      <c r="O485" t="n">
        <v>11.11965375302877</v>
      </c>
      <c r="P485" t="n">
        <v>-1.209142769242888e-05</v>
      </c>
      <c r="Q485" t="n">
        <v>11.11966718898298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KSA</t>
        </is>
      </c>
      <c r="D486" t="n">
        <v>2019</v>
      </c>
      <c r="E486" t="n">
        <v>5.637169773574846</v>
      </c>
      <c r="F486" t="n">
        <v>1.652</v>
      </c>
      <c r="G486" t="n">
        <v>0.262136</v>
      </c>
      <c r="H486" t="n">
        <v>0.262136</v>
      </c>
      <c r="I486" t="n">
        <v>-5.375033773574846</v>
      </c>
      <c r="J486" t="inlineStr">
        <is>
          <t>Saudi Arabia|KSA|2019</t>
        </is>
      </c>
      <c r="K486" t="inlineStr">
        <is>
          <t>Saudi Arabia|2019</t>
        </is>
      </c>
      <c r="L486" t="inlineStr">
        <is>
          <t>USD</t>
        </is>
      </c>
      <c r="M486" t="n">
        <v>5.637169773574846</v>
      </c>
      <c r="N486" t="n">
        <v>0</v>
      </c>
      <c r="O486" t="n">
        <v>5.637169773574846</v>
      </c>
      <c r="P486" t="n">
        <v>7.864078277464159e-08</v>
      </c>
      <c r="Q486" t="n">
        <v>5.637169690500943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KSA</t>
        </is>
      </c>
      <c r="D487" t="n">
        <v>2020</v>
      </c>
      <c r="E487" t="n">
        <v>-0.7338849429371797</v>
      </c>
      <c r="F487" t="n">
        <v>-3.805</v>
      </c>
      <c r="G487" t="n">
        <v>-13.678308</v>
      </c>
      <c r="H487" t="n">
        <v>-13.678326</v>
      </c>
      <c r="I487" t="n">
        <v>-12.94444105706282</v>
      </c>
      <c r="J487" t="inlineStr">
        <is>
          <t>Saudi Arabia|KSA|2020</t>
        </is>
      </c>
      <c r="K487" t="inlineStr">
        <is>
          <t>Saudi Arabia|2020</t>
        </is>
      </c>
      <c r="L487" t="inlineStr">
        <is>
          <t>USD</t>
        </is>
      </c>
      <c r="M487" t="n">
        <v>-0.7338849429371797</v>
      </c>
      <c r="N487" t="n">
        <v>0</v>
      </c>
      <c r="O487" t="n">
        <v>-0.7338849429371797</v>
      </c>
      <c r="P487" t="n">
        <v>2.131159562157592e-05</v>
      </c>
      <c r="Q487" t="n">
        <v>-0.7339060981257028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KSA</t>
        </is>
      </c>
      <c r="D488" t="n">
        <v>2021</v>
      </c>
      <c r="E488" t="n">
        <v>31.43683248930145</v>
      </c>
      <c r="F488" t="n">
        <v>6.52</v>
      </c>
      <c r="G488" t="n">
        <v>28.066898</v>
      </c>
      <c r="H488" t="n">
        <v>28.066878</v>
      </c>
      <c r="I488" t="n">
        <v>-3.369954489301449</v>
      </c>
      <c r="J488" t="inlineStr">
        <is>
          <t>Saudi Arabia|KSA|2021</t>
        </is>
      </c>
      <c r="K488" t="inlineStr">
        <is>
          <t>Saudi Arabia|2021</t>
        </is>
      </c>
      <c r="L488" t="inlineStr">
        <is>
          <t>USD</t>
        </is>
      </c>
      <c r="M488" t="n">
        <v>31.43683248930145</v>
      </c>
      <c r="N488" t="n">
        <v>0</v>
      </c>
      <c r="O488" t="n">
        <v>31.43683248930145</v>
      </c>
      <c r="P488" t="n">
        <v>1.547274175450752e-05</v>
      </c>
      <c r="Q488" t="n">
        <v>31.43681215242293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KSA</t>
        </is>
      </c>
      <c r="D489" t="n">
        <v>2022</v>
      </c>
      <c r="E489" t="n">
        <v>-8.800772088812348</v>
      </c>
      <c r="F489" t="n">
        <v>12.001</v>
      </c>
      <c r="G489" t="n">
        <v>26.09388</v>
      </c>
      <c r="H489" t="n">
        <v>26.093841</v>
      </c>
      <c r="I489" t="n">
        <v>34.89461308881235</v>
      </c>
      <c r="J489" t="inlineStr">
        <is>
          <t>Saudi Arabia|KSA|2022</t>
        </is>
      </c>
      <c r="K489" t="inlineStr">
        <is>
          <t>Saudi Arabia|2022</t>
        </is>
      </c>
      <c r="L489" t="inlineStr">
        <is>
          <t>USD</t>
        </is>
      </c>
      <c r="M489" t="n">
        <v>-8.800772088812348</v>
      </c>
      <c r="N489" t="n">
        <v>0</v>
      </c>
      <c r="O489" t="n">
        <v>-8.800772088812348</v>
      </c>
      <c r="P489" t="n">
        <v>3.087820188429902e-05</v>
      </c>
      <c r="Q489" t="n">
        <v>-8.800800249485363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KSA</t>
        </is>
      </c>
      <c r="D490" t="n">
        <v>2023</v>
      </c>
      <c r="E490" t="n">
        <v>10.06240987703107</v>
      </c>
      <c r="F490" t="n">
        <v>0.543</v>
      </c>
      <c r="G490" t="n">
        <v>-1.653728</v>
      </c>
      <c r="H490" t="n">
        <v>-1.653653</v>
      </c>
      <c r="I490" t="n">
        <v>-11.71606287703107</v>
      </c>
      <c r="J490" t="inlineStr">
        <is>
          <t>Saudi Arabia|KSA|2023</t>
        </is>
      </c>
      <c r="K490" t="inlineStr">
        <is>
          <t>Saudi Arabia|2023</t>
        </is>
      </c>
      <c r="L490" t="inlineStr">
        <is>
          <t>USD</t>
        </is>
      </c>
      <c r="M490" t="n">
        <v>10.06240987703107</v>
      </c>
      <c r="N490" t="n">
        <v>0</v>
      </c>
      <c r="O490" t="n">
        <v>10.06240987703107</v>
      </c>
      <c r="P490" t="n">
        <v>-7.595825795014832e-05</v>
      </c>
      <c r="Q490" t="n">
        <v>10.06249347858377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KSA</t>
        </is>
      </c>
      <c r="D491" t="n">
        <v>2024</v>
      </c>
      <c r="E491" t="n">
        <v>-5.045334233037835</v>
      </c>
      <c r="F491" t="n">
        <v>1.997</v>
      </c>
      <c r="G491" t="n">
        <v>1.741387</v>
      </c>
      <c r="H491" t="n">
        <v>1.741364</v>
      </c>
      <c r="I491" t="n">
        <v>6.786698233037835</v>
      </c>
      <c r="J491" t="inlineStr">
        <is>
          <t>Saudi Arabia|KSA|2024</t>
        </is>
      </c>
      <c r="K491" t="inlineStr">
        <is>
          <t>Saudi Arabia|2024</t>
        </is>
      </c>
      <c r="L491" t="inlineStr">
        <is>
          <t>USD</t>
        </is>
      </c>
      <c r="M491" t="n">
        <v>-5.045334233037835</v>
      </c>
      <c r="N491" t="n">
        <v>0</v>
      </c>
      <c r="O491" t="n">
        <v>-5.045334233037835</v>
      </c>
      <c r="P491" t="n">
        <v>2.216422236855919e-05</v>
      </c>
      <c r="Q491" t="n">
        <v>-5.045355278996444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KSA</t>
        </is>
      </c>
      <c r="D492" t="n">
        <v>2025</v>
      </c>
      <c r="E492" t="n">
        <v>-11.10839682314687</v>
      </c>
      <c r="F492" t="n">
        <v>4.021</v>
      </c>
      <c r="G492" t="n">
        <v>2.317311</v>
      </c>
      <c r="H492" t="n">
        <v>2.3173</v>
      </c>
      <c r="I492" t="n">
        <v>13.42569682314687</v>
      </c>
      <c r="J492" t="inlineStr">
        <is>
          <t>Saudi Arabia|KSA|2025</t>
        </is>
      </c>
      <c r="K492" t="inlineStr">
        <is>
          <t>Saudi Arabia|2025</t>
        </is>
      </c>
      <c r="L492" t="inlineStr">
        <is>
          <t>USD</t>
        </is>
      </c>
      <c r="M492" t="n">
        <v>-11.10839682314687</v>
      </c>
      <c r="N492" t="n">
        <v>0</v>
      </c>
      <c r="O492" t="n">
        <v>-11.10839682314687</v>
      </c>
      <c r="P492" t="n">
        <v>1.087616465778041e-05</v>
      </c>
      <c r="Q492" t="n">
        <v>-11.10840649114295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KSA</t>
        </is>
      </c>
      <c r="D493" t="n">
        <v>2026</v>
      </c>
      <c r="E493" t="n">
        <v>1.305410759479564</v>
      </c>
      <c r="F493" t="n">
        <v>3.978</v>
      </c>
      <c r="G493" t="n">
        <v>3.761463</v>
      </c>
      <c r="H493" t="n">
        <v>3.761426</v>
      </c>
      <c r="I493" t="n">
        <v>2.456015240520436</v>
      </c>
      <c r="J493" t="inlineStr">
        <is>
          <t>Saudi Arabia|KSA|2026</t>
        </is>
      </c>
      <c r="K493" t="inlineStr">
        <is>
          <t>Saudi Arabia|2026</t>
        </is>
      </c>
      <c r="L493" t="inlineStr">
        <is>
          <t>USD</t>
        </is>
      </c>
      <c r="M493" t="n">
        <v>1.305410759479564</v>
      </c>
      <c r="N493" t="n">
        <v>0</v>
      </c>
      <c r="O493" t="n">
        <v>1.305410759479564</v>
      </c>
      <c r="P493" t="n">
        <v>3.564477177864234e-05</v>
      </c>
      <c r="Q493" t="n">
        <v>1.305374649409963</v>
      </c>
    </row>
    <row r="494">
      <c r="A494" t="inlineStr">
        <is>
          <t>Singapore</t>
        </is>
      </c>
      <c r="B494" t="inlineStr">
        <is>
          <t>SGP</t>
        </is>
      </c>
      <c r="C494" t="inlineStr">
        <is>
          <t>0JLR.L</t>
        </is>
      </c>
      <c r="D494" t="n">
        <v>2015</v>
      </c>
      <c r="E494" t="inlineStr"/>
      <c r="F494" t="n">
        <v>2.977</v>
      </c>
      <c r="G494" t="inlineStr"/>
      <c r="H494" t="inlineStr"/>
      <c r="I494" t="inlineStr"/>
      <c r="J494" t="inlineStr">
        <is>
          <t>Singapore|0JLR.L|2015</t>
        </is>
      </c>
      <c r="K494" t="inlineStr">
        <is>
          <t>Singapore|2015</t>
        </is>
      </c>
      <c r="L494" t="inlineStr">
        <is>
          <t>USD</t>
        </is>
      </c>
      <c r="M494" t="inlineStr"/>
      <c r="N494" t="n">
        <v>0</v>
      </c>
      <c r="O494" t="inlineStr"/>
      <c r="P494" t="inlineStr"/>
      <c r="Q494" t="inlineStr"/>
    </row>
    <row r="495">
      <c r="A495" t="inlineStr">
        <is>
          <t>Singapore</t>
        </is>
      </c>
      <c r="B495" t="inlineStr">
        <is>
          <t>SGP</t>
        </is>
      </c>
      <c r="C495" t="inlineStr">
        <is>
          <t>0JLR.L</t>
        </is>
      </c>
      <c r="D495" t="n">
        <v>2016</v>
      </c>
      <c r="E495" t="inlineStr"/>
      <c r="F495" t="n">
        <v>3.748</v>
      </c>
      <c r="G495" t="n">
        <v>4.289115</v>
      </c>
      <c r="H495" t="n">
        <v>3.781506</v>
      </c>
      <c r="I495" t="inlineStr"/>
      <c r="J495" t="inlineStr">
        <is>
          <t>Singapore|0JLR.L|2016</t>
        </is>
      </c>
      <c r="K495" t="inlineStr">
        <is>
          <t>Singapore|2016</t>
        </is>
      </c>
      <c r="L495" t="inlineStr">
        <is>
          <t>USD</t>
        </is>
      </c>
      <c r="M495" t="inlineStr"/>
      <c r="N495" t="n">
        <v>0</v>
      </c>
      <c r="O495" t="inlineStr"/>
      <c r="P495" t="n">
        <v>0.4891133382334267</v>
      </c>
      <c r="Q495" t="inlineStr"/>
    </row>
    <row r="496">
      <c r="A496" t="inlineStr">
        <is>
          <t>Singapore</t>
        </is>
      </c>
      <c r="B496" t="inlineStr">
        <is>
          <t>SGP</t>
        </is>
      </c>
      <c r="C496" t="inlineStr">
        <is>
          <t>0JLR.L</t>
        </is>
      </c>
      <c r="D496" t="n">
        <v>2017</v>
      </c>
      <c r="E496" t="inlineStr"/>
      <c r="F496" t="n">
        <v>4.477</v>
      </c>
      <c r="G496" t="n">
        <v>7.468422</v>
      </c>
      <c r="H496" t="n">
        <v>7.516753</v>
      </c>
      <c r="I496" t="inlineStr"/>
      <c r="J496" t="inlineStr">
        <is>
          <t>Singapore|0JLR.L|2017</t>
        </is>
      </c>
      <c r="K496" t="inlineStr">
        <is>
          <t>Singapore|2017</t>
        </is>
      </c>
      <c r="L496" t="inlineStr">
        <is>
          <t>USD</t>
        </is>
      </c>
      <c r="M496" t="inlineStr"/>
      <c r="N496" t="n">
        <v>0</v>
      </c>
      <c r="O496" t="inlineStr"/>
      <c r="P496" t="n">
        <v>-0.04495190656211845</v>
      </c>
      <c r="Q496" t="inlineStr"/>
    </row>
    <row r="497">
      <c r="A497" t="inlineStr">
        <is>
          <t>Singapore</t>
        </is>
      </c>
      <c r="B497" t="inlineStr">
        <is>
          <t>SGP</t>
        </is>
      </c>
      <c r="C497" t="inlineStr">
        <is>
          <t>0JLR.L</t>
        </is>
      </c>
      <c r="D497" t="n">
        <v>2018</v>
      </c>
      <c r="E497" t="n">
        <v>-22.3778919451951</v>
      </c>
      <c r="F497" t="n">
        <v>3.452</v>
      </c>
      <c r="G497" t="n">
        <v>7.18372</v>
      </c>
      <c r="H497" t="n">
        <v>9.73338</v>
      </c>
      <c r="I497" t="n">
        <v>32.1112719451951</v>
      </c>
      <c r="J497" t="inlineStr">
        <is>
          <t>Singapore|0JLR.L|2018</t>
        </is>
      </c>
      <c r="K497" t="inlineStr">
        <is>
          <t>Singapore|2018</t>
        </is>
      </c>
      <c r="L497" t="inlineStr">
        <is>
          <t>USD</t>
        </is>
      </c>
      <c r="M497" t="n">
        <v>-22.3778919451951</v>
      </c>
      <c r="N497" t="n">
        <v>0</v>
      </c>
      <c r="O497" t="n">
        <v>-22.3778919451951</v>
      </c>
      <c r="P497" t="n">
        <v>-2.323504963815937</v>
      </c>
      <c r="Q497" t="n">
        <v>-20.53143591398324</v>
      </c>
    </row>
    <row r="498">
      <c r="A498" t="inlineStr">
        <is>
          <t>Singapore</t>
        </is>
      </c>
      <c r="B498" t="inlineStr">
        <is>
          <t>SGP</t>
        </is>
      </c>
      <c r="C498" t="inlineStr">
        <is>
          <t>0JLR.L</t>
        </is>
      </c>
      <c r="D498" t="n">
        <v>2019</v>
      </c>
      <c r="E498" t="n">
        <v>0</v>
      </c>
      <c r="F498" t="n">
        <v>1.308</v>
      </c>
      <c r="G498" t="n">
        <v>0.877565</v>
      </c>
      <c r="H498" t="n">
        <v>-0.255089</v>
      </c>
      <c r="I498" t="n">
        <v>-0.255089</v>
      </c>
      <c r="J498" t="inlineStr">
        <is>
          <t>Singapore|0JLR.L|2019</t>
        </is>
      </c>
      <c r="K498" t="inlineStr">
        <is>
          <t>Singapore|2019</t>
        </is>
      </c>
      <c r="L498" t="inlineStr">
        <is>
          <t>USD</t>
        </is>
      </c>
      <c r="M498" t="n">
        <v>0</v>
      </c>
      <c r="N498" t="n">
        <v>0</v>
      </c>
      <c r="O498" t="n">
        <v>0</v>
      </c>
      <c r="P498" t="n">
        <v>1.135550634771332</v>
      </c>
      <c r="Q498" t="n">
        <v>-1.122800664696155</v>
      </c>
    </row>
    <row r="499">
      <c r="A499" t="inlineStr">
        <is>
          <t>Singapore</t>
        </is>
      </c>
      <c r="B499" t="inlineStr">
        <is>
          <t>SGP</t>
        </is>
      </c>
      <c r="C499" t="inlineStr">
        <is>
          <t>0JLR.L</t>
        </is>
      </c>
      <c r="D499" t="n">
        <v>2020</v>
      </c>
      <c r="E499" t="n">
        <v>-10.94921323061495</v>
      </c>
      <c r="F499" t="n">
        <v>-3.815</v>
      </c>
      <c r="G499" t="n">
        <v>-6.116217</v>
      </c>
      <c r="H499" t="n">
        <v>-7.176695</v>
      </c>
      <c r="I499" t="n">
        <v>3.772518230614952</v>
      </c>
      <c r="J499" t="inlineStr">
        <is>
          <t>Singapore|0JLR.L|2020</t>
        </is>
      </c>
      <c r="K499" t="inlineStr">
        <is>
          <t>Singapore|2020</t>
        </is>
      </c>
      <c r="L499" t="inlineStr">
        <is>
          <t>USD</t>
        </is>
      </c>
      <c r="M499" t="n">
        <v>-10.94921323061495</v>
      </c>
      <c r="N499" t="n">
        <v>0</v>
      </c>
      <c r="O499" t="n">
        <v>-10.94921323061495</v>
      </c>
      <c r="P499" t="n">
        <v>1.14246983405828</v>
      </c>
      <c r="Q499" t="n">
        <v>-11.9550996574552</v>
      </c>
    </row>
    <row r="500">
      <c r="A500" t="inlineStr">
        <is>
          <t>Singapore</t>
        </is>
      </c>
      <c r="B500" t="inlineStr">
        <is>
          <t>SGP</t>
        </is>
      </c>
      <c r="C500" t="inlineStr">
        <is>
          <t>0JLR.L</t>
        </is>
      </c>
      <c r="D500" t="n">
        <v>2021</v>
      </c>
      <c r="E500" t="n">
        <v>-2.183909799860795</v>
      </c>
      <c r="F500" t="n">
        <v>9.757</v>
      </c>
      <c r="G500" t="n">
        <v>21.75237</v>
      </c>
      <c r="H500" t="n">
        <v>25.038234</v>
      </c>
      <c r="I500" t="n">
        <v>27.2221437998608</v>
      </c>
      <c r="J500" t="inlineStr">
        <is>
          <t>Singapore|0JLR.L|2021</t>
        </is>
      </c>
      <c r="K500" t="inlineStr">
        <is>
          <t>Singapore|2021</t>
        </is>
      </c>
      <c r="L500" t="inlineStr">
        <is>
          <t>USD</t>
        </is>
      </c>
      <c r="M500" t="n">
        <v>-2.183909799860795</v>
      </c>
      <c r="N500" t="n">
        <v>0</v>
      </c>
      <c r="O500" t="n">
        <v>-2.183909799860795</v>
      </c>
      <c r="P500" t="n">
        <v>-2.627887405437757</v>
      </c>
      <c r="Q500" t="n">
        <v>0.4559597134608628</v>
      </c>
    </row>
    <row r="501">
      <c r="A501" t="inlineStr">
        <is>
          <t>Singapore</t>
        </is>
      </c>
      <c r="B501" t="inlineStr">
        <is>
          <t>SGP</t>
        </is>
      </c>
      <c r="C501" t="inlineStr">
        <is>
          <t>0JLR.L</t>
        </is>
      </c>
      <c r="D501" t="n">
        <v>2022</v>
      </c>
      <c r="E501" t="n">
        <v>-11.32867234846093</v>
      </c>
      <c r="F501" t="n">
        <v>4.108</v>
      </c>
      <c r="G501" t="n">
        <v>19.642385</v>
      </c>
      <c r="H501" t="n">
        <v>16.58921</v>
      </c>
      <c r="I501" t="n">
        <v>27.91788234846094</v>
      </c>
      <c r="J501" t="inlineStr">
        <is>
          <t>Singapore|0JLR.L|2022</t>
        </is>
      </c>
      <c r="K501" t="inlineStr">
        <is>
          <t>Singapore|2022</t>
        </is>
      </c>
      <c r="L501" t="inlineStr">
        <is>
          <t>USD</t>
        </is>
      </c>
      <c r="M501" t="n">
        <v>-11.32867234846093</v>
      </c>
      <c r="N501" t="n">
        <v>0</v>
      </c>
      <c r="O501" t="n">
        <v>-11.32867234846093</v>
      </c>
      <c r="P501" t="n">
        <v>2.618745549273416</v>
      </c>
      <c r="Q501" t="n">
        <v>-13.59149132361724</v>
      </c>
    </row>
    <row r="502">
      <c r="A502" t="inlineStr">
        <is>
          <t>Singapore</t>
        </is>
      </c>
      <c r="B502" t="inlineStr">
        <is>
          <t>SGP</t>
        </is>
      </c>
      <c r="C502" t="inlineStr">
        <is>
          <t>0JLR.L</t>
        </is>
      </c>
      <c r="D502" t="n">
        <v>2023</v>
      </c>
      <c r="E502" t="n">
        <v>-0.9581776691775068</v>
      </c>
      <c r="F502" t="n">
        <v>1.821</v>
      </c>
      <c r="G502" t="n">
        <v>-3.288561</v>
      </c>
      <c r="H502" t="n">
        <v>-0.702922</v>
      </c>
      <c r="I502" t="n">
        <v>0.2552556691775067</v>
      </c>
      <c r="J502" t="inlineStr">
        <is>
          <t>Singapore|0JLR.L|2023</t>
        </is>
      </c>
      <c r="K502" t="inlineStr">
        <is>
          <t>Singapore|2023</t>
        </is>
      </c>
      <c r="L502" t="inlineStr">
        <is>
          <t>USD</t>
        </is>
      </c>
      <c r="M502" t="n">
        <v>-0.9581776691775068</v>
      </c>
      <c r="N502" t="n">
        <v>0</v>
      </c>
      <c r="O502" t="n">
        <v>-0.9581776691775068</v>
      </c>
      <c r="P502" t="n">
        <v>-2.603942162117134</v>
      </c>
      <c r="Q502" t="n">
        <v>1.689764996114151</v>
      </c>
    </row>
    <row r="503">
      <c r="A503" t="inlineStr">
        <is>
          <t>Singapore</t>
        </is>
      </c>
      <c r="B503" t="inlineStr">
        <is>
          <t>SGP</t>
        </is>
      </c>
      <c r="C503" t="inlineStr">
        <is>
          <t>0JLR.L</t>
        </is>
      </c>
      <c r="D503" t="n">
        <v>2024</v>
      </c>
      <c r="E503" t="n">
        <v>20.51402589484645</v>
      </c>
      <c r="F503" t="n">
        <v>4.388</v>
      </c>
      <c r="G503" t="n">
        <v>7.772054</v>
      </c>
      <c r="H503" t="n">
        <v>8.299106</v>
      </c>
      <c r="I503" t="n">
        <v>-12.21491989484645</v>
      </c>
      <c r="J503" t="inlineStr">
        <is>
          <t>Singapore|0JLR.L|2024</t>
        </is>
      </c>
      <c r="K503" t="inlineStr">
        <is>
          <t>Singapore|2024</t>
        </is>
      </c>
      <c r="L503" t="inlineStr">
        <is>
          <t>USD</t>
        </is>
      </c>
      <c r="M503" t="n">
        <v>20.51402589484645</v>
      </c>
      <c r="N503" t="n">
        <v>0</v>
      </c>
      <c r="O503" t="n">
        <v>20.51402589484645</v>
      </c>
      <c r="P503" t="n">
        <v>-0.4866627563972825</v>
      </c>
      <c r="Q503" t="n">
        <v>21.103390995556</v>
      </c>
    </row>
    <row r="504">
      <c r="A504" t="inlineStr">
        <is>
          <t>Singapore</t>
        </is>
      </c>
      <c r="B504" t="inlineStr">
        <is>
          <t>SGP</t>
        </is>
      </c>
      <c r="C504" t="inlineStr">
        <is>
          <t>0JLR.L</t>
        </is>
      </c>
      <c r="D504" t="n">
        <v>2025</v>
      </c>
      <c r="E504" t="n">
        <v>26.32109428603606</v>
      </c>
      <c r="F504" t="n">
        <v>2.226</v>
      </c>
      <c r="G504" t="n">
        <v>2.294664</v>
      </c>
      <c r="H504" t="n">
        <v>4.895622</v>
      </c>
      <c r="I504" t="n">
        <v>-21.42547228603606</v>
      </c>
      <c r="J504" t="inlineStr">
        <is>
          <t>Singapore|0JLR.L|2025</t>
        </is>
      </c>
      <c r="K504" t="inlineStr">
        <is>
          <t>Singapore|2025</t>
        </is>
      </c>
      <c r="L504" t="inlineStr">
        <is>
          <t>USD</t>
        </is>
      </c>
      <c r="M504" t="n">
        <v>26.32109428603606</v>
      </c>
      <c r="N504" t="n">
        <v>0</v>
      </c>
      <c r="O504" t="n">
        <v>26.32109428603606</v>
      </c>
      <c r="P504" t="n">
        <v>-2.479567822899986</v>
      </c>
      <c r="Q504" t="n">
        <v>29.53295167584285</v>
      </c>
    </row>
    <row r="505">
      <c r="A505" t="inlineStr">
        <is>
          <t>Singapore</t>
        </is>
      </c>
      <c r="B505" t="inlineStr">
        <is>
          <t>SGP</t>
        </is>
      </c>
      <c r="C505" t="inlineStr">
        <is>
          <t>0JLR.L</t>
        </is>
      </c>
      <c r="D505" t="n">
        <v>2026</v>
      </c>
      <c r="E505" t="n">
        <v>-2.658879028524652</v>
      </c>
      <c r="F505" t="n">
        <v>1.823</v>
      </c>
      <c r="G505" t="n">
        <v>3.126086</v>
      </c>
      <c r="H505" t="n">
        <v>5.580083</v>
      </c>
      <c r="I505" t="n">
        <v>8.238962028524652</v>
      </c>
      <c r="J505" t="inlineStr">
        <is>
          <t>Singapore|0JLR.L|2026</t>
        </is>
      </c>
      <c r="K505" t="inlineStr">
        <is>
          <t>Singapore|2026</t>
        </is>
      </c>
      <c r="L505" t="inlineStr">
        <is>
          <t>USD</t>
        </is>
      </c>
      <c r="M505" t="n">
        <v>-2.658879028524652</v>
      </c>
      <c r="N505" t="n">
        <v>0</v>
      </c>
      <c r="O505" t="n">
        <v>-2.658879028524652</v>
      </c>
      <c r="P505" t="n">
        <v>-2.324299330190116</v>
      </c>
      <c r="Q505" t="n">
        <v>-0.3425413854624693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EWS</t>
        </is>
      </c>
      <c r="D506" t="n">
        <v>2015</v>
      </c>
      <c r="E506" t="n">
        <v>-20.74017331284024</v>
      </c>
      <c r="F506" t="n">
        <v>2.977</v>
      </c>
      <c r="G506" t="inlineStr"/>
      <c r="H506" t="inlineStr"/>
      <c r="I506" t="inlineStr"/>
      <c r="J506" t="inlineStr">
        <is>
          <t>Singapore|EWS|2015</t>
        </is>
      </c>
      <c r="K506" t="inlineStr">
        <is>
          <t>Singapore|2015</t>
        </is>
      </c>
      <c r="L506" t="inlineStr">
        <is>
          <t>USD</t>
        </is>
      </c>
      <c r="M506" t="n">
        <v>-20.74017331284024</v>
      </c>
      <c r="N506" t="n">
        <v>0</v>
      </c>
      <c r="O506" t="n">
        <v>-20.74017331284024</v>
      </c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EWS</t>
        </is>
      </c>
      <c r="D507" t="n">
        <v>2016</v>
      </c>
      <c r="E507" t="n">
        <v>-0.8457715077989203</v>
      </c>
      <c r="F507" t="n">
        <v>3.748</v>
      </c>
      <c r="G507" t="n">
        <v>4.289115</v>
      </c>
      <c r="H507" t="n">
        <v>3.781506</v>
      </c>
      <c r="I507" t="n">
        <v>4.627277507798921</v>
      </c>
      <c r="J507" t="inlineStr">
        <is>
          <t>Singapore|EWS|2016</t>
        </is>
      </c>
      <c r="K507" t="inlineStr">
        <is>
          <t>Singapore|2016</t>
        </is>
      </c>
      <c r="L507" t="inlineStr">
        <is>
          <t>USD</t>
        </is>
      </c>
      <c r="M507" t="n">
        <v>-0.8457715077989203</v>
      </c>
      <c r="N507" t="n">
        <v>0</v>
      </c>
      <c r="O507" t="n">
        <v>-0.8457715077989203</v>
      </c>
      <c r="P507" t="n">
        <v>0.4891133382334267</v>
      </c>
      <c r="Q507" t="n">
        <v>-1.328387525461883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EWS</t>
        </is>
      </c>
      <c r="D508" t="n">
        <v>2017</v>
      </c>
      <c r="E508" t="n">
        <v>28.81272422362238</v>
      </c>
      <c r="F508" t="n">
        <v>4.477</v>
      </c>
      <c r="G508" t="n">
        <v>7.468422</v>
      </c>
      <c r="H508" t="n">
        <v>7.516753</v>
      </c>
      <c r="I508" t="n">
        <v>-21.29597122362237</v>
      </c>
      <c r="J508" t="inlineStr">
        <is>
          <t>Singapore|EWS|2017</t>
        </is>
      </c>
      <c r="K508" t="inlineStr">
        <is>
          <t>Singapore|2017</t>
        </is>
      </c>
      <c r="L508" t="inlineStr">
        <is>
          <t>USD</t>
        </is>
      </c>
      <c r="M508" t="n">
        <v>28.81272422362238</v>
      </c>
      <c r="N508" t="n">
        <v>0</v>
      </c>
      <c r="O508" t="n">
        <v>28.81272422362238</v>
      </c>
      <c r="P508" t="n">
        <v>-0.04495190656211845</v>
      </c>
      <c r="Q508" t="n">
        <v>28.87065403961227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EWS</t>
        </is>
      </c>
      <c r="D509" t="n">
        <v>2018</v>
      </c>
      <c r="E509" t="n">
        <v>-16.41452369487473</v>
      </c>
      <c r="F509" t="n">
        <v>3.452</v>
      </c>
      <c r="G509" t="n">
        <v>7.18372</v>
      </c>
      <c r="H509" t="n">
        <v>9.73338</v>
      </c>
      <c r="I509" t="n">
        <v>26.14790369487473</v>
      </c>
      <c r="J509" t="inlineStr">
        <is>
          <t>Singapore|EWS|2018</t>
        </is>
      </c>
      <c r="K509" t="inlineStr">
        <is>
          <t>Singapore|2018</t>
        </is>
      </c>
      <c r="L509" t="inlineStr">
        <is>
          <t>USD</t>
        </is>
      </c>
      <c r="M509" t="n">
        <v>-16.41452369487473</v>
      </c>
      <c r="N509" t="n">
        <v>0</v>
      </c>
      <c r="O509" t="n">
        <v>-16.41452369487473</v>
      </c>
      <c r="P509" t="n">
        <v>-2.323504963815937</v>
      </c>
      <c r="Q509" t="n">
        <v>-14.42621249445816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EWS</t>
        </is>
      </c>
      <c r="D510" t="n">
        <v>2019</v>
      </c>
      <c r="E510" t="n">
        <v>9.230764583557205</v>
      </c>
      <c r="F510" t="n">
        <v>1.308</v>
      </c>
      <c r="G510" t="n">
        <v>0.877565</v>
      </c>
      <c r="H510" t="n">
        <v>-0.255089</v>
      </c>
      <c r="I510" t="n">
        <v>-9.485853583557205</v>
      </c>
      <c r="J510" t="inlineStr">
        <is>
          <t>Singapore|EWS|2019</t>
        </is>
      </c>
      <c r="K510" t="inlineStr">
        <is>
          <t>Singapore|2019</t>
        </is>
      </c>
      <c r="L510" t="inlineStr">
        <is>
          <t>USD</t>
        </is>
      </c>
      <c r="M510" t="n">
        <v>9.230764583557205</v>
      </c>
      <c r="N510" t="n">
        <v>0</v>
      </c>
      <c r="O510" t="n">
        <v>9.230764583557205</v>
      </c>
      <c r="P510" t="n">
        <v>1.135550634771332</v>
      </c>
      <c r="Q510" t="n">
        <v>8.004320832760325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EWS</t>
        </is>
      </c>
      <c r="D511" t="n">
        <v>2020</v>
      </c>
      <c r="E511" t="n">
        <v>-12.14724387741109</v>
      </c>
      <c r="F511" t="n">
        <v>-3.815</v>
      </c>
      <c r="G511" t="n">
        <v>-6.116217</v>
      </c>
      <c r="H511" t="n">
        <v>-7.176695</v>
      </c>
      <c r="I511" t="n">
        <v>4.970548877411086</v>
      </c>
      <c r="J511" t="inlineStr">
        <is>
          <t>Singapore|EWS|2020</t>
        </is>
      </c>
      <c r="K511" t="inlineStr">
        <is>
          <t>Singapore|2020</t>
        </is>
      </c>
      <c r="L511" t="inlineStr">
        <is>
          <t>USD</t>
        </is>
      </c>
      <c r="M511" t="n">
        <v>-12.14724387741109</v>
      </c>
      <c r="N511" t="n">
        <v>0</v>
      </c>
      <c r="O511" t="n">
        <v>-12.14724387741109</v>
      </c>
      <c r="P511" t="n">
        <v>1.14246983405828</v>
      </c>
      <c r="Q511" t="n">
        <v>-13.1395977706234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EWS</t>
        </is>
      </c>
      <c r="D512" t="n">
        <v>2021</v>
      </c>
      <c r="E512" t="n">
        <v>-0.78849759046834</v>
      </c>
      <c r="F512" t="n">
        <v>9.757</v>
      </c>
      <c r="G512" t="n">
        <v>21.75237</v>
      </c>
      <c r="H512" t="n">
        <v>25.038234</v>
      </c>
      <c r="I512" t="n">
        <v>25.82673159046834</v>
      </c>
      <c r="J512" t="inlineStr">
        <is>
          <t>Singapore|EWS|2021</t>
        </is>
      </c>
      <c r="K512" t="inlineStr">
        <is>
          <t>Singapore|2021</t>
        </is>
      </c>
      <c r="L512" t="inlineStr">
        <is>
          <t>USD</t>
        </is>
      </c>
      <c r="M512" t="n">
        <v>-0.78849759046834</v>
      </c>
      <c r="N512" t="n">
        <v>0</v>
      </c>
      <c r="O512" t="n">
        <v>-0.78849759046834</v>
      </c>
      <c r="P512" t="n">
        <v>-2.627887405437757</v>
      </c>
      <c r="Q512" t="n">
        <v>1.889031434111188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EWS</t>
        </is>
      </c>
      <c r="D513" t="n">
        <v>2022</v>
      </c>
      <c r="E513" t="n">
        <v>-12.22585535195076</v>
      </c>
      <c r="F513" t="n">
        <v>4.108</v>
      </c>
      <c r="G513" t="n">
        <v>19.642385</v>
      </c>
      <c r="H513" t="n">
        <v>16.58921</v>
      </c>
      <c r="I513" t="n">
        <v>28.81506535195076</v>
      </c>
      <c r="J513" t="inlineStr">
        <is>
          <t>Singapore|EWS|2022</t>
        </is>
      </c>
      <c r="K513" t="inlineStr">
        <is>
          <t>Singapore|2022</t>
        </is>
      </c>
      <c r="L513" t="inlineStr">
        <is>
          <t>USD</t>
        </is>
      </c>
      <c r="M513" t="n">
        <v>-12.22585535195076</v>
      </c>
      <c r="N513" t="n">
        <v>0</v>
      </c>
      <c r="O513" t="n">
        <v>-12.22585535195076</v>
      </c>
      <c r="P513" t="n">
        <v>2.618745549273416</v>
      </c>
      <c r="Q513" t="n">
        <v>-14.46577895857867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EWS</t>
        </is>
      </c>
      <c r="D514" t="n">
        <v>2023</v>
      </c>
      <c r="E514" t="n">
        <v>-0.6376138885792138</v>
      </c>
      <c r="F514" t="n">
        <v>1.821</v>
      </c>
      <c r="G514" t="n">
        <v>-3.288561</v>
      </c>
      <c r="H514" t="n">
        <v>-0.702922</v>
      </c>
      <c r="I514" t="n">
        <v>-0.0653081114207863</v>
      </c>
      <c r="J514" t="inlineStr">
        <is>
          <t>Singapore|EWS|2023</t>
        </is>
      </c>
      <c r="K514" t="inlineStr">
        <is>
          <t>Singapore|2023</t>
        </is>
      </c>
      <c r="L514" t="inlineStr">
        <is>
          <t>USD</t>
        </is>
      </c>
      <c r="M514" t="n">
        <v>-0.6376138885792138</v>
      </c>
      <c r="N514" t="n">
        <v>0</v>
      </c>
      <c r="O514" t="n">
        <v>-0.6376138885792138</v>
      </c>
      <c r="P514" t="n">
        <v>-2.603942162117134</v>
      </c>
      <c r="Q514" t="n">
        <v>2.018899242113981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EWS</t>
        </is>
      </c>
      <c r="D515" t="n">
        <v>2024</v>
      </c>
      <c r="E515" t="n">
        <v>18.87922404322022</v>
      </c>
      <c r="F515" t="n">
        <v>4.388</v>
      </c>
      <c r="G515" t="n">
        <v>7.772054</v>
      </c>
      <c r="H515" t="n">
        <v>8.299106</v>
      </c>
      <c r="I515" t="n">
        <v>-10.58011804322022</v>
      </c>
      <c r="J515" t="inlineStr">
        <is>
          <t>Singapore|EWS|2024</t>
        </is>
      </c>
      <c r="K515" t="inlineStr">
        <is>
          <t>Singapore|2024</t>
        </is>
      </c>
      <c r="L515" t="inlineStr">
        <is>
          <t>USD</t>
        </is>
      </c>
      <c r="M515" t="n">
        <v>18.87922404322022</v>
      </c>
      <c r="N515" t="n">
        <v>0</v>
      </c>
      <c r="O515" t="n">
        <v>18.87922404322022</v>
      </c>
      <c r="P515" t="n">
        <v>-0.4866627563972825</v>
      </c>
      <c r="Q515" t="n">
        <v>19.46059426407434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EWS</t>
        </is>
      </c>
      <c r="D516" t="n">
        <v>2025</v>
      </c>
      <c r="E516" t="n">
        <v>26.48275967301996</v>
      </c>
      <c r="F516" t="n">
        <v>2.226</v>
      </c>
      <c r="G516" t="n">
        <v>2.294664</v>
      </c>
      <c r="H516" t="n">
        <v>4.895622</v>
      </c>
      <c r="I516" t="n">
        <v>-21.58713767301996</v>
      </c>
      <c r="J516" t="inlineStr">
        <is>
          <t>Singapore|EWS|2025</t>
        </is>
      </c>
      <c r="K516" t="inlineStr">
        <is>
          <t>Singapore|2025</t>
        </is>
      </c>
      <c r="L516" t="inlineStr">
        <is>
          <t>USD</t>
        </is>
      </c>
      <c r="M516" t="n">
        <v>26.48275967301996</v>
      </c>
      <c r="N516" t="n">
        <v>0</v>
      </c>
      <c r="O516" t="n">
        <v>26.48275967301996</v>
      </c>
      <c r="P516" t="n">
        <v>-2.479567822899986</v>
      </c>
      <c r="Q516" t="n">
        <v>29.69872758902821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EWS</t>
        </is>
      </c>
      <c r="D517" t="n">
        <v>2026</v>
      </c>
      <c r="E517" t="n">
        <v>-1.765764940966341</v>
      </c>
      <c r="F517" t="n">
        <v>1.823</v>
      </c>
      <c r="G517" t="n">
        <v>3.126086</v>
      </c>
      <c r="H517" t="n">
        <v>5.580083</v>
      </c>
      <c r="I517" t="n">
        <v>7.345847940966341</v>
      </c>
      <c r="J517" t="inlineStr">
        <is>
          <t>Singapore|EWS|2026</t>
        </is>
      </c>
      <c r="K517" t="inlineStr">
        <is>
          <t>Singapore|2026</t>
        </is>
      </c>
      <c r="L517" t="inlineStr">
        <is>
          <t>USD</t>
        </is>
      </c>
      <c r="M517" t="n">
        <v>-1.765764940966341</v>
      </c>
      <c r="N517" t="n">
        <v>0</v>
      </c>
      <c r="O517" t="n">
        <v>-1.765764940966341</v>
      </c>
      <c r="P517" t="n">
        <v>-2.324299330190116</v>
      </c>
      <c r="Q517" t="n">
        <v>0.5718253213374824</v>
      </c>
    </row>
    <row r="518">
      <c r="A518" t="inlineStr">
        <is>
          <t>South Africa</t>
        </is>
      </c>
      <c r="B518" t="inlineStr">
        <is>
          <t>ZAF</t>
        </is>
      </c>
      <c r="C518" t="inlineStr">
        <is>
          <t>EZA</t>
        </is>
      </c>
      <c r="D518" t="n">
        <v>2015</v>
      </c>
      <c r="E518" t="n">
        <v>-26.45252665888431</v>
      </c>
      <c r="F518" t="n">
        <v>1.322</v>
      </c>
      <c r="G518" t="inlineStr"/>
      <c r="H518" t="inlineStr"/>
      <c r="I518" t="inlineStr"/>
      <c r="J518" t="inlineStr">
        <is>
          <t>South Africa|EZA|2015</t>
        </is>
      </c>
      <c r="K518" t="inlineStr">
        <is>
          <t>South Africa|2015</t>
        </is>
      </c>
      <c r="L518" t="inlineStr">
        <is>
          <t>USD</t>
        </is>
      </c>
      <c r="M518" t="n">
        <v>-26.45252665888431</v>
      </c>
      <c r="N518" t="n">
        <v>0</v>
      </c>
      <c r="O518" t="n">
        <v>-26.45252665888431</v>
      </c>
      <c r="P518" t="inlineStr"/>
      <c r="Q518" t="inlineStr"/>
    </row>
    <row r="519">
      <c r="A519" t="inlineStr">
        <is>
          <t>South Africa</t>
        </is>
      </c>
      <c r="B519" t="inlineStr">
        <is>
          <t>ZAF</t>
        </is>
      </c>
      <c r="C519" t="inlineStr">
        <is>
          <t>EZA</t>
        </is>
      </c>
      <c r="D519" t="n">
        <v>2016</v>
      </c>
      <c r="E519" t="n">
        <v>14.79938590149466</v>
      </c>
      <c r="F519" t="n">
        <v>0.665</v>
      </c>
      <c r="G519" t="n">
        <v>7.662924</v>
      </c>
      <c r="H519" t="n">
        <v>-6.683725</v>
      </c>
      <c r="I519" t="n">
        <v>-21.48311090149465</v>
      </c>
      <c r="J519" t="inlineStr">
        <is>
          <t>South Africa|EZA|2016</t>
        </is>
      </c>
      <c r="K519" t="inlineStr">
        <is>
          <t>South Africa|2016</t>
        </is>
      </c>
      <c r="L519" t="inlineStr">
        <is>
          <t>USD</t>
        </is>
      </c>
      <c r="M519" t="n">
        <v>14.79938590149466</v>
      </c>
      <c r="N519" t="n">
        <v>0</v>
      </c>
      <c r="O519" t="n">
        <v>14.79938590149466</v>
      </c>
      <c r="P519" t="n">
        <v>15.37421879776868</v>
      </c>
      <c r="Q519" t="n">
        <v>-0.4982334028034496</v>
      </c>
    </row>
    <row r="520">
      <c r="A520" t="inlineStr">
        <is>
          <t>South Africa</t>
        </is>
      </c>
      <c r="B520" t="inlineStr">
        <is>
          <t>ZAF</t>
        </is>
      </c>
      <c r="C520" t="inlineStr">
        <is>
          <t>EZA</t>
        </is>
      </c>
      <c r="D520" t="n">
        <v>2017</v>
      </c>
      <c r="E520" t="n">
        <v>32.40635084302932</v>
      </c>
      <c r="F520" t="n">
        <v>1.158</v>
      </c>
      <c r="G520" t="n">
        <v>6.694659</v>
      </c>
      <c r="H520" t="n">
        <v>17.874884</v>
      </c>
      <c r="I520" t="n">
        <v>-14.53146684302931</v>
      </c>
      <c r="J520" t="inlineStr">
        <is>
          <t>South Africa|EZA|2017</t>
        </is>
      </c>
      <c r="K520" t="inlineStr">
        <is>
          <t>South Africa|2017</t>
        </is>
      </c>
      <c r="L520" t="inlineStr">
        <is>
          <t>USD</t>
        </is>
      </c>
      <c r="M520" t="n">
        <v>32.40635084302932</v>
      </c>
      <c r="N520" t="n">
        <v>0</v>
      </c>
      <c r="O520" t="n">
        <v>32.40635084302932</v>
      </c>
      <c r="P520" t="n">
        <v>-9.484823705543821</v>
      </c>
      <c r="Q520" t="n">
        <v>46.28082965037419</v>
      </c>
    </row>
    <row r="521">
      <c r="A521" t="inlineStr">
        <is>
          <t>South Africa</t>
        </is>
      </c>
      <c r="B521" t="inlineStr">
        <is>
          <t>ZAF</t>
        </is>
      </c>
      <c r="C521" t="inlineStr">
        <is>
          <t>EZA</t>
        </is>
      </c>
      <c r="D521" t="n">
        <v>2018</v>
      </c>
      <c r="E521" t="n">
        <v>-27.86674434962305</v>
      </c>
      <c r="F521" t="n">
        <v>1.557</v>
      </c>
      <c r="G521" t="n">
        <v>5.612215</v>
      </c>
      <c r="H521" t="n">
        <v>6.235232</v>
      </c>
      <c r="I521" t="n">
        <v>34.10197634962305</v>
      </c>
      <c r="J521" t="inlineStr">
        <is>
          <t>South Africa|EZA|2018</t>
        </is>
      </c>
      <c r="K521" t="inlineStr">
        <is>
          <t>South Africa|2018</t>
        </is>
      </c>
      <c r="L521" t="inlineStr">
        <is>
          <t>USD</t>
        </is>
      </c>
      <c r="M521" t="n">
        <v>-27.86674434962305</v>
      </c>
      <c r="N521" t="n">
        <v>0</v>
      </c>
      <c r="O521" t="n">
        <v>-27.86674434962305</v>
      </c>
      <c r="P521" t="n">
        <v>-0.5864504954378513</v>
      </c>
      <c r="Q521" t="n">
        <v>-27.44122304267316</v>
      </c>
    </row>
    <row r="522">
      <c r="A522" t="inlineStr">
        <is>
          <t>South Africa</t>
        </is>
      </c>
      <c r="B522" t="inlineStr">
        <is>
          <t>ZAF</t>
        </is>
      </c>
      <c r="C522" t="inlineStr">
        <is>
          <t>EZA</t>
        </is>
      </c>
      <c r="D522" t="n">
        <v>2019</v>
      </c>
      <c r="E522" t="n">
        <v>-2.465702238800194</v>
      </c>
      <c r="F522" t="n">
        <v>0.26</v>
      </c>
      <c r="G522" t="n">
        <v>4.885469</v>
      </c>
      <c r="H522" t="n">
        <v>-3.912188</v>
      </c>
      <c r="I522" t="n">
        <v>-1.446485761199806</v>
      </c>
      <c r="J522" t="inlineStr">
        <is>
          <t>South Africa|EZA|2019</t>
        </is>
      </c>
      <c r="K522" t="inlineStr">
        <is>
          <t>South Africa|2019</t>
        </is>
      </c>
      <c r="L522" t="inlineStr">
        <is>
          <t>USD</t>
        </is>
      </c>
      <c r="M522" t="n">
        <v>-2.465702238800194</v>
      </c>
      <c r="N522" t="n">
        <v>0</v>
      </c>
      <c r="O522" t="n">
        <v>-2.465702238800194</v>
      </c>
      <c r="P522" t="n">
        <v>9.155851476484699</v>
      </c>
      <c r="Q522" t="n">
        <v>-10.64675283833822</v>
      </c>
    </row>
    <row r="523">
      <c r="A523" t="inlineStr">
        <is>
          <t>South Africa</t>
        </is>
      </c>
      <c r="B523" t="inlineStr">
        <is>
          <t>ZAF</t>
        </is>
      </c>
      <c r="C523" t="inlineStr">
        <is>
          <t>EZA</t>
        </is>
      </c>
      <c r="D523" t="n">
        <v>2020</v>
      </c>
      <c r="E523" t="n">
        <v>-11.39854373853442</v>
      </c>
      <c r="F523" t="n">
        <v>-6.169</v>
      </c>
      <c r="G523" t="n">
        <v>-1.110128</v>
      </c>
      <c r="H523" t="n">
        <v>-13.197087</v>
      </c>
      <c r="I523" t="n">
        <v>-1.798543261465582</v>
      </c>
      <c r="J523" t="inlineStr">
        <is>
          <t>South Africa|EZA|2020</t>
        </is>
      </c>
      <c r="K523" t="inlineStr">
        <is>
          <t>South Africa|2020</t>
        </is>
      </c>
      <c r="L523" t="inlineStr">
        <is>
          <t>USD</t>
        </is>
      </c>
      <c r="M523" t="n">
        <v>-11.39854373853442</v>
      </c>
      <c r="N523" t="n">
        <v>0</v>
      </c>
      <c r="O523" t="n">
        <v>-11.39854373853442</v>
      </c>
      <c r="P523" t="n">
        <v>13.92460018633528</v>
      </c>
      <c r="Q523" t="n">
        <v>-22.22798577607569</v>
      </c>
    </row>
    <row r="524">
      <c r="A524" t="inlineStr">
        <is>
          <t>South Africa</t>
        </is>
      </c>
      <c r="B524" t="inlineStr">
        <is>
          <t>ZAF</t>
        </is>
      </c>
      <c r="C524" t="inlineStr">
        <is>
          <t>EZA</t>
        </is>
      </c>
      <c r="D524" t="n">
        <v>2021</v>
      </c>
      <c r="E524" t="n">
        <v>5.358766033811513</v>
      </c>
      <c r="F524" t="n">
        <v>4.859</v>
      </c>
      <c r="G524" t="n">
        <v>11.578443</v>
      </c>
      <c r="H524" t="n">
        <v>24.26985</v>
      </c>
      <c r="I524" t="n">
        <v>18.91108396618849</v>
      </c>
      <c r="J524" t="inlineStr">
        <is>
          <t>South Africa|EZA|2021</t>
        </is>
      </c>
      <c r="K524" t="inlineStr">
        <is>
          <t>South Africa|2021</t>
        </is>
      </c>
      <c r="L524" t="inlineStr">
        <is>
          <t>USD</t>
        </is>
      </c>
      <c r="M524" t="n">
        <v>5.358766033811513</v>
      </c>
      <c r="N524" t="n">
        <v>0</v>
      </c>
      <c r="O524" t="n">
        <v>5.358766033811513</v>
      </c>
      <c r="P524" t="n">
        <v>-10.21278077818898</v>
      </c>
      <c r="Q524" t="n">
        <v>17.34272087604409</v>
      </c>
    </row>
    <row r="525">
      <c r="A525" t="inlineStr">
        <is>
          <t>South Africa</t>
        </is>
      </c>
      <c r="B525" t="inlineStr">
        <is>
          <t>ZAF</t>
        </is>
      </c>
      <c r="C525" t="inlineStr">
        <is>
          <t>EZA</t>
        </is>
      </c>
      <c r="D525" t="n">
        <v>2022</v>
      </c>
      <c r="E525" t="n">
        <v>-9.919290148714854</v>
      </c>
      <c r="F525" t="n">
        <v>2.058</v>
      </c>
      <c r="G525" t="n">
        <v>7.406989</v>
      </c>
      <c r="H525" t="n">
        <v>-2.964671</v>
      </c>
      <c r="I525" t="n">
        <v>6.954619148714854</v>
      </c>
      <c r="J525" t="inlineStr">
        <is>
          <t>South Africa|EZA|2022</t>
        </is>
      </c>
      <c r="K525" t="inlineStr">
        <is>
          <t>South Africa|2022</t>
        </is>
      </c>
      <c r="L525" t="inlineStr">
        <is>
          <t>USD</t>
        </is>
      </c>
      <c r="M525" t="n">
        <v>-9.919290148714854</v>
      </c>
      <c r="N525" t="n">
        <v>0</v>
      </c>
      <c r="O525" t="n">
        <v>-9.919290148714854</v>
      </c>
      <c r="P525" t="n">
        <v>10.6885391934918</v>
      </c>
      <c r="Q525" t="n">
        <v>-18.61785284399014</v>
      </c>
    </row>
    <row r="526">
      <c r="A526" t="inlineStr">
        <is>
          <t>South Africa</t>
        </is>
      </c>
      <c r="B526" t="inlineStr">
        <is>
          <t>ZAF</t>
        </is>
      </c>
      <c r="C526" t="inlineStr">
        <is>
          <t>EZA</t>
        </is>
      </c>
      <c r="D526" t="n">
        <v>2023</v>
      </c>
      <c r="E526" t="n">
        <v>-4.458163438753227</v>
      </c>
      <c r="F526" t="n">
        <v>0.806</v>
      </c>
      <c r="G526" t="n">
        <v>5.566467</v>
      </c>
      <c r="H526" t="n">
        <v>-6.405027</v>
      </c>
      <c r="I526" t="n">
        <v>-1.946863561246773</v>
      </c>
      <c r="J526" t="inlineStr">
        <is>
          <t>South Africa|EZA|2023</t>
        </is>
      </c>
      <c r="K526" t="inlineStr">
        <is>
          <t>South Africa|2023</t>
        </is>
      </c>
      <c r="L526" t="inlineStr">
        <is>
          <t>USD</t>
        </is>
      </c>
      <c r="M526" t="n">
        <v>-4.458163438753227</v>
      </c>
      <c r="N526" t="n">
        <v>0</v>
      </c>
      <c r="O526" t="n">
        <v>-4.458163438753227</v>
      </c>
      <c r="P526" t="n">
        <v>12.79074369961537</v>
      </c>
      <c r="Q526" t="n">
        <v>-15.29283926374839</v>
      </c>
    </row>
    <row r="527">
      <c r="A527" t="inlineStr">
        <is>
          <t>South Africa</t>
        </is>
      </c>
      <c r="B527" t="inlineStr">
        <is>
          <t>ZAF</t>
        </is>
      </c>
      <c r="C527" t="inlineStr">
        <is>
          <t>EZA</t>
        </is>
      </c>
      <c r="D527" t="n">
        <v>2024</v>
      </c>
      <c r="E527" t="n">
        <v>2.645108909929039</v>
      </c>
      <c r="F527" t="n">
        <v>0.535</v>
      </c>
      <c r="G527" t="n">
        <v>4.472728</v>
      </c>
      <c r="H527" t="n">
        <v>5.177089</v>
      </c>
      <c r="I527" t="n">
        <v>2.53198009007096</v>
      </c>
      <c r="J527" t="inlineStr">
        <is>
          <t>South Africa|EZA|2024</t>
        </is>
      </c>
      <c r="K527" t="inlineStr">
        <is>
          <t>South Africa|2024</t>
        </is>
      </c>
      <c r="L527" t="inlineStr">
        <is>
          <t>USD</t>
        </is>
      </c>
      <c r="M527" t="n">
        <v>2.645108909929039</v>
      </c>
      <c r="N527" t="n">
        <v>0</v>
      </c>
      <c r="O527" t="n">
        <v>2.645108909929039</v>
      </c>
      <c r="P527" t="n">
        <v>-0.6696905950178356</v>
      </c>
      <c r="Q527" t="n">
        <v>3.337148071725027</v>
      </c>
    </row>
    <row r="528">
      <c r="A528" t="inlineStr">
        <is>
          <t>South Africa</t>
        </is>
      </c>
      <c r="B528" t="inlineStr">
        <is>
          <t>ZAF</t>
        </is>
      </c>
      <c r="C528" t="inlineStr">
        <is>
          <t>EZA</t>
        </is>
      </c>
      <c r="D528" t="n">
        <v>2025</v>
      </c>
      <c r="E528" t="n">
        <v>62.53248305149815</v>
      </c>
      <c r="F528" t="n">
        <v>1.149</v>
      </c>
      <c r="G528" t="n">
        <v>4.705452</v>
      </c>
      <c r="H528" t="n">
        <v>6.309777</v>
      </c>
      <c r="I528" t="n">
        <v>-56.22270605149815</v>
      </c>
      <c r="J528" t="inlineStr">
        <is>
          <t>South Africa|EZA|2025</t>
        </is>
      </c>
      <c r="K528" t="inlineStr">
        <is>
          <t>South Africa|2025</t>
        </is>
      </c>
      <c r="L528" t="inlineStr">
        <is>
          <t>USD</t>
        </is>
      </c>
      <c r="M528" t="n">
        <v>62.53248305149815</v>
      </c>
      <c r="N528" t="n">
        <v>0</v>
      </c>
      <c r="O528" t="n">
        <v>62.53248305149815</v>
      </c>
      <c r="P528" t="n">
        <v>-1.509103702666748</v>
      </c>
      <c r="Q528" t="n">
        <v>65.02284897563561</v>
      </c>
    </row>
    <row r="529">
      <c r="A529" t="inlineStr">
        <is>
          <t>South Africa</t>
        </is>
      </c>
      <c r="B529" t="inlineStr">
        <is>
          <t>ZAF</t>
        </is>
      </c>
      <c r="C529" t="inlineStr">
        <is>
          <t>EZA</t>
        </is>
      </c>
      <c r="D529" t="n">
        <v>2026</v>
      </c>
      <c r="E529" t="n">
        <v>2.910657923131543</v>
      </c>
      <c r="F529" t="n">
        <v>1.151</v>
      </c>
      <c r="G529" t="n">
        <v>4.860935</v>
      </c>
      <c r="H529" t="n">
        <v>4.048004</v>
      </c>
      <c r="I529" t="n">
        <v>1.137346076868456</v>
      </c>
      <c r="J529" t="inlineStr">
        <is>
          <t>South Africa|EZA|2026</t>
        </is>
      </c>
      <c r="K529" t="inlineStr">
        <is>
          <t>South Africa|2026</t>
        </is>
      </c>
      <c r="L529" t="inlineStr">
        <is>
          <t>USD</t>
        </is>
      </c>
      <c r="M529" t="n">
        <v>2.910657923131543</v>
      </c>
      <c r="N529" t="n">
        <v>0</v>
      </c>
      <c r="O529" t="n">
        <v>2.910657923131543</v>
      </c>
      <c r="P529" t="n">
        <v>0.7813040222599543</v>
      </c>
      <c r="Q529" t="n">
        <v>2.112846148925862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IRSA.L</t>
        </is>
      </c>
      <c r="D530" t="n">
        <v>2015</v>
      </c>
      <c r="E530" t="n">
        <v>-24.05351480551538</v>
      </c>
      <c r="F530" t="n">
        <v>1.322</v>
      </c>
      <c r="G530" t="inlineStr"/>
      <c r="H530" t="inlineStr"/>
      <c r="I530" t="inlineStr"/>
      <c r="J530" t="inlineStr">
        <is>
          <t>South Africa|IRSA.L|2015</t>
        </is>
      </c>
      <c r="K530" t="inlineStr">
        <is>
          <t>South Africa|2015</t>
        </is>
      </c>
      <c r="L530" t="inlineStr">
        <is>
          <t>USD</t>
        </is>
      </c>
      <c r="M530" t="n">
        <v>-24.05351480551538</v>
      </c>
      <c r="N530" t="n">
        <v>0</v>
      </c>
      <c r="O530" t="n">
        <v>-24.05351480551538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IRSA.L</t>
        </is>
      </c>
      <c r="D531" t="n">
        <v>2016</v>
      </c>
      <c r="E531" t="n">
        <v>21.89386186222804</v>
      </c>
      <c r="F531" t="n">
        <v>0.665</v>
      </c>
      <c r="G531" t="n">
        <v>7.662924</v>
      </c>
      <c r="H531" t="n">
        <v>-6.683725</v>
      </c>
      <c r="I531" t="n">
        <v>-28.57758686222803</v>
      </c>
      <c r="J531" t="inlineStr">
        <is>
          <t>South Africa|IRSA.L|2016</t>
        </is>
      </c>
      <c r="K531" t="inlineStr">
        <is>
          <t>South Africa|2016</t>
        </is>
      </c>
      <c r="L531" t="inlineStr">
        <is>
          <t>USD</t>
        </is>
      </c>
      <c r="M531" t="n">
        <v>21.89386186222804</v>
      </c>
      <c r="N531" t="n">
        <v>0</v>
      </c>
      <c r="O531" t="n">
        <v>21.89386186222804</v>
      </c>
      <c r="P531" t="n">
        <v>15.37421879776868</v>
      </c>
      <c r="Q531" t="n">
        <v>5.650866486807749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IRSA.L</t>
        </is>
      </c>
      <c r="D532" t="n">
        <v>2017</v>
      </c>
      <c r="E532" t="n">
        <v>34.23377729686121</v>
      </c>
      <c r="F532" t="n">
        <v>1.158</v>
      </c>
      <c r="G532" t="n">
        <v>6.694659</v>
      </c>
      <c r="H532" t="n">
        <v>17.874884</v>
      </c>
      <c r="I532" t="n">
        <v>-16.35889329686121</v>
      </c>
      <c r="J532" t="inlineStr">
        <is>
          <t>South Africa|IRSA.L|2017</t>
        </is>
      </c>
      <c r="K532" t="inlineStr">
        <is>
          <t>South Africa|2017</t>
        </is>
      </c>
      <c r="L532" t="inlineStr">
        <is>
          <t>USD</t>
        </is>
      </c>
      <c r="M532" t="n">
        <v>34.23377729686121</v>
      </c>
      <c r="N532" t="n">
        <v>0</v>
      </c>
      <c r="O532" t="n">
        <v>34.23377729686121</v>
      </c>
      <c r="P532" t="n">
        <v>-9.484823705543821</v>
      </c>
      <c r="Q532" t="n">
        <v>48.29974684044524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IRSA.L</t>
        </is>
      </c>
      <c r="D533" t="n">
        <v>2018</v>
      </c>
      <c r="E533" t="n">
        <v>-24.79147038938383</v>
      </c>
      <c r="F533" t="n">
        <v>1.557</v>
      </c>
      <c r="G533" t="n">
        <v>5.612215</v>
      </c>
      <c r="H533" t="n">
        <v>6.235232</v>
      </c>
      <c r="I533" t="n">
        <v>31.02670238938383</v>
      </c>
      <c r="J533" t="inlineStr">
        <is>
          <t>South Africa|IRSA.L|2018</t>
        </is>
      </c>
      <c r="K533" t="inlineStr">
        <is>
          <t>South Africa|2018</t>
        </is>
      </c>
      <c r="L533" t="inlineStr">
        <is>
          <t>USD</t>
        </is>
      </c>
      <c r="M533" t="n">
        <v>-24.79147038938383</v>
      </c>
      <c r="N533" t="n">
        <v>0</v>
      </c>
      <c r="O533" t="n">
        <v>-24.79147038938383</v>
      </c>
      <c r="P533" t="n">
        <v>-0.5864504954378513</v>
      </c>
      <c r="Q533" t="n">
        <v>-24.34780773302455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IRSA.L</t>
        </is>
      </c>
      <c r="D534" t="n">
        <v>2019</v>
      </c>
      <c r="E534" t="n">
        <v>11.06752716800878</v>
      </c>
      <c r="F534" t="n">
        <v>0.26</v>
      </c>
      <c r="G534" t="n">
        <v>4.885469</v>
      </c>
      <c r="H534" t="n">
        <v>-3.912188</v>
      </c>
      <c r="I534" t="n">
        <v>-14.97971516800878</v>
      </c>
      <c r="J534" t="inlineStr">
        <is>
          <t>South Africa|IRSA.L|2019</t>
        </is>
      </c>
      <c r="K534" t="inlineStr">
        <is>
          <t>South Africa|2019</t>
        </is>
      </c>
      <c r="L534" t="inlineStr">
        <is>
          <t>USD</t>
        </is>
      </c>
      <c r="M534" t="n">
        <v>11.06752716800878</v>
      </c>
      <c r="N534" t="n">
        <v>0</v>
      </c>
      <c r="O534" t="n">
        <v>11.06752716800878</v>
      </c>
      <c r="P534" t="n">
        <v>9.155851476484699</v>
      </c>
      <c r="Q534" t="n">
        <v>1.751326809938281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IRSA.L</t>
        </is>
      </c>
      <c r="D535" t="n">
        <v>2020</v>
      </c>
      <c r="E535" t="n">
        <v>-3.222364564563518</v>
      </c>
      <c r="F535" t="n">
        <v>-6.169</v>
      </c>
      <c r="G535" t="n">
        <v>-1.110128</v>
      </c>
      <c r="H535" t="n">
        <v>-13.197087</v>
      </c>
      <c r="I535" t="n">
        <v>-9.974722435436481</v>
      </c>
      <c r="J535" t="inlineStr">
        <is>
          <t>South Africa|IRSA.L|2020</t>
        </is>
      </c>
      <c r="K535" t="inlineStr">
        <is>
          <t>South Africa|2020</t>
        </is>
      </c>
      <c r="L535" t="inlineStr">
        <is>
          <t>USD</t>
        </is>
      </c>
      <c r="M535" t="n">
        <v>-3.222364564563518</v>
      </c>
      <c r="N535" t="n">
        <v>0</v>
      </c>
      <c r="O535" t="n">
        <v>-3.222364564563518</v>
      </c>
      <c r="P535" t="n">
        <v>13.92460018633528</v>
      </c>
      <c r="Q535" t="n">
        <v>-15.05115201006033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IRSA.L</t>
        </is>
      </c>
      <c r="D536" t="n">
        <v>2021</v>
      </c>
      <c r="E536" t="n">
        <v>3.746853039929943</v>
      </c>
      <c r="F536" t="n">
        <v>4.859</v>
      </c>
      <c r="G536" t="n">
        <v>11.578443</v>
      </c>
      <c r="H536" t="n">
        <v>24.26985</v>
      </c>
      <c r="I536" t="n">
        <v>20.52299696007006</v>
      </c>
      <c r="J536" t="inlineStr">
        <is>
          <t>South Africa|IRSA.L|2021</t>
        </is>
      </c>
      <c r="K536" t="inlineStr">
        <is>
          <t>South Africa|2021</t>
        </is>
      </c>
      <c r="L536" t="inlineStr">
        <is>
          <t>USD</t>
        </is>
      </c>
      <c r="M536" t="n">
        <v>3.746853039929943</v>
      </c>
      <c r="N536" t="n">
        <v>0</v>
      </c>
      <c r="O536" t="n">
        <v>3.746853039929943</v>
      </c>
      <c r="P536" t="n">
        <v>-10.21278077818898</v>
      </c>
      <c r="Q536" t="n">
        <v>15.54746203202144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IRSA.L</t>
        </is>
      </c>
      <c r="D537" t="n">
        <v>2022</v>
      </c>
      <c r="E537" t="n">
        <v>-4.587850327537191</v>
      </c>
      <c r="F537" t="n">
        <v>2.058</v>
      </c>
      <c r="G537" t="n">
        <v>7.406989</v>
      </c>
      <c r="H537" t="n">
        <v>-2.964671</v>
      </c>
      <c r="I537" t="n">
        <v>1.623179327537191</v>
      </c>
      <c r="J537" t="inlineStr">
        <is>
          <t>South Africa|IRSA.L|2022</t>
        </is>
      </c>
      <c r="K537" t="inlineStr">
        <is>
          <t>South Africa|2022</t>
        </is>
      </c>
      <c r="L537" t="inlineStr">
        <is>
          <t>USD</t>
        </is>
      </c>
      <c r="M537" t="n">
        <v>-4.587850327537191</v>
      </c>
      <c r="N537" t="n">
        <v>0</v>
      </c>
      <c r="O537" t="n">
        <v>-4.587850327537191</v>
      </c>
      <c r="P537" t="n">
        <v>10.6885391934918</v>
      </c>
      <c r="Q537" t="n">
        <v>-13.80123871209893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IRSA.L</t>
        </is>
      </c>
      <c r="D538" t="n">
        <v>2023</v>
      </c>
      <c r="E538" t="n">
        <v>-1.273890748070561</v>
      </c>
      <c r="F538" t="n">
        <v>0.806</v>
      </c>
      <c r="G538" t="n">
        <v>5.566467</v>
      </c>
      <c r="H538" t="n">
        <v>-6.405027</v>
      </c>
      <c r="I538" t="n">
        <v>-5.131136251929439</v>
      </c>
      <c r="J538" t="inlineStr">
        <is>
          <t>South Africa|IRSA.L|2023</t>
        </is>
      </c>
      <c r="K538" t="inlineStr">
        <is>
          <t>South Africa|2023</t>
        </is>
      </c>
      <c r="L538" t="inlineStr">
        <is>
          <t>USD</t>
        </is>
      </c>
      <c r="M538" t="n">
        <v>-1.273890748070561</v>
      </c>
      <c r="N538" t="n">
        <v>0</v>
      </c>
      <c r="O538" t="n">
        <v>-1.273890748070561</v>
      </c>
      <c r="P538" t="n">
        <v>12.79074369961537</v>
      </c>
      <c r="Q538" t="n">
        <v>-12.46967081371757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IRSA.L</t>
        </is>
      </c>
      <c r="D539" t="n">
        <v>2024</v>
      </c>
      <c r="E539" t="n">
        <v>9.804554511548847</v>
      </c>
      <c r="F539" t="n">
        <v>0.535</v>
      </c>
      <c r="G539" t="n">
        <v>4.472728</v>
      </c>
      <c r="H539" t="n">
        <v>5.177089</v>
      </c>
      <c r="I539" t="n">
        <v>-4.627465511548848</v>
      </c>
      <c r="J539" t="inlineStr">
        <is>
          <t>South Africa|IRSA.L|2024</t>
        </is>
      </c>
      <c r="K539" t="inlineStr">
        <is>
          <t>South Africa|2024</t>
        </is>
      </c>
      <c r="L539" t="inlineStr">
        <is>
          <t>USD</t>
        </is>
      </c>
      <c r="M539" t="n">
        <v>9.804554511548847</v>
      </c>
      <c r="N539" t="n">
        <v>0</v>
      </c>
      <c r="O539" t="n">
        <v>9.804554511548847</v>
      </c>
      <c r="P539" t="n">
        <v>-0.6696905950178356</v>
      </c>
      <c r="Q539" t="n">
        <v>10.54486306275546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IRSA.L</t>
        </is>
      </c>
      <c r="D540" t="n">
        <v>2025</v>
      </c>
      <c r="E540" t="n">
        <v>75.04335635161455</v>
      </c>
      <c r="F540" t="n">
        <v>1.149</v>
      </c>
      <c r="G540" t="n">
        <v>4.705452</v>
      </c>
      <c r="H540" t="n">
        <v>6.309777</v>
      </c>
      <c r="I540" t="n">
        <v>-68.73357935161455</v>
      </c>
      <c r="J540" t="inlineStr">
        <is>
          <t>South Africa|IRSA.L|2025</t>
        </is>
      </c>
      <c r="K540" t="inlineStr">
        <is>
          <t>South Africa|2025</t>
        </is>
      </c>
      <c r="L540" t="inlineStr">
        <is>
          <t>USD</t>
        </is>
      </c>
      <c r="M540" t="n">
        <v>75.04335635161455</v>
      </c>
      <c r="N540" t="n">
        <v>0</v>
      </c>
      <c r="O540" t="n">
        <v>75.04335635161455</v>
      </c>
      <c r="P540" t="n">
        <v>-1.509103702666748</v>
      </c>
      <c r="Q540" t="n">
        <v>77.7254172032081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IRSA.L</t>
        </is>
      </c>
      <c r="D541" t="n">
        <v>2026</v>
      </c>
      <c r="E541" t="n">
        <v>2.759877755687001</v>
      </c>
      <c r="F541" t="n">
        <v>1.151</v>
      </c>
      <c r="G541" t="n">
        <v>4.860935</v>
      </c>
      <c r="H541" t="n">
        <v>4.048004</v>
      </c>
      <c r="I541" t="n">
        <v>1.288126244312998</v>
      </c>
      <c r="J541" t="inlineStr">
        <is>
          <t>South Africa|IRSA.L|2026</t>
        </is>
      </c>
      <c r="K541" t="inlineStr">
        <is>
          <t>South Africa|2026</t>
        </is>
      </c>
      <c r="L541" t="inlineStr">
        <is>
          <t>USD</t>
        </is>
      </c>
      <c r="M541" t="n">
        <v>2.759877755687001</v>
      </c>
      <c r="N541" t="n">
        <v>0</v>
      </c>
      <c r="O541" t="n">
        <v>2.759877755687001</v>
      </c>
      <c r="P541" t="n">
        <v>0.7813040222599543</v>
      </c>
      <c r="Q541" t="n">
        <v>1.963234900185484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SRSA.L</t>
        </is>
      </c>
      <c r="D542" t="n">
        <v>2015</v>
      </c>
      <c r="E542" t="n">
        <v>-21.28082271824237</v>
      </c>
      <c r="F542" t="n">
        <v>1.322</v>
      </c>
      <c r="G542" t="inlineStr"/>
      <c r="H542" t="inlineStr"/>
      <c r="I542" t="inlineStr"/>
      <c r="J542" t="inlineStr">
        <is>
          <t>South Africa|SRSA.L|2015</t>
        </is>
      </c>
      <c r="K542" t="inlineStr">
        <is>
          <t>South Africa|2015</t>
        </is>
      </c>
      <c r="L542" t="inlineStr">
        <is>
          <t>GBp</t>
        </is>
      </c>
      <c r="M542" t="n">
        <v>-21.28082271824237</v>
      </c>
      <c r="N542" t="n">
        <v>-4.888855870697362</v>
      </c>
      <c r="O542" t="n">
        <v>-25.12928983814624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SRSA.L</t>
        </is>
      </c>
      <c r="D543" t="n">
        <v>2016</v>
      </c>
      <c r="E543" t="n">
        <v>45.48229548229548</v>
      </c>
      <c r="F543" t="n">
        <v>0.665</v>
      </c>
      <c r="G543" t="n">
        <v>7.662924</v>
      </c>
      <c r="H543" t="n">
        <v>-6.683725</v>
      </c>
      <c r="I543" t="n">
        <v>-27.97855795592849</v>
      </c>
      <c r="J543" t="inlineStr">
        <is>
          <t>South Africa|SRSA.L|2016</t>
        </is>
      </c>
      <c r="K543" t="inlineStr">
        <is>
          <t>South Africa|2016</t>
        </is>
      </c>
      <c r="L543" t="inlineStr">
        <is>
          <t>GBp</t>
        </is>
      </c>
      <c r="M543" t="n">
        <v>45.48229548229548</v>
      </c>
      <c r="N543" t="n">
        <v>-16.62570861023462</v>
      </c>
      <c r="O543" t="n">
        <v>21.29483295592849</v>
      </c>
      <c r="P543" t="n">
        <v>15.37421879776868</v>
      </c>
      <c r="Q543" t="n">
        <v>5.131661319014125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SRSA.L</t>
        </is>
      </c>
      <c r="D544" t="n">
        <v>2017</v>
      </c>
      <c r="E544" t="n">
        <v>23.73816213966073</v>
      </c>
      <c r="F544" t="n">
        <v>1.158</v>
      </c>
      <c r="G544" t="n">
        <v>6.694659</v>
      </c>
      <c r="H544" t="n">
        <v>17.874884</v>
      </c>
      <c r="I544" t="n">
        <v>-16.80344924706115</v>
      </c>
      <c r="J544" t="inlineStr">
        <is>
          <t>South Africa|SRSA.L|2017</t>
        </is>
      </c>
      <c r="K544" t="inlineStr">
        <is>
          <t>South Africa|2017</t>
        </is>
      </c>
      <c r="L544" t="inlineStr">
        <is>
          <t>GBp</t>
        </is>
      </c>
      <c r="M544" t="n">
        <v>23.73816213966073</v>
      </c>
      <c r="N544" t="n">
        <v>8.841388071573641</v>
      </c>
      <c r="O544" t="n">
        <v>34.67833324706115</v>
      </c>
      <c r="P544" t="n">
        <v>-9.484823705543821</v>
      </c>
      <c r="Q544" t="n">
        <v>48.79088652375509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SRSA.L</t>
        </is>
      </c>
      <c r="D545" t="n">
        <v>2018</v>
      </c>
      <c r="E545" t="n">
        <v>-19.97611736608667</v>
      </c>
      <c r="F545" t="n">
        <v>1.557</v>
      </c>
      <c r="G545" t="n">
        <v>5.612215</v>
      </c>
      <c r="H545" t="n">
        <v>6.235232</v>
      </c>
      <c r="I545" t="n">
        <v>31.0810460767292</v>
      </c>
      <c r="J545" t="inlineStr">
        <is>
          <t>South Africa|SRSA.L|2018</t>
        </is>
      </c>
      <c r="K545" t="inlineStr">
        <is>
          <t>South Africa|2018</t>
        </is>
      </c>
      <c r="L545" t="inlineStr">
        <is>
          <t>GBp</t>
        </is>
      </c>
      <c r="M545" t="n">
        <v>-19.97611736608667</v>
      </c>
      <c r="N545" t="n">
        <v>-6.085304224640065</v>
      </c>
      <c r="O545" t="n">
        <v>-24.8458140767292</v>
      </c>
      <c r="P545" t="n">
        <v>-0.5864504954378513</v>
      </c>
      <c r="Q545" t="n">
        <v>-24.40247199922991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SRSA.L</t>
        </is>
      </c>
      <c r="D546" t="n">
        <v>2019</v>
      </c>
      <c r="E546" t="n">
        <v>5.935386927122455</v>
      </c>
      <c r="F546" t="n">
        <v>0.26</v>
      </c>
      <c r="G546" t="n">
        <v>4.885469</v>
      </c>
      <c r="H546" t="n">
        <v>-3.912188</v>
      </c>
      <c r="I546" t="n">
        <v>-12.96616895748153</v>
      </c>
      <c r="J546" t="inlineStr">
        <is>
          <t>South Africa|SRSA.L|2019</t>
        </is>
      </c>
      <c r="K546" t="inlineStr">
        <is>
          <t>South Africa|2019</t>
        </is>
      </c>
      <c r="L546" t="inlineStr">
        <is>
          <t>GBp</t>
        </is>
      </c>
      <c r="M546" t="n">
        <v>5.935386927122455</v>
      </c>
      <c r="N546" t="n">
        <v>2.94386429390634</v>
      </c>
      <c r="O546" t="n">
        <v>9.053980957481533</v>
      </c>
      <c r="P546" t="n">
        <v>9.155851476484699</v>
      </c>
      <c r="Q546" t="n">
        <v>-0.09332575178080393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SRSA.L</t>
        </is>
      </c>
      <c r="D547" t="n">
        <v>2020</v>
      </c>
      <c r="E547" t="n">
        <v>-6.724969843184558</v>
      </c>
      <c r="F547" t="n">
        <v>-6.169</v>
      </c>
      <c r="G547" t="n">
        <v>-1.110128</v>
      </c>
      <c r="H547" t="n">
        <v>-13.197087</v>
      </c>
      <c r="I547" t="n">
        <v>-9.06068426617818</v>
      </c>
      <c r="J547" t="inlineStr">
        <is>
          <t>South Africa|SRSA.L|2020</t>
        </is>
      </c>
      <c r="K547" t="inlineStr">
        <is>
          <t>South Africa|2020</t>
        </is>
      </c>
      <c r="L547" t="inlineStr">
        <is>
          <t>GBp</t>
        </is>
      </c>
      <c r="M547" t="n">
        <v>-6.724969843184558</v>
      </c>
      <c r="N547" t="n">
        <v>2.775198362317122</v>
      </c>
      <c r="O547" t="n">
        <v>-4.13640273382182</v>
      </c>
      <c r="P547" t="n">
        <v>13.92460018633528</v>
      </c>
      <c r="Q547" t="n">
        <v>-15.85347053280546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SRSA.L</t>
        </is>
      </c>
      <c r="D548" t="n">
        <v>2021</v>
      </c>
      <c r="E548" t="n">
        <v>4.558099721806119</v>
      </c>
      <c r="F548" t="n">
        <v>4.859</v>
      </c>
      <c r="G548" t="n">
        <v>11.578443</v>
      </c>
      <c r="H548" t="n">
        <v>24.26985</v>
      </c>
      <c r="I548" t="n">
        <v>21.04718777775981</v>
      </c>
      <c r="J548" t="inlineStr">
        <is>
          <t>South Africa|SRSA.L|2021</t>
        </is>
      </c>
      <c r="K548" t="inlineStr">
        <is>
          <t>South Africa|2021</t>
        </is>
      </c>
      <c r="L548" t="inlineStr">
        <is>
          <t>GBp</t>
        </is>
      </c>
      <c r="M548" t="n">
        <v>4.558099721806119</v>
      </c>
      <c r="N548" t="n">
        <v>-1.277220514832489</v>
      </c>
      <c r="O548" t="n">
        <v>3.222662222240191</v>
      </c>
      <c r="P548" t="n">
        <v>-10.21278077818898</v>
      </c>
      <c r="Q548" t="n">
        <v>14.96364751784789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SRSA.L</t>
        </is>
      </c>
      <c r="D549" t="n">
        <v>2022</v>
      </c>
      <c r="E549" t="n">
        <v>7.076672436615428</v>
      </c>
      <c r="F549" t="n">
        <v>2.058</v>
      </c>
      <c r="G549" t="n">
        <v>7.406989</v>
      </c>
      <c r="H549" t="n">
        <v>-2.964671</v>
      </c>
      <c r="I549" t="n">
        <v>1.566888928473728</v>
      </c>
      <c r="J549" t="inlineStr">
        <is>
          <t>South Africa|SRSA.L|2022</t>
        </is>
      </c>
      <c r="K549" t="inlineStr">
        <is>
          <t>South Africa|2022</t>
        </is>
      </c>
      <c r="L549" t="inlineStr">
        <is>
          <t>GBp</t>
        </is>
      </c>
      <c r="M549" t="n">
        <v>7.076672436615428</v>
      </c>
      <c r="N549" t="n">
        <v>-10.84104698150823</v>
      </c>
      <c r="O549" t="n">
        <v>-4.531559928473728</v>
      </c>
      <c r="P549" t="n">
        <v>10.6885391934918</v>
      </c>
      <c r="Q549" t="n">
        <v>-13.75038394477287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SRSA.L</t>
        </is>
      </c>
      <c r="D550" t="n">
        <v>2023</v>
      </c>
      <c r="E550" t="n">
        <v>-7.169459962756052</v>
      </c>
      <c r="F550" t="n">
        <v>0.806</v>
      </c>
      <c r="G550" t="n">
        <v>5.566467</v>
      </c>
      <c r="H550" t="n">
        <v>-6.405027</v>
      </c>
      <c r="I550" t="n">
        <v>-3.935605765049158</v>
      </c>
      <c r="J550" t="inlineStr">
        <is>
          <t>South Africa|SRSA.L|2023</t>
        </is>
      </c>
      <c r="K550" t="inlineStr">
        <is>
          <t>South Africa|2023</t>
        </is>
      </c>
      <c r="L550" t="inlineStr">
        <is>
          <t>GBp</t>
        </is>
      </c>
      <c r="M550" t="n">
        <v>-7.169459962756052</v>
      </c>
      <c r="N550" t="n">
        <v>5.06303068571996</v>
      </c>
      <c r="O550" t="n">
        <v>-2.469421234950842</v>
      </c>
      <c r="P550" t="n">
        <v>12.79074369961537</v>
      </c>
      <c r="Q550" t="n">
        <v>-13.52962524585096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SRSA.L</t>
        </is>
      </c>
      <c r="D551" t="n">
        <v>2024</v>
      </c>
      <c r="E551" t="n">
        <v>10.55623223710922</v>
      </c>
      <c r="F551" t="n">
        <v>0.535</v>
      </c>
      <c r="G551" t="n">
        <v>4.472728</v>
      </c>
      <c r="H551" t="n">
        <v>5.177089</v>
      </c>
      <c r="I551" t="n">
        <v>-3.808080003272621</v>
      </c>
      <c r="J551" t="inlineStr">
        <is>
          <t>South Africa|SRSA.L|2024</t>
        </is>
      </c>
      <c r="K551" t="inlineStr">
        <is>
          <t>South Africa|2024</t>
        </is>
      </c>
      <c r="L551" t="inlineStr">
        <is>
          <t>GBp</t>
        </is>
      </c>
      <c r="M551" t="n">
        <v>10.55623223710922</v>
      </c>
      <c r="N551" t="n">
        <v>-1.421053523664917</v>
      </c>
      <c r="O551" t="n">
        <v>8.98516900327262</v>
      </c>
      <c r="P551" t="n">
        <v>-0.6696905950178356</v>
      </c>
      <c r="Q551" t="n">
        <v>9.719953210783206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SRSA.L</t>
        </is>
      </c>
      <c r="D552" t="n">
        <v>2025</v>
      </c>
      <c r="E552" t="n">
        <v>61.05545617173524</v>
      </c>
      <c r="F552" t="n">
        <v>1.149</v>
      </c>
      <c r="G552" t="n">
        <v>4.705452</v>
      </c>
      <c r="H552" t="n">
        <v>6.309777</v>
      </c>
      <c r="I552" t="n">
        <v>-66.94068485797825</v>
      </c>
      <c r="J552" t="inlineStr">
        <is>
          <t>South Africa|SRSA.L|2025</t>
        </is>
      </c>
      <c r="K552" t="inlineStr">
        <is>
          <t>South Africa|2025</t>
        </is>
      </c>
      <c r="L552" t="inlineStr">
        <is>
          <t>GBp</t>
        </is>
      </c>
      <c r="M552" t="n">
        <v>61.05545617173524</v>
      </c>
      <c r="N552" t="n">
        <v>7.571929555270285</v>
      </c>
      <c r="O552" t="n">
        <v>73.25046185797825</v>
      </c>
      <c r="P552" t="n">
        <v>-1.509103702666748</v>
      </c>
      <c r="Q552" t="n">
        <v>75.90505150339382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SRSA.L</t>
        </is>
      </c>
      <c r="D553" t="n">
        <v>2026</v>
      </c>
      <c r="E553" t="n">
        <v>2.949360044518645</v>
      </c>
      <c r="F553" t="n">
        <v>1.151</v>
      </c>
      <c r="G553" t="n">
        <v>4.860935</v>
      </c>
      <c r="H553" t="n">
        <v>4.048004</v>
      </c>
      <c r="I553" t="n">
        <v>1.921500533854798</v>
      </c>
      <c r="J553" t="inlineStr">
        <is>
          <t>South Africa|SRSA.L|2026</t>
        </is>
      </c>
      <c r="K553" t="inlineStr">
        <is>
          <t>South Africa|2026</t>
        </is>
      </c>
      <c r="L553" t="inlineStr">
        <is>
          <t>GBp</t>
        </is>
      </c>
      <c r="M553" t="n">
        <v>2.949360044518645</v>
      </c>
      <c r="N553" t="n">
        <v>-0.7992828493713855</v>
      </c>
      <c r="O553" t="n">
        <v>2.126503466145202</v>
      </c>
      <c r="P553" t="n">
        <v>0.7813040222599543</v>
      </c>
      <c r="Q553" t="n">
        <v>1.334770825735832</v>
      </c>
    </row>
    <row r="554">
      <c r="A554" t="inlineStr">
        <is>
          <t>South Korea</t>
        </is>
      </c>
      <c r="B554" t="inlineStr">
        <is>
          <t>KOR</t>
        </is>
      </c>
      <c r="C554" t="inlineStr">
        <is>
          <t>CSKR.L</t>
        </is>
      </c>
      <c r="D554" t="n">
        <v>2015</v>
      </c>
      <c r="E554" t="n">
        <v>-6.759926185702048</v>
      </c>
      <c r="F554" t="n">
        <v>2.92</v>
      </c>
      <c r="G554" t="inlineStr"/>
      <c r="H554" t="inlineStr"/>
      <c r="I554" t="inlineStr"/>
      <c r="J554" t="inlineStr">
        <is>
          <t>South Korea|CSKR.L|2015</t>
        </is>
      </c>
      <c r="K554" t="inlineStr">
        <is>
          <t>South Korea|2015</t>
        </is>
      </c>
      <c r="L554" t="inlineStr">
        <is>
          <t>USD</t>
        </is>
      </c>
      <c r="M554" t="n">
        <v>-6.759926185702048</v>
      </c>
      <c r="N554" t="n">
        <v>0</v>
      </c>
      <c r="O554" t="n">
        <v>-6.759926185702048</v>
      </c>
      <c r="P554" t="inlineStr"/>
      <c r="Q554" t="inlineStr"/>
    </row>
    <row r="555">
      <c r="A555" t="inlineStr">
        <is>
          <t>South Korea</t>
        </is>
      </c>
      <c r="B555" t="inlineStr">
        <is>
          <t>KOR</t>
        </is>
      </c>
      <c r="C555" t="inlineStr">
        <is>
          <t>CSKR.L</t>
        </is>
      </c>
      <c r="D555" t="n">
        <v>2016</v>
      </c>
      <c r="E555" t="n">
        <v>14.8122080055201</v>
      </c>
      <c r="F555" t="n">
        <v>3.172</v>
      </c>
      <c r="G555" t="n">
        <v>5.299389</v>
      </c>
      <c r="H555" t="n">
        <v>2.573005</v>
      </c>
      <c r="I555" t="n">
        <v>-12.2392030055201</v>
      </c>
      <c r="J555" t="inlineStr">
        <is>
          <t>South Korea|CSKR.L|2016</t>
        </is>
      </c>
      <c r="K555" t="inlineStr">
        <is>
          <t>South Korea|2016</t>
        </is>
      </c>
      <c r="L555" t="inlineStr">
        <is>
          <t>USD</t>
        </is>
      </c>
      <c r="M555" t="n">
        <v>14.8122080055201</v>
      </c>
      <c r="N555" t="n">
        <v>0</v>
      </c>
      <c r="O555" t="n">
        <v>14.8122080055201</v>
      </c>
      <c r="P555" t="n">
        <v>2.65799425730131</v>
      </c>
      <c r="Q555" t="n">
        <v>11.8395199868756</v>
      </c>
    </row>
    <row r="556">
      <c r="A556" t="inlineStr">
        <is>
          <t>South Korea</t>
        </is>
      </c>
      <c r="B556" t="inlineStr">
        <is>
          <t>KOR</t>
        </is>
      </c>
      <c r="C556" t="inlineStr">
        <is>
          <t>CSKR.L</t>
        </is>
      </c>
      <c r="D556" t="n">
        <v>2017</v>
      </c>
      <c r="E556" t="n">
        <v>41.917579631142</v>
      </c>
      <c r="F556" t="n">
        <v>3.433</v>
      </c>
      <c r="G556" t="n">
        <v>5.521328</v>
      </c>
      <c r="H556" t="n">
        <v>8.321489</v>
      </c>
      <c r="I556" t="n">
        <v>-33.596090631142</v>
      </c>
      <c r="J556" t="inlineStr">
        <is>
          <t>South Korea|CSKR.L|2017</t>
        </is>
      </c>
      <c r="K556" t="inlineStr">
        <is>
          <t>South Korea|2017</t>
        </is>
      </c>
      <c r="L556" t="inlineStr">
        <is>
          <t>USD</t>
        </is>
      </c>
      <c r="M556" t="n">
        <v>41.917579631142</v>
      </c>
      <c r="N556" t="n">
        <v>0</v>
      </c>
      <c r="O556" t="n">
        <v>41.917579631142</v>
      </c>
      <c r="P556" t="n">
        <v>-2.585046913757294</v>
      </c>
      <c r="Q556" t="n">
        <v>45.68356821513895</v>
      </c>
    </row>
    <row r="557">
      <c r="A557" t="inlineStr">
        <is>
          <t>South Korea</t>
        </is>
      </c>
      <c r="B557" t="inlineStr">
        <is>
          <t>KOR</t>
        </is>
      </c>
      <c r="C557" t="inlineStr">
        <is>
          <t>CSKR.L</t>
        </is>
      </c>
      <c r="D557" t="n">
        <v>2018</v>
      </c>
      <c r="E557" t="n">
        <v>-21.61225548234764</v>
      </c>
      <c r="F557" t="n">
        <v>3.176</v>
      </c>
      <c r="G557" t="n">
        <v>3.760698</v>
      </c>
      <c r="H557" t="n">
        <v>6.669056</v>
      </c>
      <c r="I557" t="n">
        <v>28.28131148234764</v>
      </c>
      <c r="J557" t="inlineStr">
        <is>
          <t>South Korea|CSKR.L|2018</t>
        </is>
      </c>
      <c r="K557" t="inlineStr">
        <is>
          <t>South Korea|2018</t>
        </is>
      </c>
      <c r="L557" t="inlineStr">
        <is>
          <t>USD</t>
        </is>
      </c>
      <c r="M557" t="n">
        <v>-21.61225548234764</v>
      </c>
      <c r="N557" t="n">
        <v>0</v>
      </c>
      <c r="O557" t="n">
        <v>-21.61225548234764</v>
      </c>
      <c r="P557" t="n">
        <v>-2.726524569703193</v>
      </c>
      <c r="Q557" t="n">
        <v>-19.41508805879706</v>
      </c>
    </row>
    <row r="558">
      <c r="A558" t="inlineStr">
        <is>
          <t>South Korea</t>
        </is>
      </c>
      <c r="B558" t="inlineStr">
        <is>
          <t>KOR</t>
        </is>
      </c>
      <c r="C558" t="inlineStr">
        <is>
          <t>CSKR.L</t>
        </is>
      </c>
      <c r="D558" t="n">
        <v>2019</v>
      </c>
      <c r="E558" t="n">
        <v>12.91555933075797</v>
      </c>
      <c r="F558" t="n">
        <v>2.314</v>
      </c>
      <c r="G558" t="n">
        <v>1.675143</v>
      </c>
      <c r="H558" t="n">
        <v>-4.01288</v>
      </c>
      <c r="I558" t="n">
        <v>-16.92843933075796</v>
      </c>
      <c r="J558" t="inlineStr">
        <is>
          <t>South Korea|CSKR.L|2019</t>
        </is>
      </c>
      <c r="K558" t="inlineStr">
        <is>
          <t>South Korea|2019</t>
        </is>
      </c>
      <c r="L558" t="inlineStr">
        <is>
          <t>USD</t>
        </is>
      </c>
      <c r="M558" t="n">
        <v>12.91555933075797</v>
      </c>
      <c r="N558" t="n">
        <v>0</v>
      </c>
      <c r="O558" t="n">
        <v>12.91555933075797</v>
      </c>
      <c r="P558" t="n">
        <v>5.925819076521344</v>
      </c>
      <c r="Q558" t="n">
        <v>6.598712490660286</v>
      </c>
    </row>
    <row r="559">
      <c r="A559" t="inlineStr">
        <is>
          <t>South Korea</t>
        </is>
      </c>
      <c r="B559" t="inlineStr">
        <is>
          <t>KOR</t>
        </is>
      </c>
      <c r="C559" t="inlineStr">
        <is>
          <t>CSKR.L</t>
        </is>
      </c>
      <c r="D559" t="n">
        <v>2020</v>
      </c>
      <c r="E559" t="n">
        <v>44.82757939238946</v>
      </c>
      <c r="F559" t="n">
        <v>-0.7</v>
      </c>
      <c r="G559" t="n">
        <v>0.875833</v>
      </c>
      <c r="H559" t="n">
        <v>-0.376404</v>
      </c>
      <c r="I559" t="n">
        <v>-45.20398339238946</v>
      </c>
      <c r="J559" t="inlineStr">
        <is>
          <t>South Korea|CSKR.L|2020</t>
        </is>
      </c>
      <c r="K559" t="inlineStr">
        <is>
          <t>South Korea|2020</t>
        </is>
      </c>
      <c r="L559" t="inlineStr">
        <is>
          <t>USD</t>
        </is>
      </c>
      <c r="M559" t="n">
        <v>44.82757939238946</v>
      </c>
      <c r="N559" t="n">
        <v>0</v>
      </c>
      <c r="O559" t="n">
        <v>44.82757939238946</v>
      </c>
      <c r="P559" t="n">
        <v>1.256967946606102</v>
      </c>
      <c r="Q559" t="n">
        <v>43.02974138901592</v>
      </c>
    </row>
    <row r="560">
      <c r="A560" t="inlineStr">
        <is>
          <t>South Korea</t>
        </is>
      </c>
      <c r="B560" t="inlineStr">
        <is>
          <t>KOR</t>
        </is>
      </c>
      <c r="C560" t="inlineStr">
        <is>
          <t>CSKR.L</t>
        </is>
      </c>
      <c r="D560" t="n">
        <v>2021</v>
      </c>
      <c r="E560" t="n">
        <v>-10.42339775059745</v>
      </c>
      <c r="F560" t="n">
        <v>4.613</v>
      </c>
      <c r="G560" t="n">
        <v>7.940202</v>
      </c>
      <c r="H560" t="n">
        <v>11.342167</v>
      </c>
      <c r="I560" t="n">
        <v>21.76556475059745</v>
      </c>
      <c r="J560" t="inlineStr">
        <is>
          <t>South Korea|CSKR.L|2021</t>
        </is>
      </c>
      <c r="K560" t="inlineStr">
        <is>
          <t>South Korea|2021</t>
        </is>
      </c>
      <c r="L560" t="inlineStr">
        <is>
          <t>USD</t>
        </is>
      </c>
      <c r="M560" t="n">
        <v>-10.42339775059745</v>
      </c>
      <c r="N560" t="n">
        <v>0</v>
      </c>
      <c r="O560" t="n">
        <v>-10.42339775059745</v>
      </c>
      <c r="P560" t="n">
        <v>-3.055414710363935</v>
      </c>
      <c r="Q560" t="n">
        <v>-7.600200690137148</v>
      </c>
    </row>
    <row r="561">
      <c r="A561" t="inlineStr">
        <is>
          <t>South Korea</t>
        </is>
      </c>
      <c r="B561" t="inlineStr">
        <is>
          <t>KOR</t>
        </is>
      </c>
      <c r="C561" t="inlineStr">
        <is>
          <t>CSKR.L</t>
        </is>
      </c>
      <c r="D561" t="n">
        <v>2022</v>
      </c>
      <c r="E561" t="n">
        <v>-27.74138051300801</v>
      </c>
      <c r="F561" t="n">
        <v>2.728</v>
      </c>
      <c r="G561" t="n">
        <v>4.58473</v>
      </c>
      <c r="H561" t="n">
        <v>-7.35983</v>
      </c>
      <c r="I561" t="n">
        <v>20.38155051300801</v>
      </c>
      <c r="J561" t="inlineStr">
        <is>
          <t>South Korea|CSKR.L|2022</t>
        </is>
      </c>
      <c r="K561" t="inlineStr">
        <is>
          <t>South Korea|2022</t>
        </is>
      </c>
      <c r="L561" t="inlineStr">
        <is>
          <t>USD</t>
        </is>
      </c>
      <c r="M561" t="n">
        <v>-27.74138051300801</v>
      </c>
      <c r="N561" t="n">
        <v>0</v>
      </c>
      <c r="O561" t="n">
        <v>-27.74138051300801</v>
      </c>
      <c r="P561" t="n">
        <v>12.89349876987922</v>
      </c>
      <c r="Q561" t="n">
        <v>-35.99399409678753</v>
      </c>
    </row>
    <row r="562">
      <c r="A562" t="inlineStr">
        <is>
          <t>South Korea</t>
        </is>
      </c>
      <c r="B562" t="inlineStr">
        <is>
          <t>KOR</t>
        </is>
      </c>
      <c r="C562" t="inlineStr">
        <is>
          <t>CSKR.L</t>
        </is>
      </c>
      <c r="D562" t="n">
        <v>2023</v>
      </c>
      <c r="E562" t="n">
        <v>23.02142835005658</v>
      </c>
      <c r="F562" t="n">
        <v>1.583</v>
      </c>
      <c r="G562" t="n">
        <v>3.653773</v>
      </c>
      <c r="H562" t="n">
        <v>2.525227</v>
      </c>
      <c r="I562" t="n">
        <v>-20.49620135005658</v>
      </c>
      <c r="J562" t="inlineStr">
        <is>
          <t>South Korea|CSKR.L|2023</t>
        </is>
      </c>
      <c r="K562" t="inlineStr">
        <is>
          <t>South Korea|2023</t>
        </is>
      </c>
      <c r="L562" t="inlineStr">
        <is>
          <t>USD</t>
        </is>
      </c>
      <c r="M562" t="n">
        <v>23.02142835005658</v>
      </c>
      <c r="N562" t="n">
        <v>0</v>
      </c>
      <c r="O562" t="n">
        <v>23.02142835005658</v>
      </c>
      <c r="P562" t="n">
        <v>1.10074939477629</v>
      </c>
      <c r="Q562" t="n">
        <v>21.68201431394425</v>
      </c>
    </row>
    <row r="563">
      <c r="A563" t="inlineStr">
        <is>
          <t>South Korea</t>
        </is>
      </c>
      <c r="B563" t="inlineStr">
        <is>
          <t>KOR</t>
        </is>
      </c>
      <c r="C563" t="inlineStr">
        <is>
          <t>CSKR.L</t>
        </is>
      </c>
      <c r="D563" t="n">
        <v>2024</v>
      </c>
      <c r="E563" t="n">
        <v>-21.70154358359101</v>
      </c>
      <c r="F563" t="n">
        <v>2.004</v>
      </c>
      <c r="G563" t="n">
        <v>6.151488</v>
      </c>
      <c r="H563" t="n">
        <v>1.658011</v>
      </c>
      <c r="I563" t="n">
        <v>23.35955458359101</v>
      </c>
      <c r="J563" t="inlineStr">
        <is>
          <t>South Korea|CSKR.L|2024</t>
        </is>
      </c>
      <c r="K563" t="inlineStr">
        <is>
          <t>South Korea|2024</t>
        </is>
      </c>
      <c r="L563" t="inlineStr">
        <is>
          <t>USD</t>
        </is>
      </c>
      <c r="M563" t="n">
        <v>-21.70154358359101</v>
      </c>
      <c r="N563" t="n">
        <v>0</v>
      </c>
      <c r="O563" t="n">
        <v>-21.70154358359101</v>
      </c>
      <c r="P563" t="n">
        <v>4.42018954550818</v>
      </c>
      <c r="Q563" t="n">
        <v>-25.01597942198225</v>
      </c>
    </row>
    <row r="564">
      <c r="A564" t="inlineStr">
        <is>
          <t>South Korea</t>
        </is>
      </c>
      <c r="B564" t="inlineStr">
        <is>
          <t>KOR</t>
        </is>
      </c>
      <c r="C564" t="inlineStr">
        <is>
          <t>CSKR.L</t>
        </is>
      </c>
      <c r="D564" t="n">
        <v>2025</v>
      </c>
      <c r="E564" t="n">
        <v>99.25350103748991</v>
      </c>
      <c r="F564" t="n">
        <v>0.896</v>
      </c>
      <c r="G564" t="n">
        <v>2.117764</v>
      </c>
      <c r="H564" t="n">
        <v>-0.896668</v>
      </c>
      <c r="I564" t="n">
        <v>-100.1501690374899</v>
      </c>
      <c r="J564" t="inlineStr">
        <is>
          <t>South Korea|CSKR.L|2025</t>
        </is>
      </c>
      <c r="K564" t="inlineStr">
        <is>
          <t>South Korea|2025</t>
        </is>
      </c>
      <c r="L564" t="inlineStr">
        <is>
          <t>USD</t>
        </is>
      </c>
      <c r="M564" t="n">
        <v>99.25350103748991</v>
      </c>
      <c r="N564" t="n">
        <v>0</v>
      </c>
      <c r="O564" t="n">
        <v>99.25350103748991</v>
      </c>
      <c r="P564" t="n">
        <v>3.041705559677754</v>
      </c>
      <c r="Q564" t="n">
        <v>93.37170319069497</v>
      </c>
    </row>
    <row r="565">
      <c r="A565" t="inlineStr">
        <is>
          <t>South Korea</t>
        </is>
      </c>
      <c r="B565" t="inlineStr">
        <is>
          <t>KOR</t>
        </is>
      </c>
      <c r="C565" t="inlineStr">
        <is>
          <t>CSKR.L</t>
        </is>
      </c>
      <c r="D565" t="n">
        <v>2026</v>
      </c>
      <c r="E565" t="n">
        <v>25.35398922272119</v>
      </c>
      <c r="F565" t="n">
        <v>1.83</v>
      </c>
      <c r="G565" t="n">
        <v>2.120058</v>
      </c>
      <c r="H565" t="n">
        <v>4.199192</v>
      </c>
      <c r="I565" t="n">
        <v>-21.15479722272119</v>
      </c>
      <c r="J565" t="inlineStr">
        <is>
          <t>South Korea|CSKR.L|2026</t>
        </is>
      </c>
      <c r="K565" t="inlineStr">
        <is>
          <t>South Korea|2026</t>
        </is>
      </c>
      <c r="L565" t="inlineStr">
        <is>
          <t>USD</t>
        </is>
      </c>
      <c r="M565" t="n">
        <v>25.35398922272119</v>
      </c>
      <c r="N565" t="n">
        <v>0</v>
      </c>
      <c r="O565" t="n">
        <v>25.35398922272119</v>
      </c>
      <c r="P565" t="n">
        <v>-1.995345563749185</v>
      </c>
      <c r="Q565" t="n">
        <v>27.90615909396459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EWY</t>
        </is>
      </c>
      <c r="D566" t="n">
        <v>2015</v>
      </c>
      <c r="E566" t="n">
        <v>-9.21221166124595</v>
      </c>
      <c r="F566" t="n">
        <v>2.92</v>
      </c>
      <c r="G566" t="inlineStr"/>
      <c r="H566" t="inlineStr"/>
      <c r="I566" t="inlineStr"/>
      <c r="J566" t="inlineStr">
        <is>
          <t>South Korea|EWY|2015</t>
        </is>
      </c>
      <c r="K566" t="inlineStr">
        <is>
          <t>South Korea|2015</t>
        </is>
      </c>
      <c r="L566" t="inlineStr">
        <is>
          <t>USD</t>
        </is>
      </c>
      <c r="M566" t="n">
        <v>-9.21221166124595</v>
      </c>
      <c r="N566" t="n">
        <v>0</v>
      </c>
      <c r="O566" t="n">
        <v>-9.21221166124595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EWY</t>
        </is>
      </c>
      <c r="D567" t="n">
        <v>2016</v>
      </c>
      <c r="E567" t="n">
        <v>9.709344593152025</v>
      </c>
      <c r="F567" t="n">
        <v>3.172</v>
      </c>
      <c r="G567" t="n">
        <v>5.299389</v>
      </c>
      <c r="H567" t="n">
        <v>2.573005</v>
      </c>
      <c r="I567" t="n">
        <v>-7.136339593152025</v>
      </c>
      <c r="J567" t="inlineStr">
        <is>
          <t>South Korea|EWY|2016</t>
        </is>
      </c>
      <c r="K567" t="inlineStr">
        <is>
          <t>South Korea|2016</t>
        </is>
      </c>
      <c r="L567" t="inlineStr">
        <is>
          <t>USD</t>
        </is>
      </c>
      <c r="M567" t="n">
        <v>9.709344593152025</v>
      </c>
      <c r="N567" t="n">
        <v>0</v>
      </c>
      <c r="O567" t="n">
        <v>9.709344593152025</v>
      </c>
      <c r="P567" t="n">
        <v>2.65799425730131</v>
      </c>
      <c r="Q567" t="n">
        <v>6.86877859524242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EWY</t>
        </is>
      </c>
      <c r="D568" t="n">
        <v>2017</v>
      </c>
      <c r="E568" t="n">
        <v>38.68221728312777</v>
      </c>
      <c r="F568" t="n">
        <v>3.433</v>
      </c>
      <c r="G568" t="n">
        <v>5.521328</v>
      </c>
      <c r="H568" t="n">
        <v>8.321489</v>
      </c>
      <c r="I568" t="n">
        <v>-30.36072828312777</v>
      </c>
      <c r="J568" t="inlineStr">
        <is>
          <t>South Korea|EWY|2017</t>
        </is>
      </c>
      <c r="K568" t="inlineStr">
        <is>
          <t>South Korea|2017</t>
        </is>
      </c>
      <c r="L568" t="inlineStr">
        <is>
          <t>USD</t>
        </is>
      </c>
      <c r="M568" t="n">
        <v>38.68221728312777</v>
      </c>
      <c r="N568" t="n">
        <v>0</v>
      </c>
      <c r="O568" t="n">
        <v>38.68221728312777</v>
      </c>
      <c r="P568" t="n">
        <v>-2.585046913757294</v>
      </c>
      <c r="Q568" t="n">
        <v>42.36235083986606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EWY</t>
        </is>
      </c>
      <c r="D569" t="n">
        <v>2018</v>
      </c>
      <c r="E569" t="n">
        <v>-22.41993082964107</v>
      </c>
      <c r="F569" t="n">
        <v>3.176</v>
      </c>
      <c r="G569" t="n">
        <v>3.760698</v>
      </c>
      <c r="H569" t="n">
        <v>6.669056</v>
      </c>
      <c r="I569" t="n">
        <v>29.08898682964107</v>
      </c>
      <c r="J569" t="inlineStr">
        <is>
          <t>South Korea|EWY|2018</t>
        </is>
      </c>
      <c r="K569" t="inlineStr">
        <is>
          <t>South Korea|2018</t>
        </is>
      </c>
      <c r="L569" t="inlineStr">
        <is>
          <t>USD</t>
        </is>
      </c>
      <c r="M569" t="n">
        <v>-22.41993082964107</v>
      </c>
      <c r="N569" t="n">
        <v>0</v>
      </c>
      <c r="O569" t="n">
        <v>-22.41993082964107</v>
      </c>
      <c r="P569" t="n">
        <v>-2.726524569703193</v>
      </c>
      <c r="Q569" t="n">
        <v>-20.24540212305827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EWY</t>
        </is>
      </c>
      <c r="D570" t="n">
        <v>2019</v>
      </c>
      <c r="E570" t="n">
        <v>7.094883680965425</v>
      </c>
      <c r="F570" t="n">
        <v>2.314</v>
      </c>
      <c r="G570" t="n">
        <v>1.675143</v>
      </c>
      <c r="H570" t="n">
        <v>-4.01288</v>
      </c>
      <c r="I570" t="n">
        <v>-11.10776368096542</v>
      </c>
      <c r="J570" t="inlineStr">
        <is>
          <t>South Korea|EWY|2019</t>
        </is>
      </c>
      <c r="K570" t="inlineStr">
        <is>
          <t>South Korea|2019</t>
        </is>
      </c>
      <c r="L570" t="inlineStr">
        <is>
          <t>USD</t>
        </is>
      </c>
      <c r="M570" t="n">
        <v>7.094883680965425</v>
      </c>
      <c r="N570" t="n">
        <v>0</v>
      </c>
      <c r="O570" t="n">
        <v>7.094883680965425</v>
      </c>
      <c r="P570" t="n">
        <v>5.925819076521344</v>
      </c>
      <c r="Q570" t="n">
        <v>1.103663502096253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EWY</t>
        </is>
      </c>
      <c r="D571" t="n">
        <v>2020</v>
      </c>
      <c r="E571" t="n">
        <v>38.41081805715874</v>
      </c>
      <c r="F571" t="n">
        <v>-0.7</v>
      </c>
      <c r="G571" t="n">
        <v>0.875833</v>
      </c>
      <c r="H571" t="n">
        <v>-0.376404</v>
      </c>
      <c r="I571" t="n">
        <v>-38.78722205715874</v>
      </c>
      <c r="J571" t="inlineStr">
        <is>
          <t>South Korea|EWY|2020</t>
        </is>
      </c>
      <c r="K571" t="inlineStr">
        <is>
          <t>South Korea|2020</t>
        </is>
      </c>
      <c r="L571" t="inlineStr">
        <is>
          <t>USD</t>
        </is>
      </c>
      <c r="M571" t="n">
        <v>38.41081805715874</v>
      </c>
      <c r="N571" t="n">
        <v>0</v>
      </c>
      <c r="O571" t="n">
        <v>38.41081805715874</v>
      </c>
      <c r="P571" t="n">
        <v>1.256967946606102</v>
      </c>
      <c r="Q571" t="n">
        <v>36.69263544425334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EWY</t>
        </is>
      </c>
      <c r="D572" t="n">
        <v>2021</v>
      </c>
      <c r="E572" t="n">
        <v>-11.83197122322294</v>
      </c>
      <c r="F572" t="n">
        <v>4.613</v>
      </c>
      <c r="G572" t="n">
        <v>7.940202</v>
      </c>
      <c r="H572" t="n">
        <v>11.342167</v>
      </c>
      <c r="I572" t="n">
        <v>23.17413822322294</v>
      </c>
      <c r="J572" t="inlineStr">
        <is>
          <t>South Korea|EWY|2021</t>
        </is>
      </c>
      <c r="K572" t="inlineStr">
        <is>
          <t>South Korea|2021</t>
        </is>
      </c>
      <c r="L572" t="inlineStr">
        <is>
          <t>USD</t>
        </is>
      </c>
      <c r="M572" t="n">
        <v>-11.83197122322294</v>
      </c>
      <c r="N572" t="n">
        <v>0</v>
      </c>
      <c r="O572" t="n">
        <v>-11.83197122322294</v>
      </c>
      <c r="P572" t="n">
        <v>-3.055414710363935</v>
      </c>
      <c r="Q572" t="n">
        <v>-9.053168350390861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EWY</t>
        </is>
      </c>
      <c r="D573" t="n">
        <v>2022</v>
      </c>
      <c r="E573" t="n">
        <v>-27.45954392565564</v>
      </c>
      <c r="F573" t="n">
        <v>2.728</v>
      </c>
      <c r="G573" t="n">
        <v>4.58473</v>
      </c>
      <c r="H573" t="n">
        <v>-7.35983</v>
      </c>
      <c r="I573" t="n">
        <v>20.09971392565564</v>
      </c>
      <c r="J573" t="inlineStr">
        <is>
          <t>South Korea|EWY|2022</t>
        </is>
      </c>
      <c r="K573" t="inlineStr">
        <is>
          <t>South Korea|2022</t>
        </is>
      </c>
      <c r="L573" t="inlineStr">
        <is>
          <t>USD</t>
        </is>
      </c>
      <c r="M573" t="n">
        <v>-27.45954392565564</v>
      </c>
      <c r="N573" t="n">
        <v>0</v>
      </c>
      <c r="O573" t="n">
        <v>-27.45954392565564</v>
      </c>
      <c r="P573" t="n">
        <v>12.89349876987922</v>
      </c>
      <c r="Q573" t="n">
        <v>-35.74434589700336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EWY</t>
        </is>
      </c>
      <c r="D574" t="n">
        <v>2023</v>
      </c>
      <c r="E574" t="n">
        <v>18.22117701337629</v>
      </c>
      <c r="F574" t="n">
        <v>1.583</v>
      </c>
      <c r="G574" t="n">
        <v>3.653773</v>
      </c>
      <c r="H574" t="n">
        <v>2.525227</v>
      </c>
      <c r="I574" t="n">
        <v>-15.69595001337629</v>
      </c>
      <c r="J574" t="inlineStr">
        <is>
          <t>South Korea|EWY|2023</t>
        </is>
      </c>
      <c r="K574" t="inlineStr">
        <is>
          <t>South Korea|2023</t>
        </is>
      </c>
      <c r="L574" t="inlineStr">
        <is>
          <t>USD</t>
        </is>
      </c>
      <c r="M574" t="n">
        <v>18.22117701337629</v>
      </c>
      <c r="N574" t="n">
        <v>0</v>
      </c>
      <c r="O574" t="n">
        <v>18.22117701337629</v>
      </c>
      <c r="P574" t="n">
        <v>1.10074939477629</v>
      </c>
      <c r="Q574" t="n">
        <v>16.9340264252132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EWY</t>
        </is>
      </c>
      <c r="D575" t="n">
        <v>2024</v>
      </c>
      <c r="E575" t="n">
        <v>-21.39326371815031</v>
      </c>
      <c r="F575" t="n">
        <v>2.004</v>
      </c>
      <c r="G575" t="n">
        <v>6.151488</v>
      </c>
      <c r="H575" t="n">
        <v>1.658011</v>
      </c>
      <c r="I575" t="n">
        <v>23.05127471815031</v>
      </c>
      <c r="J575" t="inlineStr">
        <is>
          <t>South Korea|EWY|2024</t>
        </is>
      </c>
      <c r="K575" t="inlineStr">
        <is>
          <t>South Korea|2024</t>
        </is>
      </c>
      <c r="L575" t="inlineStr">
        <is>
          <t>USD</t>
        </is>
      </c>
      <c r="M575" t="n">
        <v>-21.39326371815031</v>
      </c>
      <c r="N575" t="n">
        <v>0</v>
      </c>
      <c r="O575" t="n">
        <v>-21.39326371815031</v>
      </c>
      <c r="P575" t="n">
        <v>4.42018954550818</v>
      </c>
      <c r="Q575" t="n">
        <v>-24.72074928805653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EWY</t>
        </is>
      </c>
      <c r="D576" t="n">
        <v>2025</v>
      </c>
      <c r="E576" t="n">
        <v>90.17997506268469</v>
      </c>
      <c r="F576" t="n">
        <v>0.896</v>
      </c>
      <c r="G576" t="n">
        <v>2.117764</v>
      </c>
      <c r="H576" t="n">
        <v>-0.896668</v>
      </c>
      <c r="I576" t="n">
        <v>-91.0766430626847</v>
      </c>
      <c r="J576" t="inlineStr">
        <is>
          <t>South Korea|EWY|2025</t>
        </is>
      </c>
      <c r="K576" t="inlineStr">
        <is>
          <t>South Korea|2025</t>
        </is>
      </c>
      <c r="L576" t="inlineStr">
        <is>
          <t>USD</t>
        </is>
      </c>
      <c r="M576" t="n">
        <v>90.17997506268469</v>
      </c>
      <c r="N576" t="n">
        <v>0</v>
      </c>
      <c r="O576" t="n">
        <v>90.17997506268469</v>
      </c>
      <c r="P576" t="n">
        <v>3.041705559677754</v>
      </c>
      <c r="Q576" t="n">
        <v>84.56602016601893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EWY</t>
        </is>
      </c>
      <c r="D577" t="n">
        <v>2026</v>
      </c>
      <c r="E577" t="n">
        <v>23.00919229328162</v>
      </c>
      <c r="F577" t="n">
        <v>1.83</v>
      </c>
      <c r="G577" t="n">
        <v>2.120058</v>
      </c>
      <c r="H577" t="n">
        <v>4.199192</v>
      </c>
      <c r="I577" t="n">
        <v>-18.81000029328162</v>
      </c>
      <c r="J577" t="inlineStr">
        <is>
          <t>South Korea|EWY|2026</t>
        </is>
      </c>
      <c r="K577" t="inlineStr">
        <is>
          <t>South Korea|2026</t>
        </is>
      </c>
      <c r="L577" t="inlineStr">
        <is>
          <t>USD</t>
        </is>
      </c>
      <c r="M577" t="n">
        <v>23.00919229328162</v>
      </c>
      <c r="N577" t="n">
        <v>0</v>
      </c>
      <c r="O577" t="n">
        <v>23.00919229328162</v>
      </c>
      <c r="P577" t="n">
        <v>-1.995345563749185</v>
      </c>
      <c r="Q577" t="n">
        <v>25.51362279767593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FLRK.L</t>
        </is>
      </c>
      <c r="D578" t="n">
        <v>2015</v>
      </c>
      <c r="E578" t="inlineStr"/>
      <c r="F578" t="n">
        <v>2.92</v>
      </c>
      <c r="G578" t="inlineStr"/>
      <c r="H578" t="inlineStr"/>
      <c r="I578" t="inlineStr"/>
      <c r="J578" t="inlineStr">
        <is>
          <t>South Korea|FLRK.L|2015</t>
        </is>
      </c>
      <c r="K578" t="inlineStr">
        <is>
          <t>South Korea|2015</t>
        </is>
      </c>
      <c r="L578" t="inlineStr">
        <is>
          <t>GBP</t>
        </is>
      </c>
      <c r="M578" t="inlineStr"/>
      <c r="N578" t="n">
        <v>-4.888855870697362</v>
      </c>
      <c r="O578" t="inlineStr"/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FLRK.L</t>
        </is>
      </c>
      <c r="D579" t="n">
        <v>2016</v>
      </c>
      <c r="E579" t="inlineStr"/>
      <c r="F579" t="n">
        <v>3.172</v>
      </c>
      <c r="G579" t="n">
        <v>5.299389</v>
      </c>
      <c r="H579" t="n">
        <v>2.573005</v>
      </c>
      <c r="I579" t="inlineStr"/>
      <c r="J579" t="inlineStr">
        <is>
          <t>South Korea|FLRK.L|2016</t>
        </is>
      </c>
      <c r="K579" t="inlineStr">
        <is>
          <t>South Korea|2016</t>
        </is>
      </c>
      <c r="L579" t="inlineStr">
        <is>
          <t>GBP</t>
        </is>
      </c>
      <c r="M579" t="inlineStr"/>
      <c r="N579" t="n">
        <v>-16.62570861023462</v>
      </c>
      <c r="O579" t="inlineStr"/>
      <c r="P579" t="n">
        <v>2.65799425730131</v>
      </c>
      <c r="Q579" t="inlineStr"/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FLRK.L</t>
        </is>
      </c>
      <c r="D580" t="n">
        <v>2017</v>
      </c>
      <c r="E580" t="inlineStr"/>
      <c r="F580" t="n">
        <v>3.433</v>
      </c>
      <c r="G580" t="n">
        <v>5.521328</v>
      </c>
      <c r="H580" t="n">
        <v>8.321489</v>
      </c>
      <c r="I580" t="inlineStr"/>
      <c r="J580" t="inlineStr">
        <is>
          <t>South Korea|FLRK.L|2017</t>
        </is>
      </c>
      <c r="K580" t="inlineStr">
        <is>
          <t>South Korea|2017</t>
        </is>
      </c>
      <c r="L580" t="inlineStr">
        <is>
          <t>GBP</t>
        </is>
      </c>
      <c r="M580" t="inlineStr"/>
      <c r="N580" t="n">
        <v>8.841388071573641</v>
      </c>
      <c r="O580" t="inlineStr"/>
      <c r="P580" t="n">
        <v>-2.585046913757294</v>
      </c>
      <c r="Q580" t="inlineStr"/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FLRK.L</t>
        </is>
      </c>
      <c r="D581" t="n">
        <v>2018</v>
      </c>
      <c r="E581" t="inlineStr"/>
      <c r="F581" t="n">
        <v>3.176</v>
      </c>
      <c r="G581" t="n">
        <v>3.760698</v>
      </c>
      <c r="H581" t="n">
        <v>6.669056</v>
      </c>
      <c r="I581" t="inlineStr"/>
      <c r="J581" t="inlineStr">
        <is>
          <t>South Korea|FLRK.L|2018</t>
        </is>
      </c>
      <c r="K581" t="inlineStr">
        <is>
          <t>South Korea|2018</t>
        </is>
      </c>
      <c r="L581" t="inlineStr">
        <is>
          <t>GBP</t>
        </is>
      </c>
      <c r="M581" t="inlineStr"/>
      <c r="N581" t="n">
        <v>-6.085304224640065</v>
      </c>
      <c r="O581" t="inlineStr"/>
      <c r="P581" t="n">
        <v>-2.726524569703193</v>
      </c>
      <c r="Q581" t="inlineStr"/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FLRK.L</t>
        </is>
      </c>
      <c r="D582" t="n">
        <v>2019</v>
      </c>
      <c r="E582" t="n">
        <v>-14.15297488560572</v>
      </c>
      <c r="F582" t="n">
        <v>2.314</v>
      </c>
      <c r="G582" t="n">
        <v>1.675143</v>
      </c>
      <c r="H582" t="n">
        <v>-4.01288</v>
      </c>
      <c r="I582" t="n">
        <v>7.612874965882251</v>
      </c>
      <c r="J582" t="inlineStr">
        <is>
          <t>South Korea|FLRK.L|2019</t>
        </is>
      </c>
      <c r="K582" t="inlineStr">
        <is>
          <t>South Korea|2019</t>
        </is>
      </c>
      <c r="L582" t="inlineStr">
        <is>
          <t>GBP</t>
        </is>
      </c>
      <c r="M582" t="n">
        <v>-14.15297488560572</v>
      </c>
      <c r="N582" t="n">
        <v>2.94386429390634</v>
      </c>
      <c r="O582" t="n">
        <v>-11.62575496588225</v>
      </c>
      <c r="P582" t="n">
        <v>5.925819076521344</v>
      </c>
      <c r="Q582" t="n">
        <v>-16.56968451641072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FLRK.L</t>
        </is>
      </c>
      <c r="D583" t="n">
        <v>2020</v>
      </c>
      <c r="E583" t="n">
        <v>42.59998683957645</v>
      </c>
      <c r="F583" t="n">
        <v>-0.7</v>
      </c>
      <c r="G583" t="n">
        <v>0.875833</v>
      </c>
      <c r="H583" t="n">
        <v>-0.376404</v>
      </c>
      <c r="I583" t="n">
        <v>-46.93382333901281</v>
      </c>
      <c r="J583" t="inlineStr">
        <is>
          <t>South Korea|FLRK.L|2020</t>
        </is>
      </c>
      <c r="K583" t="inlineStr">
        <is>
          <t>South Korea|2020</t>
        </is>
      </c>
      <c r="L583" t="inlineStr">
        <is>
          <t>GBP</t>
        </is>
      </c>
      <c r="M583" t="n">
        <v>42.59998683957645</v>
      </c>
      <c r="N583" t="n">
        <v>2.775198362317122</v>
      </c>
      <c r="O583" t="n">
        <v>46.55741933901281</v>
      </c>
      <c r="P583" t="n">
        <v>1.256967946606102</v>
      </c>
      <c r="Q583" t="n">
        <v>44.73810771846747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FLRK.L</t>
        </is>
      </c>
      <c r="D584" t="n">
        <v>2021</v>
      </c>
      <c r="E584" t="n">
        <v>-8.655857183501714</v>
      </c>
      <c r="F584" t="n">
        <v>4.613</v>
      </c>
      <c r="G584" t="n">
        <v>7.940202</v>
      </c>
      <c r="H584" t="n">
        <v>11.342167</v>
      </c>
      <c r="I584" t="n">
        <v>21.16469031465192</v>
      </c>
      <c r="J584" t="inlineStr">
        <is>
          <t>South Korea|FLRK.L|2021</t>
        </is>
      </c>
      <c r="K584" t="inlineStr">
        <is>
          <t>South Korea|2021</t>
        </is>
      </c>
      <c r="L584" t="inlineStr">
        <is>
          <t>GBP</t>
        </is>
      </c>
      <c r="M584" t="n">
        <v>-8.655857183501714</v>
      </c>
      <c r="N584" t="n">
        <v>-1.277220514832489</v>
      </c>
      <c r="O584" t="n">
        <v>-9.822523314651921</v>
      </c>
      <c r="P584" t="n">
        <v>-3.055414710363935</v>
      </c>
      <c r="Q584" t="n">
        <v>-6.980388418878958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FLRK.L</t>
        </is>
      </c>
      <c r="D585" t="n">
        <v>2022</v>
      </c>
      <c r="E585" t="n">
        <v>-18.20844071273661</v>
      </c>
      <c r="F585" t="n">
        <v>2.728</v>
      </c>
      <c r="G585" t="n">
        <v>4.58473</v>
      </c>
      <c r="H585" t="n">
        <v>-7.35983</v>
      </c>
      <c r="I585" t="n">
        <v>19.71567208197699</v>
      </c>
      <c r="J585" t="inlineStr">
        <is>
          <t>South Korea|FLRK.L|2022</t>
        </is>
      </c>
      <c r="K585" t="inlineStr">
        <is>
          <t>South Korea|2022</t>
        </is>
      </c>
      <c r="L585" t="inlineStr">
        <is>
          <t>GBP</t>
        </is>
      </c>
      <c r="M585" t="n">
        <v>-18.20844071273661</v>
      </c>
      <c r="N585" t="n">
        <v>-10.84104698150823</v>
      </c>
      <c r="O585" t="n">
        <v>-27.07550208197699</v>
      </c>
      <c r="P585" t="n">
        <v>12.89349876987922</v>
      </c>
      <c r="Q585" t="n">
        <v>-35.40416524190516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FLRK.L</t>
        </is>
      </c>
      <c r="D586" t="n">
        <v>2023</v>
      </c>
      <c r="E586" t="n">
        <v>16.84630856699279</v>
      </c>
      <c r="F586" t="n">
        <v>1.583</v>
      </c>
      <c r="G586" t="n">
        <v>3.653773</v>
      </c>
      <c r="H586" t="n">
        <v>2.525227</v>
      </c>
      <c r="I586" t="n">
        <v>-20.23704602487066</v>
      </c>
      <c r="J586" t="inlineStr">
        <is>
          <t>South Korea|FLRK.L|2023</t>
        </is>
      </c>
      <c r="K586" t="inlineStr">
        <is>
          <t>South Korea|2023</t>
        </is>
      </c>
      <c r="L586" t="inlineStr">
        <is>
          <t>GBP</t>
        </is>
      </c>
      <c r="M586" t="n">
        <v>16.84630856699279</v>
      </c>
      <c r="N586" t="n">
        <v>5.06303068571996</v>
      </c>
      <c r="O586" t="n">
        <v>22.76227302487066</v>
      </c>
      <c r="P586" t="n">
        <v>1.10074939477629</v>
      </c>
      <c r="Q586" t="n">
        <v>21.42568058077479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FLRK.L</t>
        </is>
      </c>
      <c r="D587" t="n">
        <v>2024</v>
      </c>
      <c r="E587" t="n">
        <v>-20.59012893501248</v>
      </c>
      <c r="F587" t="n">
        <v>2.004</v>
      </c>
      <c r="G587" t="n">
        <v>6.151488</v>
      </c>
      <c r="H587" t="n">
        <v>1.658011</v>
      </c>
      <c r="I587" t="n">
        <v>23.37659670591924</v>
      </c>
      <c r="J587" t="inlineStr">
        <is>
          <t>South Korea|FLRK.L|2024</t>
        </is>
      </c>
      <c r="K587" t="inlineStr">
        <is>
          <t>South Korea|2024</t>
        </is>
      </c>
      <c r="L587" t="inlineStr">
        <is>
          <t>GBP</t>
        </is>
      </c>
      <c r="M587" t="n">
        <v>-20.59012893501248</v>
      </c>
      <c r="N587" t="n">
        <v>-1.421053523664917</v>
      </c>
      <c r="O587" t="n">
        <v>-21.71858570591925</v>
      </c>
      <c r="P587" t="n">
        <v>4.42018954550818</v>
      </c>
      <c r="Q587" t="n">
        <v>-25.03230013773886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FLRK.L</t>
        </is>
      </c>
      <c r="D588" t="n">
        <v>2025</v>
      </c>
      <c r="E588" t="n">
        <v>78.89573439751459</v>
      </c>
      <c r="F588" t="n">
        <v>0.896</v>
      </c>
      <c r="G588" t="n">
        <v>2.117764</v>
      </c>
      <c r="H588" t="n">
        <v>-0.896668</v>
      </c>
      <c r="I588" t="n">
        <v>-93.33826138347783</v>
      </c>
      <c r="J588" t="inlineStr">
        <is>
          <t>South Korea|FLRK.L|2025</t>
        </is>
      </c>
      <c r="K588" t="inlineStr">
        <is>
          <t>South Korea|2025</t>
        </is>
      </c>
      <c r="L588" t="inlineStr">
        <is>
          <t>GBP</t>
        </is>
      </c>
      <c r="M588" t="n">
        <v>78.89573439751459</v>
      </c>
      <c r="N588" t="n">
        <v>7.571929555270285</v>
      </c>
      <c r="O588" t="n">
        <v>92.44159338347782</v>
      </c>
      <c r="P588" t="n">
        <v>3.041705559677754</v>
      </c>
      <c r="Q588" t="n">
        <v>86.76087739252638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FLRK.L</t>
        </is>
      </c>
      <c r="D589" t="n">
        <v>2026</v>
      </c>
      <c r="E589" t="n">
        <v>27.57425487351164</v>
      </c>
      <c r="F589" t="n">
        <v>1.83</v>
      </c>
      <c r="G589" t="n">
        <v>2.120058</v>
      </c>
      <c r="H589" t="n">
        <v>4.199192</v>
      </c>
      <c r="I589" t="n">
        <v>-22.35538373409432</v>
      </c>
      <c r="J589" t="inlineStr">
        <is>
          <t>South Korea|FLRK.L|2026</t>
        </is>
      </c>
      <c r="K589" t="inlineStr">
        <is>
          <t>South Korea|2026</t>
        </is>
      </c>
      <c r="L589" t="inlineStr">
        <is>
          <t>GBP</t>
        </is>
      </c>
      <c r="M589" t="n">
        <v>27.57425487351164</v>
      </c>
      <c r="N589" t="n">
        <v>-0.7992828493713855</v>
      </c>
      <c r="O589" t="n">
        <v>26.55457573409432</v>
      </c>
      <c r="P589" t="n">
        <v>-1.995345563749185</v>
      </c>
      <c r="Q589" t="n">
        <v>29.13118918899347</v>
      </c>
    </row>
    <row r="590">
      <c r="A590" t="inlineStr">
        <is>
          <t>Spain</t>
        </is>
      </c>
      <c r="B590" t="inlineStr">
        <is>
          <t>ESP</t>
        </is>
      </c>
      <c r="C590" t="inlineStr">
        <is>
          <t>EWP</t>
        </is>
      </c>
      <c r="D590" t="n">
        <v>2015</v>
      </c>
      <c r="E590" t="n">
        <v>-19.18238757084808</v>
      </c>
      <c r="F590" t="n">
        <v>4.061</v>
      </c>
      <c r="G590" t="inlineStr"/>
      <c r="H590" t="inlineStr"/>
      <c r="I590" t="inlineStr"/>
      <c r="J590" t="inlineStr">
        <is>
          <t>Spain|EWP|2015</t>
        </is>
      </c>
      <c r="K590" t="inlineStr">
        <is>
          <t>Spain|2015</t>
        </is>
      </c>
      <c r="L590" t="inlineStr">
        <is>
          <t>USD</t>
        </is>
      </c>
      <c r="M590" t="n">
        <v>-19.18238757084808</v>
      </c>
      <c r="N590" t="n">
        <v>0</v>
      </c>
      <c r="O590" t="n">
        <v>-19.18238757084808</v>
      </c>
      <c r="P590" t="inlineStr"/>
      <c r="Q590" t="inlineStr"/>
    </row>
    <row r="591">
      <c r="A591" t="inlineStr">
        <is>
          <t>Spain</t>
        </is>
      </c>
      <c r="B591" t="inlineStr">
        <is>
          <t>ESP</t>
        </is>
      </c>
      <c r="C591" t="inlineStr">
        <is>
          <t>EWP</t>
        </is>
      </c>
      <c r="D591" t="n">
        <v>2016</v>
      </c>
      <c r="E591" t="n">
        <v>-4.94800713864052</v>
      </c>
      <c r="F591" t="n">
        <v>2.915</v>
      </c>
      <c r="G591" t="n">
        <v>3.298188</v>
      </c>
      <c r="H591" t="n">
        <v>3.016363</v>
      </c>
      <c r="I591" t="n">
        <v>7.96437013864052</v>
      </c>
      <c r="J591" t="inlineStr">
        <is>
          <t>Spain|EWP|2016</t>
        </is>
      </c>
      <c r="K591" t="inlineStr">
        <is>
          <t>Spain|2016</t>
        </is>
      </c>
      <c r="L591" t="inlineStr">
        <is>
          <t>USD</t>
        </is>
      </c>
      <c r="M591" t="n">
        <v>-4.94800713864052</v>
      </c>
      <c r="N591" t="n">
        <v>0</v>
      </c>
      <c r="O591" t="n">
        <v>-4.94800713864052</v>
      </c>
      <c r="P591" t="n">
        <v>0.2735728401368043</v>
      </c>
      <c r="Q591" t="n">
        <v>-5.207334126910923</v>
      </c>
    </row>
    <row r="592">
      <c r="A592" t="inlineStr">
        <is>
          <t>Spain</t>
        </is>
      </c>
      <c r="B592" t="inlineStr">
        <is>
          <t>ESP</t>
        </is>
      </c>
      <c r="C592" t="inlineStr">
        <is>
          <t>EWP</t>
        </is>
      </c>
      <c r="D592" t="n">
        <v>2017</v>
      </c>
      <c r="E592" t="n">
        <v>22.04841710311325</v>
      </c>
      <c r="F592" t="n">
        <v>2.896</v>
      </c>
      <c r="G592" t="n">
        <v>4.190417</v>
      </c>
      <c r="H592" t="n">
        <v>6.326282</v>
      </c>
      <c r="I592" t="n">
        <v>-15.72213510311325</v>
      </c>
      <c r="J592" t="inlineStr">
        <is>
          <t>Spain|EWP|2017</t>
        </is>
      </c>
      <c r="K592" t="inlineStr">
        <is>
          <t>Spain|2017</t>
        </is>
      </c>
      <c r="L592" t="inlineStr">
        <is>
          <t>USD</t>
        </is>
      </c>
      <c r="M592" t="n">
        <v>22.04841710311325</v>
      </c>
      <c r="N592" t="n">
        <v>0</v>
      </c>
      <c r="O592" t="n">
        <v>22.04841710311325</v>
      </c>
      <c r="P592" t="n">
        <v>-2.008783810471038</v>
      </c>
      <c r="Q592" t="n">
        <v>24.55036466437384</v>
      </c>
    </row>
    <row r="593">
      <c r="A593" t="inlineStr">
        <is>
          <t>Spain</t>
        </is>
      </c>
      <c r="B593" t="inlineStr">
        <is>
          <t>ESP</t>
        </is>
      </c>
      <c r="C593" t="inlineStr">
        <is>
          <t>EWP</t>
        </is>
      </c>
      <c r="D593" t="n">
        <v>2018</v>
      </c>
      <c r="E593" t="n">
        <v>-19.04618523952856</v>
      </c>
      <c r="F593" t="n">
        <v>2.395</v>
      </c>
      <c r="G593" t="n">
        <v>3.611208</v>
      </c>
      <c r="H593" t="n">
        <v>8.401196000000001</v>
      </c>
      <c r="I593" t="n">
        <v>27.44738123952856</v>
      </c>
      <c r="J593" t="inlineStr">
        <is>
          <t>Spain|EWP|2018</t>
        </is>
      </c>
      <c r="K593" t="inlineStr">
        <is>
          <t>Spain|2018</t>
        </is>
      </c>
      <c r="L593" t="inlineStr">
        <is>
          <t>USD</t>
        </is>
      </c>
      <c r="M593" t="n">
        <v>-19.04618523952856</v>
      </c>
      <c r="N593" t="n">
        <v>0</v>
      </c>
      <c r="O593" t="n">
        <v>-19.04618523952856</v>
      </c>
      <c r="P593" t="n">
        <v>-4.418759747897893</v>
      </c>
      <c r="Q593" t="n">
        <v>-15.30365734222513</v>
      </c>
    </row>
    <row r="594">
      <c r="A594" t="inlineStr">
        <is>
          <t>Spain</t>
        </is>
      </c>
      <c r="B594" t="inlineStr">
        <is>
          <t>ESP</t>
        </is>
      </c>
      <c r="C594" t="inlineStr">
        <is>
          <t>EWP</t>
        </is>
      </c>
      <c r="D594" t="n">
        <v>2019</v>
      </c>
      <c r="E594" t="n">
        <v>7.629323308644276</v>
      </c>
      <c r="F594" t="n">
        <v>1.961</v>
      </c>
      <c r="G594" t="n">
        <v>3.417869</v>
      </c>
      <c r="H594" t="n">
        <v>-1.999662</v>
      </c>
      <c r="I594" t="n">
        <v>-9.628985308644276</v>
      </c>
      <c r="J594" t="inlineStr">
        <is>
          <t>Spain|EWP|2019</t>
        </is>
      </c>
      <c r="K594" t="inlineStr">
        <is>
          <t>Spain|2019</t>
        </is>
      </c>
      <c r="L594" t="inlineStr">
        <is>
          <t>USD</t>
        </is>
      </c>
      <c r="M594" t="n">
        <v>7.629323308644276</v>
      </c>
      <c r="N594" t="n">
        <v>0</v>
      </c>
      <c r="O594" t="n">
        <v>7.629323308644276</v>
      </c>
      <c r="P594" t="n">
        <v>5.528073405923473</v>
      </c>
      <c r="Q594" t="n">
        <v>1.991176219656876</v>
      </c>
    </row>
    <row r="595">
      <c r="A595" t="inlineStr">
        <is>
          <t>Spain</t>
        </is>
      </c>
      <c r="B595" t="inlineStr">
        <is>
          <t>ESP</t>
        </is>
      </c>
      <c r="C595" t="inlineStr">
        <is>
          <t>EWP</t>
        </is>
      </c>
      <c r="D595" t="n">
        <v>2020</v>
      </c>
      <c r="E595" t="n">
        <v>-7.713305052495056</v>
      </c>
      <c r="F595" t="n">
        <v>-10.94</v>
      </c>
      <c r="G595" t="n">
        <v>-9.930206999999999</v>
      </c>
      <c r="H595" t="n">
        <v>-8.185795000000001</v>
      </c>
      <c r="I595" t="n">
        <v>-0.4724899475049442</v>
      </c>
      <c r="J595" t="inlineStr">
        <is>
          <t>Spain|EWP|2020</t>
        </is>
      </c>
      <c r="K595" t="inlineStr">
        <is>
          <t>Spain|2020</t>
        </is>
      </c>
      <c r="L595" t="inlineStr">
        <is>
          <t>USD</t>
        </is>
      </c>
      <c r="M595" t="n">
        <v>-7.713305052495056</v>
      </c>
      <c r="N595" t="n">
        <v>0</v>
      </c>
      <c r="O595" t="n">
        <v>-7.713305052495056</v>
      </c>
      <c r="P595" t="n">
        <v>-1.899936597183927</v>
      </c>
      <c r="Q595" t="n">
        <v>-5.925957898151823</v>
      </c>
    </row>
    <row r="596">
      <c r="A596" t="inlineStr">
        <is>
          <t>Spain</t>
        </is>
      </c>
      <c r="B596" t="inlineStr">
        <is>
          <t>ESP</t>
        </is>
      </c>
      <c r="C596" t="inlineStr">
        <is>
          <t>EWP</t>
        </is>
      </c>
      <c r="D596" t="n">
        <v>2021</v>
      </c>
      <c r="E596" t="n">
        <v>-3.631693920784596</v>
      </c>
      <c r="F596" t="n">
        <v>6.683</v>
      </c>
      <c r="G596" t="n">
        <v>9.410085</v>
      </c>
      <c r="H596" t="n">
        <v>13.459931</v>
      </c>
      <c r="I596" t="n">
        <v>17.0916249207846</v>
      </c>
      <c r="J596" t="inlineStr">
        <is>
          <t>Spain|EWP|2021</t>
        </is>
      </c>
      <c r="K596" t="inlineStr">
        <is>
          <t>Spain|2021</t>
        </is>
      </c>
      <c r="L596" t="inlineStr">
        <is>
          <t>USD</t>
        </is>
      </c>
      <c r="M596" t="n">
        <v>-3.631693920784596</v>
      </c>
      <c r="N596" t="n">
        <v>0</v>
      </c>
      <c r="O596" t="n">
        <v>-3.631693920784596</v>
      </c>
      <c r="P596" t="n">
        <v>-3.569406455849811</v>
      </c>
      <c r="Q596" t="n">
        <v>-0.06459305355853706</v>
      </c>
    </row>
    <row r="597">
      <c r="A597" t="inlineStr">
        <is>
          <t>Spain</t>
        </is>
      </c>
      <c r="B597" t="inlineStr">
        <is>
          <t>ESP</t>
        </is>
      </c>
      <c r="C597" t="inlineStr">
        <is>
          <t>EWP</t>
        </is>
      </c>
      <c r="D597" t="n">
        <v>2022</v>
      </c>
      <c r="E597" t="n">
        <v>-8.926549905796378</v>
      </c>
      <c r="F597" t="n">
        <v>6.37</v>
      </c>
      <c r="G597" t="n">
        <v>11.363169</v>
      </c>
      <c r="H597" t="n">
        <v>-0.836128</v>
      </c>
      <c r="I597" t="n">
        <v>8.090421905796378</v>
      </c>
      <c r="J597" t="inlineStr">
        <is>
          <t>Spain|EWP|2022</t>
        </is>
      </c>
      <c r="K597" t="inlineStr">
        <is>
          <t>Spain|2022</t>
        </is>
      </c>
      <c r="L597" t="inlineStr">
        <is>
          <t>USD</t>
        </is>
      </c>
      <c r="M597" t="n">
        <v>-8.926549905796378</v>
      </c>
      <c r="N597" t="n">
        <v>0</v>
      </c>
      <c r="O597" t="n">
        <v>-8.926549905796378</v>
      </c>
      <c r="P597" t="n">
        <v>12.30215911256134</v>
      </c>
      <c r="Q597" t="n">
        <v>-18.90320647983269</v>
      </c>
    </row>
    <row r="598">
      <c r="A598" t="inlineStr">
        <is>
          <t>Spain</t>
        </is>
      </c>
      <c r="B598" t="inlineStr">
        <is>
          <t>ESP</t>
        </is>
      </c>
      <c r="C598" t="inlineStr">
        <is>
          <t>EWP</t>
        </is>
      </c>
      <c r="D598" t="n">
        <v>2023</v>
      </c>
      <c r="E598" t="n">
        <v>25.80115302907178</v>
      </c>
      <c r="F598" t="n">
        <v>2.461</v>
      </c>
      <c r="G598" t="n">
        <v>8.859748</v>
      </c>
      <c r="H598" t="n">
        <v>11.721391</v>
      </c>
      <c r="I598" t="n">
        <v>-14.07976202907178</v>
      </c>
      <c r="J598" t="inlineStr">
        <is>
          <t>Spain|EWP|2023</t>
        </is>
      </c>
      <c r="K598" t="inlineStr">
        <is>
          <t>Spain|2023</t>
        </is>
      </c>
      <c r="L598" t="inlineStr">
        <is>
          <t>USD</t>
        </is>
      </c>
      <c r="M598" t="n">
        <v>25.80115302907178</v>
      </c>
      <c r="N598" t="n">
        <v>0</v>
      </c>
      <c r="O598" t="n">
        <v>25.80115302907178</v>
      </c>
      <c r="P598" t="n">
        <v>-2.561409915402613</v>
      </c>
      <c r="Q598" t="n">
        <v>29.10814177406473</v>
      </c>
    </row>
    <row r="599">
      <c r="A599" t="inlineStr">
        <is>
          <t>Spain</t>
        </is>
      </c>
      <c r="B599" t="inlineStr">
        <is>
          <t>ESP</t>
        </is>
      </c>
      <c r="C599" t="inlineStr">
        <is>
          <t>EWP</t>
        </is>
      </c>
      <c r="D599" t="n">
        <v>2024</v>
      </c>
      <c r="E599" t="n">
        <v>1.803276187083758</v>
      </c>
      <c r="F599" t="n">
        <v>3.455</v>
      </c>
      <c r="G599" t="n">
        <v>6.447557</v>
      </c>
      <c r="H599" t="n">
        <v>6.494217</v>
      </c>
      <c r="I599" t="n">
        <v>4.690940812916242</v>
      </c>
      <c r="J599" t="inlineStr">
        <is>
          <t>Spain|EWP|2024</t>
        </is>
      </c>
      <c r="K599" t="inlineStr">
        <is>
          <t>Spain|2024</t>
        </is>
      </c>
      <c r="L599" t="inlineStr">
        <is>
          <t>USD</t>
        </is>
      </c>
      <c r="M599" t="n">
        <v>1.803276187083758</v>
      </c>
      <c r="N599" t="n">
        <v>0</v>
      </c>
      <c r="O599" t="n">
        <v>1.803276187083758</v>
      </c>
      <c r="P599" t="n">
        <v>-0.04381402795655687</v>
      </c>
      <c r="Q599" t="n">
        <v>1.847899854399127</v>
      </c>
    </row>
    <row r="600">
      <c r="A600" t="inlineStr">
        <is>
          <t>Spain</t>
        </is>
      </c>
      <c r="B600" t="inlineStr">
        <is>
          <t>ESP</t>
        </is>
      </c>
      <c r="C600" t="inlineStr">
        <is>
          <t>EWP</t>
        </is>
      </c>
      <c r="D600" t="n">
        <v>2025</v>
      </c>
      <c r="E600" t="n">
        <v>74.12791163307737</v>
      </c>
      <c r="F600" t="n">
        <v>2.908</v>
      </c>
      <c r="G600" t="n">
        <v>5.025308</v>
      </c>
      <c r="H600" t="n">
        <v>9.635035</v>
      </c>
      <c r="I600" t="n">
        <v>-64.49287663307737</v>
      </c>
      <c r="J600" t="inlineStr">
        <is>
          <t>Spain|EWP|2025</t>
        </is>
      </c>
      <c r="K600" t="inlineStr">
        <is>
          <t>Spain|2025</t>
        </is>
      </c>
      <c r="L600" t="inlineStr">
        <is>
          <t>USD</t>
        </is>
      </c>
      <c r="M600" t="n">
        <v>74.12791163307737</v>
      </c>
      <c r="N600" t="n">
        <v>0</v>
      </c>
      <c r="O600" t="n">
        <v>74.12791163307737</v>
      </c>
      <c r="P600" t="n">
        <v>-4.204610887913852</v>
      </c>
      <c r="Q600" t="n">
        <v>81.77066062056248</v>
      </c>
    </row>
    <row r="601">
      <c r="A601" t="inlineStr">
        <is>
          <t>Spain</t>
        </is>
      </c>
      <c r="B601" t="inlineStr">
        <is>
          <t>ESP</t>
        </is>
      </c>
      <c r="C601" t="inlineStr">
        <is>
          <t>EWP</t>
        </is>
      </c>
      <c r="D601" t="n">
        <v>2026</v>
      </c>
      <c r="E601" t="n">
        <v>-2.102379359851969</v>
      </c>
      <c r="F601" t="n">
        <v>1.958</v>
      </c>
      <c r="G601" t="n">
        <v>4.480217</v>
      </c>
      <c r="H601" t="n">
        <v>7.955023</v>
      </c>
      <c r="I601" t="n">
        <v>10.05740235985197</v>
      </c>
      <c r="J601" t="inlineStr">
        <is>
          <t>Spain|EWP|2026</t>
        </is>
      </c>
      <c r="K601" t="inlineStr">
        <is>
          <t>Spain|2026</t>
        </is>
      </c>
      <c r="L601" t="inlineStr">
        <is>
          <t>USD</t>
        </is>
      </c>
      <c r="M601" t="n">
        <v>-2.102379359851969</v>
      </c>
      <c r="N601" t="n">
        <v>0</v>
      </c>
      <c r="O601" t="n">
        <v>-2.102379359851969</v>
      </c>
      <c r="P601" t="n">
        <v>-3.218753159993248</v>
      </c>
      <c r="Q601" t="n">
        <v>1.153502188277034</v>
      </c>
    </row>
    <row r="602">
      <c r="A602" t="inlineStr">
        <is>
          <t>Sweden</t>
        </is>
      </c>
      <c r="B602" t="inlineStr">
        <is>
          <t>SWE</t>
        </is>
      </c>
      <c r="C602" t="inlineStr">
        <is>
          <t>EWD</t>
        </is>
      </c>
      <c r="D602" t="n">
        <v>2015</v>
      </c>
      <c r="E602" t="n">
        <v>-7.247294487119637</v>
      </c>
      <c r="F602" t="n">
        <v>4.388</v>
      </c>
      <c r="G602" t="inlineStr"/>
      <c r="H602" t="inlineStr"/>
      <c r="I602" t="inlineStr"/>
      <c r="J602" t="inlineStr">
        <is>
          <t>Sweden|EWD|2015</t>
        </is>
      </c>
      <c r="K602" t="inlineStr">
        <is>
          <t>Sweden|2015</t>
        </is>
      </c>
      <c r="L602" t="inlineStr">
        <is>
          <t>USD</t>
        </is>
      </c>
      <c r="M602" t="n">
        <v>-7.247294487119637</v>
      </c>
      <c r="N602" t="n">
        <v>0</v>
      </c>
      <c r="O602" t="n">
        <v>-7.247294487119637</v>
      </c>
      <c r="P602" t="inlineStr"/>
      <c r="Q602" t="inlineStr"/>
    </row>
    <row r="603">
      <c r="A603" t="inlineStr">
        <is>
          <t>Sweden</t>
        </is>
      </c>
      <c r="B603" t="inlineStr">
        <is>
          <t>SWE</t>
        </is>
      </c>
      <c r="C603" t="inlineStr">
        <is>
          <t>EWD</t>
        </is>
      </c>
      <c r="D603" t="n">
        <v>2016</v>
      </c>
      <c r="E603" t="n">
        <v>0.5248412138932679</v>
      </c>
      <c r="F603" t="n">
        <v>2.131</v>
      </c>
      <c r="G603" t="n">
        <v>3.825749</v>
      </c>
      <c r="H603" t="n">
        <v>2.283882</v>
      </c>
      <c r="I603" t="n">
        <v>1.759040786106732</v>
      </c>
      <c r="J603" t="inlineStr">
        <is>
          <t>Sweden|EWD|2016</t>
        </is>
      </c>
      <c r="K603" t="inlineStr">
        <is>
          <t>Sweden|2016</t>
        </is>
      </c>
      <c r="L603" t="inlineStr">
        <is>
          <t>USD</t>
        </is>
      </c>
      <c r="M603" t="n">
        <v>0.5248412138932679</v>
      </c>
      <c r="N603" t="n">
        <v>0</v>
      </c>
      <c r="O603" t="n">
        <v>0.5248412138932679</v>
      </c>
      <c r="P603" t="n">
        <v>1.507438629108537</v>
      </c>
      <c r="Q603" t="n">
        <v>-0.9680053289547796</v>
      </c>
    </row>
    <row r="604">
      <c r="A604" t="inlineStr">
        <is>
          <t>Sweden</t>
        </is>
      </c>
      <c r="B604" t="inlineStr">
        <is>
          <t>SWE</t>
        </is>
      </c>
      <c r="C604" t="inlineStr">
        <is>
          <t>EWD</t>
        </is>
      </c>
      <c r="D604" t="n">
        <v>2017</v>
      </c>
      <c r="E604" t="n">
        <v>17.1794025865045</v>
      </c>
      <c r="F604" t="n">
        <v>1.883</v>
      </c>
      <c r="G604" t="n">
        <v>4.150268</v>
      </c>
      <c r="H604" t="n">
        <v>4.310234</v>
      </c>
      <c r="I604" t="n">
        <v>-12.8691685865045</v>
      </c>
      <c r="J604" t="inlineStr">
        <is>
          <t>Sweden|EWD|2017</t>
        </is>
      </c>
      <c r="K604" t="inlineStr">
        <is>
          <t>Sweden|2017</t>
        </is>
      </c>
      <c r="L604" t="inlineStr">
        <is>
          <t>USD</t>
        </is>
      </c>
      <c r="M604" t="n">
        <v>17.1794025865045</v>
      </c>
      <c r="N604" t="n">
        <v>0</v>
      </c>
      <c r="O604" t="n">
        <v>17.1794025865045</v>
      </c>
      <c r="P604" t="n">
        <v>-0.1533562413264855</v>
      </c>
      <c r="Q604" t="n">
        <v>17.35938052131605</v>
      </c>
    </row>
    <row r="605">
      <c r="A605" t="inlineStr">
        <is>
          <t>Sweden</t>
        </is>
      </c>
      <c r="B605" t="inlineStr">
        <is>
          <t>SWE</t>
        </is>
      </c>
      <c r="C605" t="inlineStr">
        <is>
          <t>EWD</t>
        </is>
      </c>
      <c r="D605" t="n">
        <v>2018</v>
      </c>
      <c r="E605" t="n">
        <v>-17.33021107358825</v>
      </c>
      <c r="F605" t="n">
        <v>1.77</v>
      </c>
      <c r="G605" t="n">
        <v>4.430993</v>
      </c>
      <c r="H605" t="n">
        <v>2.705112</v>
      </c>
      <c r="I605" t="n">
        <v>20.03532307358825</v>
      </c>
      <c r="J605" t="inlineStr">
        <is>
          <t>Sweden|EWD|2018</t>
        </is>
      </c>
      <c r="K605" t="inlineStr">
        <is>
          <t>Sweden|2018</t>
        </is>
      </c>
      <c r="L605" t="inlineStr">
        <is>
          <t>USD</t>
        </is>
      </c>
      <c r="M605" t="n">
        <v>-17.33021107358825</v>
      </c>
      <c r="N605" t="n">
        <v>0</v>
      </c>
      <c r="O605" t="n">
        <v>-17.33021107358825</v>
      </c>
      <c r="P605" t="n">
        <v>1.680424429205285</v>
      </c>
      <c r="Q605" t="n">
        <v>-18.6964556939174</v>
      </c>
    </row>
    <row r="606">
      <c r="A606" t="inlineStr">
        <is>
          <t>Sweden</t>
        </is>
      </c>
      <c r="B606" t="inlineStr">
        <is>
          <t>SWE</t>
        </is>
      </c>
      <c r="C606" t="inlineStr">
        <is>
          <t>EWD</t>
        </is>
      </c>
      <c r="D606" t="n">
        <v>2019</v>
      </c>
      <c r="E606" t="n">
        <v>18.4731760300747</v>
      </c>
      <c r="F606" t="n">
        <v>2.608</v>
      </c>
      <c r="G606" t="n">
        <v>5.09739</v>
      </c>
      <c r="H606" t="n">
        <v>-3.412178</v>
      </c>
      <c r="I606" t="n">
        <v>-21.8853540300747</v>
      </c>
      <c r="J606" t="inlineStr">
        <is>
          <t>Sweden|EWD|2019</t>
        </is>
      </c>
      <c r="K606" t="inlineStr">
        <is>
          <t>Sweden|2019</t>
        </is>
      </c>
      <c r="L606" t="inlineStr">
        <is>
          <t>USD</t>
        </is>
      </c>
      <c r="M606" t="n">
        <v>18.4731760300747</v>
      </c>
      <c r="N606" t="n">
        <v>0</v>
      </c>
      <c r="O606" t="n">
        <v>18.4731760300747</v>
      </c>
      <c r="P606" t="n">
        <v>8.810187124822955</v>
      </c>
      <c r="Q606" t="n">
        <v>8.880592121550833</v>
      </c>
    </row>
    <row r="607">
      <c r="A607" t="inlineStr">
        <is>
          <t>Sweden</t>
        </is>
      </c>
      <c r="B607" t="inlineStr">
        <is>
          <t>SWE</t>
        </is>
      </c>
      <c r="C607" t="inlineStr">
        <is>
          <t>EWD</t>
        </is>
      </c>
      <c r="D607" t="n">
        <v>2020</v>
      </c>
      <c r="E607" t="n">
        <v>17.6818438681166</v>
      </c>
      <c r="F607" t="n">
        <v>-1.934</v>
      </c>
      <c r="G607" t="n">
        <v>-0.169814</v>
      </c>
      <c r="H607" t="n">
        <v>2.51877</v>
      </c>
      <c r="I607" t="n">
        <v>-15.1630738681166</v>
      </c>
      <c r="J607" t="inlineStr">
        <is>
          <t>Sweden|EWD|2020</t>
        </is>
      </c>
      <c r="K607" t="inlineStr">
        <is>
          <t>Sweden|2020</t>
        </is>
      </c>
      <c r="L607" t="inlineStr">
        <is>
          <t>USD</t>
        </is>
      </c>
      <c r="M607" t="n">
        <v>17.6818438681166</v>
      </c>
      <c r="N607" t="n">
        <v>0</v>
      </c>
      <c r="O607" t="n">
        <v>17.6818438681166</v>
      </c>
      <c r="P607" t="n">
        <v>-2.622528564905247</v>
      </c>
      <c r="Q607" t="n">
        <v>20.85120113901846</v>
      </c>
    </row>
    <row r="608">
      <c r="A608" t="inlineStr">
        <is>
          <t>Sweden</t>
        </is>
      </c>
      <c r="B608" t="inlineStr">
        <is>
          <t>SWE</t>
        </is>
      </c>
      <c r="C608" t="inlineStr">
        <is>
          <t>EWD</t>
        </is>
      </c>
      <c r="D608" t="n">
        <v>2021</v>
      </c>
      <c r="E608" t="n">
        <v>14.96278587630555</v>
      </c>
      <c r="F608" t="n">
        <v>5.226</v>
      </c>
      <c r="G608" t="n">
        <v>8.077332999999999</v>
      </c>
      <c r="H608" t="n">
        <v>16.063285</v>
      </c>
      <c r="I608" t="n">
        <v>1.100499123694449</v>
      </c>
      <c r="J608" t="inlineStr">
        <is>
          <t>Sweden|EWD|2021</t>
        </is>
      </c>
      <c r="K608" t="inlineStr">
        <is>
          <t>Sweden|2021</t>
        </is>
      </c>
      <c r="L608" t="inlineStr">
        <is>
          <t>USD</t>
        </is>
      </c>
      <c r="M608" t="n">
        <v>14.96278587630555</v>
      </c>
      <c r="N608" t="n">
        <v>0</v>
      </c>
      <c r="O608" t="n">
        <v>14.96278587630555</v>
      </c>
      <c r="P608" t="n">
        <v>-6.88068758306899</v>
      </c>
      <c r="Q608" t="n">
        <v>23.45751154344107</v>
      </c>
    </row>
    <row r="609">
      <c r="A609" t="inlineStr">
        <is>
          <t>Sweden</t>
        </is>
      </c>
      <c r="B609" t="inlineStr">
        <is>
          <t>SWE</t>
        </is>
      </c>
      <c r="C609" t="inlineStr">
        <is>
          <t>EWD</t>
        </is>
      </c>
      <c r="D609" t="n">
        <v>2022</v>
      </c>
      <c r="E609" t="n">
        <v>-30.85970275544991</v>
      </c>
      <c r="F609" t="n">
        <v>1.255</v>
      </c>
      <c r="G609" t="n">
        <v>7.358299</v>
      </c>
      <c r="H609" t="n">
        <v>-8.963531</v>
      </c>
      <c r="I609" t="n">
        <v>21.89617175544991</v>
      </c>
      <c r="J609" t="inlineStr">
        <is>
          <t>Sweden|EWD|2022</t>
        </is>
      </c>
      <c r="K609" t="inlineStr">
        <is>
          <t>Sweden|2022</t>
        </is>
      </c>
      <c r="L609" t="inlineStr">
        <is>
          <t>USD</t>
        </is>
      </c>
      <c r="M609" t="n">
        <v>-30.85970275544991</v>
      </c>
      <c r="N609" t="n">
        <v>0</v>
      </c>
      <c r="O609" t="n">
        <v>-30.85970275544991</v>
      </c>
      <c r="P609" t="n">
        <v>17.92889261419617</v>
      </c>
      <c r="Q609" t="n">
        <v>-41.37119775156183</v>
      </c>
    </row>
    <row r="610">
      <c r="A610" t="inlineStr">
        <is>
          <t>Sweden</t>
        </is>
      </c>
      <c r="B610" t="inlineStr">
        <is>
          <t>SWE</t>
        </is>
      </c>
      <c r="C610" t="inlineStr">
        <is>
          <t>EWD</t>
        </is>
      </c>
      <c r="D610" t="n">
        <v>2023</v>
      </c>
      <c r="E610" t="n">
        <v>20.70336483122182</v>
      </c>
      <c r="F610" t="n">
        <v>-0.204</v>
      </c>
      <c r="G610" t="n">
        <v>5.6181</v>
      </c>
      <c r="H610" t="n">
        <v>0.681655</v>
      </c>
      <c r="I610" t="n">
        <v>-20.02170983122182</v>
      </c>
      <c r="J610" t="inlineStr">
        <is>
          <t>Sweden|EWD|2023</t>
        </is>
      </c>
      <c r="K610" t="inlineStr">
        <is>
          <t>Sweden|2023</t>
        </is>
      </c>
      <c r="L610" t="inlineStr">
        <is>
          <t>USD</t>
        </is>
      </c>
      <c r="M610" t="n">
        <v>20.70336483122182</v>
      </c>
      <c r="N610" t="n">
        <v>0</v>
      </c>
      <c r="O610" t="n">
        <v>20.70336483122182</v>
      </c>
      <c r="P610" t="n">
        <v>4.903023147519736</v>
      </c>
      <c r="Q610" t="n">
        <v>15.06185542573246</v>
      </c>
    </row>
    <row r="611">
      <c r="A611" t="inlineStr">
        <is>
          <t>Sweden</t>
        </is>
      </c>
      <c r="B611" t="inlineStr">
        <is>
          <t>SWE</t>
        </is>
      </c>
      <c r="C611" t="inlineStr">
        <is>
          <t>EWD</t>
        </is>
      </c>
      <c r="D611" t="n">
        <v>2024</v>
      </c>
      <c r="E611" t="n">
        <v>-3.490171829032918</v>
      </c>
      <c r="F611" t="n">
        <v>0.82</v>
      </c>
      <c r="G611" t="n">
        <v>3.852333</v>
      </c>
      <c r="H611" t="n">
        <v>4.270187</v>
      </c>
      <c r="I611" t="n">
        <v>7.760358829032917</v>
      </c>
      <c r="J611" t="inlineStr">
        <is>
          <t>Sweden|EWD|2024</t>
        </is>
      </c>
      <c r="K611" t="inlineStr">
        <is>
          <t>Sweden|2024</t>
        </is>
      </c>
      <c r="L611" t="inlineStr">
        <is>
          <t>USD</t>
        </is>
      </c>
      <c r="M611" t="n">
        <v>-3.490171829032918</v>
      </c>
      <c r="N611" t="n">
        <v>0</v>
      </c>
      <c r="O611" t="n">
        <v>-3.490171829032918</v>
      </c>
      <c r="P611" t="n">
        <v>-0.4007421597812866</v>
      </c>
      <c r="Q611" t="n">
        <v>-3.101860130532119</v>
      </c>
    </row>
    <row r="612">
      <c r="A612" t="inlineStr">
        <is>
          <t>Sweden</t>
        </is>
      </c>
      <c r="B612" t="inlineStr">
        <is>
          <t>SWE</t>
        </is>
      </c>
      <c r="C612" t="inlineStr">
        <is>
          <t>EWD</t>
        </is>
      </c>
      <c r="D612" t="n">
        <v>2025</v>
      </c>
      <c r="E612" t="n">
        <v>31.52551199800246</v>
      </c>
      <c r="F612" t="n">
        <v>0.75</v>
      </c>
      <c r="G612" t="n">
        <v>2.432129</v>
      </c>
      <c r="H612" t="n">
        <v>9.707064000000001</v>
      </c>
      <c r="I612" t="n">
        <v>-21.81844799800246</v>
      </c>
      <c r="J612" t="inlineStr">
        <is>
          <t>Sweden|EWD|2025</t>
        </is>
      </c>
      <c r="K612" t="inlineStr">
        <is>
          <t>Sweden|2025</t>
        </is>
      </c>
      <c r="L612" t="inlineStr">
        <is>
          <t>USD</t>
        </is>
      </c>
      <c r="M612" t="n">
        <v>31.52551199800246</v>
      </c>
      <c r="N612" t="n">
        <v>0</v>
      </c>
      <c r="O612" t="n">
        <v>31.52551199800246</v>
      </c>
      <c r="P612" t="n">
        <v>-6.631236584275502</v>
      </c>
      <c r="Q612" t="n">
        <v>40.86671729000524</v>
      </c>
    </row>
    <row r="613">
      <c r="A613" t="inlineStr">
        <is>
          <t>Sweden</t>
        </is>
      </c>
      <c r="B613" t="inlineStr">
        <is>
          <t>SWE</t>
        </is>
      </c>
      <c r="C613" t="inlineStr">
        <is>
          <t>EWD</t>
        </is>
      </c>
      <c r="D613" t="n">
        <v>2026</v>
      </c>
      <c r="E613" t="n">
        <v>4.919359912237353</v>
      </c>
      <c r="F613" t="n">
        <v>1.932</v>
      </c>
      <c r="G613" t="n">
        <v>3.563101</v>
      </c>
      <c r="H613" t="n">
        <v>7.426191</v>
      </c>
      <c r="I613" t="n">
        <v>2.506831087762647</v>
      </c>
      <c r="J613" t="inlineStr">
        <is>
          <t>Sweden|EWD|2026</t>
        </is>
      </c>
      <c r="K613" t="inlineStr">
        <is>
          <t>Sweden|2026</t>
        </is>
      </c>
      <c r="L613" t="inlineStr">
        <is>
          <t>USD</t>
        </is>
      </c>
      <c r="M613" t="n">
        <v>4.919359912237353</v>
      </c>
      <c r="N613" t="n">
        <v>0</v>
      </c>
      <c r="O613" t="n">
        <v>4.919359912237353</v>
      </c>
      <c r="P613" t="n">
        <v>-3.596040745104545</v>
      </c>
      <c r="Q613" t="n">
        <v>8.833040388752988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OMXS.L</t>
        </is>
      </c>
      <c r="D614" t="n">
        <v>2015</v>
      </c>
      <c r="E614" t="inlineStr"/>
      <c r="F614" t="n">
        <v>4.388</v>
      </c>
      <c r="G614" t="inlineStr"/>
      <c r="H614" t="inlineStr"/>
      <c r="I614" t="inlineStr"/>
      <c r="J614" t="inlineStr">
        <is>
          <t>Sweden|OMXS.L|2015</t>
        </is>
      </c>
      <c r="K614" t="inlineStr">
        <is>
          <t>Sweden|2015</t>
        </is>
      </c>
      <c r="L614" t="inlineStr">
        <is>
          <t>GBp</t>
        </is>
      </c>
      <c r="M614" t="inlineStr"/>
      <c r="N614" t="n">
        <v>-4.888855870697362</v>
      </c>
      <c r="O614" t="inlineStr"/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OMXS.L</t>
        </is>
      </c>
      <c r="D615" t="n">
        <v>2016</v>
      </c>
      <c r="E615" t="n">
        <v>-91.13897220817154</v>
      </c>
      <c r="F615" t="n">
        <v>2.131</v>
      </c>
      <c r="G615" t="n">
        <v>3.825749</v>
      </c>
      <c r="H615" t="n">
        <v>2.283882</v>
      </c>
      <c r="I615" t="n">
        <v>94.89606286871285</v>
      </c>
      <c r="J615" t="inlineStr">
        <is>
          <t>Sweden|OMXS.L|2016</t>
        </is>
      </c>
      <c r="K615" t="inlineStr">
        <is>
          <t>Sweden|2016</t>
        </is>
      </c>
      <c r="L615" t="inlineStr">
        <is>
          <t>GBp</t>
        </is>
      </c>
      <c r="M615" t="n">
        <v>-91.13897220817154</v>
      </c>
      <c r="N615" t="n">
        <v>-16.62570861023462</v>
      </c>
      <c r="O615" t="n">
        <v>-92.61218086871284</v>
      </c>
      <c r="P615" t="n">
        <v>1.507438629108537</v>
      </c>
      <c r="Q615" t="n">
        <v>-92.72189385225153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OMXS.L</t>
        </is>
      </c>
      <c r="D616" t="n">
        <v>2017</v>
      </c>
      <c r="E616" t="n">
        <v>10.60691223585124</v>
      </c>
      <c r="F616" t="n">
        <v>1.883</v>
      </c>
      <c r="G616" t="n">
        <v>4.150268</v>
      </c>
      <c r="H616" t="n">
        <v>4.310234</v>
      </c>
      <c r="I616" t="n">
        <v>-16.07586458060771</v>
      </c>
      <c r="J616" t="inlineStr">
        <is>
          <t>Sweden|OMXS.L|2017</t>
        </is>
      </c>
      <c r="K616" t="inlineStr">
        <is>
          <t>Sweden|2017</t>
        </is>
      </c>
      <c r="L616" t="inlineStr">
        <is>
          <t>GBp</t>
        </is>
      </c>
      <c r="M616" t="n">
        <v>10.60691223585124</v>
      </c>
      <c r="N616" t="n">
        <v>8.841388071573641</v>
      </c>
      <c r="O616" t="n">
        <v>20.38609858060772</v>
      </c>
      <c r="P616" t="n">
        <v>-0.1533562413264855</v>
      </c>
      <c r="Q616" t="n">
        <v>20.57100173700128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OMXS.L</t>
        </is>
      </c>
      <c r="D617" t="n">
        <v>2018</v>
      </c>
      <c r="E617" t="n">
        <v>-6.827626145167754</v>
      </c>
      <c r="F617" t="n">
        <v>1.77</v>
      </c>
      <c r="G617" t="n">
        <v>4.430993</v>
      </c>
      <c r="H617" t="n">
        <v>2.705112</v>
      </c>
      <c r="I617" t="n">
        <v>15.20256054755329</v>
      </c>
      <c r="J617" t="inlineStr">
        <is>
          <t>Sweden|OMXS.L|2018</t>
        </is>
      </c>
      <c r="K617" t="inlineStr">
        <is>
          <t>Sweden|2018</t>
        </is>
      </c>
      <c r="L617" t="inlineStr">
        <is>
          <t>GBp</t>
        </is>
      </c>
      <c r="M617" t="n">
        <v>-6.827626145167754</v>
      </c>
      <c r="N617" t="n">
        <v>-6.085304224640065</v>
      </c>
      <c r="O617" t="n">
        <v>-12.49744854755329</v>
      </c>
      <c r="P617" t="n">
        <v>1.680424429205285</v>
      </c>
      <c r="Q617" t="n">
        <v>-13.94356195535934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OMXS.L</t>
        </is>
      </c>
      <c r="D618" t="n">
        <v>2019</v>
      </c>
      <c r="E618" t="n">
        <v>20.90797579191928</v>
      </c>
      <c r="F618" t="n">
        <v>2.608</v>
      </c>
      <c r="G618" t="n">
        <v>5.09739</v>
      </c>
      <c r="H618" t="n">
        <v>-3.412178</v>
      </c>
      <c r="I618" t="n">
        <v>-27.87952051974252</v>
      </c>
      <c r="J618" t="inlineStr">
        <is>
          <t>Sweden|OMXS.L|2019</t>
        </is>
      </c>
      <c r="K618" t="inlineStr">
        <is>
          <t>Sweden|2019</t>
        </is>
      </c>
      <c r="L618" t="inlineStr">
        <is>
          <t>GBp</t>
        </is>
      </c>
      <c r="M618" t="n">
        <v>20.90797579191928</v>
      </c>
      <c r="N618" t="n">
        <v>2.94386429390634</v>
      </c>
      <c r="O618" t="n">
        <v>24.46734251974252</v>
      </c>
      <c r="P618" t="n">
        <v>8.810187124822955</v>
      </c>
      <c r="Q618" t="n">
        <v>14.38942052085459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OMXS.L</t>
        </is>
      </c>
      <c r="D619" t="n">
        <v>2020</v>
      </c>
      <c r="E619" t="n">
        <v>21.60438743889883</v>
      </c>
      <c r="F619" t="n">
        <v>-1.934</v>
      </c>
      <c r="G619" t="n">
        <v>-0.169814</v>
      </c>
      <c r="H619" t="n">
        <v>2.51877</v>
      </c>
      <c r="I619" t="n">
        <v>-22.46038040760892</v>
      </c>
      <c r="J619" t="inlineStr">
        <is>
          <t>Sweden|OMXS.L|2020</t>
        </is>
      </c>
      <c r="K619" t="inlineStr">
        <is>
          <t>Sweden|2020</t>
        </is>
      </c>
      <c r="L619" t="inlineStr">
        <is>
          <t>GBp</t>
        </is>
      </c>
      <c r="M619" t="n">
        <v>21.60438743889883</v>
      </c>
      <c r="N619" t="n">
        <v>2.775198362317122</v>
      </c>
      <c r="O619" t="n">
        <v>24.97915040760892</v>
      </c>
      <c r="P619" t="n">
        <v>-2.622528564905247</v>
      </c>
      <c r="Q619" t="n">
        <v>28.34503562860695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OMXS.L</t>
        </is>
      </c>
      <c r="D620" t="n">
        <v>2021</v>
      </c>
      <c r="E620" t="n">
        <v>23.31676457297787</v>
      </c>
      <c r="F620" t="n">
        <v>5.226</v>
      </c>
      <c r="G620" t="n">
        <v>8.077332999999999</v>
      </c>
      <c r="H620" t="n">
        <v>16.063285</v>
      </c>
      <c r="I620" t="n">
        <v>-5.678452557624119</v>
      </c>
      <c r="J620" t="inlineStr">
        <is>
          <t>Sweden|OMXS.L|2021</t>
        </is>
      </c>
      <c r="K620" t="inlineStr">
        <is>
          <t>Sweden|2021</t>
        </is>
      </c>
      <c r="L620" t="inlineStr">
        <is>
          <t>GBp</t>
        </is>
      </c>
      <c r="M620" t="n">
        <v>23.31676457297787</v>
      </c>
      <c r="N620" t="n">
        <v>-1.277220514832489</v>
      </c>
      <c r="O620" t="n">
        <v>21.74173755762412</v>
      </c>
      <c r="P620" t="n">
        <v>-6.88068758306899</v>
      </c>
      <c r="Q620" t="n">
        <v>30.73736735999455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OMXS.L</t>
        </is>
      </c>
      <c r="D621" t="n">
        <v>2022</v>
      </c>
      <c r="E621" t="n">
        <v>-21.32016822088133</v>
      </c>
      <c r="F621" t="n">
        <v>1.255</v>
      </c>
      <c r="G621" t="n">
        <v>7.358299</v>
      </c>
      <c r="H621" t="n">
        <v>-8.963531</v>
      </c>
      <c r="I621" t="n">
        <v>20.88635474902723</v>
      </c>
      <c r="J621" t="inlineStr">
        <is>
          <t>Sweden|OMXS.L|2022</t>
        </is>
      </c>
      <c r="K621" t="inlineStr">
        <is>
          <t>Sweden|2022</t>
        </is>
      </c>
      <c r="L621" t="inlineStr">
        <is>
          <t>GBp</t>
        </is>
      </c>
      <c r="M621" t="n">
        <v>-21.32016822088133</v>
      </c>
      <c r="N621" t="n">
        <v>-10.84104698150823</v>
      </c>
      <c r="O621" t="n">
        <v>-29.84988574902723</v>
      </c>
      <c r="P621" t="n">
        <v>17.92889261419617</v>
      </c>
      <c r="Q621" t="n">
        <v>-40.51490462098329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OMXS.L</t>
        </is>
      </c>
      <c r="D622" t="n">
        <v>2023</v>
      </c>
      <c r="E622" t="n">
        <v>14.62001853568118</v>
      </c>
      <c r="F622" t="n">
        <v>-0.204</v>
      </c>
      <c r="G622" t="n">
        <v>5.6181</v>
      </c>
      <c r="H622" t="n">
        <v>0.681655</v>
      </c>
      <c r="I622" t="n">
        <v>-19.74161024612062</v>
      </c>
      <c r="J622" t="inlineStr">
        <is>
          <t>Sweden|OMXS.L|2023</t>
        </is>
      </c>
      <c r="K622" t="inlineStr">
        <is>
          <t>Sweden|2023</t>
        </is>
      </c>
      <c r="L622" t="inlineStr">
        <is>
          <t>GBp</t>
        </is>
      </c>
      <c r="M622" t="n">
        <v>14.62001853568118</v>
      </c>
      <c r="N622" t="n">
        <v>5.06303068571996</v>
      </c>
      <c r="O622" t="n">
        <v>20.42326524612061</v>
      </c>
      <c r="P622" t="n">
        <v>4.903023147519736</v>
      </c>
      <c r="Q622" t="n">
        <v>14.79484731033496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OMXS.L</t>
        </is>
      </c>
      <c r="D623" t="n">
        <v>2024</v>
      </c>
      <c r="E623" t="n">
        <v>0.9211873080859911</v>
      </c>
      <c r="F623" t="n">
        <v>0.82</v>
      </c>
      <c r="G623" t="n">
        <v>3.852333</v>
      </c>
      <c r="H623" t="n">
        <v>4.270187</v>
      </c>
      <c r="I623" t="n">
        <v>4.783143780280039</v>
      </c>
      <c r="J623" t="inlineStr">
        <is>
          <t>Sweden|OMXS.L|2024</t>
        </is>
      </c>
      <c r="K623" t="inlineStr">
        <is>
          <t>Sweden|2024</t>
        </is>
      </c>
      <c r="L623" t="inlineStr">
        <is>
          <t>GBp</t>
        </is>
      </c>
      <c r="M623" t="n">
        <v>0.9211873080859911</v>
      </c>
      <c r="N623" t="n">
        <v>-1.421053523664917</v>
      </c>
      <c r="O623" t="n">
        <v>-0.5129567802800383</v>
      </c>
      <c r="P623" t="n">
        <v>-0.4007421597812866</v>
      </c>
      <c r="Q623" t="n">
        <v>-0.1126661211459767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OMXS.L</t>
        </is>
      </c>
      <c r="D624" t="n">
        <v>2025</v>
      </c>
      <c r="E624" t="n">
        <v>24.91961414790998</v>
      </c>
      <c r="F624" t="n">
        <v>0.75</v>
      </c>
      <c r="G624" t="n">
        <v>2.432129</v>
      </c>
      <c r="H624" t="n">
        <v>9.707064000000001</v>
      </c>
      <c r="I624" t="n">
        <v>-24.67137533190516</v>
      </c>
      <c r="J624" t="inlineStr">
        <is>
          <t>Sweden|OMXS.L|2025</t>
        </is>
      </c>
      <c r="K624" t="inlineStr">
        <is>
          <t>Sweden|2025</t>
        </is>
      </c>
      <c r="L624" t="inlineStr">
        <is>
          <t>GBp</t>
        </is>
      </c>
      <c r="M624" t="n">
        <v>24.91961414790998</v>
      </c>
      <c r="N624" t="n">
        <v>7.571929555270285</v>
      </c>
      <c r="O624" t="n">
        <v>34.37843933190516</v>
      </c>
      <c r="P624" t="n">
        <v>-6.631236584275502</v>
      </c>
      <c r="Q624" t="n">
        <v>43.9222652372347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OMXS.L</t>
        </is>
      </c>
      <c r="D625" t="n">
        <v>2026</v>
      </c>
      <c r="E625" t="n">
        <v>5.141388174807182</v>
      </c>
      <c r="F625" t="n">
        <v>1.932</v>
      </c>
      <c r="G625" t="n">
        <v>3.563101</v>
      </c>
      <c r="H625" t="n">
        <v>7.426191</v>
      </c>
      <c r="I625" t="n">
        <v>3.125179908465044</v>
      </c>
      <c r="J625" t="inlineStr">
        <is>
          <t>Sweden|OMXS.L|2026</t>
        </is>
      </c>
      <c r="K625" t="inlineStr">
        <is>
          <t>Sweden|2026</t>
        </is>
      </c>
      <c r="L625" t="inlineStr">
        <is>
          <t>GBp</t>
        </is>
      </c>
      <c r="M625" t="n">
        <v>5.141388174807182</v>
      </c>
      <c r="N625" t="n">
        <v>-0.7992828493713855</v>
      </c>
      <c r="O625" t="n">
        <v>4.301011091534956</v>
      </c>
      <c r="P625" t="n">
        <v>-3.596040745104545</v>
      </c>
      <c r="Q625" t="n">
        <v>8.191626046975342</v>
      </c>
    </row>
    <row r="626">
      <c r="A626" t="inlineStr">
        <is>
          <t>Switzerland</t>
        </is>
      </c>
      <c r="B626" t="inlineStr">
        <is>
          <t>CHE</t>
        </is>
      </c>
      <c r="C626" t="inlineStr">
        <is>
          <t>CSWG.L</t>
        </is>
      </c>
      <c r="D626" t="n">
        <v>2015</v>
      </c>
      <c r="E626" t="n">
        <v>0.9078539495379845</v>
      </c>
      <c r="F626" t="n">
        <v>1.571</v>
      </c>
      <c r="G626" t="inlineStr"/>
      <c r="H626" t="inlineStr"/>
      <c r="I626" t="inlineStr"/>
      <c r="J626" t="inlineStr">
        <is>
          <t>Switzerland|CSWG.L|2015</t>
        </is>
      </c>
      <c r="K626" t="inlineStr">
        <is>
          <t>Switzerland|2015</t>
        </is>
      </c>
      <c r="L626" t="inlineStr">
        <is>
          <t>GBp</t>
        </is>
      </c>
      <c r="M626" t="n">
        <v>0.9078539495379845</v>
      </c>
      <c r="N626" t="n">
        <v>-4.888855870697362</v>
      </c>
      <c r="O626" t="n">
        <v>-4.025385592268726</v>
      </c>
      <c r="P626" t="inlineStr"/>
      <c r="Q626" t="inlineStr"/>
    </row>
    <row r="627">
      <c r="A627" t="inlineStr">
        <is>
          <t>Switzerland</t>
        </is>
      </c>
      <c r="B627" t="inlineStr">
        <is>
          <t>CHE</t>
        </is>
      </c>
      <c r="C627" t="inlineStr">
        <is>
          <t>CSWG.L</t>
        </is>
      </c>
      <c r="D627" t="n">
        <v>2016</v>
      </c>
      <c r="E627" t="n">
        <v>-1.837844670956446</v>
      </c>
      <c r="F627" t="n">
        <v>2.098</v>
      </c>
      <c r="G627" t="n">
        <v>1.498696</v>
      </c>
      <c r="H627" t="n">
        <v>-0.871703</v>
      </c>
      <c r="I627" t="n">
        <v>17.28629558148912</v>
      </c>
      <c r="J627" t="inlineStr">
        <is>
          <t>Switzerland|CSWG.L|2016</t>
        </is>
      </c>
      <c r="K627" t="inlineStr">
        <is>
          <t>Switzerland|2016</t>
        </is>
      </c>
      <c r="L627" t="inlineStr">
        <is>
          <t>GBp</t>
        </is>
      </c>
      <c r="M627" t="n">
        <v>-1.837844670956446</v>
      </c>
      <c r="N627" t="n">
        <v>-16.62570861023462</v>
      </c>
      <c r="O627" t="n">
        <v>-18.15799858148912</v>
      </c>
      <c r="P627" t="n">
        <v>2.39124346629016</v>
      </c>
      <c r="Q627" t="n">
        <v>-20.06933537685244</v>
      </c>
    </row>
    <row r="628">
      <c r="A628" t="inlineStr">
        <is>
          <t>Switzerland</t>
        </is>
      </c>
      <c r="B628" t="inlineStr">
        <is>
          <t>CHE</t>
        </is>
      </c>
      <c r="C628" t="inlineStr">
        <is>
          <t>CSWG.L</t>
        </is>
      </c>
      <c r="D628" t="n">
        <v>2017</v>
      </c>
      <c r="E628" t="n">
        <v>15.85573149956643</v>
      </c>
      <c r="F628" t="n">
        <v>1.428</v>
      </c>
      <c r="G628" t="n">
        <v>1.053383</v>
      </c>
      <c r="H628" t="n">
        <v>1.125528</v>
      </c>
      <c r="I628" t="n">
        <v>-24.97345832460348</v>
      </c>
      <c r="J628" t="inlineStr">
        <is>
          <t>Switzerland|CSWG.L|2017</t>
        </is>
      </c>
      <c r="K628" t="inlineStr">
        <is>
          <t>Switzerland|2017</t>
        </is>
      </c>
      <c r="L628" t="inlineStr">
        <is>
          <t>GBp</t>
        </is>
      </c>
      <c r="M628" t="n">
        <v>15.85573149956643</v>
      </c>
      <c r="N628" t="n">
        <v>8.841388071573641</v>
      </c>
      <c r="O628" t="n">
        <v>26.09898632460348</v>
      </c>
      <c r="P628" t="n">
        <v>-0.07134186213272331</v>
      </c>
      <c r="Q628" t="n">
        <v>26.18901191551089</v>
      </c>
    </row>
    <row r="629">
      <c r="A629" t="inlineStr">
        <is>
          <t>Switzerland</t>
        </is>
      </c>
      <c r="B629" t="inlineStr">
        <is>
          <t>CHE</t>
        </is>
      </c>
      <c r="C629" t="inlineStr">
        <is>
          <t>CSWG.L</t>
        </is>
      </c>
      <c r="D629" t="n">
        <v>2018</v>
      </c>
      <c r="E629" t="n">
        <v>2835.268561832928</v>
      </c>
      <c r="F629" t="n">
        <v>2.862</v>
      </c>
      <c r="G629" t="n">
        <v>3.647461</v>
      </c>
      <c r="H629" t="n">
        <v>4.368324</v>
      </c>
      <c r="I629" t="n">
        <v>-2652.280216035177</v>
      </c>
      <c r="J629" t="inlineStr">
        <is>
          <t>Switzerland|CSWG.L|2018</t>
        </is>
      </c>
      <c r="K629" t="inlineStr">
        <is>
          <t>Switzerland|2018</t>
        </is>
      </c>
      <c r="L629" t="inlineStr">
        <is>
          <t>GBp</t>
        </is>
      </c>
      <c r="M629" t="n">
        <v>2835.268561832928</v>
      </c>
      <c r="N629" t="n">
        <v>-6.085304224640065</v>
      </c>
      <c r="O629" t="n">
        <v>2656.648540035177</v>
      </c>
      <c r="P629" t="n">
        <v>-0.6906916689970899</v>
      </c>
      <c r="Q629" t="n">
        <v>2675.820903763753</v>
      </c>
    </row>
    <row r="630">
      <c r="A630" t="inlineStr">
        <is>
          <t>Switzerland</t>
        </is>
      </c>
      <c r="B630" t="inlineStr">
        <is>
          <t>CHE</t>
        </is>
      </c>
      <c r="C630" t="inlineStr">
        <is>
          <t>CSWG.L</t>
        </is>
      </c>
      <c r="D630" t="n">
        <v>2019</v>
      </c>
      <c r="E630" t="n">
        <v>26.43935159306876</v>
      </c>
      <c r="F630" t="n">
        <v>1.163</v>
      </c>
      <c r="G630" t="n">
        <v>1.058548</v>
      </c>
      <c r="H630" t="n">
        <v>-0.550084</v>
      </c>
      <c r="I630" t="n">
        <v>-30.71163851806381</v>
      </c>
      <c r="J630" t="inlineStr">
        <is>
          <t>Switzerland|CSWG.L|2019</t>
        </is>
      </c>
      <c r="K630" t="inlineStr">
        <is>
          <t>Switzerland|2019</t>
        </is>
      </c>
      <c r="L630" t="inlineStr">
        <is>
          <t>GBp</t>
        </is>
      </c>
      <c r="M630" t="n">
        <v>26.43935159306876</v>
      </c>
      <c r="N630" t="n">
        <v>2.94386429390634</v>
      </c>
      <c r="O630" t="n">
        <v>30.16155451806382</v>
      </c>
      <c r="P630" t="n">
        <v>1.617530286019386</v>
      </c>
      <c r="Q630" t="n">
        <v>28.08966538716553</v>
      </c>
    </row>
    <row r="631">
      <c r="A631" t="inlineStr">
        <is>
          <t>Switzerland</t>
        </is>
      </c>
      <c r="B631" t="inlineStr">
        <is>
          <t>CHE</t>
        </is>
      </c>
      <c r="C631" t="inlineStr">
        <is>
          <t>CSWG.L</t>
        </is>
      </c>
      <c r="D631" t="n">
        <v>2020</v>
      </c>
      <c r="E631" t="n">
        <v>6.910462159080955</v>
      </c>
      <c r="F631" t="n">
        <v>-2.293</v>
      </c>
      <c r="G631" t="n">
        <v>-2.970639</v>
      </c>
      <c r="H631" t="n">
        <v>2.68626</v>
      </c>
      <c r="I631" t="n">
        <v>-7.191179554065436</v>
      </c>
      <c r="J631" t="inlineStr">
        <is>
          <t>Switzerland|CSWG.L|2020</t>
        </is>
      </c>
      <c r="K631" t="inlineStr">
        <is>
          <t>Switzerland|2020</t>
        </is>
      </c>
      <c r="L631" t="inlineStr">
        <is>
          <t>GBp</t>
        </is>
      </c>
      <c r="M631" t="n">
        <v>6.910462159080955</v>
      </c>
      <c r="N631" t="n">
        <v>2.775198362317122</v>
      </c>
      <c r="O631" t="n">
        <v>9.877439554065436</v>
      </c>
      <c r="P631" t="n">
        <v>-5.508915082665967</v>
      </c>
      <c r="Q631" t="n">
        <v>16.28339292557834</v>
      </c>
    </row>
    <row r="632">
      <c r="A632" t="inlineStr">
        <is>
          <t>Switzerland</t>
        </is>
      </c>
      <c r="B632" t="inlineStr">
        <is>
          <t>CHE</t>
        </is>
      </c>
      <c r="C632" t="inlineStr">
        <is>
          <t>CSWG.L</t>
        </is>
      </c>
      <c r="D632" t="n">
        <v>2021</v>
      </c>
      <c r="E632" t="n">
        <v>18.55310165638193</v>
      </c>
      <c r="F632" t="n">
        <v>5.573</v>
      </c>
      <c r="G632" t="n">
        <v>6.962635</v>
      </c>
      <c r="H632" t="n">
        <v>9.902763999999999</v>
      </c>
      <c r="I632" t="n">
        <v>-7.136153121056408</v>
      </c>
      <c r="J632" t="inlineStr">
        <is>
          <t>Switzerland|CSWG.L|2021</t>
        </is>
      </c>
      <c r="K632" t="inlineStr">
        <is>
          <t>Switzerland|2021</t>
        </is>
      </c>
      <c r="L632" t="inlineStr">
        <is>
          <t>GBp</t>
        </is>
      </c>
      <c r="M632" t="n">
        <v>18.55310165638193</v>
      </c>
      <c r="N632" t="n">
        <v>-1.277220514832489</v>
      </c>
      <c r="O632" t="n">
        <v>17.03891712105641</v>
      </c>
      <c r="P632" t="n">
        <v>-2.675209602841577</v>
      </c>
      <c r="Q632" t="n">
        <v>20.25601765331269</v>
      </c>
    </row>
    <row r="633">
      <c r="A633" t="inlineStr">
        <is>
          <t>Switzerland</t>
        </is>
      </c>
      <c r="B633" t="inlineStr">
        <is>
          <t>CHE</t>
        </is>
      </c>
      <c r="C633" t="inlineStr">
        <is>
          <t>CSWG.L</t>
        </is>
      </c>
      <c r="D633" t="n">
        <v>2022</v>
      </c>
      <c r="E633" t="n">
        <v>-97.68327164653236</v>
      </c>
      <c r="F633" t="n">
        <v>3.124</v>
      </c>
      <c r="G633" t="n">
        <v>6.257026</v>
      </c>
      <c r="H633" t="n">
        <v>1.69597</v>
      </c>
      <c r="I633" t="n">
        <v>99.63039925576571</v>
      </c>
      <c r="J633" t="inlineStr">
        <is>
          <t>Switzerland|CSWG.L|2022</t>
        </is>
      </c>
      <c r="K633" t="inlineStr">
        <is>
          <t>Switzerland|2022</t>
        </is>
      </c>
      <c r="L633" t="inlineStr">
        <is>
          <t>GBp</t>
        </is>
      </c>
      <c r="M633" t="n">
        <v>-97.68327164653236</v>
      </c>
      <c r="N633" t="n">
        <v>-10.84104698150823</v>
      </c>
      <c r="O633" t="n">
        <v>-97.93442925576571</v>
      </c>
      <c r="P633" t="n">
        <v>4.484992305887436</v>
      </c>
      <c r="Q633" t="n">
        <v>-98.02309336618681</v>
      </c>
    </row>
    <row r="634">
      <c r="A634" t="inlineStr">
        <is>
          <t>Switzerland</t>
        </is>
      </c>
      <c r="B634" t="inlineStr">
        <is>
          <t>CHE</t>
        </is>
      </c>
      <c r="C634" t="inlineStr">
        <is>
          <t>CSWG.L</t>
        </is>
      </c>
      <c r="D634" t="n">
        <v>2023</v>
      </c>
      <c r="E634" t="n">
        <v>8.021459396061669</v>
      </c>
      <c r="F634" t="n">
        <v>0.737</v>
      </c>
      <c r="G634" t="n">
        <v>1.629522</v>
      </c>
      <c r="H634" t="n">
        <v>8.00253</v>
      </c>
      <c r="I634" t="n">
        <v>-5.488089032446794</v>
      </c>
      <c r="J634" t="inlineStr">
        <is>
          <t>Switzerland|CSWG.L|2023</t>
        </is>
      </c>
      <c r="K634" t="inlineStr">
        <is>
          <t>Switzerland|2023</t>
        </is>
      </c>
      <c r="L634" t="inlineStr">
        <is>
          <t>GBp</t>
        </is>
      </c>
      <c r="M634" t="n">
        <v>8.021459396061669</v>
      </c>
      <c r="N634" t="n">
        <v>5.06303068571996</v>
      </c>
      <c r="O634" t="n">
        <v>13.49061903244679</v>
      </c>
      <c r="P634" t="n">
        <v>-5.900795177363993</v>
      </c>
      <c r="Q634" t="n">
        <v>20.60741559544623</v>
      </c>
    </row>
    <row r="635">
      <c r="A635" t="inlineStr">
        <is>
          <t>Switzerland</t>
        </is>
      </c>
      <c r="B635" t="inlineStr">
        <is>
          <t>CHE</t>
        </is>
      </c>
      <c r="C635" t="inlineStr">
        <is>
          <t>CSWG.L</t>
        </is>
      </c>
      <c r="D635" t="n">
        <v>2024</v>
      </c>
      <c r="E635" t="n">
        <v>-0.7733335992527901</v>
      </c>
      <c r="F635" t="n">
        <v>1.363</v>
      </c>
      <c r="G635" t="n">
        <v>2.737126</v>
      </c>
      <c r="H635" t="n">
        <v>4.843236</v>
      </c>
      <c r="I635" t="n">
        <v>7.02663363855584</v>
      </c>
      <c r="J635" t="inlineStr">
        <is>
          <t>Switzerland|CSWG.L|2024</t>
        </is>
      </c>
      <c r="K635" t="inlineStr">
        <is>
          <t>Switzerland|2024</t>
        </is>
      </c>
      <c r="L635" t="inlineStr">
        <is>
          <t>GBp</t>
        </is>
      </c>
      <c r="M635" t="n">
        <v>-0.7733335992527901</v>
      </c>
      <c r="N635" t="n">
        <v>-1.421053523664917</v>
      </c>
      <c r="O635" t="n">
        <v>-2.18339763855584</v>
      </c>
      <c r="P635" t="n">
        <v>-2.008818005249624</v>
      </c>
      <c r="Q635" t="n">
        <v>-0.1781585136054087</v>
      </c>
    </row>
    <row r="636">
      <c r="A636" t="inlineStr">
        <is>
          <t>Switzerland</t>
        </is>
      </c>
      <c r="B636" t="inlineStr">
        <is>
          <t>CHE</t>
        </is>
      </c>
      <c r="C636" t="inlineStr">
        <is>
          <t>CSWG.L</t>
        </is>
      </c>
      <c r="D636" t="n">
        <v>2025</v>
      </c>
      <c r="E636" t="n">
        <v>22.14977222429994</v>
      </c>
      <c r="F636" t="n">
        <v>0.946</v>
      </c>
      <c r="G636" t="n">
        <v>1.031492</v>
      </c>
      <c r="H636" t="n">
        <v>6.876597</v>
      </c>
      <c r="I636" t="n">
        <v>-24.52226992904705</v>
      </c>
      <c r="J636" t="inlineStr">
        <is>
          <t>Switzerland|CSWG.L|2025</t>
        </is>
      </c>
      <c r="K636" t="inlineStr">
        <is>
          <t>Switzerland|2025</t>
        </is>
      </c>
      <c r="L636" t="inlineStr">
        <is>
          <t>GBp</t>
        </is>
      </c>
      <c r="M636" t="n">
        <v>22.14977222429994</v>
      </c>
      <c r="N636" t="n">
        <v>7.571929555270285</v>
      </c>
      <c r="O636" t="n">
        <v>31.39886692904705</v>
      </c>
      <c r="P636" t="n">
        <v>-5.46902228831353</v>
      </c>
      <c r="Q636" t="n">
        <v>39.00085465084824</v>
      </c>
    </row>
    <row r="637">
      <c r="A637" t="inlineStr">
        <is>
          <t>Switzerland</t>
        </is>
      </c>
      <c r="B637" t="inlineStr">
        <is>
          <t>CHE</t>
        </is>
      </c>
      <c r="C637" t="inlineStr">
        <is>
          <t>CSWG.L</t>
        </is>
      </c>
      <c r="D637" t="n">
        <v>2026</v>
      </c>
      <c r="E637" t="n">
        <v>2.489366971157514</v>
      </c>
      <c r="F637" t="n">
        <v>1.275</v>
      </c>
      <c r="G637" t="n">
        <v>1.903517</v>
      </c>
      <c r="H637" t="n">
        <v>7.173077</v>
      </c>
      <c r="I637" t="n">
        <v>5.502889961472252</v>
      </c>
      <c r="J637" t="inlineStr">
        <is>
          <t>Switzerland|CSWG.L|2026</t>
        </is>
      </c>
      <c r="K637" t="inlineStr">
        <is>
          <t>Switzerland|2026</t>
        </is>
      </c>
      <c r="L637" t="inlineStr">
        <is>
          <t>GBp</t>
        </is>
      </c>
      <c r="M637" t="n">
        <v>2.489366971157514</v>
      </c>
      <c r="N637" t="n">
        <v>-0.7992828493713855</v>
      </c>
      <c r="O637" t="n">
        <v>1.670187038527748</v>
      </c>
      <c r="P637" t="n">
        <v>-4.916868996758805</v>
      </c>
      <c r="Q637" t="n">
        <v>6.927681036357547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EWL</t>
        </is>
      </c>
      <c r="D638" t="n">
        <v>2015</v>
      </c>
      <c r="E638" t="n">
        <v>-1.554074723904786</v>
      </c>
      <c r="F638" t="n">
        <v>1.571</v>
      </c>
      <c r="G638" t="inlineStr"/>
      <c r="H638" t="inlineStr"/>
      <c r="I638" t="inlineStr"/>
      <c r="J638" t="inlineStr">
        <is>
          <t>Switzerland|EWL|2015</t>
        </is>
      </c>
      <c r="K638" t="inlineStr">
        <is>
          <t>Switzerland|2015</t>
        </is>
      </c>
      <c r="L638" t="inlineStr">
        <is>
          <t>USD</t>
        </is>
      </c>
      <c r="M638" t="n">
        <v>-1.554074723904786</v>
      </c>
      <c r="N638" t="n">
        <v>0</v>
      </c>
      <c r="O638" t="n">
        <v>-1.554074723904786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EWL</t>
        </is>
      </c>
      <c r="D639" t="n">
        <v>2016</v>
      </c>
      <c r="E639" t="n">
        <v>-4.007824790423154</v>
      </c>
      <c r="F639" t="n">
        <v>2.098</v>
      </c>
      <c r="G639" t="n">
        <v>1.498696</v>
      </c>
      <c r="H639" t="n">
        <v>-0.871703</v>
      </c>
      <c r="I639" t="n">
        <v>3.136121790423154</v>
      </c>
      <c r="J639" t="inlineStr">
        <is>
          <t>Switzerland|EWL|2016</t>
        </is>
      </c>
      <c r="K639" t="inlineStr">
        <is>
          <t>Switzerland|2016</t>
        </is>
      </c>
      <c r="L639" t="inlineStr">
        <is>
          <t>USD</t>
        </is>
      </c>
      <c r="M639" t="n">
        <v>-4.007824790423154</v>
      </c>
      <c r="N639" t="n">
        <v>0</v>
      </c>
      <c r="O639" t="n">
        <v>-4.007824790423154</v>
      </c>
      <c r="P639" t="n">
        <v>2.39124346629016</v>
      </c>
      <c r="Q639" t="n">
        <v>-6.249624518741248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EWL</t>
        </is>
      </c>
      <c r="D640" t="n">
        <v>2017</v>
      </c>
      <c r="E640" t="n">
        <v>20.32466079897333</v>
      </c>
      <c r="F640" t="n">
        <v>1.428</v>
      </c>
      <c r="G640" t="n">
        <v>1.053383</v>
      </c>
      <c r="H640" t="n">
        <v>1.125528</v>
      </c>
      <c r="I640" t="n">
        <v>-19.19913279897333</v>
      </c>
      <c r="J640" t="inlineStr">
        <is>
          <t>Switzerland|EWL|2017</t>
        </is>
      </c>
      <c r="K640" t="inlineStr">
        <is>
          <t>Switzerland|2017</t>
        </is>
      </c>
      <c r="L640" t="inlineStr">
        <is>
          <t>USD</t>
        </is>
      </c>
      <c r="M640" t="n">
        <v>20.32466079897333</v>
      </c>
      <c r="N640" t="n">
        <v>0</v>
      </c>
      <c r="O640" t="n">
        <v>20.32466079897333</v>
      </c>
      <c r="P640" t="n">
        <v>-0.07134186213272331</v>
      </c>
      <c r="Q640" t="n">
        <v>20.41056393749086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EWL</t>
        </is>
      </c>
      <c r="D641" t="n">
        <v>2018</v>
      </c>
      <c r="E641" t="n">
        <v>-11.75812043507197</v>
      </c>
      <c r="F641" t="n">
        <v>2.862</v>
      </c>
      <c r="G641" t="n">
        <v>3.647461</v>
      </c>
      <c r="H641" t="n">
        <v>4.368324</v>
      </c>
      <c r="I641" t="n">
        <v>16.12644443507197</v>
      </c>
      <c r="J641" t="inlineStr">
        <is>
          <t>Switzerland|EWL|2018</t>
        </is>
      </c>
      <c r="K641" t="inlineStr">
        <is>
          <t>Switzerland|2018</t>
        </is>
      </c>
      <c r="L641" t="inlineStr">
        <is>
          <t>USD</t>
        </is>
      </c>
      <c r="M641" t="n">
        <v>-11.75812043507197</v>
      </c>
      <c r="N641" t="n">
        <v>0</v>
      </c>
      <c r="O641" t="n">
        <v>-11.75812043507197</v>
      </c>
      <c r="P641" t="n">
        <v>-0.6906916689970899</v>
      </c>
      <c r="Q641" t="n">
        <v>-11.14440222379416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EWL</t>
        </is>
      </c>
      <c r="D642" t="n">
        <v>2019</v>
      </c>
      <c r="E642" t="n">
        <v>29.92326885401582</v>
      </c>
      <c r="F642" t="n">
        <v>1.163</v>
      </c>
      <c r="G642" t="n">
        <v>1.058548</v>
      </c>
      <c r="H642" t="n">
        <v>-0.550084</v>
      </c>
      <c r="I642" t="n">
        <v>-30.47335285401581</v>
      </c>
      <c r="J642" t="inlineStr">
        <is>
          <t>Switzerland|EWL|2019</t>
        </is>
      </c>
      <c r="K642" t="inlineStr">
        <is>
          <t>Switzerland|2019</t>
        </is>
      </c>
      <c r="L642" t="inlineStr">
        <is>
          <t>USD</t>
        </is>
      </c>
      <c r="M642" t="n">
        <v>29.92326885401582</v>
      </c>
      <c r="N642" t="n">
        <v>0</v>
      </c>
      <c r="O642" t="n">
        <v>29.92326885401582</v>
      </c>
      <c r="P642" t="n">
        <v>1.617530286019386</v>
      </c>
      <c r="Q642" t="n">
        <v>27.8551727131384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EWL</t>
        </is>
      </c>
      <c r="D643" t="n">
        <v>2020</v>
      </c>
      <c r="E643" t="n">
        <v>9.082034433231524</v>
      </c>
      <c r="F643" t="n">
        <v>-2.293</v>
      </c>
      <c r="G643" t="n">
        <v>-2.970639</v>
      </c>
      <c r="H643" t="n">
        <v>2.68626</v>
      </c>
      <c r="I643" t="n">
        <v>-6.395774433231524</v>
      </c>
      <c r="J643" t="inlineStr">
        <is>
          <t>Switzerland|EWL|2020</t>
        </is>
      </c>
      <c r="K643" t="inlineStr">
        <is>
          <t>Switzerland|2020</t>
        </is>
      </c>
      <c r="L643" t="inlineStr">
        <is>
          <t>USD</t>
        </is>
      </c>
      <c r="M643" t="n">
        <v>9.082034433231524</v>
      </c>
      <c r="N643" t="n">
        <v>0</v>
      </c>
      <c r="O643" t="n">
        <v>9.082034433231524</v>
      </c>
      <c r="P643" t="n">
        <v>-5.508915082665967</v>
      </c>
      <c r="Q643" t="n">
        <v>15.44161497210288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EWL</t>
        </is>
      </c>
      <c r="D644" t="n">
        <v>2021</v>
      </c>
      <c r="E644" t="n">
        <v>16.73677591266445</v>
      </c>
      <c r="F644" t="n">
        <v>5.573</v>
      </c>
      <c r="G644" t="n">
        <v>6.962635</v>
      </c>
      <c r="H644" t="n">
        <v>9.902763999999999</v>
      </c>
      <c r="I644" t="n">
        <v>-6.834011912664449</v>
      </c>
      <c r="J644" t="inlineStr">
        <is>
          <t>Switzerland|EWL|2021</t>
        </is>
      </c>
      <c r="K644" t="inlineStr">
        <is>
          <t>Switzerland|2021</t>
        </is>
      </c>
      <c r="L644" t="inlineStr">
        <is>
          <t>USD</t>
        </is>
      </c>
      <c r="M644" t="n">
        <v>16.73677591266445</v>
      </c>
      <c r="N644" t="n">
        <v>0</v>
      </c>
      <c r="O644" t="n">
        <v>16.73677591266445</v>
      </c>
      <c r="P644" t="n">
        <v>-2.675209602841577</v>
      </c>
      <c r="Q644" t="n">
        <v>19.94557135575685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EWL</t>
        </is>
      </c>
      <c r="D645" t="n">
        <v>2022</v>
      </c>
      <c r="E645" t="n">
        <v>-20.73724178502444</v>
      </c>
      <c r="F645" t="n">
        <v>3.124</v>
      </c>
      <c r="G645" t="n">
        <v>6.257026</v>
      </c>
      <c r="H645" t="n">
        <v>1.69597</v>
      </c>
      <c r="I645" t="n">
        <v>22.43321178502444</v>
      </c>
      <c r="J645" t="inlineStr">
        <is>
          <t>Switzerland|EWL|2022</t>
        </is>
      </c>
      <c r="K645" t="inlineStr">
        <is>
          <t>Switzerland|2022</t>
        </is>
      </c>
      <c r="L645" t="inlineStr">
        <is>
          <t>USD</t>
        </is>
      </c>
      <c r="M645" t="n">
        <v>-20.73724178502444</v>
      </c>
      <c r="N645" t="n">
        <v>0</v>
      </c>
      <c r="O645" t="n">
        <v>-20.73724178502444</v>
      </c>
      <c r="P645" t="n">
        <v>4.484992305887436</v>
      </c>
      <c r="Q645" t="n">
        <v>-24.13957596615593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EWL</t>
        </is>
      </c>
      <c r="D646" t="n">
        <v>2023</v>
      </c>
      <c r="E646" t="n">
        <v>13.36307745895662</v>
      </c>
      <c r="F646" t="n">
        <v>0.737</v>
      </c>
      <c r="G646" t="n">
        <v>1.629522</v>
      </c>
      <c r="H646" t="n">
        <v>8.00253</v>
      </c>
      <c r="I646" t="n">
        <v>-5.360547458956617</v>
      </c>
      <c r="J646" t="inlineStr">
        <is>
          <t>Switzerland|EWL|2023</t>
        </is>
      </c>
      <c r="K646" t="inlineStr">
        <is>
          <t>Switzerland|2023</t>
        </is>
      </c>
      <c r="L646" t="inlineStr">
        <is>
          <t>USD</t>
        </is>
      </c>
      <c r="M646" t="n">
        <v>13.36307745895662</v>
      </c>
      <c r="N646" t="n">
        <v>0</v>
      </c>
      <c r="O646" t="n">
        <v>13.36307745895662</v>
      </c>
      <c r="P646" t="n">
        <v>-5.900795177363993</v>
      </c>
      <c r="Q646" t="n">
        <v>20.47187611481982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EWL</t>
        </is>
      </c>
      <c r="D647" t="n">
        <v>2024</v>
      </c>
      <c r="E647" t="n">
        <v>-4.150159847348467</v>
      </c>
      <c r="F647" t="n">
        <v>1.363</v>
      </c>
      <c r="G647" t="n">
        <v>2.737126</v>
      </c>
      <c r="H647" t="n">
        <v>4.843236</v>
      </c>
      <c r="I647" t="n">
        <v>8.993395847348467</v>
      </c>
      <c r="J647" t="inlineStr">
        <is>
          <t>Switzerland|EWL|2024</t>
        </is>
      </c>
      <c r="K647" t="inlineStr">
        <is>
          <t>Switzerland|2024</t>
        </is>
      </c>
      <c r="L647" t="inlineStr">
        <is>
          <t>USD</t>
        </is>
      </c>
      <c r="M647" t="n">
        <v>-4.150159847348467</v>
      </c>
      <c r="N647" t="n">
        <v>0</v>
      </c>
      <c r="O647" t="n">
        <v>-4.150159847348467</v>
      </c>
      <c r="P647" t="n">
        <v>-2.008818005249624</v>
      </c>
      <c r="Q647" t="n">
        <v>-2.185239323078647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EWL</t>
        </is>
      </c>
      <c r="D648" t="n">
        <v>2025</v>
      </c>
      <c r="E648" t="n">
        <v>30.77426625938846</v>
      </c>
      <c r="F648" t="n">
        <v>0.946</v>
      </c>
      <c r="G648" t="n">
        <v>1.031492</v>
      </c>
      <c r="H648" t="n">
        <v>6.876597</v>
      </c>
      <c r="I648" t="n">
        <v>-23.89766925938846</v>
      </c>
      <c r="J648" t="inlineStr">
        <is>
          <t>Switzerland|EWL|2025</t>
        </is>
      </c>
      <c r="K648" t="inlineStr">
        <is>
          <t>Switzerland|2025</t>
        </is>
      </c>
      <c r="L648" t="inlineStr">
        <is>
          <t>USD</t>
        </is>
      </c>
      <c r="M648" t="n">
        <v>30.77426625938846</v>
      </c>
      <c r="N648" t="n">
        <v>0</v>
      </c>
      <c r="O648" t="n">
        <v>30.77426625938846</v>
      </c>
      <c r="P648" t="n">
        <v>-5.46902228831353</v>
      </c>
      <c r="Q648" t="n">
        <v>38.34011815496263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EWL</t>
        </is>
      </c>
      <c r="D649" t="n">
        <v>2026</v>
      </c>
      <c r="E649" t="n">
        <v>1.176664041559849</v>
      </c>
      <c r="F649" t="n">
        <v>1.275</v>
      </c>
      <c r="G649" t="n">
        <v>1.903517</v>
      </c>
      <c r="H649" t="n">
        <v>7.173077</v>
      </c>
      <c r="I649" t="n">
        <v>5.996412958440151</v>
      </c>
      <c r="J649" t="inlineStr">
        <is>
          <t>Switzerland|EWL|2026</t>
        </is>
      </c>
      <c r="K649" t="inlineStr">
        <is>
          <t>Switzerland|2026</t>
        </is>
      </c>
      <c r="L649" t="inlineStr">
        <is>
          <t>USD</t>
        </is>
      </c>
      <c r="M649" t="n">
        <v>1.176664041559849</v>
      </c>
      <c r="N649" t="n">
        <v>0</v>
      </c>
      <c r="O649" t="n">
        <v>1.176664041559849</v>
      </c>
      <c r="P649" t="n">
        <v>-4.916868996758805</v>
      </c>
      <c r="Q649" t="n">
        <v>6.40863734084538</v>
      </c>
    </row>
    <row r="650">
      <c r="A650" t="inlineStr">
        <is>
          <t>Taiwan</t>
        </is>
      </c>
      <c r="B650" t="inlineStr">
        <is>
          <t>TWN</t>
        </is>
      </c>
      <c r="C650" t="inlineStr">
        <is>
          <t>EWT</t>
        </is>
      </c>
      <c r="D650" t="n">
        <v>2015</v>
      </c>
      <c r="E650" t="n">
        <v>-14.5247602648457</v>
      </c>
      <c r="F650" t="n">
        <v>1.465</v>
      </c>
      <c r="G650" t="inlineStr"/>
      <c r="H650" t="inlineStr"/>
      <c r="I650" t="inlineStr"/>
      <c r="J650" t="inlineStr">
        <is>
          <t>Taiwan|EWT|2015</t>
        </is>
      </c>
      <c r="K650" t="inlineStr">
        <is>
          <t>Taiwan|2015</t>
        </is>
      </c>
      <c r="L650" t="inlineStr">
        <is>
          <t>USD</t>
        </is>
      </c>
      <c r="M650" t="n">
        <v>-14.5247602648457</v>
      </c>
      <c r="N650" t="n">
        <v>0</v>
      </c>
      <c r="O650" t="n">
        <v>-14.5247602648457</v>
      </c>
      <c r="P650" t="inlineStr"/>
      <c r="Q650" t="inlineStr"/>
    </row>
    <row r="651">
      <c r="A651" t="inlineStr">
        <is>
          <t>Taiwan</t>
        </is>
      </c>
      <c r="B651" t="inlineStr">
        <is>
          <t>TWN</t>
        </is>
      </c>
      <c r="C651" t="inlineStr">
        <is>
          <t>EWT</t>
        </is>
      </c>
      <c r="D651" t="n">
        <v>2016</v>
      </c>
      <c r="E651" t="n">
        <v>18.61874219602844</v>
      </c>
      <c r="F651" t="n">
        <v>2.165</v>
      </c>
      <c r="G651" t="n">
        <v>2.93278</v>
      </c>
      <c r="H651" t="n">
        <v>1.602574</v>
      </c>
      <c r="I651" t="n">
        <v>-17.01616819602843</v>
      </c>
      <c r="J651" t="inlineStr">
        <is>
          <t>Taiwan|EWT|2016</t>
        </is>
      </c>
      <c r="K651" t="inlineStr">
        <is>
          <t>Taiwan|2016</t>
        </is>
      </c>
      <c r="L651" t="inlineStr">
        <is>
          <t>USD</t>
        </is>
      </c>
      <c r="M651" t="n">
        <v>18.61874219602844</v>
      </c>
      <c r="N651" t="n">
        <v>0</v>
      </c>
      <c r="O651" t="n">
        <v>18.61874219602844</v>
      </c>
      <c r="P651" t="n">
        <v>1.309224552781729</v>
      </c>
      <c r="Q651" t="n">
        <v>17.08582581661013</v>
      </c>
    </row>
    <row r="652">
      <c r="A652" t="inlineStr">
        <is>
          <t>Taiwan</t>
        </is>
      </c>
      <c r="B652" t="inlineStr">
        <is>
          <t>TWN</t>
        </is>
      </c>
      <c r="C652" t="inlineStr">
        <is>
          <t>EWT</t>
        </is>
      </c>
      <c r="D652" t="n">
        <v>2017</v>
      </c>
      <c r="E652" t="n">
        <v>21.75520969451317</v>
      </c>
      <c r="F652" t="n">
        <v>3.662</v>
      </c>
      <c r="G652" t="n">
        <v>2.603885</v>
      </c>
      <c r="H652" t="n">
        <v>8.950046</v>
      </c>
      <c r="I652" t="n">
        <v>-12.80516369451317</v>
      </c>
      <c r="J652" t="inlineStr">
        <is>
          <t>Taiwan|EWT|2017</t>
        </is>
      </c>
      <c r="K652" t="inlineStr">
        <is>
          <t>Taiwan|2017</t>
        </is>
      </c>
      <c r="L652" t="inlineStr">
        <is>
          <t>USD</t>
        </is>
      </c>
      <c r="M652" t="n">
        <v>21.75520969451317</v>
      </c>
      <c r="N652" t="n">
        <v>0</v>
      </c>
      <c r="O652" t="n">
        <v>21.75520969451317</v>
      </c>
      <c r="P652" t="n">
        <v>-5.824835596996436</v>
      </c>
      <c r="Q652" t="n">
        <v>29.28590087030416</v>
      </c>
    </row>
    <row r="653">
      <c r="A653" t="inlineStr">
        <is>
          <t>Taiwan</t>
        </is>
      </c>
      <c r="B653" t="inlineStr">
        <is>
          <t>TWN</t>
        </is>
      </c>
      <c r="C653" t="inlineStr">
        <is>
          <t>EWT</t>
        </is>
      </c>
      <c r="D653" t="n">
        <v>2018</v>
      </c>
      <c r="E653" t="n">
        <v>-14.07608289461723</v>
      </c>
      <c r="F653" t="n">
        <v>2.905</v>
      </c>
      <c r="G653" t="n">
        <v>2.263176</v>
      </c>
      <c r="H653" t="n">
        <v>3.211664</v>
      </c>
      <c r="I653" t="n">
        <v>17.28774689461723</v>
      </c>
      <c r="J653" t="inlineStr">
        <is>
          <t>Taiwan|EWT|2018</t>
        </is>
      </c>
      <c r="K653" t="inlineStr">
        <is>
          <t>Taiwan|2018</t>
        </is>
      </c>
      <c r="L653" t="inlineStr">
        <is>
          <t>USD</t>
        </is>
      </c>
      <c r="M653" t="n">
        <v>-14.07608289461723</v>
      </c>
      <c r="N653" t="n">
        <v>0</v>
      </c>
      <c r="O653" t="n">
        <v>-14.07608289461723</v>
      </c>
      <c r="P653" t="n">
        <v>-0.9189740236590804</v>
      </c>
      <c r="Q653" t="n">
        <v>-13.27914072478404</v>
      </c>
    </row>
    <row r="654">
      <c r="A654" t="inlineStr">
        <is>
          <t>Taiwan</t>
        </is>
      </c>
      <c r="B654" t="inlineStr">
        <is>
          <t>TWN</t>
        </is>
      </c>
      <c r="C654" t="inlineStr">
        <is>
          <t>EWT</t>
        </is>
      </c>
      <c r="D654" t="n">
        <v>2019</v>
      </c>
      <c r="E654" t="n">
        <v>31.48977034925393</v>
      </c>
      <c r="F654" t="n">
        <v>3.055</v>
      </c>
      <c r="G654" t="n">
        <v>3.007909</v>
      </c>
      <c r="H654" t="n">
        <v>0.4621</v>
      </c>
      <c r="I654" t="n">
        <v>-31.02767034925393</v>
      </c>
      <c r="J654" t="inlineStr">
        <is>
          <t>Taiwan|EWT|2019</t>
        </is>
      </c>
      <c r="K654" t="inlineStr">
        <is>
          <t>Taiwan|2019</t>
        </is>
      </c>
      <c r="L654" t="inlineStr">
        <is>
          <t>USD</t>
        </is>
      </c>
      <c r="M654" t="n">
        <v>31.48977034925393</v>
      </c>
      <c r="N654" t="n">
        <v>0</v>
      </c>
      <c r="O654" t="n">
        <v>31.48977034925393</v>
      </c>
      <c r="P654" t="n">
        <v>2.534098617670022</v>
      </c>
      <c r="Q654" t="n">
        <v>28.24004123696844</v>
      </c>
    </row>
    <row r="655">
      <c r="A655" t="inlineStr">
        <is>
          <t>Taiwan</t>
        </is>
      </c>
      <c r="B655" t="inlineStr">
        <is>
          <t>TWN</t>
        </is>
      </c>
      <c r="C655" t="inlineStr">
        <is>
          <t>EWT</t>
        </is>
      </c>
      <c r="D655" t="n">
        <v>2020</v>
      </c>
      <c r="E655" t="n">
        <v>27.41239084366436</v>
      </c>
      <c r="F655" t="n">
        <v>3.42</v>
      </c>
      <c r="G655" t="n">
        <v>5.532042</v>
      </c>
      <c r="H655" t="n">
        <v>10.325633</v>
      </c>
      <c r="I655" t="n">
        <v>-17.08675784366436</v>
      </c>
      <c r="J655" t="inlineStr">
        <is>
          <t>Taiwan|EWT|2020</t>
        </is>
      </c>
      <c r="K655" t="inlineStr">
        <is>
          <t>Taiwan|2020</t>
        </is>
      </c>
      <c r="L655" t="inlineStr">
        <is>
          <t>USD</t>
        </is>
      </c>
      <c r="M655" t="n">
        <v>27.41239084366436</v>
      </c>
      <c r="N655" t="n">
        <v>0</v>
      </c>
      <c r="O655" t="n">
        <v>27.41239084366436</v>
      </c>
      <c r="P655" t="n">
        <v>-4.344948072819999</v>
      </c>
      <c r="Q655" t="n">
        <v>33.19985539358705</v>
      </c>
    </row>
    <row r="656">
      <c r="A656" t="inlineStr">
        <is>
          <t>Taiwan</t>
        </is>
      </c>
      <c r="B656" t="inlineStr">
        <is>
          <t>TWN</t>
        </is>
      </c>
      <c r="C656" t="inlineStr">
        <is>
          <t>EWT</t>
        </is>
      </c>
      <c r="D656" t="n">
        <v>2021</v>
      </c>
      <c r="E656" t="n">
        <v>23.85645615892746</v>
      </c>
      <c r="F656" t="n">
        <v>6.72</v>
      </c>
      <c r="G656" t="n">
        <v>8.737318999999999</v>
      </c>
      <c r="H656" t="n">
        <v>14.789447</v>
      </c>
      <c r="I656" t="n">
        <v>-9.067009158927466</v>
      </c>
      <c r="J656" t="inlineStr">
        <is>
          <t>Taiwan|EWT|2021</t>
        </is>
      </c>
      <c r="K656" t="inlineStr">
        <is>
          <t>Taiwan|2021</t>
        </is>
      </c>
      <c r="L656" t="inlineStr">
        <is>
          <t>USD</t>
        </is>
      </c>
      <c r="M656" t="n">
        <v>23.85645615892746</v>
      </c>
      <c r="N656" t="n">
        <v>0</v>
      </c>
      <c r="O656" t="n">
        <v>23.85645615892746</v>
      </c>
      <c r="P656" t="n">
        <v>-5.272373687150111</v>
      </c>
      <c r="Q656" t="n">
        <v>30.75008947218411</v>
      </c>
    </row>
    <row r="657">
      <c r="A657" t="inlineStr">
        <is>
          <t>Taiwan</t>
        </is>
      </c>
      <c r="B657" t="inlineStr">
        <is>
          <t>TWN</t>
        </is>
      </c>
      <c r="C657" t="inlineStr">
        <is>
          <t>EWT</t>
        </is>
      </c>
      <c r="D657" t="n">
        <v>2022</v>
      </c>
      <c r="E657" t="n">
        <v>-40.21140249787997</v>
      </c>
      <c r="F657" t="n">
        <v>2.684</v>
      </c>
      <c r="G657" t="n">
        <v>4.809282</v>
      </c>
      <c r="H657" t="n">
        <v>-1.459654</v>
      </c>
      <c r="I657" t="n">
        <v>38.75174849787997</v>
      </c>
      <c r="J657" t="inlineStr">
        <is>
          <t>Taiwan|EWT|2022</t>
        </is>
      </c>
      <c r="K657" t="inlineStr">
        <is>
          <t>Taiwan|2022</t>
        </is>
      </c>
      <c r="L657" t="inlineStr">
        <is>
          <t>USD</t>
        </is>
      </c>
      <c r="M657" t="n">
        <v>-40.21140249787997</v>
      </c>
      <c r="N657" t="n">
        <v>0</v>
      </c>
      <c r="O657" t="n">
        <v>-40.21140249787997</v>
      </c>
      <c r="P657" t="n">
        <v>6.361796279226861</v>
      </c>
      <c r="Q657" t="n">
        <v>-43.7875256025578</v>
      </c>
    </row>
    <row r="658">
      <c r="A658" t="inlineStr">
        <is>
          <t>Taiwan</t>
        </is>
      </c>
      <c r="B658" t="inlineStr">
        <is>
          <t>TWN</t>
        </is>
      </c>
      <c r="C658" t="inlineStr">
        <is>
          <t>EWT</t>
        </is>
      </c>
      <c r="D658" t="n">
        <v>2023</v>
      </c>
      <c r="E658" t="n">
        <v>14.04855818434025</v>
      </c>
      <c r="F658" t="n">
        <v>1.122</v>
      </c>
      <c r="G658" t="n">
        <v>3.401794</v>
      </c>
      <c r="H658" t="n">
        <v>-1.082646</v>
      </c>
      <c r="I658" t="n">
        <v>-15.13120418434026</v>
      </c>
      <c r="J658" t="inlineStr">
        <is>
          <t>Taiwan|EWT|2023</t>
        </is>
      </c>
      <c r="K658" t="inlineStr">
        <is>
          <t>Taiwan|2023</t>
        </is>
      </c>
      <c r="L658" t="inlineStr">
        <is>
          <t>USD</t>
        </is>
      </c>
      <c r="M658" t="n">
        <v>14.04855818434025</v>
      </c>
      <c r="N658" t="n">
        <v>0</v>
      </c>
      <c r="O658" t="n">
        <v>14.04855818434025</v>
      </c>
      <c r="P658" t="n">
        <v>4.53352224225867</v>
      </c>
      <c r="Q658" t="n">
        <v>9.102377627753032</v>
      </c>
    </row>
    <row r="659">
      <c r="A659" t="inlineStr">
        <is>
          <t>Taiwan</t>
        </is>
      </c>
      <c r="B659" t="inlineStr">
        <is>
          <t>TWN</t>
        </is>
      </c>
      <c r="C659" t="inlineStr">
        <is>
          <t>EWT</t>
        </is>
      </c>
      <c r="D659" t="n">
        <v>2024</v>
      </c>
      <c r="E659" t="n">
        <v>15.09894800203857</v>
      </c>
      <c r="F659" t="n">
        <v>4.837</v>
      </c>
      <c r="G659" t="n">
        <v>8.459306</v>
      </c>
      <c r="H659" t="n">
        <v>5.237973</v>
      </c>
      <c r="I659" t="n">
        <v>-9.86097500203857</v>
      </c>
      <c r="J659" t="inlineStr">
        <is>
          <t>Taiwan|EWT|2024</t>
        </is>
      </c>
      <c r="K659" t="inlineStr">
        <is>
          <t>Taiwan|2024</t>
        </is>
      </c>
      <c r="L659" t="inlineStr">
        <is>
          <t>USD</t>
        </is>
      </c>
      <c r="M659" t="n">
        <v>15.09894800203857</v>
      </c>
      <c r="N659" t="n">
        <v>0</v>
      </c>
      <c r="O659" t="n">
        <v>15.09894800203857</v>
      </c>
      <c r="P659" t="n">
        <v>3.060999339921699</v>
      </c>
      <c r="Q659" t="n">
        <v>11.68041134785878</v>
      </c>
    </row>
    <row r="660">
      <c r="A660" t="inlineStr">
        <is>
          <t>Taiwan</t>
        </is>
      </c>
      <c r="B660" t="inlineStr">
        <is>
          <t>TWN</t>
        </is>
      </c>
      <c r="C660" t="inlineStr">
        <is>
          <t>EWT</t>
        </is>
      </c>
      <c r="D660" t="n">
        <v>2025</v>
      </c>
      <c r="E660" t="n">
        <v>23.74366690782825</v>
      </c>
      <c r="F660" t="n">
        <v>3.674</v>
      </c>
      <c r="G660" t="n">
        <v>5.468292</v>
      </c>
      <c r="H660" t="n">
        <v>10.963935</v>
      </c>
      <c r="I660" t="n">
        <v>-12.77973190782825</v>
      </c>
      <c r="J660" t="inlineStr">
        <is>
          <t>Taiwan|EWT|2025</t>
        </is>
      </c>
      <c r="K660" t="inlineStr">
        <is>
          <t>Taiwan|2025</t>
        </is>
      </c>
      <c r="L660" t="inlineStr">
        <is>
          <t>USD</t>
        </is>
      </c>
      <c r="M660" t="n">
        <v>23.74366690782825</v>
      </c>
      <c r="N660" t="n">
        <v>0</v>
      </c>
      <c r="O660" t="n">
        <v>23.74366690782825</v>
      </c>
      <c r="P660" t="n">
        <v>-4.952638793883613</v>
      </c>
      <c r="Q660" t="n">
        <v>30.19158589735287</v>
      </c>
    </row>
    <row r="661">
      <c r="A661" t="inlineStr">
        <is>
          <t>Taiwan</t>
        </is>
      </c>
      <c r="B661" t="inlineStr">
        <is>
          <t>TWN</t>
        </is>
      </c>
      <c r="C661" t="inlineStr">
        <is>
          <t>EWT</t>
        </is>
      </c>
      <c r="D661" t="n">
        <v>2026</v>
      </c>
      <c r="E661" t="n">
        <v>8.692303805168077</v>
      </c>
      <c r="F661" t="n">
        <v>2.113</v>
      </c>
      <c r="G661" t="n">
        <v>3.705991</v>
      </c>
      <c r="H661" t="n">
        <v>9.84422</v>
      </c>
      <c r="I661" t="n">
        <v>1.151916194831923</v>
      </c>
      <c r="J661" t="inlineStr">
        <is>
          <t>Taiwan|EWT|2026</t>
        </is>
      </c>
      <c r="K661" t="inlineStr">
        <is>
          <t>Taiwan|2026</t>
        </is>
      </c>
      <c r="L661" t="inlineStr">
        <is>
          <t>USD</t>
        </is>
      </c>
      <c r="M661" t="n">
        <v>8.692303805168077</v>
      </c>
      <c r="N661" t="n">
        <v>0</v>
      </c>
      <c r="O661" t="n">
        <v>8.692303805168077</v>
      </c>
      <c r="P661" t="n">
        <v>-5.588121498941478</v>
      </c>
      <c r="Q661" t="n">
        <v>15.12566589165944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XMTW.L</t>
        </is>
      </c>
      <c r="D662" t="n">
        <v>2015</v>
      </c>
      <c r="E662" t="n">
        <v>-7.487702678083441</v>
      </c>
      <c r="F662" t="n">
        <v>1.465</v>
      </c>
      <c r="G662" t="inlineStr"/>
      <c r="H662" t="inlineStr"/>
      <c r="I662" t="inlineStr"/>
      <c r="J662" t="inlineStr">
        <is>
          <t>Taiwan|XMTW.L|2015</t>
        </is>
      </c>
      <c r="K662" t="inlineStr">
        <is>
          <t>Taiwan|2015</t>
        </is>
      </c>
      <c r="L662" t="inlineStr">
        <is>
          <t>GBp</t>
        </is>
      </c>
      <c r="M662" t="n">
        <v>-7.487702678083441</v>
      </c>
      <c r="N662" t="n">
        <v>-4.888855870697362</v>
      </c>
      <c r="O662" t="n">
        <v>-12.01049555682295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XMTW.L</t>
        </is>
      </c>
      <c r="D663" t="n">
        <v>2016</v>
      </c>
      <c r="E663" t="n">
        <v>46.63412649989829</v>
      </c>
      <c r="F663" t="n">
        <v>2.165</v>
      </c>
      <c r="G663" t="n">
        <v>2.93278</v>
      </c>
      <c r="H663" t="n">
        <v>1.602574</v>
      </c>
      <c r="I663" t="n">
        <v>-20.65258990486237</v>
      </c>
      <c r="J663" t="inlineStr">
        <is>
          <t>Taiwan|XMTW.L|2016</t>
        </is>
      </c>
      <c r="K663" t="inlineStr">
        <is>
          <t>Taiwan|2016</t>
        </is>
      </c>
      <c r="L663" t="inlineStr">
        <is>
          <t>GBp</t>
        </is>
      </c>
      <c r="M663" t="n">
        <v>46.63412649989829</v>
      </c>
      <c r="N663" t="n">
        <v>-16.62570861023462</v>
      </c>
      <c r="O663" t="n">
        <v>22.25516390486237</v>
      </c>
      <c r="P663" t="n">
        <v>1.309224552781729</v>
      </c>
      <c r="Q663" t="n">
        <v>20.67525385229643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XMTW.L</t>
        </is>
      </c>
      <c r="D664" t="n">
        <v>2017</v>
      </c>
      <c r="E664" t="n">
        <v>14.66119096509242</v>
      </c>
      <c r="F664" t="n">
        <v>3.662</v>
      </c>
      <c r="G664" t="n">
        <v>2.603885</v>
      </c>
      <c r="H664" t="n">
        <v>8.950046</v>
      </c>
      <c r="I664" t="n">
        <v>-15.84878582580438</v>
      </c>
      <c r="J664" t="inlineStr">
        <is>
          <t>Taiwan|XMTW.L|2017</t>
        </is>
      </c>
      <c r="K664" t="inlineStr">
        <is>
          <t>Taiwan|2017</t>
        </is>
      </c>
      <c r="L664" t="inlineStr">
        <is>
          <t>GBp</t>
        </is>
      </c>
      <c r="M664" t="n">
        <v>14.66119096509242</v>
      </c>
      <c r="N664" t="n">
        <v>8.841388071573641</v>
      </c>
      <c r="O664" t="n">
        <v>24.79883182580438</v>
      </c>
      <c r="P664" t="n">
        <v>-5.824835596996436</v>
      </c>
      <c r="Q664" t="n">
        <v>32.5177743165417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XMTW.L</t>
        </is>
      </c>
      <c r="D665" t="n">
        <v>2018</v>
      </c>
      <c r="E665" t="n">
        <v>-3.19961795606496</v>
      </c>
      <c r="F665" t="n">
        <v>2.905</v>
      </c>
      <c r="G665" t="n">
        <v>2.263176</v>
      </c>
      <c r="H665" t="n">
        <v>3.211664</v>
      </c>
      <c r="I665" t="n">
        <v>12.30187969405226</v>
      </c>
      <c r="J665" t="inlineStr">
        <is>
          <t>Taiwan|XMTW.L|2018</t>
        </is>
      </c>
      <c r="K665" t="inlineStr">
        <is>
          <t>Taiwan|2018</t>
        </is>
      </c>
      <c r="L665" t="inlineStr">
        <is>
          <t>GBp</t>
        </is>
      </c>
      <c r="M665" t="n">
        <v>-3.19961795606496</v>
      </c>
      <c r="N665" t="n">
        <v>-6.085304224640065</v>
      </c>
      <c r="O665" t="n">
        <v>-9.090215694052262</v>
      </c>
      <c r="P665" t="n">
        <v>-0.9189740236590804</v>
      </c>
      <c r="Q665" t="n">
        <v>-8.247029731347711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XMTW.L</t>
        </is>
      </c>
      <c r="D666" t="n">
        <v>2019</v>
      </c>
      <c r="E666" t="n">
        <v>31.44426413681187</v>
      </c>
      <c r="F666" t="n">
        <v>3.055</v>
      </c>
      <c r="G666" t="n">
        <v>3.007909</v>
      </c>
      <c r="H666" t="n">
        <v>0.4621</v>
      </c>
      <c r="I666" t="n">
        <v>-34.85170489512341</v>
      </c>
      <c r="J666" t="inlineStr">
        <is>
          <t>Taiwan|XMTW.L|2019</t>
        </is>
      </c>
      <c r="K666" t="inlineStr">
        <is>
          <t>Taiwan|2019</t>
        </is>
      </c>
      <c r="L666" t="inlineStr">
        <is>
          <t>GBp</t>
        </is>
      </c>
      <c r="M666" t="n">
        <v>31.44426413681187</v>
      </c>
      <c r="N666" t="n">
        <v>2.94386429390634</v>
      </c>
      <c r="O666" t="n">
        <v>35.31380489512341</v>
      </c>
      <c r="P666" t="n">
        <v>2.534098617670022</v>
      </c>
      <c r="Q666" t="n">
        <v>31.96956594867297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XMTW.L</t>
        </is>
      </c>
      <c r="D667" t="n">
        <v>2020</v>
      </c>
      <c r="E667" t="n">
        <v>30.12880343475828</v>
      </c>
      <c r="F667" t="n">
        <v>3.42</v>
      </c>
      <c r="G667" t="n">
        <v>5.532042</v>
      </c>
      <c r="H667" t="n">
        <v>10.325633</v>
      </c>
      <c r="I667" t="n">
        <v>-23.41450285658255</v>
      </c>
      <c r="J667" t="inlineStr">
        <is>
          <t>Taiwan|XMTW.L|2020</t>
        </is>
      </c>
      <c r="K667" t="inlineStr">
        <is>
          <t>Taiwan|2020</t>
        </is>
      </c>
      <c r="L667" t="inlineStr">
        <is>
          <t>GBp</t>
        </is>
      </c>
      <c r="M667" t="n">
        <v>30.12880343475828</v>
      </c>
      <c r="N667" t="n">
        <v>2.775198362317122</v>
      </c>
      <c r="O667" t="n">
        <v>33.74013585658255</v>
      </c>
      <c r="P667" t="n">
        <v>-4.344948072819999</v>
      </c>
      <c r="Q667" t="n">
        <v>39.81502614038186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XMTW.L</t>
        </is>
      </c>
      <c r="D668" t="n">
        <v>2021</v>
      </c>
      <c r="E668" t="n">
        <v>26.4060742407199</v>
      </c>
      <c r="F668" t="n">
        <v>6.72</v>
      </c>
      <c r="G668" t="n">
        <v>8.737318999999999</v>
      </c>
      <c r="H668" t="n">
        <v>14.789447</v>
      </c>
      <c r="I668" t="n">
        <v>-10.00214292852304</v>
      </c>
      <c r="J668" t="inlineStr">
        <is>
          <t>Taiwan|XMTW.L|2021</t>
        </is>
      </c>
      <c r="K668" t="inlineStr">
        <is>
          <t>Taiwan|2021</t>
        </is>
      </c>
      <c r="L668" t="inlineStr">
        <is>
          <t>GBp</t>
        </is>
      </c>
      <c r="M668" t="n">
        <v>26.4060742407199</v>
      </c>
      <c r="N668" t="n">
        <v>-1.277220514832489</v>
      </c>
      <c r="O668" t="n">
        <v>24.79158992852304</v>
      </c>
      <c r="P668" t="n">
        <v>-5.272373687150111</v>
      </c>
      <c r="Q668" t="n">
        <v>31.73727114873874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XMTW.L</t>
        </is>
      </c>
      <c r="D669" t="n">
        <v>2022</v>
      </c>
      <c r="E669" t="n">
        <v>-22.55951081022057</v>
      </c>
      <c r="F669" t="n">
        <v>2.684</v>
      </c>
      <c r="G669" t="n">
        <v>4.809282</v>
      </c>
      <c r="H669" t="n">
        <v>-1.459654</v>
      </c>
      <c r="I669" t="n">
        <v>29.49521662599436</v>
      </c>
      <c r="J669" t="inlineStr">
        <is>
          <t>Taiwan|XMTW.L|2022</t>
        </is>
      </c>
      <c r="K669" t="inlineStr">
        <is>
          <t>Taiwan|2022</t>
        </is>
      </c>
      <c r="L669" t="inlineStr">
        <is>
          <t>GBp</t>
        </is>
      </c>
      <c r="M669" t="n">
        <v>-22.55951081022057</v>
      </c>
      <c r="N669" t="n">
        <v>-10.84104698150823</v>
      </c>
      <c r="O669" t="n">
        <v>-30.95487062599436</v>
      </c>
      <c r="P669" t="n">
        <v>6.361796279226861</v>
      </c>
      <c r="Q669" t="n">
        <v>-35.08465277067665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XMTW.L</t>
        </is>
      </c>
      <c r="D670" t="n">
        <v>2023</v>
      </c>
      <c r="E670" t="n">
        <v>20.62071857961694</v>
      </c>
      <c r="F670" t="n">
        <v>1.122</v>
      </c>
      <c r="G670" t="n">
        <v>3.401794</v>
      </c>
      <c r="H670" t="n">
        <v>-1.082646</v>
      </c>
      <c r="I670" t="n">
        <v>-27.81042857463886</v>
      </c>
      <c r="J670" t="inlineStr">
        <is>
          <t>Taiwan|XMTW.L|2023</t>
        </is>
      </c>
      <c r="K670" t="inlineStr">
        <is>
          <t>Taiwan|2023</t>
        </is>
      </c>
      <c r="L670" t="inlineStr">
        <is>
          <t>GBp</t>
        </is>
      </c>
      <c r="M670" t="n">
        <v>20.62071857961694</v>
      </c>
      <c r="N670" t="n">
        <v>5.06303068571996</v>
      </c>
      <c r="O670" t="n">
        <v>26.72778257463886</v>
      </c>
      <c r="P670" t="n">
        <v>4.53352224225867</v>
      </c>
      <c r="Q670" t="n">
        <v>21.23171577529408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XMTW.L</t>
        </is>
      </c>
      <c r="D671" t="n">
        <v>2024</v>
      </c>
      <c r="E671" t="n">
        <v>27.73207990599296</v>
      </c>
      <c r="F671" t="n">
        <v>4.837</v>
      </c>
      <c r="G671" t="n">
        <v>8.459306</v>
      </c>
      <c r="H671" t="n">
        <v>5.237973</v>
      </c>
      <c r="I671" t="n">
        <v>-20.67896568363836</v>
      </c>
      <c r="J671" t="inlineStr">
        <is>
          <t>Taiwan|XMTW.L|2024</t>
        </is>
      </c>
      <c r="K671" t="inlineStr">
        <is>
          <t>Taiwan|2024</t>
        </is>
      </c>
      <c r="L671" t="inlineStr">
        <is>
          <t>GBp</t>
        </is>
      </c>
      <c r="M671" t="n">
        <v>27.73207990599296</v>
      </c>
      <c r="N671" t="n">
        <v>-1.421053523664917</v>
      </c>
      <c r="O671" t="n">
        <v>25.91693868363836</v>
      </c>
      <c r="P671" t="n">
        <v>3.060999339921699</v>
      </c>
      <c r="Q671" t="n">
        <v>22.17709850486884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XMTW.L</t>
        </is>
      </c>
      <c r="D672" t="n">
        <v>2025</v>
      </c>
      <c r="E672" t="n">
        <v>23.8012125665993</v>
      </c>
      <c r="F672" t="n">
        <v>3.674</v>
      </c>
      <c r="G672" t="n">
        <v>5.468292</v>
      </c>
      <c r="H672" t="n">
        <v>10.963935</v>
      </c>
      <c r="I672" t="n">
        <v>-22.21141817071263</v>
      </c>
      <c r="J672" t="inlineStr">
        <is>
          <t>Taiwan|XMTW.L|2025</t>
        </is>
      </c>
      <c r="K672" t="inlineStr">
        <is>
          <t>Taiwan|2025</t>
        </is>
      </c>
      <c r="L672" t="inlineStr">
        <is>
          <t>GBp</t>
        </is>
      </c>
      <c r="M672" t="n">
        <v>23.8012125665993</v>
      </c>
      <c r="N672" t="n">
        <v>7.571929555270285</v>
      </c>
      <c r="O672" t="n">
        <v>33.17535317071263</v>
      </c>
      <c r="P672" t="n">
        <v>-4.952638793883613</v>
      </c>
      <c r="Q672" t="n">
        <v>40.11472962612104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XMTW.L</t>
        </is>
      </c>
      <c r="D673" t="n">
        <v>2026</v>
      </c>
      <c r="E673" t="n">
        <v>11.11519247722597</v>
      </c>
      <c r="F673" t="n">
        <v>2.113</v>
      </c>
      <c r="G673" t="n">
        <v>3.705991</v>
      </c>
      <c r="H673" t="n">
        <v>9.84422</v>
      </c>
      <c r="I673" t="n">
        <v>-0.3828478007094986</v>
      </c>
      <c r="J673" t="inlineStr">
        <is>
          <t>Taiwan|XMTW.L|2026</t>
        </is>
      </c>
      <c r="K673" t="inlineStr">
        <is>
          <t>Taiwan|2026</t>
        </is>
      </c>
      <c r="L673" t="inlineStr">
        <is>
          <t>GBp</t>
        </is>
      </c>
      <c r="M673" t="n">
        <v>11.11519247722597</v>
      </c>
      <c r="N673" t="n">
        <v>-0.7992828493713855</v>
      </c>
      <c r="O673" t="n">
        <v>10.2270678007095</v>
      </c>
      <c r="P673" t="n">
        <v>-5.588121498941478</v>
      </c>
      <c r="Q673" t="n">
        <v>16.75127065655586</v>
      </c>
    </row>
    <row r="674">
      <c r="A674" t="inlineStr">
        <is>
          <t>Thailand</t>
        </is>
      </c>
      <c r="B674" t="inlineStr">
        <is>
          <t>THA</t>
        </is>
      </c>
      <c r="C674" t="inlineStr">
        <is>
          <t>THD</t>
        </is>
      </c>
      <c r="D674" t="n">
        <v>2015</v>
      </c>
      <c r="E674" t="n">
        <v>-23.40647693363702</v>
      </c>
      <c r="F674" t="n">
        <v>3.134</v>
      </c>
      <c r="G674" t="inlineStr"/>
      <c r="H674" t="inlineStr"/>
      <c r="I674" t="inlineStr"/>
      <c r="J674" t="inlineStr">
        <is>
          <t>Thailand|THD|2015</t>
        </is>
      </c>
      <c r="K674" t="inlineStr">
        <is>
          <t>Thailand|2015</t>
        </is>
      </c>
      <c r="L674" t="inlineStr">
        <is>
          <t>USD</t>
        </is>
      </c>
      <c r="M674" t="n">
        <v>-23.40647693363702</v>
      </c>
      <c r="N674" t="n">
        <v>0</v>
      </c>
      <c r="O674" t="n">
        <v>-23.40647693363702</v>
      </c>
      <c r="P674" t="inlineStr"/>
      <c r="Q674" t="inlineStr"/>
    </row>
    <row r="675">
      <c r="A675" t="inlineStr">
        <is>
          <t>Thailand</t>
        </is>
      </c>
      <c r="B675" t="inlineStr">
        <is>
          <t>THA</t>
        </is>
      </c>
      <c r="C675" t="inlineStr">
        <is>
          <t>THD</t>
        </is>
      </c>
      <c r="D675" t="n">
        <v>2016</v>
      </c>
      <c r="E675" t="n">
        <v>24.91768754383332</v>
      </c>
      <c r="F675" t="n">
        <v>3.435</v>
      </c>
      <c r="G675" t="n">
        <v>6.161882</v>
      </c>
      <c r="H675" t="n">
        <v>3.007755</v>
      </c>
      <c r="I675" t="n">
        <v>-21.90993254383332</v>
      </c>
      <c r="J675" t="inlineStr">
        <is>
          <t>Thailand|THD|2016</t>
        </is>
      </c>
      <c r="K675" t="inlineStr">
        <is>
          <t>Thailand|2016</t>
        </is>
      </c>
      <c r="L675" t="inlineStr">
        <is>
          <t>USD</t>
        </is>
      </c>
      <c r="M675" t="n">
        <v>24.91768754383332</v>
      </c>
      <c r="N675" t="n">
        <v>0</v>
      </c>
      <c r="O675" t="n">
        <v>24.91768754383332</v>
      </c>
      <c r="P675" t="n">
        <v>3.062028661807448</v>
      </c>
      <c r="Q675" t="n">
        <v>21.20631542558129</v>
      </c>
    </row>
    <row r="676">
      <c r="A676" t="inlineStr">
        <is>
          <t>Thailand</t>
        </is>
      </c>
      <c r="B676" t="inlineStr">
        <is>
          <t>THA</t>
        </is>
      </c>
      <c r="C676" t="inlineStr">
        <is>
          <t>THD</t>
        </is>
      </c>
      <c r="D676" t="n">
        <v>2017</v>
      </c>
      <c r="E676" t="n">
        <v>27.85072833565625</v>
      </c>
      <c r="F676" t="n">
        <v>4.178</v>
      </c>
      <c r="G676" t="n">
        <v>6.157</v>
      </c>
      <c r="H676" t="n">
        <v>10.400226</v>
      </c>
      <c r="I676" t="n">
        <v>-17.45050233565625</v>
      </c>
      <c r="J676" t="inlineStr">
        <is>
          <t>Thailand|THD|2017</t>
        </is>
      </c>
      <c r="K676" t="inlineStr">
        <is>
          <t>Thailand|2017</t>
        </is>
      </c>
      <c r="L676" t="inlineStr">
        <is>
          <t>USD</t>
        </is>
      </c>
      <c r="M676" t="n">
        <v>27.85072833565625</v>
      </c>
      <c r="N676" t="n">
        <v>0</v>
      </c>
      <c r="O676" t="n">
        <v>27.85072833565625</v>
      </c>
      <c r="P676" t="n">
        <v>-3.843494626091604</v>
      </c>
      <c r="Q676" t="n">
        <v>32.96108031225096</v>
      </c>
    </row>
    <row r="677">
      <c r="A677" t="inlineStr">
        <is>
          <t>Thailand</t>
        </is>
      </c>
      <c r="B677" t="inlineStr">
        <is>
          <t>THA</t>
        </is>
      </c>
      <c r="C677" t="inlineStr">
        <is>
          <t>THD</t>
        </is>
      </c>
      <c r="D677" t="n">
        <v>2018</v>
      </c>
      <c r="E677" t="n">
        <v>-11.04307571565838</v>
      </c>
      <c r="F677" t="n">
        <v>4.223</v>
      </c>
      <c r="G677" t="n">
        <v>5.711784</v>
      </c>
      <c r="H677" t="n">
        <v>11.043328</v>
      </c>
      <c r="I677" t="n">
        <v>22.08640371565838</v>
      </c>
      <c r="J677" t="inlineStr">
        <is>
          <t>Thailand|THD|2018</t>
        </is>
      </c>
      <c r="K677" t="inlineStr">
        <is>
          <t>Thailand|2018</t>
        </is>
      </c>
      <c r="L677" t="inlineStr">
        <is>
          <t>USD</t>
        </is>
      </c>
      <c r="M677" t="n">
        <v>-11.04307571565838</v>
      </c>
      <c r="N677" t="n">
        <v>0</v>
      </c>
      <c r="O677" t="n">
        <v>-11.04307571565838</v>
      </c>
      <c r="P677" t="n">
        <v>-4.801318754040396</v>
      </c>
      <c r="Q677" t="n">
        <v>-6.556558221107601</v>
      </c>
    </row>
    <row r="678">
      <c r="A678" t="inlineStr">
        <is>
          <t>Thailand</t>
        </is>
      </c>
      <c r="B678" t="inlineStr">
        <is>
          <t>THA</t>
        </is>
      </c>
      <c r="C678" t="inlineStr">
        <is>
          <t>THD</t>
        </is>
      </c>
      <c r="D678" t="n">
        <v>2019</v>
      </c>
      <c r="E678" t="n">
        <v>4.136942004178024</v>
      </c>
      <c r="F678" t="n">
        <v>2.115</v>
      </c>
      <c r="G678" t="n">
        <v>3.150432</v>
      </c>
      <c r="H678" t="n">
        <v>7.345379</v>
      </c>
      <c r="I678" t="n">
        <v>3.208436995821977</v>
      </c>
      <c r="J678" t="inlineStr">
        <is>
          <t>Thailand|THD|2019</t>
        </is>
      </c>
      <c r="K678" t="inlineStr">
        <is>
          <t>Thailand|2019</t>
        </is>
      </c>
      <c r="L678" t="inlineStr">
        <is>
          <t>USD</t>
        </is>
      </c>
      <c r="M678" t="n">
        <v>4.136942004178024</v>
      </c>
      <c r="N678" t="n">
        <v>0</v>
      </c>
      <c r="O678" t="n">
        <v>4.136942004178024</v>
      </c>
      <c r="P678" t="n">
        <v>-3.907897021095619</v>
      </c>
      <c r="Q678" t="n">
        <v>8.372008495890416</v>
      </c>
    </row>
    <row r="679">
      <c r="A679" t="inlineStr">
        <is>
          <t>Thailand</t>
        </is>
      </c>
      <c r="B679" t="inlineStr">
        <is>
          <t>THA</t>
        </is>
      </c>
      <c r="C679" t="inlineStr">
        <is>
          <t>THD</t>
        </is>
      </c>
      <c r="D679" t="n">
        <v>2020</v>
      </c>
      <c r="E679" t="n">
        <v>-13.03317839516009</v>
      </c>
      <c r="F679" t="n">
        <v>-6.05</v>
      </c>
      <c r="G679" t="n">
        <v>-7.270237</v>
      </c>
      <c r="H679" t="n">
        <v>-7.999419</v>
      </c>
      <c r="I679" t="n">
        <v>5.033759395160095</v>
      </c>
      <c r="J679" t="inlineStr">
        <is>
          <t>Thailand|THD|2020</t>
        </is>
      </c>
      <c r="K679" t="inlineStr">
        <is>
          <t>Thailand|2020</t>
        </is>
      </c>
      <c r="L679" t="inlineStr">
        <is>
          <t>USD</t>
        </is>
      </c>
      <c r="M679" t="n">
        <v>-13.03317839516009</v>
      </c>
      <c r="N679" t="n">
        <v>0</v>
      </c>
      <c r="O679" t="n">
        <v>-13.03317839516009</v>
      </c>
      <c r="P679" t="n">
        <v>0.7925840799696271</v>
      </c>
      <c r="Q679" t="n">
        <v>-13.7170433731119</v>
      </c>
    </row>
    <row r="680">
      <c r="A680" t="inlineStr">
        <is>
          <t>Thailand</t>
        </is>
      </c>
      <c r="B680" t="inlineStr">
        <is>
          <t>THA</t>
        </is>
      </c>
      <c r="C680" t="inlineStr">
        <is>
          <t>THD</t>
        </is>
      </c>
      <c r="D680" t="n">
        <v>2021</v>
      </c>
      <c r="E680" t="n">
        <v>-2.596902682419833</v>
      </c>
      <c r="F680" t="n">
        <v>1.542</v>
      </c>
      <c r="G680" t="n">
        <v>3.354404</v>
      </c>
      <c r="H680" t="n">
        <v>1.145542</v>
      </c>
      <c r="I680" t="n">
        <v>3.742444682419833</v>
      </c>
      <c r="J680" t="inlineStr">
        <is>
          <t>Thailand|THD|2021</t>
        </is>
      </c>
      <c r="K680" t="inlineStr">
        <is>
          <t>Thailand|2021</t>
        </is>
      </c>
      <c r="L680" t="inlineStr">
        <is>
          <t>USD</t>
        </is>
      </c>
      <c r="M680" t="n">
        <v>-2.596902682419833</v>
      </c>
      <c r="N680" t="n">
        <v>0</v>
      </c>
      <c r="O680" t="n">
        <v>-2.596902682419833</v>
      </c>
      <c r="P680" t="n">
        <v>2.183845800341433</v>
      </c>
      <c r="Q680" t="n">
        <v>-4.678575605876533</v>
      </c>
    </row>
    <row r="681">
      <c r="A681" t="inlineStr">
        <is>
          <t>Thailand</t>
        </is>
      </c>
      <c r="B681" t="inlineStr">
        <is>
          <t>THA</t>
        </is>
      </c>
      <c r="C681" t="inlineStr">
        <is>
          <t>THD</t>
        </is>
      </c>
      <c r="D681" t="n">
        <v>2022</v>
      </c>
      <c r="E681" t="n">
        <v>-1.506410730483076</v>
      </c>
      <c r="F681" t="n">
        <v>2.627</v>
      </c>
      <c r="G681" t="n">
        <v>7.360165</v>
      </c>
      <c r="H681" t="n">
        <v>-2.084177</v>
      </c>
      <c r="I681" t="n">
        <v>-0.5777662695169234</v>
      </c>
      <c r="J681" t="inlineStr">
        <is>
          <t>Thailand|THD|2022</t>
        </is>
      </c>
      <c r="K681" t="inlineStr">
        <is>
          <t>Thailand|2022</t>
        </is>
      </c>
      <c r="L681" t="inlineStr">
        <is>
          <t>USD</t>
        </is>
      </c>
      <c r="M681" t="n">
        <v>-1.506410730483076</v>
      </c>
      <c r="N681" t="n">
        <v>0</v>
      </c>
      <c r="O681" t="n">
        <v>-1.506410730483076</v>
      </c>
      <c r="P681" t="n">
        <v>9.645368791998067</v>
      </c>
      <c r="Q681" t="n">
        <v>-10.1707711372986</v>
      </c>
    </row>
    <row r="682">
      <c r="A682" t="inlineStr">
        <is>
          <t>Thailand</t>
        </is>
      </c>
      <c r="B682" t="inlineStr">
        <is>
          <t>THA</t>
        </is>
      </c>
      <c r="C682" t="inlineStr">
        <is>
          <t>THD</t>
        </is>
      </c>
      <c r="D682" t="n">
        <v>2023</v>
      </c>
      <c r="E682" t="n">
        <v>-16.07306652142507</v>
      </c>
      <c r="F682" t="n">
        <v>2.009</v>
      </c>
      <c r="G682" t="n">
        <v>3.318397</v>
      </c>
      <c r="H682" t="n">
        <v>4.087805</v>
      </c>
      <c r="I682" t="n">
        <v>20.16087152142507</v>
      </c>
      <c r="J682" t="inlineStr">
        <is>
          <t>Thailand|THD|2023</t>
        </is>
      </c>
      <c r="K682" t="inlineStr">
        <is>
          <t>Thailand|2023</t>
        </is>
      </c>
      <c r="L682" t="inlineStr">
        <is>
          <t>USD</t>
        </is>
      </c>
      <c r="M682" t="n">
        <v>-16.07306652142507</v>
      </c>
      <c r="N682" t="n">
        <v>0</v>
      </c>
      <c r="O682" t="n">
        <v>-16.07306652142507</v>
      </c>
      <c r="P682" t="n">
        <v>-0.7391907100238293</v>
      </c>
      <c r="Q682" t="n">
        <v>-15.44806648372726</v>
      </c>
    </row>
    <row r="683">
      <c r="A683" t="inlineStr">
        <is>
          <t>Thailand</t>
        </is>
      </c>
      <c r="B683" t="inlineStr">
        <is>
          <t>THA</t>
        </is>
      </c>
      <c r="C683" t="inlineStr">
        <is>
          <t>THD</t>
        </is>
      </c>
      <c r="D683" t="n">
        <v>2024</v>
      </c>
      <c r="E683" t="n">
        <v>-6.265515694626888</v>
      </c>
      <c r="F683" t="n">
        <v>2.54</v>
      </c>
      <c r="G683" t="n">
        <v>3.497714</v>
      </c>
      <c r="H683" t="n">
        <v>2.056964</v>
      </c>
      <c r="I683" t="n">
        <v>8.322479694626889</v>
      </c>
      <c r="J683" t="inlineStr">
        <is>
          <t>Thailand|THD|2024</t>
        </is>
      </c>
      <c r="K683" t="inlineStr">
        <is>
          <t>Thailand|2024</t>
        </is>
      </c>
      <c r="L683" t="inlineStr">
        <is>
          <t>USD</t>
        </is>
      </c>
      <c r="M683" t="n">
        <v>-6.265515694626888</v>
      </c>
      <c r="N683" t="n">
        <v>0</v>
      </c>
      <c r="O683" t="n">
        <v>-6.265515694626888</v>
      </c>
      <c r="P683" t="n">
        <v>1.411712081920236</v>
      </c>
      <c r="Q683" t="n">
        <v>-7.570356144214852</v>
      </c>
    </row>
    <row r="684">
      <c r="A684" t="inlineStr">
        <is>
          <t>Thailand</t>
        </is>
      </c>
      <c r="B684" t="inlineStr">
        <is>
          <t>THA</t>
        </is>
      </c>
      <c r="C684" t="inlineStr">
        <is>
          <t>THD</t>
        </is>
      </c>
      <c r="D684" t="n">
        <v>2025</v>
      </c>
      <c r="E684" t="n">
        <v>0.3194327978669032</v>
      </c>
      <c r="F684" t="n">
        <v>2</v>
      </c>
      <c r="G684" t="n">
        <v>2.200039</v>
      </c>
      <c r="H684" t="n">
        <v>6.088111</v>
      </c>
      <c r="I684" t="n">
        <v>5.768678202133096</v>
      </c>
      <c r="J684" t="inlineStr">
        <is>
          <t>Thailand|THD|2025</t>
        </is>
      </c>
      <c r="K684" t="inlineStr">
        <is>
          <t>Thailand|2025</t>
        </is>
      </c>
      <c r="L684" t="inlineStr">
        <is>
          <t>USD</t>
        </is>
      </c>
      <c r="M684" t="n">
        <v>0.3194327978669032</v>
      </c>
      <c r="N684" t="n">
        <v>0</v>
      </c>
      <c r="O684" t="n">
        <v>0.3194327978669032</v>
      </c>
      <c r="P684" t="n">
        <v>-3.6649460177689</v>
      </c>
      <c r="Q684" t="n">
        <v>4.13595949857537</v>
      </c>
    </row>
    <row r="685">
      <c r="A685" t="inlineStr">
        <is>
          <t>Thailand</t>
        </is>
      </c>
      <c r="B685" t="inlineStr">
        <is>
          <t>THA</t>
        </is>
      </c>
      <c r="C685" t="inlineStr">
        <is>
          <t>THD</t>
        </is>
      </c>
      <c r="D685" t="n">
        <v>2026</v>
      </c>
      <c r="E685" t="n">
        <v>11.40043070230863</v>
      </c>
      <c r="F685" t="n">
        <v>1.6</v>
      </c>
      <c r="G685" t="n">
        <v>2.299587</v>
      </c>
      <c r="H685" t="n">
        <v>0.525625</v>
      </c>
      <c r="I685" t="n">
        <v>-10.87480570230863</v>
      </c>
      <c r="J685" t="inlineStr">
        <is>
          <t>Thailand|THD|2026</t>
        </is>
      </c>
      <c r="K685" t="inlineStr">
        <is>
          <t>Thailand|2026</t>
        </is>
      </c>
      <c r="L685" t="inlineStr">
        <is>
          <t>USD</t>
        </is>
      </c>
      <c r="M685" t="n">
        <v>11.40043070230863</v>
      </c>
      <c r="N685" t="n">
        <v>0</v>
      </c>
      <c r="O685" t="n">
        <v>11.40043070230863</v>
      </c>
      <c r="P685" t="n">
        <v>1.764686266418569</v>
      </c>
      <c r="Q685" t="n">
        <v>9.468652426897695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XCX4.L</t>
        </is>
      </c>
      <c r="D686" t="n">
        <v>2015</v>
      </c>
      <c r="E686" t="n">
        <v>-20.82937036332509</v>
      </c>
      <c r="F686" t="n">
        <v>3.134</v>
      </c>
      <c r="G686" t="inlineStr"/>
      <c r="H686" t="inlineStr"/>
      <c r="I686" t="inlineStr"/>
      <c r="J686" t="inlineStr">
        <is>
          <t>Thailand|XCX4.L|2015</t>
        </is>
      </c>
      <c r="K686" t="inlineStr">
        <is>
          <t>Thailand|2015</t>
        </is>
      </c>
      <c r="L686" t="inlineStr">
        <is>
          <t>GBp</t>
        </is>
      </c>
      <c r="M686" t="n">
        <v>-20.82937036332509</v>
      </c>
      <c r="N686" t="n">
        <v>-4.888855870697362</v>
      </c>
      <c r="O686" t="n">
        <v>-24.69990833818574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XCX4.L</t>
        </is>
      </c>
      <c r="D687" t="n">
        <v>2016</v>
      </c>
      <c r="E687" t="n">
        <v>56.73147920255968</v>
      </c>
      <c r="F687" t="n">
        <v>3.435</v>
      </c>
      <c r="G687" t="n">
        <v>6.161882</v>
      </c>
      <c r="H687" t="n">
        <v>3.007755</v>
      </c>
      <c r="I687" t="n">
        <v>-27.66600516983163</v>
      </c>
      <c r="J687" t="inlineStr">
        <is>
          <t>Thailand|XCX4.L|2016</t>
        </is>
      </c>
      <c r="K687" t="inlineStr">
        <is>
          <t>Thailand|2016</t>
        </is>
      </c>
      <c r="L687" t="inlineStr">
        <is>
          <t>GBp</t>
        </is>
      </c>
      <c r="M687" t="n">
        <v>56.73147920255968</v>
      </c>
      <c r="N687" t="n">
        <v>-16.62570861023462</v>
      </c>
      <c r="O687" t="n">
        <v>30.67376016983163</v>
      </c>
      <c r="P687" t="n">
        <v>3.062028661807448</v>
      </c>
      <c r="Q687" t="n">
        <v>26.7913720179433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XCX4.L</t>
        </is>
      </c>
      <c r="D688" t="n">
        <v>2017</v>
      </c>
      <c r="E688" t="n">
        <v>21.08057464084947</v>
      </c>
      <c r="F688" t="n">
        <v>4.178</v>
      </c>
      <c r="G688" t="n">
        <v>6.157</v>
      </c>
      <c r="H688" t="n">
        <v>10.400226</v>
      </c>
      <c r="I688" t="n">
        <v>-21.38555212413836</v>
      </c>
      <c r="J688" t="inlineStr">
        <is>
          <t>Thailand|XCX4.L|2017</t>
        </is>
      </c>
      <c r="K688" t="inlineStr">
        <is>
          <t>Thailand|2017</t>
        </is>
      </c>
      <c r="L688" t="inlineStr">
        <is>
          <t>GBp</t>
        </is>
      </c>
      <c r="M688" t="n">
        <v>21.08057464084947</v>
      </c>
      <c r="N688" t="n">
        <v>8.841388071573641</v>
      </c>
      <c r="O688" t="n">
        <v>31.78577812413836</v>
      </c>
      <c r="P688" t="n">
        <v>-3.843494626091604</v>
      </c>
      <c r="Q688" t="n">
        <v>37.05341891501166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XCX4.L</t>
        </is>
      </c>
      <c r="D689" t="n">
        <v>2018</v>
      </c>
      <c r="E689" t="n">
        <v>1.171347325591587</v>
      </c>
      <c r="F689" t="n">
        <v>4.223</v>
      </c>
      <c r="G689" t="n">
        <v>5.711784</v>
      </c>
      <c r="H689" t="n">
        <v>11.043328</v>
      </c>
      <c r="I689" t="n">
        <v>16.02856494733791</v>
      </c>
      <c r="J689" t="inlineStr">
        <is>
          <t>Thailand|XCX4.L|2018</t>
        </is>
      </c>
      <c r="K689" t="inlineStr">
        <is>
          <t>Thailand|2018</t>
        </is>
      </c>
      <c r="L689" t="inlineStr">
        <is>
          <t>GBp</t>
        </is>
      </c>
      <c r="M689" t="n">
        <v>1.171347325591587</v>
      </c>
      <c r="N689" t="n">
        <v>-6.085304224640065</v>
      </c>
      <c r="O689" t="n">
        <v>-4.985236947337912</v>
      </c>
      <c r="P689" t="n">
        <v>-4.801318754040396</v>
      </c>
      <c r="Q689" t="n">
        <v>-0.1931940557268197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XCX4.L</t>
        </is>
      </c>
      <c r="D690" t="n">
        <v>2019</v>
      </c>
      <c r="E690" t="n">
        <v>1.099038341451242</v>
      </c>
      <c r="F690" t="n">
        <v>2.115</v>
      </c>
      <c r="G690" t="n">
        <v>3.150432</v>
      </c>
      <c r="H690" t="n">
        <v>7.345379</v>
      </c>
      <c r="I690" t="n">
        <v>3.270122167332105</v>
      </c>
      <c r="J690" t="inlineStr">
        <is>
          <t>Thailand|XCX4.L|2019</t>
        </is>
      </c>
      <c r="K690" t="inlineStr">
        <is>
          <t>Thailand|2019</t>
        </is>
      </c>
      <c r="L690" t="inlineStr">
        <is>
          <t>GBp</t>
        </is>
      </c>
      <c r="M690" t="n">
        <v>1.099038341451242</v>
      </c>
      <c r="N690" t="n">
        <v>2.94386429390634</v>
      </c>
      <c r="O690" t="n">
        <v>4.075256832667895</v>
      </c>
      <c r="P690" t="n">
        <v>-3.907897021095619</v>
      </c>
      <c r="Q690" t="n">
        <v>8.307814696818628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XCX4.L</t>
        </is>
      </c>
      <c r="D691" t="n">
        <v>2020</v>
      </c>
      <c r="E691" t="n">
        <v>-15.33794442422036</v>
      </c>
      <c r="F691" t="n">
        <v>-6.05</v>
      </c>
      <c r="G691" t="n">
        <v>-7.270237</v>
      </c>
      <c r="H691" t="n">
        <v>-7.999419</v>
      </c>
      <c r="I691" t="n">
        <v>4.988985444377311</v>
      </c>
      <c r="J691" t="inlineStr">
        <is>
          <t>Thailand|XCX4.L|2020</t>
        </is>
      </c>
      <c r="K691" t="inlineStr">
        <is>
          <t>Thailand|2020</t>
        </is>
      </c>
      <c r="L691" t="inlineStr">
        <is>
          <t>GBp</t>
        </is>
      </c>
      <c r="M691" t="n">
        <v>-15.33794442422036</v>
      </c>
      <c r="N691" t="n">
        <v>2.775198362317122</v>
      </c>
      <c r="O691" t="n">
        <v>-12.98840444437731</v>
      </c>
      <c r="P691" t="n">
        <v>0.7925840799696271</v>
      </c>
      <c r="Q691" t="n">
        <v>-13.67262150299966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XCX4.L</t>
        </is>
      </c>
      <c r="D692" t="n">
        <v>2021</v>
      </c>
      <c r="E692" t="n">
        <v>-1.188118811881189</v>
      </c>
      <c r="F692" t="n">
        <v>1.542</v>
      </c>
      <c r="G692" t="n">
        <v>3.354404</v>
      </c>
      <c r="H692" t="n">
        <v>1.145542</v>
      </c>
      <c r="I692" t="n">
        <v>3.595706429507751</v>
      </c>
      <c r="J692" t="inlineStr">
        <is>
          <t>Thailand|XCX4.L|2021</t>
        </is>
      </c>
      <c r="K692" t="inlineStr">
        <is>
          <t>Thailand|2021</t>
        </is>
      </c>
      <c r="L692" t="inlineStr">
        <is>
          <t>GBp</t>
        </is>
      </c>
      <c r="M692" t="n">
        <v>-1.188118811881189</v>
      </c>
      <c r="N692" t="n">
        <v>-1.277220514832489</v>
      </c>
      <c r="O692" t="n">
        <v>-2.450164429507751</v>
      </c>
      <c r="P692" t="n">
        <v>2.183845800341433</v>
      </c>
      <c r="Q692" t="n">
        <v>-4.534973403627463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XCX4.L</t>
        </is>
      </c>
      <c r="D693" t="n">
        <v>2022</v>
      </c>
      <c r="E693" t="n">
        <v>16.5872672152447</v>
      </c>
      <c r="F693" t="n">
        <v>2.627</v>
      </c>
      <c r="G693" t="n">
        <v>7.360165</v>
      </c>
      <c r="H693" t="n">
        <v>-2.084177</v>
      </c>
      <c r="I693" t="n">
        <v>-6.032163801983494</v>
      </c>
      <c r="J693" t="inlineStr">
        <is>
          <t>Thailand|XCX4.L|2022</t>
        </is>
      </c>
      <c r="K693" t="inlineStr">
        <is>
          <t>Thailand|2022</t>
        </is>
      </c>
      <c r="L693" t="inlineStr">
        <is>
          <t>GBp</t>
        </is>
      </c>
      <c r="M693" t="n">
        <v>16.5872672152447</v>
      </c>
      <c r="N693" t="n">
        <v>-10.84104698150823</v>
      </c>
      <c r="O693" t="n">
        <v>3.947986801983494</v>
      </c>
      <c r="P693" t="n">
        <v>9.645368791998067</v>
      </c>
      <c r="Q693" t="n">
        <v>-5.196190274869473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XCX4.L</t>
        </is>
      </c>
      <c r="D694" t="n">
        <v>2023</v>
      </c>
      <c r="E694" t="n">
        <v>-17.71567436208992</v>
      </c>
      <c r="F694" t="n">
        <v>2.009</v>
      </c>
      <c r="G694" t="n">
        <v>3.318397</v>
      </c>
      <c r="H694" t="n">
        <v>4.087805</v>
      </c>
      <c r="I694" t="n">
        <v>17.63739870550479</v>
      </c>
      <c r="J694" t="inlineStr">
        <is>
          <t>Thailand|XCX4.L|2023</t>
        </is>
      </c>
      <c r="K694" t="inlineStr">
        <is>
          <t>Thailand|2023</t>
        </is>
      </c>
      <c r="L694" t="inlineStr">
        <is>
          <t>GBp</t>
        </is>
      </c>
      <c r="M694" t="n">
        <v>-17.71567436208992</v>
      </c>
      <c r="N694" t="n">
        <v>5.06303068571996</v>
      </c>
      <c r="O694" t="n">
        <v>-13.54959370550479</v>
      </c>
      <c r="P694" t="n">
        <v>-0.7391907100238293</v>
      </c>
      <c r="Q694" t="n">
        <v>-12.90580148108324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XCX4.L</t>
        </is>
      </c>
      <c r="D695" t="n">
        <v>2024</v>
      </c>
      <c r="E695" t="n">
        <v>0.02910360884749164</v>
      </c>
      <c r="F695" t="n">
        <v>2.54</v>
      </c>
      <c r="G695" t="n">
        <v>3.497714</v>
      </c>
      <c r="H695" t="n">
        <v>2.056964</v>
      </c>
      <c r="I695" t="n">
        <v>3.449327492676463</v>
      </c>
      <c r="J695" t="inlineStr">
        <is>
          <t>Thailand|XCX4.L|2024</t>
        </is>
      </c>
      <c r="K695" t="inlineStr">
        <is>
          <t>Thailand|2024</t>
        </is>
      </c>
      <c r="L695" t="inlineStr">
        <is>
          <t>GBp</t>
        </is>
      </c>
      <c r="M695" t="n">
        <v>0.02910360884749164</v>
      </c>
      <c r="N695" t="n">
        <v>-1.421053523664917</v>
      </c>
      <c r="O695" t="n">
        <v>-1.392363492676463</v>
      </c>
      <c r="P695" t="n">
        <v>1.411712081920236</v>
      </c>
      <c r="Q695" t="n">
        <v>-2.765041154547876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XCX4.L</t>
        </is>
      </c>
      <c r="D696" t="n">
        <v>2025</v>
      </c>
      <c r="E696" t="n">
        <v>0.5687618492052016</v>
      </c>
      <c r="F696" t="n">
        <v>2</v>
      </c>
      <c r="G696" t="n">
        <v>2.200039</v>
      </c>
      <c r="H696" t="n">
        <v>6.088111</v>
      </c>
      <c r="I696" t="n">
        <v>-2.095646651034562</v>
      </c>
      <c r="J696" t="inlineStr">
        <is>
          <t>Thailand|XCX4.L|2025</t>
        </is>
      </c>
      <c r="K696" t="inlineStr">
        <is>
          <t>Thailand|2025</t>
        </is>
      </c>
      <c r="L696" t="inlineStr">
        <is>
          <t>GBp</t>
        </is>
      </c>
      <c r="M696" t="n">
        <v>0.5687618492052016</v>
      </c>
      <c r="N696" t="n">
        <v>7.571929555270285</v>
      </c>
      <c r="O696" t="n">
        <v>8.183757651034561</v>
      </c>
      <c r="P696" t="n">
        <v>-3.6649460177689</v>
      </c>
      <c r="Q696" t="n">
        <v>12.29947270387053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XCX4.L</t>
        </is>
      </c>
      <c r="D697" t="n">
        <v>2026</v>
      </c>
      <c r="E697" t="n">
        <v>15.44117647058822</v>
      </c>
      <c r="F697" t="n">
        <v>1.6</v>
      </c>
      <c r="G697" t="n">
        <v>2.299587</v>
      </c>
      <c r="H697" t="n">
        <v>0.525625</v>
      </c>
      <c r="I697" t="n">
        <v>-13.99284994594625</v>
      </c>
      <c r="J697" t="inlineStr">
        <is>
          <t>Thailand|XCX4.L|2026</t>
        </is>
      </c>
      <c r="K697" t="inlineStr">
        <is>
          <t>Thailand|2026</t>
        </is>
      </c>
      <c r="L697" t="inlineStr">
        <is>
          <t>GBp</t>
        </is>
      </c>
      <c r="M697" t="n">
        <v>15.44117647058822</v>
      </c>
      <c r="N697" t="n">
        <v>-0.7992828493713855</v>
      </c>
      <c r="O697" t="n">
        <v>14.51847494594625</v>
      </c>
      <c r="P697" t="n">
        <v>1.764686266418569</v>
      </c>
      <c r="Q697" t="n">
        <v>12.53262712974756</v>
      </c>
    </row>
    <row r="698">
      <c r="A698" t="inlineStr">
        <is>
          <t>Turkey</t>
        </is>
      </c>
      <c r="B698" t="inlineStr">
        <is>
          <t>TUR</t>
        </is>
      </c>
      <c r="C698" t="inlineStr">
        <is>
          <t>TUR</t>
        </is>
      </c>
      <c r="D698" t="n">
        <v>2015</v>
      </c>
      <c r="E698" t="n">
        <v>-32.44147005476805</v>
      </c>
      <c r="F698" t="n">
        <v>5.806</v>
      </c>
      <c r="G698" t="inlineStr"/>
      <c r="H698" t="inlineStr"/>
      <c r="I698" t="inlineStr"/>
      <c r="J698" t="inlineStr">
        <is>
          <t>Turkey|TUR|2015</t>
        </is>
      </c>
      <c r="K698" t="inlineStr">
        <is>
          <t>Turkey|2015</t>
        </is>
      </c>
      <c r="L698" t="inlineStr">
        <is>
          <t>USD</t>
        </is>
      </c>
      <c r="M698" t="n">
        <v>-32.44147005476805</v>
      </c>
      <c r="N698" t="n">
        <v>0</v>
      </c>
      <c r="O698" t="n">
        <v>-32.44147005476805</v>
      </c>
      <c r="P698" t="inlineStr"/>
      <c r="Q698" t="inlineStr"/>
    </row>
    <row r="699">
      <c r="A699" t="inlineStr">
        <is>
          <t>Turkey</t>
        </is>
      </c>
      <c r="B699" t="inlineStr">
        <is>
          <t>TUR</t>
        </is>
      </c>
      <c r="C699" t="inlineStr">
        <is>
          <t>TUR</t>
        </is>
      </c>
      <c r="D699" t="n">
        <v>2016</v>
      </c>
      <c r="E699" t="n">
        <v>-8.06907842227057</v>
      </c>
      <c r="F699" t="n">
        <v>3.324</v>
      </c>
      <c r="G699" t="n">
        <v>11.721414</v>
      </c>
      <c r="H699" t="n">
        <v>0.24591</v>
      </c>
      <c r="I699" t="n">
        <v>8.31498842227057</v>
      </c>
      <c r="J699" t="inlineStr">
        <is>
          <t>Turkey|TUR|2016</t>
        </is>
      </c>
      <c r="K699" t="inlineStr">
        <is>
          <t>Turkey|2016</t>
        </is>
      </c>
      <c r="L699" t="inlineStr">
        <is>
          <t>USD</t>
        </is>
      </c>
      <c r="M699" t="n">
        <v>-8.06907842227057</v>
      </c>
      <c r="N699" t="n">
        <v>0</v>
      </c>
      <c r="O699" t="n">
        <v>-8.06907842227057</v>
      </c>
      <c r="P699" t="n">
        <v>11.44735382007507</v>
      </c>
      <c r="Q699" t="n">
        <v>-17.51179509731</v>
      </c>
    </row>
    <row r="700">
      <c r="A700" t="inlineStr">
        <is>
          <t>Turkey</t>
        </is>
      </c>
      <c r="B700" t="inlineStr">
        <is>
          <t>TUR</t>
        </is>
      </c>
      <c r="C700" t="inlineStr">
        <is>
          <t>TUR</t>
        </is>
      </c>
      <c r="D700" t="n">
        <v>2017</v>
      </c>
      <c r="E700" t="n">
        <v>38.36357623558968</v>
      </c>
      <c r="F700" t="n">
        <v>7.826</v>
      </c>
      <c r="G700" t="n">
        <v>19.830547</v>
      </c>
      <c r="H700" t="n">
        <v>-0.739137</v>
      </c>
      <c r="I700" t="n">
        <v>-39.10271323558968</v>
      </c>
      <c r="J700" t="inlineStr">
        <is>
          <t>Turkey|TUR|2017</t>
        </is>
      </c>
      <c r="K700" t="inlineStr">
        <is>
          <t>Turkey|2017</t>
        </is>
      </c>
      <c r="L700" t="inlineStr">
        <is>
          <t>USD</t>
        </is>
      </c>
      <c r="M700" t="n">
        <v>38.36357623558968</v>
      </c>
      <c r="N700" t="n">
        <v>0</v>
      </c>
      <c r="O700" t="n">
        <v>38.36357623558968</v>
      </c>
      <c r="P700" t="n">
        <v>20.72285437594072</v>
      </c>
      <c r="Q700" t="n">
        <v>14.61257849712063</v>
      </c>
    </row>
    <row r="701">
      <c r="A701" t="inlineStr">
        <is>
          <t>Turkey</t>
        </is>
      </c>
      <c r="B701" t="inlineStr">
        <is>
          <t>TUR</t>
        </is>
      </c>
      <c r="C701" t="inlineStr">
        <is>
          <t>TUR</t>
        </is>
      </c>
      <c r="D701" t="n">
        <v>2018</v>
      </c>
      <c r="E701" t="n">
        <v>-45.11950090774798</v>
      </c>
      <c r="F701" t="n">
        <v>3.468</v>
      </c>
      <c r="G701" t="n">
        <v>20.781976</v>
      </c>
      <c r="H701" t="n">
        <v>-6.55025</v>
      </c>
      <c r="I701" t="n">
        <v>38.56925090774798</v>
      </c>
      <c r="J701" t="inlineStr">
        <is>
          <t>Turkey|TUR|2018</t>
        </is>
      </c>
      <c r="K701" t="inlineStr">
        <is>
          <t>Turkey|2018</t>
        </is>
      </c>
      <c r="L701" t="inlineStr">
        <is>
          <t>USD</t>
        </is>
      </c>
      <c r="M701" t="n">
        <v>-45.11950090774798</v>
      </c>
      <c r="N701" t="n">
        <v>0</v>
      </c>
      <c r="O701" t="n">
        <v>-45.11950090774798</v>
      </c>
      <c r="P701" t="n">
        <v>29.24804568575656</v>
      </c>
      <c r="Q701" t="n">
        <v>-57.53862365881795</v>
      </c>
    </row>
    <row r="702">
      <c r="A702" t="inlineStr">
        <is>
          <t>Turkey</t>
        </is>
      </c>
      <c r="B702" t="inlineStr">
        <is>
          <t>TUR</t>
        </is>
      </c>
      <c r="C702" t="inlineStr">
        <is>
          <t>TUR</t>
        </is>
      </c>
      <c r="D702" t="n">
        <v>2019</v>
      </c>
      <c r="E702" t="n">
        <v>13.15789284987279</v>
      </c>
      <c r="F702" t="n">
        <v>1.302</v>
      </c>
      <c r="G702" t="n">
        <v>15.646244</v>
      </c>
      <c r="H702" t="n">
        <v>-3.975509</v>
      </c>
      <c r="I702" t="n">
        <v>-17.13340184987279</v>
      </c>
      <c r="J702" t="inlineStr">
        <is>
          <t>Turkey|TUR|2019</t>
        </is>
      </c>
      <c r="K702" t="inlineStr">
        <is>
          <t>Turkey|2019</t>
        </is>
      </c>
      <c r="L702" t="inlineStr">
        <is>
          <t>USD</t>
        </is>
      </c>
      <c r="M702" t="n">
        <v>13.15789284987279</v>
      </c>
      <c r="N702" t="n">
        <v>0</v>
      </c>
      <c r="O702" t="n">
        <v>13.15789284987279</v>
      </c>
      <c r="P702" t="n">
        <v>20.43411325529472</v>
      </c>
      <c r="Q702" t="n">
        <v>-6.041660629823287</v>
      </c>
    </row>
    <row r="703">
      <c r="A703" t="inlineStr">
        <is>
          <t>Turkey</t>
        </is>
      </c>
      <c r="B703" t="inlineStr">
        <is>
          <t>TUR</t>
        </is>
      </c>
      <c r="C703" t="inlineStr">
        <is>
          <t>TUR</t>
        </is>
      </c>
      <c r="D703" t="n">
        <v>2020</v>
      </c>
      <c r="E703" t="n">
        <v>-4.159130684976853</v>
      </c>
      <c r="F703" t="n">
        <v>1.803</v>
      </c>
      <c r="G703" t="n">
        <v>16.802649</v>
      </c>
      <c r="H703" t="n">
        <v>-5.789044</v>
      </c>
      <c r="I703" t="n">
        <v>-1.629913315023146</v>
      </c>
      <c r="J703" t="inlineStr">
        <is>
          <t>Turkey|TUR|2020</t>
        </is>
      </c>
      <c r="K703" t="inlineStr">
        <is>
          <t>Turkey|2020</t>
        </is>
      </c>
      <c r="L703" t="inlineStr">
        <is>
          <t>USD</t>
        </is>
      </c>
      <c r="M703" t="n">
        <v>-4.159130684976853</v>
      </c>
      <c r="N703" t="n">
        <v>0</v>
      </c>
      <c r="O703" t="n">
        <v>-4.159130684976853</v>
      </c>
      <c r="P703" t="n">
        <v>23.97989961492115</v>
      </c>
      <c r="Q703" t="n">
        <v>-22.69644546196377</v>
      </c>
    </row>
    <row r="704">
      <c r="A704" t="inlineStr">
        <is>
          <t>Turkey</t>
        </is>
      </c>
      <c r="B704" t="inlineStr">
        <is>
          <t>TUR</t>
        </is>
      </c>
      <c r="C704" t="inlineStr">
        <is>
          <t>TUR</t>
        </is>
      </c>
      <c r="D704" t="n">
        <v>2021</v>
      </c>
      <c r="E704" t="n">
        <v>-30.46407035489749</v>
      </c>
      <c r="F704" t="n">
        <v>11.811</v>
      </c>
      <c r="G704" t="n">
        <v>44.578332</v>
      </c>
      <c r="H704" t="n">
        <v>13.326305</v>
      </c>
      <c r="I704" t="n">
        <v>43.79037535489748</v>
      </c>
      <c r="J704" t="inlineStr">
        <is>
          <t>Turkey|TUR|2021</t>
        </is>
      </c>
      <c r="K704" t="inlineStr">
        <is>
          <t>Turkey|2021</t>
        </is>
      </c>
      <c r="L704" t="inlineStr">
        <is>
          <t>USD</t>
        </is>
      </c>
      <c r="M704" t="n">
        <v>-30.46407035489749</v>
      </c>
      <c r="N704" t="n">
        <v>0</v>
      </c>
      <c r="O704" t="n">
        <v>-30.46407035489749</v>
      </c>
      <c r="P704" t="n">
        <v>27.57702846858645</v>
      </c>
      <c r="Q704" t="n">
        <v>-45.49494491304562</v>
      </c>
    </row>
    <row r="705">
      <c r="A705" t="inlineStr">
        <is>
          <t>Turkey</t>
        </is>
      </c>
      <c r="B705" t="inlineStr">
        <is>
          <t>TUR</t>
        </is>
      </c>
      <c r="C705" t="inlineStr">
        <is>
          <t>TUR</t>
        </is>
      </c>
      <c r="D705" t="n">
        <v>2022</v>
      </c>
      <c r="E705" t="n">
        <v>85.09254839241231</v>
      </c>
      <c r="F705" t="n">
        <v>5.441</v>
      </c>
      <c r="G705" t="n">
        <v>106.164519</v>
      </c>
      <c r="H705" t="n">
        <v>11.729149</v>
      </c>
      <c r="I705" t="n">
        <v>-73.3633993924123</v>
      </c>
      <c r="J705" t="inlineStr">
        <is>
          <t>Turkey|TUR|2022</t>
        </is>
      </c>
      <c r="K705" t="inlineStr">
        <is>
          <t>Turkey|2022</t>
        </is>
      </c>
      <c r="L705" t="inlineStr">
        <is>
          <t>USD</t>
        </is>
      </c>
      <c r="M705" t="n">
        <v>85.09254839241231</v>
      </c>
      <c r="N705" t="n">
        <v>0</v>
      </c>
      <c r="O705" t="n">
        <v>85.09254839241231</v>
      </c>
      <c r="P705" t="n">
        <v>84.52169423245107</v>
      </c>
      <c r="Q705" t="n">
        <v>0.3093696718620587</v>
      </c>
    </row>
    <row r="706">
      <c r="A706" t="inlineStr">
        <is>
          <t>Turkey</t>
        </is>
      </c>
      <c r="B706" t="inlineStr">
        <is>
          <t>TUR</t>
        </is>
      </c>
      <c r="C706" t="inlineStr">
        <is>
          <t>TUR</t>
        </is>
      </c>
      <c r="D706" t="n">
        <v>2023</v>
      </c>
      <c r="E706" t="n">
        <v>-14.51271129721231</v>
      </c>
      <c r="F706" t="n">
        <v>5.045</v>
      </c>
      <c r="G706" t="n">
        <v>76.769673</v>
      </c>
      <c r="H706" t="n">
        <v>24.713977</v>
      </c>
      <c r="I706" t="n">
        <v>39.22668829721231</v>
      </c>
      <c r="J706" t="inlineStr">
        <is>
          <t>Turkey|TUR|2023</t>
        </is>
      </c>
      <c r="K706" t="inlineStr">
        <is>
          <t>Turkey|2023</t>
        </is>
      </c>
      <c r="L706" t="inlineStr">
        <is>
          <t>USD</t>
        </is>
      </c>
      <c r="M706" t="n">
        <v>-14.51271129721231</v>
      </c>
      <c r="N706" t="n">
        <v>0</v>
      </c>
      <c r="O706" t="n">
        <v>-14.51271129721231</v>
      </c>
      <c r="P706" t="n">
        <v>41.74006495945895</v>
      </c>
      <c r="Q706" t="n">
        <v>-39.68727986173909</v>
      </c>
    </row>
    <row r="707">
      <c r="A707" t="inlineStr">
        <is>
          <t>Turkey</t>
        </is>
      </c>
      <c r="B707" t="inlineStr">
        <is>
          <t>TUR</t>
        </is>
      </c>
      <c r="C707" t="inlineStr">
        <is>
          <t>TUR</t>
        </is>
      </c>
      <c r="D707" t="n">
        <v>2024</v>
      </c>
      <c r="E707" t="n">
        <v>9.83154344396695</v>
      </c>
      <c r="F707" t="n">
        <v>3.328</v>
      </c>
      <c r="G707" t="n">
        <v>64.580319</v>
      </c>
      <c r="H707" t="n">
        <v>17.771342</v>
      </c>
      <c r="I707" t="n">
        <v>7.93979855603305</v>
      </c>
      <c r="J707" t="inlineStr">
        <is>
          <t>Turkey|TUR|2024</t>
        </is>
      </c>
      <c r="K707" t="inlineStr">
        <is>
          <t>Turkey|2024</t>
        </is>
      </c>
      <c r="L707" t="inlineStr">
        <is>
          <t>USD</t>
        </is>
      </c>
      <c r="M707" t="n">
        <v>9.83154344396695</v>
      </c>
      <c r="N707" t="n">
        <v>0</v>
      </c>
      <c r="O707" t="n">
        <v>9.83154344396695</v>
      </c>
      <c r="P707" t="n">
        <v>39.74564242319418</v>
      </c>
      <c r="Q707" t="n">
        <v>-21.40610502089063</v>
      </c>
    </row>
    <row r="708">
      <c r="A708" t="inlineStr">
        <is>
          <t>Turkey</t>
        </is>
      </c>
      <c r="B708" t="inlineStr">
        <is>
          <t>TUR</t>
        </is>
      </c>
      <c r="C708" t="inlineStr">
        <is>
          <t>TUR</t>
        </is>
      </c>
      <c r="D708" t="n">
        <v>2025</v>
      </c>
      <c r="E708" t="n">
        <v>-5.569279976691099</v>
      </c>
      <c r="F708" t="n">
        <v>3.494</v>
      </c>
      <c r="G708" t="n">
        <v>39.453331</v>
      </c>
      <c r="H708" t="n">
        <v>15.256385</v>
      </c>
      <c r="I708" t="n">
        <v>20.8256649766911</v>
      </c>
      <c r="J708" t="inlineStr">
        <is>
          <t>Turkey|TUR|2025</t>
        </is>
      </c>
      <c r="K708" t="inlineStr">
        <is>
          <t>Turkey|2025</t>
        </is>
      </c>
      <c r="L708" t="inlineStr">
        <is>
          <t>USD</t>
        </is>
      </c>
      <c r="M708" t="n">
        <v>-5.569279976691099</v>
      </c>
      <c r="N708" t="n">
        <v>0</v>
      </c>
      <c r="O708" t="n">
        <v>-5.569279976691099</v>
      </c>
      <c r="P708" t="n">
        <v>20.99401823360612</v>
      </c>
      <c r="Q708" t="n">
        <v>-21.95422434769527</v>
      </c>
    </row>
    <row r="709">
      <c r="A709" t="inlineStr">
        <is>
          <t>Turkey</t>
        </is>
      </c>
      <c r="B709" t="inlineStr">
        <is>
          <t>TUR</t>
        </is>
      </c>
      <c r="C709" t="inlineStr">
        <is>
          <t>TUR</t>
        </is>
      </c>
      <c r="D709" t="n">
        <v>2026</v>
      </c>
      <c r="E709" t="n">
        <v>10.91065742574777</v>
      </c>
      <c r="F709" t="n">
        <v>3.693</v>
      </c>
      <c r="G709" t="n">
        <v>28.538319</v>
      </c>
      <c r="H709" t="n">
        <v>0.679604</v>
      </c>
      <c r="I709" t="n">
        <v>-10.23105342574777</v>
      </c>
      <c r="J709" t="inlineStr">
        <is>
          <t>Turkey|TUR|2026</t>
        </is>
      </c>
      <c r="K709" t="inlineStr">
        <is>
          <t>Turkey|2026</t>
        </is>
      </c>
      <c r="L709" t="inlineStr">
        <is>
          <t>USD</t>
        </is>
      </c>
      <c r="M709" t="n">
        <v>10.91065742574777</v>
      </c>
      <c r="N709" t="n">
        <v>0</v>
      </c>
      <c r="O709" t="n">
        <v>10.91065742574777</v>
      </c>
      <c r="P709" t="n">
        <v>27.67066410635637</v>
      </c>
      <c r="Q709" t="n">
        <v>-13.12753152646455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TURL.L</t>
        </is>
      </c>
      <c r="D710" t="n">
        <v>2015</v>
      </c>
      <c r="E710" t="n">
        <v>-25.52255900399854</v>
      </c>
      <c r="F710" t="n">
        <v>5.806</v>
      </c>
      <c r="G710" t="inlineStr"/>
      <c r="H710" t="inlineStr"/>
      <c r="I710" t="inlineStr"/>
      <c r="J710" t="inlineStr">
        <is>
          <t>Turkey|TURL.L|2015</t>
        </is>
      </c>
      <c r="K710" t="inlineStr">
        <is>
          <t>Turkey|2015</t>
        </is>
      </c>
      <c r="L710" t="inlineStr">
        <is>
          <t>GBp</t>
        </is>
      </c>
      <c r="M710" t="n">
        <v>-25.52255900399854</v>
      </c>
      <c r="N710" t="n">
        <v>-4.888855870697362</v>
      </c>
      <c r="O710" t="n">
        <v>-29.16365375047673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TURL.L</t>
        </is>
      </c>
      <c r="D711" t="n">
        <v>2016</v>
      </c>
      <c r="E711" t="n">
        <v>-0.3158486147618378</v>
      </c>
      <c r="F711" t="n">
        <v>3.324</v>
      </c>
      <c r="G711" t="n">
        <v>11.721414</v>
      </c>
      <c r="H711" t="n">
        <v>0.24591</v>
      </c>
      <c r="I711" t="n">
        <v>17.1349551546567</v>
      </c>
      <c r="J711" t="inlineStr">
        <is>
          <t>Turkey|TURL.L|2016</t>
        </is>
      </c>
      <c r="K711" t="inlineStr">
        <is>
          <t>Turkey|2016</t>
        </is>
      </c>
      <c r="L711" t="inlineStr">
        <is>
          <t>GBp</t>
        </is>
      </c>
      <c r="M711" t="n">
        <v>-0.3158486147618378</v>
      </c>
      <c r="N711" t="n">
        <v>-16.62570861023462</v>
      </c>
      <c r="O711" t="n">
        <v>-16.8890451546567</v>
      </c>
      <c r="P711" t="n">
        <v>11.44735382007507</v>
      </c>
      <c r="Q711" t="n">
        <v>-25.42581587040563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TURL.L</t>
        </is>
      </c>
      <c r="D712" t="n">
        <v>2017</v>
      </c>
      <c r="E712" t="n">
        <v>23.70318302148371</v>
      </c>
      <c r="F712" t="n">
        <v>7.826</v>
      </c>
      <c r="G712" t="n">
        <v>19.830547</v>
      </c>
      <c r="H712" t="n">
        <v>-0.739137</v>
      </c>
      <c r="I712" t="n">
        <v>-35.37939848930208</v>
      </c>
      <c r="J712" t="inlineStr">
        <is>
          <t>Turkey|TURL.L|2017</t>
        </is>
      </c>
      <c r="K712" t="inlineStr">
        <is>
          <t>Turkey|2017</t>
        </is>
      </c>
      <c r="L712" t="inlineStr">
        <is>
          <t>GBp</t>
        </is>
      </c>
      <c r="M712" t="n">
        <v>23.70318302148371</v>
      </c>
      <c r="N712" t="n">
        <v>8.841388071573641</v>
      </c>
      <c r="O712" t="n">
        <v>34.64026148930208</v>
      </c>
      <c r="P712" t="n">
        <v>20.72285437594072</v>
      </c>
      <c r="Q712" t="n">
        <v>11.52839467332461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TURL.L</t>
        </is>
      </c>
      <c r="D713" t="n">
        <v>2018</v>
      </c>
      <c r="E713" t="n">
        <v>-41.33845213022326</v>
      </c>
      <c r="F713" t="n">
        <v>3.468</v>
      </c>
      <c r="G713" t="n">
        <v>20.781976</v>
      </c>
      <c r="H713" t="n">
        <v>-6.55025</v>
      </c>
      <c r="I713" t="n">
        <v>38.35793578098204</v>
      </c>
      <c r="J713" t="inlineStr">
        <is>
          <t>Turkey|TURL.L|2018</t>
        </is>
      </c>
      <c r="K713" t="inlineStr">
        <is>
          <t>Turkey|2018</t>
        </is>
      </c>
      <c r="L713" t="inlineStr">
        <is>
          <t>GBp</t>
        </is>
      </c>
      <c r="M713" t="n">
        <v>-41.33845213022326</v>
      </c>
      <c r="N713" t="n">
        <v>-6.085304224640065</v>
      </c>
      <c r="O713" t="n">
        <v>-44.90818578098204</v>
      </c>
      <c r="P713" t="n">
        <v>29.24804568575656</v>
      </c>
      <c r="Q713" t="n">
        <v>-57.37512785844064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TURL.L</t>
        </is>
      </c>
      <c r="D714" t="n">
        <v>2019</v>
      </c>
      <c r="E714" t="n">
        <v>-0.8868204404142599</v>
      </c>
      <c r="F714" t="n">
        <v>1.302</v>
      </c>
      <c r="G714" t="n">
        <v>15.646244</v>
      </c>
      <c r="H714" t="n">
        <v>-3.975509</v>
      </c>
      <c r="I714" t="n">
        <v>-6.006446063195659</v>
      </c>
      <c r="J714" t="inlineStr">
        <is>
          <t>Turkey|TURL.L|2019</t>
        </is>
      </c>
      <c r="K714" t="inlineStr">
        <is>
          <t>Turkey|2019</t>
        </is>
      </c>
      <c r="L714" t="inlineStr">
        <is>
          <t>GBp</t>
        </is>
      </c>
      <c r="M714" t="n">
        <v>-0.8868204404142599</v>
      </c>
      <c r="N714" t="n">
        <v>2.94386429390634</v>
      </c>
      <c r="O714" t="n">
        <v>2.030937063195659</v>
      </c>
      <c r="P714" t="n">
        <v>20.43411325529472</v>
      </c>
      <c r="Q714" t="n">
        <v>-15.28070053796821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TURL.L</t>
        </is>
      </c>
      <c r="D715" t="n">
        <v>2020</v>
      </c>
      <c r="E715" t="n">
        <v>-14.3073700427641</v>
      </c>
      <c r="F715" t="n">
        <v>1.803</v>
      </c>
      <c r="G715" t="n">
        <v>16.802649</v>
      </c>
      <c r="H715" t="n">
        <v>-5.789044</v>
      </c>
      <c r="I715" t="n">
        <v>6.140185579564416</v>
      </c>
      <c r="J715" t="inlineStr">
        <is>
          <t>Turkey|TURL.L|2020</t>
        </is>
      </c>
      <c r="K715" t="inlineStr">
        <is>
          <t>Turkey|2020</t>
        </is>
      </c>
      <c r="L715" t="inlineStr">
        <is>
          <t>GBp</t>
        </is>
      </c>
      <c r="M715" t="n">
        <v>-14.3073700427641</v>
      </c>
      <c r="N715" t="n">
        <v>2.775198362317122</v>
      </c>
      <c r="O715" t="n">
        <v>-11.92922957956442</v>
      </c>
      <c r="P715" t="n">
        <v>23.97989961492115</v>
      </c>
      <c r="Q715" t="n">
        <v>-28.96367016429158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TURL.L</t>
        </is>
      </c>
      <c r="D716" t="n">
        <v>2021</v>
      </c>
      <c r="E716" t="n">
        <v>-26.40840105068237</v>
      </c>
      <c r="F716" t="n">
        <v>11.811</v>
      </c>
      <c r="G716" t="n">
        <v>44.578332</v>
      </c>
      <c r="H716" t="n">
        <v>13.326305</v>
      </c>
      <c r="I716" t="n">
        <v>40.67463304965631</v>
      </c>
      <c r="J716" t="inlineStr">
        <is>
          <t>Turkey|TURL.L|2021</t>
        </is>
      </c>
      <c r="K716" t="inlineStr">
        <is>
          <t>Turkey|2021</t>
        </is>
      </c>
      <c r="L716" t="inlineStr">
        <is>
          <t>GBp</t>
        </is>
      </c>
      <c r="M716" t="n">
        <v>-26.40840105068237</v>
      </c>
      <c r="N716" t="n">
        <v>-1.277220514832489</v>
      </c>
      <c r="O716" t="n">
        <v>-27.34832804965631</v>
      </c>
      <c r="P716" t="n">
        <v>27.57702846858645</v>
      </c>
      <c r="Q716" t="n">
        <v>-43.05270092708512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TURL.L</t>
        </is>
      </c>
      <c r="D717" t="n">
        <v>2022</v>
      </c>
      <c r="E717" t="n">
        <v>109.6554391742339</v>
      </c>
      <c r="F717" t="n">
        <v>5.441</v>
      </c>
      <c r="G717" t="n">
        <v>106.164519</v>
      </c>
      <c r="H717" t="n">
        <v>11.729149</v>
      </c>
      <c r="I717" t="n">
        <v>-75.19744551406782</v>
      </c>
      <c r="J717" t="inlineStr">
        <is>
          <t>Turkey|TURL.L|2022</t>
        </is>
      </c>
      <c r="K717" t="inlineStr">
        <is>
          <t>Turkey|2022</t>
        </is>
      </c>
      <c r="L717" t="inlineStr">
        <is>
          <t>GBp</t>
        </is>
      </c>
      <c r="M717" t="n">
        <v>109.6554391742339</v>
      </c>
      <c r="N717" t="n">
        <v>-10.84104698150823</v>
      </c>
      <c r="O717" t="n">
        <v>86.92659451406782</v>
      </c>
      <c r="P717" t="n">
        <v>84.52169423245107</v>
      </c>
      <c r="Q717" t="n">
        <v>1.303315738358202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TURL.L</t>
        </is>
      </c>
      <c r="D718" t="n">
        <v>2023</v>
      </c>
      <c r="E718" t="n">
        <v>-19.83238917593529</v>
      </c>
      <c r="F718" t="n">
        <v>5.045</v>
      </c>
      <c r="G718" t="n">
        <v>76.769673</v>
      </c>
      <c r="H718" t="n">
        <v>24.713977</v>
      </c>
      <c r="I718" t="n">
        <v>40.48745543990434</v>
      </c>
      <c r="J718" t="inlineStr">
        <is>
          <t>Turkey|TURL.L|2023</t>
        </is>
      </c>
      <c r="K718" t="inlineStr">
        <is>
          <t>Turkey|2023</t>
        </is>
      </c>
      <c r="L718" t="inlineStr">
        <is>
          <t>GBp</t>
        </is>
      </c>
      <c r="M718" t="n">
        <v>-19.83238917593529</v>
      </c>
      <c r="N718" t="n">
        <v>5.06303068571996</v>
      </c>
      <c r="O718" t="n">
        <v>-15.77347843990434</v>
      </c>
      <c r="P718" t="n">
        <v>41.74006495945895</v>
      </c>
      <c r="Q718" t="n">
        <v>-40.5767722879297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TURL.L</t>
        </is>
      </c>
      <c r="D719" t="n">
        <v>2024</v>
      </c>
      <c r="E719" t="n">
        <v>0</v>
      </c>
      <c r="F719" t="n">
        <v>3.328</v>
      </c>
      <c r="G719" t="n">
        <v>64.580319</v>
      </c>
      <c r="H719" t="n">
        <v>17.771342</v>
      </c>
      <c r="I719" t="n">
        <v>19.19239552366492</v>
      </c>
      <c r="J719" t="inlineStr">
        <is>
          <t>Turkey|TURL.L|2024</t>
        </is>
      </c>
      <c r="K719" t="inlineStr">
        <is>
          <t>Turkey|2024</t>
        </is>
      </c>
      <c r="L719" t="inlineStr">
        <is>
          <t>GBp</t>
        </is>
      </c>
      <c r="M719" t="n">
        <v>0</v>
      </c>
      <c r="N719" t="n">
        <v>-1.421053523664917</v>
      </c>
      <c r="O719" t="n">
        <v>-1.421053523664917</v>
      </c>
      <c r="P719" t="n">
        <v>39.74564242319418</v>
      </c>
      <c r="Q719" t="n">
        <v>-29.45830383905158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TURL.L</t>
        </is>
      </c>
      <c r="D720" t="n">
        <v>2025</v>
      </c>
      <c r="E720" t="n">
        <v>0</v>
      </c>
      <c r="F720" t="n">
        <v>3.494</v>
      </c>
      <c r="G720" t="n">
        <v>39.453331</v>
      </c>
      <c r="H720" t="n">
        <v>15.256385</v>
      </c>
      <c r="I720" t="n">
        <v>7.684455444729715</v>
      </c>
      <c r="J720" t="inlineStr">
        <is>
          <t>Turkey|TURL.L|2025</t>
        </is>
      </c>
      <c r="K720" t="inlineStr">
        <is>
          <t>Turkey|2025</t>
        </is>
      </c>
      <c r="L720" t="inlineStr">
        <is>
          <t>GBp</t>
        </is>
      </c>
      <c r="M720" t="n">
        <v>0</v>
      </c>
      <c r="N720" t="n">
        <v>7.571929555270285</v>
      </c>
      <c r="O720" t="n">
        <v>7.571929555270285</v>
      </c>
      <c r="P720" t="n">
        <v>20.99401823360612</v>
      </c>
      <c r="Q720" t="n">
        <v>-11.09318367493298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TURL.L</t>
        </is>
      </c>
      <c r="D721" t="n">
        <v>2026</v>
      </c>
      <c r="E721" t="n">
        <v>0</v>
      </c>
      <c r="F721" t="n">
        <v>3.693</v>
      </c>
      <c r="G721" t="n">
        <v>28.538319</v>
      </c>
      <c r="H721" t="n">
        <v>0.679604</v>
      </c>
      <c r="I721" t="n">
        <v>1.478886849371385</v>
      </c>
      <c r="J721" t="inlineStr">
        <is>
          <t>Turkey|TURL.L|2026</t>
        </is>
      </c>
      <c r="K721" t="inlineStr">
        <is>
          <t>Turkey|2026</t>
        </is>
      </c>
      <c r="L721" t="inlineStr">
        <is>
          <t>GBp</t>
        </is>
      </c>
      <c r="M721" t="n">
        <v>0</v>
      </c>
      <c r="N721" t="n">
        <v>-0.7992828493713855</v>
      </c>
      <c r="O721" t="n">
        <v>-0.7992828493713855</v>
      </c>
      <c r="P721" t="n">
        <v>27.67066410635637</v>
      </c>
      <c r="Q721" t="n">
        <v>-22.29952131525751</v>
      </c>
    </row>
    <row r="722">
      <c r="A722" t="inlineStr">
        <is>
          <t>United Kingdom</t>
        </is>
      </c>
      <c r="B722" t="inlineStr">
        <is>
          <t>GBR</t>
        </is>
      </c>
      <c r="C722" t="inlineStr">
        <is>
          <t>CSUK.L</t>
        </is>
      </c>
      <c r="D722" t="n">
        <v>2015</v>
      </c>
      <c r="E722" t="n">
        <v>-2.0339794209141</v>
      </c>
      <c r="F722" t="n">
        <v>2.223</v>
      </c>
      <c r="G722" t="inlineStr"/>
      <c r="H722" t="inlineStr"/>
      <c r="I722" t="inlineStr"/>
      <c r="J722" t="inlineStr">
        <is>
          <t>United Kingdom|CSUK.L|2015</t>
        </is>
      </c>
      <c r="K722" t="inlineStr">
        <is>
          <t>United Kingdom|2015</t>
        </is>
      </c>
      <c r="L722" t="inlineStr">
        <is>
          <t>GBp</t>
        </is>
      </c>
      <c r="M722" t="n">
        <v>-2.0339794209141</v>
      </c>
      <c r="N722" t="n">
        <v>-4.888855870697362</v>
      </c>
      <c r="O722" t="n">
        <v>-6.823396969283325</v>
      </c>
      <c r="P722" t="inlineStr"/>
      <c r="Q722" t="inlineStr"/>
    </row>
    <row r="723">
      <c r="A723" t="inlineStr">
        <is>
          <t>United Kingdom</t>
        </is>
      </c>
      <c r="B723" t="inlineStr">
        <is>
          <t>GBR</t>
        </is>
      </c>
      <c r="C723" t="inlineStr">
        <is>
          <t>CSUK.L</t>
        </is>
      </c>
      <c r="D723" t="n">
        <v>2016</v>
      </c>
      <c r="E723" t="n">
        <v>21.43933685003767</v>
      </c>
      <c r="F723" t="n">
        <v>1.922</v>
      </c>
      <c r="G723" t="n">
        <v>3.923607</v>
      </c>
      <c r="H723" t="n">
        <v>-7.835665</v>
      </c>
      <c r="I723" t="n">
        <v>-9.084851567149119</v>
      </c>
      <c r="J723" t="inlineStr">
        <is>
          <t>United Kingdom|CSUK.L|2016</t>
        </is>
      </c>
      <c r="K723" t="inlineStr">
        <is>
          <t>United Kingdom|2016</t>
        </is>
      </c>
      <c r="L723" t="inlineStr">
        <is>
          <t>GBp</t>
        </is>
      </c>
      <c r="M723" t="n">
        <v>21.43933685003767</v>
      </c>
      <c r="N723" t="n">
        <v>-16.62570861023462</v>
      </c>
      <c r="O723" t="n">
        <v>1.249186567149119</v>
      </c>
      <c r="P723" t="n">
        <v>12.7590265055878</v>
      </c>
      <c r="Q723" t="n">
        <v>-10.20746657285864</v>
      </c>
    </row>
    <row r="724">
      <c r="A724" t="inlineStr">
        <is>
          <t>United Kingdom</t>
        </is>
      </c>
      <c r="B724" t="inlineStr">
        <is>
          <t>GBR</t>
        </is>
      </c>
      <c r="C724" t="inlineStr">
        <is>
          <t>CSUK.L</t>
        </is>
      </c>
      <c r="D724" t="n">
        <v>2017</v>
      </c>
      <c r="E724" t="n">
        <v>10.78797808611951</v>
      </c>
      <c r="F724" t="n">
        <v>2.657</v>
      </c>
      <c r="G724" t="n">
        <v>4.560903</v>
      </c>
      <c r="H724" t="n">
        <v>-0.618802</v>
      </c>
      <c r="I724" t="n">
        <v>-21.20197516536329</v>
      </c>
      <c r="J724" t="inlineStr">
        <is>
          <t>United Kingdom|CSUK.L|2017</t>
        </is>
      </c>
      <c r="K724" t="inlineStr">
        <is>
          <t>United Kingdom|2017</t>
        </is>
      </c>
      <c r="L724" t="inlineStr">
        <is>
          <t>GBp</t>
        </is>
      </c>
      <c r="M724" t="n">
        <v>10.78797808611951</v>
      </c>
      <c r="N724" t="n">
        <v>8.841388071573641</v>
      </c>
      <c r="O724" t="n">
        <v>20.58317316536329</v>
      </c>
      <c r="P724" t="n">
        <v>5.211956938907325</v>
      </c>
      <c r="Q724" t="n">
        <v>14.60976173590369</v>
      </c>
    </row>
    <row r="725">
      <c r="A725" t="inlineStr">
        <is>
          <t>United Kingdom</t>
        </is>
      </c>
      <c r="B725" t="inlineStr">
        <is>
          <t>GBR</t>
        </is>
      </c>
      <c r="C725" t="inlineStr">
        <is>
          <t>CSUK.L</t>
        </is>
      </c>
      <c r="D725" t="n">
        <v>2018</v>
      </c>
      <c r="E725" t="n">
        <v>-8.762214983713356</v>
      </c>
      <c r="F725" t="n">
        <v>1.405</v>
      </c>
      <c r="G725" t="n">
        <v>3.352826</v>
      </c>
      <c r="H725" t="n">
        <v>7.181671</v>
      </c>
      <c r="I725" t="n">
        <v>21.49598276977746</v>
      </c>
      <c r="J725" t="inlineStr">
        <is>
          <t>United Kingdom|CSUK.L|2018</t>
        </is>
      </c>
      <c r="K725" t="inlineStr">
        <is>
          <t>United Kingdom|2018</t>
        </is>
      </c>
      <c r="L725" t="inlineStr">
        <is>
          <t>GBp</t>
        </is>
      </c>
      <c r="M725" t="n">
        <v>-8.762214983713356</v>
      </c>
      <c r="N725" t="n">
        <v>-6.085304224640065</v>
      </c>
      <c r="O725" t="n">
        <v>-14.31431176977746</v>
      </c>
      <c r="P725" t="n">
        <v>-3.572294672198728</v>
      </c>
      <c r="Q725" t="n">
        <v>-11.13996963949497</v>
      </c>
    </row>
    <row r="726">
      <c r="A726" t="inlineStr">
        <is>
          <t>United Kingdom</t>
        </is>
      </c>
      <c r="B726" t="inlineStr">
        <is>
          <t>GBR</t>
        </is>
      </c>
      <c r="C726" t="inlineStr">
        <is>
          <t>CSUK.L</t>
        </is>
      </c>
      <c r="D726" t="n">
        <v>2019</v>
      </c>
      <c r="E726" t="n">
        <v>16.07315706352846</v>
      </c>
      <c r="F726" t="n">
        <v>1.624</v>
      </c>
      <c r="G726" t="n">
        <v>3.792076</v>
      </c>
      <c r="H726" t="n">
        <v>-0.763472</v>
      </c>
      <c r="I726" t="n">
        <v>-20.25366528913149</v>
      </c>
      <c r="J726" t="inlineStr">
        <is>
          <t>United Kingdom|CSUK.L|2019</t>
        </is>
      </c>
      <c r="K726" t="inlineStr">
        <is>
          <t>United Kingdom|2019</t>
        </is>
      </c>
      <c r="L726" t="inlineStr">
        <is>
          <t>GBp</t>
        </is>
      </c>
      <c r="M726" t="n">
        <v>16.07315706352846</v>
      </c>
      <c r="N726" t="n">
        <v>2.94386429390634</v>
      </c>
      <c r="O726" t="n">
        <v>19.49019328913149</v>
      </c>
      <c r="P726" t="n">
        <v>4.59059563527251</v>
      </c>
      <c r="Q726" t="n">
        <v>14.24563801684116</v>
      </c>
    </row>
    <row r="727">
      <c r="A727" t="inlineStr">
        <is>
          <t>United Kingdom</t>
        </is>
      </c>
      <c r="B727" t="inlineStr">
        <is>
          <t>GBR</t>
        </is>
      </c>
      <c r="C727" t="inlineStr">
        <is>
          <t>CSUK.L</t>
        </is>
      </c>
      <c r="D727" t="n">
        <v>2020</v>
      </c>
      <c r="E727" t="n">
        <v>-13.76937815711548</v>
      </c>
      <c r="F727" t="n">
        <v>-10.297</v>
      </c>
      <c r="G727" t="n">
        <v>-5.838837</v>
      </c>
      <c r="H727" t="n">
        <v>-5.41062</v>
      </c>
      <c r="I727" t="n">
        <v>5.965687351915872</v>
      </c>
      <c r="J727" t="inlineStr">
        <is>
          <t>United Kingdom|CSUK.L|2020</t>
        </is>
      </c>
      <c r="K727" t="inlineStr">
        <is>
          <t>United Kingdom|2020</t>
        </is>
      </c>
      <c r="L727" t="inlineStr">
        <is>
          <t>GBp</t>
        </is>
      </c>
      <c r="M727" t="n">
        <v>-13.76937815711548</v>
      </c>
      <c r="N727" t="n">
        <v>2.775198362317122</v>
      </c>
      <c r="O727" t="n">
        <v>-11.37630735191587</v>
      </c>
      <c r="P727" t="n">
        <v>-0.4527109415704333</v>
      </c>
      <c r="Q727" t="n">
        <v>-10.97327362067469</v>
      </c>
    </row>
    <row r="728">
      <c r="A728" t="inlineStr">
        <is>
          <t>United Kingdom</t>
        </is>
      </c>
      <c r="B728" t="inlineStr">
        <is>
          <t>GBR</t>
        </is>
      </c>
      <c r="C728" t="inlineStr">
        <is>
          <t>CSUK.L</t>
        </is>
      </c>
      <c r="D728" t="n">
        <v>2021</v>
      </c>
      <c r="E728" t="n">
        <v>16.31212723658053</v>
      </c>
      <c r="F728" t="n">
        <v>8.576000000000001</v>
      </c>
      <c r="G728" t="n">
        <v>8.648215</v>
      </c>
      <c r="H728" t="n">
        <v>16.503249</v>
      </c>
      <c r="I728" t="n">
        <v>1.676684113723152</v>
      </c>
      <c r="J728" t="inlineStr">
        <is>
          <t>United Kingdom|CSUK.L|2021</t>
        </is>
      </c>
      <c r="K728" t="inlineStr">
        <is>
          <t>United Kingdom|2021</t>
        </is>
      </c>
      <c r="L728" t="inlineStr">
        <is>
          <t>GBp</t>
        </is>
      </c>
      <c r="M728" t="n">
        <v>16.31212723658053</v>
      </c>
      <c r="N728" t="n">
        <v>-1.277220514832489</v>
      </c>
      <c r="O728" t="n">
        <v>14.82656488627685</v>
      </c>
      <c r="P728" t="n">
        <v>-6.742329910657796</v>
      </c>
      <c r="Q728" t="n">
        <v>23.12827971819511</v>
      </c>
    </row>
    <row r="729">
      <c r="A729" t="inlineStr">
        <is>
          <t>United Kingdom</t>
        </is>
      </c>
      <c r="B729" t="inlineStr">
        <is>
          <t>GBR</t>
        </is>
      </c>
      <c r="C729" t="inlineStr">
        <is>
          <t>CSUK.L</t>
        </is>
      </c>
      <c r="D729" t="n">
        <v>2022</v>
      </c>
      <c r="E729" t="n">
        <v>5.392692146157074</v>
      </c>
      <c r="F729" t="n">
        <v>4.839</v>
      </c>
      <c r="G729" t="n">
        <v>10.546425</v>
      </c>
      <c r="H729" t="n">
        <v>-0.593974</v>
      </c>
      <c r="I729" t="n">
        <v>5.43900512448415</v>
      </c>
      <c r="J729" t="inlineStr">
        <is>
          <t>United Kingdom|CSUK.L|2022</t>
        </is>
      </c>
      <c r="K729" t="inlineStr">
        <is>
          <t>United Kingdom|2022</t>
        </is>
      </c>
      <c r="L729" t="inlineStr">
        <is>
          <t>GBp</t>
        </is>
      </c>
      <c r="M729" t="n">
        <v>5.392692146157074</v>
      </c>
      <c r="N729" t="n">
        <v>-10.84104698150823</v>
      </c>
      <c r="O729" t="n">
        <v>-6.03297912448415</v>
      </c>
      <c r="P729" t="n">
        <v>11.20696517543676</v>
      </c>
      <c r="Q729" t="n">
        <v>-15.50257600566987</v>
      </c>
    </row>
    <row r="730">
      <c r="A730" t="inlineStr">
        <is>
          <t>United Kingdom</t>
        </is>
      </c>
      <c r="B730" t="inlineStr">
        <is>
          <t>GBR</t>
        </is>
      </c>
      <c r="C730" t="inlineStr">
        <is>
          <t>CSUK.L</t>
        </is>
      </c>
      <c r="D730" t="n">
        <v>2023</v>
      </c>
      <c r="E730" t="n">
        <v>5.633026077365488</v>
      </c>
      <c r="F730" t="n">
        <v>0.397</v>
      </c>
      <c r="G730" t="n">
        <v>7.312973</v>
      </c>
      <c r="H730" t="n">
        <v>7.861832</v>
      </c>
      <c r="I730" t="n">
        <v>-3.119426601917077</v>
      </c>
      <c r="J730" t="inlineStr">
        <is>
          <t>United Kingdom|CSUK.L|2023</t>
        </is>
      </c>
      <c r="K730" t="inlineStr">
        <is>
          <t>United Kingdom|2023</t>
        </is>
      </c>
      <c r="L730" t="inlineStr">
        <is>
          <t>GBp</t>
        </is>
      </c>
      <c r="M730" t="n">
        <v>5.633026077365488</v>
      </c>
      <c r="N730" t="n">
        <v>5.06303068571996</v>
      </c>
      <c r="O730" t="n">
        <v>10.98125860191708</v>
      </c>
      <c r="P730" t="n">
        <v>-0.5088533315019572</v>
      </c>
      <c r="Q730" t="n">
        <v>11.54887878788229</v>
      </c>
    </row>
    <row r="731">
      <c r="A731" t="inlineStr">
        <is>
          <t>United Kingdom</t>
        </is>
      </c>
      <c r="B731" t="inlineStr">
        <is>
          <t>GBR</t>
        </is>
      </c>
      <c r="C731" t="inlineStr">
        <is>
          <t>CSUK.L</t>
        </is>
      </c>
      <c r="D731" t="n">
        <v>2024</v>
      </c>
      <c r="E731" t="n">
        <v>8.961349052380241</v>
      </c>
      <c r="F731" t="n">
        <v>1.101</v>
      </c>
      <c r="G731" t="n">
        <v>5.156564</v>
      </c>
      <c r="H731" t="n">
        <v>8.113569</v>
      </c>
      <c r="I731" t="n">
        <v>0.7006190377614425</v>
      </c>
      <c r="J731" t="inlineStr">
        <is>
          <t>United Kingdom|CSUK.L|2024</t>
        </is>
      </c>
      <c r="K731" t="inlineStr">
        <is>
          <t>United Kingdom|2024</t>
        </is>
      </c>
      <c r="L731" t="inlineStr">
        <is>
          <t>GBp</t>
        </is>
      </c>
      <c r="M731" t="n">
        <v>8.961349052380241</v>
      </c>
      <c r="N731" t="n">
        <v>-1.421053523664917</v>
      </c>
      <c r="O731" t="n">
        <v>7.412949962238558</v>
      </c>
      <c r="P731" t="n">
        <v>-2.735091514946997</v>
      </c>
      <c r="Q731" t="n">
        <v>10.43340464227656</v>
      </c>
    </row>
    <row r="732">
      <c r="A732" t="inlineStr">
        <is>
          <t>United Kingdom</t>
        </is>
      </c>
      <c r="B732" t="inlineStr">
        <is>
          <t>GBR</t>
        </is>
      </c>
      <c r="C732" t="inlineStr">
        <is>
          <t>CSUK.L</t>
        </is>
      </c>
      <c r="D732" t="n">
        <v>2025</v>
      </c>
      <c r="E732" t="n">
        <v>23.79534380075798</v>
      </c>
      <c r="F732" t="n">
        <v>1.308</v>
      </c>
      <c r="G732" t="n">
        <v>4.886901</v>
      </c>
      <c r="H732" t="n">
        <v>8.619351999999999</v>
      </c>
      <c r="I732" t="n">
        <v>-24.54968802605603</v>
      </c>
      <c r="J732" t="inlineStr">
        <is>
          <t>United Kingdom|CSUK.L|2025</t>
        </is>
      </c>
      <c r="K732" t="inlineStr">
        <is>
          <t>United Kingdom|2025</t>
        </is>
      </c>
      <c r="L732" t="inlineStr">
        <is>
          <t>GBp</t>
        </is>
      </c>
      <c r="M732" t="n">
        <v>23.79534380075798</v>
      </c>
      <c r="N732" t="n">
        <v>7.571929555270285</v>
      </c>
      <c r="O732" t="n">
        <v>33.16904002605603</v>
      </c>
      <c r="P732" t="n">
        <v>-3.436267223503675</v>
      </c>
      <c r="Q732" t="n">
        <v>37.90792484615866</v>
      </c>
    </row>
    <row r="733">
      <c r="A733" t="inlineStr">
        <is>
          <t>United Kingdom</t>
        </is>
      </c>
      <c r="B733" t="inlineStr">
        <is>
          <t>GBR</t>
        </is>
      </c>
      <c r="C733" t="inlineStr">
        <is>
          <t>CSUK.L</t>
        </is>
      </c>
      <c r="D733" t="n">
        <v>2026</v>
      </c>
      <c r="E733" t="n">
        <v>5.058070118311098</v>
      </c>
      <c r="F733" t="n">
        <v>1.264</v>
      </c>
      <c r="G733" t="n">
        <v>3.62701</v>
      </c>
      <c r="H733" t="n">
        <v>6.74094</v>
      </c>
      <c r="I733" t="n">
        <v>2.522581018025132</v>
      </c>
      <c r="J733" t="inlineStr">
        <is>
          <t>United Kingdom|CSUK.L|2026</t>
        </is>
      </c>
      <c r="K733" t="inlineStr">
        <is>
          <t>United Kingdom|2026</t>
        </is>
      </c>
      <c r="L733" t="inlineStr">
        <is>
          <t>GBp</t>
        </is>
      </c>
      <c r="M733" t="n">
        <v>5.058070118311098</v>
      </c>
      <c r="N733" t="n">
        <v>-0.7992828493713855</v>
      </c>
      <c r="O733" t="n">
        <v>4.218358981974868</v>
      </c>
      <c r="P733" t="n">
        <v>-2.917278011347091</v>
      </c>
      <c r="Q733" t="n">
        <v>7.35005863778313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CUKX.L</t>
        </is>
      </c>
      <c r="D734" t="n">
        <v>2015</v>
      </c>
      <c r="E734" t="n">
        <v>-1.165381319622971</v>
      </c>
      <c r="F734" t="n">
        <v>2.223</v>
      </c>
      <c r="G734" t="inlineStr"/>
      <c r="H734" t="inlineStr"/>
      <c r="I734" t="inlineStr"/>
      <c r="J734" t="inlineStr">
        <is>
          <t>United Kingdom|CUKX.L|2015</t>
        </is>
      </c>
      <c r="K734" t="inlineStr">
        <is>
          <t>United Kingdom|2015</t>
        </is>
      </c>
      <c r="L734" t="inlineStr">
        <is>
          <t>GBp</t>
        </is>
      </c>
      <c r="M734" t="n">
        <v>-1.165381319622971</v>
      </c>
      <c r="N734" t="n">
        <v>-4.888855870697362</v>
      </c>
      <c r="O734" t="n">
        <v>-5.997263377259932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CUKX.L</t>
        </is>
      </c>
      <c r="D735" t="n">
        <v>2016</v>
      </c>
      <c r="E735" t="n">
        <v>22.1086413883276</v>
      </c>
      <c r="F735" t="n">
        <v>1.922</v>
      </c>
      <c r="G735" t="n">
        <v>3.923607</v>
      </c>
      <c r="H735" t="n">
        <v>-7.835665</v>
      </c>
      <c r="I735" t="n">
        <v>-9.642879483187901</v>
      </c>
      <c r="J735" t="inlineStr">
        <is>
          <t>United Kingdom|CUKX.L|2016</t>
        </is>
      </c>
      <c r="K735" t="inlineStr">
        <is>
          <t>United Kingdom|2016</t>
        </is>
      </c>
      <c r="L735" t="inlineStr">
        <is>
          <t>GBp</t>
        </is>
      </c>
      <c r="M735" t="n">
        <v>22.1086413883276</v>
      </c>
      <c r="N735" t="n">
        <v>-16.62570861023462</v>
      </c>
      <c r="O735" t="n">
        <v>1.807214483187902</v>
      </c>
      <c r="P735" t="n">
        <v>12.7590265055878</v>
      </c>
      <c r="Q735" t="n">
        <v>-9.712581211276405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CUKX.L</t>
        </is>
      </c>
      <c r="D736" t="n">
        <v>2017</v>
      </c>
      <c r="E736" t="n">
        <v>11.49447473821359</v>
      </c>
      <c r="F736" t="n">
        <v>2.657</v>
      </c>
      <c r="G736" t="n">
        <v>4.560903</v>
      </c>
      <c r="H736" t="n">
        <v>-0.618802</v>
      </c>
      <c r="I736" t="n">
        <v>-21.97093592818169</v>
      </c>
      <c r="J736" t="inlineStr">
        <is>
          <t>United Kingdom|CUKX.L|2017</t>
        </is>
      </c>
      <c r="K736" t="inlineStr">
        <is>
          <t>United Kingdom|2017</t>
        </is>
      </c>
      <c r="L736" t="inlineStr">
        <is>
          <t>GBp</t>
        </is>
      </c>
      <c r="M736" t="n">
        <v>11.49447473821359</v>
      </c>
      <c r="N736" t="n">
        <v>8.841388071573641</v>
      </c>
      <c r="O736" t="n">
        <v>21.35213392818169</v>
      </c>
      <c r="P736" t="n">
        <v>5.211956938907325</v>
      </c>
      <c r="Q736" t="n">
        <v>15.3406299615227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CUKX.L</t>
        </is>
      </c>
      <c r="D737" t="n">
        <v>2018</v>
      </c>
      <c r="E737" t="n">
        <v>-8.379839553540302</v>
      </c>
      <c r="F737" t="n">
        <v>1.405</v>
      </c>
      <c r="G737" t="n">
        <v>3.352826</v>
      </c>
      <c r="H737" t="n">
        <v>7.181671</v>
      </c>
      <c r="I737" t="n">
        <v>21.13687604781072</v>
      </c>
      <c r="J737" t="inlineStr">
        <is>
          <t>United Kingdom|CUKX.L|2018</t>
        </is>
      </c>
      <c r="K737" t="inlineStr">
        <is>
          <t>United Kingdom|2018</t>
        </is>
      </c>
      <c r="L737" t="inlineStr">
        <is>
          <t>GBp</t>
        </is>
      </c>
      <c r="M737" t="n">
        <v>-8.379839553540302</v>
      </c>
      <c r="N737" t="n">
        <v>-6.085304224640065</v>
      </c>
      <c r="O737" t="n">
        <v>-13.95520504781071</v>
      </c>
      <c r="P737" t="n">
        <v>-3.572294672198728</v>
      </c>
      <c r="Q737" t="n">
        <v>-10.76755932365682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CUKX.L</t>
        </is>
      </c>
      <c r="D738" t="n">
        <v>2019</v>
      </c>
      <c r="E738" t="n">
        <v>17.23776889396536</v>
      </c>
      <c r="F738" t="n">
        <v>1.624</v>
      </c>
      <c r="G738" t="n">
        <v>3.792076</v>
      </c>
      <c r="H738" t="n">
        <v>-0.763472</v>
      </c>
      <c r="I738" t="n">
        <v>-21.45256171140724</v>
      </c>
      <c r="J738" t="inlineStr">
        <is>
          <t>United Kingdom|CUKX.L|2019</t>
        </is>
      </c>
      <c r="K738" t="inlineStr">
        <is>
          <t>United Kingdom|2019</t>
        </is>
      </c>
      <c r="L738" t="inlineStr">
        <is>
          <t>GBp</t>
        </is>
      </c>
      <c r="M738" t="n">
        <v>17.23776889396536</v>
      </c>
      <c r="N738" t="n">
        <v>2.94386429390634</v>
      </c>
      <c r="O738" t="n">
        <v>20.68908971140724</v>
      </c>
      <c r="P738" t="n">
        <v>4.59059563527251</v>
      </c>
      <c r="Q738" t="n">
        <v>15.39191356388605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CUKX.L</t>
        </is>
      </c>
      <c r="D739" t="n">
        <v>2020</v>
      </c>
      <c r="E739" t="n">
        <v>-12.13315108145051</v>
      </c>
      <c r="F739" t="n">
        <v>-10.297</v>
      </c>
      <c r="G739" t="n">
        <v>-5.838837</v>
      </c>
      <c r="H739" t="n">
        <v>-5.41062</v>
      </c>
      <c r="I739" t="n">
        <v>4.284051729243265</v>
      </c>
      <c r="J739" t="inlineStr">
        <is>
          <t>United Kingdom|CUKX.L|2020</t>
        </is>
      </c>
      <c r="K739" t="inlineStr">
        <is>
          <t>United Kingdom|2020</t>
        </is>
      </c>
      <c r="L739" t="inlineStr">
        <is>
          <t>GBp</t>
        </is>
      </c>
      <c r="M739" t="n">
        <v>-12.13315108145051</v>
      </c>
      <c r="N739" t="n">
        <v>2.775198362317122</v>
      </c>
      <c r="O739" t="n">
        <v>-9.694671729243264</v>
      </c>
      <c r="P739" t="n">
        <v>-0.4527109415704333</v>
      </c>
      <c r="Q739" t="n">
        <v>-9.283990428155441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CUKX.L</t>
        </is>
      </c>
      <c r="D740" t="n">
        <v>2021</v>
      </c>
      <c r="E740" t="n">
        <v>15.65765765765765</v>
      </c>
      <c r="F740" t="n">
        <v>8.576000000000001</v>
      </c>
      <c r="G740" t="n">
        <v>8.648215</v>
      </c>
      <c r="H740" t="n">
        <v>16.503249</v>
      </c>
      <c r="I740" t="n">
        <v>2.322794672920672</v>
      </c>
      <c r="J740" t="inlineStr">
        <is>
          <t>United Kingdom|CUKX.L|2021</t>
        </is>
      </c>
      <c r="K740" t="inlineStr">
        <is>
          <t>United Kingdom|2021</t>
        </is>
      </c>
      <c r="L740" t="inlineStr">
        <is>
          <t>GBp</t>
        </is>
      </c>
      <c r="M740" t="n">
        <v>15.65765765765765</v>
      </c>
      <c r="N740" t="n">
        <v>-1.277220514832489</v>
      </c>
      <c r="O740" t="n">
        <v>14.18045432707933</v>
      </c>
      <c r="P740" t="n">
        <v>-6.742329910657796</v>
      </c>
      <c r="Q740" t="n">
        <v>22.43545674869722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CUKX.L</t>
        </is>
      </c>
      <c r="D741" t="n">
        <v>2022</v>
      </c>
      <c r="E741" t="n">
        <v>3.343558282208581</v>
      </c>
      <c r="F741" t="n">
        <v>4.839</v>
      </c>
      <c r="G741" t="n">
        <v>10.546425</v>
      </c>
      <c r="H741" t="n">
        <v>-0.593974</v>
      </c>
      <c r="I741" t="n">
        <v>7.265991423527992</v>
      </c>
      <c r="J741" t="inlineStr">
        <is>
          <t>United Kingdom|CUKX.L|2022</t>
        </is>
      </c>
      <c r="K741" t="inlineStr">
        <is>
          <t>United Kingdom|2022</t>
        </is>
      </c>
      <c r="L741" t="inlineStr">
        <is>
          <t>GBp</t>
        </is>
      </c>
      <c r="M741" t="n">
        <v>3.343558282208581</v>
      </c>
      <c r="N741" t="n">
        <v>-10.84104698150823</v>
      </c>
      <c r="O741" t="n">
        <v>-7.859965423527992</v>
      </c>
      <c r="P741" t="n">
        <v>11.20696517543676</v>
      </c>
      <c r="Q741" t="n">
        <v>-17.14544639257563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CUKX.L</t>
        </is>
      </c>
      <c r="D742" t="n">
        <v>2023</v>
      </c>
      <c r="E742" t="n">
        <v>6.578560939794431</v>
      </c>
      <c r="F742" t="n">
        <v>0.397</v>
      </c>
      <c r="G742" t="n">
        <v>7.312973</v>
      </c>
      <c r="H742" t="n">
        <v>7.861832</v>
      </c>
      <c r="I742" t="n">
        <v>-4.112834184574968</v>
      </c>
      <c r="J742" t="inlineStr">
        <is>
          <t>United Kingdom|CUKX.L|2023</t>
        </is>
      </c>
      <c r="K742" t="inlineStr">
        <is>
          <t>United Kingdom|2023</t>
        </is>
      </c>
      <c r="L742" t="inlineStr">
        <is>
          <t>GBp</t>
        </is>
      </c>
      <c r="M742" t="n">
        <v>6.578560939794431</v>
      </c>
      <c r="N742" t="n">
        <v>5.06303068571996</v>
      </c>
      <c r="O742" t="n">
        <v>11.97466618457497</v>
      </c>
      <c r="P742" t="n">
        <v>-0.5088533315019572</v>
      </c>
      <c r="Q742" t="n">
        <v>12.54736721215175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CUKX.L</t>
        </is>
      </c>
      <c r="D743" t="n">
        <v>2024</v>
      </c>
      <c r="E743" t="n">
        <v>9.390512961941532</v>
      </c>
      <c r="F743" t="n">
        <v>1.101</v>
      </c>
      <c r="G743" t="n">
        <v>5.156564</v>
      </c>
      <c r="H743" t="n">
        <v>8.113569</v>
      </c>
      <c r="I743" t="n">
        <v>0.2775537770592713</v>
      </c>
      <c r="J743" t="inlineStr">
        <is>
          <t>United Kingdom|CUKX.L|2024</t>
        </is>
      </c>
      <c r="K743" t="inlineStr">
        <is>
          <t>United Kingdom|2024</t>
        </is>
      </c>
      <c r="L743" t="inlineStr">
        <is>
          <t>GBp</t>
        </is>
      </c>
      <c r="M743" t="n">
        <v>9.390512961941532</v>
      </c>
      <c r="N743" t="n">
        <v>-1.421053523664917</v>
      </c>
      <c r="O743" t="n">
        <v>7.836015222940729</v>
      </c>
      <c r="P743" t="n">
        <v>-2.735091514946997</v>
      </c>
      <c r="Q743" t="n">
        <v>10.86836650806311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CUKX.L</t>
        </is>
      </c>
      <c r="D744" t="n">
        <v>2025</v>
      </c>
      <c r="E744" t="n">
        <v>24.46052139204191</v>
      </c>
      <c r="F744" t="n">
        <v>1.308</v>
      </c>
      <c r="G744" t="n">
        <v>4.886901</v>
      </c>
      <c r="H744" t="n">
        <v>8.619351999999999</v>
      </c>
      <c r="I744" t="n">
        <v>-25.26523239596942</v>
      </c>
      <c r="J744" t="inlineStr">
        <is>
          <t>United Kingdom|CUKX.L|2025</t>
        </is>
      </c>
      <c r="K744" t="inlineStr">
        <is>
          <t>United Kingdom|2025</t>
        </is>
      </c>
      <c r="L744" t="inlineStr">
        <is>
          <t>GBp</t>
        </is>
      </c>
      <c r="M744" t="n">
        <v>24.46052139204191</v>
      </c>
      <c r="N744" t="n">
        <v>7.571929555270285</v>
      </c>
      <c r="O744" t="n">
        <v>33.88458439596942</v>
      </c>
      <c r="P744" t="n">
        <v>-3.436267223503675</v>
      </c>
      <c r="Q744" t="n">
        <v>38.64893220921242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CUKX.L</t>
        </is>
      </c>
      <c r="D745" t="n">
        <v>2026</v>
      </c>
      <c r="E745" t="n">
        <v>4.811767638992759</v>
      </c>
      <c r="F745" t="n">
        <v>1.264</v>
      </c>
      <c r="G745" t="n">
        <v>3.62701</v>
      </c>
      <c r="H745" t="n">
        <v>6.74094</v>
      </c>
      <c r="I745" t="n">
        <v>2.7669148438687</v>
      </c>
      <c r="J745" t="inlineStr">
        <is>
          <t>United Kingdom|CUKX.L|2026</t>
        </is>
      </c>
      <c r="K745" t="inlineStr">
        <is>
          <t>United Kingdom|2026</t>
        </is>
      </c>
      <c r="L745" t="inlineStr">
        <is>
          <t>GBp</t>
        </is>
      </c>
      <c r="M745" t="n">
        <v>4.811767638992759</v>
      </c>
      <c r="N745" t="n">
        <v>-0.7992828493713855</v>
      </c>
      <c r="O745" t="n">
        <v>3.9740251561313</v>
      </c>
      <c r="P745" t="n">
        <v>-2.917278011347091</v>
      </c>
      <c r="Q745" t="n">
        <v>7.098382725902397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EWU</t>
        </is>
      </c>
      <c r="D746" t="n">
        <v>2015</v>
      </c>
      <c r="E746" t="n">
        <v>-9.630465632270035</v>
      </c>
      <c r="F746" t="n">
        <v>2.223</v>
      </c>
      <c r="G746" t="inlineStr"/>
      <c r="H746" t="inlineStr"/>
      <c r="I746" t="inlineStr"/>
      <c r="J746" t="inlineStr">
        <is>
          <t>United Kingdom|EWU|2015</t>
        </is>
      </c>
      <c r="K746" t="inlineStr">
        <is>
          <t>United Kingdom|2015</t>
        </is>
      </c>
      <c r="L746" t="inlineStr">
        <is>
          <t>USD</t>
        </is>
      </c>
      <c r="M746" t="n">
        <v>-9.630465632270035</v>
      </c>
      <c r="N746" t="n">
        <v>0</v>
      </c>
      <c r="O746" t="n">
        <v>-9.630465632270035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EWU</t>
        </is>
      </c>
      <c r="D747" t="n">
        <v>2016</v>
      </c>
      <c r="E747" t="n">
        <v>-3.369016647081724</v>
      </c>
      <c r="F747" t="n">
        <v>1.922</v>
      </c>
      <c r="G747" t="n">
        <v>3.923607</v>
      </c>
      <c r="H747" t="n">
        <v>-7.835665</v>
      </c>
      <c r="I747" t="n">
        <v>-4.466648352918275</v>
      </c>
      <c r="J747" t="inlineStr">
        <is>
          <t>United Kingdom|EWU|2016</t>
        </is>
      </c>
      <c r="K747" t="inlineStr">
        <is>
          <t>United Kingdom|2016</t>
        </is>
      </c>
      <c r="L747" t="inlineStr">
        <is>
          <t>USD</t>
        </is>
      </c>
      <c r="M747" t="n">
        <v>-3.369016647081724</v>
      </c>
      <c r="N747" t="n">
        <v>0</v>
      </c>
      <c r="O747" t="n">
        <v>-3.369016647081724</v>
      </c>
      <c r="P747" t="n">
        <v>12.7590265055878</v>
      </c>
      <c r="Q747" t="n">
        <v>-14.30310605942514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EWU</t>
        </is>
      </c>
      <c r="D748" t="n">
        <v>2017</v>
      </c>
      <c r="E748" t="n">
        <v>16.26095526038529</v>
      </c>
      <c r="F748" t="n">
        <v>2.657</v>
      </c>
      <c r="G748" t="n">
        <v>4.560903</v>
      </c>
      <c r="H748" t="n">
        <v>-0.618802</v>
      </c>
      <c r="I748" t="n">
        <v>-16.87975726038529</v>
      </c>
      <c r="J748" t="inlineStr">
        <is>
          <t>United Kingdom|EWU|2017</t>
        </is>
      </c>
      <c r="K748" t="inlineStr">
        <is>
          <t>United Kingdom|2017</t>
        </is>
      </c>
      <c r="L748" t="inlineStr">
        <is>
          <t>USD</t>
        </is>
      </c>
      <c r="M748" t="n">
        <v>16.26095526038529</v>
      </c>
      <c r="N748" t="n">
        <v>0</v>
      </c>
      <c r="O748" t="n">
        <v>16.26095526038529</v>
      </c>
      <c r="P748" t="n">
        <v>5.211956938907325</v>
      </c>
      <c r="Q748" t="n">
        <v>10.50165650648787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EWU</t>
        </is>
      </c>
      <c r="D749" t="n">
        <v>2018</v>
      </c>
      <c r="E749" t="n">
        <v>-18.81051412830848</v>
      </c>
      <c r="F749" t="n">
        <v>1.405</v>
      </c>
      <c r="G749" t="n">
        <v>3.352826</v>
      </c>
      <c r="H749" t="n">
        <v>7.181671</v>
      </c>
      <c r="I749" t="n">
        <v>25.99218512830848</v>
      </c>
      <c r="J749" t="inlineStr">
        <is>
          <t>United Kingdom|EWU|2018</t>
        </is>
      </c>
      <c r="K749" t="inlineStr">
        <is>
          <t>United Kingdom|2018</t>
        </is>
      </c>
      <c r="L749" t="inlineStr">
        <is>
          <t>USD</t>
        </is>
      </c>
      <c r="M749" t="n">
        <v>-18.81051412830848</v>
      </c>
      <c r="N749" t="n">
        <v>0</v>
      </c>
      <c r="O749" t="n">
        <v>-18.81051412830848</v>
      </c>
      <c r="P749" t="n">
        <v>-3.572294672198728</v>
      </c>
      <c r="Q749" t="n">
        <v>-15.80273989130838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EWU</t>
        </is>
      </c>
      <c r="D750" t="n">
        <v>2019</v>
      </c>
      <c r="E750" t="n">
        <v>16.26320682858127</v>
      </c>
      <c r="F750" t="n">
        <v>1.624</v>
      </c>
      <c r="G750" t="n">
        <v>3.792076</v>
      </c>
      <c r="H750" t="n">
        <v>-0.763472</v>
      </c>
      <c r="I750" t="n">
        <v>-17.02667882858127</v>
      </c>
      <c r="J750" t="inlineStr">
        <is>
          <t>United Kingdom|EWU|2019</t>
        </is>
      </c>
      <c r="K750" t="inlineStr">
        <is>
          <t>United Kingdom|2019</t>
        </is>
      </c>
      <c r="L750" t="inlineStr">
        <is>
          <t>USD</t>
        </is>
      </c>
      <c r="M750" t="n">
        <v>16.26320682858127</v>
      </c>
      <c r="N750" t="n">
        <v>0</v>
      </c>
      <c r="O750" t="n">
        <v>16.26320682858127</v>
      </c>
      <c r="P750" t="n">
        <v>4.59059563527251</v>
      </c>
      <c r="Q750" t="n">
        <v>11.16028752146454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EWU</t>
        </is>
      </c>
      <c r="D751" t="n">
        <v>2020</v>
      </c>
      <c r="E751" t="n">
        <v>-14.23133350863439</v>
      </c>
      <c r="F751" t="n">
        <v>-10.297</v>
      </c>
      <c r="G751" t="n">
        <v>-5.838837</v>
      </c>
      <c r="H751" t="n">
        <v>-5.41062</v>
      </c>
      <c r="I751" t="n">
        <v>8.820713508634393</v>
      </c>
      <c r="J751" t="inlineStr">
        <is>
          <t>United Kingdom|EWU|2020</t>
        </is>
      </c>
      <c r="K751" t="inlineStr">
        <is>
          <t>United Kingdom|2020</t>
        </is>
      </c>
      <c r="L751" t="inlineStr">
        <is>
          <t>USD</t>
        </is>
      </c>
      <c r="M751" t="n">
        <v>-14.23133350863439</v>
      </c>
      <c r="N751" t="n">
        <v>0</v>
      </c>
      <c r="O751" t="n">
        <v>-14.23133350863439</v>
      </c>
      <c r="P751" t="n">
        <v>-0.4527109415704333</v>
      </c>
      <c r="Q751" t="n">
        <v>-13.84128357224932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EWU</t>
        </is>
      </c>
      <c r="D752" t="n">
        <v>2021</v>
      </c>
      <c r="E752" t="n">
        <v>11.65767873617334</v>
      </c>
      <c r="F752" t="n">
        <v>8.576000000000001</v>
      </c>
      <c r="G752" t="n">
        <v>8.648215</v>
      </c>
      <c r="H752" t="n">
        <v>16.503249</v>
      </c>
      <c r="I752" t="n">
        <v>4.845570263826662</v>
      </c>
      <c r="J752" t="inlineStr">
        <is>
          <t>United Kingdom|EWU|2021</t>
        </is>
      </c>
      <c r="K752" t="inlineStr">
        <is>
          <t>United Kingdom|2021</t>
        </is>
      </c>
      <c r="L752" t="inlineStr">
        <is>
          <t>USD</t>
        </is>
      </c>
      <c r="M752" t="n">
        <v>11.65767873617334</v>
      </c>
      <c r="N752" t="n">
        <v>0</v>
      </c>
      <c r="O752" t="n">
        <v>11.65767873617334</v>
      </c>
      <c r="P752" t="n">
        <v>-6.742329910657796</v>
      </c>
      <c r="Q752" t="n">
        <v>19.73028988307735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EWU</t>
        </is>
      </c>
      <c r="D753" t="n">
        <v>2022</v>
      </c>
      <c r="E753" t="n">
        <v>-8.55949608222727</v>
      </c>
      <c r="F753" t="n">
        <v>4.839</v>
      </c>
      <c r="G753" t="n">
        <v>10.546425</v>
      </c>
      <c r="H753" t="n">
        <v>-0.593974</v>
      </c>
      <c r="I753" t="n">
        <v>7.965522082227269</v>
      </c>
      <c r="J753" t="inlineStr">
        <is>
          <t>United Kingdom|EWU|2022</t>
        </is>
      </c>
      <c r="K753" t="inlineStr">
        <is>
          <t>United Kingdom|2022</t>
        </is>
      </c>
      <c r="L753" t="inlineStr">
        <is>
          <t>USD</t>
        </is>
      </c>
      <c r="M753" t="n">
        <v>-8.55949608222727</v>
      </c>
      <c r="N753" t="n">
        <v>0</v>
      </c>
      <c r="O753" t="n">
        <v>-8.55949608222727</v>
      </c>
      <c r="P753" t="n">
        <v>11.20696517543676</v>
      </c>
      <c r="Q753" t="n">
        <v>-17.77448132541073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EWU</t>
        </is>
      </c>
      <c r="D754" t="n">
        <v>2023</v>
      </c>
      <c r="E754" t="n">
        <v>7.409810677209805</v>
      </c>
      <c r="F754" t="n">
        <v>0.397</v>
      </c>
      <c r="G754" t="n">
        <v>7.312973</v>
      </c>
      <c r="H754" t="n">
        <v>7.861832</v>
      </c>
      <c r="I754" t="n">
        <v>0.4520213227901948</v>
      </c>
      <c r="J754" t="inlineStr">
        <is>
          <t>United Kingdom|EWU|2023</t>
        </is>
      </c>
      <c r="K754" t="inlineStr">
        <is>
          <t>United Kingdom|2023</t>
        </is>
      </c>
      <c r="L754" t="inlineStr">
        <is>
          <t>USD</t>
        </is>
      </c>
      <c r="M754" t="n">
        <v>7.409810677209805</v>
      </c>
      <c r="N754" t="n">
        <v>0</v>
      </c>
      <c r="O754" t="n">
        <v>7.409810677209805</v>
      </c>
      <c r="P754" t="n">
        <v>-0.5088533315019572</v>
      </c>
      <c r="Q754" t="n">
        <v>7.959164482339864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EWU</t>
        </is>
      </c>
      <c r="D755" t="n">
        <v>2024</v>
      </c>
      <c r="E755" t="n">
        <v>3.543065937516565</v>
      </c>
      <c r="F755" t="n">
        <v>1.101</v>
      </c>
      <c r="G755" t="n">
        <v>5.156564</v>
      </c>
      <c r="H755" t="n">
        <v>8.113569</v>
      </c>
      <c r="I755" t="n">
        <v>4.570503062483435</v>
      </c>
      <c r="J755" t="inlineStr">
        <is>
          <t>United Kingdom|EWU|2024</t>
        </is>
      </c>
      <c r="K755" t="inlineStr">
        <is>
          <t>United Kingdom|2024</t>
        </is>
      </c>
      <c r="L755" t="inlineStr">
        <is>
          <t>USD</t>
        </is>
      </c>
      <c r="M755" t="n">
        <v>3.543065937516565</v>
      </c>
      <c r="N755" t="n">
        <v>0</v>
      </c>
      <c r="O755" t="n">
        <v>3.543065937516565</v>
      </c>
      <c r="P755" t="n">
        <v>-2.735091514946997</v>
      </c>
      <c r="Q755" t="n">
        <v>6.454699387732776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EWU</t>
        </is>
      </c>
      <c r="D756" t="n">
        <v>2025</v>
      </c>
      <c r="E756" t="n">
        <v>30.04139544379412</v>
      </c>
      <c r="F756" t="n">
        <v>1.308</v>
      </c>
      <c r="G756" t="n">
        <v>4.886901</v>
      </c>
      <c r="H756" t="n">
        <v>8.619351999999999</v>
      </c>
      <c r="I756" t="n">
        <v>-21.42204344379412</v>
      </c>
      <c r="J756" t="inlineStr">
        <is>
          <t>United Kingdom|EWU|2025</t>
        </is>
      </c>
      <c r="K756" t="inlineStr">
        <is>
          <t>United Kingdom|2025</t>
        </is>
      </c>
      <c r="L756" t="inlineStr">
        <is>
          <t>USD</t>
        </is>
      </c>
      <c r="M756" t="n">
        <v>30.04139544379412</v>
      </c>
      <c r="N756" t="n">
        <v>0</v>
      </c>
      <c r="O756" t="n">
        <v>30.04139544379412</v>
      </c>
      <c r="P756" t="n">
        <v>-3.436267223503675</v>
      </c>
      <c r="Q756" t="n">
        <v>34.66898151584947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EWU</t>
        </is>
      </c>
      <c r="D757" t="n">
        <v>2026</v>
      </c>
      <c r="E757" t="n">
        <v>4.003604657328474</v>
      </c>
      <c r="F757" t="n">
        <v>1.264</v>
      </c>
      <c r="G757" t="n">
        <v>3.62701</v>
      </c>
      <c r="H757" t="n">
        <v>6.74094</v>
      </c>
      <c r="I757" t="n">
        <v>2.737335342671526</v>
      </c>
      <c r="J757" t="inlineStr">
        <is>
          <t>United Kingdom|EWU|2026</t>
        </is>
      </c>
      <c r="K757" t="inlineStr">
        <is>
          <t>United Kingdom|2026</t>
        </is>
      </c>
      <c r="L757" t="inlineStr">
        <is>
          <t>USD</t>
        </is>
      </c>
      <c r="M757" t="n">
        <v>4.003604657328474</v>
      </c>
      <c r="N757" t="n">
        <v>0</v>
      </c>
      <c r="O757" t="n">
        <v>4.003604657328474</v>
      </c>
      <c r="P757" t="n">
        <v>-2.917278011347091</v>
      </c>
      <c r="Q757" t="n">
        <v>7.128851073504605</v>
      </c>
    </row>
    <row r="758">
      <c r="A758" t="inlineStr">
        <is>
          <t>United States</t>
        </is>
      </c>
      <c r="B758" t="inlineStr">
        <is>
          <t>USA</t>
        </is>
      </c>
      <c r="C758" t="inlineStr">
        <is>
          <t>CSPX.L</t>
        </is>
      </c>
      <c r="D758" t="n">
        <v>2015</v>
      </c>
      <c r="E758" t="n">
        <v>2.070451140200924</v>
      </c>
      <c r="F758" t="n">
        <v>2.946</v>
      </c>
      <c r="G758" t="inlineStr"/>
      <c r="H758" t="inlineStr"/>
      <c r="I758" t="inlineStr"/>
      <c r="J758" t="inlineStr">
        <is>
          <t>United States|CSPX.L|2015</t>
        </is>
      </c>
      <c r="K758" t="inlineStr">
        <is>
          <t>United States|2015</t>
        </is>
      </c>
      <c r="L758" t="inlineStr">
        <is>
          <t>USD</t>
        </is>
      </c>
      <c r="M758" t="n">
        <v>2.070451140200924</v>
      </c>
      <c r="N758" t="n">
        <v>0</v>
      </c>
      <c r="O758" t="n">
        <v>2.070451140200924</v>
      </c>
      <c r="P758" t="inlineStr"/>
      <c r="Q758" t="inlineStr"/>
    </row>
    <row r="759">
      <c r="A759" t="inlineStr">
        <is>
          <t>United States</t>
        </is>
      </c>
      <c r="B759" t="inlineStr">
        <is>
          <t>USA</t>
        </is>
      </c>
      <c r="C759" t="inlineStr">
        <is>
          <t>CSPX.L</t>
        </is>
      </c>
      <c r="D759" t="n">
        <v>2016</v>
      </c>
      <c r="E759" t="n">
        <v>15.09546206966357</v>
      </c>
      <c r="F759" t="n">
        <v>1.82</v>
      </c>
      <c r="G759" t="n">
        <v>2.7871</v>
      </c>
      <c r="H759" t="n">
        <v>2.7871</v>
      </c>
      <c r="I759" t="n">
        <v>-12.30836206966357</v>
      </c>
      <c r="J759" t="inlineStr">
        <is>
          <t>United States|CSPX.L|2016</t>
        </is>
      </c>
      <c r="K759" t="inlineStr">
        <is>
          <t>United States|2016</t>
        </is>
      </c>
      <c r="L759" t="inlineStr">
        <is>
          <t>USD</t>
        </is>
      </c>
      <c r="M759" t="n">
        <v>15.09546206966357</v>
      </c>
      <c r="N759" t="n">
        <v>0</v>
      </c>
      <c r="O759" t="n">
        <v>15.09546206966357</v>
      </c>
      <c r="P759" t="n">
        <v>0</v>
      </c>
      <c r="Q759" t="n">
        <v>15.09546206966357</v>
      </c>
    </row>
    <row r="760">
      <c r="A760" t="inlineStr">
        <is>
          <t>United States</t>
        </is>
      </c>
      <c r="B760" t="inlineStr">
        <is>
          <t>USA</t>
        </is>
      </c>
      <c r="C760" t="inlineStr">
        <is>
          <t>CSPX.L</t>
        </is>
      </c>
      <c r="D760" t="n">
        <v>2017</v>
      </c>
      <c r="E760" t="n">
        <v>21.75331032463907</v>
      </c>
      <c r="F760" t="n">
        <v>2.458</v>
      </c>
      <c r="G760" t="n">
        <v>4.292498</v>
      </c>
      <c r="H760" t="n">
        <v>4.292498</v>
      </c>
      <c r="I760" t="n">
        <v>-17.46081232463907</v>
      </c>
      <c r="J760" t="inlineStr">
        <is>
          <t>United States|CSPX.L|2017</t>
        </is>
      </c>
      <c r="K760" t="inlineStr">
        <is>
          <t>United States|2017</t>
        </is>
      </c>
      <c r="L760" t="inlineStr">
        <is>
          <t>USD</t>
        </is>
      </c>
      <c r="M760" t="n">
        <v>21.75331032463907</v>
      </c>
      <c r="N760" t="n">
        <v>0</v>
      </c>
      <c r="O760" t="n">
        <v>21.75331032463907</v>
      </c>
      <c r="P760" t="n">
        <v>0</v>
      </c>
      <c r="Q760" t="n">
        <v>21.75331032463907</v>
      </c>
    </row>
    <row r="761">
      <c r="A761" t="inlineStr">
        <is>
          <t>United States</t>
        </is>
      </c>
      <c r="B761" t="inlineStr">
        <is>
          <t>USA</t>
        </is>
      </c>
      <c r="C761" t="inlineStr">
        <is>
          <t>CSPX.L</t>
        </is>
      </c>
      <c r="D761" t="n">
        <v>2018</v>
      </c>
      <c r="E761" t="n">
        <v>-5.182610110960129</v>
      </c>
      <c r="F761" t="n">
        <v>2.967</v>
      </c>
      <c r="G761" t="n">
        <v>5.325411</v>
      </c>
      <c r="H761" t="n">
        <v>5.325411</v>
      </c>
      <c r="I761" t="n">
        <v>10.50802111096013</v>
      </c>
      <c r="J761" t="inlineStr">
        <is>
          <t>United States|CSPX.L|2018</t>
        </is>
      </c>
      <c r="K761" t="inlineStr">
        <is>
          <t>United States|2018</t>
        </is>
      </c>
      <c r="L761" t="inlineStr">
        <is>
          <t>USD</t>
        </is>
      </c>
      <c r="M761" t="n">
        <v>-5.182610110960129</v>
      </c>
      <c r="N761" t="n">
        <v>0</v>
      </c>
      <c r="O761" t="n">
        <v>-5.182610110960129</v>
      </c>
      <c r="P761" t="n">
        <v>0</v>
      </c>
      <c r="Q761" t="n">
        <v>-5.182610110960129</v>
      </c>
    </row>
    <row r="762">
      <c r="A762" t="inlineStr">
        <is>
          <t>United States</t>
        </is>
      </c>
      <c r="B762" t="inlineStr">
        <is>
          <t>USA</t>
        </is>
      </c>
      <c r="C762" t="inlineStr">
        <is>
          <t>CSPX.L</t>
        </is>
      </c>
      <c r="D762" t="n">
        <v>2019</v>
      </c>
      <c r="E762" t="n">
        <v>30.78807504109404</v>
      </c>
      <c r="F762" t="n">
        <v>2.584</v>
      </c>
      <c r="G762" t="n">
        <v>4.276857</v>
      </c>
      <c r="H762" t="n">
        <v>4.276857</v>
      </c>
      <c r="I762" t="n">
        <v>-26.51121804109404</v>
      </c>
      <c r="J762" t="inlineStr">
        <is>
          <t>United States|CSPX.L|2019</t>
        </is>
      </c>
      <c r="K762" t="inlineStr">
        <is>
          <t>United States|2019</t>
        </is>
      </c>
      <c r="L762" t="inlineStr">
        <is>
          <t>USD</t>
        </is>
      </c>
      <c r="M762" t="n">
        <v>30.78807504109404</v>
      </c>
      <c r="N762" t="n">
        <v>0</v>
      </c>
      <c r="O762" t="n">
        <v>30.78807504109404</v>
      </c>
      <c r="P762" t="n">
        <v>0</v>
      </c>
      <c r="Q762" t="n">
        <v>30.78807504109404</v>
      </c>
    </row>
    <row r="763">
      <c r="A763" t="inlineStr">
        <is>
          <t>United States</t>
        </is>
      </c>
      <c r="B763" t="inlineStr">
        <is>
          <t>USA</t>
        </is>
      </c>
      <c r="C763" t="inlineStr">
        <is>
          <t>CSPX.L</t>
        </is>
      </c>
      <c r="D763" t="n">
        <v>2020</v>
      </c>
      <c r="E763" t="n">
        <v>17.10129211912717</v>
      </c>
      <c r="F763" t="n">
        <v>-2.081</v>
      </c>
      <c r="G763" t="n">
        <v>-0.764625</v>
      </c>
      <c r="H763" t="n">
        <v>-0.764625</v>
      </c>
      <c r="I763" t="n">
        <v>-17.86591711912716</v>
      </c>
      <c r="J763" t="inlineStr">
        <is>
          <t>United States|CSPX.L|2020</t>
        </is>
      </c>
      <c r="K763" t="inlineStr">
        <is>
          <t>United States|2020</t>
        </is>
      </c>
      <c r="L763" t="inlineStr">
        <is>
          <t>USD</t>
        </is>
      </c>
      <c r="M763" t="n">
        <v>17.10129211912717</v>
      </c>
      <c r="N763" t="n">
        <v>0</v>
      </c>
      <c r="O763" t="n">
        <v>17.10129211912717</v>
      </c>
      <c r="P763" t="n">
        <v>0</v>
      </c>
      <c r="Q763" t="n">
        <v>17.10129211912717</v>
      </c>
    </row>
    <row r="764">
      <c r="A764" t="inlineStr">
        <is>
          <t>United States</t>
        </is>
      </c>
      <c r="B764" t="inlineStr">
        <is>
          <t>USA</t>
        </is>
      </c>
      <c r="C764" t="inlineStr">
        <is>
          <t>CSPX.L</t>
        </is>
      </c>
      <c r="D764" t="n">
        <v>2021</v>
      </c>
      <c r="E764" t="n">
        <v>30.40325324854079</v>
      </c>
      <c r="F764" t="n">
        <v>6.152</v>
      </c>
      <c r="G764" t="n">
        <v>10.995765</v>
      </c>
      <c r="H764" t="n">
        <v>10.995765</v>
      </c>
      <c r="I764" t="n">
        <v>-19.40748824854079</v>
      </c>
      <c r="J764" t="inlineStr">
        <is>
          <t>United States|CSPX.L|2021</t>
        </is>
      </c>
      <c r="K764" t="inlineStr">
        <is>
          <t>United States|2021</t>
        </is>
      </c>
      <c r="L764" t="inlineStr">
        <is>
          <t>USD</t>
        </is>
      </c>
      <c r="M764" t="n">
        <v>30.40325324854079</v>
      </c>
      <c r="N764" t="n">
        <v>0</v>
      </c>
      <c r="O764" t="n">
        <v>30.40325324854079</v>
      </c>
      <c r="P764" t="n">
        <v>0</v>
      </c>
      <c r="Q764" t="n">
        <v>30.40325324854079</v>
      </c>
    </row>
    <row r="765">
      <c r="A765" t="inlineStr">
        <is>
          <t>United States</t>
        </is>
      </c>
      <c r="B765" t="inlineStr">
        <is>
          <t>USA</t>
        </is>
      </c>
      <c r="C765" t="inlineStr">
        <is>
          <t>CSPX.L</t>
        </is>
      </c>
      <c r="D765" t="n">
        <v>2022</v>
      </c>
      <c r="E765" t="n">
        <v>-19.03146132154795</v>
      </c>
      <c r="F765" t="n">
        <v>2.524</v>
      </c>
      <c r="G765" t="n">
        <v>9.816169</v>
      </c>
      <c r="H765" t="n">
        <v>9.816169</v>
      </c>
      <c r="I765" t="n">
        <v>28.84763032154795</v>
      </c>
      <c r="J765" t="inlineStr">
        <is>
          <t>United States|CSPX.L|2022</t>
        </is>
      </c>
      <c r="K765" t="inlineStr">
        <is>
          <t>United States|2022</t>
        </is>
      </c>
      <c r="L765" t="inlineStr">
        <is>
          <t>USD</t>
        </is>
      </c>
      <c r="M765" t="n">
        <v>-19.03146132154795</v>
      </c>
      <c r="N765" t="n">
        <v>0</v>
      </c>
      <c r="O765" t="n">
        <v>-19.03146132154795</v>
      </c>
      <c r="P765" t="n">
        <v>0</v>
      </c>
      <c r="Q765" t="n">
        <v>-19.03146132154795</v>
      </c>
    </row>
    <row r="766">
      <c r="A766" t="inlineStr">
        <is>
          <t>United States</t>
        </is>
      </c>
      <c r="B766" t="inlineStr">
        <is>
          <t>USA</t>
        </is>
      </c>
      <c r="C766" t="inlineStr">
        <is>
          <t>CSPX.L</t>
        </is>
      </c>
      <c r="D766" t="n">
        <v>2023</v>
      </c>
      <c r="E766" t="n">
        <v>27.32068620122947</v>
      </c>
      <c r="F766" t="n">
        <v>2.935</v>
      </c>
      <c r="G766" t="n">
        <v>6.743147</v>
      </c>
      <c r="H766" t="n">
        <v>6.743147</v>
      </c>
      <c r="I766" t="n">
        <v>-20.57753920122947</v>
      </c>
      <c r="J766" t="inlineStr">
        <is>
          <t>United States|CSPX.L|2023</t>
        </is>
      </c>
      <c r="K766" t="inlineStr">
        <is>
          <t>United States|2023</t>
        </is>
      </c>
      <c r="L766" t="inlineStr">
        <is>
          <t>USD</t>
        </is>
      </c>
      <c r="M766" t="n">
        <v>27.32068620122947</v>
      </c>
      <c r="N766" t="n">
        <v>0</v>
      </c>
      <c r="O766" t="n">
        <v>27.32068620122947</v>
      </c>
      <c r="P766" t="n">
        <v>0</v>
      </c>
      <c r="Q766" t="n">
        <v>27.32068620122947</v>
      </c>
    </row>
    <row r="767">
      <c r="A767" t="inlineStr">
        <is>
          <t>United States</t>
        </is>
      </c>
      <c r="B767" t="inlineStr">
        <is>
          <t>USA</t>
        </is>
      </c>
      <c r="C767" t="inlineStr">
        <is>
          <t>CSPX.L</t>
        </is>
      </c>
      <c r="D767" t="n">
        <v>2024</v>
      </c>
      <c r="E767" t="n">
        <v>26.3650865018394</v>
      </c>
      <c r="F767" t="n">
        <v>2.793</v>
      </c>
      <c r="G767" t="n">
        <v>5.345001</v>
      </c>
      <c r="H767" t="n">
        <v>5.345001</v>
      </c>
      <c r="I767" t="n">
        <v>-21.0200855018394</v>
      </c>
      <c r="J767" t="inlineStr">
        <is>
          <t>United States|CSPX.L|2024</t>
        </is>
      </c>
      <c r="K767" t="inlineStr">
        <is>
          <t>United States|2024</t>
        </is>
      </c>
      <c r="L767" t="inlineStr">
        <is>
          <t>USD</t>
        </is>
      </c>
      <c r="M767" t="n">
        <v>26.3650865018394</v>
      </c>
      <c r="N767" t="n">
        <v>0</v>
      </c>
      <c r="O767" t="n">
        <v>26.3650865018394</v>
      </c>
      <c r="P767" t="n">
        <v>0</v>
      </c>
      <c r="Q767" t="n">
        <v>26.3650865018394</v>
      </c>
    </row>
    <row r="768">
      <c r="A768" t="inlineStr">
        <is>
          <t>United States</t>
        </is>
      </c>
      <c r="B768" t="inlineStr">
        <is>
          <t>USA</t>
        </is>
      </c>
      <c r="C768" t="inlineStr">
        <is>
          <t>CSPX.L</t>
        </is>
      </c>
      <c r="D768" t="n">
        <v>2025</v>
      </c>
      <c r="E768" t="n">
        <v>18.0137493932327</v>
      </c>
      <c r="F768" t="n">
        <v>2.017</v>
      </c>
      <c r="G768" t="n">
        <v>4.497634</v>
      </c>
      <c r="H768" t="n">
        <v>4.497634</v>
      </c>
      <c r="I768" t="n">
        <v>-13.5161153932327</v>
      </c>
      <c r="J768" t="inlineStr">
        <is>
          <t>United States|CSPX.L|2025</t>
        </is>
      </c>
      <c r="K768" t="inlineStr">
        <is>
          <t>United States|2025</t>
        </is>
      </c>
      <c r="L768" t="inlineStr">
        <is>
          <t>USD</t>
        </is>
      </c>
      <c r="M768" t="n">
        <v>18.0137493932327</v>
      </c>
      <c r="N768" t="n">
        <v>0</v>
      </c>
      <c r="O768" t="n">
        <v>18.0137493932327</v>
      </c>
      <c r="P768" t="n">
        <v>0</v>
      </c>
      <c r="Q768" t="n">
        <v>18.0137493932327</v>
      </c>
    </row>
    <row r="769">
      <c r="A769" t="inlineStr">
        <is>
          <t>United States</t>
        </is>
      </c>
      <c r="B769" t="inlineStr">
        <is>
          <t>USA</t>
        </is>
      </c>
      <c r="C769" t="inlineStr">
        <is>
          <t>CSPX.L</t>
        </is>
      </c>
      <c r="D769" t="n">
        <v>2026</v>
      </c>
      <c r="E769" t="n">
        <v>-0.2562990556159495</v>
      </c>
      <c r="F769" t="n">
        <v>2.102</v>
      </c>
      <c r="G769" t="n">
        <v>3.93768</v>
      </c>
      <c r="H769" t="n">
        <v>3.93768</v>
      </c>
      <c r="I769" t="n">
        <v>4.19397905561595</v>
      </c>
      <c r="J769" t="inlineStr">
        <is>
          <t>United States|CSPX.L|2026</t>
        </is>
      </c>
      <c r="K769" t="inlineStr">
        <is>
          <t>United States|2026</t>
        </is>
      </c>
      <c r="L769" t="inlineStr">
        <is>
          <t>USD</t>
        </is>
      </c>
      <c r="M769" t="n">
        <v>-0.2562990556159495</v>
      </c>
      <c r="N769" t="n">
        <v>0</v>
      </c>
      <c r="O769" t="n">
        <v>-0.2562990556159495</v>
      </c>
      <c r="P769" t="n">
        <v>0</v>
      </c>
      <c r="Q769" t="n">
        <v>-0.2562990556159495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VUAA.L</t>
        </is>
      </c>
      <c r="D770" t="n">
        <v>2015</v>
      </c>
      <c r="E770" t="inlineStr"/>
      <c r="F770" t="n">
        <v>2.946</v>
      </c>
      <c r="G770" t="inlineStr"/>
      <c r="H770" t="inlineStr"/>
      <c r="I770" t="inlineStr"/>
      <c r="J770" t="inlineStr">
        <is>
          <t>United States|VUAA.L|2015</t>
        </is>
      </c>
      <c r="K770" t="inlineStr">
        <is>
          <t>United States|2015</t>
        </is>
      </c>
      <c r="L770" t="inlineStr">
        <is>
          <t>USD</t>
        </is>
      </c>
      <c r="M770" t="inlineStr"/>
      <c r="N770" t="n">
        <v>0</v>
      </c>
      <c r="O770" t="inlineStr"/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VUAA.L</t>
        </is>
      </c>
      <c r="D771" t="n">
        <v>2016</v>
      </c>
      <c r="E771" t="inlineStr"/>
      <c r="F771" t="n">
        <v>1.82</v>
      </c>
      <c r="G771" t="n">
        <v>2.7871</v>
      </c>
      <c r="H771" t="n">
        <v>2.7871</v>
      </c>
      <c r="I771" t="inlineStr"/>
      <c r="J771" t="inlineStr">
        <is>
          <t>United States|VUAA.L|2016</t>
        </is>
      </c>
      <c r="K771" t="inlineStr">
        <is>
          <t>United States|2016</t>
        </is>
      </c>
      <c r="L771" t="inlineStr">
        <is>
          <t>USD</t>
        </is>
      </c>
      <c r="M771" t="inlineStr"/>
      <c r="N771" t="n">
        <v>0</v>
      </c>
      <c r="O771" t="inlineStr"/>
      <c r="P771" t="n">
        <v>0</v>
      </c>
      <c r="Q771" t="inlineStr"/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VUAA.L</t>
        </is>
      </c>
      <c r="D772" t="n">
        <v>2017</v>
      </c>
      <c r="E772" t="inlineStr"/>
      <c r="F772" t="n">
        <v>2.458</v>
      </c>
      <c r="G772" t="n">
        <v>4.292498</v>
      </c>
      <c r="H772" t="n">
        <v>4.292498</v>
      </c>
      <c r="I772" t="inlineStr"/>
      <c r="J772" t="inlineStr">
        <is>
          <t>United States|VUAA.L|2017</t>
        </is>
      </c>
      <c r="K772" t="inlineStr">
        <is>
          <t>United States|2017</t>
        </is>
      </c>
      <c r="L772" t="inlineStr">
        <is>
          <t>USD</t>
        </is>
      </c>
      <c r="M772" t="inlineStr"/>
      <c r="N772" t="n">
        <v>0</v>
      </c>
      <c r="O772" t="inlineStr"/>
      <c r="P772" t="n">
        <v>0</v>
      </c>
      <c r="Q772" t="inlineStr"/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VUAA.L</t>
        </is>
      </c>
      <c r="D773" t="n">
        <v>2018</v>
      </c>
      <c r="E773" t="inlineStr"/>
      <c r="F773" t="n">
        <v>2.967</v>
      </c>
      <c r="G773" t="n">
        <v>5.325411</v>
      </c>
      <c r="H773" t="n">
        <v>5.325411</v>
      </c>
      <c r="I773" t="inlineStr"/>
      <c r="J773" t="inlineStr">
        <is>
          <t>United States|VUAA.L|2018</t>
        </is>
      </c>
      <c r="K773" t="inlineStr">
        <is>
          <t>United States|2018</t>
        </is>
      </c>
      <c r="L773" t="inlineStr">
        <is>
          <t>USD</t>
        </is>
      </c>
      <c r="M773" t="inlineStr"/>
      <c r="N773" t="n">
        <v>0</v>
      </c>
      <c r="O773" t="inlineStr"/>
      <c r="P773" t="n">
        <v>0</v>
      </c>
      <c r="Q773" t="inlineStr"/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VUAA.L</t>
        </is>
      </c>
      <c r="D774" t="n">
        <v>2019</v>
      </c>
      <c r="E774" t="n">
        <v>14.81999969482422</v>
      </c>
      <c r="F774" t="n">
        <v>2.584</v>
      </c>
      <c r="G774" t="n">
        <v>4.276857</v>
      </c>
      <c r="H774" t="n">
        <v>4.276857</v>
      </c>
      <c r="I774" t="n">
        <v>-10.54314269482422</v>
      </c>
      <c r="J774" t="inlineStr">
        <is>
          <t>United States|VUAA.L|2019</t>
        </is>
      </c>
      <c r="K774" t="inlineStr">
        <is>
          <t>United States|2019</t>
        </is>
      </c>
      <c r="L774" t="inlineStr">
        <is>
          <t>USD</t>
        </is>
      </c>
      <c r="M774" t="n">
        <v>14.81999969482422</v>
      </c>
      <c r="N774" t="n">
        <v>0</v>
      </c>
      <c r="O774" t="n">
        <v>14.81999969482422</v>
      </c>
      <c r="P774" t="n">
        <v>0</v>
      </c>
      <c r="Q774" t="n">
        <v>14.81999969482422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VUAA.L</t>
        </is>
      </c>
      <c r="D775" t="n">
        <v>2020</v>
      </c>
      <c r="E775" t="n">
        <v>16.93932963818721</v>
      </c>
      <c r="F775" t="n">
        <v>-2.081</v>
      </c>
      <c r="G775" t="n">
        <v>-0.764625</v>
      </c>
      <c r="H775" t="n">
        <v>-0.764625</v>
      </c>
      <c r="I775" t="n">
        <v>-17.70395463818721</v>
      </c>
      <c r="J775" t="inlineStr">
        <is>
          <t>United States|VUAA.L|2020</t>
        </is>
      </c>
      <c r="K775" t="inlineStr">
        <is>
          <t>United States|2020</t>
        </is>
      </c>
      <c r="L775" t="inlineStr">
        <is>
          <t>USD</t>
        </is>
      </c>
      <c r="M775" t="n">
        <v>16.93932963818721</v>
      </c>
      <c r="N775" t="n">
        <v>0</v>
      </c>
      <c r="O775" t="n">
        <v>16.93932963818721</v>
      </c>
      <c r="P775" t="n">
        <v>0</v>
      </c>
      <c r="Q775" t="n">
        <v>16.93932963818721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VUAA.L</t>
        </is>
      </c>
      <c r="D776" t="n">
        <v>2021</v>
      </c>
      <c r="E776" t="n">
        <v>30.44192052513195</v>
      </c>
      <c r="F776" t="n">
        <v>6.152</v>
      </c>
      <c r="G776" t="n">
        <v>10.995765</v>
      </c>
      <c r="H776" t="n">
        <v>10.995765</v>
      </c>
      <c r="I776" t="n">
        <v>-19.44615552513195</v>
      </c>
      <c r="J776" t="inlineStr">
        <is>
          <t>United States|VUAA.L|2021</t>
        </is>
      </c>
      <c r="K776" t="inlineStr">
        <is>
          <t>United States|2021</t>
        </is>
      </c>
      <c r="L776" t="inlineStr">
        <is>
          <t>USD</t>
        </is>
      </c>
      <c r="M776" t="n">
        <v>30.44192052513195</v>
      </c>
      <c r="N776" t="n">
        <v>0</v>
      </c>
      <c r="O776" t="n">
        <v>30.44192052513195</v>
      </c>
      <c r="P776" t="n">
        <v>0</v>
      </c>
      <c r="Q776" t="n">
        <v>30.44192052513195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VUAA.L</t>
        </is>
      </c>
      <c r="D777" t="n">
        <v>2022</v>
      </c>
      <c r="E777" t="n">
        <v>-18.985759159099</v>
      </c>
      <c r="F777" t="n">
        <v>2.524</v>
      </c>
      <c r="G777" t="n">
        <v>9.816169</v>
      </c>
      <c r="H777" t="n">
        <v>9.816169</v>
      </c>
      <c r="I777" t="n">
        <v>28.80192815909901</v>
      </c>
      <c r="J777" t="inlineStr">
        <is>
          <t>United States|VUAA.L|2022</t>
        </is>
      </c>
      <c r="K777" t="inlineStr">
        <is>
          <t>United States|2022</t>
        </is>
      </c>
      <c r="L777" t="inlineStr">
        <is>
          <t>USD</t>
        </is>
      </c>
      <c r="M777" t="n">
        <v>-18.985759159099</v>
      </c>
      <c r="N777" t="n">
        <v>0</v>
      </c>
      <c r="O777" t="n">
        <v>-18.985759159099</v>
      </c>
      <c r="P777" t="n">
        <v>0</v>
      </c>
      <c r="Q777" t="n">
        <v>-18.985759159099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VUAA.L</t>
        </is>
      </c>
      <c r="D778" t="n">
        <v>2023</v>
      </c>
      <c r="E778" t="n">
        <v>27.32927086700789</v>
      </c>
      <c r="F778" t="n">
        <v>2.935</v>
      </c>
      <c r="G778" t="n">
        <v>6.743147</v>
      </c>
      <c r="H778" t="n">
        <v>6.743147</v>
      </c>
      <c r="I778" t="n">
        <v>-20.58612386700789</v>
      </c>
      <c r="J778" t="inlineStr">
        <is>
          <t>United States|VUAA.L|2023</t>
        </is>
      </c>
      <c r="K778" t="inlineStr">
        <is>
          <t>United States|2023</t>
        </is>
      </c>
      <c r="L778" t="inlineStr">
        <is>
          <t>USD</t>
        </is>
      </c>
      <c r="M778" t="n">
        <v>27.32927086700789</v>
      </c>
      <c r="N778" t="n">
        <v>0</v>
      </c>
      <c r="O778" t="n">
        <v>27.32927086700789</v>
      </c>
      <c r="P778" t="n">
        <v>0</v>
      </c>
      <c r="Q778" t="n">
        <v>27.32927086700789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VUAA.L</t>
        </is>
      </c>
      <c r="D779" t="n">
        <v>2024</v>
      </c>
      <c r="E779" t="n">
        <v>26.42313132621432</v>
      </c>
      <c r="F779" t="n">
        <v>2.793</v>
      </c>
      <c r="G779" t="n">
        <v>5.345001</v>
      </c>
      <c r="H779" t="n">
        <v>5.345001</v>
      </c>
      <c r="I779" t="n">
        <v>-21.07813032621432</v>
      </c>
      <c r="J779" t="inlineStr">
        <is>
          <t>United States|VUAA.L|2024</t>
        </is>
      </c>
      <c r="K779" t="inlineStr">
        <is>
          <t>United States|2024</t>
        </is>
      </c>
      <c r="L779" t="inlineStr">
        <is>
          <t>USD</t>
        </is>
      </c>
      <c r="M779" t="n">
        <v>26.42313132621432</v>
      </c>
      <c r="N779" t="n">
        <v>0</v>
      </c>
      <c r="O779" t="n">
        <v>26.42313132621432</v>
      </c>
      <c r="P779" t="n">
        <v>0</v>
      </c>
      <c r="Q779" t="n">
        <v>26.42313132621432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VUAA.L</t>
        </is>
      </c>
      <c r="D780" t="n">
        <v>2025</v>
      </c>
      <c r="E780" t="n">
        <v>18.0213919524709</v>
      </c>
      <c r="F780" t="n">
        <v>2.017</v>
      </c>
      <c r="G780" t="n">
        <v>4.497634</v>
      </c>
      <c r="H780" t="n">
        <v>4.497634</v>
      </c>
      <c r="I780" t="n">
        <v>-13.5237579524709</v>
      </c>
      <c r="J780" t="inlineStr">
        <is>
          <t>United States|VUAA.L|2025</t>
        </is>
      </c>
      <c r="K780" t="inlineStr">
        <is>
          <t>United States|2025</t>
        </is>
      </c>
      <c r="L780" t="inlineStr">
        <is>
          <t>USD</t>
        </is>
      </c>
      <c r="M780" t="n">
        <v>18.0213919524709</v>
      </c>
      <c r="N780" t="n">
        <v>0</v>
      </c>
      <c r="O780" t="n">
        <v>18.0213919524709</v>
      </c>
      <c r="P780" t="n">
        <v>0</v>
      </c>
      <c r="Q780" t="n">
        <v>18.0213919524709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VUAA.L</t>
        </is>
      </c>
      <c r="D781" t="n">
        <v>2026</v>
      </c>
      <c r="E781" t="n">
        <v>-0.349442962625357</v>
      </c>
      <c r="F781" t="n">
        <v>2.102</v>
      </c>
      <c r="G781" t="n">
        <v>3.93768</v>
      </c>
      <c r="H781" t="n">
        <v>3.93768</v>
      </c>
      <c r="I781" t="n">
        <v>4.287122962625357</v>
      </c>
      <c r="J781" t="inlineStr">
        <is>
          <t>United States|VUAA.L|2026</t>
        </is>
      </c>
      <c r="K781" t="inlineStr">
        <is>
          <t>United States|2026</t>
        </is>
      </c>
      <c r="L781" t="inlineStr">
        <is>
          <t>USD</t>
        </is>
      </c>
      <c r="M781" t="n">
        <v>-0.349442962625357</v>
      </c>
      <c r="N781" t="n">
        <v>0</v>
      </c>
      <c r="O781" t="n">
        <v>-0.349442962625357</v>
      </c>
      <c r="P781" t="n">
        <v>0</v>
      </c>
      <c r="Q781" t="n">
        <v>-0.349442962625357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VUSA.L</t>
        </is>
      </c>
      <c r="D782" t="n">
        <v>2015</v>
      </c>
      <c r="E782" t="n">
        <v>3.897636952702643</v>
      </c>
      <c r="F782" t="n">
        <v>2.946</v>
      </c>
      <c r="G782" t="inlineStr"/>
      <c r="H782" t="inlineStr"/>
      <c r="I782" t="inlineStr"/>
      <c r="J782" t="inlineStr">
        <is>
          <t>United States|VUSA.L|2015</t>
        </is>
      </c>
      <c r="K782" t="inlineStr">
        <is>
          <t>United States|2015</t>
        </is>
      </c>
      <c r="L782" t="inlineStr">
        <is>
          <t>GBP</t>
        </is>
      </c>
      <c r="M782" t="n">
        <v>3.897636952702643</v>
      </c>
      <c r="N782" t="n">
        <v>-4.888855870697362</v>
      </c>
      <c r="O782" t="n">
        <v>-1.181768770975389</v>
      </c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VUSA.L</t>
        </is>
      </c>
      <c r="D783" t="n">
        <v>2016</v>
      </c>
      <c r="E783" t="n">
        <v>34.7270590005774</v>
      </c>
      <c r="F783" t="n">
        <v>1.82</v>
      </c>
      <c r="G783" t="n">
        <v>2.7871</v>
      </c>
      <c r="H783" t="n">
        <v>2.7871</v>
      </c>
      <c r="I783" t="n">
        <v>-9.54063075200253</v>
      </c>
      <c r="J783" t="inlineStr">
        <is>
          <t>United States|VUSA.L|2016</t>
        </is>
      </c>
      <c r="K783" t="inlineStr">
        <is>
          <t>United States|2016</t>
        </is>
      </c>
      <c r="L783" t="inlineStr">
        <is>
          <t>GBP</t>
        </is>
      </c>
      <c r="M783" t="n">
        <v>34.7270590005774</v>
      </c>
      <c r="N783" t="n">
        <v>-16.62570861023462</v>
      </c>
      <c r="O783" t="n">
        <v>12.32773075200253</v>
      </c>
      <c r="P783" t="n">
        <v>0</v>
      </c>
      <c r="Q783" t="n">
        <v>12.32773075200253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VUSA.L</t>
        </is>
      </c>
      <c r="D784" t="n">
        <v>2017</v>
      </c>
      <c r="E784" t="n">
        <v>8.569795731649975</v>
      </c>
      <c r="F784" t="n">
        <v>2.458</v>
      </c>
      <c r="G784" t="n">
        <v>4.292498</v>
      </c>
      <c r="H784" t="n">
        <v>4.292498</v>
      </c>
      <c r="I784" t="n">
        <v>-13.87637470079994</v>
      </c>
      <c r="J784" t="inlineStr">
        <is>
          <t>United States|VUSA.L|2017</t>
        </is>
      </c>
      <c r="K784" t="inlineStr">
        <is>
          <t>United States|2017</t>
        </is>
      </c>
      <c r="L784" t="inlineStr">
        <is>
          <t>GBP</t>
        </is>
      </c>
      <c r="M784" t="n">
        <v>8.569795731649975</v>
      </c>
      <c r="N784" t="n">
        <v>8.841388071573641</v>
      </c>
      <c r="O784" t="n">
        <v>18.16887270079994</v>
      </c>
      <c r="P784" t="n">
        <v>0</v>
      </c>
      <c r="Q784" t="n">
        <v>18.16887270079994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VUSA.L</t>
        </is>
      </c>
      <c r="D785" t="n">
        <v>2018</v>
      </c>
      <c r="E785" t="n">
        <v>-1.036956616111029</v>
      </c>
      <c r="F785" t="n">
        <v>2.967</v>
      </c>
      <c r="G785" t="n">
        <v>5.325411</v>
      </c>
      <c r="H785" t="n">
        <v>5.325411</v>
      </c>
      <c r="I785" t="n">
        <v>12.38456987598321</v>
      </c>
      <c r="J785" t="inlineStr">
        <is>
          <t>United States|VUSA.L|2018</t>
        </is>
      </c>
      <c r="K785" t="inlineStr">
        <is>
          <t>United States|2018</t>
        </is>
      </c>
      <c r="L785" t="inlineStr">
        <is>
          <t>GBP</t>
        </is>
      </c>
      <c r="M785" t="n">
        <v>-1.036956616111029</v>
      </c>
      <c r="N785" t="n">
        <v>-6.085304224640065</v>
      </c>
      <c r="O785" t="n">
        <v>-7.059158875983207</v>
      </c>
      <c r="P785" t="n">
        <v>0</v>
      </c>
      <c r="Q785" t="n">
        <v>-7.059158875983207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VUSA.L</t>
        </is>
      </c>
      <c r="D786" t="n">
        <v>2019</v>
      </c>
      <c r="E786" t="n">
        <v>22.99959727002121</v>
      </c>
      <c r="F786" t="n">
        <v>2.584</v>
      </c>
      <c r="G786" t="n">
        <v>4.276857</v>
      </c>
      <c r="H786" t="n">
        <v>4.276857</v>
      </c>
      <c r="I786" t="n">
        <v>-22.34368149570196</v>
      </c>
      <c r="J786" t="inlineStr">
        <is>
          <t>United States|VUSA.L|2019</t>
        </is>
      </c>
      <c r="K786" t="inlineStr">
        <is>
          <t>United States|2019</t>
        </is>
      </c>
      <c r="L786" t="inlineStr">
        <is>
          <t>GBP</t>
        </is>
      </c>
      <c r="M786" t="n">
        <v>22.99959727002121</v>
      </c>
      <c r="N786" t="n">
        <v>2.94386429390634</v>
      </c>
      <c r="O786" t="n">
        <v>26.62053849570196</v>
      </c>
      <c r="P786" t="n">
        <v>0</v>
      </c>
      <c r="Q786" t="n">
        <v>26.62053849570196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VUSA.L</t>
        </is>
      </c>
      <c r="D787" t="n">
        <v>2020</v>
      </c>
      <c r="E787" t="n">
        <v>10.83400110078641</v>
      </c>
      <c r="F787" t="n">
        <v>-2.081</v>
      </c>
      <c r="G787" t="n">
        <v>-0.764625</v>
      </c>
      <c r="H787" t="n">
        <v>-0.764625</v>
      </c>
      <c r="I787" t="n">
        <v>-14.67448948422598</v>
      </c>
      <c r="J787" t="inlineStr">
        <is>
          <t>United States|VUSA.L|2020</t>
        </is>
      </c>
      <c r="K787" t="inlineStr">
        <is>
          <t>United States|2020</t>
        </is>
      </c>
      <c r="L787" t="inlineStr">
        <is>
          <t>GBP</t>
        </is>
      </c>
      <c r="M787" t="n">
        <v>10.83400110078641</v>
      </c>
      <c r="N787" t="n">
        <v>2.775198362317122</v>
      </c>
      <c r="O787" t="n">
        <v>13.90986448422598</v>
      </c>
      <c r="P787" t="n">
        <v>0</v>
      </c>
      <c r="Q787" t="n">
        <v>13.90986448422598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VUSA.L</t>
        </is>
      </c>
      <c r="D788" t="n">
        <v>2021</v>
      </c>
      <c r="E788" t="n">
        <v>29.85750070677069</v>
      </c>
      <c r="F788" t="n">
        <v>6.152</v>
      </c>
      <c r="G788" t="n">
        <v>10.995765</v>
      </c>
      <c r="H788" t="n">
        <v>10.995765</v>
      </c>
      <c r="I788" t="n">
        <v>-17.20316906769507</v>
      </c>
      <c r="J788" t="inlineStr">
        <is>
          <t>United States|VUSA.L|2021</t>
        </is>
      </c>
      <c r="K788" t="inlineStr">
        <is>
          <t>United States|2021</t>
        </is>
      </c>
      <c r="L788" t="inlineStr">
        <is>
          <t>GBP</t>
        </is>
      </c>
      <c r="M788" t="n">
        <v>29.85750070677069</v>
      </c>
      <c r="N788" t="n">
        <v>-1.277220514832489</v>
      </c>
      <c r="O788" t="n">
        <v>28.19893406769507</v>
      </c>
      <c r="P788" t="n">
        <v>0</v>
      </c>
      <c r="Q788" t="n">
        <v>28.19893406769507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VUSA.L</t>
        </is>
      </c>
      <c r="D789" t="n">
        <v>2022</v>
      </c>
      <c r="E789" t="n">
        <v>-10.29460506394723</v>
      </c>
      <c r="F789" t="n">
        <v>2.524</v>
      </c>
      <c r="G789" t="n">
        <v>9.816169</v>
      </c>
      <c r="H789" t="n">
        <v>9.816169</v>
      </c>
      <c r="I789" t="n">
        <v>29.83577807391222</v>
      </c>
      <c r="J789" t="inlineStr">
        <is>
          <t>United States|VUSA.L|2022</t>
        </is>
      </c>
      <c r="K789" t="inlineStr">
        <is>
          <t>United States|2022</t>
        </is>
      </c>
      <c r="L789" t="inlineStr">
        <is>
          <t>GBP</t>
        </is>
      </c>
      <c r="M789" t="n">
        <v>-10.29460506394723</v>
      </c>
      <c r="N789" t="n">
        <v>-10.84104698150823</v>
      </c>
      <c r="O789" t="n">
        <v>-20.01960907391221</v>
      </c>
      <c r="P789" t="n">
        <v>0</v>
      </c>
      <c r="Q789" t="n">
        <v>-20.01960907391221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VUSA.L</t>
        </is>
      </c>
      <c r="D790" t="n">
        <v>2023</v>
      </c>
      <c r="E790" t="n">
        <v>18.0067937564125</v>
      </c>
      <c r="F790" t="n">
        <v>2.935</v>
      </c>
      <c r="G790" t="n">
        <v>6.743147</v>
      </c>
      <c r="H790" t="n">
        <v>6.743147</v>
      </c>
      <c r="I790" t="n">
        <v>-17.23836693553394</v>
      </c>
      <c r="J790" t="inlineStr">
        <is>
          <t>United States|VUSA.L|2023</t>
        </is>
      </c>
      <c r="K790" t="inlineStr">
        <is>
          <t>United States|2023</t>
        </is>
      </c>
      <c r="L790" t="inlineStr">
        <is>
          <t>GBP</t>
        </is>
      </c>
      <c r="M790" t="n">
        <v>18.0067937564125</v>
      </c>
      <c r="N790" t="n">
        <v>5.06303068571996</v>
      </c>
      <c r="O790" t="n">
        <v>23.98151393553394</v>
      </c>
      <c r="P790" t="n">
        <v>0</v>
      </c>
      <c r="Q790" t="n">
        <v>23.98151393553394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VUSA.L</t>
        </is>
      </c>
      <c r="D791" t="n">
        <v>2024</v>
      </c>
      <c r="E791" t="n">
        <v>25.80351177014803</v>
      </c>
      <c r="F791" t="n">
        <v>2.793</v>
      </c>
      <c r="G791" t="n">
        <v>5.345001</v>
      </c>
      <c r="H791" t="n">
        <v>5.345001</v>
      </c>
      <c r="I791" t="n">
        <v>-18.67077553324414</v>
      </c>
      <c r="J791" t="inlineStr">
        <is>
          <t>United States|VUSA.L|2024</t>
        </is>
      </c>
      <c r="K791" t="inlineStr">
        <is>
          <t>United States|2024</t>
        </is>
      </c>
      <c r="L791" t="inlineStr">
        <is>
          <t>GBP</t>
        </is>
      </c>
      <c r="M791" t="n">
        <v>25.80351177014803</v>
      </c>
      <c r="N791" t="n">
        <v>-1.421053523664917</v>
      </c>
      <c r="O791" t="n">
        <v>24.01577653324414</v>
      </c>
      <c r="P791" t="n">
        <v>0</v>
      </c>
      <c r="Q791" t="n">
        <v>24.01577653324414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VUSA.L</t>
        </is>
      </c>
      <c r="D792" t="n">
        <v>2025</v>
      </c>
      <c r="E792" t="n">
        <v>7.289563266672427</v>
      </c>
      <c r="F792" t="n">
        <v>2.017</v>
      </c>
      <c r="G792" t="n">
        <v>4.497634</v>
      </c>
      <c r="H792" t="n">
        <v>4.497634</v>
      </c>
      <c r="I792" t="n">
        <v>-10.91581941738201</v>
      </c>
      <c r="J792" t="inlineStr">
        <is>
          <t>United States|VUSA.L|2025</t>
        </is>
      </c>
      <c r="K792" t="inlineStr">
        <is>
          <t>United States|2025</t>
        </is>
      </c>
      <c r="L792" t="inlineStr">
        <is>
          <t>GBP</t>
        </is>
      </c>
      <c r="M792" t="n">
        <v>7.289563266672427</v>
      </c>
      <c r="N792" t="n">
        <v>7.571929555270285</v>
      </c>
      <c r="O792" t="n">
        <v>15.41345341738201</v>
      </c>
      <c r="P792" t="n">
        <v>0</v>
      </c>
      <c r="Q792" t="n">
        <v>15.41345341738201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VUSA.L</t>
        </is>
      </c>
      <c r="D793" t="n">
        <v>2026</v>
      </c>
      <c r="E793" t="n">
        <v>1.066210540492207</v>
      </c>
      <c r="F793" t="n">
        <v>2.102</v>
      </c>
      <c r="G793" t="n">
        <v>3.93768</v>
      </c>
      <c r="H793" t="n">
        <v>3.93768</v>
      </c>
      <c r="I793" t="n">
        <v>3.679274346867512</v>
      </c>
      <c r="J793" t="inlineStr">
        <is>
          <t>United States|VUSA.L|2026</t>
        </is>
      </c>
      <c r="K793" t="inlineStr">
        <is>
          <t>United States|2026</t>
        </is>
      </c>
      <c r="L793" t="inlineStr">
        <is>
          <t>GBP</t>
        </is>
      </c>
      <c r="M793" t="n">
        <v>1.066210540492207</v>
      </c>
      <c r="N793" t="n">
        <v>-0.7992828493713855</v>
      </c>
      <c r="O793" t="n">
        <v>0.2584056531324874</v>
      </c>
      <c r="P793" t="n">
        <v>0</v>
      </c>
      <c r="Q793" t="n">
        <v>0.2584056531324874</v>
      </c>
    </row>
    <row r="794">
      <c r="A794" t="inlineStr">
        <is>
          <t>Vietnam</t>
        </is>
      </c>
      <c r="B794" t="inlineStr">
        <is>
          <t>VNM</t>
        </is>
      </c>
      <c r="C794" t="inlineStr">
        <is>
          <t>XFVT.L</t>
        </is>
      </c>
      <c r="D794" t="n">
        <v>2015</v>
      </c>
      <c r="E794" t="n">
        <v>-13.48618627171746</v>
      </c>
      <c r="F794" t="n">
        <v>6.987</v>
      </c>
      <c r="G794" t="inlineStr"/>
      <c r="H794" t="inlineStr"/>
      <c r="I794" t="inlineStr"/>
      <c r="J794" t="inlineStr">
        <is>
          <t>Vietnam|XFVT.L|2015</t>
        </is>
      </c>
      <c r="K794" t="inlineStr">
        <is>
          <t>Vietnam|2015</t>
        </is>
      </c>
      <c r="L794" t="inlineStr">
        <is>
          <t>GBp</t>
        </is>
      </c>
      <c r="M794" t="n">
        <v>-13.48618627171746</v>
      </c>
      <c r="N794" t="n">
        <v>-4.888855870697362</v>
      </c>
      <c r="O794" t="n">
        <v>-17.71572193313678</v>
      </c>
      <c r="P794" t="inlineStr"/>
      <c r="Q794" t="inlineStr"/>
    </row>
    <row r="795">
      <c r="A795" t="inlineStr">
        <is>
          <t>Vietnam</t>
        </is>
      </c>
      <c r="B795" t="inlineStr">
        <is>
          <t>VNM</t>
        </is>
      </c>
      <c r="C795" t="inlineStr">
        <is>
          <t>XFVT.L</t>
        </is>
      </c>
      <c r="D795" t="n">
        <v>2016</v>
      </c>
      <c r="E795" t="n">
        <v>16.79276315789475</v>
      </c>
      <c r="F795" t="n">
        <v>6.69</v>
      </c>
      <c r="G795" t="n">
        <v>8.631271999999999</v>
      </c>
      <c r="H795" t="n">
        <v>6.482823</v>
      </c>
      <c r="I795" t="n">
        <v>9.107684322578287</v>
      </c>
      <c r="J795" t="inlineStr">
        <is>
          <t>Vietnam|XFVT.L|2016</t>
        </is>
      </c>
      <c r="K795" t="inlineStr">
        <is>
          <t>Vietnam|2016</t>
        </is>
      </c>
      <c r="L795" t="inlineStr">
        <is>
          <t>GBp</t>
        </is>
      </c>
      <c r="M795" t="n">
        <v>16.79276315789475</v>
      </c>
      <c r="N795" t="n">
        <v>-16.62570861023462</v>
      </c>
      <c r="O795" t="n">
        <v>-2.624861322578287</v>
      </c>
      <c r="P795" t="n">
        <v>2.017648688576834</v>
      </c>
      <c r="Q795" t="n">
        <v>-4.550693013252083</v>
      </c>
    </row>
    <row r="796">
      <c r="A796" t="inlineStr">
        <is>
          <t>Vietnam</t>
        </is>
      </c>
      <c r="B796" t="inlineStr">
        <is>
          <t>VNM</t>
        </is>
      </c>
      <c r="C796" t="inlineStr">
        <is>
          <t>XFVT.L</t>
        </is>
      </c>
      <c r="D796" t="n">
        <v>2017</v>
      </c>
      <c r="E796" t="n">
        <v>33.44334433443345</v>
      </c>
      <c r="F796" t="n">
        <v>6.94</v>
      </c>
      <c r="G796" t="n">
        <v>11.605905</v>
      </c>
      <c r="H796" t="n">
        <v>9.885146000000001</v>
      </c>
      <c r="I796" t="n">
        <v>-35.35644226272699</v>
      </c>
      <c r="J796" t="inlineStr">
        <is>
          <t>Vietnam|XFVT.L|2017</t>
        </is>
      </c>
      <c r="K796" t="inlineStr">
        <is>
          <t>Vietnam|2017</t>
        </is>
      </c>
      <c r="L796" t="inlineStr">
        <is>
          <t>GBp</t>
        </is>
      </c>
      <c r="M796" t="n">
        <v>33.44334433443345</v>
      </c>
      <c r="N796" t="n">
        <v>8.841388071573641</v>
      </c>
      <c r="O796" t="n">
        <v>45.24158826272699</v>
      </c>
      <c r="P796" t="n">
        <v>1.565961953829831</v>
      </c>
      <c r="Q796" t="n">
        <v>43.0022277825236</v>
      </c>
    </row>
    <row r="797">
      <c r="A797" t="inlineStr">
        <is>
          <t>Vietnam</t>
        </is>
      </c>
      <c r="B797" t="inlineStr">
        <is>
          <t>VNM</t>
        </is>
      </c>
      <c r="C797" t="inlineStr">
        <is>
          <t>XFVT.L</t>
        </is>
      </c>
      <c r="D797" t="n">
        <v>2018</v>
      </c>
      <c r="E797" t="n">
        <v>-7.244752394538412</v>
      </c>
      <c r="F797" t="n">
        <v>7.465</v>
      </c>
      <c r="G797" t="n">
        <v>11.362384</v>
      </c>
      <c r="H797" t="n">
        <v>9.888801000000001</v>
      </c>
      <c r="I797" t="n">
        <v>22.77799239564892</v>
      </c>
      <c r="J797" t="inlineStr">
        <is>
          <t>Vietnam|XFVT.L|2018</t>
        </is>
      </c>
      <c r="K797" t="inlineStr">
        <is>
          <t>Vietnam|2018</t>
        </is>
      </c>
      <c r="L797" t="inlineStr">
        <is>
          <t>GBp</t>
        </is>
      </c>
      <c r="M797" t="n">
        <v>-7.244752394538412</v>
      </c>
      <c r="N797" t="n">
        <v>-6.085304224640065</v>
      </c>
      <c r="O797" t="n">
        <v>-12.88919139564891</v>
      </c>
      <c r="P797" t="n">
        <v>1.340976101186331</v>
      </c>
      <c r="Q797" t="n">
        <v>-14.04186938423289</v>
      </c>
    </row>
    <row r="798">
      <c r="A798" t="inlineStr">
        <is>
          <t>Vietnam</t>
        </is>
      </c>
      <c r="B798" t="inlineStr">
        <is>
          <t>VNM</t>
        </is>
      </c>
      <c r="C798" t="inlineStr">
        <is>
          <t>XFVT.L</t>
        </is>
      </c>
      <c r="D798" t="n">
        <v>2019</v>
      </c>
      <c r="E798" t="n">
        <v>-1.198186528497414</v>
      </c>
      <c r="F798" t="n">
        <v>7.359</v>
      </c>
      <c r="G798" t="n">
        <v>9.960820999999999</v>
      </c>
      <c r="H798" t="n">
        <v>8.982165999999999</v>
      </c>
      <c r="I798" t="n">
        <v>7.271761219977909</v>
      </c>
      <c r="J798" t="inlineStr">
        <is>
          <t>Vietnam|XFVT.L|2019</t>
        </is>
      </c>
      <c r="K798" t="inlineStr">
        <is>
          <t>Vietnam|2019</t>
        </is>
      </c>
      <c r="L798" t="inlineStr">
        <is>
          <t>GBp</t>
        </is>
      </c>
      <c r="M798" t="n">
        <v>-1.198186528497414</v>
      </c>
      <c r="N798" t="n">
        <v>2.94386429390634</v>
      </c>
      <c r="O798" t="n">
        <v>1.71040478002209</v>
      </c>
      <c r="P798" t="n">
        <v>0.897996055312289</v>
      </c>
      <c r="Q798" t="n">
        <v>0.8051782557350728</v>
      </c>
    </row>
    <row r="799">
      <c r="A799" t="inlineStr">
        <is>
          <t>Vietnam</t>
        </is>
      </c>
      <c r="B799" t="inlineStr">
        <is>
          <t>VNM</t>
        </is>
      </c>
      <c r="C799" t="inlineStr">
        <is>
          <t>XFVT.L</t>
        </is>
      </c>
      <c r="D799" t="n">
        <v>2020</v>
      </c>
      <c r="E799" t="n">
        <v>12.24511813572122</v>
      </c>
      <c r="F799" t="n">
        <v>2.865</v>
      </c>
      <c r="G799" t="n">
        <v>4.374941</v>
      </c>
      <c r="H799" t="n">
        <v>4.367454</v>
      </c>
      <c r="I799" t="n">
        <v>-10.99268881600469</v>
      </c>
      <c r="J799" t="inlineStr">
        <is>
          <t>Vietnam|XFVT.L|2020</t>
        </is>
      </c>
      <c r="K799" t="inlineStr">
        <is>
          <t>Vietnam|2020</t>
        </is>
      </c>
      <c r="L799" t="inlineStr">
        <is>
          <t>GBp</t>
        </is>
      </c>
      <c r="M799" t="n">
        <v>12.24511813572122</v>
      </c>
      <c r="N799" t="n">
        <v>2.775198362317122</v>
      </c>
      <c r="O799" t="n">
        <v>15.36014281600469</v>
      </c>
      <c r="P799" t="n">
        <v>0.00717294682246461</v>
      </c>
      <c r="Q799" t="n">
        <v>15.35186868780498</v>
      </c>
    </row>
    <row r="800">
      <c r="A800" t="inlineStr">
        <is>
          <t>Vietnam</t>
        </is>
      </c>
      <c r="B800" t="inlineStr">
        <is>
          <t>VNM</t>
        </is>
      </c>
      <c r="C800" t="inlineStr">
        <is>
          <t>XFVT.L</t>
        </is>
      </c>
      <c r="D800" t="n">
        <v>2021</v>
      </c>
      <c r="E800" t="n">
        <v>31.4366729678639</v>
      </c>
      <c r="F800" t="n">
        <v>2.554</v>
      </c>
      <c r="G800" t="n">
        <v>5.508063</v>
      </c>
      <c r="H800" t="n">
        <v>6.862638</v>
      </c>
      <c r="I800" t="n">
        <v>-22.89529881670504</v>
      </c>
      <c r="J800" t="inlineStr">
        <is>
          <t>Vietnam|XFVT.L|2021</t>
        </is>
      </c>
      <c r="K800" t="inlineStr">
        <is>
          <t>Vietnam|2021</t>
        </is>
      </c>
      <c r="L800" t="inlineStr">
        <is>
          <t>GBp</t>
        </is>
      </c>
      <c r="M800" t="n">
        <v>31.4366729678639</v>
      </c>
      <c r="N800" t="n">
        <v>-1.277220514832489</v>
      </c>
      <c r="O800" t="n">
        <v>29.75793681670504</v>
      </c>
      <c r="P800" t="n">
        <v>-1.267584353936169</v>
      </c>
      <c r="Q800" t="n">
        <v>31.42384491215282</v>
      </c>
    </row>
    <row r="801">
      <c r="A801" t="inlineStr">
        <is>
          <t>Vietnam</t>
        </is>
      </c>
      <c r="B801" t="inlineStr">
        <is>
          <t>VNM</t>
        </is>
      </c>
      <c r="C801" t="inlineStr">
        <is>
          <t>XFVT.L</t>
        </is>
      </c>
      <c r="D801" t="n">
        <v>2022</v>
      </c>
      <c r="E801" t="n">
        <v>-39.70095025153717</v>
      </c>
      <c r="F801" t="n">
        <v>8.538</v>
      </c>
      <c r="G801" t="n">
        <v>13.35964</v>
      </c>
      <c r="H801" t="n">
        <v>11.076644</v>
      </c>
      <c r="I801" t="n">
        <v>57.31464256417105</v>
      </c>
      <c r="J801" t="inlineStr">
        <is>
          <t>Vietnam|XFVT.L|2022</t>
        </is>
      </c>
      <c r="K801" t="inlineStr">
        <is>
          <t>Vietnam|2022</t>
        </is>
      </c>
      <c r="L801" t="inlineStr">
        <is>
          <t>GBp</t>
        </is>
      </c>
      <c r="M801" t="n">
        <v>-39.70095025153717</v>
      </c>
      <c r="N801" t="n">
        <v>-10.84104698150823</v>
      </c>
      <c r="O801" t="n">
        <v>-46.23799856417104</v>
      </c>
      <c r="P801" t="n">
        <v>2.055334601984238</v>
      </c>
      <c r="Q801" t="n">
        <v>-47.32073375144892</v>
      </c>
    </row>
    <row r="802">
      <c r="A802" t="inlineStr">
        <is>
          <t>Vietnam</t>
        </is>
      </c>
      <c r="B802" t="inlineStr">
        <is>
          <t>VNM</t>
        </is>
      </c>
      <c r="C802" t="inlineStr">
        <is>
          <t>XFVT.L</t>
        </is>
      </c>
      <c r="D802" t="n">
        <v>2023</v>
      </c>
      <c r="E802" t="n">
        <v>-5.490410958904112</v>
      </c>
      <c r="F802" t="n">
        <v>5.065</v>
      </c>
      <c r="G802" t="n">
        <v>7.264446</v>
      </c>
      <c r="H802" t="n">
        <v>5.337316</v>
      </c>
      <c r="I802" t="n">
        <v>6.042677464805599</v>
      </c>
      <c r="J802" t="inlineStr">
        <is>
          <t>Vietnam|XFVT.L|2023</t>
        </is>
      </c>
      <c r="K802" t="inlineStr">
        <is>
          <t>Vietnam|2023</t>
        </is>
      </c>
      <c r="L802" t="inlineStr">
        <is>
          <t>GBp</t>
        </is>
      </c>
      <c r="M802" t="n">
        <v>-5.490410958904112</v>
      </c>
      <c r="N802" t="n">
        <v>5.06303068571996</v>
      </c>
      <c r="O802" t="n">
        <v>-0.7053614648055984</v>
      </c>
      <c r="P802" t="n">
        <v>1.829483787943009</v>
      </c>
      <c r="Q802" t="n">
        <v>-2.48930384251711</v>
      </c>
    </row>
    <row r="803">
      <c r="A803" t="inlineStr">
        <is>
          <t>Vietnam</t>
        </is>
      </c>
      <c r="B803" t="inlineStr">
        <is>
          <t>VNM</t>
        </is>
      </c>
      <c r="C803" t="inlineStr">
        <is>
          <t>XFVT.L</t>
        </is>
      </c>
      <c r="D803" t="n">
        <v>2024</v>
      </c>
      <c r="E803" t="n">
        <v>-8.879860708067334</v>
      </c>
      <c r="F803" t="n">
        <v>7.091</v>
      </c>
      <c r="G803" t="n">
        <v>11.545738</v>
      </c>
      <c r="H803" t="n">
        <v>6.111665</v>
      </c>
      <c r="I803" t="n">
        <v>16.28639165824373</v>
      </c>
      <c r="J803" t="inlineStr">
        <is>
          <t>Vietnam|XFVT.L|2024</t>
        </is>
      </c>
      <c r="K803" t="inlineStr">
        <is>
          <t>Vietnam|2024</t>
        </is>
      </c>
      <c r="L803" t="inlineStr">
        <is>
          <t>GBp</t>
        </is>
      </c>
      <c r="M803" t="n">
        <v>-8.879860708067334</v>
      </c>
      <c r="N803" t="n">
        <v>-1.421053523664917</v>
      </c>
      <c r="O803" t="n">
        <v>-10.17472665824373</v>
      </c>
      <c r="P803" t="n">
        <v>5.121088586406031</v>
      </c>
      <c r="Q803" t="n">
        <v>-14.55066290725967</v>
      </c>
    </row>
    <row r="804">
      <c r="A804" t="inlineStr">
        <is>
          <t>Vietnam</t>
        </is>
      </c>
      <c r="B804" t="inlineStr">
        <is>
          <t>VNM</t>
        </is>
      </c>
      <c r="C804" t="inlineStr">
        <is>
          <t>XFVT.L</t>
        </is>
      </c>
      <c r="D804" t="n">
        <v>2025</v>
      </c>
      <c r="E804" t="n">
        <v>55.06464164679304</v>
      </c>
      <c r="F804" t="n">
        <v>6.457</v>
      </c>
      <c r="G804" t="n">
        <v>9.991490000000001</v>
      </c>
      <c r="H804" t="n">
        <v>5.496309</v>
      </c>
      <c r="I804" t="n">
        <v>-61.30971807742051</v>
      </c>
      <c r="J804" t="inlineStr">
        <is>
          <t>Vietnam|XFVT.L|2025</t>
        </is>
      </c>
      <c r="K804" t="inlineStr">
        <is>
          <t>Vietnam|2025</t>
        </is>
      </c>
      <c r="L804" t="inlineStr">
        <is>
          <t>GBp</t>
        </is>
      </c>
      <c r="M804" t="n">
        <v>55.06464164679304</v>
      </c>
      <c r="N804" t="n">
        <v>7.571929555270285</v>
      </c>
      <c r="O804" t="n">
        <v>66.80602707742051</v>
      </c>
      <c r="P804" t="n">
        <v>4.260984277585145</v>
      </c>
      <c r="Q804" t="n">
        <v>59.9889241725505</v>
      </c>
    </row>
    <row r="805">
      <c r="A805" t="inlineStr">
        <is>
          <t>Vietnam</t>
        </is>
      </c>
      <c r="B805" t="inlineStr">
        <is>
          <t>VNM</t>
        </is>
      </c>
      <c r="C805" t="inlineStr">
        <is>
          <t>XFVT.L</t>
        </is>
      </c>
      <c r="D805" t="n">
        <v>2026</v>
      </c>
      <c r="E805" t="n">
        <v>-2.685319183148405</v>
      </c>
      <c r="F805" t="n">
        <v>5.595</v>
      </c>
      <c r="G805" t="n">
        <v>9.35421</v>
      </c>
      <c r="H805" t="n">
        <v>5.432554</v>
      </c>
      <c r="I805" t="n">
        <v>8.895692736838001</v>
      </c>
      <c r="J805" t="inlineStr">
        <is>
          <t>Vietnam|XFVT.L|2026</t>
        </is>
      </c>
      <c r="K805" t="inlineStr">
        <is>
          <t>Vietnam|2026</t>
        </is>
      </c>
      <c r="L805" t="inlineStr">
        <is>
          <t>GBp</t>
        </is>
      </c>
      <c r="M805" t="n">
        <v>-2.685319183148405</v>
      </c>
      <c r="N805" t="n">
        <v>-0.7992828493713855</v>
      </c>
      <c r="O805" t="n">
        <v>-3.463138736838001</v>
      </c>
      <c r="P805" t="n">
        <v>3.71958745904466</v>
      </c>
      <c r="Q805" t="n">
        <v>-6.925139572811045</v>
      </c>
    </row>
  </sheetData>
  <autoFilter ref="A1:Q8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NDIA.L</t>
        </is>
      </c>
      <c r="D129" s="1" t="n">
        <v>46022</v>
      </c>
      <c r="E129" t="inlineStr">
        <is>
          <t>1Y</t>
        </is>
      </c>
      <c r="F129" t="n">
        <v>2.525413076480532</v>
      </c>
      <c r="G129" t="n">
        <v>6.645999999999996</v>
      </c>
      <c r="H129" t="n">
        <v>8.515731000000004</v>
      </c>
      <c r="I129" t="n">
        <v>5.507083000000002</v>
      </c>
      <c r="J129" t="n">
        <v>2.98166992351947</v>
      </c>
      <c r="K129" t="inlineStr">
        <is>
          <t>India|NDIA.L|1Y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NDIA.L</t>
        </is>
      </c>
      <c r="D130" s="1" t="n">
        <v>46022</v>
      </c>
      <c r="E130" t="inlineStr">
        <is>
          <t>3Y</t>
        </is>
      </c>
      <c r="F130" t="n">
        <v>10.80917580030627</v>
      </c>
      <c r="G130" t="n">
        <v>7.436918655360047</v>
      </c>
      <c r="H130" t="n">
        <v>10.09511970244343</v>
      </c>
      <c r="I130" t="n">
        <v>7.226513221012598</v>
      </c>
      <c r="J130" t="n">
        <v>-3.582662579293673</v>
      </c>
      <c r="K130" t="inlineStr">
        <is>
          <t>India|NDIA.L|3Y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NDIA.L</t>
        </is>
      </c>
      <c r="D131" s="1" t="n">
        <v>46022</v>
      </c>
      <c r="E131" t="inlineStr">
        <is>
          <t>5Y</t>
        </is>
      </c>
      <c r="F131" t="n">
        <v>9.071892297809448</v>
      </c>
      <c r="G131" t="n">
        <v>7.918339116520134</v>
      </c>
      <c r="H131" t="n">
        <v>12.56684095269041</v>
      </c>
      <c r="I131" t="n">
        <v>9.050917372360324</v>
      </c>
      <c r="J131" t="n">
        <v>-0.02097492544912427</v>
      </c>
      <c r="K131" t="inlineStr">
        <is>
          <t>India|NDIA.L|5Y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Indonesia</t>
        </is>
      </c>
      <c r="B132" t="inlineStr">
        <is>
          <t>IDN</t>
        </is>
      </c>
      <c r="C132" t="inlineStr"/>
      <c r="D132" s="1" t="n">
        <v>46022</v>
      </c>
      <c r="E132" t="inlineStr">
        <is>
          <t>1Y</t>
        </is>
      </c>
      <c r="F132" t="inlineStr"/>
      <c r="G132" t="n">
        <v>4.861000000000004</v>
      </c>
      <c r="H132" t="n">
        <v>7.022755999999997</v>
      </c>
      <c r="I132" t="n">
        <v>3.362887999999997</v>
      </c>
      <c r="J132" t="inlineStr"/>
      <c r="K132" t="inlineStr">
        <is>
          <t>Indonesia||1Y</t>
        </is>
      </c>
      <c r="L132" t="inlineStr">
        <is>
          <t>Indonesia|1Y</t>
        </is>
      </c>
      <c r="M132" t="inlineStr"/>
    </row>
    <row r="133">
      <c r="A133" t="inlineStr">
        <is>
          <t>Indonesia</t>
        </is>
      </c>
      <c r="B133" t="inlineStr">
        <is>
          <t>IDN</t>
        </is>
      </c>
      <c r="C133" t="inlineStr"/>
      <c r="D133" s="1" t="n">
        <v>46022</v>
      </c>
      <c r="E133" t="inlineStr">
        <is>
          <t>3Y</t>
        </is>
      </c>
      <c r="F133" t="inlineStr"/>
      <c r="G133" t="n">
        <v>4.979965977918921</v>
      </c>
      <c r="H133" t="n">
        <v>6.547773211466579</v>
      </c>
      <c r="I133" t="n">
        <v>3.043778494210758</v>
      </c>
      <c r="J133" t="inlineStr"/>
      <c r="K133" t="inlineStr">
        <is>
          <t>Indonesia||3Y</t>
        </is>
      </c>
      <c r="L133" t="inlineStr">
        <is>
          <t>Indonesia|3Y</t>
        </is>
      </c>
      <c r="M133" t="inlineStr"/>
    </row>
    <row r="134">
      <c r="A134" t="inlineStr">
        <is>
          <t>Indonesia</t>
        </is>
      </c>
      <c r="B134" t="inlineStr">
        <is>
          <t>IDN</t>
        </is>
      </c>
      <c r="C134" t="inlineStr"/>
      <c r="D134" s="1" t="n">
        <v>46022</v>
      </c>
      <c r="E134" t="inlineStr">
        <is>
          <t>5Y</t>
        </is>
      </c>
      <c r="F134" t="inlineStr"/>
      <c r="G134" t="n">
        <v>4.788486756951071</v>
      </c>
      <c r="H134" t="n">
        <v>8.937740731042876</v>
      </c>
      <c r="I134" t="n">
        <v>6.386120523687699</v>
      </c>
      <c r="J134" t="inlineStr"/>
      <c r="K134" t="inlineStr">
        <is>
          <t>Indonesia||5Y</t>
        </is>
      </c>
      <c r="L134" t="inlineStr">
        <is>
          <t>Indonesia|5Y</t>
        </is>
      </c>
      <c r="M134" t="inlineStr"/>
    </row>
    <row r="135">
      <c r="A135" t="inlineStr">
        <is>
          <t>Indonesia</t>
        </is>
      </c>
      <c r="B135" t="inlineStr">
        <is>
          <t>IDN</t>
        </is>
      </c>
      <c r="C135" t="inlineStr"/>
      <c r="D135" s="1" t="n">
        <v>46022</v>
      </c>
      <c r="E135" t="inlineStr">
        <is>
          <t>10Y</t>
        </is>
      </c>
      <c r="F135" t="inlineStr"/>
      <c r="G135" t="n">
        <v>4.195319559416921</v>
      </c>
      <c r="H135" t="n">
        <v>7.471726843455895</v>
      </c>
      <c r="I135" t="n">
        <v>5.303156012516141</v>
      </c>
      <c r="J135" t="inlineStr"/>
      <c r="K135" t="inlineStr">
        <is>
          <t>Indonesia||10Y</t>
        </is>
      </c>
      <c r="L135" t="inlineStr">
        <is>
          <t>Indonesia|10Y</t>
        </is>
      </c>
      <c r="M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EIDO</t>
        </is>
      </c>
      <c r="D136" s="1" t="n">
        <v>46022</v>
      </c>
      <c r="E136" t="inlineStr">
        <is>
          <t>1Y</t>
        </is>
      </c>
      <c r="F136" t="n">
        <v>-0.3729339004638454</v>
      </c>
      <c r="G136" t="n">
        <v>4.861000000000004</v>
      </c>
      <c r="H136" t="n">
        <v>7.022755999999997</v>
      </c>
      <c r="I136" t="n">
        <v>3.362887999999997</v>
      </c>
      <c r="J136" t="n">
        <v>3.735821900463843</v>
      </c>
      <c r="K136" t="inlineStr">
        <is>
          <t>Indonesia|EIDO|1Y</t>
        </is>
      </c>
      <c r="L136" t="inlineStr">
        <is>
          <t>Indonesia|1Y</t>
        </is>
      </c>
      <c r="M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EIDO</t>
        </is>
      </c>
      <c r="D137" s="1" t="n">
        <v>46022</v>
      </c>
      <c r="E137" t="inlineStr">
        <is>
          <t>3Y</t>
        </is>
      </c>
      <c r="F137" t="n">
        <v>-5.86842221425089</v>
      </c>
      <c r="G137" t="n">
        <v>4.979965977918921</v>
      </c>
      <c r="H137" t="n">
        <v>6.547773211466579</v>
      </c>
      <c r="I137" t="n">
        <v>3.043778494210758</v>
      </c>
      <c r="J137" t="n">
        <v>8.912200708461647</v>
      </c>
      <c r="K137" t="inlineStr">
        <is>
          <t>Indonesia|EIDO|3Y</t>
        </is>
      </c>
      <c r="L137" t="inlineStr">
        <is>
          <t>Indonesia|3Y</t>
        </is>
      </c>
      <c r="M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EIDO</t>
        </is>
      </c>
      <c r="D138" s="1" t="n">
        <v>46022</v>
      </c>
      <c r="E138" t="inlineStr">
        <is>
          <t>5Y</t>
        </is>
      </c>
      <c r="F138" t="n">
        <v>-4.73277463932712</v>
      </c>
      <c r="G138" t="n">
        <v>4.788486756951071</v>
      </c>
      <c r="H138" t="n">
        <v>8.937740731042876</v>
      </c>
      <c r="I138" t="n">
        <v>6.386120523687699</v>
      </c>
      <c r="J138" t="n">
        <v>11.11889516301482</v>
      </c>
      <c r="K138" t="inlineStr">
        <is>
          <t>Indonesia|EIDO|5Y</t>
        </is>
      </c>
      <c r="L138" t="inlineStr">
        <is>
          <t>Indonesia|5Y</t>
        </is>
      </c>
      <c r="M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EIDO</t>
        </is>
      </c>
      <c r="D139" s="1" t="n">
        <v>46022</v>
      </c>
      <c r="E139" t="inlineStr">
        <is>
          <t>10Y</t>
        </is>
      </c>
      <c r="F139" t="n">
        <v>-0.9389375844883974</v>
      </c>
      <c r="G139" t="n">
        <v>4.195319559416921</v>
      </c>
      <c r="H139" t="n">
        <v>7.471726843455895</v>
      </c>
      <c r="I139" t="n">
        <v>5.303156012516141</v>
      </c>
      <c r="J139" t="n">
        <v>6.242093597004539</v>
      </c>
      <c r="K139" t="inlineStr">
        <is>
          <t>Indonesia|EIDO|10Y</t>
        </is>
      </c>
      <c r="L139" t="inlineStr">
        <is>
          <t>Indonesia|10Y</t>
        </is>
      </c>
      <c r="M139" t="inlineStr">
        <is>
          <t>USD</t>
        </is>
      </c>
    </row>
    <row r="140">
      <c r="A140" t="inlineStr">
        <is>
          <t>Italy</t>
        </is>
      </c>
      <c r="B140" t="inlineStr">
        <is>
          <t>ITA</t>
        </is>
      </c>
      <c r="C140" t="inlineStr"/>
      <c r="D140" s="1" t="n">
        <v>46022</v>
      </c>
      <c r="E140" t="inlineStr">
        <is>
          <t>1Y</t>
        </is>
      </c>
      <c r="F140" t="inlineStr"/>
      <c r="G140" t="n">
        <v>0.546000000000002</v>
      </c>
      <c r="H140" t="n">
        <v>2.72618899999999</v>
      </c>
      <c r="I140" t="n">
        <v>7.234980000000002</v>
      </c>
      <c r="J140" t="inlineStr"/>
      <c r="K140" t="inlineStr">
        <is>
          <t>Italy||1Y</t>
        </is>
      </c>
      <c r="L140" t="inlineStr">
        <is>
          <t>Italy|1Y</t>
        </is>
      </c>
      <c r="M140" t="inlineStr"/>
    </row>
    <row r="141">
      <c r="A141" t="inlineStr">
        <is>
          <t>Italy</t>
        </is>
      </c>
      <c r="B141" t="inlineStr">
        <is>
          <t>ITA</t>
        </is>
      </c>
      <c r="C141" t="inlineStr"/>
      <c r="D141" s="1" t="n">
        <v>46022</v>
      </c>
      <c r="E141" t="inlineStr">
        <is>
          <t>3Y</t>
        </is>
      </c>
      <c r="F141" t="inlineStr"/>
      <c r="G141" t="n">
        <v>0.6622996093258005</v>
      </c>
      <c r="H141" t="n">
        <v>4.067569460073339</v>
      </c>
      <c r="I141" t="n">
        <v>6.500972649406256</v>
      </c>
      <c r="J141" t="inlineStr"/>
      <c r="K141" t="inlineStr">
        <is>
          <t>Italy||3Y</t>
        </is>
      </c>
      <c r="L141" t="inlineStr">
        <is>
          <t>Italy|3Y</t>
        </is>
      </c>
      <c r="M141" t="inlineStr"/>
    </row>
    <row r="142">
      <c r="A142" t="inlineStr">
        <is>
          <t>Italy</t>
        </is>
      </c>
      <c r="B142" t="inlineStr">
        <is>
          <t>ITA</t>
        </is>
      </c>
      <c r="C142" t="inlineStr"/>
      <c r="D142" s="1" t="n">
        <v>46022</v>
      </c>
      <c r="E142" t="inlineStr">
        <is>
          <t>5Y</t>
        </is>
      </c>
      <c r="F142" t="inlineStr"/>
      <c r="G142" t="n">
        <v>3.095584771926529</v>
      </c>
      <c r="H142" t="n">
        <v>6.161622411620993</v>
      </c>
      <c r="I142" t="n">
        <v>5.942402713846362</v>
      </c>
      <c r="J142" t="inlineStr"/>
      <c r="K142" t="inlineStr">
        <is>
          <t>Italy||5Y</t>
        </is>
      </c>
      <c r="L142" t="inlineStr">
        <is>
          <t>Italy|5Y</t>
        </is>
      </c>
      <c r="M142" t="inlineStr"/>
    </row>
    <row r="143">
      <c r="A143" t="inlineStr">
        <is>
          <t>Italy</t>
        </is>
      </c>
      <c r="B143" t="inlineStr">
        <is>
          <t>ITA</t>
        </is>
      </c>
      <c r="C143" t="inlineStr"/>
      <c r="D143" s="1" t="n">
        <v>46022</v>
      </c>
      <c r="E143" t="inlineStr">
        <is>
          <t>10Y</t>
        </is>
      </c>
      <c r="F143" t="inlineStr"/>
      <c r="G143" t="n">
        <v>1.007890224510355</v>
      </c>
      <c r="H143" t="n">
        <v>3.07640767700248</v>
      </c>
      <c r="I143" t="n">
        <v>3.259991546995633</v>
      </c>
      <c r="J143" t="inlineStr"/>
      <c r="K143" t="inlineStr">
        <is>
          <t>Italy||10Y</t>
        </is>
      </c>
      <c r="L143" t="inlineStr">
        <is>
          <t>Italy|10Y</t>
        </is>
      </c>
      <c r="M143" t="inlineStr"/>
    </row>
    <row r="144">
      <c r="A144" t="inlineStr">
        <is>
          <t>Italy</t>
        </is>
      </c>
      <c r="B144" t="inlineStr">
        <is>
          <t>ITA</t>
        </is>
      </c>
      <c r="C144" t="inlineStr">
        <is>
          <t>EWI</t>
        </is>
      </c>
      <c r="D144" s="1" t="n">
        <v>46022</v>
      </c>
      <c r="E144" t="inlineStr">
        <is>
          <t>1Y</t>
        </is>
      </c>
      <c r="F144" t="n">
        <v>52.82701264987979</v>
      </c>
      <c r="G144" t="n">
        <v>0.546000000000002</v>
      </c>
      <c r="H144" t="n">
        <v>2.72618899999999</v>
      </c>
      <c r="I144" t="n">
        <v>7.234980000000002</v>
      </c>
      <c r="J144" t="n">
        <v>-45.59203264987979</v>
      </c>
      <c r="K144" t="inlineStr">
        <is>
          <t>Italy|EWI|1Y</t>
        </is>
      </c>
      <c r="L144" t="inlineStr">
        <is>
          <t>Italy|1Y</t>
        </is>
      </c>
      <c r="M144" t="inlineStr">
        <is>
          <t>USD</t>
        </is>
      </c>
    </row>
    <row r="145">
      <c r="A145" t="inlineStr">
        <is>
          <t>Italy</t>
        </is>
      </c>
      <c r="B145" t="inlineStr">
        <is>
          <t>ITA</t>
        </is>
      </c>
      <c r="C145" t="inlineStr">
        <is>
          <t>EWI</t>
        </is>
      </c>
      <c r="D145" s="1" t="n">
        <v>46022</v>
      </c>
      <c r="E145" t="inlineStr">
        <is>
          <t>3Y</t>
        </is>
      </c>
      <c r="F145" t="n">
        <v>25.61559568941894</v>
      </c>
      <c r="G145" t="n">
        <v>0.6622996093258005</v>
      </c>
      <c r="H145" t="n">
        <v>4.067569460073339</v>
      </c>
      <c r="I145" t="n">
        <v>6.500972649406256</v>
      </c>
      <c r="J145" t="n">
        <v>-19.11462304001268</v>
      </c>
      <c r="K145" t="inlineStr">
        <is>
          <t>Italy|EWI|3Y</t>
        </is>
      </c>
      <c r="L145" t="inlineStr">
        <is>
          <t>Italy|3Y</t>
        </is>
      </c>
      <c r="M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EWI</t>
        </is>
      </c>
      <c r="D146" s="1" t="n">
        <v>46022</v>
      </c>
      <c r="E146" t="inlineStr">
        <is>
          <t>5Y</t>
        </is>
      </c>
      <c r="F146" t="n">
        <v>12.86114044764792</v>
      </c>
      <c r="G146" t="n">
        <v>3.095584771926529</v>
      </c>
      <c r="H146" t="n">
        <v>6.161622411620993</v>
      </c>
      <c r="I146" t="n">
        <v>5.942402713846362</v>
      </c>
      <c r="J146" t="n">
        <v>-6.918737733801561</v>
      </c>
      <c r="K146" t="inlineStr">
        <is>
          <t>Italy|EWI|5Y</t>
        </is>
      </c>
      <c r="L146" t="inlineStr">
        <is>
          <t>Italy|5Y</t>
        </is>
      </c>
      <c r="M146" t="inlineStr">
        <is>
          <t>USD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EWI</t>
        </is>
      </c>
      <c r="D147" s="1" t="n">
        <v>46022</v>
      </c>
      <c r="E147" t="inlineStr">
        <is>
          <t>10Y</t>
        </is>
      </c>
      <c r="F147" t="n">
        <v>7.210940560013812</v>
      </c>
      <c r="G147" t="n">
        <v>1.007890224510355</v>
      </c>
      <c r="H147" t="n">
        <v>3.07640767700248</v>
      </c>
      <c r="I147" t="n">
        <v>3.259991546995633</v>
      </c>
      <c r="J147" t="n">
        <v>-3.950949013018179</v>
      </c>
      <c r="K147" t="inlineStr">
        <is>
          <t>Italy|EWI|10Y</t>
        </is>
      </c>
      <c r="L147" t="inlineStr">
        <is>
          <t>Italy|10Y</t>
        </is>
      </c>
      <c r="M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/>
      <c r="D148" s="1" t="n">
        <v>46022</v>
      </c>
      <c r="E148" t="inlineStr">
        <is>
          <t>1Y</t>
        </is>
      </c>
      <c r="F148" t="inlineStr"/>
      <c r="G148" t="n">
        <v>1.07600000000001</v>
      </c>
      <c r="H148" t="n">
        <v>3.887970000000007</v>
      </c>
      <c r="I148" t="n">
        <v>6.479751999999994</v>
      </c>
      <c r="J148" t="inlineStr"/>
      <c r="K148" t="inlineStr">
        <is>
          <t>Japan||1Y</t>
        </is>
      </c>
      <c r="L148" t="inlineStr">
        <is>
          <t>Japan|1Y</t>
        </is>
      </c>
      <c r="M148" t="inlineStr"/>
    </row>
    <row r="149">
      <c r="A149" t="inlineStr">
        <is>
          <t>Japan</t>
        </is>
      </c>
      <c r="B149" t="inlineStr">
        <is>
          <t>JPN</t>
        </is>
      </c>
      <c r="C149" t="inlineStr"/>
      <c r="D149" s="1" t="n">
        <v>46022</v>
      </c>
      <c r="E149" t="inlineStr">
        <is>
          <t>3Y</t>
        </is>
      </c>
      <c r="F149" t="inlineStr"/>
      <c r="G149" t="n">
        <v>0.8070767384687372</v>
      </c>
      <c r="H149" t="n">
        <v>4.079471863645368</v>
      </c>
      <c r="I149" t="n">
        <v>0.1296002875132762</v>
      </c>
      <c r="J149" t="inlineStr"/>
      <c r="K149" t="inlineStr">
        <is>
          <t>Japan||3Y</t>
        </is>
      </c>
      <c r="L149" t="inlineStr">
        <is>
          <t>Japan|3Y</t>
        </is>
      </c>
      <c r="M149" t="inlineStr"/>
    </row>
    <row r="150">
      <c r="A150" t="inlineStr">
        <is>
          <t>Japan</t>
        </is>
      </c>
      <c r="B150" t="inlineStr">
        <is>
          <t>JPN</t>
        </is>
      </c>
      <c r="C150" t="inlineStr"/>
      <c r="D150" s="1" t="n">
        <v>46022</v>
      </c>
      <c r="E150" t="inlineStr">
        <is>
          <t>5Y</t>
        </is>
      </c>
      <c r="F150" t="inlineStr"/>
      <c r="G150" t="n">
        <v>1.212938163621247</v>
      </c>
      <c r="H150" t="n">
        <v>3.211698957264009</v>
      </c>
      <c r="I150" t="n">
        <v>-3.270926251822071</v>
      </c>
      <c r="J150" t="inlineStr"/>
      <c r="K150" t="inlineStr">
        <is>
          <t>Japan||5Y</t>
        </is>
      </c>
      <c r="L150" t="inlineStr">
        <is>
          <t>Japan|5Y</t>
        </is>
      </c>
      <c r="M150" t="inlineStr"/>
    </row>
    <row r="151">
      <c r="A151" t="inlineStr">
        <is>
          <t>Japan</t>
        </is>
      </c>
      <c r="B151" t="inlineStr">
        <is>
          <t>JPN</t>
        </is>
      </c>
      <c r="C151" t="inlineStr"/>
      <c r="D151" s="1" t="n">
        <v>46022</v>
      </c>
      <c r="E151" t="inlineStr">
        <is>
          <t>10Y</t>
        </is>
      </c>
      <c r="F151" t="inlineStr"/>
      <c r="G151" t="n">
        <v>0.4430022080747165</v>
      </c>
      <c r="H151" t="n">
        <v>1.623588192451919</v>
      </c>
      <c r="I151" t="n">
        <v>-0.3777999050532999</v>
      </c>
      <c r="J151" t="inlineStr"/>
      <c r="K151" t="inlineStr">
        <is>
          <t>Japan||10Y</t>
        </is>
      </c>
      <c r="L151" t="inlineStr">
        <is>
          <t>Japan|10Y</t>
        </is>
      </c>
      <c r="M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s="1" t="n">
        <v>46022</v>
      </c>
      <c r="E152" t="inlineStr">
        <is>
          <t>1Y</t>
        </is>
      </c>
      <c r="F152" t="n">
        <v>25.89693520558538</v>
      </c>
      <c r="G152" t="n">
        <v>1.07600000000001</v>
      </c>
      <c r="H152" t="n">
        <v>3.887970000000007</v>
      </c>
      <c r="I152" t="n">
        <v>6.479751999999994</v>
      </c>
      <c r="J152" t="n">
        <v>-19.41718320558538</v>
      </c>
      <c r="K152" t="inlineStr">
        <is>
          <t>Japan|CJPU.L|1Y</t>
        </is>
      </c>
      <c r="L152" t="inlineStr">
        <is>
          <t>Japan|1Y</t>
        </is>
      </c>
      <c r="M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s="1" t="n">
        <v>46022</v>
      </c>
      <c r="E153" t="inlineStr">
        <is>
          <t>3Y</t>
        </is>
      </c>
      <c r="F153" t="n">
        <v>17.49741225724488</v>
      </c>
      <c r="G153" t="n">
        <v>0.8070767384687372</v>
      </c>
      <c r="H153" t="n">
        <v>4.079471863645368</v>
      </c>
      <c r="I153" t="n">
        <v>0.1296002875132762</v>
      </c>
      <c r="J153" t="n">
        <v>-17.3678119697316</v>
      </c>
      <c r="K153" t="inlineStr">
        <is>
          <t>Japan|CJPU.L|3Y</t>
        </is>
      </c>
      <c r="L153" t="inlineStr">
        <is>
          <t>Japan|3Y</t>
        </is>
      </c>
      <c r="M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s="1" t="n">
        <v>46022</v>
      </c>
      <c r="E154" t="inlineStr">
        <is>
          <t>5Y</t>
        </is>
      </c>
      <c r="F154" t="n">
        <v>6.394042577849657</v>
      </c>
      <c r="G154" t="n">
        <v>1.212938163621247</v>
      </c>
      <c r="H154" t="n">
        <v>3.211698957264009</v>
      </c>
      <c r="I154" t="n">
        <v>-3.270926251822071</v>
      </c>
      <c r="J154" t="n">
        <v>-9.664968829671727</v>
      </c>
      <c r="K154" t="inlineStr">
        <is>
          <t>Japan|CJPU.L|5Y</t>
        </is>
      </c>
      <c r="L154" t="inlineStr">
        <is>
          <t>Japan|5Y</t>
        </is>
      </c>
      <c r="M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s="1" t="n">
        <v>46022</v>
      </c>
      <c r="E155" t="inlineStr">
        <is>
          <t>10Y</t>
        </is>
      </c>
      <c r="F155" t="n">
        <v>7.647721372879213</v>
      </c>
      <c r="G155" t="n">
        <v>0.4430022080747165</v>
      </c>
      <c r="H155" t="n">
        <v>1.623588192451919</v>
      </c>
      <c r="I155" t="n">
        <v>-0.3777999050532999</v>
      </c>
      <c r="J155" t="n">
        <v>-8.025521277932512</v>
      </c>
      <c r="K155" t="inlineStr">
        <is>
          <t>Japan|CJPU.L|10Y</t>
        </is>
      </c>
      <c r="L155" t="inlineStr">
        <is>
          <t>Japan|10Y</t>
        </is>
      </c>
      <c r="M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EWJ</t>
        </is>
      </c>
      <c r="D156" s="1" t="n">
        <v>46022</v>
      </c>
      <c r="E156" t="inlineStr">
        <is>
          <t>1Y</t>
        </is>
      </c>
      <c r="F156" t="n">
        <v>20.48947215316628</v>
      </c>
      <c r="G156" t="n">
        <v>1.07600000000001</v>
      </c>
      <c r="H156" t="n">
        <v>3.887970000000007</v>
      </c>
      <c r="I156" t="n">
        <v>6.479751999999994</v>
      </c>
      <c r="J156" t="n">
        <v>-14.00972015316628</v>
      </c>
      <c r="K156" t="inlineStr">
        <is>
          <t>Japan|EWJ|1Y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EWJ</t>
        </is>
      </c>
      <c r="D157" s="1" t="n">
        <v>46022</v>
      </c>
      <c r="E157" t="inlineStr">
        <is>
          <t>3Y</t>
        </is>
      </c>
      <c r="F157" t="n">
        <v>13.85893932262059</v>
      </c>
      <c r="G157" t="n">
        <v>0.8070767384687372</v>
      </c>
      <c r="H157" t="n">
        <v>4.079471863645368</v>
      </c>
      <c r="I157" t="n">
        <v>0.1296002875132762</v>
      </c>
      <c r="J157" t="n">
        <v>-13.72933903510731</v>
      </c>
      <c r="K157" t="inlineStr">
        <is>
          <t>Japan|EWJ|3Y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EWJ</t>
        </is>
      </c>
      <c r="D158" s="1" t="n">
        <v>46022</v>
      </c>
      <c r="E158" t="inlineStr">
        <is>
          <t>5Y</t>
        </is>
      </c>
      <c r="F158" t="n">
        <v>3.875823155230096</v>
      </c>
      <c r="G158" t="n">
        <v>1.212938163621247</v>
      </c>
      <c r="H158" t="n">
        <v>3.211698957264009</v>
      </c>
      <c r="I158" t="n">
        <v>-3.270926251822071</v>
      </c>
      <c r="J158" t="n">
        <v>-7.146749407052166</v>
      </c>
      <c r="K158" t="inlineStr">
        <is>
          <t>Japan|EWJ|5Y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EWJ</t>
        </is>
      </c>
      <c r="D159" s="1" t="n">
        <v>46022</v>
      </c>
      <c r="E159" t="inlineStr">
        <is>
          <t>10Y</t>
        </is>
      </c>
      <c r="F159" t="n">
        <v>5.399567491615298</v>
      </c>
      <c r="G159" t="n">
        <v>0.4430022080747165</v>
      </c>
      <c r="H159" t="n">
        <v>1.623588192451919</v>
      </c>
      <c r="I159" t="n">
        <v>-0.3777999050532999</v>
      </c>
      <c r="J159" t="n">
        <v>-5.777367396668598</v>
      </c>
      <c r="K159" t="inlineStr">
        <is>
          <t>Japan|EWJ|10Y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s="1" t="n">
        <v>46022</v>
      </c>
      <c r="E160" t="inlineStr">
        <is>
          <t>1Y</t>
        </is>
      </c>
      <c r="F160" t="n">
        <v>24.5942368252007</v>
      </c>
      <c r="G160" t="n">
        <v>1.07600000000001</v>
      </c>
      <c r="H160" t="n">
        <v>3.887970000000007</v>
      </c>
      <c r="I160" t="n">
        <v>6.479751999999994</v>
      </c>
      <c r="J160" t="n">
        <v>-18.11448482520071</v>
      </c>
      <c r="K160" t="inlineStr">
        <is>
          <t>Japan|LCJP.L|1Y</t>
        </is>
      </c>
      <c r="L160" t="inlineStr">
        <is>
          <t>Japan|1Y</t>
        </is>
      </c>
      <c r="M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s="1" t="n">
        <v>46022</v>
      </c>
      <c r="E161" t="inlineStr">
        <is>
          <t>3Y</t>
        </is>
      </c>
      <c r="F161" t="n">
        <v>17.21101514992034</v>
      </c>
      <c r="G161" t="n">
        <v>0.8070767384687372</v>
      </c>
      <c r="H161" t="n">
        <v>4.079471863645368</v>
      </c>
      <c r="I161" t="n">
        <v>0.1296002875132762</v>
      </c>
      <c r="J161" t="n">
        <v>-17.08141486240706</v>
      </c>
      <c r="K161" t="inlineStr">
        <is>
          <t>Japan|LCJP.L|3Y</t>
        </is>
      </c>
      <c r="L161" t="inlineStr">
        <is>
          <t>Japan|3Y</t>
        </is>
      </c>
      <c r="M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s="1" t="n">
        <v>46022</v>
      </c>
      <c r="E162" t="inlineStr">
        <is>
          <t>5Y</t>
        </is>
      </c>
      <c r="F162" t="n">
        <v>6.385415625106305</v>
      </c>
      <c r="G162" t="n">
        <v>1.212938163621247</v>
      </c>
      <c r="H162" t="n">
        <v>3.211698957264009</v>
      </c>
      <c r="I162" t="n">
        <v>-3.270926251822071</v>
      </c>
      <c r="J162" t="n">
        <v>-9.656341876928376</v>
      </c>
      <c r="K162" t="inlineStr">
        <is>
          <t>Japan|LCJP.L|5Y</t>
        </is>
      </c>
      <c r="L162" t="inlineStr">
        <is>
          <t>Japan|5Y</t>
        </is>
      </c>
      <c r="M162" t="inlineStr">
        <is>
          <t>GBP</t>
        </is>
      </c>
    </row>
    <row r="163">
      <c r="A163" t="inlineStr">
        <is>
          <t>Kuwait</t>
        </is>
      </c>
      <c r="B163" t="inlineStr">
        <is>
          <t>KWT</t>
        </is>
      </c>
      <c r="C163" t="inlineStr"/>
      <c r="D163" s="1" t="n">
        <v>46022</v>
      </c>
      <c r="E163" t="inlineStr">
        <is>
          <t>1Y</t>
        </is>
      </c>
      <c r="F163" t="inlineStr"/>
      <c r="G163" t="n">
        <v>2.57400000000001</v>
      </c>
      <c r="H163" t="n">
        <v>-1.719577000000005</v>
      </c>
      <c r="I163" t="n">
        <v>-1.720695000000005</v>
      </c>
      <c r="J163" t="inlineStr"/>
      <c r="K163" t="inlineStr">
        <is>
          <t>Kuwait||1Y</t>
        </is>
      </c>
      <c r="L163" t="inlineStr">
        <is>
          <t>Kuwait|1Y</t>
        </is>
      </c>
      <c r="M163" t="inlineStr"/>
    </row>
    <row r="164">
      <c r="A164" t="inlineStr">
        <is>
          <t>Kuwait</t>
        </is>
      </c>
      <c r="B164" t="inlineStr">
        <is>
          <t>KWT</t>
        </is>
      </c>
      <c r="C164" t="inlineStr"/>
      <c r="D164" s="1" t="n">
        <v>46022</v>
      </c>
      <c r="E164" t="inlineStr">
        <is>
          <t>3Y</t>
        </is>
      </c>
      <c r="F164" t="inlineStr"/>
      <c r="G164" t="n">
        <v>-0.5759876886007764</v>
      </c>
      <c r="H164" t="n">
        <v>-4.926291097228052</v>
      </c>
      <c r="I164" t="n">
        <v>-4.97842269540728</v>
      </c>
      <c r="J164" t="inlineStr"/>
      <c r="K164" t="inlineStr">
        <is>
          <t>Kuwait||3Y</t>
        </is>
      </c>
      <c r="L164" t="inlineStr">
        <is>
          <t>Kuwait|3Y</t>
        </is>
      </c>
      <c r="M164" t="inlineStr"/>
    </row>
    <row r="165">
      <c r="A165" t="inlineStr">
        <is>
          <t>Kuwait</t>
        </is>
      </c>
      <c r="B165" t="inlineStr">
        <is>
          <t>KWT</t>
        </is>
      </c>
      <c r="C165" t="inlineStr"/>
      <c r="D165" s="1" t="n">
        <v>46022</v>
      </c>
      <c r="E165" t="inlineStr">
        <is>
          <t>5Y</t>
        </is>
      </c>
      <c r="F165" t="inlineStr"/>
      <c r="G165" t="n">
        <v>1.301515826221089</v>
      </c>
      <c r="H165" t="n">
        <v>7.26778766784677</v>
      </c>
      <c r="I165" t="n">
        <v>7.23507633584064</v>
      </c>
      <c r="J165" t="inlineStr"/>
      <c r="K165" t="inlineStr">
        <is>
          <t>Kuwait||5Y</t>
        </is>
      </c>
      <c r="L165" t="inlineStr">
        <is>
          <t>Kuwait|5Y</t>
        </is>
      </c>
      <c r="M165" t="inlineStr"/>
    </row>
    <row r="166">
      <c r="A166" t="inlineStr">
        <is>
          <t>Kuwait</t>
        </is>
      </c>
      <c r="B166" t="inlineStr">
        <is>
          <t>KWT</t>
        </is>
      </c>
      <c r="C166" t="inlineStr"/>
      <c r="D166" s="1" t="n">
        <v>46022</v>
      </c>
      <c r="E166" t="inlineStr">
        <is>
          <t>10Y</t>
        </is>
      </c>
      <c r="F166" t="inlineStr"/>
      <c r="G166" t="n">
        <v>0.4541176664639712</v>
      </c>
      <c r="H166" t="n">
        <v>3.428995978213778</v>
      </c>
      <c r="I166" t="n">
        <v>3.228299065629847</v>
      </c>
      <c r="J166" t="inlineStr"/>
      <c r="K166" t="inlineStr">
        <is>
          <t>Kuwait||10Y</t>
        </is>
      </c>
      <c r="L166" t="inlineStr">
        <is>
          <t>Kuwait|10Y</t>
        </is>
      </c>
      <c r="M166" t="inlineStr"/>
    </row>
    <row r="167">
      <c r="A167" t="inlineStr">
        <is>
          <t>Kuwait</t>
        </is>
      </c>
      <c r="B167" t="inlineStr">
        <is>
          <t>KWT</t>
        </is>
      </c>
      <c r="C167" t="inlineStr">
        <is>
          <t>MKUW.L</t>
        </is>
      </c>
      <c r="D167" s="1" t="n">
        <v>46022</v>
      </c>
      <c r="E167" t="inlineStr">
        <is>
          <t>1Y</t>
        </is>
      </c>
      <c r="F167" t="n">
        <v>25.67082787963788</v>
      </c>
      <c r="G167" t="n">
        <v>2.57400000000001</v>
      </c>
      <c r="H167" t="n">
        <v>-1.719577000000005</v>
      </c>
      <c r="I167" t="n">
        <v>-1.720695000000005</v>
      </c>
      <c r="J167" t="n">
        <v>-27.39152287963789</v>
      </c>
      <c r="K167" t="inlineStr">
        <is>
          <t>Kuwait|MKUW.L|1Y</t>
        </is>
      </c>
      <c r="L167" t="inlineStr">
        <is>
          <t>Kuwait|1Y</t>
        </is>
      </c>
      <c r="M167" t="inlineStr">
        <is>
          <t>USD</t>
        </is>
      </c>
    </row>
    <row r="168">
      <c r="A168" t="inlineStr">
        <is>
          <t>Kuwait</t>
        </is>
      </c>
      <c r="B168" t="inlineStr">
        <is>
          <t>KWT</t>
        </is>
      </c>
      <c r="C168" t="inlineStr">
        <is>
          <t>MKUW.L</t>
        </is>
      </c>
      <c r="D168" s="1" t="n">
        <v>46022</v>
      </c>
      <c r="E168" t="inlineStr">
        <is>
          <t>3Y</t>
        </is>
      </c>
      <c r="F168" t="n">
        <v>8.309987966449018</v>
      </c>
      <c r="G168" t="n">
        <v>-0.5759876886007764</v>
      </c>
      <c r="H168" t="n">
        <v>-4.926291097228052</v>
      </c>
      <c r="I168" t="n">
        <v>-4.97842269540728</v>
      </c>
      <c r="J168" t="n">
        <v>-13.2884106618563</v>
      </c>
      <c r="K168" t="inlineStr">
        <is>
          <t>Kuwait|MKUW.L|3Y</t>
        </is>
      </c>
      <c r="L168" t="inlineStr">
        <is>
          <t>Kuwait|3Y</t>
        </is>
      </c>
      <c r="M168" t="inlineStr">
        <is>
          <t>USD</t>
        </is>
      </c>
    </row>
    <row r="169">
      <c r="A169" t="inlineStr">
        <is>
          <t>Kuwait</t>
        </is>
      </c>
      <c r="B169" t="inlineStr">
        <is>
          <t>KWT</t>
        </is>
      </c>
      <c r="C169" t="inlineStr">
        <is>
          <t>MKUW.L</t>
        </is>
      </c>
      <c r="D169" s="1" t="n">
        <v>46022</v>
      </c>
      <c r="E169" t="inlineStr">
        <is>
          <t>5Y</t>
        </is>
      </c>
      <c r="F169" t="n">
        <v>11.18340207437598</v>
      </c>
      <c r="G169" t="n">
        <v>1.301515826221089</v>
      </c>
      <c r="H169" t="n">
        <v>7.26778766784677</v>
      </c>
      <c r="I169" t="n">
        <v>7.23507633584064</v>
      </c>
      <c r="J169" t="n">
        <v>-3.94832573853534</v>
      </c>
      <c r="K169" t="inlineStr">
        <is>
          <t>Kuwait|MKUW.L|5Y</t>
        </is>
      </c>
      <c r="L169" t="inlineStr">
        <is>
          <t>Kuwait|5Y</t>
        </is>
      </c>
      <c r="M169" t="inlineStr">
        <is>
          <t>USD</t>
        </is>
      </c>
    </row>
    <row r="170">
      <c r="A170" t="inlineStr">
        <is>
          <t>Malaysia</t>
        </is>
      </c>
      <c r="B170" t="inlineStr">
        <is>
          <t>MYS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4.499999999999993</v>
      </c>
      <c r="H170" t="n">
        <v>5.607851000000008</v>
      </c>
      <c r="I170" t="n">
        <v>11.45000199999999</v>
      </c>
      <c r="J170" t="inlineStr"/>
      <c r="K170" t="inlineStr">
        <is>
          <t>Malaysia||1Y</t>
        </is>
      </c>
      <c r="L170" t="inlineStr">
        <is>
          <t>Malaysia|1Y</t>
        </is>
      </c>
      <c r="M170" t="inlineStr"/>
    </row>
    <row r="171">
      <c r="A171" t="inlineStr">
        <is>
          <t>Malaysia</t>
        </is>
      </c>
      <c r="B171" t="inlineStr">
        <is>
          <t>MYS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4.378667423638438</v>
      </c>
      <c r="H171" t="n">
        <v>4.370250040512258</v>
      </c>
      <c r="I171" t="n">
        <v>4.885544483325233</v>
      </c>
      <c r="J171" t="inlineStr"/>
      <c r="K171" t="inlineStr">
        <is>
          <t>Malaysia||3Y</t>
        </is>
      </c>
      <c r="L171" t="inlineStr">
        <is>
          <t>Malaysia|3Y</t>
        </is>
      </c>
      <c r="M171" t="inlineStr"/>
    </row>
    <row r="172">
      <c r="A172" t="inlineStr">
        <is>
          <t>Malaysia</t>
        </is>
      </c>
      <c r="B172" t="inlineStr">
        <is>
          <t>MYS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5.077690900653709</v>
      </c>
      <c r="H172" t="n">
        <v>7.544555745421189</v>
      </c>
      <c r="I172" t="n">
        <v>6.876392291377909</v>
      </c>
      <c r="J172" t="inlineStr"/>
      <c r="K172" t="inlineStr">
        <is>
          <t>Malaysia||5Y</t>
        </is>
      </c>
      <c r="L172" t="inlineStr">
        <is>
          <t>Malaysia|5Y</t>
        </is>
      </c>
      <c r="M172" t="inlineStr"/>
    </row>
    <row r="173">
      <c r="A173" t="inlineStr">
        <is>
          <t>Malaysia</t>
        </is>
      </c>
      <c r="B173" t="inlineStr">
        <is>
          <t>MYS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3.89444961245704</v>
      </c>
      <c r="H173" t="n">
        <v>5.657761217890767</v>
      </c>
      <c r="I173" t="n">
        <v>4.557398172221427</v>
      </c>
      <c r="J173" t="inlineStr"/>
      <c r="K173" t="inlineStr">
        <is>
          <t>Malaysia||10Y</t>
        </is>
      </c>
      <c r="L173" t="inlineStr">
        <is>
          <t>Malaysia|10Y</t>
        </is>
      </c>
      <c r="M173" t="inlineStr"/>
    </row>
    <row r="174">
      <c r="A174" t="inlineStr">
        <is>
          <t>Malaysia</t>
        </is>
      </c>
      <c r="B174" t="inlineStr">
        <is>
          <t>MYS</t>
        </is>
      </c>
      <c r="C174" t="inlineStr">
        <is>
          <t>EWM</t>
        </is>
      </c>
      <c r="D174" s="1" t="n">
        <v>46022</v>
      </c>
      <c r="E174" t="inlineStr">
        <is>
          <t>1Y</t>
        </is>
      </c>
      <c r="F174" t="n">
        <v>12.45376365041915</v>
      </c>
      <c r="G174" t="n">
        <v>4.499999999999993</v>
      </c>
      <c r="H174" t="n">
        <v>5.607851000000008</v>
      </c>
      <c r="I174" t="n">
        <v>11.45000199999999</v>
      </c>
      <c r="J174" t="n">
        <v>-1.003761650419156</v>
      </c>
      <c r="K174" t="inlineStr">
        <is>
          <t>Malaysia|EWM|1Y</t>
        </is>
      </c>
      <c r="L174" t="inlineStr">
        <is>
          <t>Malaysia|1Y</t>
        </is>
      </c>
      <c r="M174" t="inlineStr">
        <is>
          <t>USD</t>
        </is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EWM</t>
        </is>
      </c>
      <c r="D175" s="1" t="n">
        <v>46022</v>
      </c>
      <c r="E175" t="inlineStr">
        <is>
          <t>3Y</t>
        </is>
      </c>
      <c r="F175" t="n">
        <v>6.60986388743805</v>
      </c>
      <c r="G175" t="n">
        <v>4.378667423638438</v>
      </c>
      <c r="H175" t="n">
        <v>4.370250040512258</v>
      </c>
      <c r="I175" t="n">
        <v>4.885544483325233</v>
      </c>
      <c r="J175" t="n">
        <v>-1.724319404112817</v>
      </c>
      <c r="K175" t="inlineStr">
        <is>
          <t>Malaysia|EWM|3Y</t>
        </is>
      </c>
      <c r="L175" t="inlineStr">
        <is>
          <t>Malaysia|3Y</t>
        </is>
      </c>
      <c r="M175" t="inlineStr">
        <is>
          <t>USD</t>
        </is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EWM</t>
        </is>
      </c>
      <c r="D176" s="1" t="n">
        <v>46022</v>
      </c>
      <c r="E176" t="inlineStr">
        <is>
          <t>5Y</t>
        </is>
      </c>
      <c r="F176" t="n">
        <v>-0.7503522044496891</v>
      </c>
      <c r="G176" t="n">
        <v>5.077690900653709</v>
      </c>
      <c r="H176" t="n">
        <v>7.544555745421189</v>
      </c>
      <c r="I176" t="n">
        <v>6.876392291377909</v>
      </c>
      <c r="J176" t="n">
        <v>7.626744495827598</v>
      </c>
      <c r="K176" t="inlineStr">
        <is>
          <t>Malaysia|EWM|5Y</t>
        </is>
      </c>
      <c r="L176" t="inlineStr">
        <is>
          <t>Malaysia|5Y</t>
        </is>
      </c>
      <c r="M176" t="inlineStr">
        <is>
          <t>USD</t>
        </is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EWM</t>
        </is>
      </c>
      <c r="D177" s="1" t="n">
        <v>46022</v>
      </c>
      <c r="E177" t="inlineStr">
        <is>
          <t>10Y</t>
        </is>
      </c>
      <c r="F177" t="n">
        <v>-0.9037019749341235</v>
      </c>
      <c r="G177" t="n">
        <v>3.89444961245704</v>
      </c>
      <c r="H177" t="n">
        <v>5.657761217890767</v>
      </c>
      <c r="I177" t="n">
        <v>4.557398172221427</v>
      </c>
      <c r="J177" t="n">
        <v>5.461100147155551</v>
      </c>
      <c r="K177" t="inlineStr">
        <is>
          <t>Malaysia|EWM|10Y</t>
        </is>
      </c>
      <c r="L177" t="inlineStr">
        <is>
          <t>Malaysia|10Y</t>
        </is>
      </c>
      <c r="M177" t="inlineStr">
        <is>
          <t>USD</t>
        </is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s="1" t="n">
        <v>46022</v>
      </c>
      <c r="E178" t="inlineStr">
        <is>
          <t>1Y</t>
        </is>
      </c>
      <c r="F178" t="n">
        <v>15.10072133742288</v>
      </c>
      <c r="G178" t="n">
        <v>4.499999999999993</v>
      </c>
      <c r="H178" t="n">
        <v>5.607851000000008</v>
      </c>
      <c r="I178" t="n">
        <v>11.45000199999999</v>
      </c>
      <c r="J178" t="n">
        <v>-3.650719337422892</v>
      </c>
      <c r="K178" t="inlineStr">
        <is>
          <t>Malaysia|XCX3.L|1Y</t>
        </is>
      </c>
      <c r="L178" t="inlineStr">
        <is>
          <t>Malaysia|1Y</t>
        </is>
      </c>
      <c r="M178" t="inlineStr">
        <is>
          <t>GBp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s="1" t="n">
        <v>46022</v>
      </c>
      <c r="E179" t="inlineStr">
        <is>
          <t>3Y</t>
        </is>
      </c>
      <c r="F179" t="n">
        <v>10.2501129643682</v>
      </c>
      <c r="G179" t="n">
        <v>4.378667423638438</v>
      </c>
      <c r="H179" t="n">
        <v>4.370250040512258</v>
      </c>
      <c r="I179" t="n">
        <v>4.885544483325233</v>
      </c>
      <c r="J179" t="n">
        <v>-5.364568481042963</v>
      </c>
      <c r="K179" t="inlineStr">
        <is>
          <t>Malaysia|XCX3.L|3Y</t>
        </is>
      </c>
      <c r="L179" t="inlineStr">
        <is>
          <t>Malaysia|3Y</t>
        </is>
      </c>
      <c r="M179" t="inlineStr">
        <is>
          <t>GBp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s="1" t="n">
        <v>46022</v>
      </c>
      <c r="E180" t="inlineStr">
        <is>
          <t>5Y</t>
        </is>
      </c>
      <c r="F180" t="n">
        <v>3.015219573951078</v>
      </c>
      <c r="G180" t="n">
        <v>5.077690900653709</v>
      </c>
      <c r="H180" t="n">
        <v>7.544555745421189</v>
      </c>
      <c r="I180" t="n">
        <v>6.876392291377909</v>
      </c>
      <c r="J180" t="n">
        <v>3.861172717426831</v>
      </c>
      <c r="K180" t="inlineStr">
        <is>
          <t>Malaysia|XCX3.L|5Y</t>
        </is>
      </c>
      <c r="L180" t="inlineStr">
        <is>
          <t>Malaysia|5Y</t>
        </is>
      </c>
      <c r="M180" t="inlineStr">
        <is>
          <t>GBp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s="1" t="n">
        <v>46022</v>
      </c>
      <c r="E181" t="inlineStr">
        <is>
          <t>10Y</t>
        </is>
      </c>
      <c r="F181" t="n">
        <v>2.707796542307261</v>
      </c>
      <c r="G181" t="n">
        <v>3.89444961245704</v>
      </c>
      <c r="H181" t="n">
        <v>5.657761217890767</v>
      </c>
      <c r="I181" t="n">
        <v>4.557398172221427</v>
      </c>
      <c r="J181" t="n">
        <v>1.849601629914166</v>
      </c>
      <c r="K181" t="inlineStr">
        <is>
          <t>Malaysia|XCX3.L|10Y</t>
        </is>
      </c>
      <c r="L181" t="inlineStr">
        <is>
          <t>Malaysia|10Y</t>
        </is>
      </c>
      <c r="M181" t="inlineStr">
        <is>
          <t>GBp</t>
        </is>
      </c>
    </row>
    <row r="182">
      <c r="A182" t="inlineStr">
        <is>
          <t>Mexico</t>
        </is>
      </c>
      <c r="B182" t="inlineStr">
        <is>
          <t>MEX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0.990000000000002</v>
      </c>
      <c r="H182" t="n">
        <v>6.194170999999993</v>
      </c>
      <c r="I182" t="n">
        <v>0.3433589999999986</v>
      </c>
      <c r="J182" t="inlineStr"/>
      <c r="K182" t="inlineStr">
        <is>
          <t>Mexico||1Y</t>
        </is>
      </c>
      <c r="L182" t="inlineStr">
        <is>
          <t>Mexico|1Y</t>
        </is>
      </c>
      <c r="M182" t="inlineStr"/>
    </row>
    <row r="183">
      <c r="A183" t="inlineStr">
        <is>
          <t>Mexico</t>
        </is>
      </c>
      <c r="B183" t="inlineStr">
        <is>
          <t>MEX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1.918513449306825</v>
      </c>
      <c r="H183" t="n">
        <v>6.916414971568341</v>
      </c>
      <c r="I183" t="n">
        <v>8.288030696523553</v>
      </c>
      <c r="J183" t="inlineStr"/>
      <c r="K183" t="inlineStr">
        <is>
          <t>Mexico||3Y</t>
        </is>
      </c>
      <c r="L183" t="inlineStr">
        <is>
          <t>Mexico|3Y</t>
        </is>
      </c>
      <c r="M183" t="inlineStr"/>
    </row>
    <row r="184">
      <c r="A184" t="inlineStr">
        <is>
          <t>Mexico</t>
        </is>
      </c>
      <c r="B184" t="inlineStr">
        <is>
          <t>MEX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3.089983868865098</v>
      </c>
      <c r="H184" t="n">
        <v>8.420259177260391</v>
      </c>
      <c r="I184" t="n">
        <v>10.68895551720954</v>
      </c>
      <c r="J184" t="inlineStr"/>
      <c r="K184" t="inlineStr">
        <is>
          <t>Mexico||5Y</t>
        </is>
      </c>
      <c r="L184" t="inlineStr">
        <is>
          <t>Mexico|5Y</t>
        </is>
      </c>
      <c r="M184" t="inlineStr"/>
    </row>
    <row r="185">
      <c r="A185" t="inlineStr">
        <is>
          <t>Mexico</t>
        </is>
      </c>
      <c r="B185" t="inlineStr">
        <is>
          <t>MEX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1.173082287112415</v>
      </c>
      <c r="H185" t="n">
        <v>6.497216116328164</v>
      </c>
      <c r="I185" t="n">
        <v>4.380318769606451</v>
      </c>
      <c r="J185" t="inlineStr"/>
      <c r="K185" t="inlineStr">
        <is>
          <t>Mexico||10Y</t>
        </is>
      </c>
      <c r="L185" t="inlineStr">
        <is>
          <t>Mexico|10Y</t>
        </is>
      </c>
      <c r="M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EWW</t>
        </is>
      </c>
      <c r="D186" s="1" t="n">
        <v>46022</v>
      </c>
      <c r="E186" t="inlineStr">
        <is>
          <t>1Y</t>
        </is>
      </c>
      <c r="F186" t="n">
        <v>45.28499592949748</v>
      </c>
      <c r="G186" t="n">
        <v>0.990000000000002</v>
      </c>
      <c r="H186" t="n">
        <v>6.194170999999993</v>
      </c>
      <c r="I186" t="n">
        <v>0.3433589999999986</v>
      </c>
      <c r="J186" t="n">
        <v>-44.94163692949748</v>
      </c>
      <c r="K186" t="inlineStr">
        <is>
          <t>Mexico|EWW|1Y</t>
        </is>
      </c>
      <c r="L186" t="inlineStr">
        <is>
          <t>Mexico|1Y</t>
        </is>
      </c>
      <c r="M186" t="inlineStr">
        <is>
          <t>USD</t>
        </is>
      </c>
    </row>
    <row r="187">
      <c r="A187" t="inlineStr">
        <is>
          <t>Mexico</t>
        </is>
      </c>
      <c r="B187" t="inlineStr">
        <is>
          <t>MEX</t>
        </is>
      </c>
      <c r="C187" t="inlineStr">
        <is>
          <t>EWW</t>
        </is>
      </c>
      <c r="D187" s="1" t="n">
        <v>46022</v>
      </c>
      <c r="E187" t="inlineStr">
        <is>
          <t>3Y</t>
        </is>
      </c>
      <c r="F187" t="n">
        <v>11.25921712731353</v>
      </c>
      <c r="G187" t="n">
        <v>1.918513449306825</v>
      </c>
      <c r="H187" t="n">
        <v>6.916414971568341</v>
      </c>
      <c r="I187" t="n">
        <v>8.288030696523553</v>
      </c>
      <c r="J187" t="n">
        <v>-2.971186430789974</v>
      </c>
      <c r="K187" t="inlineStr">
        <is>
          <t>Mexico|EWW|3Y</t>
        </is>
      </c>
      <c r="L187" t="inlineStr">
        <is>
          <t>Mexico|3Y</t>
        </is>
      </c>
      <c r="M187" t="inlineStr">
        <is>
          <t>USD</t>
        </is>
      </c>
    </row>
    <row r="188">
      <c r="A188" t="inlineStr">
        <is>
          <t>Mexico</t>
        </is>
      </c>
      <c r="B188" t="inlineStr">
        <is>
          <t>MEX</t>
        </is>
      </c>
      <c r="C188" t="inlineStr">
        <is>
          <t>EWW</t>
        </is>
      </c>
      <c r="D188" s="1" t="n">
        <v>46022</v>
      </c>
      <c r="E188" t="inlineStr">
        <is>
          <t>5Y</t>
        </is>
      </c>
      <c r="F188" t="n">
        <v>9.856687808789166</v>
      </c>
      <c r="G188" t="n">
        <v>3.089983868865098</v>
      </c>
      <c r="H188" t="n">
        <v>8.420259177260391</v>
      </c>
      <c r="I188" t="n">
        <v>10.68895551720954</v>
      </c>
      <c r="J188" t="n">
        <v>0.8322677084203765</v>
      </c>
      <c r="K188" t="inlineStr">
        <is>
          <t>Mexico|EWW|5Y</t>
        </is>
      </c>
      <c r="L188" t="inlineStr">
        <is>
          <t>Mexico|5Y</t>
        </is>
      </c>
      <c r="M188" t="inlineStr">
        <is>
          <t>USD</t>
        </is>
      </c>
    </row>
    <row r="189">
      <c r="A189" t="inlineStr">
        <is>
          <t>Mexico</t>
        </is>
      </c>
      <c r="B189" t="inlineStr">
        <is>
          <t>MEX</t>
        </is>
      </c>
      <c r="C189" t="inlineStr">
        <is>
          <t>EWW</t>
        </is>
      </c>
      <c r="D189" s="1" t="n">
        <v>46022</v>
      </c>
      <c r="E189" t="inlineStr">
        <is>
          <t>10Y</t>
        </is>
      </c>
      <c r="F189" t="n">
        <v>3.516723103879515</v>
      </c>
      <c r="G189" t="n">
        <v>1.173082287112415</v>
      </c>
      <c r="H189" t="n">
        <v>6.497216116328164</v>
      </c>
      <c r="I189" t="n">
        <v>4.380318769606451</v>
      </c>
      <c r="J189" t="n">
        <v>0.863595665726935</v>
      </c>
      <c r="K189" t="inlineStr">
        <is>
          <t>Mexico|EWW|10Y</t>
        </is>
      </c>
      <c r="L189" t="inlineStr">
        <is>
          <t>Mexico|10Y</t>
        </is>
      </c>
      <c r="M189" t="inlineStr">
        <is>
          <t>USD</t>
        </is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s="1" t="n">
        <v>46022</v>
      </c>
      <c r="E190" t="inlineStr">
        <is>
          <t>1Y</t>
        </is>
      </c>
      <c r="F190" t="n">
        <v>51.79014314508883</v>
      </c>
      <c r="G190" t="n">
        <v>0.990000000000002</v>
      </c>
      <c r="H190" t="n">
        <v>6.194170999999993</v>
      </c>
      <c r="I190" t="n">
        <v>0.3433589999999986</v>
      </c>
      <c r="J190" t="n">
        <v>-51.44678414508883</v>
      </c>
      <c r="K190" t="inlineStr">
        <is>
          <t>Mexico|XMEX.L|1Y</t>
        </is>
      </c>
      <c r="L190" t="inlineStr">
        <is>
          <t>Mexico|1Y</t>
        </is>
      </c>
      <c r="M190" t="inlineStr">
        <is>
          <t>GBp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s="1" t="n">
        <v>46022</v>
      </c>
      <c r="E191" t="inlineStr">
        <is>
          <t>3Y</t>
        </is>
      </c>
      <c r="F191" t="n">
        <v>15.56375051222438</v>
      </c>
      <c r="G191" t="n">
        <v>1.918513449306825</v>
      </c>
      <c r="H191" t="n">
        <v>6.916414971568341</v>
      </c>
      <c r="I191" t="n">
        <v>8.288030696523553</v>
      </c>
      <c r="J191" t="n">
        <v>-7.275719815700832</v>
      </c>
      <c r="K191" t="inlineStr">
        <is>
          <t>Mexico|XMEX.L|3Y</t>
        </is>
      </c>
      <c r="L191" t="inlineStr">
        <is>
          <t>Mexico|3Y</t>
        </is>
      </c>
      <c r="M191" t="inlineStr">
        <is>
          <t>GBp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s="1" t="n">
        <v>46022</v>
      </c>
      <c r="E192" t="inlineStr">
        <is>
          <t>5Y</t>
        </is>
      </c>
      <c r="F192" t="n">
        <v>12.65706447900565</v>
      </c>
      <c r="G192" t="n">
        <v>3.089983868865098</v>
      </c>
      <c r="H192" t="n">
        <v>8.420259177260391</v>
      </c>
      <c r="I192" t="n">
        <v>10.68895551720954</v>
      </c>
      <c r="J192" t="n">
        <v>-1.96810896179611</v>
      </c>
      <c r="K192" t="inlineStr">
        <is>
          <t>Mexico|XMEX.L|5Y</t>
        </is>
      </c>
      <c r="L192" t="inlineStr">
        <is>
          <t>Mexico|5Y</t>
        </is>
      </c>
      <c r="M192" t="inlineStr">
        <is>
          <t>GBp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s="1" t="n">
        <v>46022</v>
      </c>
      <c r="E193" t="inlineStr">
        <is>
          <t>10Y</t>
        </is>
      </c>
      <c r="F193" t="n">
        <v>5.904962493780075</v>
      </c>
      <c r="G193" t="n">
        <v>1.173082287112415</v>
      </c>
      <c r="H193" t="n">
        <v>6.497216116328164</v>
      </c>
      <c r="I193" t="n">
        <v>4.380318769606451</v>
      </c>
      <c r="J193" t="n">
        <v>-1.524643724173624</v>
      </c>
      <c r="K193" t="inlineStr">
        <is>
          <t>Mexico|XMEX.L|10Y</t>
        </is>
      </c>
      <c r="L193" t="inlineStr">
        <is>
          <t>Mexico|10Y</t>
        </is>
      </c>
      <c r="M193" t="inlineStr">
        <is>
          <t>GBp</t>
        </is>
      </c>
    </row>
    <row r="194">
      <c r="A194" t="inlineStr">
        <is>
          <t>Netherlands</t>
        </is>
      </c>
      <c r="B194" t="inlineStr">
        <is>
          <t>NLD</t>
        </is>
      </c>
      <c r="C194" t="inlineStr"/>
      <c r="D194" s="1" t="n">
        <v>46022</v>
      </c>
      <c r="E194" t="inlineStr">
        <is>
          <t>1Y</t>
        </is>
      </c>
      <c r="F194" t="inlineStr"/>
      <c r="G194" t="n">
        <v>1.432999999999995</v>
      </c>
      <c r="H194" t="n">
        <v>4.161666000000008</v>
      </c>
      <c r="I194" t="n">
        <v>8.733436000000005</v>
      </c>
      <c r="J194" t="inlineStr"/>
      <c r="K194" t="inlineStr">
        <is>
          <t>Netherlands||1Y</t>
        </is>
      </c>
      <c r="L194" t="inlineStr">
        <is>
          <t>Netherlands|1Y</t>
        </is>
      </c>
      <c r="M194" t="inlineStr"/>
    </row>
    <row r="195">
      <c r="A195" t="inlineStr">
        <is>
          <t>Netherlands</t>
        </is>
      </c>
      <c r="B195" t="inlineStr">
        <is>
          <t>NLD</t>
        </is>
      </c>
      <c r="C195" t="inlineStr"/>
      <c r="D195" s="1" t="n">
        <v>46022</v>
      </c>
      <c r="E195" t="inlineStr">
        <is>
          <t>3Y</t>
        </is>
      </c>
      <c r="F195" t="inlineStr"/>
      <c r="G195" t="n">
        <v>0.6334062467186374</v>
      </c>
      <c r="H195" t="n">
        <v>5.565876348347754</v>
      </c>
      <c r="I195" t="n">
        <v>8.034314163042211</v>
      </c>
      <c r="J195" t="inlineStr"/>
      <c r="K195" t="inlineStr">
        <is>
          <t>Netherlands||3Y</t>
        </is>
      </c>
      <c r="L195" t="inlineStr">
        <is>
          <t>Netherlands|3Y</t>
        </is>
      </c>
      <c r="M195" t="inlineStr"/>
    </row>
    <row r="196">
      <c r="A196" t="inlineStr">
        <is>
          <t>Netherlands</t>
        </is>
      </c>
      <c r="B196" t="inlineStr">
        <is>
          <t>NLD</t>
        </is>
      </c>
      <c r="C196" t="inlineStr"/>
      <c r="D196" s="1" t="n">
        <v>46022</v>
      </c>
      <c r="E196" t="inlineStr">
        <is>
          <t>5Y</t>
        </is>
      </c>
      <c r="F196" t="inlineStr"/>
      <c r="G196" t="n">
        <v>2.607150877915188</v>
      </c>
      <c r="H196" t="n">
        <v>7.445536676352682</v>
      </c>
      <c r="I196" t="n">
        <v>7.223681304975349</v>
      </c>
      <c r="J196" t="inlineStr"/>
      <c r="K196" t="inlineStr">
        <is>
          <t>Netherlands||5Y</t>
        </is>
      </c>
      <c r="L196" t="inlineStr">
        <is>
          <t>Netherlands|5Y</t>
        </is>
      </c>
      <c r="M196" t="inlineStr"/>
    </row>
    <row r="197">
      <c r="A197" t="inlineStr">
        <is>
          <t>Netherlands</t>
        </is>
      </c>
      <c r="B197" t="inlineStr">
        <is>
          <t>NLD</t>
        </is>
      </c>
      <c r="C197" t="inlineStr"/>
      <c r="D197" s="1" t="n">
        <v>46022</v>
      </c>
      <c r="E197" t="inlineStr">
        <is>
          <t>10Y</t>
        </is>
      </c>
      <c r="F197" t="inlineStr"/>
      <c r="G197" t="n">
        <v>1.873778489039823</v>
      </c>
      <c r="H197" t="n">
        <v>5.275969886643628</v>
      </c>
      <c r="I197" t="n">
        <v>5.463473504350991</v>
      </c>
      <c r="J197" t="inlineStr"/>
      <c r="K197" t="inlineStr">
        <is>
          <t>Netherlands||10Y</t>
        </is>
      </c>
      <c r="L197" t="inlineStr">
        <is>
          <t>Netherlands|10Y</t>
        </is>
      </c>
      <c r="M197" t="inlineStr"/>
    </row>
    <row r="198">
      <c r="A198" t="inlineStr">
        <is>
          <t>Netherlands</t>
        </is>
      </c>
      <c r="B198" t="inlineStr">
        <is>
          <t>NLD</t>
        </is>
      </c>
      <c r="C198" t="inlineStr">
        <is>
          <t>EWN</t>
        </is>
      </c>
      <c r="D198" s="1" t="n">
        <v>46022</v>
      </c>
      <c r="E198" t="inlineStr">
        <is>
          <t>1Y</t>
        </is>
      </c>
      <c r="F198" t="n">
        <v>28.47488074666664</v>
      </c>
      <c r="G198" t="n">
        <v>1.432999999999995</v>
      </c>
      <c r="H198" t="n">
        <v>4.161666000000008</v>
      </c>
      <c r="I198" t="n">
        <v>8.733436000000005</v>
      </c>
      <c r="J198" t="n">
        <v>-19.74144474666664</v>
      </c>
      <c r="K198" t="inlineStr">
        <is>
          <t>Netherlands|EWN|1Y</t>
        </is>
      </c>
      <c r="L198" t="inlineStr">
        <is>
          <t>Netherlands|1Y</t>
        </is>
      </c>
      <c r="M198" t="inlineStr">
        <is>
          <t>USD</t>
        </is>
      </c>
    </row>
    <row r="199">
      <c r="A199" t="inlineStr">
        <is>
          <t>Netherlands</t>
        </is>
      </c>
      <c r="B199" t="inlineStr">
        <is>
          <t>NLD</t>
        </is>
      </c>
      <c r="C199" t="inlineStr">
        <is>
          <t>EWN</t>
        </is>
      </c>
      <c r="D199" s="1" t="n">
        <v>46022</v>
      </c>
      <c r="E199" t="inlineStr">
        <is>
          <t>3Y</t>
        </is>
      </c>
      <c r="F199" t="n">
        <v>14.52164660504009</v>
      </c>
      <c r="G199" t="n">
        <v>0.6334062467186374</v>
      </c>
      <c r="H199" t="n">
        <v>5.565876348347754</v>
      </c>
      <c r="I199" t="n">
        <v>8.034314163042211</v>
      </c>
      <c r="J199" t="n">
        <v>-6.487332441997884</v>
      </c>
      <c r="K199" t="inlineStr">
        <is>
          <t>Netherlands|EWN|3Y</t>
        </is>
      </c>
      <c r="L199" t="inlineStr">
        <is>
          <t>Netherlands|3Y</t>
        </is>
      </c>
      <c r="M199" t="inlineStr">
        <is>
          <t>USD</t>
        </is>
      </c>
    </row>
    <row r="200">
      <c r="A200" t="inlineStr">
        <is>
          <t>Netherlands</t>
        </is>
      </c>
      <c r="B200" t="inlineStr">
        <is>
          <t>NLD</t>
        </is>
      </c>
      <c r="C200" t="inlineStr">
        <is>
          <t>EWN</t>
        </is>
      </c>
      <c r="D200" s="1" t="n">
        <v>46022</v>
      </c>
      <c r="E200" t="inlineStr">
        <is>
          <t>5Y</t>
        </is>
      </c>
      <c r="F200" t="n">
        <v>6.319319090438436</v>
      </c>
      <c r="G200" t="n">
        <v>2.607150877915188</v>
      </c>
      <c r="H200" t="n">
        <v>7.445536676352682</v>
      </c>
      <c r="I200" t="n">
        <v>7.223681304975349</v>
      </c>
      <c r="J200" t="n">
        <v>0.9043622145369135</v>
      </c>
      <c r="K200" t="inlineStr">
        <is>
          <t>Netherlands|EWN|5Y</t>
        </is>
      </c>
      <c r="L200" t="inlineStr">
        <is>
          <t>Netherlands|5Y</t>
        </is>
      </c>
      <c r="M200" t="inlineStr">
        <is>
          <t>USD</t>
        </is>
      </c>
    </row>
    <row r="201">
      <c r="A201" t="inlineStr">
        <is>
          <t>Netherlands</t>
        </is>
      </c>
      <c r="B201" t="inlineStr">
        <is>
          <t>NLD</t>
        </is>
      </c>
      <c r="C201" t="inlineStr">
        <is>
          <t>EWN</t>
        </is>
      </c>
      <c r="D201" s="1" t="n">
        <v>46022</v>
      </c>
      <c r="E201" t="inlineStr">
        <is>
          <t>10Y</t>
        </is>
      </c>
      <c r="F201" t="n">
        <v>9.2939318804649</v>
      </c>
      <c r="G201" t="n">
        <v>1.873778489039823</v>
      </c>
      <c r="H201" t="n">
        <v>5.275969886643628</v>
      </c>
      <c r="I201" t="n">
        <v>5.463473504350991</v>
      </c>
      <c r="J201" t="n">
        <v>-3.830458376113909</v>
      </c>
      <c r="K201" t="inlineStr">
        <is>
          <t>Netherlands|EWN|10Y</t>
        </is>
      </c>
      <c r="L201" t="inlineStr">
        <is>
          <t>Netherlands|10Y</t>
        </is>
      </c>
      <c r="M201" t="inlineStr">
        <is>
          <t>USD</t>
        </is>
      </c>
    </row>
    <row r="202">
      <c r="A202" t="inlineStr">
        <is>
          <t>Pakistan</t>
        </is>
      </c>
      <c r="B202" t="inlineStr">
        <is>
          <t>PAK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2.675999999999989</v>
      </c>
      <c r="H202" t="n">
        <v>9.082017999999991</v>
      </c>
      <c r="I202" t="n">
        <v>10.52400600000001</v>
      </c>
      <c r="J202" t="inlineStr"/>
      <c r="K202" t="inlineStr">
        <is>
          <t>Pakistan||1Y</t>
        </is>
      </c>
      <c r="L202" t="inlineStr">
        <is>
          <t>Pakistan|1Y</t>
        </is>
      </c>
      <c r="M202" t="inlineStr"/>
    </row>
    <row r="203">
      <c r="A203" t="inlineStr">
        <is>
          <t>Pakistan</t>
        </is>
      </c>
      <c r="B203" t="inlineStr">
        <is>
          <t>PAK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1.649324688558096</v>
      </c>
      <c r="H203" t="n">
        <v>19.82855796166916</v>
      </c>
      <c r="I203" t="n">
        <v>3.074234820321298</v>
      </c>
      <c r="J203" t="inlineStr"/>
      <c r="K203" t="inlineStr">
        <is>
          <t>Pakistan||3Y</t>
        </is>
      </c>
      <c r="L203" t="inlineStr">
        <is>
          <t>Pakistan|3Y</t>
        </is>
      </c>
      <c r="M203" t="inlineStr"/>
    </row>
    <row r="204">
      <c r="A204" t="inlineStr">
        <is>
          <t>Pakistan</t>
        </is>
      </c>
      <c r="B204" t="inlineStr">
        <is>
          <t>PAK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3.357915911123643</v>
      </c>
      <c r="H204" t="n">
        <v>19.25975167337741</v>
      </c>
      <c r="I204" t="n">
        <v>6.443390111721992</v>
      </c>
      <c r="J204" t="inlineStr"/>
      <c r="K204" t="inlineStr">
        <is>
          <t>Pakistan||5Y</t>
        </is>
      </c>
      <c r="L204" t="inlineStr">
        <is>
          <t>Pakistan|5Y</t>
        </is>
      </c>
      <c r="M204" t="inlineStr"/>
    </row>
    <row r="205">
      <c r="A205" t="inlineStr">
        <is>
          <t>Pakistan</t>
        </is>
      </c>
      <c r="B205" t="inlineStr">
        <is>
          <t>PAK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3.360565219461842</v>
      </c>
      <c r="H205" t="n">
        <v>14.19022457351622</v>
      </c>
      <c r="I205" t="n">
        <v>3.187905469920072</v>
      </c>
      <c r="J205" t="inlineStr"/>
      <c r="K205" t="inlineStr">
        <is>
          <t>Pakistan||10Y</t>
        </is>
      </c>
      <c r="L205" t="inlineStr">
        <is>
          <t>Pakistan|10Y</t>
        </is>
      </c>
      <c r="M205" t="inlineStr"/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s="1" t="n">
        <v>46022</v>
      </c>
      <c r="E206" t="inlineStr">
        <is>
          <t>1Y</t>
        </is>
      </c>
      <c r="F206" t="n">
        <v>34.99065889359694</v>
      </c>
      <c r="G206" t="n">
        <v>2.675999999999989</v>
      </c>
      <c r="H206" t="n">
        <v>9.082017999999991</v>
      </c>
      <c r="I206" t="n">
        <v>10.52400600000001</v>
      </c>
      <c r="J206" t="n">
        <v>-24.46665289359693</v>
      </c>
      <c r="K206" t="inlineStr">
        <is>
          <t>Pakistan|XBAK.L|1Y</t>
        </is>
      </c>
      <c r="L206" t="inlineStr">
        <is>
          <t>Pakistan|1Y</t>
        </is>
      </c>
      <c r="M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s="1" t="n">
        <v>46022</v>
      </c>
      <c r="E207" t="inlineStr">
        <is>
          <t>3Y</t>
        </is>
      </c>
      <c r="F207" t="n">
        <v>38.47228569219119</v>
      </c>
      <c r="G207" t="n">
        <v>1.649324688558096</v>
      </c>
      <c r="H207" t="n">
        <v>19.82855796166916</v>
      </c>
      <c r="I207" t="n">
        <v>3.074234820321298</v>
      </c>
      <c r="J207" t="n">
        <v>-35.39805087186988</v>
      </c>
      <c r="K207" t="inlineStr">
        <is>
          <t>Pakistan|XBAK.L|3Y</t>
        </is>
      </c>
      <c r="L207" t="inlineStr">
        <is>
          <t>Pakistan|3Y</t>
        </is>
      </c>
      <c r="M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s="1" t="n">
        <v>46022</v>
      </c>
      <c r="E208" t="inlineStr">
        <is>
          <t>5Y</t>
        </is>
      </c>
      <c r="F208" t="n">
        <v>9.251624829567318</v>
      </c>
      <c r="G208" t="n">
        <v>3.357915911123643</v>
      </c>
      <c r="H208" t="n">
        <v>19.25975167337741</v>
      </c>
      <c r="I208" t="n">
        <v>6.443390111721992</v>
      </c>
      <c r="J208" t="n">
        <v>-2.808234717845326</v>
      </c>
      <c r="K208" t="inlineStr">
        <is>
          <t>Pakistan|XBAK.L|5Y</t>
        </is>
      </c>
      <c r="L208" t="inlineStr">
        <is>
          <t>Pakistan|5Y</t>
        </is>
      </c>
      <c r="M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s="1" t="n">
        <v>46022</v>
      </c>
      <c r="E209" t="inlineStr">
        <is>
          <t>10Y</t>
        </is>
      </c>
      <c r="F209" t="n">
        <v>0.1423435164196407</v>
      </c>
      <c r="G209" t="n">
        <v>3.360565219461842</v>
      </c>
      <c r="H209" t="n">
        <v>14.19022457351622</v>
      </c>
      <c r="I209" t="n">
        <v>3.187905469920072</v>
      </c>
      <c r="J209" t="n">
        <v>3.045561953500431</v>
      </c>
      <c r="K209" t="inlineStr">
        <is>
          <t>Pakistan|XBAK.L|10Y</t>
        </is>
      </c>
      <c r="L209" t="inlineStr">
        <is>
          <t>Pakistan|10Y</t>
        </is>
      </c>
      <c r="M209" t="inlineStr">
        <is>
          <t>USD</t>
        </is>
      </c>
    </row>
    <row r="210">
      <c r="A210" t="inlineStr">
        <is>
          <t>Philippines</t>
        </is>
      </c>
      <c r="B210" t="inlineStr">
        <is>
          <t>PHL</t>
        </is>
      </c>
      <c r="C210" t="inlineStr"/>
      <c r="D210" s="1" t="n">
        <v>46022</v>
      </c>
      <c r="E210" t="inlineStr">
        <is>
          <t>1Y</t>
        </is>
      </c>
      <c r="F210" t="inlineStr"/>
      <c r="G210" t="n">
        <v>5.43499999999999</v>
      </c>
      <c r="H210" t="n">
        <v>7.04919799999999</v>
      </c>
      <c r="I210" t="n">
        <v>7.049349999999999</v>
      </c>
      <c r="J210" t="inlineStr"/>
      <c r="K210" t="inlineStr">
        <is>
          <t>Philippines||1Y</t>
        </is>
      </c>
      <c r="L210" t="inlineStr">
        <is>
          <t>Philippines|1Y</t>
        </is>
      </c>
      <c r="M210" t="inlineStr"/>
    </row>
    <row r="211">
      <c r="A211" t="inlineStr">
        <is>
          <t>Philippines</t>
        </is>
      </c>
      <c r="B211" t="inlineStr">
        <is>
          <t>PHL</t>
        </is>
      </c>
      <c r="C211" t="inlineStr"/>
      <c r="D211" s="1" t="n">
        <v>46022</v>
      </c>
      <c r="E211" t="inlineStr">
        <is>
          <t>3Y</t>
        </is>
      </c>
      <c r="F211" t="inlineStr"/>
      <c r="G211" t="n">
        <v>5.5486124491402</v>
      </c>
      <c r="H211" t="n">
        <v>8.723390614114468</v>
      </c>
      <c r="I211" t="n">
        <v>6.914117046183832</v>
      </c>
      <c r="J211" t="inlineStr"/>
      <c r="K211" t="inlineStr">
        <is>
          <t>Philippines||3Y</t>
        </is>
      </c>
      <c r="L211" t="inlineStr">
        <is>
          <t>Philippines|3Y</t>
        </is>
      </c>
      <c r="M211" t="inlineStr"/>
    </row>
    <row r="212">
      <c r="A212" t="inlineStr">
        <is>
          <t>Philippines</t>
        </is>
      </c>
      <c r="B212" t="inlineStr">
        <is>
          <t>PHL</t>
        </is>
      </c>
      <c r="C212" t="inlineStr"/>
      <c r="D212" s="1" t="n">
        <v>46022</v>
      </c>
      <c r="E212" t="inlineStr">
        <is>
          <t>5Y</t>
        </is>
      </c>
      <c r="F212" t="inlineStr"/>
      <c r="G212" t="n">
        <v>5.98537852939689</v>
      </c>
      <c r="H212" t="n">
        <v>9.539154091663882</v>
      </c>
      <c r="I212" t="n">
        <v>6.43665521117589</v>
      </c>
      <c r="J212" t="inlineStr"/>
      <c r="K212" t="inlineStr">
        <is>
          <t>Philippines||5Y</t>
        </is>
      </c>
      <c r="L212" t="inlineStr">
        <is>
          <t>Philippines|5Y</t>
        </is>
      </c>
      <c r="M212" t="inlineStr"/>
    </row>
    <row r="213">
      <c r="A213" t="inlineStr">
        <is>
          <t>Philippines</t>
        </is>
      </c>
      <c r="B213" t="inlineStr">
        <is>
          <t>PHL</t>
        </is>
      </c>
      <c r="C213" t="inlineStr"/>
      <c r="D213" s="1" t="n">
        <v>46022</v>
      </c>
      <c r="E213" t="inlineStr">
        <is>
          <t>10Y</t>
        </is>
      </c>
      <c r="F213" t="inlineStr"/>
      <c r="G213" t="n">
        <v>4.577380856389279</v>
      </c>
      <c r="H213" t="n">
        <v>7.338547585198718</v>
      </c>
      <c r="I213" t="n">
        <v>4.894130513115047</v>
      </c>
      <c r="J213" t="inlineStr"/>
      <c r="K213" t="inlineStr">
        <is>
          <t>Philippines||10Y</t>
        </is>
      </c>
      <c r="L213" t="inlineStr">
        <is>
          <t>Philippines|10Y</t>
        </is>
      </c>
      <c r="M213" t="inlineStr"/>
    </row>
    <row r="214">
      <c r="A214" t="inlineStr">
        <is>
          <t>Philippines</t>
        </is>
      </c>
      <c r="B214" t="inlineStr">
        <is>
          <t>PHL</t>
        </is>
      </c>
      <c r="C214" t="inlineStr">
        <is>
          <t>EPHE</t>
        </is>
      </c>
      <c r="D214" s="1" t="n">
        <v>46022</v>
      </c>
      <c r="E214" t="inlineStr">
        <is>
          <t>1Y</t>
        </is>
      </c>
      <c r="F214" t="n">
        <v>-1.50197301274998</v>
      </c>
      <c r="G214" t="n">
        <v>5.43499999999999</v>
      </c>
      <c r="H214" t="n">
        <v>7.04919799999999</v>
      </c>
      <c r="I214" t="n">
        <v>7.049349999999999</v>
      </c>
      <c r="J214" t="n">
        <v>8.551323012749979</v>
      </c>
      <c r="K214" t="inlineStr">
        <is>
          <t>Philippines|EPHE|1Y</t>
        </is>
      </c>
      <c r="L214" t="inlineStr">
        <is>
          <t>Philippines|1Y</t>
        </is>
      </c>
      <c r="M214" t="inlineStr">
        <is>
          <t>USD</t>
        </is>
      </c>
    </row>
    <row r="215">
      <c r="A215" t="inlineStr">
        <is>
          <t>Philippines</t>
        </is>
      </c>
      <c r="B215" t="inlineStr">
        <is>
          <t>PHL</t>
        </is>
      </c>
      <c r="C215" t="inlineStr">
        <is>
          <t>EPHE</t>
        </is>
      </c>
      <c r="D215" s="1" t="n">
        <v>46022</v>
      </c>
      <c r="E215" t="inlineStr">
        <is>
          <t>3Y</t>
        </is>
      </c>
      <c r="F215" t="n">
        <v>-2.077527970144111</v>
      </c>
      <c r="G215" t="n">
        <v>5.5486124491402</v>
      </c>
      <c r="H215" t="n">
        <v>8.723390614114468</v>
      </c>
      <c r="I215" t="n">
        <v>6.914117046183832</v>
      </c>
      <c r="J215" t="n">
        <v>8.991645016327944</v>
      </c>
      <c r="K215" t="inlineStr">
        <is>
          <t>Philippines|EPHE|3Y</t>
        </is>
      </c>
      <c r="L215" t="inlineStr">
        <is>
          <t>Philippines|3Y</t>
        </is>
      </c>
      <c r="M215" t="inlineStr">
        <is>
          <t>USD</t>
        </is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EPHE</t>
        </is>
      </c>
      <c r="D216" s="1" t="n">
        <v>46022</v>
      </c>
      <c r="E216" t="inlineStr">
        <is>
          <t>5Y</t>
        </is>
      </c>
      <c r="F216" t="n">
        <v>-5.329576832910165</v>
      </c>
      <c r="G216" t="n">
        <v>5.98537852939689</v>
      </c>
      <c r="H216" t="n">
        <v>9.539154091663882</v>
      </c>
      <c r="I216" t="n">
        <v>6.43665521117589</v>
      </c>
      <c r="J216" t="n">
        <v>11.76623204408606</v>
      </c>
      <c r="K216" t="inlineStr">
        <is>
          <t>Philippines|EPHE|5Y</t>
        </is>
      </c>
      <c r="L216" t="inlineStr">
        <is>
          <t>Philippines|5Y</t>
        </is>
      </c>
      <c r="M216" t="inlineStr">
        <is>
          <t>USD</t>
        </is>
      </c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EPHE</t>
        </is>
      </c>
      <c r="D217" s="1" t="n">
        <v>46022</v>
      </c>
      <c r="E217" t="inlineStr">
        <is>
          <t>10Y</t>
        </is>
      </c>
      <c r="F217" t="n">
        <v>-2.880560055263293</v>
      </c>
      <c r="G217" t="n">
        <v>4.577380856389279</v>
      </c>
      <c r="H217" t="n">
        <v>7.338547585198718</v>
      </c>
      <c r="I217" t="n">
        <v>4.894130513115047</v>
      </c>
      <c r="J217" t="n">
        <v>7.77469056837834</v>
      </c>
      <c r="K217" t="inlineStr">
        <is>
          <t>Philippines|EPHE|10Y</t>
        </is>
      </c>
      <c r="L217" t="inlineStr">
        <is>
          <t>Philippines|10Y</t>
        </is>
      </c>
      <c r="M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s="1" t="n">
        <v>46022</v>
      </c>
      <c r="E218" t="inlineStr">
        <is>
          <t>1Y</t>
        </is>
      </c>
      <c r="F218" t="n">
        <v>-0.8685311923225081</v>
      </c>
      <c r="G218" t="n">
        <v>5.43499999999999</v>
      </c>
      <c r="H218" t="n">
        <v>7.04919799999999</v>
      </c>
      <c r="I218" t="n">
        <v>7.049349999999999</v>
      </c>
      <c r="J218" t="n">
        <v>7.917881192322507</v>
      </c>
      <c r="K218" t="inlineStr">
        <is>
          <t>Philippines|XPHG.L|1Y</t>
        </is>
      </c>
      <c r="L218" t="inlineStr">
        <is>
          <t>Philippines|1Y</t>
        </is>
      </c>
      <c r="M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s="1" t="n">
        <v>46022</v>
      </c>
      <c r="E219" t="inlineStr">
        <is>
          <t>3Y</t>
        </is>
      </c>
      <c r="F219" t="n">
        <v>-0.4816288963851667</v>
      </c>
      <c r="G219" t="n">
        <v>5.5486124491402</v>
      </c>
      <c r="H219" t="n">
        <v>8.723390614114468</v>
      </c>
      <c r="I219" t="n">
        <v>6.914117046183832</v>
      </c>
      <c r="J219" t="n">
        <v>7.395745942568999</v>
      </c>
      <c r="K219" t="inlineStr">
        <is>
          <t>Philippines|XPHG.L|3Y</t>
        </is>
      </c>
      <c r="L219" t="inlineStr">
        <is>
          <t>Philippines|3Y</t>
        </is>
      </c>
      <c r="M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s="1" t="n">
        <v>46022</v>
      </c>
      <c r="E220" t="inlineStr">
        <is>
          <t>5Y</t>
        </is>
      </c>
      <c r="F220" t="n">
        <v>-4.09809922309603</v>
      </c>
      <c r="G220" t="n">
        <v>5.98537852939689</v>
      </c>
      <c r="H220" t="n">
        <v>9.539154091663882</v>
      </c>
      <c r="I220" t="n">
        <v>6.43665521117589</v>
      </c>
      <c r="J220" t="n">
        <v>10.53475443427192</v>
      </c>
      <c r="K220" t="inlineStr">
        <is>
          <t>Philippines|XPHG.L|5Y</t>
        </is>
      </c>
      <c r="L220" t="inlineStr">
        <is>
          <t>Philippines|5Y</t>
        </is>
      </c>
      <c r="M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s="1" t="n">
        <v>46022</v>
      </c>
      <c r="E221" t="inlineStr">
        <is>
          <t>10Y</t>
        </is>
      </c>
      <c r="F221" t="n">
        <v>-2.106436791246491</v>
      </c>
      <c r="G221" t="n">
        <v>4.577380856389279</v>
      </c>
      <c r="H221" t="n">
        <v>7.338547585198718</v>
      </c>
      <c r="I221" t="n">
        <v>4.894130513115047</v>
      </c>
      <c r="J221" t="n">
        <v>7.000567304361538</v>
      </c>
      <c r="K221" t="inlineStr">
        <is>
          <t>Philippines|XPHG.L|10Y</t>
        </is>
      </c>
      <c r="L221" t="inlineStr">
        <is>
          <t>Philippines|10Y</t>
        </is>
      </c>
      <c r="M221" t="inlineStr">
        <is>
          <t>GBp</t>
        </is>
      </c>
    </row>
    <row r="222">
      <c r="A222" t="inlineStr">
        <is>
          <t>Poland</t>
        </is>
      </c>
      <c r="B222" t="inlineStr">
        <is>
          <t>POL</t>
        </is>
      </c>
      <c r="C222" t="inlineStr"/>
      <c r="D222" s="1" t="n">
        <v>46022</v>
      </c>
      <c r="E222" t="inlineStr">
        <is>
          <t>1Y</t>
        </is>
      </c>
      <c r="F222" t="inlineStr"/>
      <c r="G222" t="n">
        <v>3.242999999999996</v>
      </c>
      <c r="H222" t="n">
        <v>6.963458</v>
      </c>
      <c r="I222" t="n">
        <v>13.67509600000001</v>
      </c>
      <c r="J222" t="inlineStr"/>
      <c r="K222" t="inlineStr">
        <is>
          <t>Poland||1Y</t>
        </is>
      </c>
      <c r="L222" t="inlineStr">
        <is>
          <t>Poland|1Y</t>
        </is>
      </c>
      <c r="M222" t="inlineStr"/>
    </row>
    <row r="223">
      <c r="A223" t="inlineStr">
        <is>
          <t>Poland</t>
        </is>
      </c>
      <c r="B223" t="inlineStr">
        <is>
          <t>POL</t>
        </is>
      </c>
      <c r="C223" t="inlineStr"/>
      <c r="D223" s="1" t="n">
        <v>46022</v>
      </c>
      <c r="E223" t="inlineStr">
        <is>
          <t>3Y</t>
        </is>
      </c>
      <c r="F223" t="inlineStr"/>
      <c r="G223" t="n">
        <v>2.129799151051381</v>
      </c>
      <c r="H223" t="n">
        <v>7.894685758453091</v>
      </c>
      <c r="I223" t="n">
        <v>14.3256449842778</v>
      </c>
      <c r="J223" t="inlineStr"/>
      <c r="K223" t="inlineStr">
        <is>
          <t>Poland||3Y</t>
        </is>
      </c>
      <c r="L223" t="inlineStr">
        <is>
          <t>Poland|3Y</t>
        </is>
      </c>
      <c r="M223" t="inlineStr"/>
    </row>
    <row r="224">
      <c r="A224" t="inlineStr">
        <is>
          <t>Poland</t>
        </is>
      </c>
      <c r="B224" t="inlineStr">
        <is>
          <t>POL</t>
        </is>
      </c>
      <c r="C224" t="inlineStr"/>
      <c r="D224" s="1" t="n">
        <v>46022</v>
      </c>
      <c r="E224" t="inlineStr">
        <is>
          <t>5Y</t>
        </is>
      </c>
      <c r="F224" t="inlineStr"/>
      <c r="G224" t="n">
        <v>3.694927012118776</v>
      </c>
      <c r="H224" t="n">
        <v>10.5113249209076</v>
      </c>
      <c r="I224" t="n">
        <v>11.40132337014548</v>
      </c>
      <c r="J224" t="inlineStr"/>
      <c r="K224" t="inlineStr">
        <is>
          <t>Poland||5Y</t>
        </is>
      </c>
      <c r="L224" t="inlineStr">
        <is>
          <t>Poland|5Y</t>
        </is>
      </c>
      <c r="M224" t="inlineStr"/>
    </row>
    <row r="225">
      <c r="A225" t="inlineStr">
        <is>
          <t>Poland</t>
        </is>
      </c>
      <c r="B225" t="inlineStr">
        <is>
          <t>POL</t>
        </is>
      </c>
      <c r="C225" t="inlineStr"/>
      <c r="D225" s="1" t="n">
        <v>46022</v>
      </c>
      <c r="E225" t="inlineStr">
        <is>
          <t>10Y</t>
        </is>
      </c>
      <c r="F225" t="inlineStr"/>
      <c r="G225" t="n">
        <v>3.523867731974173</v>
      </c>
      <c r="H225" t="n">
        <v>7.966916383506151</v>
      </c>
      <c r="I225" t="n">
        <v>8.040807864819421</v>
      </c>
      <c r="J225" t="inlineStr"/>
      <c r="K225" t="inlineStr">
        <is>
          <t>Poland||10Y</t>
        </is>
      </c>
      <c r="L225" t="inlineStr">
        <is>
          <t>Poland|10Y</t>
        </is>
      </c>
      <c r="M225" t="inlineStr"/>
    </row>
    <row r="226">
      <c r="A226" t="inlineStr">
        <is>
          <t>Poland</t>
        </is>
      </c>
      <c r="B226" t="inlineStr">
        <is>
          <t>POL</t>
        </is>
      </c>
      <c r="C226" t="inlineStr">
        <is>
          <t>EPOL</t>
        </is>
      </c>
      <c r="D226" s="1" t="n">
        <v>46022</v>
      </c>
      <c r="E226" t="inlineStr">
        <is>
          <t>1Y</t>
        </is>
      </c>
      <c r="F226" t="n">
        <v>68.29267758729425</v>
      </c>
      <c r="G226" t="n">
        <v>3.242999999999996</v>
      </c>
      <c r="H226" t="n">
        <v>6.963458</v>
      </c>
      <c r="I226" t="n">
        <v>13.67509600000001</v>
      </c>
      <c r="J226" t="n">
        <v>-54.61758158729424</v>
      </c>
      <c r="K226" t="inlineStr">
        <is>
          <t>Poland|EPOL|1Y</t>
        </is>
      </c>
      <c r="L226" t="inlineStr">
        <is>
          <t>Poland|1Y</t>
        </is>
      </c>
      <c r="M226" t="inlineStr">
        <is>
          <t>USD</t>
        </is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EPOL</t>
        </is>
      </c>
      <c r="D227" s="1" t="n">
        <v>46022</v>
      </c>
      <c r="E227" t="inlineStr">
        <is>
          <t>3Y</t>
        </is>
      </c>
      <c r="F227" t="n">
        <v>30.86992923708411</v>
      </c>
      <c r="G227" t="n">
        <v>2.129799151051381</v>
      </c>
      <c r="H227" t="n">
        <v>7.894685758453091</v>
      </c>
      <c r="I227" t="n">
        <v>14.3256449842778</v>
      </c>
      <c r="J227" t="n">
        <v>-16.54428425280632</v>
      </c>
      <c r="K227" t="inlineStr">
        <is>
          <t>Poland|EPOL|3Y</t>
        </is>
      </c>
      <c r="L227" t="inlineStr">
        <is>
          <t>Poland|3Y</t>
        </is>
      </c>
      <c r="M227" t="inlineStr">
        <is>
          <t>USD</t>
        </is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EPOL</t>
        </is>
      </c>
      <c r="D228" s="1" t="n">
        <v>46022</v>
      </c>
      <c r="E228" t="inlineStr">
        <is>
          <t>5Y</t>
        </is>
      </c>
      <c r="F228" t="n">
        <v>12.71781339708193</v>
      </c>
      <c r="G228" t="n">
        <v>3.694927012118776</v>
      </c>
      <c r="H228" t="n">
        <v>10.5113249209076</v>
      </c>
      <c r="I228" t="n">
        <v>11.40132337014548</v>
      </c>
      <c r="J228" t="n">
        <v>-1.316490026936457</v>
      </c>
      <c r="K228" t="inlineStr">
        <is>
          <t>Poland|EPOL|5Y</t>
        </is>
      </c>
      <c r="L228" t="inlineStr">
        <is>
          <t>Poland|5Y</t>
        </is>
      </c>
      <c r="M228" t="inlineStr">
        <is>
          <t>USD</t>
        </is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EPOL</t>
        </is>
      </c>
      <c r="D229" s="1" t="n">
        <v>46022</v>
      </c>
      <c r="E229" t="inlineStr">
        <is>
          <t>10Y</t>
        </is>
      </c>
      <c r="F229" t="n">
        <v>7.204796014264869</v>
      </c>
      <c r="G229" t="n">
        <v>3.523867731974173</v>
      </c>
      <c r="H229" t="n">
        <v>7.966916383506151</v>
      </c>
      <c r="I229" t="n">
        <v>8.040807864819421</v>
      </c>
      <c r="J229" t="n">
        <v>0.8360118505545513</v>
      </c>
      <c r="K229" t="inlineStr">
        <is>
          <t>Poland|EPOL|10Y</t>
        </is>
      </c>
      <c r="L229" t="inlineStr">
        <is>
          <t>Poland|10Y</t>
        </is>
      </c>
      <c r="M229" t="inlineStr">
        <is>
          <t>USD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s="1" t="n">
        <v>46022</v>
      </c>
      <c r="E230" t="inlineStr">
        <is>
          <t>1Y</t>
        </is>
      </c>
      <c r="F230" t="n">
        <v>74.00603656381143</v>
      </c>
      <c r="G230" t="n">
        <v>3.242999999999996</v>
      </c>
      <c r="H230" t="n">
        <v>6.963458</v>
      </c>
      <c r="I230" t="n">
        <v>13.67509600000001</v>
      </c>
      <c r="J230" t="n">
        <v>-60.33094056381142</v>
      </c>
      <c r="K230" t="inlineStr">
        <is>
          <t>Poland|IPOL.L|1Y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s="1" t="n">
        <v>46022</v>
      </c>
      <c r="E231" t="inlineStr">
        <is>
          <t>3Y</t>
        </is>
      </c>
      <c r="F231" t="n">
        <v>34.03398693830753</v>
      </c>
      <c r="G231" t="n">
        <v>2.129799151051381</v>
      </c>
      <c r="H231" t="n">
        <v>7.894685758453091</v>
      </c>
      <c r="I231" t="n">
        <v>14.3256449842778</v>
      </c>
      <c r="J231" t="n">
        <v>-19.70834195402973</v>
      </c>
      <c r="K231" t="inlineStr">
        <is>
          <t>Poland|IPOL.L|3Y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s="1" t="n">
        <v>46022</v>
      </c>
      <c r="E232" t="inlineStr">
        <is>
          <t>5Y</t>
        </is>
      </c>
      <c r="F232" t="n">
        <v>13.39536914262358</v>
      </c>
      <c r="G232" t="n">
        <v>3.694927012118776</v>
      </c>
      <c r="H232" t="n">
        <v>10.5113249209076</v>
      </c>
      <c r="I232" t="n">
        <v>11.40132337014548</v>
      </c>
      <c r="J232" t="n">
        <v>-1.994045772478104</v>
      </c>
      <c r="K232" t="inlineStr">
        <is>
          <t>Poland|IPOL.L|5Y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s="1" t="n">
        <v>46022</v>
      </c>
      <c r="E233" t="inlineStr">
        <is>
          <t>10Y</t>
        </is>
      </c>
      <c r="F233" t="n">
        <v>8.188975465575288</v>
      </c>
      <c r="G233" t="n">
        <v>3.523867731974173</v>
      </c>
      <c r="H233" t="n">
        <v>7.966916383506151</v>
      </c>
      <c r="I233" t="n">
        <v>8.040807864819421</v>
      </c>
      <c r="J233" t="n">
        <v>-0.1481676007558672</v>
      </c>
      <c r="K233" t="inlineStr">
        <is>
          <t>Poland|IPOL.L|10Y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s="1" t="n">
        <v>46022</v>
      </c>
      <c r="E234" t="inlineStr">
        <is>
          <t>1Y</t>
        </is>
      </c>
      <c r="F234" t="n">
        <v>72.13124049861612</v>
      </c>
      <c r="G234" t="n">
        <v>3.242999999999996</v>
      </c>
      <c r="H234" t="n">
        <v>6.963458</v>
      </c>
      <c r="I234" t="n">
        <v>13.67509600000001</v>
      </c>
      <c r="J234" t="n">
        <v>-58.45614449861611</v>
      </c>
      <c r="K234" t="inlineStr">
        <is>
          <t>Poland|SPOL.L|1Y</t>
        </is>
      </c>
      <c r="L234" t="inlineStr">
        <is>
          <t>Poland|1Y</t>
        </is>
      </c>
      <c r="M234" t="inlineStr">
        <is>
          <t>GBp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s="1" t="n">
        <v>46022</v>
      </c>
      <c r="E235" t="inlineStr">
        <is>
          <t>3Y</t>
        </is>
      </c>
      <c r="F235" t="n">
        <v>33.71629776031089</v>
      </c>
      <c r="G235" t="n">
        <v>2.129799151051381</v>
      </c>
      <c r="H235" t="n">
        <v>7.894685758453091</v>
      </c>
      <c r="I235" t="n">
        <v>14.3256449842778</v>
      </c>
      <c r="J235" t="n">
        <v>-19.39065277603309</v>
      </c>
      <c r="K235" t="inlineStr">
        <is>
          <t>Poland|SPOL.L|3Y</t>
        </is>
      </c>
      <c r="L235" t="inlineStr">
        <is>
          <t>Poland|3Y</t>
        </is>
      </c>
      <c r="M235" t="inlineStr">
        <is>
          <t>GBp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s="1" t="n">
        <v>46022</v>
      </c>
      <c r="E236" t="inlineStr">
        <is>
          <t>5Y</t>
        </is>
      </c>
      <c r="F236" t="n">
        <v>13.20488786726455</v>
      </c>
      <c r="G236" t="n">
        <v>3.694927012118776</v>
      </c>
      <c r="H236" t="n">
        <v>10.5113249209076</v>
      </c>
      <c r="I236" t="n">
        <v>11.40132337014548</v>
      </c>
      <c r="J236" t="n">
        <v>-1.803564497119071</v>
      </c>
      <c r="K236" t="inlineStr">
        <is>
          <t>Poland|SPOL.L|5Y</t>
        </is>
      </c>
      <c r="L236" t="inlineStr">
        <is>
          <t>Poland|5Y</t>
        </is>
      </c>
      <c r="M236" t="inlineStr">
        <is>
          <t>GBp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s="1" t="n">
        <v>46022</v>
      </c>
      <c r="E237" t="inlineStr">
        <is>
          <t>10Y</t>
        </is>
      </c>
      <c r="F237" t="n">
        <v>7.804696961693369</v>
      </c>
      <c r="G237" t="n">
        <v>3.523867731974173</v>
      </c>
      <c r="H237" t="n">
        <v>7.966916383506151</v>
      </c>
      <c r="I237" t="n">
        <v>8.040807864819421</v>
      </c>
      <c r="J237" t="n">
        <v>0.2361109031260513</v>
      </c>
      <c r="K237" t="inlineStr">
        <is>
          <t>Poland|SPOL.L|10Y</t>
        </is>
      </c>
      <c r="L237" t="inlineStr">
        <is>
          <t>Poland|10Y</t>
        </is>
      </c>
      <c r="M237" t="inlineStr">
        <is>
          <t>GBp</t>
        </is>
      </c>
    </row>
    <row r="238">
      <c r="A238" t="inlineStr">
        <is>
          <t>Saudi Arabia</t>
        </is>
      </c>
      <c r="B238" t="inlineStr">
        <is>
          <t>SAU</t>
        </is>
      </c>
      <c r="C238" t="inlineStr"/>
      <c r="D238" s="1" t="n">
        <v>46022</v>
      </c>
      <c r="E238" t="inlineStr">
        <is>
          <t>1Y</t>
        </is>
      </c>
      <c r="F238" t="inlineStr"/>
      <c r="G238" t="n">
        <v>4.021000000000008</v>
      </c>
      <c r="H238" t="n">
        <v>2.317311000000011</v>
      </c>
      <c r="I238" t="n">
        <v>2.317299999999989</v>
      </c>
      <c r="J238" t="inlineStr"/>
      <c r="K238" t="inlineStr">
        <is>
          <t>Saudi Arabia||1Y</t>
        </is>
      </c>
      <c r="L238" t="inlineStr">
        <is>
          <t>Saudi Arabia|1Y</t>
        </is>
      </c>
      <c r="M238" t="inlineStr"/>
    </row>
    <row r="239">
      <c r="A239" t="inlineStr">
        <is>
          <t>Saudi Arabia</t>
        </is>
      </c>
      <c r="B239" t="inlineStr">
        <is>
          <t>SAU</t>
        </is>
      </c>
      <c r="C239" t="inlineStr"/>
      <c r="D239" s="1" t="n">
        <v>46022</v>
      </c>
      <c r="E239" t="inlineStr">
        <is>
          <t>3Y</t>
        </is>
      </c>
      <c r="F239" t="inlineStr"/>
      <c r="G239" t="n">
        <v>2.177064339348544</v>
      </c>
      <c r="H239" t="n">
        <v>0.7863129775983468</v>
      </c>
      <c r="I239" t="n">
        <v>0.7863273913572888</v>
      </c>
      <c r="J239" t="inlineStr"/>
      <c r="K239" t="inlineStr">
        <is>
          <t>Saudi Arabia||3Y</t>
        </is>
      </c>
      <c r="L239" t="inlineStr">
        <is>
          <t>Saudi Arabia|3Y</t>
        </is>
      </c>
      <c r="M239" t="inlineStr"/>
    </row>
    <row r="240">
      <c r="A240" t="inlineStr">
        <is>
          <t>Saudi Arabia</t>
        </is>
      </c>
      <c r="B240" t="inlineStr">
        <is>
          <t>SAU</t>
        </is>
      </c>
      <c r="C240" t="inlineStr"/>
      <c r="D240" s="1" t="n">
        <v>46022</v>
      </c>
      <c r="E240" t="inlineStr">
        <is>
          <t>5Y</t>
        </is>
      </c>
      <c r="F240" t="inlineStr"/>
      <c r="G240" t="n">
        <v>4.94038762998803</v>
      </c>
      <c r="H240" t="n">
        <v>10.57758849202786</v>
      </c>
      <c r="I240" t="n">
        <v>10.57758768652199</v>
      </c>
      <c r="J240" t="inlineStr"/>
      <c r="K240" t="inlineStr">
        <is>
          <t>Saudi Arabia||5Y</t>
        </is>
      </c>
      <c r="L240" t="inlineStr">
        <is>
          <t>Saudi Arabia|5Y</t>
        </is>
      </c>
      <c r="M240" t="inlineStr"/>
    </row>
    <row r="241">
      <c r="A241" t="inlineStr">
        <is>
          <t>Saudi Arabia</t>
        </is>
      </c>
      <c r="B241" t="inlineStr">
        <is>
          <t>SAU</t>
        </is>
      </c>
      <c r="C241" t="inlineStr"/>
      <c r="D241" s="1" t="n">
        <v>46022</v>
      </c>
      <c r="E241" t="inlineStr">
        <is>
          <t>10Y</t>
        </is>
      </c>
      <c r="F241" t="inlineStr"/>
      <c r="G241" t="n">
        <v>2.830425925653413</v>
      </c>
      <c r="H241" t="n">
        <v>6.226023496121247</v>
      </c>
      <c r="I241" t="n">
        <v>6.226023085343857</v>
      </c>
      <c r="J241" t="inlineStr"/>
      <c r="K241" t="inlineStr">
        <is>
          <t>Saudi Arabia||10Y</t>
        </is>
      </c>
      <c r="L241" t="inlineStr">
        <is>
          <t>Saudi Arabia|10Y</t>
        </is>
      </c>
      <c r="M241" t="inlineStr"/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s="1" t="n">
        <v>46022</v>
      </c>
      <c r="E242" t="inlineStr">
        <is>
          <t>1Y</t>
        </is>
      </c>
      <c r="F242" t="n">
        <v>-6.082555514391419</v>
      </c>
      <c r="G242" t="n">
        <v>4.021000000000008</v>
      </c>
      <c r="H242" t="n">
        <v>2.317311000000011</v>
      </c>
      <c r="I242" t="n">
        <v>2.317299999999989</v>
      </c>
      <c r="J242" t="n">
        <v>8.399855514391408</v>
      </c>
      <c r="K242" t="inlineStr">
        <is>
          <t>Saudi Arabia|IKSA.L|1Y</t>
        </is>
      </c>
      <c r="L242" t="inlineStr">
        <is>
          <t>Saudi Arabia|1Y</t>
        </is>
      </c>
      <c r="M242" t="inlineStr">
        <is>
          <t>USD</t>
        </is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s="1" t="n">
        <v>46022</v>
      </c>
      <c r="E243" t="inlineStr">
        <is>
          <t>3Y</t>
        </is>
      </c>
      <c r="F243" t="n">
        <v>0.8890605203422997</v>
      </c>
      <c r="G243" t="n">
        <v>2.177064339348544</v>
      </c>
      <c r="H243" t="n">
        <v>0.7863129775983468</v>
      </c>
      <c r="I243" t="n">
        <v>0.7863273913572888</v>
      </c>
      <c r="J243" t="n">
        <v>-0.1027331289850109</v>
      </c>
      <c r="K243" t="inlineStr">
        <is>
          <t>Saudi Arabia|IKSA.L|3Y</t>
        </is>
      </c>
      <c r="L243" t="inlineStr">
        <is>
          <t>Saudi Arabia|3Y</t>
        </is>
      </c>
      <c r="M243" t="inlineStr">
        <is>
          <t>USD</t>
        </is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s="1" t="n">
        <v>46022</v>
      </c>
      <c r="E244" t="inlineStr">
        <is>
          <t>5Y</t>
        </is>
      </c>
      <c r="F244" t="n">
        <v>6.113729096202603</v>
      </c>
      <c r="G244" t="n">
        <v>4.94038762998803</v>
      </c>
      <c r="H244" t="n">
        <v>10.57758849202786</v>
      </c>
      <c r="I244" t="n">
        <v>10.57758768652199</v>
      </c>
      <c r="J244" t="n">
        <v>4.463858590319392</v>
      </c>
      <c r="K244" t="inlineStr">
        <is>
          <t>Saudi Arabia|IKSA.L|5Y</t>
        </is>
      </c>
      <c r="L244" t="inlineStr">
        <is>
          <t>Saudi Arabia|5Y</t>
        </is>
      </c>
      <c r="M244" t="inlineStr">
        <is>
          <t>USD</t>
        </is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KSA</t>
        </is>
      </c>
      <c r="D245" s="1" t="n">
        <v>46022</v>
      </c>
      <c r="E245" t="inlineStr">
        <is>
          <t>1Y</t>
        </is>
      </c>
      <c r="F245" t="n">
        <v>-11.10839682314687</v>
      </c>
      <c r="G245" t="n">
        <v>4.021000000000008</v>
      </c>
      <c r="H245" t="n">
        <v>2.317311000000011</v>
      </c>
      <c r="I245" t="n">
        <v>2.317299999999989</v>
      </c>
      <c r="J245" t="n">
        <v>13.42569682314686</v>
      </c>
      <c r="K245" t="inlineStr">
        <is>
          <t>Saudi Arabia|KSA|1Y</t>
        </is>
      </c>
      <c r="L245" t="inlineStr">
        <is>
          <t>Saudi Arabia|1Y</t>
        </is>
      </c>
      <c r="M245" t="inlineStr">
        <is>
          <t>USD</t>
        </is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KSA</t>
        </is>
      </c>
      <c r="D246" s="1" t="n">
        <v>46022</v>
      </c>
      <c r="E246" t="inlineStr">
        <is>
          <t>3Y</t>
        </is>
      </c>
      <c r="F246" t="n">
        <v>-1.809274436675357</v>
      </c>
      <c r="G246" t="n">
        <v>2.177064339348544</v>
      </c>
      <c r="H246" t="n">
        <v>0.7863129775983468</v>
      </c>
      <c r="I246" t="n">
        <v>0.7863273913572888</v>
      </c>
      <c r="J246" t="n">
        <v>2.595601828032645</v>
      </c>
      <c r="K246" t="inlineStr">
        <is>
          <t>Saudi Arabia|KSA|3Y</t>
        </is>
      </c>
      <c r="L246" t="inlineStr">
        <is>
          <t>Saudi Arabia|3Y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KSA</t>
        </is>
      </c>
      <c r="D247" s="1" t="n">
        <v>46022</v>
      </c>
      <c r="E247" t="inlineStr">
        <is>
          <t>5Y</t>
        </is>
      </c>
      <c r="F247" t="n">
        <v>3.196301216694408</v>
      </c>
      <c r="G247" t="n">
        <v>4.94038762998803</v>
      </c>
      <c r="H247" t="n">
        <v>10.57758849202786</v>
      </c>
      <c r="I247" t="n">
        <v>10.57758768652199</v>
      </c>
      <c r="J247" t="n">
        <v>7.381286469827586</v>
      </c>
      <c r="K247" t="inlineStr">
        <is>
          <t>Saudi Arabia|KSA|5Y</t>
        </is>
      </c>
      <c r="L247" t="inlineStr">
        <is>
          <t>Saudi Arabia|5Y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KSA</t>
        </is>
      </c>
      <c r="D248" s="1" t="n">
        <v>46022</v>
      </c>
      <c r="E248" t="inlineStr">
        <is>
          <t>10Y</t>
        </is>
      </c>
      <c r="F248" t="n">
        <v>4.46236976334915</v>
      </c>
      <c r="G248" t="n">
        <v>2.830425925653413</v>
      </c>
      <c r="H248" t="n">
        <v>6.226023496121247</v>
      </c>
      <c r="I248" t="n">
        <v>6.226023085343857</v>
      </c>
      <c r="J248" t="n">
        <v>1.763653321994707</v>
      </c>
      <c r="K248" t="inlineStr">
        <is>
          <t>Saudi Arabia|KSA|10Y</t>
        </is>
      </c>
      <c r="L248" t="inlineStr">
        <is>
          <t>Saudi Arabia|10Y</t>
        </is>
      </c>
      <c r="M248" t="inlineStr">
        <is>
          <t>USD</t>
        </is>
      </c>
    </row>
    <row r="249">
      <c r="A249" t="inlineStr">
        <is>
          <t>Singapore</t>
        </is>
      </c>
      <c r="B249" t="inlineStr">
        <is>
          <t>SGP</t>
        </is>
      </c>
      <c r="C249" t="inlineStr"/>
      <c r="D249" s="1" t="n">
        <v>46022</v>
      </c>
      <c r="E249" t="inlineStr">
        <is>
          <t>1Y</t>
        </is>
      </c>
      <c r="F249" t="inlineStr"/>
      <c r="G249" t="n">
        <v>2.225999999999995</v>
      </c>
      <c r="H249" t="n">
        <v>2.294664000000002</v>
      </c>
      <c r="I249" t="n">
        <v>4.895621999999999</v>
      </c>
      <c r="J249" t="inlineStr"/>
      <c r="K249" t="inlineStr">
        <is>
          <t>Singapore||1Y</t>
        </is>
      </c>
      <c r="L249" t="inlineStr">
        <is>
          <t>Singapore|1Y</t>
        </is>
      </c>
      <c r="M249" t="inlineStr"/>
    </row>
    <row r="250">
      <c r="A250" t="inlineStr">
        <is>
          <t>Singapore</t>
        </is>
      </c>
      <c r="B250" t="inlineStr">
        <is>
          <t>SGP</t>
        </is>
      </c>
      <c r="C250" t="inlineStr"/>
      <c r="D250" s="1" t="n">
        <v>46022</v>
      </c>
      <c r="E250" t="inlineStr">
        <is>
          <t>3Y</t>
        </is>
      </c>
      <c r="F250" t="inlineStr"/>
      <c r="G250" t="n">
        <v>2.805520010477469</v>
      </c>
      <c r="H250" t="n">
        <v>2.159555632240973</v>
      </c>
      <c r="I250" t="n">
        <v>4.097324541001424</v>
      </c>
      <c r="J250" t="inlineStr"/>
      <c r="K250" t="inlineStr">
        <is>
          <t>Singapore||3Y</t>
        </is>
      </c>
      <c r="L250" t="inlineStr">
        <is>
          <t>Singapore|3Y</t>
        </is>
      </c>
      <c r="M250" t="inlineStr"/>
    </row>
    <row r="251">
      <c r="A251" t="inlineStr">
        <is>
          <t>Singapore</t>
        </is>
      </c>
      <c r="B251" t="inlineStr">
        <is>
          <t>SGP</t>
        </is>
      </c>
      <c r="C251" t="inlineStr"/>
      <c r="D251" s="1" t="n">
        <v>46022</v>
      </c>
      <c r="E251" t="inlineStr">
        <is>
          <t>5Y</t>
        </is>
      </c>
      <c r="F251" t="inlineStr"/>
      <c r="G251" t="n">
        <v>4.422269232490406</v>
      </c>
      <c r="H251" t="n">
        <v>9.204338944641011</v>
      </c>
      <c r="I251" t="n">
        <v>10.45973035677419</v>
      </c>
      <c r="J251" t="inlineStr"/>
      <c r="K251" t="inlineStr">
        <is>
          <t>Singapore||5Y</t>
        </is>
      </c>
      <c r="L251" t="inlineStr">
        <is>
          <t>Singapore|5Y</t>
        </is>
      </c>
      <c r="M251" t="inlineStr"/>
    </row>
    <row r="252">
      <c r="A252" t="inlineStr">
        <is>
          <t>Singapore</t>
        </is>
      </c>
      <c r="B252" t="inlineStr">
        <is>
          <t>SGP</t>
        </is>
      </c>
      <c r="C252" t="inlineStr"/>
      <c r="D252" s="1" t="n">
        <v>46022</v>
      </c>
      <c r="E252" t="inlineStr">
        <is>
          <t>10Y</t>
        </is>
      </c>
      <c r="F252" t="inlineStr"/>
      <c r="G252" t="n">
        <v>3.096899412720422</v>
      </c>
      <c r="H252" t="n">
        <v>5.857914146213727</v>
      </c>
      <c r="I252" t="n">
        <v>6.426616016169784</v>
      </c>
      <c r="J252" t="inlineStr"/>
      <c r="K252" t="inlineStr">
        <is>
          <t>Singapore||10Y</t>
        </is>
      </c>
      <c r="L252" t="inlineStr">
        <is>
          <t>Singapore|10Y</t>
        </is>
      </c>
      <c r="M252" t="inlineStr"/>
    </row>
    <row r="253">
      <c r="A253" t="inlineStr">
        <is>
          <t>Singapore</t>
        </is>
      </c>
      <c r="B253" t="inlineStr">
        <is>
          <t>SGP</t>
        </is>
      </c>
      <c r="C253" t="inlineStr">
        <is>
          <t>0JLR.L</t>
        </is>
      </c>
      <c r="D253" s="1" t="n">
        <v>46022</v>
      </c>
      <c r="E253" t="inlineStr">
        <is>
          <t>1Y</t>
        </is>
      </c>
      <c r="F253" t="n">
        <v>26.32109428603606</v>
      </c>
      <c r="G253" t="n">
        <v>2.225999999999995</v>
      </c>
      <c r="H253" t="n">
        <v>2.294664000000002</v>
      </c>
      <c r="I253" t="n">
        <v>4.895621999999999</v>
      </c>
      <c r="J253" t="n">
        <v>-21.42547228603606</v>
      </c>
      <c r="K253" t="inlineStr">
        <is>
          <t>Singapore|0JLR.L|1Y</t>
        </is>
      </c>
      <c r="L253" t="inlineStr">
        <is>
          <t>Singapore|1Y</t>
        </is>
      </c>
      <c r="M253" t="inlineStr">
        <is>
          <t>USD</t>
        </is>
      </c>
    </row>
    <row r="254">
      <c r="A254" t="inlineStr">
        <is>
          <t>Singapore</t>
        </is>
      </c>
      <c r="B254" t="inlineStr">
        <is>
          <t>SGP</t>
        </is>
      </c>
      <c r="C254" t="inlineStr">
        <is>
          <t>0JLR.L</t>
        </is>
      </c>
      <c r="D254" s="1" t="n">
        <v>46022</v>
      </c>
      <c r="E254" t="inlineStr">
        <is>
          <t>3Y</t>
        </is>
      </c>
      <c r="F254" t="n">
        <v>13.44060812819712</v>
      </c>
      <c r="G254" t="n">
        <v>2.805520010477469</v>
      </c>
      <c r="H254" t="n">
        <v>2.159555632240973</v>
      </c>
      <c r="I254" t="n">
        <v>4.097324541001424</v>
      </c>
      <c r="J254" t="n">
        <v>-9.343283587195694</v>
      </c>
      <c r="K254" t="inlineStr">
        <is>
          <t>Singapore|0JLR.L|3Y</t>
        </is>
      </c>
      <c r="L254" t="inlineStr">
        <is>
          <t>Singapore|3Y</t>
        </is>
      </c>
      <c r="M254" t="inlineStr">
        <is>
          <t>USD</t>
        </is>
      </c>
    </row>
    <row r="255">
      <c r="A255" t="inlineStr">
        <is>
          <t>Singapore</t>
        </is>
      </c>
      <c r="B255" t="inlineStr">
        <is>
          <t>SGP</t>
        </is>
      </c>
      <c r="C255" t="inlineStr">
        <is>
          <t>0JLR.L</t>
        </is>
      </c>
      <c r="D255" s="1" t="n">
        <v>46022</v>
      </c>
      <c r="E255" t="inlineStr">
        <is>
          <t>5Y</t>
        </is>
      </c>
      <c r="F255" t="n">
        <v>4.861403006934939</v>
      </c>
      <c r="G255" t="n">
        <v>4.422269232490406</v>
      </c>
      <c r="H255" t="n">
        <v>9.204338944641011</v>
      </c>
      <c r="I255" t="n">
        <v>10.45973035677419</v>
      </c>
      <c r="J255" t="n">
        <v>5.598327349839249</v>
      </c>
      <c r="K255" t="inlineStr">
        <is>
          <t>Singapore|0JLR.L|5Y</t>
        </is>
      </c>
      <c r="L255" t="inlineStr">
        <is>
          <t>Singapore|5Y</t>
        </is>
      </c>
      <c r="M255" t="inlineStr">
        <is>
          <t>USD</t>
        </is>
      </c>
    </row>
    <row r="256">
      <c r="A256" t="inlineStr">
        <is>
          <t>Singapore</t>
        </is>
      </c>
      <c r="B256" t="inlineStr">
        <is>
          <t>SGP</t>
        </is>
      </c>
      <c r="C256" t="inlineStr">
        <is>
          <t>EWS</t>
        </is>
      </c>
      <c r="D256" s="1" t="n">
        <v>46022</v>
      </c>
      <c r="E256" t="inlineStr">
        <is>
          <t>1Y</t>
        </is>
      </c>
      <c r="F256" t="n">
        <v>26.48275967301996</v>
      </c>
      <c r="G256" t="n">
        <v>2.225999999999995</v>
      </c>
      <c r="H256" t="n">
        <v>2.294664000000002</v>
      </c>
      <c r="I256" t="n">
        <v>4.895621999999999</v>
      </c>
      <c r="J256" t="n">
        <v>-21.58713767301996</v>
      </c>
      <c r="K256" t="inlineStr">
        <is>
          <t>Singapore|EWS|1Y</t>
        </is>
      </c>
      <c r="L256" t="inlineStr">
        <is>
          <t>Singapore|1Y</t>
        </is>
      </c>
      <c r="M256" t="inlineStr">
        <is>
          <t>USD</t>
        </is>
      </c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EWS</t>
        </is>
      </c>
      <c r="D257" s="1" t="n">
        <v>46022</v>
      </c>
      <c r="E257" t="inlineStr">
        <is>
          <t>3Y</t>
        </is>
      </c>
      <c r="F257" t="n">
        <v>13.489842677995</v>
      </c>
      <c r="G257" t="n">
        <v>2.805520010477469</v>
      </c>
      <c r="H257" t="n">
        <v>2.159555632240973</v>
      </c>
      <c r="I257" t="n">
        <v>4.097324541001424</v>
      </c>
      <c r="J257" t="n">
        <v>-9.392518136993576</v>
      </c>
      <c r="K257" t="inlineStr">
        <is>
          <t>Singapore|EWS|3Y</t>
        </is>
      </c>
      <c r="L257" t="inlineStr">
        <is>
          <t>Singapore|3Y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EWS</t>
        </is>
      </c>
      <c r="D258" s="1" t="n">
        <v>46022</v>
      </c>
      <c r="E258" t="inlineStr">
        <is>
          <t>5Y</t>
        </is>
      </c>
      <c r="F258" t="n">
        <v>4.994939985850522</v>
      </c>
      <c r="G258" t="n">
        <v>4.422269232490406</v>
      </c>
      <c r="H258" t="n">
        <v>9.204338944641011</v>
      </c>
      <c r="I258" t="n">
        <v>10.45973035677419</v>
      </c>
      <c r="J258" t="n">
        <v>5.464790370923666</v>
      </c>
      <c r="K258" t="inlineStr">
        <is>
          <t>Singapore|EWS|5Y</t>
        </is>
      </c>
      <c r="L258" t="inlineStr">
        <is>
          <t>Singapore|5Y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EWS</t>
        </is>
      </c>
      <c r="D259" s="1" t="n">
        <v>46022</v>
      </c>
      <c r="E259" t="inlineStr">
        <is>
          <t>10Y</t>
        </is>
      </c>
      <c r="F259" t="n">
        <v>3.188061261971509</v>
      </c>
      <c r="G259" t="n">
        <v>3.096899412720422</v>
      </c>
      <c r="H259" t="n">
        <v>5.857914146213727</v>
      </c>
      <c r="I259" t="n">
        <v>6.426616016169784</v>
      </c>
      <c r="J259" t="n">
        <v>3.238554754198275</v>
      </c>
      <c r="K259" t="inlineStr">
        <is>
          <t>Singapore|EWS|10Y</t>
        </is>
      </c>
      <c r="L259" t="inlineStr">
        <is>
          <t>Singapore|10Y</t>
        </is>
      </c>
      <c r="M259" t="inlineStr">
        <is>
          <t>USD</t>
        </is>
      </c>
    </row>
    <row r="260">
      <c r="A260" t="inlineStr">
        <is>
          <t>South Africa</t>
        </is>
      </c>
      <c r="B260" t="inlineStr">
        <is>
          <t>ZAF</t>
        </is>
      </c>
      <c r="C260" t="inlineStr"/>
      <c r="D260" s="1" t="n">
        <v>46022</v>
      </c>
      <c r="E260" t="inlineStr">
        <is>
          <t>1Y</t>
        </is>
      </c>
      <c r="F260" t="inlineStr"/>
      <c r="G260" t="n">
        <v>1.149</v>
      </c>
      <c r="H260" t="n">
        <v>4.70545200000001</v>
      </c>
      <c r="I260" t="n">
        <v>6.309776999999994</v>
      </c>
      <c r="J260" t="inlineStr"/>
      <c r="K260" t="inlineStr">
        <is>
          <t>South Africa||1Y</t>
        </is>
      </c>
      <c r="L260" t="inlineStr">
        <is>
          <t>South Africa|1Y</t>
        </is>
      </c>
      <c r="M260" t="inlineStr"/>
    </row>
    <row r="261">
      <c r="A261" t="inlineStr">
        <is>
          <t>South Africa</t>
        </is>
      </c>
      <c r="B261" t="inlineStr">
        <is>
          <t>ZAF</t>
        </is>
      </c>
      <c r="C261" t="inlineStr"/>
      <c r="D261" s="1" t="n">
        <v>46022</v>
      </c>
      <c r="E261" t="inlineStr">
        <is>
          <t>3Y</t>
        </is>
      </c>
      <c r="F261" t="inlineStr"/>
      <c r="G261" t="n">
        <v>0.829687067689866</v>
      </c>
      <c r="H261" t="n">
        <v>4.913829447217033</v>
      </c>
      <c r="I261" t="n">
        <v>1.527172730413695</v>
      </c>
      <c r="J261" t="inlineStr"/>
      <c r="K261" t="inlineStr">
        <is>
          <t>South Africa||3Y</t>
        </is>
      </c>
      <c r="L261" t="inlineStr">
        <is>
          <t>South Africa|3Y</t>
        </is>
      </c>
      <c r="M261" t="inlineStr"/>
    </row>
    <row r="262">
      <c r="A262" t="inlineStr">
        <is>
          <t>South Africa</t>
        </is>
      </c>
      <c r="B262" t="inlineStr">
        <is>
          <t>ZAF</t>
        </is>
      </c>
      <c r="C262" t="inlineStr"/>
      <c r="D262" s="1" t="n">
        <v>46022</v>
      </c>
      <c r="E262" t="inlineStr">
        <is>
          <t>5Y</t>
        </is>
      </c>
      <c r="F262" t="inlineStr"/>
      <c r="G262" t="n">
        <v>1.869366313573084</v>
      </c>
      <c r="H262" t="n">
        <v>6.71419962014479</v>
      </c>
      <c r="I262" t="n">
        <v>4.763139999836619</v>
      </c>
      <c r="J262" t="inlineStr"/>
      <c r="K262" t="inlineStr">
        <is>
          <t>South Africa||5Y</t>
        </is>
      </c>
      <c r="L262" t="inlineStr">
        <is>
          <t>South Africa|5Y</t>
        </is>
      </c>
      <c r="M262" t="inlineStr"/>
    </row>
    <row r="263">
      <c r="A263" t="inlineStr">
        <is>
          <t>South Africa</t>
        </is>
      </c>
      <c r="B263" t="inlineStr">
        <is>
          <t>ZAF</t>
        </is>
      </c>
      <c r="C263" t="inlineStr"/>
      <c r="D263" s="1" t="n">
        <v>46022</v>
      </c>
      <c r="E263" t="inlineStr">
        <is>
          <t>10Y</t>
        </is>
      </c>
      <c r="F263" t="inlineStr"/>
      <c r="G263" t="n">
        <v>0.6533111721663376</v>
      </c>
      <c r="H263" t="n">
        <v>5.703683055668485</v>
      </c>
      <c r="I263" t="n">
        <v>2.091418501604658</v>
      </c>
      <c r="J263" t="inlineStr"/>
      <c r="K263" t="inlineStr">
        <is>
          <t>South Africa||10Y</t>
        </is>
      </c>
      <c r="L263" t="inlineStr">
        <is>
          <t>South Africa|10Y</t>
        </is>
      </c>
      <c r="M263" t="inlineStr"/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EZA</t>
        </is>
      </c>
      <c r="D264" s="1" t="n">
        <v>46022</v>
      </c>
      <c r="E264" t="inlineStr">
        <is>
          <t>1Y</t>
        </is>
      </c>
      <c r="F264" t="n">
        <v>62.53248305149815</v>
      </c>
      <c r="G264" t="n">
        <v>1.149</v>
      </c>
      <c r="H264" t="n">
        <v>4.70545200000001</v>
      </c>
      <c r="I264" t="n">
        <v>6.309776999999994</v>
      </c>
      <c r="J264" t="n">
        <v>-56.22270605149815</v>
      </c>
      <c r="K264" t="inlineStr">
        <is>
          <t>South Africa|EZA|1Y</t>
        </is>
      </c>
      <c r="L264" t="inlineStr">
        <is>
          <t>South Africa|1Y</t>
        </is>
      </c>
      <c r="M264" t="inlineStr">
        <is>
          <t>USD</t>
        </is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EZA</t>
        </is>
      </c>
      <c r="D265" s="1" t="n">
        <v>46022</v>
      </c>
      <c r="E265" t="inlineStr">
        <is>
          <t>3Y</t>
        </is>
      </c>
      <c r="F265" t="n">
        <v>16.29736835710143</v>
      </c>
      <c r="G265" t="n">
        <v>0.829687067689866</v>
      </c>
      <c r="H265" t="n">
        <v>4.913829447217033</v>
      </c>
      <c r="I265" t="n">
        <v>1.527172730413695</v>
      </c>
      <c r="J265" t="n">
        <v>-14.77019562668773</v>
      </c>
      <c r="K265" t="inlineStr">
        <is>
          <t>South Africa|EZA|3Y</t>
        </is>
      </c>
      <c r="L265" t="inlineStr">
        <is>
          <t>South Africa|3Y</t>
        </is>
      </c>
      <c r="M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EZA</t>
        </is>
      </c>
      <c r="D266" s="1" t="n">
        <v>46022</v>
      </c>
      <c r="E266" t="inlineStr">
        <is>
          <t>5Y</t>
        </is>
      </c>
      <c r="F266" t="n">
        <v>9.332235370075148</v>
      </c>
      <c r="G266" t="n">
        <v>1.869366313573084</v>
      </c>
      <c r="H266" t="n">
        <v>6.71419962014479</v>
      </c>
      <c r="I266" t="n">
        <v>4.763139999836619</v>
      </c>
      <c r="J266" t="n">
        <v>-4.56909537023853</v>
      </c>
      <c r="K266" t="inlineStr">
        <is>
          <t>South Africa|EZA|5Y</t>
        </is>
      </c>
      <c r="L266" t="inlineStr">
        <is>
          <t>South Africa|5Y</t>
        </is>
      </c>
      <c r="M266" t="inlineStr">
        <is>
          <t>USD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EZA</t>
        </is>
      </c>
      <c r="D267" s="1" t="n">
        <v>46022</v>
      </c>
      <c r="E267" t="inlineStr">
        <is>
          <t>10Y</t>
        </is>
      </c>
      <c r="F267" t="n">
        <v>4.196429667747004</v>
      </c>
      <c r="G267" t="n">
        <v>0.6533111721663376</v>
      </c>
      <c r="H267" t="n">
        <v>5.703683055668485</v>
      </c>
      <c r="I267" t="n">
        <v>2.091418501604658</v>
      </c>
      <c r="J267" t="n">
        <v>-2.105011166142345</v>
      </c>
      <c r="K267" t="inlineStr">
        <is>
          <t>South Africa|EZA|10Y</t>
        </is>
      </c>
      <c r="L267" t="inlineStr">
        <is>
          <t>South Africa|10Y</t>
        </is>
      </c>
      <c r="M267" t="inlineStr">
        <is>
          <t>USD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s="1" t="n">
        <v>46022</v>
      </c>
      <c r="E268" t="inlineStr">
        <is>
          <t>1Y</t>
        </is>
      </c>
      <c r="F268" t="n">
        <v>75.04335635161455</v>
      </c>
      <c r="G268" t="n">
        <v>1.149</v>
      </c>
      <c r="H268" t="n">
        <v>4.70545200000001</v>
      </c>
      <c r="I268" t="n">
        <v>6.309776999999994</v>
      </c>
      <c r="J268" t="n">
        <v>-68.73357935161455</v>
      </c>
      <c r="K268" t="inlineStr">
        <is>
          <t>South Africa|IRSA.L|1Y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s="1" t="n">
        <v>46022</v>
      </c>
      <c r="E269" t="inlineStr">
        <is>
          <t>3Y</t>
        </is>
      </c>
      <c r="F269" t="n">
        <v>23.45899194037075</v>
      </c>
      <c r="G269" t="n">
        <v>0.829687067689866</v>
      </c>
      <c r="H269" t="n">
        <v>4.913829447217033</v>
      </c>
      <c r="I269" t="n">
        <v>1.527172730413695</v>
      </c>
      <c r="J269" t="n">
        <v>-21.93181920995706</v>
      </c>
      <c r="K269" t="inlineStr">
        <is>
          <t>South Africa|IRSA.L|3Y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s="1" t="n">
        <v>46022</v>
      </c>
      <c r="E270" t="inlineStr">
        <is>
          <t>5Y</t>
        </is>
      </c>
      <c r="F270" t="n">
        <v>13.78060611988323</v>
      </c>
      <c r="G270" t="n">
        <v>1.869366313573084</v>
      </c>
      <c r="H270" t="n">
        <v>6.71419962014479</v>
      </c>
      <c r="I270" t="n">
        <v>4.763139999836619</v>
      </c>
      <c r="J270" t="n">
        <v>-9.017466120046613</v>
      </c>
      <c r="K270" t="inlineStr">
        <is>
          <t>South Africa|IRSA.L|5Y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s="1" t="n">
        <v>46022</v>
      </c>
      <c r="E271" t="inlineStr">
        <is>
          <t>10Y</t>
        </is>
      </c>
      <c r="F271" t="n">
        <v>9.687170171223691</v>
      </c>
      <c r="G271" t="n">
        <v>0.6533111721663376</v>
      </c>
      <c r="H271" t="n">
        <v>5.703683055668485</v>
      </c>
      <c r="I271" t="n">
        <v>2.091418501604658</v>
      </c>
      <c r="J271" t="n">
        <v>-7.595751669619033</v>
      </c>
      <c r="K271" t="inlineStr">
        <is>
          <t>South Africa|IRSA.L|10Y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s="1" t="n">
        <v>46022</v>
      </c>
      <c r="E272" t="inlineStr">
        <is>
          <t>1Y</t>
        </is>
      </c>
      <c r="F272" t="n">
        <v>73.25046185797825</v>
      </c>
      <c r="G272" t="n">
        <v>1.149</v>
      </c>
      <c r="H272" t="n">
        <v>4.70545200000001</v>
      </c>
      <c r="I272" t="n">
        <v>6.309776999999994</v>
      </c>
      <c r="J272" t="n">
        <v>-66.94068485797825</v>
      </c>
      <c r="K272" t="inlineStr">
        <is>
          <t>South Africa|SRSA.L|1Y</t>
        </is>
      </c>
      <c r="L272" t="inlineStr">
        <is>
          <t>South Africa|1Y</t>
        </is>
      </c>
      <c r="M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s="1" t="n">
        <v>46022</v>
      </c>
      <c r="E273" t="inlineStr">
        <is>
          <t>3Y</t>
        </is>
      </c>
      <c r="F273" t="n">
        <v>23.15404289151002</v>
      </c>
      <c r="G273" t="n">
        <v>0.829687067689866</v>
      </c>
      <c r="H273" t="n">
        <v>4.913829447217033</v>
      </c>
      <c r="I273" t="n">
        <v>1.527172730413695</v>
      </c>
      <c r="J273" t="n">
        <v>-21.62687016109632</v>
      </c>
      <c r="K273" t="inlineStr">
        <is>
          <t>South Africa|SRSA.L|3Y</t>
        </is>
      </c>
      <c r="L273" t="inlineStr">
        <is>
          <t>South Africa|3Y</t>
        </is>
      </c>
      <c r="M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s="1" t="n">
        <v>46022</v>
      </c>
      <c r="E274" t="inlineStr">
        <is>
          <t>5Y</t>
        </is>
      </c>
      <c r="F274" t="n">
        <v>13.56941057534642</v>
      </c>
      <c r="G274" t="n">
        <v>1.869366313573084</v>
      </c>
      <c r="H274" t="n">
        <v>6.71419962014479</v>
      </c>
      <c r="I274" t="n">
        <v>4.763139999836619</v>
      </c>
      <c r="J274" t="n">
        <v>-8.806270575509799</v>
      </c>
      <c r="K274" t="inlineStr">
        <is>
          <t>South Africa|SRSA.L|5Y</t>
        </is>
      </c>
      <c r="L274" t="inlineStr">
        <is>
          <t>South Africa|5Y</t>
        </is>
      </c>
      <c r="M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s="1" t="n">
        <v>46022</v>
      </c>
      <c r="E275" t="inlineStr">
        <is>
          <t>10Y</t>
        </is>
      </c>
      <c r="F275" t="n">
        <v>9.285044159321387</v>
      </c>
      <c r="G275" t="n">
        <v>0.6533111721663376</v>
      </c>
      <c r="H275" t="n">
        <v>5.703683055668485</v>
      </c>
      <c r="I275" t="n">
        <v>2.091418501604658</v>
      </c>
      <c r="J275" t="n">
        <v>-7.193625657716729</v>
      </c>
      <c r="K275" t="inlineStr">
        <is>
          <t>South Africa|SRSA.L|10Y</t>
        </is>
      </c>
      <c r="L275" t="inlineStr">
        <is>
          <t>South Africa|10Y</t>
        </is>
      </c>
      <c r="M275" t="inlineStr">
        <is>
          <t>GBp</t>
        </is>
      </c>
    </row>
    <row r="276">
      <c r="A276" t="inlineStr">
        <is>
          <t>South Korea</t>
        </is>
      </c>
      <c r="B276" t="inlineStr">
        <is>
          <t>KOR</t>
        </is>
      </c>
      <c r="C276" t="inlineStr"/>
      <c r="D276" s="1" t="n">
        <v>46022</v>
      </c>
      <c r="E276" t="inlineStr">
        <is>
          <t>1Y</t>
        </is>
      </c>
      <c r="F276" t="inlineStr"/>
      <c r="G276" t="n">
        <v>0.8960000000000079</v>
      </c>
      <c r="H276" t="n">
        <v>2.117764000000011</v>
      </c>
      <c r="I276" t="n">
        <v>-0.8966680000000005</v>
      </c>
      <c r="J276" t="inlineStr"/>
      <c r="K276" t="inlineStr">
        <is>
          <t>South Korea||1Y</t>
        </is>
      </c>
      <c r="L276" t="inlineStr">
        <is>
          <t>South Korea|1Y</t>
        </is>
      </c>
      <c r="M276" t="inlineStr"/>
    </row>
    <row r="277">
      <c r="A277" t="inlineStr">
        <is>
          <t>South Korea</t>
        </is>
      </c>
      <c r="B277" t="inlineStr">
        <is>
          <t>KOR</t>
        </is>
      </c>
      <c r="C277" t="inlineStr"/>
      <c r="D277" s="1" t="n">
        <v>46022</v>
      </c>
      <c r="E277" t="inlineStr">
        <is>
          <t>3Y</t>
        </is>
      </c>
      <c r="F277" t="inlineStr"/>
      <c r="G277" t="n">
        <v>1.493305092303054</v>
      </c>
      <c r="H277" t="n">
        <v>3.961092019769596</v>
      </c>
      <c r="I277" t="n">
        <v>1.085035519760158</v>
      </c>
      <c r="J277" t="inlineStr"/>
      <c r="K277" t="inlineStr">
        <is>
          <t>South Korea||3Y</t>
        </is>
      </c>
      <c r="L277" t="inlineStr">
        <is>
          <t>South Korea|3Y</t>
        </is>
      </c>
      <c r="M277" t="inlineStr"/>
    </row>
    <row r="278">
      <c r="A278" t="inlineStr">
        <is>
          <t>South Korea</t>
        </is>
      </c>
      <c r="B278" t="inlineStr">
        <is>
          <t>KOR</t>
        </is>
      </c>
      <c r="C278" t="inlineStr"/>
      <c r="D278" s="1" t="n">
        <v>46022</v>
      </c>
      <c r="E278" t="inlineStr">
        <is>
          <t>5Y</t>
        </is>
      </c>
      <c r="F278" t="inlineStr"/>
      <c r="G278" t="n">
        <v>2.356949693623722</v>
      </c>
      <c r="H278" t="n">
        <v>4.870370138951352</v>
      </c>
      <c r="I278" t="n">
        <v>1.275389793357129</v>
      </c>
      <c r="J278" t="inlineStr"/>
      <c r="K278" t="inlineStr">
        <is>
          <t>South Korea||5Y</t>
        </is>
      </c>
      <c r="L278" t="inlineStr">
        <is>
          <t>South Korea|5Y</t>
        </is>
      </c>
      <c r="M278" t="inlineStr"/>
    </row>
    <row r="279">
      <c r="A279" t="inlineStr">
        <is>
          <t>South Korea</t>
        </is>
      </c>
      <c r="B279" t="inlineStr">
        <is>
          <t>KOR</t>
        </is>
      </c>
      <c r="C279" t="inlineStr"/>
      <c r="D279" s="1" t="n">
        <v>46022</v>
      </c>
      <c r="E279" t="inlineStr">
        <is>
          <t>10Y</t>
        </is>
      </c>
      <c r="F279" t="inlineStr"/>
      <c r="G279" t="n">
        <v>2.312115483549904</v>
      </c>
      <c r="H279" t="n">
        <v>4.137342685457113</v>
      </c>
      <c r="I279" t="n">
        <v>1.903263894932894</v>
      </c>
      <c r="J279" t="inlineStr"/>
      <c r="K279" t="inlineStr">
        <is>
          <t>South Korea||10Y</t>
        </is>
      </c>
      <c r="L279" t="inlineStr">
        <is>
          <t>South Korea|10Y</t>
        </is>
      </c>
      <c r="M279" t="inlineStr"/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s="1" t="n">
        <v>46022</v>
      </c>
      <c r="E280" t="inlineStr">
        <is>
          <t>1Y</t>
        </is>
      </c>
      <c r="F280" t="n">
        <v>99.25350103748991</v>
      </c>
      <c r="G280" t="n">
        <v>0.8960000000000079</v>
      </c>
      <c r="H280" t="n">
        <v>2.117764000000011</v>
      </c>
      <c r="I280" t="n">
        <v>-0.8966680000000005</v>
      </c>
      <c r="J280" t="n">
        <v>-100.1501690374899</v>
      </c>
      <c r="K280" t="inlineStr">
        <is>
          <t>South Korea|CSKR.L|1Y</t>
        </is>
      </c>
      <c r="L280" t="inlineStr">
        <is>
          <t>South Korea|1Y</t>
        </is>
      </c>
      <c r="M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s="1" t="n">
        <v>46022</v>
      </c>
      <c r="E281" t="inlineStr">
        <is>
          <t>3Y</t>
        </is>
      </c>
      <c r="F281" t="n">
        <v>23.80187708799604</v>
      </c>
      <c r="G281" t="n">
        <v>1.493305092303054</v>
      </c>
      <c r="H281" t="n">
        <v>3.961092019769596</v>
      </c>
      <c r="I281" t="n">
        <v>1.085035519760158</v>
      </c>
      <c r="J281" t="n">
        <v>-22.71684156823588</v>
      </c>
      <c r="K281" t="inlineStr">
        <is>
          <t>South Korea|CSKR.L|3Y</t>
        </is>
      </c>
      <c r="L281" t="inlineStr">
        <is>
          <t>South Korea|3Y</t>
        </is>
      </c>
      <c r="M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s="1" t="n">
        <v>46022</v>
      </c>
      <c r="E282" t="inlineStr">
        <is>
          <t>5Y</t>
        </is>
      </c>
      <c r="F282" t="n">
        <v>3.410536753221516</v>
      </c>
      <c r="G282" t="n">
        <v>2.356949693623722</v>
      </c>
      <c r="H282" t="n">
        <v>4.870370138951352</v>
      </c>
      <c r="I282" t="n">
        <v>1.275389793357129</v>
      </c>
      <c r="J282" t="n">
        <v>-2.135146959864387</v>
      </c>
      <c r="K282" t="inlineStr">
        <is>
          <t>South Korea|CSKR.L|5Y</t>
        </is>
      </c>
      <c r="L282" t="inlineStr">
        <is>
          <t>South Korea|5Y</t>
        </is>
      </c>
      <c r="M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s="1" t="n">
        <v>46022</v>
      </c>
      <c r="E283" t="inlineStr">
        <is>
          <t>10Y</t>
        </is>
      </c>
      <c r="F283" t="n">
        <v>9.786754183672386</v>
      </c>
      <c r="G283" t="n">
        <v>2.312115483549904</v>
      </c>
      <c r="H283" t="n">
        <v>4.137342685457113</v>
      </c>
      <c r="I283" t="n">
        <v>1.903263894932894</v>
      </c>
      <c r="J283" t="n">
        <v>-7.883490288739492</v>
      </c>
      <c r="K283" t="inlineStr">
        <is>
          <t>South Korea|CSKR.L|10Y</t>
        </is>
      </c>
      <c r="L283" t="inlineStr">
        <is>
          <t>South Korea|10Y</t>
        </is>
      </c>
      <c r="M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EWY</t>
        </is>
      </c>
      <c r="D284" s="1" t="n">
        <v>46022</v>
      </c>
      <c r="E284" t="inlineStr">
        <is>
          <t>1Y</t>
        </is>
      </c>
      <c r="F284" t="n">
        <v>90.17997506268469</v>
      </c>
      <c r="G284" t="n">
        <v>0.8960000000000079</v>
      </c>
      <c r="H284" t="n">
        <v>2.117764000000011</v>
      </c>
      <c r="I284" t="n">
        <v>-0.8966680000000005</v>
      </c>
      <c r="J284" t="n">
        <v>-91.0766430626847</v>
      </c>
      <c r="K284" t="inlineStr">
        <is>
          <t>South Korea|EWY|1Y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EWY</t>
        </is>
      </c>
      <c r="D285" s="1" t="n">
        <v>46022</v>
      </c>
      <c r="E285" t="inlineStr">
        <is>
          <t>3Y</t>
        </is>
      </c>
      <c r="F285" t="n">
        <v>20.5971136874477</v>
      </c>
      <c r="G285" t="n">
        <v>1.493305092303054</v>
      </c>
      <c r="H285" t="n">
        <v>3.961092019769596</v>
      </c>
      <c r="I285" t="n">
        <v>1.085035519760158</v>
      </c>
      <c r="J285" t="n">
        <v>-19.51207816768754</v>
      </c>
      <c r="K285" t="inlineStr">
        <is>
          <t>South Korea|EWY|3Y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EWY</t>
        </is>
      </c>
      <c r="D286" s="1" t="n">
        <v>46022</v>
      </c>
      <c r="E286" t="inlineStr">
        <is>
          <t>5Y</t>
        </is>
      </c>
      <c r="F286" t="n">
        <v>1.938752067963856</v>
      </c>
      <c r="G286" t="n">
        <v>2.356949693623722</v>
      </c>
      <c r="H286" t="n">
        <v>4.870370138951352</v>
      </c>
      <c r="I286" t="n">
        <v>1.275389793357129</v>
      </c>
      <c r="J286" t="n">
        <v>-0.6633622746067269</v>
      </c>
      <c r="K286" t="inlineStr">
        <is>
          <t>South Korea|EWY|5Y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EWY</t>
        </is>
      </c>
      <c r="D287" s="1" t="n">
        <v>46022</v>
      </c>
      <c r="E287" t="inlineStr">
        <is>
          <t>10Y</t>
        </is>
      </c>
      <c r="F287" t="n">
        <v>7.199420157096226</v>
      </c>
      <c r="G287" t="n">
        <v>2.312115483549904</v>
      </c>
      <c r="H287" t="n">
        <v>4.137342685457113</v>
      </c>
      <c r="I287" t="n">
        <v>1.903263894932894</v>
      </c>
      <c r="J287" t="n">
        <v>-5.296156262163332</v>
      </c>
      <c r="K287" t="inlineStr">
        <is>
          <t>South Korea|EWY|10Y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FLRK.L</t>
        </is>
      </c>
      <c r="D288" s="1" t="n">
        <v>46022</v>
      </c>
      <c r="E288" t="inlineStr">
        <is>
          <t>1Y</t>
        </is>
      </c>
      <c r="F288" t="n">
        <v>92.44159338347782</v>
      </c>
      <c r="G288" t="n">
        <v>0.8960000000000079</v>
      </c>
      <c r="H288" t="n">
        <v>2.117764000000011</v>
      </c>
      <c r="I288" t="n">
        <v>-0.8966680000000005</v>
      </c>
      <c r="J288" t="n">
        <v>-93.33826138347783</v>
      </c>
      <c r="K288" t="inlineStr">
        <is>
          <t>South Korea|FLRK.L|1Y</t>
        </is>
      </c>
      <c r="L288" t="inlineStr">
        <is>
          <t>South Korea|1Y</t>
        </is>
      </c>
      <c r="M288" t="inlineStr">
        <is>
          <t>GBP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FLRK.L</t>
        </is>
      </c>
      <c r="D289" s="1" t="n">
        <v>46022</v>
      </c>
      <c r="E289" t="inlineStr">
        <is>
          <t>3Y</t>
        </is>
      </c>
      <c r="F289" t="n">
        <v>23.4885584863024</v>
      </c>
      <c r="G289" t="n">
        <v>1.493305092303054</v>
      </c>
      <c r="H289" t="n">
        <v>3.961092019769596</v>
      </c>
      <c r="I289" t="n">
        <v>1.085035519760158</v>
      </c>
      <c r="J289" t="n">
        <v>-22.40352296654224</v>
      </c>
      <c r="K289" t="inlineStr">
        <is>
          <t>South Korea|FLRK.L|3Y</t>
        </is>
      </c>
      <c r="L289" t="inlineStr">
        <is>
          <t>South Korea|3Y</t>
        </is>
      </c>
      <c r="M289" t="inlineStr">
        <is>
          <t>GBP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s="1" t="n">
        <v>46022</v>
      </c>
      <c r="E290" t="inlineStr">
        <is>
          <t>5Y</t>
        </is>
      </c>
      <c r="F290" t="n">
        <v>3.588747101966594</v>
      </c>
      <c r="G290" t="n">
        <v>2.356949693623722</v>
      </c>
      <c r="H290" t="n">
        <v>4.870370138951352</v>
      </c>
      <c r="I290" t="n">
        <v>1.275389793357129</v>
      </c>
      <c r="J290" t="n">
        <v>-2.313357308609465</v>
      </c>
      <c r="K290" t="inlineStr">
        <is>
          <t>South Korea|FLRK.L|5Y</t>
        </is>
      </c>
      <c r="L290" t="inlineStr">
        <is>
          <t>South Korea|5Y</t>
        </is>
      </c>
      <c r="M290" t="inlineStr">
        <is>
          <t>GBP</t>
        </is>
      </c>
    </row>
    <row r="291">
      <c r="A291" t="inlineStr">
        <is>
          <t>Spain</t>
        </is>
      </c>
      <c r="B291" t="inlineStr">
        <is>
          <t>ESP</t>
        </is>
      </c>
      <c r="C291" t="inlineStr"/>
      <c r="D291" s="1" t="n">
        <v>46022</v>
      </c>
      <c r="E291" t="inlineStr">
        <is>
          <t>1Y</t>
        </is>
      </c>
      <c r="F291" t="inlineStr"/>
      <c r="G291" t="n">
        <v>2.907999999999999</v>
      </c>
      <c r="H291" t="n">
        <v>5.025308000000006</v>
      </c>
      <c r="I291" t="n">
        <v>9.635035000000002</v>
      </c>
      <c r="J291" t="inlineStr"/>
      <c r="K291" t="inlineStr">
        <is>
          <t>Spain||1Y</t>
        </is>
      </c>
      <c r="L291" t="inlineStr">
        <is>
          <t>Spain|1Y</t>
        </is>
      </c>
      <c r="M291" t="inlineStr"/>
    </row>
    <row r="292">
      <c r="A292" t="inlineStr">
        <is>
          <t>Spain</t>
        </is>
      </c>
      <c r="B292" t="inlineStr">
        <is>
          <t>ESP</t>
        </is>
      </c>
      <c r="C292" t="inlineStr"/>
      <c r="D292" s="1" t="n">
        <v>46022</v>
      </c>
      <c r="E292" t="inlineStr">
        <is>
          <t>3Y</t>
        </is>
      </c>
      <c r="F292" t="inlineStr"/>
      <c r="G292" t="n">
        <v>2.940531049927553</v>
      </c>
      <c r="H292" t="n">
        <v>6.765841907431169</v>
      </c>
      <c r="I292" t="n">
        <v>9.26235901856456</v>
      </c>
      <c r="J292" t="inlineStr"/>
      <c r="K292" t="inlineStr">
        <is>
          <t>Spain||3Y</t>
        </is>
      </c>
      <c r="L292" t="inlineStr">
        <is>
          <t>Spain|3Y</t>
        </is>
      </c>
      <c r="M292" t="inlineStr"/>
    </row>
    <row r="293">
      <c r="A293" t="inlineStr">
        <is>
          <t>Spain</t>
        </is>
      </c>
      <c r="B293" t="inlineStr">
        <is>
          <t>ESP</t>
        </is>
      </c>
      <c r="C293" t="inlineStr"/>
      <c r="D293" s="1" t="n">
        <v>46022</v>
      </c>
      <c r="E293" t="inlineStr">
        <is>
          <t>5Y</t>
        </is>
      </c>
      <c r="F293" t="inlineStr"/>
      <c r="G293" t="n">
        <v>4.360155714568359</v>
      </c>
      <c r="H293" t="n">
        <v>8.197987950592477</v>
      </c>
      <c r="I293" t="n">
        <v>7.974584615464853</v>
      </c>
      <c r="J293" t="inlineStr"/>
      <c r="K293" t="inlineStr">
        <is>
          <t>Spain||5Y</t>
        </is>
      </c>
      <c r="L293" t="inlineStr">
        <is>
          <t>Spain|5Y</t>
        </is>
      </c>
      <c r="M293" t="inlineStr"/>
    </row>
    <row r="294">
      <c r="A294" t="inlineStr">
        <is>
          <t>Spain</t>
        </is>
      </c>
      <c r="B294" t="inlineStr">
        <is>
          <t>ESP</t>
        </is>
      </c>
      <c r="C294" t="inlineStr"/>
      <c r="D294" s="1" t="n">
        <v>46022</v>
      </c>
      <c r="E294" t="inlineStr">
        <is>
          <t>10Y</t>
        </is>
      </c>
      <c r="F294" t="inlineStr"/>
      <c r="G294" t="n">
        <v>1.998698218618267</v>
      </c>
      <c r="H294" t="n">
        <v>4.41425375852782</v>
      </c>
      <c r="I294" t="n">
        <v>4.600222325606351</v>
      </c>
      <c r="J294" t="inlineStr"/>
      <c r="K294" t="inlineStr">
        <is>
          <t>Spain||10Y</t>
        </is>
      </c>
      <c r="L294" t="inlineStr">
        <is>
          <t>Spain|10Y</t>
        </is>
      </c>
      <c r="M294" t="inlineStr"/>
    </row>
    <row r="295">
      <c r="A295" t="inlineStr">
        <is>
          <t>Spain</t>
        </is>
      </c>
      <c r="B295" t="inlineStr">
        <is>
          <t>ESP</t>
        </is>
      </c>
      <c r="C295" t="inlineStr">
        <is>
          <t>EWP</t>
        </is>
      </c>
      <c r="D295" s="1" t="n">
        <v>46022</v>
      </c>
      <c r="E295" t="inlineStr">
        <is>
          <t>1Y</t>
        </is>
      </c>
      <c r="F295" t="n">
        <v>74.12791163307737</v>
      </c>
      <c r="G295" t="n">
        <v>2.907999999999999</v>
      </c>
      <c r="H295" t="n">
        <v>5.025308000000006</v>
      </c>
      <c r="I295" t="n">
        <v>9.635035000000002</v>
      </c>
      <c r="J295" t="n">
        <v>-64.49287663307737</v>
      </c>
      <c r="K295" t="inlineStr">
        <is>
          <t>Spain|EWP|1Y</t>
        </is>
      </c>
      <c r="L295" t="inlineStr">
        <is>
          <t>Spain|1Y</t>
        </is>
      </c>
      <c r="M295" t="inlineStr">
        <is>
          <t>USD</t>
        </is>
      </c>
    </row>
    <row r="296">
      <c r="A296" t="inlineStr">
        <is>
          <t>Spain</t>
        </is>
      </c>
      <c r="B296" t="inlineStr">
        <is>
          <t>ESP</t>
        </is>
      </c>
      <c r="C296" t="inlineStr">
        <is>
          <t>EWP</t>
        </is>
      </c>
      <c r="D296" s="1" t="n">
        <v>46022</v>
      </c>
      <c r="E296" t="inlineStr">
        <is>
          <t>3Y</t>
        </is>
      </c>
      <c r="F296" t="n">
        <v>30.35156549684599</v>
      </c>
      <c r="G296" t="n">
        <v>2.940531049927553</v>
      </c>
      <c r="H296" t="n">
        <v>6.765841907431169</v>
      </c>
      <c r="I296" t="n">
        <v>9.26235901856456</v>
      </c>
      <c r="J296" t="n">
        <v>-21.08920647828143</v>
      </c>
      <c r="K296" t="inlineStr">
        <is>
          <t>Spain|EWP|3Y</t>
        </is>
      </c>
      <c r="L296" t="inlineStr">
        <is>
          <t>Spain|3Y</t>
        </is>
      </c>
      <c r="M296" t="inlineStr">
        <is>
          <t>USD</t>
        </is>
      </c>
    </row>
    <row r="297">
      <c r="A297" t="inlineStr">
        <is>
          <t>Spain</t>
        </is>
      </c>
      <c r="B297" t="inlineStr">
        <is>
          <t>ESP</t>
        </is>
      </c>
      <c r="C297" t="inlineStr">
        <is>
          <t>EWP</t>
        </is>
      </c>
      <c r="D297" s="1" t="n">
        <v>46022</v>
      </c>
      <c r="E297" t="inlineStr">
        <is>
          <t>5Y</t>
        </is>
      </c>
      <c r="F297" t="n">
        <v>14.61163158503951</v>
      </c>
      <c r="G297" t="n">
        <v>4.360155714568359</v>
      </c>
      <c r="H297" t="n">
        <v>8.197987950592477</v>
      </c>
      <c r="I297" t="n">
        <v>7.974584615464853</v>
      </c>
      <c r="J297" t="n">
        <v>-6.637046969574655</v>
      </c>
      <c r="K297" t="inlineStr">
        <is>
          <t>Spain|EWP|5Y</t>
        </is>
      </c>
      <c r="L297" t="inlineStr">
        <is>
          <t>Spain|5Y</t>
        </is>
      </c>
      <c r="M297" t="inlineStr">
        <is>
          <t>USD</t>
        </is>
      </c>
    </row>
    <row r="298">
      <c r="A298" t="inlineStr">
        <is>
          <t>Spain</t>
        </is>
      </c>
      <c r="B298" t="inlineStr">
        <is>
          <t>ESP</t>
        </is>
      </c>
      <c r="C298" t="inlineStr">
        <is>
          <t>EWP</t>
        </is>
      </c>
      <c r="D298" s="1" t="n">
        <v>46022</v>
      </c>
      <c r="E298" t="inlineStr">
        <is>
          <t>10Y</t>
        </is>
      </c>
      <c r="F298" t="n">
        <v>6.812500619521278</v>
      </c>
      <c r="G298" t="n">
        <v>1.998698218618267</v>
      </c>
      <c r="H298" t="n">
        <v>4.41425375852782</v>
      </c>
      <c r="I298" t="n">
        <v>4.600222325606351</v>
      </c>
      <c r="J298" t="n">
        <v>-2.212278293914927</v>
      </c>
      <c r="K298" t="inlineStr">
        <is>
          <t>Spain|EWP|10Y</t>
        </is>
      </c>
      <c r="L298" t="inlineStr">
        <is>
          <t>Spain|10Y</t>
        </is>
      </c>
      <c r="M298" t="inlineStr">
        <is>
          <t>USD</t>
        </is>
      </c>
    </row>
    <row r="299">
      <c r="A299" t="inlineStr">
        <is>
          <t>Sweden</t>
        </is>
      </c>
      <c r="B299" t="inlineStr">
        <is>
          <t>SWE</t>
        </is>
      </c>
      <c r="C299" t="inlineStr"/>
      <c r="D299" s="1" t="n">
        <v>46022</v>
      </c>
      <c r="E299" t="inlineStr">
        <is>
          <t>1Y</t>
        </is>
      </c>
      <c r="F299" t="inlineStr"/>
      <c r="G299" t="n">
        <v>0.7500000000000062</v>
      </c>
      <c r="H299" t="n">
        <v>2.432129000000005</v>
      </c>
      <c r="I299" t="n">
        <v>9.70706400000001</v>
      </c>
      <c r="J299" t="inlineStr"/>
      <c r="K299" t="inlineStr">
        <is>
          <t>Sweden||1Y</t>
        </is>
      </c>
      <c r="L299" t="inlineStr">
        <is>
          <t>Sweden|1Y</t>
        </is>
      </c>
      <c r="M299" t="inlineStr"/>
    </row>
    <row r="300">
      <c r="A300" t="inlineStr">
        <is>
          <t>Sweden</t>
        </is>
      </c>
      <c r="B300" t="inlineStr">
        <is>
          <t>SWE</t>
        </is>
      </c>
      <c r="C300" t="inlineStr"/>
      <c r="D300" s="1" t="n">
        <v>46022</v>
      </c>
      <c r="E300" t="inlineStr">
        <is>
          <t>3Y</t>
        </is>
      </c>
      <c r="F300" t="inlineStr"/>
      <c r="G300" t="n">
        <v>0.4542450414806831</v>
      </c>
      <c r="H300" t="n">
        <v>3.959361240613513</v>
      </c>
      <c r="I300" t="n">
        <v>4.821015691858244</v>
      </c>
      <c r="J300" t="inlineStr"/>
      <c r="K300" t="inlineStr">
        <is>
          <t>Sweden||3Y</t>
        </is>
      </c>
      <c r="L300" t="inlineStr">
        <is>
          <t>Sweden|3Y</t>
        </is>
      </c>
      <c r="M300" t="inlineStr"/>
    </row>
    <row r="301">
      <c r="A301" t="inlineStr">
        <is>
          <t>Sweden</t>
        </is>
      </c>
      <c r="B301" t="inlineStr">
        <is>
          <t>SWE</t>
        </is>
      </c>
      <c r="C301" t="inlineStr"/>
      <c r="D301" s="1" t="n">
        <v>46022</v>
      </c>
      <c r="E301" t="inlineStr">
        <is>
          <t>5Y</t>
        </is>
      </c>
      <c r="F301" t="inlineStr"/>
      <c r="G301" t="n">
        <v>1.5520943328027</v>
      </c>
      <c r="H301" t="n">
        <v>5.446509835445701</v>
      </c>
      <c r="I301" t="n">
        <v>4.004246220294672</v>
      </c>
      <c r="J301" t="inlineStr"/>
      <c r="K301" t="inlineStr">
        <is>
          <t>Sweden||5Y</t>
        </is>
      </c>
      <c r="L301" t="inlineStr">
        <is>
          <t>Sweden|5Y</t>
        </is>
      </c>
      <c r="M301" t="inlineStr"/>
    </row>
    <row r="302">
      <c r="A302" t="inlineStr">
        <is>
          <t>Sweden</t>
        </is>
      </c>
      <c r="B302" t="inlineStr">
        <is>
          <t>SWE</t>
        </is>
      </c>
      <c r="C302" t="inlineStr"/>
      <c r="D302" s="1" t="n">
        <v>46022</v>
      </c>
      <c r="E302" t="inlineStr">
        <is>
          <t>10Y</t>
        </is>
      </c>
      <c r="F302" t="inlineStr"/>
      <c r="G302" t="n">
        <v>1.415028937020568</v>
      </c>
      <c r="H302" t="n">
        <v>4.443393256159789</v>
      </c>
      <c r="I302" t="n">
        <v>2.818373558130216</v>
      </c>
      <c r="J302" t="inlineStr"/>
      <c r="K302" t="inlineStr">
        <is>
          <t>Sweden||10Y</t>
        </is>
      </c>
      <c r="L302" t="inlineStr">
        <is>
          <t>Sweden|10Y</t>
        </is>
      </c>
      <c r="M302" t="inlineStr"/>
    </row>
    <row r="303">
      <c r="A303" t="inlineStr">
        <is>
          <t>Sweden</t>
        </is>
      </c>
      <c r="B303" t="inlineStr">
        <is>
          <t>SWE</t>
        </is>
      </c>
      <c r="C303" t="inlineStr">
        <is>
          <t>EWD</t>
        </is>
      </c>
      <c r="D303" s="1" t="n">
        <v>46022</v>
      </c>
      <c r="E303" t="inlineStr">
        <is>
          <t>1Y</t>
        </is>
      </c>
      <c r="F303" t="n">
        <v>31.52551199800246</v>
      </c>
      <c r="G303" t="n">
        <v>0.7500000000000062</v>
      </c>
      <c r="H303" t="n">
        <v>2.432129000000005</v>
      </c>
      <c r="I303" t="n">
        <v>9.70706400000001</v>
      </c>
      <c r="J303" t="n">
        <v>-21.81844799800245</v>
      </c>
      <c r="K303" t="inlineStr">
        <is>
          <t>Sweden|EWD|1Y</t>
        </is>
      </c>
      <c r="L303" t="inlineStr">
        <is>
          <t>Sweden|1Y</t>
        </is>
      </c>
      <c r="M303" t="inlineStr">
        <is>
          <t>USD</t>
        </is>
      </c>
    </row>
    <row r="304">
      <c r="A304" t="inlineStr">
        <is>
          <t>Sweden</t>
        </is>
      </c>
      <c r="B304" t="inlineStr">
        <is>
          <t>SWE</t>
        </is>
      </c>
      <c r="C304" t="inlineStr">
        <is>
          <t>EWD</t>
        </is>
      </c>
      <c r="D304" s="1" t="n">
        <v>46022</v>
      </c>
      <c r="E304" t="inlineStr">
        <is>
          <t>3Y</t>
        </is>
      </c>
      <c r="F304" t="n">
        <v>14.61127827826101</v>
      </c>
      <c r="G304" t="n">
        <v>0.4542450414806831</v>
      </c>
      <c r="H304" t="n">
        <v>3.959361240613513</v>
      </c>
      <c r="I304" t="n">
        <v>4.821015691858244</v>
      </c>
      <c r="J304" t="n">
        <v>-9.790262586402765</v>
      </c>
      <c r="K304" t="inlineStr">
        <is>
          <t>Sweden|EWD|3Y</t>
        </is>
      </c>
      <c r="L304" t="inlineStr">
        <is>
          <t>Sweden|3Y</t>
        </is>
      </c>
      <c r="M304" t="inlineStr">
        <is>
          <t>USD</t>
        </is>
      </c>
    </row>
    <row r="305">
      <c r="A305" t="inlineStr">
        <is>
          <t>Sweden</t>
        </is>
      </c>
      <c r="B305" t="inlineStr">
        <is>
          <t>SWE</t>
        </is>
      </c>
      <c r="C305" t="inlineStr">
        <is>
          <t>EWD</t>
        </is>
      </c>
      <c r="D305" s="1" t="n">
        <v>46022</v>
      </c>
      <c r="E305" t="inlineStr">
        <is>
          <t>5Y</t>
        </is>
      </c>
      <c r="F305" t="n">
        <v>4.084236004183173</v>
      </c>
      <c r="G305" t="n">
        <v>1.5520943328027</v>
      </c>
      <c r="H305" t="n">
        <v>5.446509835445701</v>
      </c>
      <c r="I305" t="n">
        <v>4.004246220294672</v>
      </c>
      <c r="J305" t="n">
        <v>-0.07998978388850109</v>
      </c>
      <c r="K305" t="inlineStr">
        <is>
          <t>Sweden|EWD|5Y</t>
        </is>
      </c>
      <c r="L305" t="inlineStr">
        <is>
          <t>Sweden|5Y</t>
        </is>
      </c>
      <c r="M305" t="inlineStr">
        <is>
          <t>USD</t>
        </is>
      </c>
    </row>
    <row r="306">
      <c r="A306" t="inlineStr">
        <is>
          <t>Sweden</t>
        </is>
      </c>
      <c r="B306" t="inlineStr">
        <is>
          <t>SWE</t>
        </is>
      </c>
      <c r="C306" t="inlineStr">
        <is>
          <t>EWD</t>
        </is>
      </c>
      <c r="D306" s="1" t="n">
        <v>46022</v>
      </c>
      <c r="E306" t="inlineStr">
        <is>
          <t>10Y</t>
        </is>
      </c>
      <c r="F306" t="n">
        <v>5.588534171107384</v>
      </c>
      <c r="G306" t="n">
        <v>1.415028937020568</v>
      </c>
      <c r="H306" t="n">
        <v>4.443393256159789</v>
      </c>
      <c r="I306" t="n">
        <v>2.818373558130216</v>
      </c>
      <c r="J306" t="n">
        <v>-2.770160612977168</v>
      </c>
      <c r="K306" t="inlineStr">
        <is>
          <t>Sweden|EWD|10Y</t>
        </is>
      </c>
      <c r="L306" t="inlineStr">
        <is>
          <t>Sweden|10Y</t>
        </is>
      </c>
      <c r="M306" t="inlineStr">
        <is>
          <t>USD</t>
        </is>
      </c>
    </row>
    <row r="307">
      <c r="A307" t="inlineStr">
        <is>
          <t>Sweden</t>
        </is>
      </c>
      <c r="B307" t="inlineStr">
        <is>
          <t>SWE</t>
        </is>
      </c>
      <c r="C307" t="inlineStr">
        <is>
          <t>OMXS.L</t>
        </is>
      </c>
      <c r="D307" s="1" t="n">
        <v>46022</v>
      </c>
      <c r="E307" t="inlineStr">
        <is>
          <t>1Y</t>
        </is>
      </c>
      <c r="F307" t="n">
        <v>34.37843933190516</v>
      </c>
      <c r="G307" t="n">
        <v>0.7500000000000062</v>
      </c>
      <c r="H307" t="n">
        <v>2.432129000000005</v>
      </c>
      <c r="I307" t="n">
        <v>9.70706400000001</v>
      </c>
      <c r="J307" t="n">
        <v>-24.67137533190515</v>
      </c>
      <c r="K307" t="inlineStr">
        <is>
          <t>Sweden|OMXS.L|1Y</t>
        </is>
      </c>
      <c r="L307" t="inlineStr">
        <is>
          <t>Sweden|1Y</t>
        </is>
      </c>
      <c r="M307" t="inlineStr">
        <is>
          <t>GBp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OMXS.L</t>
        </is>
      </c>
      <c r="D308" s="1" t="n">
        <v>46022</v>
      </c>
      <c r="E308" t="inlineStr">
        <is>
          <t>3Y</t>
        </is>
      </c>
      <c r="F308" t="n">
        <v>17.07231561583815</v>
      </c>
      <c r="G308" t="n">
        <v>0.4542450414806831</v>
      </c>
      <c r="H308" t="n">
        <v>3.959361240613513</v>
      </c>
      <c r="I308" t="n">
        <v>4.821015691858244</v>
      </c>
      <c r="J308" t="n">
        <v>-12.25129992397991</v>
      </c>
      <c r="K308" t="inlineStr">
        <is>
          <t>Sweden|OMXS.L|3Y</t>
        </is>
      </c>
      <c r="L308" t="inlineStr">
        <is>
          <t>Sweden|3Y</t>
        </is>
      </c>
      <c r="M308" t="inlineStr">
        <is>
          <t>GBp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OMXS.L</t>
        </is>
      </c>
      <c r="D309" s="1" t="n">
        <v>46022</v>
      </c>
      <c r="E309" t="inlineStr">
        <is>
          <t>5Y</t>
        </is>
      </c>
      <c r="F309" t="n">
        <v>6.611240624110293</v>
      </c>
      <c r="G309" t="n">
        <v>1.5520943328027</v>
      </c>
      <c r="H309" t="n">
        <v>5.446509835445701</v>
      </c>
      <c r="I309" t="n">
        <v>4.004246220294672</v>
      </c>
      <c r="J309" t="n">
        <v>-2.606994403815621</v>
      </c>
      <c r="K309" t="inlineStr">
        <is>
          <t>Sweden|OMXS.L|5Y</t>
        </is>
      </c>
      <c r="L309" t="inlineStr">
        <is>
          <t>Sweden|5Y</t>
        </is>
      </c>
      <c r="M309" t="inlineStr">
        <is>
          <t>GBp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OMXS.L</t>
        </is>
      </c>
      <c r="D310" s="1" t="n">
        <v>46022</v>
      </c>
      <c r="E310" t="inlineStr">
        <is>
          <t>10Y</t>
        </is>
      </c>
      <c r="F310" t="n">
        <v>-16.16879149181328</v>
      </c>
      <c r="G310" t="n">
        <v>1.415028937020568</v>
      </c>
      <c r="H310" t="n">
        <v>4.443393256159789</v>
      </c>
      <c r="I310" t="n">
        <v>2.818373558130216</v>
      </c>
      <c r="J310" t="n">
        <v>18.9871650499435</v>
      </c>
      <c r="K310" t="inlineStr">
        <is>
          <t>Sweden|OMXS.L|10Y</t>
        </is>
      </c>
      <c r="L310" t="inlineStr">
        <is>
          <t>Sweden|10Y</t>
        </is>
      </c>
      <c r="M310" t="inlineStr">
        <is>
          <t>GBp</t>
        </is>
      </c>
    </row>
    <row r="311">
      <c r="A311" t="inlineStr">
        <is>
          <t>Switzerland</t>
        </is>
      </c>
      <c r="B311" t="inlineStr">
        <is>
          <t>CHE</t>
        </is>
      </c>
      <c r="C311" t="inlineStr"/>
      <c r="D311" s="1" t="n">
        <v>46022</v>
      </c>
      <c r="E311" t="inlineStr">
        <is>
          <t>1Y</t>
        </is>
      </c>
      <c r="F311" t="inlineStr"/>
      <c r="G311" t="n">
        <v>0.9460000000000024</v>
      </c>
      <c r="H311" t="n">
        <v>1.031491999999989</v>
      </c>
      <c r="I311" t="n">
        <v>6.876597000000007</v>
      </c>
      <c r="J311" t="inlineStr"/>
      <c r="K311" t="inlineStr">
        <is>
          <t>Switzerland||1Y</t>
        </is>
      </c>
      <c r="L311" t="inlineStr">
        <is>
          <t>Switzerland|1Y</t>
        </is>
      </c>
      <c r="M311" t="inlineStr"/>
    </row>
    <row r="312">
      <c r="A312" t="inlineStr">
        <is>
          <t>Switzerland</t>
        </is>
      </c>
      <c r="B312" t="inlineStr">
        <is>
          <t>CHE</t>
        </is>
      </c>
      <c r="C312" t="inlineStr"/>
      <c r="D312" s="1" t="n">
        <v>46022</v>
      </c>
      <c r="E312" t="inlineStr">
        <is>
          <t>3Y</t>
        </is>
      </c>
      <c r="F312" t="inlineStr"/>
      <c r="G312" t="n">
        <v>1.014998373451514</v>
      </c>
      <c r="H312" t="n">
        <v>1.79693154984033</v>
      </c>
      <c r="I312" t="n">
        <v>6.566079289818028</v>
      </c>
      <c r="J312" t="inlineStr"/>
      <c r="K312" t="inlineStr">
        <is>
          <t>Switzerland||3Y</t>
        </is>
      </c>
      <c r="L312" t="inlineStr">
        <is>
          <t>Switzerland|3Y</t>
        </is>
      </c>
      <c r="M312" t="inlineStr"/>
    </row>
    <row r="313">
      <c r="A313" t="inlineStr">
        <is>
          <t>Switzerland</t>
        </is>
      </c>
      <c r="B313" t="inlineStr">
        <is>
          <t>CHE</t>
        </is>
      </c>
      <c r="C313" t="inlineStr"/>
      <c r="D313" s="1" t="n">
        <v>46022</v>
      </c>
      <c r="E313" t="inlineStr">
        <is>
          <t>5Y</t>
        </is>
      </c>
      <c r="F313" t="inlineStr"/>
      <c r="G313" t="n">
        <v>2.332607250104335</v>
      </c>
      <c r="H313" t="n">
        <v>3.695225959222448</v>
      </c>
      <c r="I313" t="n">
        <v>6.226742610230285</v>
      </c>
      <c r="J313" t="inlineStr"/>
      <c r="K313" t="inlineStr">
        <is>
          <t>Switzerland||5Y</t>
        </is>
      </c>
      <c r="L313" t="inlineStr">
        <is>
          <t>Switzerland|5Y</t>
        </is>
      </c>
      <c r="M313" t="inlineStr"/>
    </row>
    <row r="314">
      <c r="A314" t="inlineStr">
        <is>
          <t>Switzerland</t>
        </is>
      </c>
      <c r="B314" t="inlineStr">
        <is>
          <t>CHE</t>
        </is>
      </c>
      <c r="C314" t="inlineStr"/>
      <c r="D314" s="1" t="n">
        <v>46022</v>
      </c>
      <c r="E314" t="inlineStr">
        <is>
          <t>10Y</t>
        </is>
      </c>
      <c r="F314" t="inlineStr"/>
      <c r="G314" t="n">
        <v>1.682160098409158</v>
      </c>
      <c r="H314" t="n">
        <v>2.25487036017904</v>
      </c>
      <c r="I314" t="n">
        <v>3.750768791677905</v>
      </c>
      <c r="J314" t="inlineStr"/>
      <c r="K314" t="inlineStr">
        <is>
          <t>Switzerland||10Y</t>
        </is>
      </c>
      <c r="L314" t="inlineStr">
        <is>
          <t>Switzerland|10Y</t>
        </is>
      </c>
      <c r="M314" t="inlineStr"/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CSWG.L</t>
        </is>
      </c>
      <c r="D315" s="1" t="n">
        <v>46022</v>
      </c>
      <c r="E315" t="inlineStr">
        <is>
          <t>1Y</t>
        </is>
      </c>
      <c r="F315" t="n">
        <v>31.39886692904705</v>
      </c>
      <c r="G315" t="n">
        <v>0.9460000000000024</v>
      </c>
      <c r="H315" t="n">
        <v>1.031491999999989</v>
      </c>
      <c r="I315" t="n">
        <v>6.876597000000007</v>
      </c>
      <c r="J315" t="n">
        <v>-24.52226992904705</v>
      </c>
      <c r="K315" t="inlineStr">
        <is>
          <t>Switzerland|CSWG.L|1Y</t>
        </is>
      </c>
      <c r="L315" t="inlineStr">
        <is>
          <t>Switzerland|1Y</t>
        </is>
      </c>
      <c r="M315" t="inlineStr">
        <is>
          <t>GBp</t>
        </is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CSWG.L</t>
        </is>
      </c>
      <c r="D316" s="1" t="n">
        <v>46022</v>
      </c>
      <c r="E316" t="inlineStr">
        <is>
          <t>3Y</t>
        </is>
      </c>
      <c r="F316" t="n">
        <v>13.85756586806508</v>
      </c>
      <c r="G316" t="n">
        <v>1.014998373451514</v>
      </c>
      <c r="H316" t="n">
        <v>1.79693154984033</v>
      </c>
      <c r="I316" t="n">
        <v>6.566079289818028</v>
      </c>
      <c r="J316" t="n">
        <v>-7.291486578247053</v>
      </c>
      <c r="K316" t="inlineStr">
        <is>
          <t>Switzerland|CSWG.L|3Y</t>
        </is>
      </c>
      <c r="L316" t="inlineStr">
        <is>
          <t>Switzerland|3Y</t>
        </is>
      </c>
      <c r="M316" t="inlineStr">
        <is>
          <t>GBp</t>
        </is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s="1" t="n">
        <v>46022</v>
      </c>
      <c r="E317" t="inlineStr">
        <is>
          <t>5Y</t>
        </is>
      </c>
      <c r="F317" t="n">
        <v>-48.62324429668489</v>
      </c>
      <c r="G317" t="n">
        <v>2.332607250104335</v>
      </c>
      <c r="H317" t="n">
        <v>3.695225959222448</v>
      </c>
      <c r="I317" t="n">
        <v>6.226742610230285</v>
      </c>
      <c r="J317" t="n">
        <v>54.84998690691517</v>
      </c>
      <c r="K317" t="inlineStr">
        <is>
          <t>Switzerland|CSWG.L|5Y</t>
        </is>
      </c>
      <c r="L317" t="inlineStr">
        <is>
          <t>Switzerland|5Y</t>
        </is>
      </c>
      <c r="M317" t="inlineStr">
        <is>
          <t>GBp</t>
        </is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s="1" t="n">
        <v>46022</v>
      </c>
      <c r="E318" t="inlineStr">
        <is>
          <t>10Y</t>
        </is>
      </c>
      <c r="F318" t="n">
        <v>4.169748920164595</v>
      </c>
      <c r="G318" t="n">
        <v>1.682160098409158</v>
      </c>
      <c r="H318" t="n">
        <v>2.25487036017904</v>
      </c>
      <c r="I318" t="n">
        <v>3.750768791677905</v>
      </c>
      <c r="J318" t="n">
        <v>-0.4189801284866901</v>
      </c>
      <c r="K318" t="inlineStr">
        <is>
          <t>Switzerland|CSWG.L|10Y</t>
        </is>
      </c>
      <c r="L318" t="inlineStr">
        <is>
          <t>Switzerland|10Y</t>
        </is>
      </c>
      <c r="M318" t="inlineStr">
        <is>
          <t>GBp</t>
        </is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EWL</t>
        </is>
      </c>
      <c r="D319" s="1" t="n">
        <v>46022</v>
      </c>
      <c r="E319" t="inlineStr">
        <is>
          <t>1Y</t>
        </is>
      </c>
      <c r="F319" t="n">
        <v>30.77426625938846</v>
      </c>
      <c r="G319" t="n">
        <v>0.9460000000000024</v>
      </c>
      <c r="H319" t="n">
        <v>1.031491999999989</v>
      </c>
      <c r="I319" t="n">
        <v>6.876597000000007</v>
      </c>
      <c r="J319" t="n">
        <v>-23.89766925938845</v>
      </c>
      <c r="K319" t="inlineStr">
        <is>
          <t>Switzerland|EWL|1Y</t>
        </is>
      </c>
      <c r="L319" t="inlineStr">
        <is>
          <t>Switzerland|1Y</t>
        </is>
      </c>
      <c r="M319" t="inlineStr">
        <is>
          <t>USD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EWL</t>
        </is>
      </c>
      <c r="D320" s="1" t="n">
        <v>46022</v>
      </c>
      <c r="E320" t="inlineStr">
        <is>
          <t>3Y</t>
        </is>
      </c>
      <c r="F320" t="n">
        <v>12.08615737267429</v>
      </c>
      <c r="G320" t="n">
        <v>1.014998373451514</v>
      </c>
      <c r="H320" t="n">
        <v>1.79693154984033</v>
      </c>
      <c r="I320" t="n">
        <v>6.566079289818028</v>
      </c>
      <c r="J320" t="n">
        <v>-5.520078082856262</v>
      </c>
      <c r="K320" t="inlineStr">
        <is>
          <t>Switzerland|EWL|3Y</t>
        </is>
      </c>
      <c r="L320" t="inlineStr">
        <is>
          <t>Switzerland|3Y</t>
        </is>
      </c>
      <c r="M320" t="inlineStr">
        <is>
          <t>USD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EWL</t>
        </is>
      </c>
      <c r="D321" s="1" t="n">
        <v>46022</v>
      </c>
      <c r="E321" t="inlineStr">
        <is>
          <t>5Y</t>
        </is>
      </c>
      <c r="F321" t="n">
        <v>5.828419192017376</v>
      </c>
      <c r="G321" t="n">
        <v>2.332607250104335</v>
      </c>
      <c r="H321" t="n">
        <v>3.695225959222448</v>
      </c>
      <c r="I321" t="n">
        <v>6.226742610230285</v>
      </c>
      <c r="J321" t="n">
        <v>0.3983234182129092</v>
      </c>
      <c r="K321" t="inlineStr">
        <is>
          <t>Switzerland|EWL|5Y</t>
        </is>
      </c>
      <c r="L321" t="inlineStr">
        <is>
          <t>Switzerland|5Y</t>
        </is>
      </c>
      <c r="M321" t="inlineStr">
        <is>
          <t>USD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EWL</t>
        </is>
      </c>
      <c r="D322" s="1" t="n">
        <v>46022</v>
      </c>
      <c r="E322" t="inlineStr">
        <is>
          <t>10Y</t>
        </is>
      </c>
      <c r="F322" t="n">
        <v>6.926775939379404</v>
      </c>
      <c r="G322" t="n">
        <v>1.682160098409158</v>
      </c>
      <c r="H322" t="n">
        <v>2.25487036017904</v>
      </c>
      <c r="I322" t="n">
        <v>3.750768791677905</v>
      </c>
      <c r="J322" t="n">
        <v>-3.176007147701498</v>
      </c>
      <c r="K322" t="inlineStr">
        <is>
          <t>Switzerland|EWL|10Y</t>
        </is>
      </c>
      <c r="L322" t="inlineStr">
        <is>
          <t>Switzerland|10Y</t>
        </is>
      </c>
      <c r="M322" t="inlineStr">
        <is>
          <t>USD</t>
        </is>
      </c>
    </row>
    <row r="323">
      <c r="A323" t="inlineStr">
        <is>
          <t>Taiwan</t>
        </is>
      </c>
      <c r="B323" t="inlineStr">
        <is>
          <t>TWN</t>
        </is>
      </c>
      <c r="C323" t="inlineStr"/>
      <c r="D323" s="1" t="n">
        <v>46022</v>
      </c>
      <c r="E323" t="inlineStr">
        <is>
          <t>1Y</t>
        </is>
      </c>
      <c r="F323" t="inlineStr"/>
      <c r="G323" t="n">
        <v>3.673999999999999</v>
      </c>
      <c r="H323" t="n">
        <v>5.468292000000008</v>
      </c>
      <c r="I323" t="n">
        <v>10.96393499999999</v>
      </c>
      <c r="J323" t="inlineStr"/>
      <c r="K323" t="inlineStr">
        <is>
          <t>Taiwan||1Y</t>
        </is>
      </c>
      <c r="L323" t="inlineStr">
        <is>
          <t>Taiwan|1Y</t>
        </is>
      </c>
      <c r="M323" t="inlineStr"/>
    </row>
    <row r="324">
      <c r="A324" t="inlineStr">
        <is>
          <t>Taiwan</t>
        </is>
      </c>
      <c r="B324" t="inlineStr">
        <is>
          <t>TWN</t>
        </is>
      </c>
      <c r="C324" t="inlineStr"/>
      <c r="D324" s="1" t="n">
        <v>46022</v>
      </c>
      <c r="E324" t="inlineStr">
        <is>
          <t>3Y</t>
        </is>
      </c>
      <c r="F324" t="inlineStr"/>
      <c r="G324" t="n">
        <v>3.199286997583917</v>
      </c>
      <c r="H324" t="n">
        <v>5.756142806055453</v>
      </c>
      <c r="I324" t="n">
        <v>4.924185071867271</v>
      </c>
      <c r="J324" t="inlineStr"/>
      <c r="K324" t="inlineStr">
        <is>
          <t>Taiwan||3Y</t>
        </is>
      </c>
      <c r="L324" t="inlineStr">
        <is>
          <t>Taiwan|3Y</t>
        </is>
      </c>
      <c r="M324" t="inlineStr"/>
    </row>
    <row r="325">
      <c r="A325" t="inlineStr">
        <is>
          <t>Taiwan</t>
        </is>
      </c>
      <c r="B325" t="inlineStr">
        <is>
          <t>TWN</t>
        </is>
      </c>
      <c r="C325" t="inlineStr"/>
      <c r="D325" s="1" t="n">
        <v>46022</v>
      </c>
      <c r="E325" t="inlineStr">
        <is>
          <t>5Y</t>
        </is>
      </c>
      <c r="F325" t="inlineStr"/>
      <c r="G325" t="n">
        <v>3.790053779043401</v>
      </c>
      <c r="H325" t="n">
        <v>6.154652973093233</v>
      </c>
      <c r="I325" t="n">
        <v>5.494197356395891</v>
      </c>
      <c r="J325" t="inlineStr"/>
      <c r="K325" t="inlineStr">
        <is>
          <t>Taiwan||5Y</t>
        </is>
      </c>
      <c r="L325" t="inlineStr">
        <is>
          <t>Taiwan|5Y</t>
        </is>
      </c>
      <c r="M325" t="inlineStr"/>
    </row>
    <row r="326">
      <c r="A326" t="inlineStr">
        <is>
          <t>Taiwan</t>
        </is>
      </c>
      <c r="B326" t="inlineStr">
        <is>
          <t>TWN</t>
        </is>
      </c>
      <c r="C326" t="inlineStr"/>
      <c r="D326" s="1" t="n">
        <v>46022</v>
      </c>
      <c r="E326" t="inlineStr">
        <is>
          <t>10Y</t>
        </is>
      </c>
      <c r="F326" t="inlineStr"/>
      <c r="G326" t="n">
        <v>3.414407627179994</v>
      </c>
      <c r="H326" t="n">
        <v>4.698072696184274</v>
      </c>
      <c r="I326" t="n">
        <v>5.164278093211339</v>
      </c>
      <c r="J326" t="inlineStr"/>
      <c r="K326" t="inlineStr">
        <is>
          <t>Taiwan||10Y</t>
        </is>
      </c>
      <c r="L326" t="inlineStr">
        <is>
          <t>Taiwan|10Y</t>
        </is>
      </c>
      <c r="M326" t="inlineStr"/>
    </row>
    <row r="327">
      <c r="A327" t="inlineStr">
        <is>
          <t>Taiwan</t>
        </is>
      </c>
      <c r="B327" t="inlineStr">
        <is>
          <t>TWN</t>
        </is>
      </c>
      <c r="C327" t="inlineStr">
        <is>
          <t>EWT</t>
        </is>
      </c>
      <c r="D327" s="1" t="n">
        <v>46022</v>
      </c>
      <c r="E327" t="inlineStr">
        <is>
          <t>1Y</t>
        </is>
      </c>
      <c r="F327" t="n">
        <v>23.74366690782825</v>
      </c>
      <c r="G327" t="n">
        <v>3.673999999999999</v>
      </c>
      <c r="H327" t="n">
        <v>5.468292000000008</v>
      </c>
      <c r="I327" t="n">
        <v>10.96393499999999</v>
      </c>
      <c r="J327" t="n">
        <v>-12.77973190782826</v>
      </c>
      <c r="K327" t="inlineStr">
        <is>
          <t>Taiwan|EWT|1Y</t>
        </is>
      </c>
      <c r="L327" t="inlineStr">
        <is>
          <t>Taiwan|1Y</t>
        </is>
      </c>
      <c r="M327" t="inlineStr">
        <is>
          <t>USD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EWT</t>
        </is>
      </c>
      <c r="D328" s="1" t="n">
        <v>46022</v>
      </c>
      <c r="E328" t="inlineStr">
        <is>
          <t>3Y</t>
        </is>
      </c>
      <c r="F328" t="n">
        <v>16.32575883806165</v>
      </c>
      <c r="G328" t="n">
        <v>3.199286997583917</v>
      </c>
      <c r="H328" t="n">
        <v>5.756142806055453</v>
      </c>
      <c r="I328" t="n">
        <v>4.924185071867271</v>
      </c>
      <c r="J328" t="n">
        <v>-11.40157376619437</v>
      </c>
      <c r="K328" t="inlineStr">
        <is>
          <t>Taiwan|EWT|3Y</t>
        </is>
      </c>
      <c r="L328" t="inlineStr">
        <is>
          <t>Taiwan|3Y</t>
        </is>
      </c>
      <c r="M328" t="inlineStr">
        <is>
          <t>USD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EWT</t>
        </is>
      </c>
      <c r="D329" s="1" t="n">
        <v>46022</v>
      </c>
      <c r="E329" t="inlineStr">
        <is>
          <t>5Y</t>
        </is>
      </c>
      <c r="F329" t="n">
        <v>3.388351767042375</v>
      </c>
      <c r="G329" t="n">
        <v>3.790053779043401</v>
      </c>
      <c r="H329" t="n">
        <v>6.154652973093233</v>
      </c>
      <c r="I329" t="n">
        <v>5.494197356395891</v>
      </c>
      <c r="J329" t="n">
        <v>2.105845589353517</v>
      </c>
      <c r="K329" t="inlineStr">
        <is>
          <t>Taiwan|EWT|5Y</t>
        </is>
      </c>
      <c r="L329" t="inlineStr">
        <is>
          <t>Taiwan|5Y</t>
        </is>
      </c>
      <c r="M329" t="inlineStr">
        <is>
          <t>USD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EWT</t>
        </is>
      </c>
      <c r="D330" s="1" t="n">
        <v>46022</v>
      </c>
      <c r="E330" t="inlineStr">
        <is>
          <t>10Y</t>
        </is>
      </c>
      <c r="F330" t="n">
        <v>9.881054925734434</v>
      </c>
      <c r="G330" t="n">
        <v>3.414407627179994</v>
      </c>
      <c r="H330" t="n">
        <v>4.698072696184274</v>
      </c>
      <c r="I330" t="n">
        <v>5.164278093211339</v>
      </c>
      <c r="J330" t="n">
        <v>-4.716776832523095</v>
      </c>
      <c r="K330" t="inlineStr">
        <is>
          <t>Taiwan|EWT|10Y</t>
        </is>
      </c>
      <c r="L330" t="inlineStr">
        <is>
          <t>Taiwan|10Y</t>
        </is>
      </c>
      <c r="M330" t="inlineStr">
        <is>
          <t>USD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XMTW.L</t>
        </is>
      </c>
      <c r="D331" s="1" t="n">
        <v>46022</v>
      </c>
      <c r="E331" t="inlineStr">
        <is>
          <t>1Y</t>
        </is>
      </c>
      <c r="F331" t="n">
        <v>33.17535317071263</v>
      </c>
      <c r="G331" t="n">
        <v>3.673999999999999</v>
      </c>
      <c r="H331" t="n">
        <v>5.468292000000008</v>
      </c>
      <c r="I331" t="n">
        <v>10.96393499999999</v>
      </c>
      <c r="J331" t="n">
        <v>-22.21141817071263</v>
      </c>
      <c r="K331" t="inlineStr">
        <is>
          <t>Taiwan|XMTW.L|1Y</t>
        </is>
      </c>
      <c r="L331" t="inlineStr">
        <is>
          <t>Taiwan|1Y</t>
        </is>
      </c>
      <c r="M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s="1" t="n">
        <v>46022</v>
      </c>
      <c r="E332" t="inlineStr">
        <is>
          <t>3Y</t>
        </is>
      </c>
      <c r="F332" t="n">
        <v>28.04010443105349</v>
      </c>
      <c r="G332" t="n">
        <v>3.199286997583917</v>
      </c>
      <c r="H332" t="n">
        <v>5.756142806055453</v>
      </c>
      <c r="I332" t="n">
        <v>4.924185071867271</v>
      </c>
      <c r="J332" t="n">
        <v>-23.11591935918622</v>
      </c>
      <c r="K332" t="inlineStr">
        <is>
          <t>Taiwan|XMTW.L|3Y</t>
        </is>
      </c>
      <c r="L332" t="inlineStr">
        <is>
          <t>Taiwan|3Y</t>
        </is>
      </c>
      <c r="M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s="1" t="n">
        <v>46022</v>
      </c>
      <c r="E333" t="inlineStr">
        <is>
          <t>5Y</t>
        </is>
      </c>
      <c r="F333" t="n">
        <v>13.19399138875445</v>
      </c>
      <c r="G333" t="n">
        <v>3.790053779043401</v>
      </c>
      <c r="H333" t="n">
        <v>6.154652973093233</v>
      </c>
      <c r="I333" t="n">
        <v>5.494197356395891</v>
      </c>
      <c r="J333" t="n">
        <v>-7.699794032358564</v>
      </c>
      <c r="K333" t="inlineStr">
        <is>
          <t>Taiwan|XMTW.L|5Y</t>
        </is>
      </c>
      <c r="L333" t="inlineStr">
        <is>
          <t>Taiwan|5Y</t>
        </is>
      </c>
      <c r="M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s="1" t="n">
        <v>46022</v>
      </c>
      <c r="E334" t="inlineStr">
        <is>
          <t>10Y</t>
        </is>
      </c>
      <c r="F334" t="n">
        <v>17.0977898112201</v>
      </c>
      <c r="G334" t="n">
        <v>3.414407627179994</v>
      </c>
      <c r="H334" t="n">
        <v>4.698072696184274</v>
      </c>
      <c r="I334" t="n">
        <v>5.164278093211339</v>
      </c>
      <c r="J334" t="n">
        <v>-11.93351171800876</v>
      </c>
      <c r="K334" t="inlineStr">
        <is>
          <t>Taiwan|XMTW.L|10Y</t>
        </is>
      </c>
      <c r="L334" t="inlineStr">
        <is>
          <t>Taiwan|10Y</t>
        </is>
      </c>
      <c r="M334" t="inlineStr">
        <is>
          <t>GBp</t>
        </is>
      </c>
    </row>
    <row r="335">
      <c r="A335" t="inlineStr">
        <is>
          <t>Thailand</t>
        </is>
      </c>
      <c r="B335" t="inlineStr">
        <is>
          <t>THA</t>
        </is>
      </c>
      <c r="C335" t="inlineStr"/>
      <c r="D335" s="1" t="n">
        <v>46022</v>
      </c>
      <c r="E335" t="inlineStr">
        <is>
          <t>1Y</t>
        </is>
      </c>
      <c r="F335" t="inlineStr"/>
      <c r="G335" t="n">
        <v>2.000000000000002</v>
      </c>
      <c r="H335" t="n">
        <v>2.200039000000009</v>
      </c>
      <c r="I335" t="n">
        <v>6.088110999999996</v>
      </c>
      <c r="J335" t="inlineStr"/>
      <c r="K335" t="inlineStr">
        <is>
          <t>Thailand||1Y</t>
        </is>
      </c>
      <c r="L335" t="inlineStr">
        <is>
          <t>Thailand|1Y</t>
        </is>
      </c>
      <c r="M335" t="inlineStr"/>
    </row>
    <row r="336">
      <c r="A336" t="inlineStr">
        <is>
          <t>Thailand</t>
        </is>
      </c>
      <c r="B336" t="inlineStr">
        <is>
          <t>THA</t>
        </is>
      </c>
      <c r="C336" t="inlineStr"/>
      <c r="D336" s="1" t="n">
        <v>46022</v>
      </c>
      <c r="E336" t="inlineStr">
        <is>
          <t>3Y</t>
        </is>
      </c>
      <c r="F336" t="inlineStr"/>
      <c r="G336" t="n">
        <v>2.182688480328676</v>
      </c>
      <c r="H336" t="n">
        <v>3.003779255805794</v>
      </c>
      <c r="I336" t="n">
        <v>4.06461227936048</v>
      </c>
      <c r="J336" t="inlineStr"/>
      <c r="K336" t="inlineStr">
        <is>
          <t>Thailand||3Y</t>
        </is>
      </c>
      <c r="L336" t="inlineStr">
        <is>
          <t>Thailand|3Y</t>
        </is>
      </c>
      <c r="M336" t="inlineStr"/>
    </row>
    <row r="337">
      <c r="A337" t="inlineStr">
        <is>
          <t>Thailand</t>
        </is>
      </c>
      <c r="B337" t="inlineStr">
        <is>
          <t>THA</t>
        </is>
      </c>
      <c r="C337" t="inlineStr"/>
      <c r="D337" s="1" t="n">
        <v>46022</v>
      </c>
      <c r="E337" t="inlineStr">
        <is>
          <t>5Y</t>
        </is>
      </c>
      <c r="F337" t="inlineStr"/>
      <c r="G337" t="n">
        <v>2.142824827726608</v>
      </c>
      <c r="H337" t="n">
        <v>3.93129222977171</v>
      </c>
      <c r="I337" t="n">
        <v>2.221386476761178</v>
      </c>
      <c r="J337" t="inlineStr"/>
      <c r="K337" t="inlineStr">
        <is>
          <t>Thailand||5Y</t>
        </is>
      </c>
      <c r="L337" t="inlineStr">
        <is>
          <t>Thailand|5Y</t>
        </is>
      </c>
      <c r="M337" t="inlineStr"/>
    </row>
    <row r="338">
      <c r="A338" t="inlineStr">
        <is>
          <t>Thailand</t>
        </is>
      </c>
      <c r="B338" t="inlineStr">
        <is>
          <t>THA</t>
        </is>
      </c>
      <c r="C338" t="inlineStr"/>
      <c r="D338" s="1" t="n">
        <v>46022</v>
      </c>
      <c r="E338" t="inlineStr">
        <is>
          <t>10Y</t>
        </is>
      </c>
      <c r="F338" t="inlineStr"/>
      <c r="G338" t="n">
        <v>1.822387316345764</v>
      </c>
      <c r="H338" t="n">
        <v>3.287139139093043</v>
      </c>
      <c r="I338" t="n">
        <v>3.362144523071686</v>
      </c>
      <c r="J338" t="inlineStr"/>
      <c r="K338" t="inlineStr">
        <is>
          <t>Thailand||10Y</t>
        </is>
      </c>
      <c r="L338" t="inlineStr">
        <is>
          <t>Thailand|10Y</t>
        </is>
      </c>
      <c r="M338" t="inlineStr"/>
    </row>
    <row r="339">
      <c r="A339" t="inlineStr">
        <is>
          <t>Thailand</t>
        </is>
      </c>
      <c r="B339" t="inlineStr">
        <is>
          <t>THA</t>
        </is>
      </c>
      <c r="C339" t="inlineStr">
        <is>
          <t>THD</t>
        </is>
      </c>
      <c r="D339" s="1" t="n">
        <v>46022</v>
      </c>
      <c r="E339" t="inlineStr">
        <is>
          <t>1Y</t>
        </is>
      </c>
      <c r="F339" t="n">
        <v>0.3194327978669032</v>
      </c>
      <c r="G339" t="n">
        <v>2.000000000000002</v>
      </c>
      <c r="H339" t="n">
        <v>2.200039000000009</v>
      </c>
      <c r="I339" t="n">
        <v>6.088110999999996</v>
      </c>
      <c r="J339" t="n">
        <v>5.768678202133093</v>
      </c>
      <c r="K339" t="inlineStr">
        <is>
          <t>Thailand|THD|1Y</t>
        </is>
      </c>
      <c r="L339" t="inlineStr">
        <is>
          <t>Thailand|1Y</t>
        </is>
      </c>
      <c r="M339" t="inlineStr">
        <is>
          <t>USD</t>
        </is>
      </c>
    </row>
    <row r="340">
      <c r="A340" t="inlineStr">
        <is>
          <t>Thailand</t>
        </is>
      </c>
      <c r="B340" t="inlineStr">
        <is>
          <t>THA</t>
        </is>
      </c>
      <c r="C340" t="inlineStr">
        <is>
          <t>THD</t>
        </is>
      </c>
      <c r="D340" s="1" t="n">
        <v>46022</v>
      </c>
      <c r="E340" t="inlineStr">
        <is>
          <t>3Y</t>
        </is>
      </c>
      <c r="F340" t="n">
        <v>-7.783319048229476</v>
      </c>
      <c r="G340" t="n">
        <v>2.182688480328676</v>
      </c>
      <c r="H340" t="n">
        <v>3.003779255805794</v>
      </c>
      <c r="I340" t="n">
        <v>4.06461227936048</v>
      </c>
      <c r="J340" t="n">
        <v>11.84793132758996</v>
      </c>
      <c r="K340" t="inlineStr">
        <is>
          <t>Thailand|THD|3Y</t>
        </is>
      </c>
      <c r="L340" t="inlineStr">
        <is>
          <t>Thailand|3Y</t>
        </is>
      </c>
      <c r="M340" t="inlineStr">
        <is>
          <t>USD</t>
        </is>
      </c>
    </row>
    <row r="341">
      <c r="A341" t="inlineStr">
        <is>
          <t>Thailand</t>
        </is>
      </c>
      <c r="B341" t="inlineStr">
        <is>
          <t>THA</t>
        </is>
      </c>
      <c r="C341" t="inlineStr">
        <is>
          <t>THD</t>
        </is>
      </c>
      <c r="D341" s="1" t="n">
        <v>46022</v>
      </c>
      <c r="E341" t="inlineStr">
        <is>
          <t>5Y</t>
        </is>
      </c>
      <c r="F341" t="n">
        <v>-5.257861229798078</v>
      </c>
      <c r="G341" t="n">
        <v>2.142824827726608</v>
      </c>
      <c r="H341" t="n">
        <v>3.93129222977171</v>
      </c>
      <c r="I341" t="n">
        <v>2.221386476761178</v>
      </c>
      <c r="J341" t="n">
        <v>7.479247706559256</v>
      </c>
      <c r="K341" t="inlineStr">
        <is>
          <t>Thailand|THD|5Y</t>
        </is>
      </c>
      <c r="L341" t="inlineStr">
        <is>
          <t>Thailand|5Y</t>
        </is>
      </c>
      <c r="M341" t="inlineStr">
        <is>
          <t>USD</t>
        </is>
      </c>
    </row>
    <row r="342">
      <c r="A342" t="inlineStr">
        <is>
          <t>Thailand</t>
        </is>
      </c>
      <c r="B342" t="inlineStr">
        <is>
          <t>THA</t>
        </is>
      </c>
      <c r="C342" t="inlineStr">
        <is>
          <t>THD</t>
        </is>
      </c>
      <c r="D342" s="1" t="n">
        <v>46022</v>
      </c>
      <c r="E342" t="inlineStr">
        <is>
          <t>10Y</t>
        </is>
      </c>
      <c r="F342" t="n">
        <v>0.3345473445362179</v>
      </c>
      <c r="G342" t="n">
        <v>1.822387316345764</v>
      </c>
      <c r="H342" t="n">
        <v>3.287139139093043</v>
      </c>
      <c r="I342" t="n">
        <v>3.362144523071686</v>
      </c>
      <c r="J342" t="n">
        <v>3.027597178535468</v>
      </c>
      <c r="K342" t="inlineStr">
        <is>
          <t>Thailand|THD|10Y</t>
        </is>
      </c>
      <c r="L342" t="inlineStr">
        <is>
          <t>Thailand|10Y</t>
        </is>
      </c>
      <c r="M342" t="inlineStr">
        <is>
          <t>USD</t>
        </is>
      </c>
    </row>
    <row r="343">
      <c r="A343" t="inlineStr">
        <is>
          <t>Thailand</t>
        </is>
      </c>
      <c r="B343" t="inlineStr">
        <is>
          <t>THA</t>
        </is>
      </c>
      <c r="C343" t="inlineStr">
        <is>
          <t>XCX4.L</t>
        </is>
      </c>
      <c r="D343" s="1" t="n">
        <v>46022</v>
      </c>
      <c r="E343" t="inlineStr">
        <is>
          <t>1Y</t>
        </is>
      </c>
      <c r="F343" t="n">
        <v>8.183757651034561</v>
      </c>
      <c r="G343" t="n">
        <v>2.000000000000002</v>
      </c>
      <c r="H343" t="n">
        <v>2.200039000000009</v>
      </c>
      <c r="I343" t="n">
        <v>6.088110999999996</v>
      </c>
      <c r="J343" t="n">
        <v>-2.095646651034565</v>
      </c>
      <c r="K343" t="inlineStr">
        <is>
          <t>Thailand|XCX4.L|1Y</t>
        </is>
      </c>
      <c r="L343" t="inlineStr">
        <is>
          <t>Thailand|1Y</t>
        </is>
      </c>
      <c r="M343" t="inlineStr">
        <is>
          <t>GBp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XCX4.L</t>
        </is>
      </c>
      <c r="D344" s="1" t="n">
        <v>46022</v>
      </c>
      <c r="E344" t="inlineStr">
        <is>
          <t>3Y</t>
        </is>
      </c>
      <c r="F344" t="n">
        <v>-2.266491166089812</v>
      </c>
      <c r="G344" t="n">
        <v>2.182688480328676</v>
      </c>
      <c r="H344" t="n">
        <v>3.003779255805794</v>
      </c>
      <c r="I344" t="n">
        <v>4.06461227936048</v>
      </c>
      <c r="J344" t="n">
        <v>6.331103445450292</v>
      </c>
      <c r="K344" t="inlineStr">
        <is>
          <t>Thailand|XCX4.L|3Y</t>
        </is>
      </c>
      <c r="L344" t="inlineStr">
        <is>
          <t>Thailand|3Y</t>
        </is>
      </c>
      <c r="M344" t="inlineStr">
        <is>
          <t>GBp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XCX4.L</t>
        </is>
      </c>
      <c r="D345" s="1" t="n">
        <v>46022</v>
      </c>
      <c r="E345" t="inlineStr">
        <is>
          <t>5Y</t>
        </is>
      </c>
      <c r="F345" t="n">
        <v>-0.8851687739693581</v>
      </c>
      <c r="G345" t="n">
        <v>2.142824827726608</v>
      </c>
      <c r="H345" t="n">
        <v>3.93129222977171</v>
      </c>
      <c r="I345" t="n">
        <v>2.221386476761178</v>
      </c>
      <c r="J345" t="n">
        <v>3.106555250730536</v>
      </c>
      <c r="K345" t="inlineStr">
        <is>
          <t>Thailand|XCX4.L|5Y</t>
        </is>
      </c>
      <c r="L345" t="inlineStr">
        <is>
          <t>Thailand|5Y</t>
        </is>
      </c>
      <c r="M345" t="inlineStr">
        <is>
          <t>GBp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XCX4.L</t>
        </is>
      </c>
      <c r="D346" s="1" t="n">
        <v>46022</v>
      </c>
      <c r="E346" t="inlineStr">
        <is>
          <t>10Y</t>
        </is>
      </c>
      <c r="F346" t="n">
        <v>4.143325020858679</v>
      </c>
      <c r="G346" t="n">
        <v>1.822387316345764</v>
      </c>
      <c r="H346" t="n">
        <v>3.287139139093043</v>
      </c>
      <c r="I346" t="n">
        <v>3.362144523071686</v>
      </c>
      <c r="J346" t="n">
        <v>-0.7811804977869929</v>
      </c>
      <c r="K346" t="inlineStr">
        <is>
          <t>Thailand|XCX4.L|10Y</t>
        </is>
      </c>
      <c r="L346" t="inlineStr">
        <is>
          <t>Thailand|10Y</t>
        </is>
      </c>
      <c r="M346" t="inlineStr">
        <is>
          <t>GBp</t>
        </is>
      </c>
    </row>
    <row r="347">
      <c r="A347" t="inlineStr">
        <is>
          <t>Turkey</t>
        </is>
      </c>
      <c r="B347" t="inlineStr">
        <is>
          <t>TUR</t>
        </is>
      </c>
      <c r="C347" t="inlineStr"/>
      <c r="D347" s="1" t="n">
        <v>46022</v>
      </c>
      <c r="E347" t="inlineStr">
        <is>
          <t>1Y</t>
        </is>
      </c>
      <c r="F347" t="inlineStr"/>
      <c r="G347" t="n">
        <v>3.493999999999997</v>
      </c>
      <c r="H347" t="n">
        <v>39.45333099999999</v>
      </c>
      <c r="I347" t="n">
        <v>15.25638499999999</v>
      </c>
      <c r="J347" t="inlineStr"/>
      <c r="K347" t="inlineStr">
        <is>
          <t>Turkey||1Y</t>
        </is>
      </c>
      <c r="L347" t="inlineStr">
        <is>
          <t>Turkey|1Y</t>
        </is>
      </c>
      <c r="M347" t="inlineStr"/>
    </row>
    <row r="348">
      <c r="A348" t="inlineStr">
        <is>
          <t>Turkey</t>
        </is>
      </c>
      <c r="B348" t="inlineStr">
        <is>
          <t>TUR</t>
        </is>
      </c>
      <c r="C348" t="inlineStr"/>
      <c r="D348" s="1" t="n">
        <v>46022</v>
      </c>
      <c r="E348" t="inlineStr">
        <is>
          <t>3Y</t>
        </is>
      </c>
      <c r="F348" t="inlineStr"/>
      <c r="G348" t="n">
        <v>3.95280050096356</v>
      </c>
      <c r="H348" t="n">
        <v>59.49173539936783</v>
      </c>
      <c r="I348" t="n">
        <v>19.18087843836862</v>
      </c>
      <c r="J348" t="inlineStr"/>
      <c r="K348" t="inlineStr">
        <is>
          <t>Turkey||3Y</t>
        </is>
      </c>
      <c r="L348" t="inlineStr">
        <is>
          <t>Turkey|3Y</t>
        </is>
      </c>
      <c r="M348" t="inlineStr"/>
    </row>
    <row r="349">
      <c r="A349" t="inlineStr">
        <is>
          <t>Turkey</t>
        </is>
      </c>
      <c r="B349" t="inlineStr">
        <is>
          <t>TUR</t>
        </is>
      </c>
      <c r="C349" t="inlineStr"/>
      <c r="D349" s="1" t="n">
        <v>46022</v>
      </c>
      <c r="E349" t="inlineStr">
        <is>
          <t>5Y</t>
        </is>
      </c>
      <c r="F349" t="inlineStr"/>
      <c r="G349" t="n">
        <v>5.77926032137992</v>
      </c>
      <c r="H349" t="n">
        <v>64.62899885264861</v>
      </c>
      <c r="I349" t="n">
        <v>16.47249888199764</v>
      </c>
      <c r="J349" t="inlineStr"/>
      <c r="K349" t="inlineStr">
        <is>
          <t>Turkey||5Y</t>
        </is>
      </c>
      <c r="L349" t="inlineStr">
        <is>
          <t>Turkey|5Y</t>
        </is>
      </c>
      <c r="M349" t="inlineStr"/>
    </row>
    <row r="350">
      <c r="A350" t="inlineStr">
        <is>
          <t>Turkey</t>
        </is>
      </c>
      <c r="B350" t="inlineStr">
        <is>
          <t>TUR</t>
        </is>
      </c>
      <c r="C350" t="inlineStr"/>
      <c r="D350" s="1" t="n">
        <v>46022</v>
      </c>
      <c r="E350" t="inlineStr">
        <is>
          <t>10Y</t>
        </is>
      </c>
      <c r="F350" t="inlineStr"/>
      <c r="G350" t="n">
        <v>4.643244943240665</v>
      </c>
      <c r="H350" t="n">
        <v>38.7337739966562</v>
      </c>
      <c r="I350" t="n">
        <v>6.072382672649201</v>
      </c>
      <c r="J350" t="inlineStr"/>
      <c r="K350" t="inlineStr">
        <is>
          <t>Turkey||10Y</t>
        </is>
      </c>
      <c r="L350" t="inlineStr">
        <is>
          <t>Turkey|10Y</t>
        </is>
      </c>
      <c r="M350" t="inlineStr"/>
    </row>
    <row r="351">
      <c r="A351" t="inlineStr">
        <is>
          <t>Turkey</t>
        </is>
      </c>
      <c r="B351" t="inlineStr">
        <is>
          <t>TUR</t>
        </is>
      </c>
      <c r="C351" t="inlineStr">
        <is>
          <t>TUR</t>
        </is>
      </c>
      <c r="D351" s="1" t="n">
        <v>46022</v>
      </c>
      <c r="E351" t="inlineStr">
        <is>
          <t>1Y</t>
        </is>
      </c>
      <c r="F351" t="n">
        <v>-5.569279976691099</v>
      </c>
      <c r="G351" t="n">
        <v>3.493999999999997</v>
      </c>
      <c r="H351" t="n">
        <v>39.45333099999999</v>
      </c>
      <c r="I351" t="n">
        <v>15.25638499999999</v>
      </c>
      <c r="J351" t="n">
        <v>20.82566497669109</v>
      </c>
      <c r="K351" t="inlineStr">
        <is>
          <t>Turkey|TUR|1Y</t>
        </is>
      </c>
      <c r="L351" t="inlineStr">
        <is>
          <t>Turkey|1Y</t>
        </is>
      </c>
      <c r="M351" t="inlineStr">
        <is>
          <t>USD</t>
        </is>
      </c>
    </row>
    <row r="352">
      <c r="A352" t="inlineStr">
        <is>
          <t>Turkey</t>
        </is>
      </c>
      <c r="B352" t="inlineStr">
        <is>
          <t>TUR</t>
        </is>
      </c>
      <c r="C352" t="inlineStr">
        <is>
          <t>TUR</t>
        </is>
      </c>
      <c r="D352" s="1" t="n">
        <v>46022</v>
      </c>
      <c r="E352" t="inlineStr">
        <is>
          <t>3Y</t>
        </is>
      </c>
      <c r="F352" t="n">
        <v>-3.039921405456814</v>
      </c>
      <c r="G352" t="n">
        <v>3.95280050096356</v>
      </c>
      <c r="H352" t="n">
        <v>59.49173539936783</v>
      </c>
      <c r="I352" t="n">
        <v>19.18087843836862</v>
      </c>
      <c r="J352" t="n">
        <v>22.22079984382543</v>
      </c>
      <c r="K352" t="inlineStr">
        <is>
          <t>Turkey|TUR|3Y</t>
        </is>
      </c>
      <c r="L352" t="inlineStr">
        <is>
          <t>Turkey|3Y</t>
        </is>
      </c>
      <c r="M352" t="inlineStr">
        <is>
          <t>USD</t>
        </is>
      </c>
    </row>
    <row r="353">
      <c r="A353" t="inlineStr">
        <is>
          <t>Turkey</t>
        </is>
      </c>
      <c r="B353" t="inlineStr">
        <is>
          <t>TUR</t>
        </is>
      </c>
      <c r="C353" t="inlineStr">
        <is>
          <t>TUR</t>
        </is>
      </c>
      <c r="D353" s="1" t="n">
        <v>46022</v>
      </c>
      <c r="E353" t="inlineStr">
        <is>
          <t>5Y</t>
        </is>
      </c>
      <c r="F353" t="n">
        <v>5.194947218861556</v>
      </c>
      <c r="G353" t="n">
        <v>5.77926032137992</v>
      </c>
      <c r="H353" t="n">
        <v>64.62899885264861</v>
      </c>
      <c r="I353" t="n">
        <v>16.47249888199764</v>
      </c>
      <c r="J353" t="n">
        <v>11.27755166313609</v>
      </c>
      <c r="K353" t="inlineStr">
        <is>
          <t>Turkey|TUR|5Y</t>
        </is>
      </c>
      <c r="L353" t="inlineStr">
        <is>
          <t>Turkey|5Y</t>
        </is>
      </c>
      <c r="M353" t="inlineStr">
        <is>
          <t>USD</t>
        </is>
      </c>
    </row>
    <row r="354">
      <c r="A354" t="inlineStr">
        <is>
          <t>Turkey</t>
        </is>
      </c>
      <c r="B354" t="inlineStr">
        <is>
          <t>TUR</t>
        </is>
      </c>
      <c r="C354" t="inlineStr">
        <is>
          <t>TUR</t>
        </is>
      </c>
      <c r="D354" s="1" t="n">
        <v>46022</v>
      </c>
      <c r="E354" t="inlineStr">
        <is>
          <t>10Y</t>
        </is>
      </c>
      <c r="F354" t="n">
        <v>-0.2577834614132191</v>
      </c>
      <c r="G354" t="n">
        <v>4.643244943240665</v>
      </c>
      <c r="H354" t="n">
        <v>38.7337739966562</v>
      </c>
      <c r="I354" t="n">
        <v>6.072382672649201</v>
      </c>
      <c r="J354" t="n">
        <v>6.33016613406242</v>
      </c>
      <c r="K354" t="inlineStr">
        <is>
          <t>Turkey|TUR|10Y</t>
        </is>
      </c>
      <c r="L354" t="inlineStr">
        <is>
          <t>Turkey|10Y</t>
        </is>
      </c>
      <c r="M354" t="inlineStr">
        <is>
          <t>USD</t>
        </is>
      </c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TURL.L</t>
        </is>
      </c>
      <c r="D355" s="1" t="n">
        <v>46022</v>
      </c>
      <c r="E355" t="inlineStr">
        <is>
          <t>1Y</t>
        </is>
      </c>
      <c r="F355" t="n">
        <v>7.571929555270285</v>
      </c>
      <c r="G355" t="n">
        <v>3.493999999999997</v>
      </c>
      <c r="H355" t="n">
        <v>39.45333099999999</v>
      </c>
      <c r="I355" t="n">
        <v>15.25638499999999</v>
      </c>
      <c r="J355" t="n">
        <v>7.68445544472971</v>
      </c>
      <c r="K355" t="inlineStr">
        <is>
          <t>Turkey|TURL.L|1Y</t>
        </is>
      </c>
      <c r="L355" t="inlineStr">
        <is>
          <t>Turkey|1Y</t>
        </is>
      </c>
      <c r="M355" t="inlineStr">
        <is>
          <t>GBp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TURL.L</t>
        </is>
      </c>
      <c r="D356" s="1" t="n">
        <v>46022</v>
      </c>
      <c r="E356" t="inlineStr">
        <is>
          <t>3Y</t>
        </is>
      </c>
      <c r="F356" t="n">
        <v>-3.696072538823703</v>
      </c>
      <c r="G356" t="n">
        <v>3.95280050096356</v>
      </c>
      <c r="H356" t="n">
        <v>59.49173539936783</v>
      </c>
      <c r="I356" t="n">
        <v>19.18087843836862</v>
      </c>
      <c r="J356" t="n">
        <v>22.87695097719232</v>
      </c>
      <c r="K356" t="inlineStr">
        <is>
          <t>Turkey|TURL.L|3Y</t>
        </is>
      </c>
      <c r="L356" t="inlineStr">
        <is>
          <t>Turkey|3Y</t>
        </is>
      </c>
      <c r="M356" t="inlineStr">
        <is>
          <t>GBp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TURL.L</t>
        </is>
      </c>
      <c r="D357" s="1" t="n">
        <v>46022</v>
      </c>
      <c r="E357" t="inlineStr">
        <is>
          <t>5Y</t>
        </is>
      </c>
      <c r="F357" t="n">
        <v>4.603693326194813</v>
      </c>
      <c r="G357" t="n">
        <v>5.77926032137992</v>
      </c>
      <c r="H357" t="n">
        <v>64.62899885264861</v>
      </c>
      <c r="I357" t="n">
        <v>16.47249888199764</v>
      </c>
      <c r="J357" t="n">
        <v>11.86880555580283</v>
      </c>
      <c r="K357" t="inlineStr">
        <is>
          <t>Turkey|TURL.L|5Y</t>
        </is>
      </c>
      <c r="L357" t="inlineStr">
        <is>
          <t>Turkey|5Y</t>
        </is>
      </c>
      <c r="M357" t="inlineStr">
        <is>
          <t>GBp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TURL.L</t>
        </is>
      </c>
      <c r="D358" s="1" t="n">
        <v>46022</v>
      </c>
      <c r="E358" t="inlineStr">
        <is>
          <t>10Y</t>
        </is>
      </c>
      <c r="F358" t="n">
        <v>-3.692303541049458</v>
      </c>
      <c r="G358" t="n">
        <v>4.643244943240665</v>
      </c>
      <c r="H358" t="n">
        <v>38.7337739966562</v>
      </c>
      <c r="I358" t="n">
        <v>6.072382672649201</v>
      </c>
      <c r="J358" t="n">
        <v>9.76468621369866</v>
      </c>
      <c r="K358" t="inlineStr">
        <is>
          <t>Turkey|TURL.L|10Y</t>
        </is>
      </c>
      <c r="L358" t="inlineStr">
        <is>
          <t>Turkey|10Y</t>
        </is>
      </c>
      <c r="M358" t="inlineStr">
        <is>
          <t>GBp</t>
        </is>
      </c>
    </row>
    <row r="359">
      <c r="A359" t="inlineStr">
        <is>
          <t>United Kingdom</t>
        </is>
      </c>
      <c r="B359" t="inlineStr">
        <is>
          <t>GBR</t>
        </is>
      </c>
      <c r="C359" t="inlineStr"/>
      <c r="D359" s="1" t="n">
        <v>46022</v>
      </c>
      <c r="E359" t="inlineStr">
        <is>
          <t>1Y</t>
        </is>
      </c>
      <c r="F359" t="inlineStr"/>
      <c r="G359" t="n">
        <v>1.307999999999998</v>
      </c>
      <c r="H359" t="n">
        <v>4.886900999999999</v>
      </c>
      <c r="I359" t="n">
        <v>8.619351999999992</v>
      </c>
      <c r="J359" t="inlineStr"/>
      <c r="K359" t="inlineStr">
        <is>
          <t>United Kingdom||1Y</t>
        </is>
      </c>
      <c r="L359" t="inlineStr">
        <is>
          <t>United Kingdom|1Y</t>
        </is>
      </c>
      <c r="M359" t="inlineStr"/>
    </row>
    <row r="360">
      <c r="A360" t="inlineStr">
        <is>
          <t>United Kingdom</t>
        </is>
      </c>
      <c r="B360" t="inlineStr">
        <is>
          <t>GBR</t>
        </is>
      </c>
      <c r="C360" t="inlineStr"/>
      <c r="D360" s="1" t="n">
        <v>46022</v>
      </c>
      <c r="E360" t="inlineStr">
        <is>
          <t>3Y</t>
        </is>
      </c>
      <c r="F360" t="inlineStr"/>
      <c r="G360" t="n">
        <v>0.934579070475805</v>
      </c>
      <c r="H360" t="n">
        <v>5.779933394896974</v>
      </c>
      <c r="I360" t="n">
        <v>8.197792806603864</v>
      </c>
      <c r="J360" t="inlineStr"/>
      <c r="K360" t="inlineStr">
        <is>
          <t>United Kingdom||3Y</t>
        </is>
      </c>
      <c r="L360" t="inlineStr">
        <is>
          <t>United Kingdom|3Y</t>
        </is>
      </c>
      <c r="M360" t="inlineStr"/>
    </row>
    <row r="361">
      <c r="A361" t="inlineStr">
        <is>
          <t>United Kingdom</t>
        </is>
      </c>
      <c r="B361" t="inlineStr">
        <is>
          <t>GBR</t>
        </is>
      </c>
      <c r="C361" t="inlineStr"/>
      <c r="D361" s="1" t="n">
        <v>46022</v>
      </c>
      <c r="E361" t="inlineStr">
        <is>
          <t>5Y</t>
        </is>
      </c>
      <c r="F361" t="inlineStr"/>
      <c r="G361" t="n">
        <v>3.198961574222303</v>
      </c>
      <c r="H361" t="n">
        <v>7.289058230505674</v>
      </c>
      <c r="I361" t="n">
        <v>7.964552917353718</v>
      </c>
      <c r="J361" t="inlineStr"/>
      <c r="K361" t="inlineStr">
        <is>
          <t>United Kingdom||5Y</t>
        </is>
      </c>
      <c r="L361" t="inlineStr">
        <is>
          <t>United Kingdom|5Y</t>
        </is>
      </c>
      <c r="M361" t="inlineStr"/>
    </row>
    <row r="362">
      <c r="A362" t="inlineStr">
        <is>
          <t>United Kingdom</t>
        </is>
      </c>
      <c r="B362" t="inlineStr">
        <is>
          <t>GBR</t>
        </is>
      </c>
      <c r="C362" t="inlineStr"/>
      <c r="D362" s="1" t="n">
        <v>46022</v>
      </c>
      <c r="E362" t="inlineStr">
        <is>
          <t>10Y</t>
        </is>
      </c>
      <c r="F362" t="inlineStr"/>
      <c r="G362" t="n">
        <v>1.248728139241617</v>
      </c>
      <c r="H362" t="n">
        <v>4.549487231423588</v>
      </c>
      <c r="I362" t="n">
        <v>3.060146113533135</v>
      </c>
      <c r="J362" t="inlineStr"/>
      <c r="K362" t="inlineStr">
        <is>
          <t>United Kingdom||10Y</t>
        </is>
      </c>
      <c r="L362" t="inlineStr">
        <is>
          <t>United Kingdom|10Y</t>
        </is>
      </c>
      <c r="M362" t="inlineStr"/>
    </row>
    <row r="363">
      <c r="A363" t="inlineStr">
        <is>
          <t>United Kingdom</t>
        </is>
      </c>
      <c r="B363" t="inlineStr">
        <is>
          <t>GBR</t>
        </is>
      </c>
      <c r="C363" t="inlineStr">
        <is>
          <t>CSUK.L</t>
        </is>
      </c>
      <c r="D363" s="1" t="n">
        <v>46022</v>
      </c>
      <c r="E363" t="inlineStr">
        <is>
          <t>1Y</t>
        </is>
      </c>
      <c r="F363" t="n">
        <v>33.16904002605603</v>
      </c>
      <c r="G363" t="n">
        <v>1.307999999999998</v>
      </c>
      <c r="H363" t="n">
        <v>4.886900999999999</v>
      </c>
      <c r="I363" t="n">
        <v>8.619351999999992</v>
      </c>
      <c r="J363" t="n">
        <v>-24.54968802605604</v>
      </c>
      <c r="K363" t="inlineStr">
        <is>
          <t>United Kingdom|CSUK.L|1Y</t>
        </is>
      </c>
      <c r="L363" t="inlineStr">
        <is>
          <t>United Kingdom|1Y</t>
        </is>
      </c>
      <c r="M363" t="inlineStr">
        <is>
          <t>GBp</t>
        </is>
      </c>
    </row>
    <row r="364">
      <c r="A364" t="inlineStr">
        <is>
          <t>United Kingdom</t>
        </is>
      </c>
      <c r="B364" t="inlineStr">
        <is>
          <t>GBR</t>
        </is>
      </c>
      <c r="C364" t="inlineStr">
        <is>
          <t>CSUK.L</t>
        </is>
      </c>
      <c r="D364" s="1" t="n">
        <v>46022</v>
      </c>
      <c r="E364" t="inlineStr">
        <is>
          <t>3Y</t>
        </is>
      </c>
      <c r="F364" t="n">
        <v>17.09634052839633</v>
      </c>
      <c r="G364" t="n">
        <v>0.934579070475805</v>
      </c>
      <c r="H364" t="n">
        <v>5.779933394896974</v>
      </c>
      <c r="I364" t="n">
        <v>8.197792806603864</v>
      </c>
      <c r="J364" t="n">
        <v>-8.898547721792461</v>
      </c>
      <c r="K364" t="inlineStr">
        <is>
          <t>United Kingdom|CSUK.L|3Y</t>
        </is>
      </c>
      <c r="L364" t="inlineStr">
        <is>
          <t>United Kingdom|3Y</t>
        </is>
      </c>
      <c r="M364" t="inlineStr">
        <is>
          <t>GBp</t>
        </is>
      </c>
    </row>
    <row r="365">
      <c r="A365" t="inlineStr">
        <is>
          <t>United Kingdom</t>
        </is>
      </c>
      <c r="B365" t="inlineStr">
        <is>
          <t>GBR</t>
        </is>
      </c>
      <c r="C365" t="inlineStr">
        <is>
          <t>CSUK.L</t>
        </is>
      </c>
      <c r="D365" s="1" t="n">
        <v>46022</v>
      </c>
      <c r="E365" t="inlineStr">
        <is>
          <t>5Y</t>
        </is>
      </c>
      <c r="F365" t="n">
        <v>12.26276133262585</v>
      </c>
      <c r="G365" t="n">
        <v>3.198961574222303</v>
      </c>
      <c r="H365" t="n">
        <v>7.289058230505674</v>
      </c>
      <c r="I365" t="n">
        <v>7.964552917353718</v>
      </c>
      <c r="J365" t="n">
        <v>-4.298208415272132</v>
      </c>
      <c r="K365" t="inlineStr">
        <is>
          <t>United Kingdom|CSUK.L|5Y</t>
        </is>
      </c>
      <c r="L365" t="inlineStr">
        <is>
          <t>United Kingdom|5Y</t>
        </is>
      </c>
      <c r="M365" t="inlineStr">
        <is>
          <t>GBp</t>
        </is>
      </c>
    </row>
    <row r="366">
      <c r="A366" t="inlineStr">
        <is>
          <t>United Kingdom</t>
        </is>
      </c>
      <c r="B366" t="inlineStr">
        <is>
          <t>GBR</t>
        </is>
      </c>
      <c r="C366" t="inlineStr">
        <is>
          <t>CSUK.L</t>
        </is>
      </c>
      <c r="D366" s="1" t="n">
        <v>46022</v>
      </c>
      <c r="E366" t="inlineStr">
        <is>
          <t>10Y</t>
        </is>
      </c>
      <c r="F366" t="n">
        <v>7.344623806201511</v>
      </c>
      <c r="G366" t="n">
        <v>1.248728139241617</v>
      </c>
      <c r="H366" t="n">
        <v>4.549487231423588</v>
      </c>
      <c r="I366" t="n">
        <v>3.060146113533135</v>
      </c>
      <c r="J366" t="n">
        <v>-4.284477692668376</v>
      </c>
      <c r="K366" t="inlineStr">
        <is>
          <t>United Kingdom|CSUK.L|10Y</t>
        </is>
      </c>
      <c r="L366" t="inlineStr">
        <is>
          <t>United Kingdom|10Y</t>
        </is>
      </c>
      <c r="M366" t="inlineStr">
        <is>
          <t>GBp</t>
        </is>
      </c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CUKX.L</t>
        </is>
      </c>
      <c r="D367" s="1" t="n">
        <v>46022</v>
      </c>
      <c r="E367" t="inlineStr">
        <is>
          <t>1Y</t>
        </is>
      </c>
      <c r="F367" t="n">
        <v>33.88458439596942</v>
      </c>
      <c r="G367" t="n">
        <v>1.307999999999998</v>
      </c>
      <c r="H367" t="n">
        <v>4.886900999999999</v>
      </c>
      <c r="I367" t="n">
        <v>8.619351999999992</v>
      </c>
      <c r="J367" t="n">
        <v>-25.26523239596943</v>
      </c>
      <c r="K367" t="inlineStr">
        <is>
          <t>United Kingdom|CUKX.L|1Y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CUKX.L</t>
        </is>
      </c>
      <c r="D368" s="1" t="n">
        <v>46022</v>
      </c>
      <c r="E368" t="inlineStr">
        <is>
          <t>3Y</t>
        </is>
      </c>
      <c r="F368" t="n">
        <v>17.74518267401215</v>
      </c>
      <c r="G368" t="n">
        <v>0.934579070475805</v>
      </c>
      <c r="H368" t="n">
        <v>5.779933394896974</v>
      </c>
      <c r="I368" t="n">
        <v>8.197792806603864</v>
      </c>
      <c r="J368" t="n">
        <v>-9.547389867408285</v>
      </c>
      <c r="K368" t="inlineStr">
        <is>
          <t>United Kingdom|CUKX.L|3Y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CUKX.L</t>
        </is>
      </c>
      <c r="D369" s="1" t="n">
        <v>46022</v>
      </c>
      <c r="E369" t="inlineStr">
        <is>
          <t>5Y</t>
        </is>
      </c>
      <c r="F369" t="n">
        <v>12.00906740336205</v>
      </c>
      <c r="G369" t="n">
        <v>3.198961574222303</v>
      </c>
      <c r="H369" t="n">
        <v>7.289058230505674</v>
      </c>
      <c r="I369" t="n">
        <v>7.964552917353718</v>
      </c>
      <c r="J369" t="n">
        <v>-4.044514486008332</v>
      </c>
      <c r="K369" t="inlineStr">
        <is>
          <t>United Kingdom|CUKX.L|5Y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CUKX.L</t>
        </is>
      </c>
      <c r="D370" s="1" t="n">
        <v>46022</v>
      </c>
      <c r="E370" t="inlineStr">
        <is>
          <t>10Y</t>
        </is>
      </c>
      <c r="F370" t="n">
        <v>7.688333700279237</v>
      </c>
      <c r="G370" t="n">
        <v>1.248728139241617</v>
      </c>
      <c r="H370" t="n">
        <v>4.549487231423588</v>
      </c>
      <c r="I370" t="n">
        <v>3.060146113533135</v>
      </c>
      <c r="J370" t="n">
        <v>-4.628187586746102</v>
      </c>
      <c r="K370" t="inlineStr">
        <is>
          <t>United Kingdom|CUKX.L|10Y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EWU</t>
        </is>
      </c>
      <c r="D371" s="1" t="n">
        <v>46022</v>
      </c>
      <c r="E371" t="inlineStr">
        <is>
          <t>1Y</t>
        </is>
      </c>
      <c r="F371" t="n">
        <v>30.04139544379412</v>
      </c>
      <c r="G371" t="n">
        <v>1.307999999999998</v>
      </c>
      <c r="H371" t="n">
        <v>4.886900999999999</v>
      </c>
      <c r="I371" t="n">
        <v>8.619351999999992</v>
      </c>
      <c r="J371" t="n">
        <v>-21.42204344379412</v>
      </c>
      <c r="K371" t="inlineStr">
        <is>
          <t>United Kingdom|EWU|1Y</t>
        </is>
      </c>
      <c r="L371" t="inlineStr">
        <is>
          <t>United Kingdom|1Y</t>
        </is>
      </c>
      <c r="M371" t="inlineStr">
        <is>
          <t>USD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EWU</t>
        </is>
      </c>
      <c r="D372" s="1" t="n">
        <v>46022</v>
      </c>
      <c r="E372" t="inlineStr">
        <is>
          <t>3Y</t>
        </is>
      </c>
      <c r="F372" t="n">
        <v>12.64430485423815</v>
      </c>
      <c r="G372" t="n">
        <v>0.934579070475805</v>
      </c>
      <c r="H372" t="n">
        <v>5.779933394896974</v>
      </c>
      <c r="I372" t="n">
        <v>8.197792806603864</v>
      </c>
      <c r="J372" t="n">
        <v>-4.44651204763429</v>
      </c>
      <c r="K372" t="inlineStr">
        <is>
          <t>United Kingdom|EWU|3Y</t>
        </is>
      </c>
      <c r="L372" t="inlineStr">
        <is>
          <t>United Kingdom|3Y</t>
        </is>
      </c>
      <c r="M372" t="inlineStr">
        <is>
          <t>USD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EWU</t>
        </is>
      </c>
      <c r="D373" s="1" t="n">
        <v>46022</v>
      </c>
      <c r="E373" t="inlineStr">
        <is>
          <t>5Y</t>
        </is>
      </c>
      <c r="F373" t="n">
        <v>8.182811501906585</v>
      </c>
      <c r="G373" t="n">
        <v>3.198961574222303</v>
      </c>
      <c r="H373" t="n">
        <v>7.289058230505674</v>
      </c>
      <c r="I373" t="n">
        <v>7.964552917353718</v>
      </c>
      <c r="J373" t="n">
        <v>-0.2182585845528671</v>
      </c>
      <c r="K373" t="inlineStr">
        <is>
          <t>United Kingdom|EWU|5Y</t>
        </is>
      </c>
      <c r="L373" t="inlineStr">
        <is>
          <t>United Kingdom|5Y</t>
        </is>
      </c>
      <c r="M373" t="inlineStr">
        <is>
          <t>USD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EWU</t>
        </is>
      </c>
      <c r="D374" s="1" t="n">
        <v>46022</v>
      </c>
      <c r="E374" t="inlineStr">
        <is>
          <t>10Y</t>
        </is>
      </c>
      <c r="F374" t="n">
        <v>3.308836967360929</v>
      </c>
      <c r="G374" t="n">
        <v>1.248728139241617</v>
      </c>
      <c r="H374" t="n">
        <v>4.549487231423588</v>
      </c>
      <c r="I374" t="n">
        <v>3.060146113533135</v>
      </c>
      <c r="J374" t="n">
        <v>-0.2486908538277932</v>
      </c>
      <c r="K374" t="inlineStr">
        <is>
          <t>United Kingdom|EWU|10Y</t>
        </is>
      </c>
      <c r="L374" t="inlineStr">
        <is>
          <t>United Kingdom|10Y</t>
        </is>
      </c>
      <c r="M374" t="inlineStr">
        <is>
          <t>USD</t>
        </is>
      </c>
    </row>
    <row r="375">
      <c r="A375" t="inlineStr">
        <is>
          <t>United States</t>
        </is>
      </c>
      <c r="B375" t="inlineStr">
        <is>
          <t>USA</t>
        </is>
      </c>
      <c r="C375" t="inlineStr"/>
      <c r="D375" s="1" t="n">
        <v>46022</v>
      </c>
      <c r="E375" t="inlineStr">
        <is>
          <t>1Y</t>
        </is>
      </c>
      <c r="F375" t="inlineStr"/>
      <c r="G375" t="n">
        <v>2.017000000000002</v>
      </c>
      <c r="H375" t="n">
        <v>4.497634000000006</v>
      </c>
      <c r="I375" t="n">
        <v>4.497634000000006</v>
      </c>
      <c r="J375" t="inlineStr"/>
      <c r="K375" t="inlineStr">
        <is>
          <t>United States||1Y</t>
        </is>
      </c>
      <c r="L375" t="inlineStr">
        <is>
          <t>United States|1Y</t>
        </is>
      </c>
      <c r="M375" t="inlineStr"/>
    </row>
    <row r="376">
      <c r="A376" t="inlineStr">
        <is>
          <t>United States</t>
        </is>
      </c>
      <c r="B376" t="inlineStr">
        <is>
          <t>USA</t>
        </is>
      </c>
      <c r="C376" t="inlineStr"/>
      <c r="D376" s="1" t="n">
        <v>46022</v>
      </c>
      <c r="E376" t="inlineStr">
        <is>
          <t>3Y</t>
        </is>
      </c>
      <c r="F376" t="inlineStr"/>
      <c r="G376" t="n">
        <v>2.580871884428859</v>
      </c>
      <c r="H376" t="n">
        <v>5.524539071077084</v>
      </c>
      <c r="I376" t="n">
        <v>5.524539071077084</v>
      </c>
      <c r="J376" t="inlineStr"/>
      <c r="K376" t="inlineStr">
        <is>
          <t>United States||3Y</t>
        </is>
      </c>
      <c r="L376" t="inlineStr">
        <is>
          <t>United States|3Y</t>
        </is>
      </c>
      <c r="M376" t="inlineStr"/>
    </row>
    <row r="377">
      <c r="A377" t="inlineStr">
        <is>
          <t>United States</t>
        </is>
      </c>
      <c r="B377" t="inlineStr">
        <is>
          <t>USA</t>
        </is>
      </c>
      <c r="C377" t="inlineStr"/>
      <c r="D377" s="1" t="n">
        <v>46022</v>
      </c>
      <c r="E377" t="inlineStr">
        <is>
          <t>5Y</t>
        </is>
      </c>
      <c r="F377" t="inlineStr"/>
      <c r="G377" t="n">
        <v>3.273899606073449</v>
      </c>
      <c r="H377" t="n">
        <v>7.450048996640191</v>
      </c>
      <c r="I377" t="n">
        <v>7.450048996640191</v>
      </c>
      <c r="J377" t="inlineStr"/>
      <c r="K377" t="inlineStr">
        <is>
          <t>United States||5Y</t>
        </is>
      </c>
      <c r="L377" t="inlineStr">
        <is>
          <t>United States|5Y</t>
        </is>
      </c>
      <c r="M377" t="inlineStr"/>
    </row>
    <row r="378">
      <c r="A378" t="inlineStr">
        <is>
          <t>United States</t>
        </is>
      </c>
      <c r="B378" t="inlineStr">
        <is>
          <t>USA</t>
        </is>
      </c>
      <c r="C378" t="inlineStr"/>
      <c r="D378" s="1" t="n">
        <v>46022</v>
      </c>
      <c r="E378" t="inlineStr">
        <is>
          <t>10Y</t>
        </is>
      </c>
      <c r="F378" t="inlineStr"/>
      <c r="G378" t="n">
        <v>2.399456279066103</v>
      </c>
      <c r="H378" t="n">
        <v>5.283724060684203</v>
      </c>
      <c r="I378" t="n">
        <v>5.283724060684203</v>
      </c>
      <c r="J378" t="inlineStr"/>
      <c r="K378" t="inlineStr">
        <is>
          <t>United States||10Y</t>
        </is>
      </c>
      <c r="L378" t="inlineStr">
        <is>
          <t>United States|10Y</t>
        </is>
      </c>
      <c r="M378" t="inlineStr"/>
    </row>
    <row r="379">
      <c r="A379" t="inlineStr">
        <is>
          <t>United States</t>
        </is>
      </c>
      <c r="B379" t="inlineStr">
        <is>
          <t>USA</t>
        </is>
      </c>
      <c r="C379" t="inlineStr">
        <is>
          <t>CSPX.L</t>
        </is>
      </c>
      <c r="D379" s="1" t="n">
        <v>46022</v>
      </c>
      <c r="E379" t="inlineStr">
        <is>
          <t>1Y</t>
        </is>
      </c>
      <c r="F379" t="n">
        <v>18.0137493932327</v>
      </c>
      <c r="G379" t="n">
        <v>2.017000000000002</v>
      </c>
      <c r="H379" t="n">
        <v>4.497634000000006</v>
      </c>
      <c r="I379" t="n">
        <v>4.497634000000006</v>
      </c>
      <c r="J379" t="n">
        <v>-13.5161153932327</v>
      </c>
      <c r="K379" t="inlineStr">
        <is>
          <t>United States|CSPX.L|1Y</t>
        </is>
      </c>
      <c r="L379" t="inlineStr">
        <is>
          <t>United States|1Y</t>
        </is>
      </c>
      <c r="M379" t="inlineStr">
        <is>
          <t>USD</t>
        </is>
      </c>
    </row>
    <row r="380">
      <c r="A380" t="inlineStr">
        <is>
          <t>United States</t>
        </is>
      </c>
      <c r="B380" t="inlineStr">
        <is>
          <t>USA</t>
        </is>
      </c>
      <c r="C380" t="inlineStr">
        <is>
          <t>CSPX.L</t>
        </is>
      </c>
      <c r="D380" s="1" t="n">
        <v>46022</v>
      </c>
      <c r="E380" t="inlineStr">
        <is>
          <t>3Y</t>
        </is>
      </c>
      <c r="F380" t="n">
        <v>23.26916970836443</v>
      </c>
      <c r="G380" t="n">
        <v>2.580871884428859</v>
      </c>
      <c r="H380" t="n">
        <v>5.524539071077084</v>
      </c>
      <c r="I380" t="n">
        <v>5.524539071077084</v>
      </c>
      <c r="J380" t="n">
        <v>-17.74463063728735</v>
      </c>
      <c r="K380" t="inlineStr">
        <is>
          <t>United States|CSPX.L|3Y</t>
        </is>
      </c>
      <c r="L380" t="inlineStr">
        <is>
          <t>United States|3Y</t>
        </is>
      </c>
      <c r="M380" t="inlineStr">
        <is>
          <t>USD</t>
        </is>
      </c>
    </row>
    <row r="381">
      <c r="A381" t="inlineStr">
        <is>
          <t>United States</t>
        </is>
      </c>
      <c r="B381" t="inlineStr">
        <is>
          <t>USA</t>
        </is>
      </c>
      <c r="C381" t="inlineStr">
        <is>
          <t>CSPX.L</t>
        </is>
      </c>
      <c r="D381" s="1" t="n">
        <v>46022</v>
      </c>
      <c r="E381" t="inlineStr">
        <is>
          <t>5Y</t>
        </is>
      </c>
      <c r="F381" t="n">
        <v>14.59526939900584</v>
      </c>
      <c r="G381" t="n">
        <v>3.273899606073449</v>
      </c>
      <c r="H381" t="n">
        <v>7.450048996640191</v>
      </c>
      <c r="I381" t="n">
        <v>7.450048996640191</v>
      </c>
      <c r="J381" t="n">
        <v>-7.145220402365649</v>
      </c>
      <c r="K381" t="inlineStr">
        <is>
          <t>United States|CSPX.L|5Y</t>
        </is>
      </c>
      <c r="L381" t="inlineStr">
        <is>
          <t>United States|5Y</t>
        </is>
      </c>
      <c r="M381" t="inlineStr">
        <is>
          <t>USD</t>
        </is>
      </c>
    </row>
    <row r="382">
      <c r="A382" t="inlineStr">
        <is>
          <t>United States</t>
        </is>
      </c>
      <c r="B382" t="inlineStr">
        <is>
          <t>USA</t>
        </is>
      </c>
      <c r="C382" t="inlineStr">
        <is>
          <t>CSPX.L</t>
        </is>
      </c>
      <c r="D382" s="1" t="n">
        <v>46022</v>
      </c>
      <c r="E382" t="inlineStr">
        <is>
          <t>10Y</t>
        </is>
      </c>
      <c r="F382" t="n">
        <v>14.82095603987432</v>
      </c>
      <c r="G382" t="n">
        <v>2.399456279066103</v>
      </c>
      <c r="H382" t="n">
        <v>5.283724060684203</v>
      </c>
      <c r="I382" t="n">
        <v>5.283724060684203</v>
      </c>
      <c r="J382" t="n">
        <v>-9.537231979190118</v>
      </c>
      <c r="K382" t="inlineStr">
        <is>
          <t>United States|CSPX.L|10Y</t>
        </is>
      </c>
      <c r="L382" t="inlineStr">
        <is>
          <t>United States|10Y</t>
        </is>
      </c>
      <c r="M382" t="inlineStr">
        <is>
          <t>USD</t>
        </is>
      </c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VUAA.L</t>
        </is>
      </c>
      <c r="D383" s="1" t="n">
        <v>46022</v>
      </c>
      <c r="E383" t="inlineStr">
        <is>
          <t>1Y</t>
        </is>
      </c>
      <c r="F383" t="n">
        <v>18.0213919524709</v>
      </c>
      <c r="G383" t="n">
        <v>2.017000000000002</v>
      </c>
      <c r="H383" t="n">
        <v>4.497634000000006</v>
      </c>
      <c r="I383" t="n">
        <v>4.497634000000006</v>
      </c>
      <c r="J383" t="n">
        <v>-13.52375795247089</v>
      </c>
      <c r="K383" t="inlineStr">
        <is>
          <t>United States|VUAA.L|1Y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VUAA.L</t>
        </is>
      </c>
      <c r="D384" s="1" t="n">
        <v>46022</v>
      </c>
      <c r="E384" t="inlineStr">
        <is>
          <t>3Y</t>
        </is>
      </c>
      <c r="F384" t="n">
        <v>23.24897030625241</v>
      </c>
      <c r="G384" t="n">
        <v>2.580871884428859</v>
      </c>
      <c r="H384" t="n">
        <v>5.524539071077084</v>
      </c>
      <c r="I384" t="n">
        <v>5.524539071077084</v>
      </c>
      <c r="J384" t="n">
        <v>-17.72443123517533</v>
      </c>
      <c r="K384" t="inlineStr">
        <is>
          <t>United States|VUAA.L|3Y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VUAA.L</t>
        </is>
      </c>
      <c r="D385" s="1" t="n">
        <v>46022</v>
      </c>
      <c r="E385" t="inlineStr">
        <is>
          <t>5Y</t>
        </is>
      </c>
      <c r="F385" t="n">
        <v>14.60450310573473</v>
      </c>
      <c r="G385" t="n">
        <v>3.273899606073449</v>
      </c>
      <c r="H385" t="n">
        <v>7.450048996640191</v>
      </c>
      <c r="I385" t="n">
        <v>7.450048996640191</v>
      </c>
      <c r="J385" t="n">
        <v>-7.154454109094543</v>
      </c>
      <c r="K385" t="inlineStr">
        <is>
          <t>United States|VUAA.L|5Y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VUSA.L</t>
        </is>
      </c>
      <c r="D386" s="1" t="n">
        <v>46022</v>
      </c>
      <c r="E386" t="inlineStr">
        <is>
          <t>1Y</t>
        </is>
      </c>
      <c r="F386" t="n">
        <v>15.41345341738201</v>
      </c>
      <c r="G386" t="n">
        <v>2.017000000000002</v>
      </c>
      <c r="H386" t="n">
        <v>4.497634000000006</v>
      </c>
      <c r="I386" t="n">
        <v>4.497634000000006</v>
      </c>
      <c r="J386" t="n">
        <v>-10.915819417382</v>
      </c>
      <c r="K386" t="inlineStr">
        <is>
          <t>United States|VUSA.L|1Y</t>
        </is>
      </c>
      <c r="L386" t="inlineStr">
        <is>
          <t>United States|1Y</t>
        </is>
      </c>
      <c r="M386" t="inlineStr">
        <is>
          <t>GBP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VUSA.L</t>
        </is>
      </c>
      <c r="D387" s="1" t="n">
        <v>46022</v>
      </c>
      <c r="E387" t="inlineStr">
        <is>
          <t>3Y</t>
        </is>
      </c>
      <c r="F387" t="n">
        <v>21.4689415099992</v>
      </c>
      <c r="G387" t="n">
        <v>2.580871884428859</v>
      </c>
      <c r="H387" t="n">
        <v>5.524539071077084</v>
      </c>
      <c r="I387" t="n">
        <v>5.524539071077084</v>
      </c>
      <c r="J387" t="n">
        <v>-15.94440243892212</v>
      </c>
      <c r="K387" t="inlineStr">
        <is>
          <t>United States|VUSA.L|3Y</t>
        </is>
      </c>
      <c r="L387" t="inlineStr">
        <is>
          <t>United States|3Y</t>
        </is>
      </c>
      <c r="M387" t="inlineStr">
        <is>
          <t>GBP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VUSA.L</t>
        </is>
      </c>
      <c r="D388" s="1" t="n">
        <v>46022</v>
      </c>
      <c r="E388" t="inlineStr">
        <is>
          <t>5Y</t>
        </is>
      </c>
      <c r="F388" t="n">
        <v>12.99075166481216</v>
      </c>
      <c r="G388" t="n">
        <v>3.273899606073449</v>
      </c>
      <c r="H388" t="n">
        <v>7.450048996640191</v>
      </c>
      <c r="I388" t="n">
        <v>7.450048996640191</v>
      </c>
      <c r="J388" t="n">
        <v>-5.540702668171972</v>
      </c>
      <c r="K388" t="inlineStr">
        <is>
          <t>United States|VUSA.L|5Y</t>
        </is>
      </c>
      <c r="L388" t="inlineStr">
        <is>
          <t>United States|5Y</t>
        </is>
      </c>
      <c r="M388" t="inlineStr">
        <is>
          <t>GBP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VUSA.L</t>
        </is>
      </c>
      <c r="D389" s="1" t="n">
        <v>46022</v>
      </c>
      <c r="E389" t="inlineStr">
        <is>
          <t>10Y</t>
        </is>
      </c>
      <c r="F389" t="n">
        <v>12.75467525435081</v>
      </c>
      <c r="G389" t="n">
        <v>2.399456279066103</v>
      </c>
      <c r="H389" t="n">
        <v>5.283724060684203</v>
      </c>
      <c r="I389" t="n">
        <v>5.283724060684203</v>
      </c>
      <c r="J389" t="n">
        <v>-7.470951193666608</v>
      </c>
      <c r="K389" t="inlineStr">
        <is>
          <t>United States|VUSA.L|10Y</t>
        </is>
      </c>
      <c r="L389" t="inlineStr">
        <is>
          <t>United States|10Y</t>
        </is>
      </c>
      <c r="M389" t="inlineStr">
        <is>
          <t>GBP</t>
        </is>
      </c>
    </row>
    <row r="390">
      <c r="A390" t="inlineStr">
        <is>
          <t>Vietnam</t>
        </is>
      </c>
      <c r="B390" t="inlineStr">
        <is>
          <t>VNM</t>
        </is>
      </c>
      <c r="C390" t="inlineStr"/>
      <c r="D390" s="1" t="n">
        <v>46022</v>
      </c>
      <c r="E390" t="inlineStr">
        <is>
          <t>1Y</t>
        </is>
      </c>
      <c r="F390" t="inlineStr"/>
      <c r="G390" t="n">
        <v>6.457000000000002</v>
      </c>
      <c r="H390" t="n">
        <v>9.991489999999992</v>
      </c>
      <c r="I390" t="n">
        <v>5.496308999999999</v>
      </c>
      <c r="J390" t="inlineStr"/>
      <c r="K390" t="inlineStr">
        <is>
          <t>Vietnam||1Y</t>
        </is>
      </c>
      <c r="L390" t="inlineStr">
        <is>
          <t>Vietnam|1Y</t>
        </is>
      </c>
      <c r="M390" t="inlineStr"/>
    </row>
    <row r="391">
      <c r="A391" t="inlineStr">
        <is>
          <t>Vietnam</t>
        </is>
      </c>
      <c r="B391" t="inlineStr">
        <is>
          <t>VNM</t>
        </is>
      </c>
      <c r="C391" t="inlineStr"/>
      <c r="D391" s="1" t="n">
        <v>46022</v>
      </c>
      <c r="E391" t="inlineStr">
        <is>
          <t>3Y</t>
        </is>
      </c>
      <c r="F391" t="inlineStr"/>
      <c r="G391" t="n">
        <v>6.200954667276259</v>
      </c>
      <c r="H391" t="n">
        <v>9.586221664232486</v>
      </c>
      <c r="I391" t="n">
        <v>5.647902927923876</v>
      </c>
      <c r="J391" t="inlineStr"/>
      <c r="K391" t="inlineStr">
        <is>
          <t>Vietnam||3Y</t>
        </is>
      </c>
      <c r="L391" t="inlineStr">
        <is>
          <t>Vietnam|3Y</t>
        </is>
      </c>
      <c r="M391" t="inlineStr"/>
    </row>
    <row r="392">
      <c r="A392" t="inlineStr">
        <is>
          <t>Vietnam</t>
        </is>
      </c>
      <c r="B392" t="inlineStr">
        <is>
          <t>VNM</t>
        </is>
      </c>
      <c r="C392" t="inlineStr"/>
      <c r="D392" s="1" t="n">
        <v>46022</v>
      </c>
      <c r="E392" t="inlineStr">
        <is>
          <t>5Y</t>
        </is>
      </c>
      <c r="F392" t="inlineStr"/>
      <c r="G392" t="n">
        <v>5.92145460004414</v>
      </c>
      <c r="H392" t="n">
        <v>9.497043660655734</v>
      </c>
      <c r="I392" t="n">
        <v>6.956271913500278</v>
      </c>
      <c r="J392" t="inlineStr"/>
      <c r="K392" t="inlineStr">
        <is>
          <t>Vietnam||5Y</t>
        </is>
      </c>
      <c r="L392" t="inlineStr">
        <is>
          <t>Vietnam|5Y</t>
        </is>
      </c>
      <c r="M392" t="inlineStr"/>
    </row>
    <row r="393">
      <c r="A393" t="inlineStr">
        <is>
          <t>Vietnam</t>
        </is>
      </c>
      <c r="B393" t="inlineStr">
        <is>
          <t>VNM</t>
        </is>
      </c>
      <c r="C393" t="inlineStr"/>
      <c r="D393" s="1" t="n">
        <v>46022</v>
      </c>
      <c r="E393" t="inlineStr">
        <is>
          <t>10Y</t>
        </is>
      </c>
      <c r="F393" t="inlineStr"/>
      <c r="G393" t="n">
        <v>6.085412813467572</v>
      </c>
      <c r="H393" t="n">
        <v>9.325802594010124</v>
      </c>
      <c r="I393" t="n">
        <v>7.426735577916199</v>
      </c>
      <c r="J393" t="inlineStr"/>
      <c r="K393" t="inlineStr">
        <is>
          <t>Vietnam||10Y</t>
        </is>
      </c>
      <c r="L393" t="inlineStr">
        <is>
          <t>Vietnam|10Y</t>
        </is>
      </c>
      <c r="M393" t="inlineStr"/>
    </row>
    <row r="394">
      <c r="A394" t="inlineStr">
        <is>
          <t>Vietnam</t>
        </is>
      </c>
      <c r="B394" t="inlineStr">
        <is>
          <t>VNM</t>
        </is>
      </c>
      <c r="C394" t="inlineStr">
        <is>
          <t>XFVT.L</t>
        </is>
      </c>
      <c r="D394" s="1" t="n">
        <v>46022</v>
      </c>
      <c r="E394" t="inlineStr">
        <is>
          <t>1Y</t>
        </is>
      </c>
      <c r="F394" t="n">
        <v>66.8060270774205</v>
      </c>
      <c r="G394" t="n">
        <v>6.457000000000002</v>
      </c>
      <c r="H394" t="n">
        <v>9.991489999999992</v>
      </c>
      <c r="I394" t="n">
        <v>5.496308999999999</v>
      </c>
      <c r="J394" t="n">
        <v>-61.3097180774205</v>
      </c>
      <c r="K394" t="inlineStr">
        <is>
          <t>Vietnam|XFVT.L|1Y</t>
        </is>
      </c>
      <c r="L394" t="inlineStr">
        <is>
          <t>Vietnam|1Y</t>
        </is>
      </c>
      <c r="M394" t="inlineStr">
        <is>
          <t>GBp</t>
        </is>
      </c>
    </row>
    <row r="395">
      <c r="A395" t="inlineStr">
        <is>
          <t>Vietnam</t>
        </is>
      </c>
      <c r="B395" t="inlineStr">
        <is>
          <t>VNM</t>
        </is>
      </c>
      <c r="C395" t="inlineStr">
        <is>
          <t>XFVT.L</t>
        </is>
      </c>
      <c r="D395" s="1" t="n">
        <v>46022</v>
      </c>
      <c r="E395" t="inlineStr">
        <is>
          <t>3Y</t>
        </is>
      </c>
      <c r="F395" t="n">
        <v>14.68393692650922</v>
      </c>
      <c r="G395" t="n">
        <v>6.200954667276259</v>
      </c>
      <c r="H395" t="n">
        <v>9.586221664232486</v>
      </c>
      <c r="I395" t="n">
        <v>5.647902927923876</v>
      </c>
      <c r="J395" t="n">
        <v>-9.036033998585346</v>
      </c>
      <c r="K395" t="inlineStr">
        <is>
          <t>Vietnam|XFVT.L|3Y</t>
        </is>
      </c>
      <c r="L395" t="inlineStr">
        <is>
          <t>Vietnam|3Y</t>
        </is>
      </c>
      <c r="M395" t="inlineStr">
        <is>
          <t>GBp</t>
        </is>
      </c>
    </row>
    <row r="396">
      <c r="A396" t="inlineStr">
        <is>
          <t>Vietnam</t>
        </is>
      </c>
      <c r="B396" t="inlineStr">
        <is>
          <t>VNM</t>
        </is>
      </c>
      <c r="C396" t="inlineStr">
        <is>
          <t>XFVT.L</t>
        </is>
      </c>
      <c r="D396" s="1" t="n">
        <v>46022</v>
      </c>
      <c r="E396" t="inlineStr">
        <is>
          <t>5Y</t>
        </is>
      </c>
      <c r="F396" t="n">
        <v>2.746601027955986</v>
      </c>
      <c r="G396" t="n">
        <v>5.92145460004414</v>
      </c>
      <c r="H396" t="n">
        <v>9.497043660655734</v>
      </c>
      <c r="I396" t="n">
        <v>6.956271913500278</v>
      </c>
      <c r="J396" t="n">
        <v>4.209670885544292</v>
      </c>
      <c r="K396" t="inlineStr">
        <is>
          <t>Vietnam|XFVT.L|5Y</t>
        </is>
      </c>
      <c r="L396" t="inlineStr">
        <is>
          <t>Vietnam|5Y</t>
        </is>
      </c>
      <c r="M396" t="inlineStr">
        <is>
          <t>GBp</t>
        </is>
      </c>
    </row>
    <row r="397">
      <c r="A397" t="inlineStr">
        <is>
          <t>Vietnam</t>
        </is>
      </c>
      <c r="B397" t="inlineStr">
        <is>
          <t>VNM</t>
        </is>
      </c>
      <c r="C397" t="inlineStr">
        <is>
          <t>XFVT.L</t>
        </is>
      </c>
      <c r="D397" s="1" t="n">
        <v>46022</v>
      </c>
      <c r="E397" t="inlineStr">
        <is>
          <t>10Y</t>
        </is>
      </c>
      <c r="F397" t="n">
        <v>6.034403639833208</v>
      </c>
      <c r="G397" t="n">
        <v>6.085412813467572</v>
      </c>
      <c r="H397" t="n">
        <v>9.325802594010124</v>
      </c>
      <c r="I397" t="n">
        <v>7.426735577916199</v>
      </c>
      <c r="J397" t="n">
        <v>1.392331938082991</v>
      </c>
      <c r="K397" t="inlineStr">
        <is>
          <t>Vietnam|XFVT.L|10Y</t>
        </is>
      </c>
      <c r="L397" t="inlineStr">
        <is>
          <t>Vietnam|10Y</t>
        </is>
      </c>
      <c r="M397" t="inlineStr">
        <is>
          <t>GBp</t>
        </is>
      </c>
    </row>
  </sheetData>
  <autoFilter ref="A1:M3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CSWG.L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CSWG.L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Greece</t>
        </is>
      </c>
      <c r="B11" t="inlineStr">
        <is>
          <t>CUKX.L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CUKX.L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EIDO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EIDO</t>
        </is>
      </c>
      <c r="J12" t="inlineStr">
        <is>
          <t>NYSE Arca</t>
        </is>
      </c>
      <c r="K12" t="inlineStr">
        <is>
          <t>USD</t>
        </is>
      </c>
    </row>
    <row r="13">
      <c r="A13" t="inlineStr">
        <is>
          <t>India</t>
        </is>
      </c>
      <c r="B13" t="inlineStr">
        <is>
          <t>EPHE</t>
        </is>
      </c>
      <c r="C13" t="inlineStr">
        <is>
          <t>India</t>
        </is>
      </c>
      <c r="D13" t="inlineStr">
        <is>
          <t>NDIA.L</t>
        </is>
      </c>
      <c r="F13" t="inlineStr">
        <is>
          <t>China</t>
        </is>
      </c>
      <c r="G13" t="inlineStr">
        <is>
          <t>MCHI</t>
        </is>
      </c>
      <c r="I13" t="inlineStr">
        <is>
          <t>EPHE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EPOL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EPOL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EWA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EWA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EWC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EWC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EWD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EWD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EWG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EWG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EWH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EWH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EWI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EWI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EWJ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EWJ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EWK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EWK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EWL</t>
        </is>
      </c>
      <c r="C23" t="inlineStr">
        <is>
          <t>Poland</t>
        </is>
      </c>
      <c r="D23" t="inlineStr">
        <is>
          <t>IPOL.L</t>
        </is>
      </c>
      <c r="F23" t="inlineStr">
        <is>
          <t>India</t>
        </is>
      </c>
      <c r="G23" t="inlineStr">
        <is>
          <t>NDIA.L</t>
        </is>
      </c>
      <c r="I23" t="inlineStr">
        <is>
          <t>EWL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EWM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Indonesia</t>
        </is>
      </c>
      <c r="G24" t="inlineStr">
        <is>
          <t>EIDO</t>
        </is>
      </c>
      <c r="I24" t="inlineStr">
        <is>
          <t>EWM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EWN</t>
        </is>
      </c>
      <c r="C25" t="inlineStr">
        <is>
          <t>Singapore</t>
        </is>
      </c>
      <c r="D25" t="inlineStr">
        <is>
          <t>EWS</t>
        </is>
      </c>
      <c r="F25" t="inlineStr">
        <is>
          <t>Italy</t>
        </is>
      </c>
      <c r="G25" t="inlineStr">
        <is>
          <t>EWI</t>
        </is>
      </c>
      <c r="I25" t="inlineStr">
        <is>
          <t>EWN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EWO</t>
        </is>
      </c>
      <c r="C26" t="inlineStr">
        <is>
          <t>South Africa</t>
        </is>
      </c>
      <c r="D26" t="inlineStr">
        <is>
          <t>EZA</t>
        </is>
      </c>
      <c r="F26" t="inlineStr">
        <is>
          <t>Japan</t>
        </is>
      </c>
      <c r="G26" t="inlineStr">
        <is>
          <t>CJPU.L</t>
        </is>
      </c>
      <c r="I26" t="inlineStr">
        <is>
          <t>EWO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EWP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EWJ</t>
        </is>
      </c>
      <c r="I27" t="inlineStr">
        <is>
          <t>EWP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EWQ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LCJP.L</t>
        </is>
      </c>
      <c r="I28" t="inlineStr">
        <is>
          <t>EWQ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EWS</t>
        </is>
      </c>
      <c r="C29" t="inlineStr">
        <is>
          <t>Sweden</t>
        </is>
      </c>
      <c r="D29" t="inlineStr">
        <is>
          <t>EWD</t>
        </is>
      </c>
      <c r="F29" t="inlineStr">
        <is>
          <t>Kuwait</t>
        </is>
      </c>
      <c r="G29" t="inlineStr">
        <is>
          <t>MKUW.L</t>
        </is>
      </c>
      <c r="I29" t="inlineStr">
        <is>
          <t>EWS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EWT</t>
        </is>
      </c>
      <c r="C30" t="inlineStr">
        <is>
          <t>Switzerland</t>
        </is>
      </c>
      <c r="D30" t="inlineStr">
        <is>
          <t>EWL</t>
        </is>
      </c>
      <c r="F30" t="inlineStr">
        <is>
          <t>Malaysia</t>
        </is>
      </c>
      <c r="G30" t="inlineStr">
        <is>
          <t>EWM</t>
        </is>
      </c>
      <c r="I30" t="inlineStr">
        <is>
          <t>EWT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EWU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XCX3.L</t>
        </is>
      </c>
      <c r="I31" t="inlineStr">
        <is>
          <t>EWU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EWW</t>
        </is>
      </c>
      <c r="C32" t="inlineStr">
        <is>
          <t>Thailand</t>
        </is>
      </c>
      <c r="D32" t="inlineStr">
        <is>
          <t>THD</t>
        </is>
      </c>
      <c r="F32" t="inlineStr">
        <is>
          <t>Mexico</t>
        </is>
      </c>
      <c r="G32" t="inlineStr">
        <is>
          <t>EWW</t>
        </is>
      </c>
      <c r="I32" t="inlineStr">
        <is>
          <t>EWW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EWY</t>
        </is>
      </c>
      <c r="C33" t="inlineStr">
        <is>
          <t>Turkey</t>
        </is>
      </c>
      <c r="D33" t="inlineStr">
        <is>
          <t>TUR</t>
        </is>
      </c>
      <c r="F33" t="inlineStr">
        <is>
          <t>Mexico</t>
        </is>
      </c>
      <c r="G33" t="inlineStr">
        <is>
          <t>XMEX.L</t>
        </is>
      </c>
      <c r="I33" t="inlineStr">
        <is>
          <t>EWY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EWZ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Netherlands</t>
        </is>
      </c>
      <c r="G34" t="inlineStr">
        <is>
          <t>EWN</t>
        </is>
      </c>
      <c r="I34" t="inlineStr">
        <is>
          <t>EWZ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EZA</t>
        </is>
      </c>
      <c r="C35" t="inlineStr">
        <is>
          <t>United States</t>
        </is>
      </c>
      <c r="D35" t="inlineStr">
        <is>
          <t>VUAA.L</t>
        </is>
      </c>
      <c r="F35" t="inlineStr">
        <is>
          <t>Pakistan</t>
        </is>
      </c>
      <c r="G35" t="inlineStr">
        <is>
          <t>XBAK.L</t>
        </is>
      </c>
      <c r="I35" t="inlineStr">
        <is>
          <t>EZA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FLRK.L</t>
        </is>
      </c>
      <c r="C36" t="inlineStr">
        <is>
          <t>Vietnam</t>
        </is>
      </c>
      <c r="D36" t="inlineStr">
        <is>
          <t>XFVT.L</t>
        </is>
      </c>
      <c r="F36" t="inlineStr">
        <is>
          <t>Philippines</t>
        </is>
      </c>
      <c r="G36" t="inlineStr">
        <is>
          <t>EPHE</t>
        </is>
      </c>
      <c r="I36" t="inlineStr">
        <is>
          <t>FLRK.L</t>
        </is>
      </c>
      <c r="J36" t="inlineStr">
        <is>
          <t>London Stock Exchange</t>
        </is>
      </c>
      <c r="K36" t="inlineStr">
        <is>
          <t>GBP</t>
        </is>
      </c>
    </row>
    <row r="37">
      <c r="A37" t="inlineStr"/>
      <c r="B37" t="inlineStr">
        <is>
          <t>FRCH.L</t>
        </is>
      </c>
      <c r="C37" t="inlineStr"/>
      <c r="D37" t="inlineStr"/>
      <c r="F37" t="inlineStr">
        <is>
          <t>Philippines</t>
        </is>
      </c>
      <c r="G37" t="inlineStr">
        <is>
          <t>XPHG.L</t>
        </is>
      </c>
      <c r="I37" t="inlineStr">
        <is>
          <t>FRCH.L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FRIN.L</t>
        </is>
      </c>
      <c r="C38" t="inlineStr"/>
      <c r="D38" t="inlineStr"/>
      <c r="F38" t="inlineStr">
        <is>
          <t>Poland</t>
        </is>
      </c>
      <c r="G38" t="inlineStr">
        <is>
          <t>EPOL</t>
        </is>
      </c>
      <c r="I38" t="inlineStr">
        <is>
          <t>FRIN.L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GREK</t>
        </is>
      </c>
      <c r="C39" t="inlineStr"/>
      <c r="D39" t="inlineStr"/>
      <c r="F39" t="inlineStr">
        <is>
          <t>Poland</t>
        </is>
      </c>
      <c r="G39" t="inlineStr">
        <is>
          <t>IPOL.L</t>
        </is>
      </c>
      <c r="I39" t="inlineStr">
        <is>
          <t>GREK</t>
        </is>
      </c>
      <c r="J39" t="inlineStr">
        <is>
          <t>NYSE Arca</t>
        </is>
      </c>
      <c r="K39" t="inlineStr">
        <is>
          <t>USD</t>
        </is>
      </c>
    </row>
    <row r="40">
      <c r="A40" t="inlineStr"/>
      <c r="B40" t="inlineStr">
        <is>
          <t>IASH.L</t>
        </is>
      </c>
      <c r="C40" t="inlineStr"/>
      <c r="D40" t="inlineStr"/>
      <c r="F40" t="inlineStr">
        <is>
          <t>Poland</t>
        </is>
      </c>
      <c r="G40" t="inlineStr">
        <is>
          <t>SPOL.L</t>
        </is>
      </c>
      <c r="I40" t="inlineStr">
        <is>
          <t>IASH.L</t>
        </is>
      </c>
      <c r="J40" t="inlineStr">
        <is>
          <t>London Stock Exchange</t>
        </is>
      </c>
      <c r="K40" t="inlineStr">
        <is>
          <t>GBp</t>
        </is>
      </c>
    </row>
    <row r="41">
      <c r="A41" t="inlineStr"/>
      <c r="B41" t="inlineStr">
        <is>
          <t>IIND.L</t>
        </is>
      </c>
      <c r="C41" t="inlineStr"/>
      <c r="D41" t="inlineStr"/>
      <c r="F41" t="inlineStr">
        <is>
          <t>Saudi Arabia</t>
        </is>
      </c>
      <c r="G41" t="inlineStr">
        <is>
          <t>IKSA.L</t>
        </is>
      </c>
      <c r="I41" t="inlineStr">
        <is>
          <t>IIND.L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IKSA.L</t>
        </is>
      </c>
      <c r="C42" t="inlineStr"/>
      <c r="D42" t="inlineStr"/>
      <c r="F42" t="inlineStr">
        <is>
          <t>Saudi Arabia</t>
        </is>
      </c>
      <c r="G42" t="inlineStr">
        <is>
          <t>KSA</t>
        </is>
      </c>
      <c r="I42" t="inlineStr">
        <is>
          <t>IKSA.L</t>
        </is>
      </c>
      <c r="J42" t="inlineStr">
        <is>
          <t>London Stock Exchange</t>
        </is>
      </c>
      <c r="K42" t="inlineStr">
        <is>
          <t>USD</t>
        </is>
      </c>
    </row>
    <row r="43">
      <c r="A43" t="inlineStr"/>
      <c r="B43" t="inlineStr">
        <is>
          <t>IPOL.L</t>
        </is>
      </c>
      <c r="C43" t="inlineStr"/>
      <c r="D43" t="inlineStr"/>
      <c r="F43" t="inlineStr">
        <is>
          <t>Singapore</t>
        </is>
      </c>
      <c r="G43" t="inlineStr">
        <is>
          <t>0JLR.L</t>
        </is>
      </c>
      <c r="I43" t="inlineStr">
        <is>
          <t>IPOL.L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IRSA.L</t>
        </is>
      </c>
      <c r="C44" t="inlineStr"/>
      <c r="D44" t="inlineStr"/>
      <c r="F44" t="inlineStr">
        <is>
          <t>Singapore</t>
        </is>
      </c>
      <c r="G44" t="inlineStr">
        <is>
          <t>EWS</t>
        </is>
      </c>
      <c r="I44" t="inlineStr">
        <is>
          <t>IRSA.L</t>
        </is>
      </c>
      <c r="J44" t="inlineStr">
        <is>
          <t>London Stock Exchange</t>
        </is>
      </c>
      <c r="K44" t="inlineStr">
        <is>
          <t>USD</t>
        </is>
      </c>
    </row>
    <row r="45">
      <c r="A45" t="inlineStr"/>
      <c r="B45" t="inlineStr">
        <is>
          <t>ISFR.L</t>
        </is>
      </c>
      <c r="C45" t="inlineStr"/>
      <c r="D45" t="inlineStr"/>
      <c r="F45" t="inlineStr">
        <is>
          <t>South Africa</t>
        </is>
      </c>
      <c r="G45" t="inlineStr">
        <is>
          <t>EZA</t>
        </is>
      </c>
      <c r="I45" t="inlineStr">
        <is>
          <t>ISFR.L</t>
        </is>
      </c>
      <c r="J45" t="inlineStr">
        <is>
          <t>London Stock Exchange</t>
        </is>
      </c>
      <c r="K45" t="inlineStr">
        <is>
          <t>GBp</t>
        </is>
      </c>
    </row>
    <row r="46">
      <c r="A46" t="inlineStr"/>
      <c r="B46" t="inlineStr">
        <is>
          <t>KSA</t>
        </is>
      </c>
      <c r="C46" t="inlineStr"/>
      <c r="D46" t="inlineStr"/>
      <c r="F46" t="inlineStr">
        <is>
          <t>South Africa</t>
        </is>
      </c>
      <c r="G46" t="inlineStr">
        <is>
          <t>IRSA.L</t>
        </is>
      </c>
      <c r="I46" t="inlineStr">
        <is>
          <t>KSA</t>
        </is>
      </c>
      <c r="J46" t="inlineStr">
        <is>
          <t>NYSE Arca</t>
        </is>
      </c>
      <c r="K46" t="inlineStr">
        <is>
          <t>USD</t>
        </is>
      </c>
    </row>
    <row r="47">
      <c r="A47" t="inlineStr"/>
      <c r="B47" t="inlineStr">
        <is>
          <t>LCJP.L</t>
        </is>
      </c>
      <c r="C47" t="inlineStr"/>
      <c r="D47" t="inlineStr"/>
      <c r="F47" t="inlineStr">
        <is>
          <t>South Africa</t>
        </is>
      </c>
      <c r="G47" t="inlineStr">
        <is>
          <t>SRSA.L</t>
        </is>
      </c>
      <c r="I47" t="inlineStr">
        <is>
          <t>LCJP.L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MCHI</t>
        </is>
      </c>
      <c r="C48" t="inlineStr"/>
      <c r="D48" t="inlineStr"/>
      <c r="F48" t="inlineStr">
        <is>
          <t>South Korea</t>
        </is>
      </c>
      <c r="G48" t="inlineStr">
        <is>
          <t>CSKR.L</t>
        </is>
      </c>
      <c r="I48" t="inlineStr">
        <is>
          <t>MCHI</t>
        </is>
      </c>
      <c r="J48" t="inlineStr">
        <is>
          <t>Nasdaq Global Market</t>
        </is>
      </c>
      <c r="K48" t="inlineStr">
        <is>
          <t>USD</t>
        </is>
      </c>
    </row>
    <row r="49">
      <c r="A49" t="inlineStr"/>
      <c r="B49" t="inlineStr">
        <is>
          <t>MKUW.L</t>
        </is>
      </c>
      <c r="C49" t="inlineStr"/>
      <c r="D49" t="inlineStr"/>
      <c r="F49" t="inlineStr">
        <is>
          <t>South Korea</t>
        </is>
      </c>
      <c r="G49" t="inlineStr">
        <is>
          <t>EWY</t>
        </is>
      </c>
      <c r="I49" t="inlineStr">
        <is>
          <t>MKUW.L</t>
        </is>
      </c>
      <c r="J49" t="inlineStr">
        <is>
          <t>London Stock Exchange</t>
        </is>
      </c>
      <c r="K49" t="inlineStr">
        <is>
          <t>USD</t>
        </is>
      </c>
    </row>
    <row r="50">
      <c r="A50" t="inlineStr"/>
      <c r="B50" t="inlineStr">
        <is>
          <t>NDIA.L</t>
        </is>
      </c>
      <c r="C50" t="inlineStr"/>
      <c r="D50" t="inlineStr"/>
      <c r="F50" t="inlineStr">
        <is>
          <t>South Korea</t>
        </is>
      </c>
      <c r="G50" t="inlineStr">
        <is>
          <t>FLRK.L</t>
        </is>
      </c>
      <c r="I50" t="inlineStr">
        <is>
          <t>NDIA.L</t>
        </is>
      </c>
      <c r="J50" t="inlineStr">
        <is>
          <t>London Stock Exchange</t>
        </is>
      </c>
      <c r="K50" t="inlineStr">
        <is>
          <t>USD</t>
        </is>
      </c>
    </row>
    <row r="51">
      <c r="A51" t="inlineStr"/>
      <c r="B51" t="inlineStr">
        <is>
          <t>OMXS.L</t>
        </is>
      </c>
      <c r="C51" t="inlineStr"/>
      <c r="D51" t="inlineStr"/>
      <c r="F51" t="inlineStr">
        <is>
          <t>Spain</t>
        </is>
      </c>
      <c r="G51" t="inlineStr">
        <is>
          <t>EWP</t>
        </is>
      </c>
      <c r="I51" t="inlineStr">
        <is>
          <t>OMXS.L</t>
        </is>
      </c>
      <c r="J51" t="inlineStr">
        <is>
          <t>London Stock Exchange</t>
        </is>
      </c>
      <c r="K51" t="inlineStr">
        <is>
          <t>GBp</t>
        </is>
      </c>
    </row>
    <row r="52">
      <c r="A52" t="inlineStr"/>
      <c r="B52" t="inlineStr">
        <is>
          <t>SAUS.L</t>
        </is>
      </c>
      <c r="C52" t="inlineStr"/>
      <c r="D52" t="inlineStr"/>
      <c r="F52" t="inlineStr">
        <is>
          <t>Sweden</t>
        </is>
      </c>
      <c r="G52" t="inlineStr">
        <is>
          <t>EWD</t>
        </is>
      </c>
      <c r="I52" t="inlineStr">
        <is>
          <t>SAUS.L</t>
        </is>
      </c>
      <c r="J52" t="inlineStr">
        <is>
          <t>London Stock Exchange</t>
        </is>
      </c>
      <c r="K52" t="inlineStr">
        <is>
          <t>GBp</t>
        </is>
      </c>
    </row>
    <row r="53">
      <c r="A53" t="inlineStr"/>
      <c r="B53" t="inlineStr">
        <is>
          <t>SPOL.L</t>
        </is>
      </c>
      <c r="C53" t="inlineStr"/>
      <c r="D53" t="inlineStr"/>
      <c r="F53" t="inlineStr">
        <is>
          <t>Sweden</t>
        </is>
      </c>
      <c r="G53" t="inlineStr">
        <is>
          <t>OMXS.L</t>
        </is>
      </c>
      <c r="I53" t="inlineStr">
        <is>
          <t>SPOL.L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SRSA.L</t>
        </is>
      </c>
      <c r="C54" t="inlineStr"/>
      <c r="D54" t="inlineStr"/>
      <c r="F54" t="inlineStr">
        <is>
          <t>Switzerland</t>
        </is>
      </c>
      <c r="G54" t="inlineStr">
        <is>
          <t>CSWG.L</t>
        </is>
      </c>
      <c r="I54" t="inlineStr">
        <is>
          <t>SRSA.L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THD</t>
        </is>
      </c>
      <c r="C55" t="inlineStr"/>
      <c r="D55" t="inlineStr"/>
      <c r="F55" t="inlineStr">
        <is>
          <t>Switzerland</t>
        </is>
      </c>
      <c r="G55" t="inlineStr">
        <is>
          <t>EWL</t>
        </is>
      </c>
      <c r="I55" t="inlineStr">
        <is>
          <t>THD</t>
        </is>
      </c>
      <c r="J55" t="inlineStr">
        <is>
          <t>NYSE Arca</t>
        </is>
      </c>
      <c r="K55" t="inlineStr">
        <is>
          <t>USD</t>
        </is>
      </c>
    </row>
    <row r="56">
      <c r="A56" t="inlineStr"/>
      <c r="B56" t="inlineStr">
        <is>
          <t>TUR</t>
        </is>
      </c>
      <c r="C56" t="inlineStr"/>
      <c r="D56" t="inlineStr"/>
      <c r="F56" t="inlineStr">
        <is>
          <t>Taiwan</t>
        </is>
      </c>
      <c r="G56" t="inlineStr">
        <is>
          <t>EWT</t>
        </is>
      </c>
      <c r="I56" t="inlineStr">
        <is>
          <t>TUR</t>
        </is>
      </c>
      <c r="J56" t="inlineStr">
        <is>
          <t>Nasdaq Global Market</t>
        </is>
      </c>
      <c r="K56" t="inlineStr">
        <is>
          <t>USD</t>
        </is>
      </c>
    </row>
    <row r="57">
      <c r="A57" t="inlineStr"/>
      <c r="B57" t="inlineStr">
        <is>
          <t>TURL.L</t>
        </is>
      </c>
      <c r="C57" t="inlineStr"/>
      <c r="D57" t="inlineStr"/>
      <c r="F57" t="inlineStr">
        <is>
          <t>Taiwan</t>
        </is>
      </c>
      <c r="G57" t="inlineStr">
        <is>
          <t>XMTW.L</t>
        </is>
      </c>
      <c r="I57" t="inlineStr">
        <is>
          <t>TURL.L</t>
        </is>
      </c>
      <c r="J57" t="inlineStr">
        <is>
          <t>London Stock Exchange</t>
        </is>
      </c>
      <c r="K57" t="inlineStr">
        <is>
          <t>GBp</t>
        </is>
      </c>
    </row>
    <row r="58">
      <c r="A58" t="inlineStr"/>
      <c r="B58" t="inlineStr">
        <is>
          <t>VUAA.L</t>
        </is>
      </c>
      <c r="C58" t="inlineStr"/>
      <c r="D58" t="inlineStr"/>
      <c r="F58" t="inlineStr">
        <is>
          <t>Thailand</t>
        </is>
      </c>
      <c r="G58" t="inlineStr">
        <is>
          <t>THD</t>
        </is>
      </c>
      <c r="I58" t="inlineStr">
        <is>
          <t>VUAA.L</t>
        </is>
      </c>
      <c r="J58" t="inlineStr">
        <is>
          <t>London Stock Exchange</t>
        </is>
      </c>
      <c r="K58" t="inlineStr">
        <is>
          <t>USD</t>
        </is>
      </c>
    </row>
    <row r="59">
      <c r="A59" t="inlineStr"/>
      <c r="B59" t="inlineStr">
        <is>
          <t>VUSA.L</t>
        </is>
      </c>
      <c r="C59" t="inlineStr"/>
      <c r="D59" t="inlineStr"/>
      <c r="F59" t="inlineStr">
        <is>
          <t>Thailand</t>
        </is>
      </c>
      <c r="G59" t="inlineStr">
        <is>
          <t>XCX4.L</t>
        </is>
      </c>
      <c r="I59" t="inlineStr">
        <is>
          <t>VUSA.L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XBAK.L</t>
        </is>
      </c>
      <c r="C60" t="inlineStr"/>
      <c r="D60" t="inlineStr"/>
      <c r="F60" t="inlineStr">
        <is>
          <t>Turkey</t>
        </is>
      </c>
      <c r="G60" t="inlineStr">
        <is>
          <t>TUR</t>
        </is>
      </c>
      <c r="I60" t="inlineStr">
        <is>
          <t>XBAK.L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XCX3.L</t>
        </is>
      </c>
      <c r="C61" t="inlineStr"/>
      <c r="D61" t="inlineStr"/>
      <c r="F61" t="inlineStr">
        <is>
          <t>Turkey</t>
        </is>
      </c>
      <c r="G61" t="inlineStr">
        <is>
          <t>TURL.L</t>
        </is>
      </c>
      <c r="I61" t="inlineStr">
        <is>
          <t>XCX3.L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XCX4.L</t>
        </is>
      </c>
      <c r="C62" t="inlineStr"/>
      <c r="D62" t="inlineStr"/>
      <c r="F62" t="inlineStr">
        <is>
          <t>United Kingdom</t>
        </is>
      </c>
      <c r="G62" t="inlineStr">
        <is>
          <t>CSUK.L</t>
        </is>
      </c>
      <c r="I62" t="inlineStr">
        <is>
          <t>XCX4.L</t>
        </is>
      </c>
      <c r="J62" t="inlineStr">
        <is>
          <t>London Stock Exchange</t>
        </is>
      </c>
      <c r="K62" t="inlineStr">
        <is>
          <t>GBp</t>
        </is>
      </c>
    </row>
    <row r="63">
      <c r="A63" t="inlineStr"/>
      <c r="B63" t="inlineStr">
        <is>
          <t>XDAX.L</t>
        </is>
      </c>
      <c r="C63" t="inlineStr"/>
      <c r="D63" t="inlineStr"/>
      <c r="F63" t="inlineStr">
        <is>
          <t>United Kingdom</t>
        </is>
      </c>
      <c r="G63" t="inlineStr">
        <is>
          <t>CUKX.L</t>
        </is>
      </c>
      <c r="I63" t="inlineStr">
        <is>
          <t>XDAX.L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XFVT.L</t>
        </is>
      </c>
      <c r="C64" t="inlineStr"/>
      <c r="D64" t="inlineStr"/>
      <c r="F64" t="inlineStr">
        <is>
          <t>United Kingdom</t>
        </is>
      </c>
      <c r="G64" t="inlineStr">
        <is>
          <t>EWU</t>
        </is>
      </c>
      <c r="I64" t="inlineStr">
        <is>
          <t>XFVT.L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XMBR.L</t>
        </is>
      </c>
      <c r="C65" t="inlineStr"/>
      <c r="D65" t="inlineStr"/>
      <c r="F65" t="inlineStr">
        <is>
          <t>United States</t>
        </is>
      </c>
      <c r="G65" t="inlineStr">
        <is>
          <t>CSPX.L</t>
        </is>
      </c>
      <c r="I65" t="inlineStr">
        <is>
          <t>XMBR.L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XMEX.L</t>
        </is>
      </c>
      <c r="C66" t="inlineStr"/>
      <c r="D66" t="inlineStr"/>
      <c r="F66" t="inlineStr">
        <is>
          <t>United States</t>
        </is>
      </c>
      <c r="G66" t="inlineStr">
        <is>
          <t>VUAA.L</t>
        </is>
      </c>
      <c r="I66" t="inlineStr">
        <is>
          <t>XMEX.L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XMTW.L</t>
        </is>
      </c>
      <c r="C67" t="inlineStr"/>
      <c r="D67" t="inlineStr"/>
      <c r="F67" t="inlineStr">
        <is>
          <t>United States</t>
        </is>
      </c>
      <c r="G67" t="inlineStr">
        <is>
          <t>VUSA.L</t>
        </is>
      </c>
      <c r="I67" t="inlineStr">
        <is>
          <t>XMTW.L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XPHG.L</t>
        </is>
      </c>
      <c r="C68" t="inlineStr"/>
      <c r="D68" t="inlineStr"/>
      <c r="F68" t="inlineStr">
        <is>
          <t>Vietnam</t>
        </is>
      </c>
      <c r="G68" t="inlineStr">
        <is>
          <t>XFVT.L</t>
        </is>
      </c>
      <c r="I68" t="inlineStr">
        <is>
          <t>XPHG.L</t>
        </is>
      </c>
      <c r="J68" t="inlineStr">
        <is>
          <t>London Stock Exchange</t>
        </is>
      </c>
      <c r="K68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2" customWidth="1" min="2" max="2"/>
    <col width="19" customWidth="1" min="3" max="3"/>
    <col width="28" customWidth="1" min="4" max="4"/>
    <col width="28" customWidth="1" min="5" max="5"/>
    <col width="25" customWidth="1" min="6" max="6"/>
    <col width="28" customWidth="1" min="7" max="7"/>
    <col width="26" customWidth="1" min="8" max="8"/>
    <col width="26" customWidth="1" min="9" max="9"/>
    <col width="30" customWidth="1" min="10" max="10"/>
    <col width="10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IFERROR(INDEX(Lists!$J$2:$J$68, MATCH($C6, Lists!$I$2:$I$68, 0)),"")</f>
        <v/>
      </c>
      <c r="E6">
        <f>IFERROR(INDEX(Lists!$K$2:$K$68, MATCH($C6, Lists!$I$2:$I$68,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IFERROR(INDEX(Lists!$J$2:$J$68, MATCH($C7, Lists!$I$2:$I$68, 0)),"")</f>
        <v/>
      </c>
      <c r="E7">
        <f>IFERROR(INDEX(Lists!$K$2:$K$68, MATCH($C7, Lists!$I$2:$I$68,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IFERROR(INDEX(Lists!$J$2:$J$68, MATCH($C8, Lists!$I$2:$I$68, 0)),"")</f>
        <v/>
      </c>
      <c r="E8">
        <f>IFERROR(INDEX(Lists!$K$2:$K$68, MATCH($C8, Lists!$I$2:$I$68,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NDIA.L</t>
        </is>
      </c>
      <c r="D9">
        <f>IFERROR(INDEX(Lists!$J$2:$J$68, MATCH($C9, Lists!$I$2:$I$68, 0)),"")</f>
        <v/>
      </c>
      <c r="E9">
        <f>IFERROR(INDEX(Lists!$K$2:$K$68, MATCH($C9, Lists!$I$2:$I$68,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IFERROR(INDEX(Lists!$J$2:$J$68, MATCH($C10, Lists!$I$2:$I$68, 0)),"")</f>
        <v/>
      </c>
      <c r="E10">
        <f>IFERROR(INDEX(Lists!$K$2:$K$68, MATCH($C10, Lists!$I$2:$I$68,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IFERROR(INDEX(Lists!$J$2:$J$68, MATCH($C11, Lists!$I$2:$I$68, 0)),"")</f>
        <v/>
      </c>
      <c r="E11">
        <f>IFERROR(INDEX(Lists!$K$2:$K$68, MATCH($C11, Lists!$I$2:$I$68,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IFERROR(INDEX(Lists!$J$2:$J$68, MATCH($C12, Lists!$I$2:$I$68, 0)),"")</f>
        <v/>
      </c>
      <c r="E12">
        <f>IFERROR(INDEX(Lists!$K$2:$K$68, MATCH($C12, Lists!$I$2:$I$68,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IFERROR(INDEX(Lists!$J$2:$J$68, MATCH($C13, Lists!$I$2:$I$68, 0)),"")</f>
        <v/>
      </c>
      <c r="E13">
        <f>IFERROR(INDEX(Lists!$K$2:$K$68, MATCH($C13, Lists!$I$2:$I$68,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IFERROR(INDEX(Lists!$J$2:$J$68, MATCH($C14, Lists!$I$2:$I$68, 0)),"")</f>
        <v/>
      </c>
      <c r="E14">
        <f>IFERROR(INDEX(Lists!$K$2:$K$68, MATCH($C14, Lists!$I$2:$I$68,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IFERROR(INDEX(Lists!$J$2:$J$68, MATCH($C15, Lists!$I$2:$I$68, 0)),"")</f>
        <v/>
      </c>
      <c r="E15">
        <f>IFERROR(INDEX(Lists!$K$2:$K$68, MATCH($C15, Lists!$I$2:$I$68,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IFERROR(INDEX(Lists!$J$2:$J$68, MATCH($C16, Lists!$I$2:$I$68, 0)),"")</f>
        <v/>
      </c>
      <c r="E16">
        <f>IFERROR(INDEX(Lists!$K$2:$K$68, MATCH($C16, Lists!$I$2:$I$68,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IFERROR(INDEX(Lists!$J$2:$J$68, MATCH($C17, Lists!$I$2:$I$68, 0)),"")</f>
        <v/>
      </c>
      <c r="E17">
        <f>IFERROR(INDEX(Lists!$K$2:$K$68, MATCH($C17, Lists!$I$2:$I$68,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IFERROR(INDEX(Lists!$J$2:$J$68, MATCH($C18, Lists!$I$2:$I$68, 0)),"")</f>
        <v/>
      </c>
      <c r="E18">
        <f>IFERROR(INDEX(Lists!$K$2:$K$68, MATCH($C18, Lists!$I$2:$I$68,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IFERROR(INDEX(Lists!$J$2:$J$68, MATCH($C19, Lists!$I$2:$I$68, 0)),"")</f>
        <v/>
      </c>
      <c r="E19">
        <f>IFERROR(INDEX(Lists!$K$2:$K$68, MATCH($C19, Lists!$I$2:$I$68,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IFERROR(INDEX(Lists!$J$2:$J$68, MATCH($C20, Lists!$I$2:$I$68, 0)),"")</f>
        <v/>
      </c>
      <c r="E20">
        <f>IFERROR(INDEX(Lists!$K$2:$K$68, MATCH($C20, Lists!$I$2:$I$68,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IFERROR(INDEX(Lists!$J$2:$J$68, MATCH($C21, Lists!$I$2:$I$68, 0)),"")</f>
        <v/>
      </c>
      <c r="E21">
        <f>IFERROR(INDEX(Lists!$K$2:$K$68, MATCH($C21, Lists!$I$2:$I$68,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IFERROR(INDEX(Lists!$J$2:$J$68, MATCH($C22, Lists!$I$2:$I$68, 0)),"")</f>
        <v/>
      </c>
      <c r="E22">
        <f>IFERROR(INDEX(Lists!$K$2:$K$68, MATCH($C22, Lists!$I$2:$I$68,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IFERROR(INDEX(Lists!$J$2:$J$68, MATCH($C23, Lists!$I$2:$I$68, 0)),"")</f>
        <v/>
      </c>
      <c r="E23">
        <f>IFERROR(INDEX(Lists!$K$2:$K$68, MATCH($C23, Lists!$I$2:$I$68,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IFERROR(INDEX(Lists!$J$2:$J$68, MATCH($C24, Lists!$I$2:$I$68, 0)),"")</f>
        <v/>
      </c>
      <c r="E24">
        <f>IFERROR(INDEX(Lists!$K$2:$K$68, MATCH($C24, Lists!$I$2:$I$68,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IFERROR(INDEX(Lists!$J$2:$J$68, MATCH($C25, Lists!$I$2:$I$68, 0)),"")</f>
        <v/>
      </c>
      <c r="E25">
        <f>IFERROR(INDEX(Lists!$K$2:$K$68, MATCH($C25, Lists!$I$2:$I$68,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IFERROR(INDEX(Lists!$J$2:$J$68, MATCH($C26, Lists!$I$2:$I$68, 0)),"")</f>
        <v/>
      </c>
      <c r="E26">
        <f>IFERROR(INDEX(Lists!$K$2:$K$68, MATCH($C26, Lists!$I$2:$I$68,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IFERROR(INDEX(Lists!$J$2:$J$68, MATCH($C27, Lists!$I$2:$I$68, 0)),"")</f>
        <v/>
      </c>
      <c r="E27">
        <f>IFERROR(INDEX(Lists!$K$2:$K$68, MATCH($C27, Lists!$I$2:$I$68,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IPOL.L</t>
        </is>
      </c>
      <c r="D28">
        <f>IFERROR(INDEX(Lists!$J$2:$J$68, MATCH($C28, Lists!$I$2:$I$68, 0)),"")</f>
        <v/>
      </c>
      <c r="E28">
        <f>IFERROR(INDEX(Lists!$K$2:$K$68, MATCH($C28, Lists!$I$2:$I$68,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IFERROR(INDEX(Lists!$J$2:$J$68, MATCH($C29, Lists!$I$2:$I$68, 0)),"")</f>
        <v/>
      </c>
      <c r="E29">
        <f>IFERROR(INDEX(Lists!$K$2:$K$68, MATCH($C29, Lists!$I$2:$I$68,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IFERROR(INDEX(Lists!$J$2:$J$68, MATCH($C30, Lists!$I$2:$I$68, 0)),"")</f>
        <v/>
      </c>
      <c r="E30">
        <f>IFERROR(INDEX(Lists!$K$2:$K$68, MATCH($C30, Lists!$I$2:$I$68,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IFERROR(INDEX(Lists!$J$2:$J$68, MATCH($C31, Lists!$I$2:$I$68, 0)),"")</f>
        <v/>
      </c>
      <c r="E31">
        <f>IFERROR(INDEX(Lists!$K$2:$K$68, MATCH($C31, Lists!$I$2:$I$68,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</t>
        </is>
      </c>
      <c r="D32">
        <f>IFERROR(INDEX(Lists!$J$2:$J$68, MATCH($C32, Lists!$I$2:$I$68, 0)),"")</f>
        <v/>
      </c>
      <c r="E32">
        <f>IFERROR(INDEX(Lists!$K$2:$K$68, MATCH($C32, Lists!$I$2:$I$68,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IFERROR(INDEX(Lists!$J$2:$J$68, MATCH($C33, Lists!$I$2:$I$68, 0)),"")</f>
        <v/>
      </c>
      <c r="E33">
        <f>IFERROR(INDEX(Lists!$K$2:$K$68, MATCH($C33, Lists!$I$2:$I$68,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IFERROR(INDEX(Lists!$J$2:$J$68, MATCH($C34, Lists!$I$2:$I$68, 0)),"")</f>
        <v/>
      </c>
      <c r="E34">
        <f>IFERROR(INDEX(Lists!$K$2:$K$68, MATCH($C34, Lists!$I$2:$I$68,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IFERROR(INDEX(Lists!$J$2:$J$68, MATCH($C35, Lists!$I$2:$I$68, 0)),"")</f>
        <v/>
      </c>
      <c r="E35">
        <f>IFERROR(INDEX(Lists!$K$2:$K$68, MATCH($C35, Lists!$I$2:$I$68,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IFERROR(INDEX(Lists!$J$2:$J$68, MATCH($C36, Lists!$I$2:$I$68, 0)),"")</f>
        <v/>
      </c>
      <c r="E36">
        <f>IFERROR(INDEX(Lists!$K$2:$K$68, MATCH($C36, Lists!$I$2:$I$68,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IFERROR(INDEX(Lists!$J$2:$J$68, MATCH($C37, Lists!$I$2:$I$68, 0)),"")</f>
        <v/>
      </c>
      <c r="E37">
        <f>IFERROR(INDEX(Lists!$K$2:$K$68, MATCH($C37, Lists!$I$2:$I$68,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IFERROR(INDEX(Lists!$J$2:$J$68, MATCH($C38, Lists!$I$2:$I$68, 0)),"")</f>
        <v/>
      </c>
      <c r="E38">
        <f>IFERROR(INDEX(Lists!$K$2:$K$68, MATCH($C38, Lists!$I$2:$I$68,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VUAA.L</t>
        </is>
      </c>
      <c r="D39">
        <f>IFERROR(INDEX(Lists!$J$2:$J$68, MATCH($C39, Lists!$I$2:$I$68, 0)),"")</f>
        <v/>
      </c>
      <c r="E39">
        <f>IFERROR(INDEX(Lists!$K$2:$K$68, MATCH($C39, Lists!$I$2:$I$68,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IFERROR(INDEX(Lists!$J$2:$J$68, MATCH($C40, Lists!$I$2:$I$68, 0)),"")</f>
        <v/>
      </c>
      <c r="E40">
        <f>IFERROR(INDEX(Lists!$K$2:$K$68, MATCH($C40, Lists!$I$2:$I$68,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IFERROR(INDEX(Lists!$K$2:$K$68, MATCH($B$45, Lists!$I$2:$I$68, 0)),"")</f>
        <v/>
      </c>
    </row>
    <row r="48">
      <c r="A48" t="inlineStr">
        <is>
          <t>Ticker Exchange</t>
        </is>
      </c>
      <c r="B48">
        <f>IFERROR(INDEX(Lists!$J$2:$J$68, MATCH($B$45, Lists!$I$2:$I$68,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(Local) %</t>
        </is>
      </c>
      <c r="C65" s="3" t="inlineStr">
        <is>
          <t>Real GDP Growth %</t>
        </is>
      </c>
      <c r="D65" s="3" t="inlineStr">
        <is>
          <t>Nominal GDP Growth % (LCU)</t>
        </is>
      </c>
      <c r="E65" s="3" t="inlineStr">
        <is>
          <t>Nominal GDP Growth % (USD)</t>
        </is>
      </c>
      <c r="F65" s="3" t="inlineStr">
        <is>
          <t>Disconnect (Real GDP) %</t>
        </is>
      </c>
      <c r="G65" s="3" t="inlineStr">
        <is>
          <t>Disconnect (Nom USD GDP) %</t>
        </is>
      </c>
      <c r="H65" s="3">
        <f>IF($B$47&lt;&gt;"USD","FX Change (vs USD) %","")</f>
        <v/>
      </c>
      <c r="I65" s="3">
        <f>IF($B$47&lt;&gt;"USD","ETF Return (USD) %","")</f>
        <v/>
      </c>
      <c r="J65" s="3">
        <f>IF($B$47&lt;&gt;"USD","Country LCU vs USD % (WEO)","")</f>
        <v/>
      </c>
      <c r="K65" s="3">
        <f>IF($B$47&lt;&gt;"USD","ETF USD - Country FX %","")</f>
        <v/>
      </c>
    </row>
    <row r="66">
      <c r="A66" t="n">
        <v>2016</v>
      </c>
      <c r="B66" s="4">
        <f>IFERROR(1*INDEX(Annual!$E:$E, MATCH($B$44&amp;"|"&amp;$B$45&amp;"|"&amp;$A66, Annual!$J:$J, 0)), NA())</f>
        <v/>
      </c>
      <c r="C66" s="4">
        <f>IFERROR(1*INDEX(Annual!$F:$F, MATCH($B$44&amp;"|"&amp;$A66, Annual!$K:$K, 0)), NA())</f>
        <v/>
      </c>
      <c r="D66" s="4">
        <f>IFERROR(1*INDEX(Annual!$G:$G, MATCH($B$44&amp;"|"&amp;$A66, Annual!$K:$K, 0)), NA())</f>
        <v/>
      </c>
      <c r="E66" s="4">
        <f>IFERROR(1*INDEX(Annual!$H:$H, MATCH($B$44&amp;"|"&amp;$A66, Annual!$K:$K, 0)), NA())</f>
        <v/>
      </c>
      <c r="F66" s="4">
        <f>IF(AND(ISNUMBER(C66),ISNUMBER(INDEX(Annual!$O:$O, MATCH($B$44&amp;"|"&amp;$B$45&amp;"|"&amp;$A66, Annual!$J:$J, 0))),INDEX(Annual!$O:$O, MATCH($B$44&amp;"|"&amp;$B$45&amp;"|"&amp;$A66, Annual!$J:$J, 0))&lt;&gt;""),C66-INDEX(Annual!$O:$O, MATCH($B$44&amp;"|"&amp;$B$45&amp;"|"&amp;$A66, Annual!$J:$J, 0)),NA())</f>
        <v/>
      </c>
      <c r="G66" s="4">
        <f>IF(AND(ISNUMBER(E66),ISNUMBER(INDEX(Annual!$O:$O, MATCH($B$44&amp;"|"&amp;$B$45&amp;"|"&amp;$A66, Annual!$J:$J, 0))),INDEX(Annual!$O:$O, MATCH($B$44&amp;"|"&amp;$B$45&amp;"|"&amp;$A66, Annual!$J:$J, 0))&lt;&gt;""),E66-INDEX(Annual!$O:$O, MATCH($B$44&amp;"|"&amp;$B$45&amp;"|"&amp;$A66, Annual!$J:$J, 0)),NA())</f>
        <v/>
      </c>
      <c r="H66" s="4">
        <f>IF($B$47&lt;&gt;"USD",IFERROR(1*INDEX(Annual!$N:$N, MATCH($B$44&amp;"|"&amp;$B$45&amp;"|"&amp;$A66, Annual!$J:$J, 0)), NA()),"")</f>
        <v/>
      </c>
      <c r="I66" s="4">
        <f>IF($B$47&lt;&gt;"USD",IFERROR(1*INDEX(Annual!$O:$O, MATCH($B$44&amp;"|"&amp;$B$45&amp;"|"&amp;$A66, Annual!$J:$J, 0)), NA()),"")</f>
        <v/>
      </c>
      <c r="J66" s="4">
        <f>IF($B$47&lt;&gt;"USD",IFERROR(1*INDEX(Annual!$P:$P, MATCH($B$44&amp;"|"&amp;$A66, Annual!$K:$K, 0)), NA()),"")</f>
        <v/>
      </c>
      <c r="K66">
        <f>IF($B$47&lt;&gt;"USD",IFERROR(1*INDEX(Annual!$Q:$Q, MATCH($B$44&amp;"|"&amp;$B$45&amp;"|"&amp;$A66, Annual!$J:$J, 0)), NA()),"")</f>
        <v/>
      </c>
    </row>
    <row r="67">
      <c r="A67" t="n">
        <v>2017</v>
      </c>
      <c r="B67" s="4">
        <f>IFERROR(1*INDEX(Annual!$E:$E, MATCH($B$44&amp;"|"&amp;$B$45&amp;"|"&amp;$A67, Annual!$J:$J, 0)), NA())</f>
        <v/>
      </c>
      <c r="C67" s="4">
        <f>IFERROR(1*INDEX(Annual!$F:$F, MATCH($B$44&amp;"|"&amp;$A67, Annual!$K:$K, 0)), NA())</f>
        <v/>
      </c>
      <c r="D67" s="4">
        <f>IFERROR(1*INDEX(Annual!$G:$G, MATCH($B$44&amp;"|"&amp;$A67, Annual!$K:$K, 0)), NA())</f>
        <v/>
      </c>
      <c r="E67" s="4">
        <f>IFERROR(1*INDEX(Annual!$H:$H, MATCH($B$44&amp;"|"&amp;$A67, Annual!$K:$K, 0)), NA())</f>
        <v/>
      </c>
      <c r="F67" s="4">
        <f>IF(AND(ISNUMBER(C67),ISNUMBER(INDEX(Annual!$O:$O, MATCH($B$44&amp;"|"&amp;$B$45&amp;"|"&amp;$A67, Annual!$J:$J, 0))),INDEX(Annual!$O:$O, MATCH($B$44&amp;"|"&amp;$B$45&amp;"|"&amp;$A67, Annual!$J:$J, 0))&lt;&gt;""),C67-INDEX(Annual!$O:$O, MATCH($B$44&amp;"|"&amp;$B$45&amp;"|"&amp;$A67, Annual!$J:$J, 0)),NA())</f>
        <v/>
      </c>
      <c r="G67" s="4">
        <f>IF(AND(ISNUMBER(E67),ISNUMBER(INDEX(Annual!$O:$O, MATCH($B$44&amp;"|"&amp;$B$45&amp;"|"&amp;$A67, Annual!$J:$J, 0))),INDEX(Annual!$O:$O, MATCH($B$44&amp;"|"&amp;$B$45&amp;"|"&amp;$A67, Annual!$J:$J, 0))&lt;&gt;""),E67-INDEX(Annual!$O:$O, MATCH($B$44&amp;"|"&amp;$B$45&amp;"|"&amp;$A67, Annual!$J:$J, 0)),NA())</f>
        <v/>
      </c>
      <c r="H67" s="4">
        <f>IF($B$47&lt;&gt;"USD",IFERROR(1*INDEX(Annual!$N:$N, MATCH($B$44&amp;"|"&amp;$B$45&amp;"|"&amp;$A67, Annual!$J:$J, 0)), NA()),"")</f>
        <v/>
      </c>
      <c r="I67" s="4">
        <f>IF($B$47&lt;&gt;"USD",IFERROR(1*INDEX(Annual!$O:$O, MATCH($B$44&amp;"|"&amp;$B$45&amp;"|"&amp;$A67, Annual!$J:$J, 0)), NA()),"")</f>
        <v/>
      </c>
      <c r="J67" s="4">
        <f>IF($B$47&lt;&gt;"USD",IFERROR(1*INDEX(Annual!$P:$P, MATCH($B$44&amp;"|"&amp;$A67, Annual!$K:$K, 0)), NA()),"")</f>
        <v/>
      </c>
      <c r="K67">
        <f>IF($B$47&lt;&gt;"USD",IFERROR(1*INDEX(Annual!$Q:$Q, MATCH($B$44&amp;"|"&amp;$B$45&amp;"|"&amp;$A67, Annual!$J:$J, 0)), NA()),"")</f>
        <v/>
      </c>
    </row>
    <row r="68">
      <c r="A68" t="n">
        <v>2018</v>
      </c>
      <c r="B68" s="4">
        <f>IFERROR(1*INDEX(Annual!$E:$E, MATCH($B$44&amp;"|"&amp;$B$45&amp;"|"&amp;$A68, Annual!$J:$J, 0)), NA())</f>
        <v/>
      </c>
      <c r="C68" s="4">
        <f>IFERROR(1*INDEX(Annual!$F:$F, MATCH($B$44&amp;"|"&amp;$A68, Annual!$K:$K, 0)), NA())</f>
        <v/>
      </c>
      <c r="D68" s="4">
        <f>IFERROR(1*INDEX(Annual!$G:$G, MATCH($B$44&amp;"|"&amp;$A68, Annual!$K:$K, 0)), NA())</f>
        <v/>
      </c>
      <c r="E68" s="4">
        <f>IFERROR(1*INDEX(Annual!$H:$H, MATCH($B$44&amp;"|"&amp;$A68, Annual!$K:$K, 0)), NA())</f>
        <v/>
      </c>
      <c r="F68" s="4">
        <f>IF(AND(ISNUMBER(C68),ISNUMBER(INDEX(Annual!$O:$O, MATCH($B$44&amp;"|"&amp;$B$45&amp;"|"&amp;$A68, Annual!$J:$J, 0))),INDEX(Annual!$O:$O, MATCH($B$44&amp;"|"&amp;$B$45&amp;"|"&amp;$A68, Annual!$J:$J, 0))&lt;&gt;""),C68-INDEX(Annual!$O:$O, MATCH($B$44&amp;"|"&amp;$B$45&amp;"|"&amp;$A68, Annual!$J:$J, 0)),NA())</f>
        <v/>
      </c>
      <c r="G68" s="4">
        <f>IF(AND(ISNUMBER(E68),ISNUMBER(INDEX(Annual!$O:$O, MATCH($B$44&amp;"|"&amp;$B$45&amp;"|"&amp;$A68, Annual!$J:$J, 0))),INDEX(Annual!$O:$O, MATCH($B$44&amp;"|"&amp;$B$45&amp;"|"&amp;$A68, Annual!$J:$J, 0))&lt;&gt;""),E68-INDEX(Annual!$O:$O, MATCH($B$44&amp;"|"&amp;$B$45&amp;"|"&amp;$A68, Annual!$J:$J, 0)),NA())</f>
        <v/>
      </c>
      <c r="H68" s="4">
        <f>IF($B$47&lt;&gt;"USD",IFERROR(1*INDEX(Annual!$N:$N, MATCH($B$44&amp;"|"&amp;$B$45&amp;"|"&amp;$A68, Annual!$J:$J, 0)), NA()),"")</f>
        <v/>
      </c>
      <c r="I68" s="4">
        <f>IF($B$47&lt;&gt;"USD",IFERROR(1*INDEX(Annual!$O:$O, MATCH($B$44&amp;"|"&amp;$B$45&amp;"|"&amp;$A68, Annual!$J:$J, 0)), NA()),"")</f>
        <v/>
      </c>
      <c r="J68" s="4">
        <f>IF($B$47&lt;&gt;"USD",IFERROR(1*INDEX(Annual!$P:$P, MATCH($B$44&amp;"|"&amp;$A68, Annual!$K:$K, 0)), NA()),"")</f>
        <v/>
      </c>
      <c r="K68">
        <f>IF($B$47&lt;&gt;"USD",IFERROR(1*INDEX(Annual!$Q:$Q, MATCH($B$44&amp;"|"&amp;$B$45&amp;"|"&amp;$A68, Annual!$J:$J, 0)), NA()),"")</f>
        <v/>
      </c>
    </row>
    <row r="69">
      <c r="A69" t="n">
        <v>2019</v>
      </c>
      <c r="B69" s="4">
        <f>IFERROR(1*INDEX(Annual!$E:$E, MATCH($B$44&amp;"|"&amp;$B$45&amp;"|"&amp;$A69, Annual!$J:$J, 0)), NA())</f>
        <v/>
      </c>
      <c r="C69" s="4">
        <f>IFERROR(1*INDEX(Annual!$F:$F, MATCH($B$44&amp;"|"&amp;$A69, Annual!$K:$K, 0)), NA())</f>
        <v/>
      </c>
      <c r="D69" s="4">
        <f>IFERROR(1*INDEX(Annual!$G:$G, MATCH($B$44&amp;"|"&amp;$A69, Annual!$K:$K, 0)), NA())</f>
        <v/>
      </c>
      <c r="E69" s="4">
        <f>IFERROR(1*INDEX(Annual!$H:$H, MATCH($B$44&amp;"|"&amp;$A69, Annual!$K:$K, 0)), NA())</f>
        <v/>
      </c>
      <c r="F69" s="4">
        <f>IF(AND(ISNUMBER(C69),ISNUMBER(INDEX(Annual!$O:$O, MATCH($B$44&amp;"|"&amp;$B$45&amp;"|"&amp;$A69, Annual!$J:$J, 0))),INDEX(Annual!$O:$O, MATCH($B$44&amp;"|"&amp;$B$45&amp;"|"&amp;$A69, Annual!$J:$J, 0))&lt;&gt;""),C69-INDEX(Annual!$O:$O, MATCH($B$44&amp;"|"&amp;$B$45&amp;"|"&amp;$A69, Annual!$J:$J, 0)),NA())</f>
        <v/>
      </c>
      <c r="G69" s="4">
        <f>IF(AND(ISNUMBER(E69),ISNUMBER(INDEX(Annual!$O:$O, MATCH($B$44&amp;"|"&amp;$B$45&amp;"|"&amp;$A69, Annual!$J:$J, 0))),INDEX(Annual!$O:$O, MATCH($B$44&amp;"|"&amp;$B$45&amp;"|"&amp;$A69, Annual!$J:$J, 0))&lt;&gt;""),E69-INDEX(Annual!$O:$O, MATCH($B$44&amp;"|"&amp;$B$45&amp;"|"&amp;$A69, Annual!$J:$J, 0)),NA())</f>
        <v/>
      </c>
      <c r="H69" s="4">
        <f>IF($B$47&lt;&gt;"USD",IFERROR(1*INDEX(Annual!$N:$N, MATCH($B$44&amp;"|"&amp;$B$45&amp;"|"&amp;$A69, Annual!$J:$J, 0)), NA()),"")</f>
        <v/>
      </c>
      <c r="I69" s="4">
        <f>IF($B$47&lt;&gt;"USD",IFERROR(1*INDEX(Annual!$O:$O, MATCH($B$44&amp;"|"&amp;$B$45&amp;"|"&amp;$A69, Annual!$J:$J, 0)), NA()),"")</f>
        <v/>
      </c>
      <c r="J69" s="4">
        <f>IF($B$47&lt;&gt;"USD",IFERROR(1*INDEX(Annual!$P:$P, MATCH($B$44&amp;"|"&amp;$A69, Annual!$K:$K, 0)), NA()),"")</f>
        <v/>
      </c>
      <c r="K69">
        <f>IF($B$47&lt;&gt;"USD",IFERROR(1*INDEX(Annual!$Q:$Q, MATCH($B$44&amp;"|"&amp;$B$45&amp;"|"&amp;$A69, Annual!$J:$J, 0)), NA()),"")</f>
        <v/>
      </c>
    </row>
    <row r="70">
      <c r="A70" t="n">
        <v>2020</v>
      </c>
      <c r="B70" s="4">
        <f>IFERROR(1*INDEX(Annual!$E:$E, MATCH($B$44&amp;"|"&amp;$B$45&amp;"|"&amp;$A70, Annual!$J:$J, 0)), NA())</f>
        <v/>
      </c>
      <c r="C70" s="4">
        <f>IFERROR(1*INDEX(Annual!$F:$F, MATCH($B$44&amp;"|"&amp;$A70, Annual!$K:$K, 0)), NA())</f>
        <v/>
      </c>
      <c r="D70" s="4">
        <f>IFERROR(1*INDEX(Annual!$G:$G, MATCH($B$44&amp;"|"&amp;$A70, Annual!$K:$K, 0)), NA())</f>
        <v/>
      </c>
      <c r="E70" s="4">
        <f>IFERROR(1*INDEX(Annual!$H:$H, MATCH($B$44&amp;"|"&amp;$A70, Annual!$K:$K, 0)), NA())</f>
        <v/>
      </c>
      <c r="F70" s="4">
        <f>IF(AND(ISNUMBER(C70),ISNUMBER(INDEX(Annual!$O:$O, MATCH($B$44&amp;"|"&amp;$B$45&amp;"|"&amp;$A70, Annual!$J:$J, 0))),INDEX(Annual!$O:$O, MATCH($B$44&amp;"|"&amp;$B$45&amp;"|"&amp;$A70, Annual!$J:$J, 0))&lt;&gt;""),C70-INDEX(Annual!$O:$O, MATCH($B$44&amp;"|"&amp;$B$45&amp;"|"&amp;$A70, Annual!$J:$J, 0)),NA())</f>
        <v/>
      </c>
      <c r="G70" s="4">
        <f>IF(AND(ISNUMBER(E70),ISNUMBER(INDEX(Annual!$O:$O, MATCH($B$44&amp;"|"&amp;$B$45&amp;"|"&amp;$A70, Annual!$J:$J, 0))),INDEX(Annual!$O:$O, MATCH($B$44&amp;"|"&amp;$B$45&amp;"|"&amp;$A70, Annual!$J:$J, 0))&lt;&gt;""),E70-INDEX(Annual!$O:$O, MATCH($B$44&amp;"|"&amp;$B$45&amp;"|"&amp;$A70, Annual!$J:$J, 0)),NA())</f>
        <v/>
      </c>
      <c r="H70" s="4">
        <f>IF($B$47&lt;&gt;"USD",IFERROR(1*INDEX(Annual!$N:$N, MATCH($B$44&amp;"|"&amp;$B$45&amp;"|"&amp;$A70, Annual!$J:$J, 0)), NA()),"")</f>
        <v/>
      </c>
      <c r="I70" s="4">
        <f>IF($B$47&lt;&gt;"USD",IFERROR(1*INDEX(Annual!$O:$O, MATCH($B$44&amp;"|"&amp;$B$45&amp;"|"&amp;$A70, Annual!$J:$J, 0)), NA()),"")</f>
        <v/>
      </c>
      <c r="J70" s="4">
        <f>IF($B$47&lt;&gt;"USD",IFERROR(1*INDEX(Annual!$P:$P, MATCH($B$44&amp;"|"&amp;$A70, Annual!$K:$K, 0)), NA()),"")</f>
        <v/>
      </c>
      <c r="K70">
        <f>IF($B$47&lt;&gt;"USD",IFERROR(1*INDEX(Annual!$Q:$Q, MATCH($B$44&amp;"|"&amp;$B$45&amp;"|"&amp;$A70, Annual!$J:$J, 0)), NA()),"")</f>
        <v/>
      </c>
    </row>
    <row r="71">
      <c r="A71" t="n">
        <v>2021</v>
      </c>
      <c r="B71" s="4">
        <f>IFERROR(1*INDEX(Annual!$E:$E, MATCH($B$44&amp;"|"&amp;$B$45&amp;"|"&amp;$A71, Annual!$J:$J, 0)), NA())</f>
        <v/>
      </c>
      <c r="C71" s="4">
        <f>IFERROR(1*INDEX(Annual!$F:$F, MATCH($B$44&amp;"|"&amp;$A71, Annual!$K:$K, 0)), NA())</f>
        <v/>
      </c>
      <c r="D71" s="4">
        <f>IFERROR(1*INDEX(Annual!$G:$G, MATCH($B$44&amp;"|"&amp;$A71, Annual!$K:$K, 0)), NA())</f>
        <v/>
      </c>
      <c r="E71" s="4">
        <f>IFERROR(1*INDEX(Annual!$H:$H, MATCH($B$44&amp;"|"&amp;$A71, Annual!$K:$K, 0)), NA())</f>
        <v/>
      </c>
      <c r="F71" s="4">
        <f>IF(AND(ISNUMBER(C71),ISNUMBER(INDEX(Annual!$O:$O, MATCH($B$44&amp;"|"&amp;$B$45&amp;"|"&amp;$A71, Annual!$J:$J, 0))),INDEX(Annual!$O:$O, MATCH($B$44&amp;"|"&amp;$B$45&amp;"|"&amp;$A71, Annual!$J:$J, 0))&lt;&gt;""),C71-INDEX(Annual!$O:$O, MATCH($B$44&amp;"|"&amp;$B$45&amp;"|"&amp;$A71, Annual!$J:$J, 0)),NA())</f>
        <v/>
      </c>
      <c r="G71" s="4">
        <f>IF(AND(ISNUMBER(E71),ISNUMBER(INDEX(Annual!$O:$O, MATCH($B$44&amp;"|"&amp;$B$45&amp;"|"&amp;$A71, Annual!$J:$J, 0))),INDEX(Annual!$O:$O, MATCH($B$44&amp;"|"&amp;$B$45&amp;"|"&amp;$A71, Annual!$J:$J, 0))&lt;&gt;""),E71-INDEX(Annual!$O:$O, MATCH($B$44&amp;"|"&amp;$B$45&amp;"|"&amp;$A71, Annual!$J:$J, 0)),NA())</f>
        <v/>
      </c>
      <c r="H71" s="4">
        <f>IF($B$47&lt;&gt;"USD",IFERROR(1*INDEX(Annual!$N:$N, MATCH($B$44&amp;"|"&amp;$B$45&amp;"|"&amp;$A71, Annual!$J:$J, 0)), NA()),"")</f>
        <v/>
      </c>
      <c r="I71" s="4">
        <f>IF($B$47&lt;&gt;"USD",IFERROR(1*INDEX(Annual!$O:$O, MATCH($B$44&amp;"|"&amp;$B$45&amp;"|"&amp;$A71, Annual!$J:$J, 0)), NA()),"")</f>
        <v/>
      </c>
      <c r="J71" s="4">
        <f>IF($B$47&lt;&gt;"USD",IFERROR(1*INDEX(Annual!$P:$P, MATCH($B$44&amp;"|"&amp;$A71, Annual!$K:$K, 0)), NA()),"")</f>
        <v/>
      </c>
      <c r="K71">
        <f>IF($B$47&lt;&gt;"USD",IFERROR(1*INDEX(Annual!$Q:$Q, MATCH($B$44&amp;"|"&amp;$B$45&amp;"|"&amp;$A71, Annual!$J:$J, 0)), NA()),"")</f>
        <v/>
      </c>
    </row>
    <row r="72">
      <c r="A72" t="n">
        <v>2022</v>
      </c>
      <c r="B72" s="4">
        <f>IFERROR(1*INDEX(Annual!$E:$E, MATCH($B$44&amp;"|"&amp;$B$45&amp;"|"&amp;$A72, Annual!$J:$J, 0)), NA())</f>
        <v/>
      </c>
      <c r="C72" s="4">
        <f>IFERROR(1*INDEX(Annual!$F:$F, MATCH($B$44&amp;"|"&amp;$A72, Annual!$K:$K, 0)), NA())</f>
        <v/>
      </c>
      <c r="D72" s="4">
        <f>IFERROR(1*INDEX(Annual!$G:$G, MATCH($B$44&amp;"|"&amp;$A72, Annual!$K:$K, 0)), NA())</f>
        <v/>
      </c>
      <c r="E72" s="4">
        <f>IFERROR(1*INDEX(Annual!$H:$H, MATCH($B$44&amp;"|"&amp;$A72, Annual!$K:$K, 0)), NA())</f>
        <v/>
      </c>
      <c r="F72" s="4">
        <f>IF(AND(ISNUMBER(C72),ISNUMBER(INDEX(Annual!$O:$O, MATCH($B$44&amp;"|"&amp;$B$45&amp;"|"&amp;$A72, Annual!$J:$J, 0))),INDEX(Annual!$O:$O, MATCH($B$44&amp;"|"&amp;$B$45&amp;"|"&amp;$A72, Annual!$J:$J, 0))&lt;&gt;""),C72-INDEX(Annual!$O:$O, MATCH($B$44&amp;"|"&amp;$B$45&amp;"|"&amp;$A72, Annual!$J:$J, 0)),NA())</f>
        <v/>
      </c>
      <c r="G72" s="4">
        <f>IF(AND(ISNUMBER(E72),ISNUMBER(INDEX(Annual!$O:$O, MATCH($B$44&amp;"|"&amp;$B$45&amp;"|"&amp;$A72, Annual!$J:$J, 0))),INDEX(Annual!$O:$O, MATCH($B$44&amp;"|"&amp;$B$45&amp;"|"&amp;$A72, Annual!$J:$J, 0))&lt;&gt;""),E72-INDEX(Annual!$O:$O, MATCH($B$44&amp;"|"&amp;$B$45&amp;"|"&amp;$A72, Annual!$J:$J, 0)),NA())</f>
        <v/>
      </c>
      <c r="H72" s="4">
        <f>IF($B$47&lt;&gt;"USD",IFERROR(1*INDEX(Annual!$N:$N, MATCH($B$44&amp;"|"&amp;$B$45&amp;"|"&amp;$A72, Annual!$J:$J, 0)), NA()),"")</f>
        <v/>
      </c>
      <c r="I72" s="4">
        <f>IF($B$47&lt;&gt;"USD",IFERROR(1*INDEX(Annual!$O:$O, MATCH($B$44&amp;"|"&amp;$B$45&amp;"|"&amp;$A72, Annual!$J:$J, 0)), NA()),"")</f>
        <v/>
      </c>
      <c r="J72" s="4">
        <f>IF($B$47&lt;&gt;"USD",IFERROR(1*INDEX(Annual!$P:$P, MATCH($B$44&amp;"|"&amp;$A72, Annual!$K:$K, 0)), NA()),"")</f>
        <v/>
      </c>
      <c r="K72">
        <f>IF($B$47&lt;&gt;"USD",IFERROR(1*INDEX(Annual!$Q:$Q, MATCH($B$44&amp;"|"&amp;$B$45&amp;"|"&amp;$A72, Annual!$J:$J, 0)), NA()),"")</f>
        <v/>
      </c>
    </row>
    <row r="73">
      <c r="A73" t="n">
        <v>2023</v>
      </c>
      <c r="B73" s="4">
        <f>IFERROR(1*INDEX(Annual!$E:$E, MATCH($B$44&amp;"|"&amp;$B$45&amp;"|"&amp;$A73, Annual!$J:$J, 0)), NA())</f>
        <v/>
      </c>
      <c r="C73" s="4">
        <f>IFERROR(1*INDEX(Annual!$F:$F, MATCH($B$44&amp;"|"&amp;$A73, Annual!$K:$K, 0)), NA())</f>
        <v/>
      </c>
      <c r="D73" s="4">
        <f>IFERROR(1*INDEX(Annual!$G:$G, MATCH($B$44&amp;"|"&amp;$A73, Annual!$K:$K, 0)), NA())</f>
        <v/>
      </c>
      <c r="E73" s="4">
        <f>IFERROR(1*INDEX(Annual!$H:$H, MATCH($B$44&amp;"|"&amp;$A73, Annual!$K:$K, 0)), NA())</f>
        <v/>
      </c>
      <c r="F73" s="4">
        <f>IF(AND(ISNUMBER(C73),ISNUMBER(INDEX(Annual!$O:$O, MATCH($B$44&amp;"|"&amp;$B$45&amp;"|"&amp;$A73, Annual!$J:$J, 0))),INDEX(Annual!$O:$O, MATCH($B$44&amp;"|"&amp;$B$45&amp;"|"&amp;$A73, Annual!$J:$J, 0))&lt;&gt;""),C73-INDEX(Annual!$O:$O, MATCH($B$44&amp;"|"&amp;$B$45&amp;"|"&amp;$A73, Annual!$J:$J, 0)),NA())</f>
        <v/>
      </c>
      <c r="G73" s="4">
        <f>IF(AND(ISNUMBER(E73),ISNUMBER(INDEX(Annual!$O:$O, MATCH($B$44&amp;"|"&amp;$B$45&amp;"|"&amp;$A73, Annual!$J:$J, 0))),INDEX(Annual!$O:$O, MATCH($B$44&amp;"|"&amp;$B$45&amp;"|"&amp;$A73, Annual!$J:$J, 0))&lt;&gt;""),E73-INDEX(Annual!$O:$O, MATCH($B$44&amp;"|"&amp;$B$45&amp;"|"&amp;$A73, Annual!$J:$J, 0)),NA())</f>
        <v/>
      </c>
      <c r="H73" s="4">
        <f>IF($B$47&lt;&gt;"USD",IFERROR(1*INDEX(Annual!$N:$N, MATCH($B$44&amp;"|"&amp;$B$45&amp;"|"&amp;$A73, Annual!$J:$J, 0)), NA()),"")</f>
        <v/>
      </c>
      <c r="I73" s="4">
        <f>IF($B$47&lt;&gt;"USD",IFERROR(1*INDEX(Annual!$O:$O, MATCH($B$44&amp;"|"&amp;$B$45&amp;"|"&amp;$A73, Annual!$J:$J, 0)), NA()),"")</f>
        <v/>
      </c>
      <c r="J73" s="4">
        <f>IF($B$47&lt;&gt;"USD",IFERROR(1*INDEX(Annual!$P:$P, MATCH($B$44&amp;"|"&amp;$A73, Annual!$K:$K, 0)), NA()),"")</f>
        <v/>
      </c>
      <c r="K73">
        <f>IF($B$47&lt;&gt;"USD",IFERROR(1*INDEX(Annual!$Q:$Q, MATCH($B$44&amp;"|"&amp;$B$45&amp;"|"&amp;$A73, Annual!$J:$J, 0)), NA()),"")</f>
        <v/>
      </c>
    </row>
    <row r="74">
      <c r="A74" t="n">
        <v>2024</v>
      </c>
      <c r="B74" s="4">
        <f>IFERROR(1*INDEX(Annual!$E:$E, MATCH($B$44&amp;"|"&amp;$B$45&amp;"|"&amp;$A74, Annual!$J:$J, 0)), NA())</f>
        <v/>
      </c>
      <c r="C74" s="4">
        <f>IFERROR(1*INDEX(Annual!$F:$F, MATCH($B$44&amp;"|"&amp;$A74, Annual!$K:$K, 0)), NA())</f>
        <v/>
      </c>
      <c r="D74" s="4">
        <f>IFERROR(1*INDEX(Annual!$G:$G, MATCH($B$44&amp;"|"&amp;$A74, Annual!$K:$K, 0)), NA())</f>
        <v/>
      </c>
      <c r="E74" s="4">
        <f>IFERROR(1*INDEX(Annual!$H:$H, MATCH($B$44&amp;"|"&amp;$A74, Annual!$K:$K, 0)), NA())</f>
        <v/>
      </c>
      <c r="F74" s="4">
        <f>IF(AND(ISNUMBER(C74),ISNUMBER(INDEX(Annual!$O:$O, MATCH($B$44&amp;"|"&amp;$B$45&amp;"|"&amp;$A74, Annual!$J:$J, 0))),INDEX(Annual!$O:$O, MATCH($B$44&amp;"|"&amp;$B$45&amp;"|"&amp;$A74, Annual!$J:$J, 0))&lt;&gt;""),C74-INDEX(Annual!$O:$O, MATCH($B$44&amp;"|"&amp;$B$45&amp;"|"&amp;$A74, Annual!$J:$J, 0)),NA())</f>
        <v/>
      </c>
      <c r="G74" s="4">
        <f>IF(AND(ISNUMBER(E74),ISNUMBER(INDEX(Annual!$O:$O, MATCH($B$44&amp;"|"&amp;$B$45&amp;"|"&amp;$A74, Annual!$J:$J, 0))),INDEX(Annual!$O:$O, MATCH($B$44&amp;"|"&amp;$B$45&amp;"|"&amp;$A74, Annual!$J:$J, 0))&lt;&gt;""),E74-INDEX(Annual!$O:$O, MATCH($B$44&amp;"|"&amp;$B$45&amp;"|"&amp;$A74, Annual!$J:$J, 0)),NA())</f>
        <v/>
      </c>
      <c r="H74" s="4">
        <f>IF($B$47&lt;&gt;"USD",IFERROR(1*INDEX(Annual!$N:$N, MATCH($B$44&amp;"|"&amp;$B$45&amp;"|"&amp;$A74, Annual!$J:$J, 0)), NA()),"")</f>
        <v/>
      </c>
      <c r="I74" s="4">
        <f>IF($B$47&lt;&gt;"USD",IFERROR(1*INDEX(Annual!$O:$O, MATCH($B$44&amp;"|"&amp;$B$45&amp;"|"&amp;$A74, Annual!$J:$J, 0)), NA()),"")</f>
        <v/>
      </c>
      <c r="J74" s="4">
        <f>IF($B$47&lt;&gt;"USD",IFERROR(1*INDEX(Annual!$P:$P, MATCH($B$44&amp;"|"&amp;$A74, Annual!$K:$K, 0)), NA()),"")</f>
        <v/>
      </c>
      <c r="K74">
        <f>IF($B$47&lt;&gt;"USD",IFERROR(1*INDEX(Annual!$Q:$Q, MATCH($B$44&amp;"|"&amp;$B$45&amp;"|"&amp;$A74, Annual!$J:$J, 0)), NA()),"")</f>
        <v/>
      </c>
    </row>
    <row r="75">
      <c r="A75" t="n">
        <v>2025</v>
      </c>
      <c r="B75" s="4">
        <f>IFERROR(1*INDEX(Annual!$E:$E, MATCH($B$44&amp;"|"&amp;$B$45&amp;"|"&amp;$A75, Annual!$J:$J, 0)), NA())</f>
        <v/>
      </c>
      <c r="C75" s="4">
        <f>IFERROR(1*INDEX(Annual!$F:$F, MATCH($B$44&amp;"|"&amp;$A75, Annual!$K:$K, 0)), NA())</f>
        <v/>
      </c>
      <c r="D75" s="4">
        <f>IFERROR(1*INDEX(Annual!$G:$G, MATCH($B$44&amp;"|"&amp;$A75, Annual!$K:$K, 0)), NA())</f>
        <v/>
      </c>
      <c r="E75" s="4">
        <f>IFERROR(1*INDEX(Annual!$H:$H, MATCH($B$44&amp;"|"&amp;$A75, Annual!$K:$K, 0)), NA())</f>
        <v/>
      </c>
      <c r="F75" s="4">
        <f>IF(AND(ISNUMBER(C75),ISNUMBER(INDEX(Annual!$O:$O, MATCH($B$44&amp;"|"&amp;$B$45&amp;"|"&amp;$A75, Annual!$J:$J, 0))),INDEX(Annual!$O:$O, MATCH($B$44&amp;"|"&amp;$B$45&amp;"|"&amp;$A75, Annual!$J:$J, 0))&lt;&gt;""),C75-INDEX(Annual!$O:$O, MATCH($B$44&amp;"|"&amp;$B$45&amp;"|"&amp;$A75, Annual!$J:$J, 0)),NA())</f>
        <v/>
      </c>
      <c r="G75" s="4">
        <f>IF(AND(ISNUMBER(E75),ISNUMBER(INDEX(Annual!$O:$O, MATCH($B$44&amp;"|"&amp;$B$45&amp;"|"&amp;$A75, Annual!$J:$J, 0))),INDEX(Annual!$O:$O, MATCH($B$44&amp;"|"&amp;$B$45&amp;"|"&amp;$A75, Annual!$J:$J, 0))&lt;&gt;""),E75-INDEX(Annual!$O:$O, MATCH($B$44&amp;"|"&amp;$B$45&amp;"|"&amp;$A75, Annual!$J:$J, 0)),NA())</f>
        <v/>
      </c>
      <c r="H75" s="4">
        <f>IF($B$47&lt;&gt;"USD",IFERROR(1*INDEX(Annual!$N:$N, MATCH($B$44&amp;"|"&amp;$B$45&amp;"|"&amp;$A75, Annual!$J:$J, 0)), NA()),"")</f>
        <v/>
      </c>
      <c r="I75" s="4">
        <f>IF($B$47&lt;&gt;"USD",IFERROR(1*INDEX(Annual!$O:$O, MATCH($B$44&amp;"|"&amp;$B$45&amp;"|"&amp;$A75, Annual!$J:$J, 0)), NA()),"")</f>
        <v/>
      </c>
      <c r="J75" s="4">
        <f>IF($B$47&lt;&gt;"USD",IFERROR(1*INDEX(Annual!$P:$P, MATCH($B$44&amp;"|"&amp;$A75, Annual!$K:$K, 0)), NA()),"")</f>
        <v/>
      </c>
      <c r="K75">
        <f>IF($B$47&lt;&gt;"USD",IFERROR(1*INDEX(Annual!$Q:$Q,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IFERROR(1*INDEX(Annual!$F:$F, MATCH($B$44&amp;"|"&amp;2026, Annual!$K:$K, 0)), NA())</f>
        <v/>
      </c>
      <c r="D76" s="4">
        <f>IFERROR(1*INDEX(Annual!$G:$G, MATCH($B$44&amp;"|"&amp;2026, Annual!$K:$K, 0)), NA())</f>
        <v/>
      </c>
      <c r="E76" s="4">
        <f>IFERROR(1*INDEX(Annual!$H:$H, MATCH($B$44&amp;"|"&amp;2026, Annual!$K:$K, 0)), NA())</f>
        <v/>
      </c>
      <c r="F76" s="4">
        <f>IF(AND(ISNUMBER(C76),ISNUMBER(INDEX(ETF_Timeframes!$G:$G, MATCH($B$44&amp;"|"&amp;$B$45&amp;"|YTD", ETF_Timeframes!$H:$H, 0))),INDEX(ETF_Timeframes!$G:$G, MATCH($B$44&amp;"|"&amp;$B$45&amp;"|YTD", ETF_Timeframes!$H:$H, 0))&lt;&gt;""),C76-INDEX(ETF_Timeframes!$G:$G, MATCH($B$44&amp;"|"&amp;$B$45&amp;"|YTD", ETF_Timeframes!$H:$H, 0)),NA())</f>
        <v/>
      </c>
      <c r="G76" s="4">
        <f>IF(AND(ISNUMBER(E76),ISNUMBER(INDEX(ETF_Timeframes!$G:$G, MATCH($B$44&amp;"|"&amp;$B$45&amp;"|YTD", ETF_Timeframes!$H:$H, 0))),INDEX(ETF_Timeframes!$G:$G, MATCH($B$44&amp;"|"&amp;$B$45&amp;"|YTD", ETF_Timeframes!$H:$H, 0))&lt;&gt;""),E76-INDEX(ETF_Timeframes!$G:$G, MATCH($B$44&amp;"|"&amp;$B$45&amp;"|YTD", ETF_Timeframes!$H:$H, 0)),NA())</f>
        <v/>
      </c>
      <c r="H76" s="4">
        <f>IF($B$47&lt;&gt;"USD",IFERROR(1*INDEX(Annual!$N:$N, MATCH($B$44&amp;"|"&amp;$B$45&amp;"|"&amp;2026, Annual!$J:$J, 0)), NA()),"")</f>
        <v/>
      </c>
      <c r="I76" s="4">
        <f>IF($B$47&lt;&gt;"USD",IFERROR(1*INDEX(Annual!$O:$O, MATCH($B$44&amp;"|"&amp;$B$45&amp;"|"&amp;2026, Annual!$J:$J, 0)), NA()),"")</f>
        <v/>
      </c>
      <c r="J76" s="4">
        <f>IF($B$47&lt;&gt;"USD",IFERROR(1*INDEX(Annual!$P:$P, MATCH($B$44&amp;"|"&amp;2026, Annual!$K:$K, 0)), NA()),"")</f>
        <v/>
      </c>
      <c r="K76">
        <f>IF($B$47&lt;&gt;"USD",IFERROR(1*INDEX(Annual!$Q:$Q,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Real GDP - ETF CAGR %</t>
        </is>
      </c>
      <c r="G80" s="3" t="inlineStr">
        <is>
          <t>Nom USD GDP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IF(AND(ISNUMBER(C81),ISNUMBER(B81)),C81-B81,NA())</f>
        <v/>
      </c>
      <c r="G81">
        <f>IF(AND(ISNUMBER(E81),ISNUMBER(B81)),E81-B81,NA())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IF(AND(ISNUMBER(C82),ISNUMBER(B82)),C82-B82,NA())</f>
        <v/>
      </c>
      <c r="G82">
        <f>IF(AND(ISNUMBER(E82),ISNUMBER(B82)),E82-B82,NA())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IF(AND(ISNUMBER(C83),ISNUMBER(B83)),C83-B83,NA())</f>
        <v/>
      </c>
      <c r="G83">
        <f>IF(AND(ISNUMBER(E83),ISNUMBER(B83)),E83-B83,NA())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K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G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=OFFSET(Lists!$G$2,IFERROR(MATCH($A6,Lists!$F$2:$F$68,0)-1,0),0,COUNTIF(Lists!$F$2:$F$68,$A6),1)</formula1>
    </dataValidation>
    <dataValidation sqref="C7" showDropDown="0" showInputMessage="0" showErrorMessage="0" allowBlank="0" type="list">
      <formula1>=OFFSET(Lists!$G$2,IFERROR(MATCH($A7,Lists!$F$2:$F$68,0)-1,0),0,COUNTIF(Lists!$F$2:$F$68,$A7),1)</formula1>
    </dataValidation>
    <dataValidation sqref="C8" showDropDown="0" showInputMessage="0" showErrorMessage="0" allowBlank="0" type="list">
      <formula1>=OFFSET(Lists!$G$2,IFERROR(MATCH($A8,Lists!$F$2:$F$68,0)-1,0),0,COUNTIF(Lists!$F$2:$F$68,$A8),1)</formula1>
    </dataValidation>
    <dataValidation sqref="C9" showDropDown="0" showInputMessage="0" showErrorMessage="0" allowBlank="0" type="list">
      <formula1>=OFFSET(Lists!$G$2,IFERROR(MATCH($A9,Lists!$F$2:$F$68,0)-1,0),0,COUNTIF(Lists!$F$2:$F$68,$A9),1)</formula1>
    </dataValidation>
    <dataValidation sqref="C10" showDropDown="0" showInputMessage="0" showErrorMessage="0" allowBlank="0" type="list">
      <formula1>=OFFSET(Lists!$G$2,IFERROR(MATCH($A10,Lists!$F$2:$F$68,0)-1,0),0,COUNTIF(Lists!$F$2:$F$68,$A10),1)</formula1>
    </dataValidation>
    <dataValidation sqref="C11" showDropDown="0" showInputMessage="0" showErrorMessage="0" allowBlank="0" type="list">
      <formula1>=OFFSET(Lists!$G$2,IFERROR(MATCH($A11,Lists!$F$2:$F$68,0)-1,0),0,COUNTIF(Lists!$F$2:$F$68,$A11),1)</formula1>
    </dataValidation>
    <dataValidation sqref="C12" showDropDown="0" showInputMessage="0" showErrorMessage="0" allowBlank="0" type="list">
      <formula1>=OFFSET(Lists!$G$2,IFERROR(MATCH($A12,Lists!$F$2:$F$68,0)-1,0),0,COUNTIF(Lists!$F$2:$F$68,$A12),1)</formula1>
    </dataValidation>
    <dataValidation sqref="C13" showDropDown="0" showInputMessage="0" showErrorMessage="0" allowBlank="0" type="list">
      <formula1>=OFFSET(Lists!$G$2,IFERROR(MATCH($A13,Lists!$F$2:$F$68,0)-1,0),0,COUNTIF(Lists!$F$2:$F$68,$A13),1)</formula1>
    </dataValidation>
    <dataValidation sqref="C14" showDropDown="0" showInputMessage="0" showErrorMessage="0" allowBlank="0" type="list">
      <formula1>=OFFSET(Lists!$G$2,IFERROR(MATCH($A14,Lists!$F$2:$F$68,0)-1,0),0,COUNTIF(Lists!$F$2:$F$68,$A14),1)</formula1>
    </dataValidation>
    <dataValidation sqref="C15" showDropDown="0" showInputMessage="0" showErrorMessage="0" allowBlank="0" type="list">
      <formula1>=OFFSET(Lists!$G$2,IFERROR(MATCH($A15,Lists!$F$2:$F$68,0)-1,0),0,COUNTIF(Lists!$F$2:$F$68,$A15),1)</formula1>
    </dataValidation>
    <dataValidation sqref="C16" showDropDown="0" showInputMessage="0" showErrorMessage="0" allowBlank="0" type="list">
      <formula1>=OFFSET(Lists!$G$2,IFERROR(MATCH($A16,Lists!$F$2:$F$68,0)-1,0),0,COUNTIF(Lists!$F$2:$F$68,$A16),1)</formula1>
    </dataValidation>
    <dataValidation sqref="C17" showDropDown="0" showInputMessage="0" showErrorMessage="0" allowBlank="0" type="list">
      <formula1>=OFFSET(Lists!$G$2,IFERROR(MATCH($A17,Lists!$F$2:$F$68,0)-1,0),0,COUNTIF(Lists!$F$2:$F$68,$A17),1)</formula1>
    </dataValidation>
    <dataValidation sqref="C18" showDropDown="0" showInputMessage="0" showErrorMessage="0" allowBlank="0" type="list">
      <formula1>=OFFSET(Lists!$G$2,IFERROR(MATCH($A18,Lists!$F$2:$F$68,0)-1,0),0,COUNTIF(Lists!$F$2:$F$68,$A18),1)</formula1>
    </dataValidation>
    <dataValidation sqref="C19" showDropDown="0" showInputMessage="0" showErrorMessage="0" allowBlank="0" type="list">
      <formula1>=OFFSET(Lists!$G$2,IFERROR(MATCH($A19,Lists!$F$2:$F$68,0)-1,0),0,COUNTIF(Lists!$F$2:$F$68,$A19),1)</formula1>
    </dataValidation>
    <dataValidation sqref="C20" showDropDown="0" showInputMessage="0" showErrorMessage="0" allowBlank="0" type="list">
      <formula1>=OFFSET(Lists!$G$2,IFERROR(MATCH($A20,Lists!$F$2:$F$68,0)-1,0),0,COUNTIF(Lists!$F$2:$F$68,$A20),1)</formula1>
    </dataValidation>
    <dataValidation sqref="C21" showDropDown="0" showInputMessage="0" showErrorMessage="0" allowBlank="0" type="list">
      <formula1>=OFFSET(Lists!$G$2,IFERROR(MATCH($A21,Lists!$F$2:$F$68,0)-1,0),0,COUNTIF(Lists!$F$2:$F$68,$A21),1)</formula1>
    </dataValidation>
    <dataValidation sqref="C22" showDropDown="0" showInputMessage="0" showErrorMessage="0" allowBlank="0" type="list">
      <formula1>=OFFSET(Lists!$G$2,IFERROR(MATCH($A22,Lists!$F$2:$F$68,0)-1,0),0,COUNTIF(Lists!$F$2:$F$68,$A22),1)</formula1>
    </dataValidation>
    <dataValidation sqref="C23" showDropDown="0" showInputMessage="0" showErrorMessage="0" allowBlank="0" type="list">
      <formula1>=OFFSET(Lists!$G$2,IFERROR(MATCH($A23,Lists!$F$2:$F$68,0)-1,0),0,COUNTIF(Lists!$F$2:$F$68,$A23),1)</formula1>
    </dataValidation>
    <dataValidation sqref="C24" showDropDown="0" showInputMessage="0" showErrorMessage="0" allowBlank="0" type="list">
      <formula1>=OFFSET(Lists!$G$2,IFERROR(MATCH($A24,Lists!$F$2:$F$68,0)-1,0),0,COUNTIF(Lists!$F$2:$F$68,$A24),1)</formula1>
    </dataValidation>
    <dataValidation sqref="C25" showDropDown="0" showInputMessage="0" showErrorMessage="0" allowBlank="0" type="list">
      <formula1>=OFFSET(Lists!$G$2,IFERROR(MATCH($A25,Lists!$F$2:$F$68,0)-1,0),0,COUNTIF(Lists!$F$2:$F$68,$A25),1)</formula1>
    </dataValidation>
    <dataValidation sqref="C26" showDropDown="0" showInputMessage="0" showErrorMessage="0" allowBlank="0" type="list">
      <formula1>=OFFSET(Lists!$G$2,IFERROR(MATCH($A26,Lists!$F$2:$F$68,0)-1,0),0,COUNTIF(Lists!$F$2:$F$68,$A26),1)</formula1>
    </dataValidation>
    <dataValidation sqref="C27" showDropDown="0" showInputMessage="0" showErrorMessage="0" allowBlank="0" type="list">
      <formula1>=OFFSET(Lists!$G$2,IFERROR(MATCH($A27,Lists!$F$2:$F$68,0)-1,0),0,COUNTIF(Lists!$F$2:$F$68,$A27),1)</formula1>
    </dataValidation>
    <dataValidation sqref="C28" showDropDown="0" showInputMessage="0" showErrorMessage="0" allowBlank="0" type="list">
      <formula1>=OFFSET(Lists!$G$2,IFERROR(MATCH($A28,Lists!$F$2:$F$68,0)-1,0),0,COUNTIF(Lists!$F$2:$F$68,$A28),1)</formula1>
    </dataValidation>
    <dataValidation sqref="C29" showDropDown="0" showInputMessage="0" showErrorMessage="0" allowBlank="0" type="list">
      <formula1>=OFFSET(Lists!$G$2,IFERROR(MATCH($A29,Lists!$F$2:$F$68,0)-1,0),0,COUNTIF(Lists!$F$2:$F$68,$A29),1)</formula1>
    </dataValidation>
    <dataValidation sqref="C30" showDropDown="0" showInputMessage="0" showErrorMessage="0" allowBlank="0" type="list">
      <formula1>=OFFSET(Lists!$G$2,IFERROR(MATCH($A30,Lists!$F$2:$F$68,0)-1,0),0,COUNTIF(Lists!$F$2:$F$68,$A30),1)</formula1>
    </dataValidation>
    <dataValidation sqref="C31" showDropDown="0" showInputMessage="0" showErrorMessage="0" allowBlank="0" type="list">
      <formula1>=OFFSET(Lists!$G$2,IFERROR(MATCH($A31,Lists!$F$2:$F$68,0)-1,0),0,COUNTIF(Lists!$F$2:$F$68,$A31),1)</formula1>
    </dataValidation>
    <dataValidation sqref="C32" showDropDown="0" showInputMessage="0" showErrorMessage="0" allowBlank="0" type="list">
      <formula1>=OFFSET(Lists!$G$2,IFERROR(MATCH($A32,Lists!$F$2:$F$68,0)-1,0),0,COUNTIF(Lists!$F$2:$F$68,$A32),1)</formula1>
    </dataValidation>
    <dataValidation sqref="C33" showDropDown="0" showInputMessage="0" showErrorMessage="0" allowBlank="0" type="list">
      <formula1>=OFFSET(Lists!$G$2,IFERROR(MATCH($A33,Lists!$F$2:$F$68,0)-1,0),0,COUNTIF(Lists!$F$2:$F$68,$A33),1)</formula1>
    </dataValidation>
    <dataValidation sqref="C34" showDropDown="0" showInputMessage="0" showErrorMessage="0" allowBlank="0" type="list">
      <formula1>=OFFSET(Lists!$G$2,IFERROR(MATCH($A34,Lists!$F$2:$F$68,0)-1,0),0,COUNTIF(Lists!$F$2:$F$68,$A34),1)</formula1>
    </dataValidation>
    <dataValidation sqref="C35" showDropDown="0" showInputMessage="0" showErrorMessage="0" allowBlank="0" type="list">
      <formula1>=OFFSET(Lists!$G$2,IFERROR(MATCH($A35,Lists!$F$2:$F$68,0)-1,0),0,COUNTIF(Lists!$F$2:$F$68,$A35),1)</formula1>
    </dataValidation>
    <dataValidation sqref="C36" showDropDown="0" showInputMessage="0" showErrorMessage="0" allowBlank="0" type="list">
      <formula1>=OFFSET(Lists!$G$2,IFERROR(MATCH($A36,Lists!$F$2:$F$68,0)-1,0),0,COUNTIF(Lists!$F$2:$F$68,$A36),1)</formula1>
    </dataValidation>
    <dataValidation sqref="C37" showDropDown="0" showInputMessage="0" showErrorMessage="0" allowBlank="0" type="list">
      <formula1>=OFFSET(Lists!$G$2,IFERROR(MATCH($A37,Lists!$F$2:$F$68,0)-1,0),0,COUNTIF(Lists!$F$2:$F$68,$A37),1)</formula1>
    </dataValidation>
    <dataValidation sqref="C38" showDropDown="0" showInputMessage="0" showErrorMessage="0" allowBlank="0" type="list">
      <formula1>=OFFSET(Lists!$G$2,IFERROR(MATCH($A38,Lists!$F$2:$F$68,0)-1,0),0,COUNTIF(Lists!$F$2:$F$68,$A38),1)</formula1>
    </dataValidation>
    <dataValidation sqref="C39" showDropDown="0" showInputMessage="0" showErrorMessage="0" allowBlank="0" type="list">
      <formula1>=OFFSET(Lists!$G$2,IFERROR(MATCH($A39,Lists!$F$2:$F$68,0)-1,0),0,COUNTIF(Lists!$F$2:$F$68,$A39),1)</formula1>
    </dataValidation>
    <dataValidation sqref="C40" showDropDown="0" showInputMessage="0" showErrorMessage="0" allowBlank="0" type="list">
      <formula1>=OFFSET(Lists!$G$2,IFERROR(MATCH($A40,Lists!$F$2:$F$68,0)-1,0),0,COUNTIF(Lists!$F$2:$F$68,$A40),1)</formula1>
    </dataValidation>
    <dataValidation sqref="B44" showDropDown="0" showInputMessage="0" showErrorMessage="0" allowBlank="0" type="list">
      <formula1>=Lists!$A$2:$A$68</formula1>
    </dataValidation>
    <dataValidation sqref="B45" showDropDown="0" showInputMessage="0" showErrorMessage="0" allowBlank="0" type="list">
      <formula1>=OFFSET(Lists!$G$2,IFERROR(MATCH($B$44,Lists!$F$2:$F$68,0)-1,0),0,COUNTIF(Lists!$F$2:$F$68,$B$44),1)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2026-03-06T07:36:58Z</dcterms:created>
  <dcterms:modified xsi:type="dcterms:W3CDTF">2026-03-06T07:36:59Z</dcterms:modified>
</cp:coreProperties>
</file>