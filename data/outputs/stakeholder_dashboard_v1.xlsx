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aw_Data" sheetId="1" state="visible" r:id="rId3"/>
    <sheet name="Dashboard" sheetId="2" state="visible" r:id="rId4"/>
    <sheet name="Control Sheet" sheetId="3" state="visible" r:id="rId5"/>
  </sheets>
  <definedNames>
    <definedName function="false" hidden="true" localSheetId="2" name="_xlnm._FilterDatabase" vbProcedure="false">'Control Sheet'!$A$1:$E$20</definedName>
    <definedName function="false" hidden="true" localSheetId="1" name="_xlnm._FilterDatabase" vbProcedure="false">Dashboard!$A$4:$U$55</definedName>
    <definedName function="false" hidden="true" localSheetId="0" name="_xlnm._FilterDatabase" vbProcedure="false">Raw_Data!$A$1:$U$47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<sst xmlns="http://schemas.openxmlformats.org/spreadsheetml/2006/main" count="291" uniqueCount="179">
  <si>
    <t xml:space="preserve">country_name</t>
  </si>
  <si>
    <t xml:space="preserve">msci_1y</t>
  </si>
  <si>
    <t xml:space="preserve">msci_3y</t>
  </si>
  <si>
    <t xml:space="preserve">msci_5y</t>
  </si>
  <si>
    <t xml:space="preserve">msci_10y</t>
  </si>
  <si>
    <t xml:space="preserve">ngdp_1y</t>
  </si>
  <si>
    <t xml:space="preserve">ngdp_3y</t>
  </si>
  <si>
    <t xml:space="preserve">ngdp_5y</t>
  </si>
  <si>
    <t xml:space="preserve">ngdp_10y</t>
  </si>
  <si>
    <t xml:space="preserve">current_reer</t>
  </si>
  <si>
    <t xml:space="preserve">reer_implied_fx_effect</t>
  </si>
  <si>
    <t xml:space="preserve">forward_rate_1y</t>
  </si>
  <si>
    <t xml:space="preserve">spot_rate</t>
  </si>
  <si>
    <t xml:space="preserve">impact_percent_gdp</t>
  </si>
  <si>
    <t xml:space="preserve">oil_sensitivity</t>
  </si>
  <si>
    <t xml:space="preserve">ngdp_2025_billion</t>
  </si>
  <si>
    <t xml:space="preserve">proj_growth_26_28_cagr</t>
  </si>
  <si>
    <t xml:space="preserve">index_market_cap_billion</t>
  </si>
  <si>
    <t xml:space="preserve">top_10_market_cap_billion</t>
  </si>
  <si>
    <t xml:space="preserve">pe_ratio</t>
  </si>
  <si>
    <t xml:space="preserve">factsheet_link</t>
  </si>
  <si>
    <t xml:space="preserve">United States</t>
  </si>
  <si>
    <t xml:space="preserve">low</t>
  </si>
  <si>
    <t xml:space="preserve">https://www.msci.com/documents/10199/255599/msci-usa-index-gross.pdf</t>
  </si>
  <si>
    <t xml:space="preserve">Japan</t>
  </si>
  <si>
    <t xml:space="preserve">med</t>
  </si>
  <si>
    <t xml:space="preserve">https://www.msci.com/documents/10199/255599/msci-japan-index.pdf</t>
  </si>
  <si>
    <t xml:space="preserve">United Kingdom</t>
  </si>
  <si>
    <t xml:space="preserve">https://www.msci.com/documents/10199/255599/msci-unitedkingdom-index.pdf</t>
  </si>
  <si>
    <t xml:space="preserve">Canada</t>
  </si>
  <si>
    <t xml:space="preserve">https://www.msci.com/documents/10199/255599/msci-canada-index-gross-usd.pdf</t>
  </si>
  <si>
    <t xml:space="preserve">China</t>
  </si>
  <si>
    <t xml:space="preserve">https://www.msci.com/documents/10199/255599/msci-china-index.pdf</t>
  </si>
  <si>
    <t xml:space="preserve">Taiwan</t>
  </si>
  <si>
    <t xml:space="preserve">https://www.msci.com/documents/10199/255599/msci-taiwan-index.pdf</t>
  </si>
  <si>
    <t xml:space="preserve">France</t>
  </si>
  <si>
    <t xml:space="preserve">https://www.msci.com/documents/10199/255599/msci-france-index.pdf</t>
  </si>
  <si>
    <t xml:space="preserve">Switzerland</t>
  </si>
  <si>
    <t xml:space="preserve">https://www.msci.com/documents/10199/255599/msci-switzerland-index.pdf</t>
  </si>
  <si>
    <t xml:space="preserve">South Korea</t>
  </si>
  <si>
    <t xml:space="preserve">high</t>
  </si>
  <si>
    <t xml:space="preserve">https://www.msci.com/documents/10199/255599/msci-korea-index.pdf</t>
  </si>
  <si>
    <t xml:space="preserve">Germany</t>
  </si>
  <si>
    <t xml:space="preserve">https://www.msci.com/documents/10199/255599/msci-germany-index.pdf</t>
  </si>
  <si>
    <t xml:space="preserve">India</t>
  </si>
  <si>
    <t xml:space="preserve">https://www.msci.com/documents/10199/255599/msci-india-index-gross-usd.pdf</t>
  </si>
  <si>
    <t xml:space="preserve">Australia</t>
  </si>
  <si>
    <t xml:space="preserve">https://www.msci.com/documents/10199/255599/msci-australia-index.pdf</t>
  </si>
  <si>
    <t xml:space="preserve">Netherlands</t>
  </si>
  <si>
    <t xml:space="preserve">https://www.msci.com/documents/10199/255599/msci-netherlands-index-usd-gross.pdf</t>
  </si>
  <si>
    <t xml:space="preserve">Spain</t>
  </si>
  <si>
    <t xml:space="preserve">https://www.msci.com/documents/10199/255599/msci-spain-index.pdf</t>
  </si>
  <si>
    <t xml:space="preserve">Sweden</t>
  </si>
  <si>
    <t xml:space="preserve">https://www.msci.com/documents/10199/255599/msci-sweden-index.pdf</t>
  </si>
  <si>
    <t xml:space="preserve">Italy</t>
  </si>
  <si>
    <t xml:space="preserve">https://www.msci.com/documents/10199/255599/msci-italy-index.pdf</t>
  </si>
  <si>
    <t xml:space="preserve">Brazil</t>
  </si>
  <si>
    <t xml:space="preserve">https://www.msci.com/documents/10199/255599/msci-brazil-index.pdf</t>
  </si>
  <si>
    <t xml:space="preserve">South Africa</t>
  </si>
  <si>
    <t xml:space="preserve">https://www.msci.com/documents/10199/255599/msci-south-africa-usd-gross.pdf</t>
  </si>
  <si>
    <t xml:space="preserve">Hong Kong</t>
  </si>
  <si>
    <t xml:space="preserve">https://www.msci.com/documents/10199/255599/msci-hong-kong-index.pdf</t>
  </si>
  <si>
    <t xml:space="preserve">Saudi Arabia</t>
  </si>
  <si>
    <t xml:space="preserve">https://www.msci.com/documents/10199/255599/msci-saudi-arabia-index-usd-gross.pdf</t>
  </si>
  <si>
    <t xml:space="preserve">Singapore</t>
  </si>
  <si>
    <t xml:space="preserve">https://www.msci.com/documents/10199/255599/msci-singapore-index.pdf</t>
  </si>
  <si>
    <t xml:space="preserve">Denmark</t>
  </si>
  <si>
    <t xml:space="preserve">https://www.msci.com/documents/10199/255599/msci-denmark-index-usd-gross.pdf</t>
  </si>
  <si>
    <t xml:space="preserve">Finland</t>
  </si>
  <si>
    <t xml:space="preserve">https://www.msci.com/documents/10199/255599/msci-finland-index-usd-net.pdf</t>
  </si>
  <si>
    <t xml:space="preserve">Belgium</t>
  </si>
  <si>
    <t xml:space="preserve">https://www.msci.com/documents/10199/255599/msci-belgium-index-usd-net.pdf</t>
  </si>
  <si>
    <t xml:space="preserve">Mexico</t>
  </si>
  <si>
    <t xml:space="preserve">https://www.msci.com/documents/10199/255599/msci-mexico-index-usd-net.pdf</t>
  </si>
  <si>
    <t xml:space="preserve">Israel</t>
  </si>
  <si>
    <t xml:space="preserve">https://www.msci.com/documents/10199/255599/msci-israel-index-usd-net.pdf</t>
  </si>
  <si>
    <t xml:space="preserve">United Arab Emirates</t>
  </si>
  <si>
    <t xml:space="preserve">https://www.msci.com/documents/10199/255599/msci-uae-index.pdf</t>
  </si>
  <si>
    <t xml:space="preserve">Norway</t>
  </si>
  <si>
    <t xml:space="preserve">https://www.msci.com/documents/10199/255599/msci-norway-index-usd-gross.pdf</t>
  </si>
  <si>
    <t xml:space="preserve">Malaysia</t>
  </si>
  <si>
    <t xml:space="preserve">https://www.msci.com/documents/10199/255599/msci-malaysia-index.pdf</t>
  </si>
  <si>
    <t xml:space="preserve">Thailand</t>
  </si>
  <si>
    <t xml:space="preserve">https://www.msci.com/documents/10199/255599/msci-thailand-index.pdf</t>
  </si>
  <si>
    <t xml:space="preserve">Poland</t>
  </si>
  <si>
    <t xml:space="preserve">https://www.msci.com/documents/10199/255599/msci-poland-index-usd-gross.pdf</t>
  </si>
  <si>
    <t xml:space="preserve">Indonesia</t>
  </si>
  <si>
    <t xml:space="preserve">https://www.msci.com/documents/10199/255599/msci-indonesia-index.pdf</t>
  </si>
  <si>
    <t xml:space="preserve">Ireland</t>
  </si>
  <si>
    <t xml:space="preserve">https://www.msci.com/documents/10199/255599/msci-ireland-index-usd-net.pdf</t>
  </si>
  <si>
    <t xml:space="preserve">Qatar</t>
  </si>
  <si>
    <t xml:space="preserve">https://www.msci.com/documents/10199/255599/msci-qatar-index-usd-net.pdf</t>
  </si>
  <si>
    <t xml:space="preserve">Chile</t>
  </si>
  <si>
    <t xml:space="preserve">https://www.msci.com/documents/10199/255599/msci-chile-index-net.pdf</t>
  </si>
  <si>
    <t xml:space="preserve">Greece</t>
  </si>
  <si>
    <t xml:space="preserve">https://www.msci.com/documents/10199/255599/msci-greece-index-usd-net.pdf</t>
  </si>
  <si>
    <t xml:space="preserve">Vietnam</t>
  </si>
  <si>
    <t xml:space="preserve">https://www.msci.com/documents/10199/255599/msci-vietnam-index.pdf</t>
  </si>
  <si>
    <t xml:space="preserve">Austria</t>
  </si>
  <si>
    <t xml:space="preserve">https://www.msci.com/documents/10199/255599/msci-austria-index-usd-gross.pdf</t>
  </si>
  <si>
    <t xml:space="preserve">Turkey</t>
  </si>
  <si>
    <t xml:space="preserve">https://www.msci.com/documents/10199/255599/msci-turkey-index-gross-usd.pdf</t>
  </si>
  <si>
    <t xml:space="preserve">Peru</t>
  </si>
  <si>
    <t xml:space="preserve">https://www.msci.com/documents/10199/255599/msci-peru-index-net.pdf</t>
  </si>
  <si>
    <t xml:space="preserve">Portugal</t>
  </si>
  <si>
    <t xml:space="preserve">https://www.msci.com/documents/10199/255599/msci-portugal-index-usd-gross.pdf</t>
  </si>
  <si>
    <t xml:space="preserve">Philippines</t>
  </si>
  <si>
    <t xml:space="preserve">https://www.msci.com/documents/10199/255599/msci-philippines-index.pdf</t>
  </si>
  <si>
    <t xml:space="preserve">New Zealand</t>
  </si>
  <si>
    <t xml:space="preserve">https://www.msci.com/documents/10199/255599/msci-new-zealand-index.pdf</t>
  </si>
  <si>
    <t xml:space="preserve">Hungary</t>
  </si>
  <si>
    <t xml:space="preserve">https://www.msci.com/documents/10199/255599/msci-hungary-index.pdf</t>
  </si>
  <si>
    <t xml:space="preserve">Argentina</t>
  </si>
  <si>
    <t xml:space="preserve">https://www.msci.com/documents/10199/255599/msci-argentina-index-net.pdf</t>
  </si>
  <si>
    <t xml:space="preserve">Romania</t>
  </si>
  <si>
    <t xml:space="preserve">https://www.msci.com/documents/10199/255599/msci-romania-index-usd-net.pdf</t>
  </si>
  <si>
    <t xml:space="preserve">Country Disconnect Dashboard (As of Feb 27, 2026)</t>
  </si>
  <si>
    <t xml:space="preserve">Time Period =</t>
  </si>
  <si>
    <t xml:space="preserve">10Y</t>
  </si>
  <si>
    <t xml:space="preserve">Country</t>
  </si>
  <si>
    <t xml:space="preserve">nGDP (USD) CAGR (%)</t>
  </si>
  <si>
    <t xml:space="preserve">MSCI Index Return (USD) CAGR (%)</t>
  </si>
  <si>
    <t xml:space="preserve">Macro Gap (%)</t>
  </si>
  <si>
    <t xml:space="preserve">Projected Growth (2026-28) CAGR (%)</t>
  </si>
  <si>
    <t xml:space="preserve">REER Index</t>
  </si>
  <si>
    <t xml:space="preserve">Implied currency effect from REER</t>
  </si>
  <si>
    <t xml:space="preserve">Forward rate for USD/LCU 1 year out (% change)</t>
  </si>
  <si>
    <t xml:space="preserve">Avg Currency signals</t>
  </si>
  <si>
    <t xml:space="preserve">Currency Valuation</t>
  </si>
  <si>
    <t xml:space="preserve">Impact of $10 Oil Price rise relative to GDP (%)</t>
  </si>
  <si>
    <t xml:space="preserve">Oil Sensitivity</t>
  </si>
  <si>
    <t xml:space="preserve">nGDP 2025 ($ billion)</t>
  </si>
  <si>
    <t xml:space="preserve">USD/LCU spot rate as of March, 2026</t>
  </si>
  <si>
    <t xml:space="preserve">Futures rate for USD/LCU (1 years out from Mar 19, 2026)</t>
  </si>
  <si>
    <t xml:space="preserve">Index Market Cap ($ billion)</t>
  </si>
  <si>
    <t xml:space="preserve">Top 10 Float Adj Mkt Cap ($ billion)</t>
  </si>
  <si>
    <t xml:space="preserve">P/E</t>
  </si>
  <si>
    <t xml:space="preserve">MSCI Factsheet Link</t>
  </si>
  <si>
    <t xml:space="preserve">N/A</t>
  </si>
  <si>
    <t xml:space="preserve">Column Name</t>
  </si>
  <si>
    <t xml:space="preserve">Definition</t>
  </si>
  <si>
    <t xml:space="preserve">Data Source</t>
  </si>
  <si>
    <t xml:space="preserve">Data as of</t>
  </si>
  <si>
    <t xml:space="preserve">Source Link</t>
  </si>
  <si>
    <t xml:space="preserve">Annualized growth rate of country's nominal GDP in USD terms over selected period</t>
  </si>
  <si>
    <t xml:space="preserve">WEO Database, IMF</t>
  </si>
  <si>
    <t xml:space="preserve">Oct 2025</t>
  </si>
  <si>
    <t xml:space="preserve">https://data.imf.org/en/Data-Explorer</t>
  </si>
  <si>
    <t xml:space="preserve">MSCI Index Returns (USD) CAGR (%)</t>
  </si>
  <si>
    <t xml:space="preserve">Annualized return of the MSCI country equity index over a selected period.</t>
  </si>
  <si>
    <t xml:space="preserve">MSCI Factsheets</t>
  </si>
  <si>
    <t xml:space="preserve">Feb 27, 2026</t>
  </si>
  <si>
    <t xml:space="preserve">Difference between a country's GDP growth (USD) and its index return (USD) over the same period.</t>
  </si>
  <si>
    <t xml:space="preserve">Projected Growth (26-28) CAGR (%)</t>
  </si>
  <si>
    <t xml:space="preserve">IMF forecast of annualized nominal GDP growth in USD terms for 2026-2028.</t>
  </si>
  <si>
    <t xml:space="preserve">Latest level of the BIS Real Effective Exchange Rate (base year 2020=100). Shows currency change since 2020.</t>
  </si>
  <si>
    <t xml:space="preserve">Bank of International Settlements</t>
  </si>
  <si>
    <t xml:space="preserve">Feb 2026</t>
  </si>
  <si>
    <t xml:space="preserve">https://data.bis.org/topics/EER/data?data_view=tab</t>
  </si>
  <si>
    <t xml:space="preserve">Estimated percentage overvaluation (+) or undervaluation (-) based on REER deviation from 100. Simplified heuristic.</t>
  </si>
  <si>
    <t xml:space="preserve">Market-implied forecast of how much the Local Currency will move against USD over next 12 months.</t>
  </si>
  <si>
    <t xml:space="preserve">FXEmpire</t>
  </si>
  <si>
    <t xml:space="preserve">2026-03-19</t>
  </si>
  <si>
    <t xml:space="preserve">Composite indicator averaging multiple currency valuation signals (REER implied + forward rate).</t>
  </si>
  <si>
    <t xml:space="preserve">Currency Forecast</t>
  </si>
  <si>
    <t xml:space="preserve">Classification of expected currency direction based on Avg Currency Signals.</t>
  </si>
  <si>
    <t xml:space="preserve">Economic sensitivity metric: value of $10/barrel oil price increase as % of GDP.</t>
  </si>
  <si>
    <t xml:space="preserve">WITS, World Bank</t>
  </si>
  <si>
    <t xml:space="preserve">2024</t>
  </si>
  <si>
    <t xml:space="preserve">https://wits.worldbank.org/trade/comtrade/en/country/all</t>
  </si>
  <si>
    <t xml:space="preserve">Categorical classification of economic vulnerability to oil price shocks (low/medium/high).</t>
  </si>
  <si>
    <t xml:space="preserve">Nominal GDP level in 2025, in billions of USD.</t>
  </si>
  <si>
    <t xml:space="preserve">USD/LCU spot rate as of Mar 19, 2026</t>
  </si>
  <si>
    <t xml:space="preserve">Current spot exchange rate: how many Local Currency Units per 1 USD.</t>
  </si>
  <si>
    <t xml:space="preserve">1-year forward exchange rate: market-implied future LCU per USD.</t>
  </si>
  <si>
    <t xml:space="preserve">Total market capitalization of MSCI country index, in billions USD.</t>
  </si>
  <si>
    <t xml:space="preserve">Market cap of top 10 holdings in MSCI country index, in billions USD.</t>
  </si>
  <si>
    <t xml:space="preserve">Price-to-earnings ratio of MSCI country index.</t>
  </si>
  <si>
    <t xml:space="preserve">URL to MSCI country index factsheet PDF.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</si>
</sst>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.00"/>
    <numFmt numFmtId="167" formatCode="#,##0.00"/>
    <numFmt numFmtId="168" formatCode="0.0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CC"/>
          <bgColor rgb="FF000000"/>
        </patternFill>
      </fill>
    </dxf>
    <dxf>
      <fill>
        <patternFill patternType="solid">
          <fgColor rgb="FF996600"/>
          <bgColor rgb="FF000000"/>
        </patternFill>
      </fill>
    </dxf>
    <dxf>
      <fill>
        <patternFill>
          <bgColor rgb="FFE2F0D9"/>
        </patternFill>
      </fill>
    </dxf>
    <dxf>
      <fill>
        <patternFill>
          <bgColor rgb="FFA9D08E"/>
        </patternFill>
      </fill>
    </dxf>
    <dxf>
      <fill>
        <patternFill>
          <bgColor rgb="FFFCE4D6"/>
        </patternFill>
      </fill>
    </dxf>
    <dxf>
      <font>
        <name val="Calibri"/>
        <charset val="1"/>
        <family val="2"/>
        <color rgb="FF000000"/>
        <sz val="11"/>
      </font>
      <alignment horizontal="general" vertical="bottom" textRotation="0" wrapText="false" indent="0" shrinkToFit="false"/>
    </dxf>
    <dxf>
      <font>
        <name val="Calibri"/>
        <charset val="1"/>
        <family val="2"/>
        <color rgb="FF996600"/>
        <sz val="11"/>
      </font>
      <fill>
        <patternFill>
          <bgColor rgb="FFFFFFCC"/>
        </patternFill>
      </fill>
      <alignment horizontal="general" vertical="bottom" textRotation="0" wrapText="false" indent="0" shrinkToFit="false"/>
    </dxf>
  </dxf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96600"/>
      <rgbColor rgb="FF800080"/>
      <rgbColor rgb="FF008080"/>
      <rgbColor rgb="FFA9D0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47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customFormat="false" ht="15" hidden="false" customHeight="false" outlineLevel="0" collapsed="false">
      <c r="A2" s="0" t="s">
        <v>21</v>
      </c>
      <c r="B2" s="0" t="n">
        <v>0.1657</v>
      </c>
      <c r="C2" s="0" t="n">
        <v>0.2179</v>
      </c>
      <c r="D2" s="0" t="n">
        <v>0.1358</v>
      </c>
      <c r="E2" s="0" t="n">
        <v>0.1549</v>
      </c>
      <c r="F2" s="0" t="n">
        <v>0.0449763422619784</v>
      </c>
      <c r="G2" s="0" t="n">
        <v>0.0492046225438008</v>
      </c>
      <c r="H2" s="0" t="n">
        <v>0.0658146145846452</v>
      </c>
      <c r="I2" s="0" t="n">
        <v>0.0556484354156588</v>
      </c>
      <c r="J2" s="0" t="n">
        <v>105.88</v>
      </c>
      <c r="K2" s="0" t="n">
        <v>0.0588</v>
      </c>
      <c r="L2" s="0" t="n">
        <v>0</v>
      </c>
      <c r="M2" s="0" t="n">
        <v>1</v>
      </c>
      <c r="N2" s="0" t="n">
        <v>0.094522</v>
      </c>
      <c r="O2" s="0" t="s">
        <v>22</v>
      </c>
      <c r="P2" s="0" t="n">
        <v>30615.743</v>
      </c>
      <c r="Q2" s="0" t="n">
        <v>0.0375872657986942</v>
      </c>
      <c r="R2" s="0" t="n">
        <v>59782.4572</v>
      </c>
      <c r="S2" s="0" t="n">
        <v>21174.69</v>
      </c>
      <c r="T2" s="0" t="n">
        <v>27.18</v>
      </c>
      <c r="U2" s="0" t="s">
        <v>23</v>
      </c>
    </row>
    <row r="3" customFormat="false" ht="15" hidden="false" customHeight="false" outlineLevel="0" collapsed="false">
      <c r="A3" s="0" t="s">
        <v>24</v>
      </c>
      <c r="B3" s="0" t="n">
        <v>0.4447</v>
      </c>
      <c r="C3" s="0" t="n">
        <v>0.2298</v>
      </c>
      <c r="D3" s="0" t="n">
        <v>0.1005</v>
      </c>
      <c r="E3" s="0" t="n">
        <v>0.1085</v>
      </c>
      <c r="F3" s="0" t="n">
        <v>0.0647975235993992</v>
      </c>
      <c r="G3" s="0" t="n">
        <v>0.00890949506285299</v>
      </c>
      <c r="H3" s="0" t="n">
        <v>-0.0400086928141025</v>
      </c>
      <c r="I3" s="0" t="n">
        <v>-0.0172124132454432</v>
      </c>
      <c r="J3" s="0" t="n">
        <v>67.03</v>
      </c>
      <c r="K3" s="0" t="n">
        <v>-0.3297</v>
      </c>
      <c r="L3" s="0" t="n">
        <v>0.0286944225450815</v>
      </c>
      <c r="M3" s="0" t="n">
        <v>159.822</v>
      </c>
      <c r="N3" s="0" t="n">
        <v>0.34735</v>
      </c>
      <c r="O3" s="0" t="s">
        <v>25</v>
      </c>
      <c r="P3" s="0" t="n">
        <v>4279.828</v>
      </c>
      <c r="Q3" s="0" t="n">
        <v>0.0392180112639289</v>
      </c>
      <c r="R3" s="0" t="n">
        <v>5230.52996</v>
      </c>
      <c r="S3" s="0" t="n">
        <v>1472.02</v>
      </c>
      <c r="T3" s="0" t="n">
        <v>20.45</v>
      </c>
      <c r="U3" s="0" t="s">
        <v>26</v>
      </c>
    </row>
    <row r="4" customFormat="false" ht="15" hidden="false" customHeight="false" outlineLevel="0" collapsed="false">
      <c r="A4" s="0" t="s">
        <v>27</v>
      </c>
      <c r="B4" s="0" t="n">
        <v>0.3711</v>
      </c>
      <c r="C4" s="0" t="n">
        <v>0.1974</v>
      </c>
      <c r="D4" s="0" t="n">
        <v>0.1488</v>
      </c>
      <c r="E4" s="0" t="n">
        <v>0.0973</v>
      </c>
      <c r="F4" s="0" t="n">
        <v>0.0861935183650713</v>
      </c>
      <c r="G4" s="0" t="n">
        <v>0.083661655584333</v>
      </c>
      <c r="H4" s="0" t="n">
        <v>0.0592951391569303</v>
      </c>
      <c r="I4" s="0" t="n">
        <v>0.0434766573972978</v>
      </c>
      <c r="J4" s="0" t="n">
        <v>111.25</v>
      </c>
      <c r="K4" s="0" t="n">
        <v>0.1125</v>
      </c>
      <c r="L4" s="0" t="n">
        <v>-0.0026444832301985</v>
      </c>
      <c r="M4" s="0" t="n">
        <v>0.753573823859654</v>
      </c>
      <c r="N4" s="0" t="n">
        <v>0.085493</v>
      </c>
      <c r="O4" s="0" t="s">
        <v>22</v>
      </c>
      <c r="P4" s="0" t="n">
        <v>3958.78</v>
      </c>
      <c r="Q4" s="0" t="n">
        <v>0.0516430982659855</v>
      </c>
      <c r="R4" s="0" t="n">
        <v>3350.53447</v>
      </c>
      <c r="S4" s="0" t="n">
        <v>1758.78</v>
      </c>
      <c r="T4" s="0" t="n">
        <v>16.86</v>
      </c>
      <c r="U4" s="0" t="s">
        <v>28</v>
      </c>
    </row>
    <row r="5" customFormat="false" ht="15" hidden="false" customHeight="false" outlineLevel="0" collapsed="false">
      <c r="A5" s="0" t="s">
        <v>29</v>
      </c>
      <c r="B5" s="0" t="n">
        <v>0.4297</v>
      </c>
      <c r="C5" s="0" t="n">
        <v>0.2289</v>
      </c>
      <c r="D5" s="0" t="n">
        <v>0.1561</v>
      </c>
      <c r="E5" s="0" t="n">
        <v>0.1354</v>
      </c>
      <c r="F5" s="0" t="n">
        <v>0.0178112591297077</v>
      </c>
      <c r="G5" s="0" t="n">
        <v>0.0250524440683269</v>
      </c>
      <c r="H5" s="0" t="n">
        <v>0.0308350177480452</v>
      </c>
      <c r="I5" s="0" t="n">
        <v>0.0456554977746444</v>
      </c>
      <c r="J5" s="0" t="n">
        <v>97.02</v>
      </c>
      <c r="K5" s="0" t="n">
        <v>-0.0298</v>
      </c>
      <c r="L5" s="0" t="n">
        <v>0.0132678562321037</v>
      </c>
      <c r="M5" s="0" t="n">
        <v>1.37249</v>
      </c>
      <c r="N5" s="0" t="n">
        <v>0.078615</v>
      </c>
      <c r="O5" s="0" t="s">
        <v>22</v>
      </c>
      <c r="P5" s="0" t="n">
        <v>2283.599</v>
      </c>
      <c r="Q5" s="0" t="n">
        <v>0.0468109391451741</v>
      </c>
      <c r="R5" s="0" t="n">
        <v>3031.37641</v>
      </c>
      <c r="S5" s="0" t="n">
        <v>1263.14</v>
      </c>
      <c r="T5" s="0" t="n">
        <v>21.56</v>
      </c>
      <c r="U5" s="0" t="s">
        <v>30</v>
      </c>
    </row>
    <row r="6" customFormat="false" ht="15" hidden="false" customHeight="false" outlineLevel="0" collapsed="false">
      <c r="A6" s="0" t="s">
        <v>31</v>
      </c>
      <c r="B6" s="0" t="n">
        <v>0.1493</v>
      </c>
      <c r="C6" s="0" t="n">
        <v>0.1128</v>
      </c>
      <c r="D6" s="0" t="n">
        <v>-0.0446</v>
      </c>
      <c r="E6" s="0" t="n">
        <v>0.0729</v>
      </c>
      <c r="F6" s="0" t="n">
        <v>0.0346040714443316</v>
      </c>
      <c r="G6" s="0" t="n">
        <v>0.0304133840038379</v>
      </c>
      <c r="H6" s="0" t="n">
        <v>0.0162007254306869</v>
      </c>
      <c r="I6" s="0" t="n">
        <v>0.0603491785623118</v>
      </c>
      <c r="J6" s="0" t="n">
        <v>90.23</v>
      </c>
      <c r="K6" s="0" t="n">
        <v>-0.0977</v>
      </c>
      <c r="L6" s="0" t="n">
        <v>0.0224366409557502</v>
      </c>
      <c r="M6" s="0" t="n">
        <v>6.8972</v>
      </c>
      <c r="N6" s="0" t="n">
        <v>0.250584</v>
      </c>
      <c r="O6" s="0" t="s">
        <v>25</v>
      </c>
      <c r="P6" s="0" t="n">
        <v>19398.577</v>
      </c>
      <c r="Q6" s="0" t="n">
        <v>0.0656539726980256</v>
      </c>
      <c r="R6" s="0" t="n">
        <v>2787.66186</v>
      </c>
      <c r="S6" s="0" t="n">
        <v>1237.28</v>
      </c>
      <c r="T6" s="0" t="n">
        <v>14.36</v>
      </c>
      <c r="U6" s="0" t="s">
        <v>32</v>
      </c>
    </row>
    <row r="7" customFormat="false" ht="15" hidden="false" customHeight="false" outlineLevel="0" collapsed="false">
      <c r="A7" s="0" t="s">
        <v>33</v>
      </c>
      <c r="B7" s="0" t="n">
        <v>0.7742</v>
      </c>
      <c r="C7" s="0" t="n">
        <v>0.4079</v>
      </c>
      <c r="D7" s="0" t="n">
        <v>0.2019</v>
      </c>
      <c r="E7" s="0" t="n">
        <v>0.2275</v>
      </c>
      <c r="F7" s="0" t="n">
        <v>0.109639349363366</v>
      </c>
      <c r="G7" s="0" t="n">
        <v>0.0806303506515165</v>
      </c>
      <c r="H7" s="0" t="n">
        <v>0.0329046287488322</v>
      </c>
      <c r="I7" s="0" t="n">
        <v>0.0556765148590706</v>
      </c>
      <c r="J7" s="0" t="n">
        <v>96.71</v>
      </c>
      <c r="K7" s="0" t="n">
        <v>-0.0329000000000001</v>
      </c>
      <c r="L7" s="0" t="n">
        <v>0</v>
      </c>
      <c r="M7" s="0" t="n">
        <v>32.0504</v>
      </c>
      <c r="P7" s="0" t="n">
        <v>884.387</v>
      </c>
      <c r="Q7" s="0" t="n">
        <v>0.0421050744635247</v>
      </c>
      <c r="R7" s="0" t="n">
        <v>2639.81659</v>
      </c>
      <c r="S7" s="0" t="n">
        <v>2026.53</v>
      </c>
      <c r="T7" s="0" t="n">
        <v>27.53</v>
      </c>
      <c r="U7" s="0" t="s">
        <v>34</v>
      </c>
    </row>
    <row r="8" customFormat="false" ht="15" hidden="false" customHeight="false" outlineLevel="0" collapsed="false">
      <c r="A8" s="0" t="s">
        <v>35</v>
      </c>
      <c r="B8" s="0" t="n">
        <v>0.2481</v>
      </c>
      <c r="C8" s="0" t="n">
        <v>0.1307</v>
      </c>
      <c r="D8" s="0" t="n">
        <v>0.1071</v>
      </c>
      <c r="E8" s="0" t="n">
        <v>0.112</v>
      </c>
      <c r="F8" s="0" t="n">
        <v>0.0634802977124884</v>
      </c>
      <c r="G8" s="0" t="n">
        <v>0.0479292864748442</v>
      </c>
      <c r="H8" s="0" t="n">
        <v>0.0315833676156125</v>
      </c>
      <c r="I8" s="0" t="n">
        <v>0.0348486947196416</v>
      </c>
      <c r="J8" s="0" t="n">
        <v>96.27</v>
      </c>
      <c r="K8" s="0" t="n">
        <v>-0.0373</v>
      </c>
      <c r="L8" s="0" t="n">
        <v>0.0142563295856103</v>
      </c>
      <c r="M8" s="0" t="n">
        <v>0.872174</v>
      </c>
      <c r="N8" s="0" t="n">
        <v>0.164005</v>
      </c>
      <c r="O8" s="0" t="s">
        <v>22</v>
      </c>
      <c r="P8" s="0" t="n">
        <v>3361.557</v>
      </c>
      <c r="Q8" s="0" t="n">
        <v>0.0296667655592175</v>
      </c>
      <c r="R8" s="0" t="n">
        <v>2324.18743</v>
      </c>
      <c r="S8" s="0" t="n">
        <v>1311.25</v>
      </c>
      <c r="T8" s="0" t="n">
        <v>20.12</v>
      </c>
      <c r="U8" s="0" t="s">
        <v>36</v>
      </c>
    </row>
    <row r="9" customFormat="false" ht="15" hidden="false" customHeight="false" outlineLevel="0" collapsed="false">
      <c r="A9" s="0" t="s">
        <v>37</v>
      </c>
      <c r="B9" s="0" t="n">
        <v>0.3089</v>
      </c>
      <c r="C9" s="0" t="n">
        <v>0.1823</v>
      </c>
      <c r="D9" s="0" t="n">
        <v>0.1192</v>
      </c>
      <c r="E9" s="0" t="n">
        <v>0.1174</v>
      </c>
      <c r="F9" s="0" t="n">
        <v>0.0687659688771447</v>
      </c>
      <c r="G9" s="0" t="n">
        <v>0.0585503409823593</v>
      </c>
      <c r="H9" s="0" t="n">
        <v>0.0532711195799855</v>
      </c>
      <c r="I9" s="0" t="n">
        <v>0.0427750240817422</v>
      </c>
      <c r="J9" s="0" t="n">
        <v>105.64</v>
      </c>
      <c r="K9" s="0" t="n">
        <v>0.0564</v>
      </c>
      <c r="L9" s="0" t="n">
        <v>0.0370786913967338</v>
      </c>
      <c r="M9" s="0" t="n">
        <v>0.792234</v>
      </c>
      <c r="N9" s="0" t="n">
        <v>0.020245</v>
      </c>
      <c r="O9" s="0" t="s">
        <v>22</v>
      </c>
      <c r="P9" s="0" t="n">
        <v>1002.666</v>
      </c>
      <c r="Q9" s="0" t="n">
        <v>0.0403822852239331</v>
      </c>
      <c r="R9" s="0" t="n">
        <v>2139.45487</v>
      </c>
      <c r="S9" s="0" t="n">
        <v>1586.95</v>
      </c>
      <c r="T9" s="0" t="n">
        <v>20.45</v>
      </c>
      <c r="U9" s="0" t="s">
        <v>38</v>
      </c>
    </row>
    <row r="10" customFormat="false" ht="15" hidden="false" customHeight="false" outlineLevel="0" collapsed="false">
      <c r="A10" s="0" t="s">
        <v>39</v>
      </c>
      <c r="B10" s="0" t="n">
        <v>1.9602</v>
      </c>
      <c r="C10" s="0" t="n">
        <v>0.4187</v>
      </c>
      <c r="D10" s="0" t="n">
        <v>0.1397</v>
      </c>
      <c r="E10" s="0" t="n">
        <v>0.1615</v>
      </c>
      <c r="F10" s="0" t="n">
        <v>-0.00896667782880134</v>
      </c>
      <c r="G10" s="0" t="n">
        <v>0.00372544143400799</v>
      </c>
      <c r="H10" s="0" t="n">
        <v>-0.0109574239728791</v>
      </c>
      <c r="I10" s="0" t="n">
        <v>0.0182911883636259</v>
      </c>
      <c r="J10" s="0" t="n">
        <v>86.72</v>
      </c>
      <c r="K10" s="0" t="n">
        <v>-0.1328</v>
      </c>
      <c r="L10" s="0" t="n">
        <v>0.0111208779500293</v>
      </c>
      <c r="M10" s="0" t="n">
        <v>1501.68</v>
      </c>
      <c r="N10" s="0" t="n">
        <v>0.743633</v>
      </c>
      <c r="O10" s="0" t="s">
        <v>40</v>
      </c>
      <c r="P10" s="0" t="n">
        <v>1858.572</v>
      </c>
      <c r="Q10" s="0" t="n">
        <v>0.041254667138823</v>
      </c>
      <c r="R10" s="0" t="n">
        <v>2120.89292</v>
      </c>
      <c r="S10" s="0" t="n">
        <v>1465.21</v>
      </c>
      <c r="T10" s="0" t="n">
        <v>23.73</v>
      </c>
      <c r="U10" s="0" t="s">
        <v>41</v>
      </c>
    </row>
    <row r="11" customFormat="false" ht="15" hidden="false" customHeight="false" outlineLevel="0" collapsed="false">
      <c r="A11" s="0" t="s">
        <v>42</v>
      </c>
      <c r="B11" s="0" t="n">
        <v>0.2607</v>
      </c>
      <c r="C11" s="0" t="n">
        <v>0.2138</v>
      </c>
      <c r="D11" s="0" t="n">
        <v>0.1033</v>
      </c>
      <c r="E11" s="0" t="n">
        <v>0.1014</v>
      </c>
      <c r="F11" s="0" t="n">
        <v>0.0703200686907555</v>
      </c>
      <c r="G11" s="0" t="n">
        <v>0.0481503722042507</v>
      </c>
      <c r="H11" s="0" t="n">
        <v>0.0356461347853752</v>
      </c>
      <c r="I11" s="0" t="n">
        <v>0.0395632500979577</v>
      </c>
      <c r="J11" s="0" t="n">
        <v>101.86</v>
      </c>
      <c r="K11" s="0" t="n">
        <v>0.0186</v>
      </c>
      <c r="L11" s="0" t="n">
        <v>0.0142563295856103</v>
      </c>
      <c r="M11" s="0" t="n">
        <v>0.872174</v>
      </c>
      <c r="N11" s="0" t="n">
        <v>0.131487</v>
      </c>
      <c r="O11" s="0" t="s">
        <v>22</v>
      </c>
      <c r="P11" s="0" t="n">
        <v>5013.574</v>
      </c>
      <c r="Q11" s="0" t="n">
        <v>0.0319736446013741</v>
      </c>
      <c r="R11" s="0" t="n">
        <v>2073.81193</v>
      </c>
      <c r="S11" s="0" t="n">
        <v>1277.13</v>
      </c>
      <c r="T11" s="0" t="n">
        <v>18.77</v>
      </c>
      <c r="U11" s="0" t="s">
        <v>43</v>
      </c>
    </row>
    <row r="12" customFormat="false" ht="15" hidden="false" customHeight="false" outlineLevel="0" collapsed="false">
      <c r="A12" s="0" t="s">
        <v>44</v>
      </c>
      <c r="B12" s="0" t="n">
        <v>0.1314</v>
      </c>
      <c r="C12" s="0" t="n">
        <v>0.1391</v>
      </c>
      <c r="D12" s="0" t="n">
        <v>0.093</v>
      </c>
      <c r="E12" s="0" t="n">
        <v>0.1139</v>
      </c>
      <c r="F12" s="0" t="n">
        <v>0.0550708306009475</v>
      </c>
      <c r="G12" s="0" t="n">
        <v>0.0647866465354017</v>
      </c>
      <c r="H12" s="0" t="n">
        <v>0.0682927679279939</v>
      </c>
      <c r="I12" s="0" t="n">
        <v>0.0673337288655791</v>
      </c>
      <c r="J12" s="0" t="n">
        <v>90.51</v>
      </c>
      <c r="K12" s="0" t="n">
        <v>-0.0948999999999999</v>
      </c>
      <c r="L12" s="0" t="n">
        <v>-0.027681479090645</v>
      </c>
      <c r="M12" s="0" t="n">
        <v>93.2573</v>
      </c>
      <c r="N12" s="0" t="n">
        <v>0.512929</v>
      </c>
      <c r="O12" s="0" t="s">
        <v>40</v>
      </c>
      <c r="P12" s="0" t="n">
        <v>4125.213</v>
      </c>
      <c r="Q12" s="0" t="n">
        <v>0.100994458484211</v>
      </c>
      <c r="R12" s="0" t="n">
        <v>1504.29162</v>
      </c>
      <c r="S12" s="0" t="n">
        <v>543.2</v>
      </c>
      <c r="T12" s="0" t="n">
        <v>25.36</v>
      </c>
      <c r="U12" s="0" t="s">
        <v>45</v>
      </c>
    </row>
    <row r="13" customFormat="false" ht="15" hidden="false" customHeight="false" outlineLevel="0" collapsed="false">
      <c r="A13" s="0" t="s">
        <v>46</v>
      </c>
      <c r="B13" s="0" t="n">
        <v>0.3095</v>
      </c>
      <c r="C13" s="0" t="n">
        <v>0.1407</v>
      </c>
      <c r="D13" s="0" t="n">
        <v>0.0921</v>
      </c>
      <c r="E13" s="0" t="n">
        <v>0.1082</v>
      </c>
      <c r="F13" s="0" t="n">
        <v>0.0189452250413815</v>
      </c>
      <c r="G13" s="0" t="n">
        <v>0.0247178871551046</v>
      </c>
      <c r="H13" s="0" t="n">
        <v>0.025248439569677</v>
      </c>
      <c r="I13" s="0" t="n">
        <v>0.042064937287758</v>
      </c>
      <c r="J13" s="0" t="n">
        <v>114.14</v>
      </c>
      <c r="K13" s="0" t="n">
        <v>0.1414</v>
      </c>
      <c r="L13" s="0" t="n">
        <v>0.004139037884867</v>
      </c>
      <c r="M13" s="0" t="n">
        <v>1.42062</v>
      </c>
      <c r="N13" s="0" t="n">
        <v>0.037565</v>
      </c>
      <c r="O13" s="0" t="s">
        <v>22</v>
      </c>
      <c r="P13" s="0" t="n">
        <v>1829.508</v>
      </c>
      <c r="Q13" s="0" t="n">
        <v>0.0461046807354535</v>
      </c>
      <c r="R13" s="0" t="n">
        <v>1492.80576</v>
      </c>
      <c r="S13" s="0" t="n">
        <v>972.15</v>
      </c>
      <c r="T13" s="0" t="n">
        <v>21.63</v>
      </c>
      <c r="U13" s="0" t="s">
        <v>47</v>
      </c>
    </row>
    <row r="14" customFormat="false" ht="15" hidden="false" customHeight="false" outlineLevel="0" collapsed="false">
      <c r="A14" s="0" t="s">
        <v>48</v>
      </c>
      <c r="B14" s="0" t="n">
        <v>0.5097</v>
      </c>
      <c r="C14" s="0" t="n">
        <v>0.2232</v>
      </c>
      <c r="D14" s="0" t="n">
        <v>0.1212</v>
      </c>
      <c r="E14" s="0" t="n">
        <v>0.1477</v>
      </c>
      <c r="F14" s="0" t="n">
        <v>0.0873343641576141</v>
      </c>
      <c r="G14" s="0" t="n">
        <v>0.0783007213571734</v>
      </c>
      <c r="H14" s="0" t="n">
        <v>0.0577055501887591</v>
      </c>
      <c r="I14" s="0" t="n">
        <v>0.0577250200147299</v>
      </c>
      <c r="J14" s="0" t="n">
        <v>106.2</v>
      </c>
      <c r="K14" s="0" t="n">
        <v>0.062</v>
      </c>
      <c r="L14" s="0" t="n">
        <v>0.0142563295856103</v>
      </c>
      <c r="M14" s="0" t="n">
        <v>0.872174</v>
      </c>
      <c r="N14" s="0" t="n">
        <v>0.571043</v>
      </c>
      <c r="O14" s="0" t="s">
        <v>40</v>
      </c>
      <c r="P14" s="0" t="n">
        <v>1320.635</v>
      </c>
      <c r="Q14" s="0" t="n">
        <v>0.0332206179850476</v>
      </c>
      <c r="R14" s="0" t="n">
        <v>1180.79476</v>
      </c>
      <c r="S14" s="0" t="n">
        <v>936.25</v>
      </c>
      <c r="T14" s="0" t="n">
        <v>23.84</v>
      </c>
      <c r="U14" s="0" t="s">
        <v>49</v>
      </c>
    </row>
    <row r="15" customFormat="false" ht="15" hidden="false" customHeight="false" outlineLevel="0" collapsed="false">
      <c r="A15" s="0" t="s">
        <v>50</v>
      </c>
      <c r="B15" s="0" t="n">
        <v>0.6453</v>
      </c>
      <c r="C15" s="0" t="n">
        <v>0.3581</v>
      </c>
      <c r="D15" s="0" t="n">
        <v>0.2197</v>
      </c>
      <c r="E15" s="0" t="n">
        <v>0.134</v>
      </c>
      <c r="F15" s="0" t="n">
        <v>0.0963503505778041</v>
      </c>
      <c r="G15" s="0" t="n">
        <v>0.080532146286183</v>
      </c>
      <c r="H15" s="0" t="n">
        <v>0.0664519643151296</v>
      </c>
      <c r="I15" s="0" t="n">
        <v>0.0477770308792882</v>
      </c>
      <c r="J15" s="0" t="n">
        <v>103.66</v>
      </c>
      <c r="K15" s="0" t="n">
        <v>0.0366</v>
      </c>
      <c r="L15" s="0" t="n">
        <v>0.0142563295856103</v>
      </c>
      <c r="M15" s="0" t="n">
        <v>0.872174</v>
      </c>
      <c r="N15" s="0" t="n">
        <v>0.281916</v>
      </c>
      <c r="O15" s="0" t="s">
        <v>25</v>
      </c>
      <c r="P15" s="0" t="n">
        <v>1891.371</v>
      </c>
      <c r="Q15" s="0" t="n">
        <v>0.0400613760102637</v>
      </c>
      <c r="R15" s="0" t="n">
        <v>852.04876</v>
      </c>
      <c r="S15" s="0" t="n">
        <v>736.2</v>
      </c>
      <c r="T15" s="0" t="n">
        <v>14.55</v>
      </c>
      <c r="U15" s="0" t="s">
        <v>51</v>
      </c>
    </row>
    <row r="16" customFormat="false" ht="15" hidden="false" customHeight="false" outlineLevel="0" collapsed="false">
      <c r="A16" s="0" t="s">
        <v>52</v>
      </c>
      <c r="B16" s="0" t="n">
        <v>0.3181</v>
      </c>
      <c r="C16" s="0" t="n">
        <v>0.1917</v>
      </c>
      <c r="D16" s="0" t="n">
        <v>0.0957</v>
      </c>
      <c r="E16" s="0" t="n">
        <v>0.1143</v>
      </c>
      <c r="F16" s="0" t="n">
        <v>0.0970706376353081</v>
      </c>
      <c r="G16" s="0" t="n">
        <v>0.0695408399828168</v>
      </c>
      <c r="H16" s="0" t="n">
        <v>0.0119058891459911</v>
      </c>
      <c r="I16" s="0" t="n">
        <v>0.0287793365786624</v>
      </c>
      <c r="J16" s="0" t="n">
        <v>102.5</v>
      </c>
      <c r="K16" s="0" t="n">
        <v>0.025</v>
      </c>
      <c r="L16" s="0" t="n">
        <v>0.0171298171961716</v>
      </c>
      <c r="M16" s="0" t="n">
        <v>9.40407</v>
      </c>
      <c r="N16" s="0" t="n">
        <v>0.220601</v>
      </c>
      <c r="O16" s="0" t="s">
        <v>25</v>
      </c>
      <c r="P16" s="0" t="n">
        <v>662.318</v>
      </c>
      <c r="Q16" s="0" t="n">
        <v>0.0403380397498268</v>
      </c>
      <c r="R16" s="0" t="n">
        <v>840.38913</v>
      </c>
      <c r="S16" s="0" t="n">
        <v>493.74</v>
      </c>
      <c r="T16" s="0" t="n">
        <v>18.13</v>
      </c>
      <c r="U16" s="0" t="s">
        <v>53</v>
      </c>
    </row>
    <row r="17" customFormat="false" ht="15" hidden="false" customHeight="false" outlineLevel="0" collapsed="false">
      <c r="A17" s="0" t="s">
        <v>54</v>
      </c>
      <c r="B17" s="0" t="n">
        <v>0.4556</v>
      </c>
      <c r="C17" s="0" t="n">
        <v>0.3179</v>
      </c>
      <c r="D17" s="0" t="n">
        <v>0.2087</v>
      </c>
      <c r="E17" s="0" t="n">
        <v>0.1517</v>
      </c>
      <c r="F17" s="0" t="n">
        <v>0.072349802429029</v>
      </c>
      <c r="G17" s="0" t="n">
        <v>0.0504371731306341</v>
      </c>
      <c r="H17" s="0" t="n">
        <v>0.0392466920368486</v>
      </c>
      <c r="I17" s="0" t="n">
        <v>0.0337618306619243</v>
      </c>
      <c r="J17" s="0" t="n">
        <v>100.03</v>
      </c>
      <c r="K17" s="0" t="n">
        <v>0.000300000000000011</v>
      </c>
      <c r="L17" s="0" t="n">
        <v>0.0142563295856103</v>
      </c>
      <c r="M17" s="0" t="n">
        <v>0.872174</v>
      </c>
      <c r="N17" s="0" t="n">
        <v>0.206035</v>
      </c>
      <c r="O17" s="0" t="s">
        <v>25</v>
      </c>
      <c r="P17" s="0" t="n">
        <v>2543.677</v>
      </c>
      <c r="Q17" s="0" t="n">
        <v>0.0241505102587376</v>
      </c>
      <c r="R17" s="0" t="n">
        <v>711.29059</v>
      </c>
      <c r="S17" s="0" t="n">
        <v>549.02</v>
      </c>
      <c r="T17" s="0" t="n">
        <v>13.92</v>
      </c>
      <c r="U17" s="0" t="s">
        <v>55</v>
      </c>
    </row>
    <row r="18" customFormat="false" ht="15" hidden="false" customHeight="false" outlineLevel="0" collapsed="false">
      <c r="A18" s="0" t="s">
        <v>56</v>
      </c>
      <c r="B18" s="0" t="n">
        <v>0.7051</v>
      </c>
      <c r="C18" s="0" t="n">
        <v>0.2093</v>
      </c>
      <c r="D18" s="0" t="n">
        <v>0.1356</v>
      </c>
      <c r="E18" s="0" t="n">
        <v>0.1343</v>
      </c>
      <c r="F18" s="0" t="n">
        <v>0.0355586573081834</v>
      </c>
      <c r="G18" s="0" t="n">
        <v>0.0148979006659202</v>
      </c>
      <c r="H18" s="0" t="n">
        <v>0.0780953961424191</v>
      </c>
      <c r="I18" s="0" t="n">
        <v>0.025667021884991</v>
      </c>
      <c r="J18" s="0" t="n">
        <v>111.67</v>
      </c>
      <c r="K18" s="0" t="n">
        <v>0.1167</v>
      </c>
      <c r="L18" s="0" t="n">
        <v>-0.0854944428612141</v>
      </c>
      <c r="M18" s="0" t="n">
        <v>5.2635</v>
      </c>
      <c r="N18" s="0" t="n">
        <v>0.044557</v>
      </c>
      <c r="O18" s="0" t="s">
        <v>22</v>
      </c>
      <c r="P18" s="0" t="n">
        <v>2256.91</v>
      </c>
      <c r="Q18" s="0" t="n">
        <v>0.051667598052682</v>
      </c>
      <c r="R18" s="0" t="n">
        <v>535.25636</v>
      </c>
      <c r="S18" s="0" t="n">
        <v>317.88</v>
      </c>
      <c r="T18" s="0" t="n">
        <v>12.2</v>
      </c>
      <c r="U18" s="0" t="s">
        <v>57</v>
      </c>
    </row>
    <row r="19" customFormat="false" ht="15" hidden="false" customHeight="false" outlineLevel="0" collapsed="false">
      <c r="A19" s="0" t="s">
        <v>58</v>
      </c>
      <c r="B19" s="0" t="n">
        <v>1.0029</v>
      </c>
      <c r="C19" s="0" t="n">
        <v>0.3427</v>
      </c>
      <c r="D19" s="0" t="n">
        <v>0.1738</v>
      </c>
      <c r="E19" s="0" t="n">
        <v>0.1232</v>
      </c>
      <c r="F19" s="0" t="n">
        <v>0.0630977670067519</v>
      </c>
      <c r="G19" s="0" t="n">
        <v>0.0574191614399062</v>
      </c>
      <c r="H19" s="0" t="n">
        <v>0.00385084816039627</v>
      </c>
      <c r="I19" s="0" t="n">
        <v>0.0311601247513369</v>
      </c>
      <c r="J19" s="0" t="n">
        <v>113.96</v>
      </c>
      <c r="K19" s="0" t="n">
        <v>0.1396</v>
      </c>
      <c r="L19" s="0" t="n">
        <v>-0.0310849990571375</v>
      </c>
      <c r="M19" s="0" t="n">
        <v>16.9696</v>
      </c>
      <c r="N19" s="0" t="n">
        <v>0.211376</v>
      </c>
      <c r="O19" s="0" t="s">
        <v>25</v>
      </c>
      <c r="P19" s="0" t="n">
        <v>426.383</v>
      </c>
      <c r="Q19" s="0" t="n">
        <v>0.0352988951682327</v>
      </c>
      <c r="R19" s="0" t="n">
        <v>462.09177</v>
      </c>
      <c r="S19" s="0" t="n">
        <v>331.66</v>
      </c>
      <c r="T19" s="0" t="n">
        <v>16.93</v>
      </c>
      <c r="U19" s="0" t="s">
        <v>59</v>
      </c>
    </row>
    <row r="20" customFormat="false" ht="15" hidden="false" customHeight="false" outlineLevel="0" collapsed="false">
      <c r="A20" s="0" t="s">
        <v>60</v>
      </c>
      <c r="B20" s="0" t="n">
        <v>0.4621</v>
      </c>
      <c r="C20" s="0" t="n">
        <v>0.1054</v>
      </c>
      <c r="D20" s="0" t="n">
        <v>0.0223</v>
      </c>
      <c r="E20" s="0" t="n">
        <v>0.0703</v>
      </c>
      <c r="F20" s="0" t="n">
        <v>0.0525238225151956</v>
      </c>
      <c r="G20" s="0" t="n">
        <v>0.0601152251238486</v>
      </c>
      <c r="H20" s="0" t="n">
        <v>0.037951299734152</v>
      </c>
      <c r="I20" s="0" t="n">
        <v>0.0325935184915287</v>
      </c>
      <c r="J20" s="0" t="n">
        <v>95.48</v>
      </c>
      <c r="K20" s="0" t="n">
        <v>-0.0452</v>
      </c>
      <c r="L20" s="0" t="n">
        <v>0.0104378672553386</v>
      </c>
      <c r="M20" s="0" t="n">
        <v>7.83685</v>
      </c>
      <c r="P20" s="0" t="n">
        <v>428.233</v>
      </c>
      <c r="Q20" s="0" t="n">
        <v>0.0449168697843916</v>
      </c>
      <c r="R20" s="0" t="n">
        <v>446.52099</v>
      </c>
      <c r="S20" s="0" t="n">
        <v>329.45</v>
      </c>
      <c r="T20" s="0" t="n">
        <v>19.27</v>
      </c>
      <c r="U20" s="0" t="s">
        <v>61</v>
      </c>
    </row>
    <row r="21" customFormat="false" ht="15" hidden="false" customHeight="false" outlineLevel="0" collapsed="false">
      <c r="A21" s="0" t="s">
        <v>62</v>
      </c>
      <c r="B21" s="0" t="n">
        <v>-0.0043</v>
      </c>
      <c r="C21" s="0" t="n">
        <v>0.0674</v>
      </c>
      <c r="D21" s="0" t="n">
        <v>0.0771</v>
      </c>
      <c r="E21" s="0" t="n">
        <v>0.1072</v>
      </c>
      <c r="F21" s="0" t="n">
        <v>0.0231729989796783</v>
      </c>
      <c r="G21" s="0" t="n">
        <v>0.0202892554674454</v>
      </c>
      <c r="H21" s="0" t="n">
        <v>0.0659201780637109</v>
      </c>
      <c r="I21" s="0" t="n">
        <v>0.0701241284239773</v>
      </c>
      <c r="J21" s="0" t="n">
        <v>99.17</v>
      </c>
      <c r="K21" s="0" t="n">
        <v>-0.00829999999999998</v>
      </c>
      <c r="L21" s="0" t="n">
        <v>-0.0051270578145683</v>
      </c>
      <c r="M21" s="0" t="n">
        <v>3.75459</v>
      </c>
      <c r="P21" s="0" t="n">
        <v>1268.535</v>
      </c>
      <c r="Q21" s="0" t="n">
        <v>0.0490348297716687</v>
      </c>
      <c r="R21" s="0" t="n">
        <v>394.06552</v>
      </c>
      <c r="S21" s="0" t="n">
        <v>299.81</v>
      </c>
      <c r="T21" s="0" t="n">
        <v>15.93</v>
      </c>
      <c r="U21" s="0" t="s">
        <v>63</v>
      </c>
    </row>
    <row r="22" customFormat="false" ht="15" hidden="false" customHeight="false" outlineLevel="0" collapsed="false">
      <c r="A22" s="0" t="s">
        <v>64</v>
      </c>
      <c r="B22" s="0" t="n">
        <v>0.2907</v>
      </c>
      <c r="C22" s="0" t="n">
        <v>0.2377</v>
      </c>
      <c r="D22" s="0" t="n">
        <v>0.1192</v>
      </c>
      <c r="E22" s="0" t="n">
        <v>0.099</v>
      </c>
      <c r="F22" s="0" t="n">
        <v>0.0489562229282026</v>
      </c>
      <c r="G22" s="0" t="n">
        <v>0.0658377967246591</v>
      </c>
      <c r="H22" s="0" t="n">
        <v>0.0708885275835869</v>
      </c>
      <c r="I22" s="0" t="n">
        <v>0.0672464769771306</v>
      </c>
      <c r="J22" s="0" t="n">
        <v>116.56</v>
      </c>
      <c r="K22" s="0" t="n">
        <v>0.1656</v>
      </c>
      <c r="L22" s="0" t="n">
        <v>0.0239186345569323</v>
      </c>
      <c r="M22" s="0" t="n">
        <v>1.2831</v>
      </c>
      <c r="N22" s="0" t="n">
        <v>0.686637</v>
      </c>
      <c r="O22" s="0" t="s">
        <v>40</v>
      </c>
      <c r="P22" s="0" t="n">
        <v>574.185</v>
      </c>
      <c r="Q22" s="0" t="n">
        <v>0.0444743348450187</v>
      </c>
      <c r="R22" s="0" t="n">
        <v>364.13812</v>
      </c>
      <c r="S22" s="0" t="n">
        <v>322.72</v>
      </c>
      <c r="T22" s="0" t="n">
        <v>17.02</v>
      </c>
      <c r="U22" s="0" t="s">
        <v>65</v>
      </c>
    </row>
    <row r="23" customFormat="false" ht="15" hidden="false" customHeight="false" outlineLevel="0" collapsed="false">
      <c r="A23" s="0" t="s">
        <v>66</v>
      </c>
      <c r="B23" s="0" t="n">
        <v>-0.2568</v>
      </c>
      <c r="C23" s="0" t="n">
        <v>-0.0513</v>
      </c>
      <c r="D23" s="0" t="n">
        <v>0.0119</v>
      </c>
      <c r="E23" s="0" t="n">
        <v>0.0713</v>
      </c>
      <c r="F23" s="0" t="n">
        <v>0.0826500206112715</v>
      </c>
      <c r="G23" s="0" t="n">
        <v>0.0657487549359044</v>
      </c>
      <c r="H23" s="0" t="n">
        <v>0.0314232546937967</v>
      </c>
      <c r="I23" s="0" t="n">
        <v>0.0439142678136191</v>
      </c>
      <c r="J23" s="0" t="n">
        <v>97.97</v>
      </c>
      <c r="K23" s="0" t="n">
        <v>-0.0203</v>
      </c>
      <c r="P23" s="0" t="n">
        <v>459.612</v>
      </c>
      <c r="Q23" s="0" t="n">
        <v>0.0415370134883601</v>
      </c>
      <c r="R23" s="0" t="n">
        <v>347.96321</v>
      </c>
      <c r="S23" s="0" t="n">
        <v>320.04</v>
      </c>
      <c r="T23" s="0" t="n">
        <v>13.95</v>
      </c>
      <c r="U23" s="0" t="s">
        <v>67</v>
      </c>
    </row>
    <row r="24" customFormat="false" ht="15" hidden="false" customHeight="false" outlineLevel="0" collapsed="false">
      <c r="A24" s="0" t="s">
        <v>68</v>
      </c>
      <c r="B24" s="0" t="n">
        <v>0.5238</v>
      </c>
      <c r="C24" s="0" t="n">
        <v>0.1423</v>
      </c>
      <c r="D24" s="0" t="n">
        <v>0.0635</v>
      </c>
      <c r="E24" s="0" t="n">
        <v>0.085</v>
      </c>
      <c r="F24" s="0" t="n">
        <v>0.0539739523855771</v>
      </c>
      <c r="G24" s="0" t="n">
        <v>0.0326533860587299</v>
      </c>
      <c r="H24" s="0" t="n">
        <v>0.0168128061382631</v>
      </c>
      <c r="I24" s="0" t="n">
        <v>0.0311919459120409</v>
      </c>
      <c r="J24" s="0" t="n">
        <v>97.58</v>
      </c>
      <c r="K24" s="0" t="n">
        <v>-0.0242</v>
      </c>
      <c r="P24" s="0" t="n">
        <v>314.724</v>
      </c>
      <c r="Q24" s="0" t="n">
        <v>0.0312463225672652</v>
      </c>
      <c r="R24" s="0" t="n">
        <v>257.72566</v>
      </c>
      <c r="S24" s="0" t="n">
        <v>235.79</v>
      </c>
      <c r="T24" s="0" t="n">
        <v>19.31</v>
      </c>
      <c r="U24" s="0" t="s">
        <v>69</v>
      </c>
    </row>
    <row r="25" customFormat="false" ht="15" hidden="false" customHeight="false" outlineLevel="0" collapsed="false">
      <c r="A25" s="0" t="s">
        <v>70</v>
      </c>
      <c r="B25" s="0" t="n">
        <v>0.3901</v>
      </c>
      <c r="C25" s="0" t="n">
        <v>0.1798</v>
      </c>
      <c r="D25" s="0" t="n">
        <v>0.0956</v>
      </c>
      <c r="E25" s="0" t="n">
        <v>0.0407</v>
      </c>
      <c r="F25" s="0" t="n">
        <v>0.0791959239273592</v>
      </c>
      <c r="G25" s="0" t="n">
        <v>0.0544537508164502</v>
      </c>
      <c r="H25" s="0" t="n">
        <v>0.0460069167939292</v>
      </c>
      <c r="I25" s="0" t="n">
        <v>0.0470212675079216</v>
      </c>
      <c r="J25" s="0" t="n">
        <v>104.11</v>
      </c>
      <c r="K25" s="0" t="n">
        <v>0.0411</v>
      </c>
      <c r="L25" s="0" t="n">
        <v>0.0142563295856103</v>
      </c>
      <c r="M25" s="0" t="n">
        <v>0.872174</v>
      </c>
      <c r="P25" s="0" t="n">
        <v>716.98</v>
      </c>
      <c r="Q25" s="0" t="n">
        <v>0.0264796781502816</v>
      </c>
      <c r="R25" s="0" t="n">
        <v>247.08608</v>
      </c>
      <c r="S25" s="0" t="n">
        <v>238.28</v>
      </c>
      <c r="T25" s="0" t="n">
        <v>23.2</v>
      </c>
      <c r="U25" s="0" t="s">
        <v>71</v>
      </c>
    </row>
    <row r="26" customFormat="false" ht="15" hidden="false" customHeight="false" outlineLevel="0" collapsed="false">
      <c r="A26" s="0" t="s">
        <v>72</v>
      </c>
      <c r="B26" s="0" t="n">
        <v>0.7127</v>
      </c>
      <c r="C26" s="0" t="n">
        <v>0.1727</v>
      </c>
      <c r="D26" s="0" t="n">
        <v>0.1865</v>
      </c>
      <c r="E26" s="0" t="n">
        <v>0.0847</v>
      </c>
      <c r="F26" s="0" t="n">
        <v>0.00343359014332312</v>
      </c>
      <c r="G26" s="0" t="n">
        <v>0.0177541329059974</v>
      </c>
      <c r="H26" s="0" t="n">
        <v>0.090629282379447</v>
      </c>
      <c r="I26" s="0" t="n">
        <v>0.0589709621713703</v>
      </c>
      <c r="J26" s="0" t="n">
        <v>139.69</v>
      </c>
      <c r="K26" s="0" t="n">
        <v>0.3969</v>
      </c>
      <c r="L26" s="0" t="n">
        <v>-0.0370608997702953</v>
      </c>
      <c r="M26" s="0" t="n">
        <v>17.849</v>
      </c>
      <c r="N26" s="0" t="n">
        <v>0.000779</v>
      </c>
      <c r="O26" s="0" t="s">
        <v>22</v>
      </c>
      <c r="P26" s="0" t="n">
        <v>1862.74</v>
      </c>
      <c r="Q26" s="0" t="n">
        <v>0.0471405101079006</v>
      </c>
      <c r="R26" s="0" t="n">
        <v>232.14638</v>
      </c>
      <c r="S26" s="0" t="n">
        <v>182.72</v>
      </c>
      <c r="T26" s="0" t="n">
        <v>16.87</v>
      </c>
      <c r="U26" s="0" t="s">
        <v>73</v>
      </c>
    </row>
    <row r="27" customFormat="false" ht="15" hidden="false" customHeight="false" outlineLevel="0" collapsed="false">
      <c r="A27" s="0" t="s">
        <v>74</v>
      </c>
      <c r="B27" s="0" t="n">
        <v>0.3565</v>
      </c>
      <c r="C27" s="0" t="n">
        <v>0.2901</v>
      </c>
      <c r="D27" s="0" t="n">
        <v>0.1225</v>
      </c>
      <c r="E27" s="0" t="n">
        <v>0.0626</v>
      </c>
      <c r="F27" s="0" t="n">
        <v>0.126256488746692</v>
      </c>
      <c r="G27" s="0" t="n">
        <v>0.0907043733421169</v>
      </c>
      <c r="H27" s="0" t="n">
        <v>0.0567584203583458</v>
      </c>
      <c r="I27" s="0" t="n">
        <v>0.0740574442268014</v>
      </c>
      <c r="J27" s="0" t="n">
        <v>108.16</v>
      </c>
      <c r="K27" s="0" t="n">
        <v>0.0816</v>
      </c>
      <c r="P27" s="0" t="n">
        <v>610.752</v>
      </c>
      <c r="Q27" s="0" t="n">
        <v>0.0467216661667904</v>
      </c>
      <c r="R27" s="0" t="n">
        <v>215.51913</v>
      </c>
      <c r="S27" s="0" t="n">
        <v>198.71</v>
      </c>
      <c r="T27" s="0" t="n">
        <v>14.42</v>
      </c>
      <c r="U27" s="0" t="s">
        <v>75</v>
      </c>
    </row>
    <row r="28" customFormat="false" ht="15" hidden="false" customHeight="false" outlineLevel="0" collapsed="false">
      <c r="A28" s="0" t="s">
        <v>76</v>
      </c>
      <c r="B28" s="0" t="n">
        <v>0.3232</v>
      </c>
      <c r="C28" s="0" t="n">
        <v>0.2014</v>
      </c>
      <c r="D28" s="0" t="n">
        <v>0.168</v>
      </c>
      <c r="E28" s="0" t="n">
        <v>0.0992</v>
      </c>
      <c r="F28" s="0" t="n">
        <v>0.0303661793328203</v>
      </c>
      <c r="G28" s="0" t="n">
        <v>0.0435164611529064</v>
      </c>
      <c r="H28" s="0" t="n">
        <v>0.0773456403412671</v>
      </c>
      <c r="I28" s="0" t="n">
        <v>0.0453738783461604</v>
      </c>
      <c r="J28" s="0" t="n">
        <v>98.01</v>
      </c>
      <c r="K28" s="0" t="n">
        <v>-0.0199</v>
      </c>
      <c r="P28" s="0" t="n">
        <v>569.097</v>
      </c>
      <c r="Q28" s="0" t="n">
        <v>0.0636480020468579</v>
      </c>
      <c r="R28" s="0" t="n">
        <v>163.17436</v>
      </c>
      <c r="S28" s="0" t="n">
        <v>141.07</v>
      </c>
      <c r="T28" s="0" t="n">
        <v>10.72</v>
      </c>
      <c r="U28" s="0" t="s">
        <v>77</v>
      </c>
    </row>
    <row r="29" customFormat="false" ht="15" hidden="false" customHeight="false" outlineLevel="0" collapsed="false">
      <c r="A29" s="0" t="s">
        <v>78</v>
      </c>
      <c r="B29" s="0" t="n">
        <v>0.499</v>
      </c>
      <c r="C29" s="0" t="n">
        <v>0.2075</v>
      </c>
      <c r="D29" s="0" t="n">
        <v>0.1387</v>
      </c>
      <c r="E29" s="0" t="n">
        <v>0.1217</v>
      </c>
      <c r="F29" s="0" t="n">
        <v>0.0692917391277377</v>
      </c>
      <c r="G29" s="0" t="n">
        <v>0.0347537847084316</v>
      </c>
      <c r="H29" s="0" t="n">
        <v>0.00675235357774295</v>
      </c>
      <c r="I29" s="0" t="n">
        <v>0.0375954816091411</v>
      </c>
      <c r="J29" s="0" t="n">
        <v>100.22</v>
      </c>
      <c r="K29" s="0" t="n">
        <v>0.00219999999999999</v>
      </c>
      <c r="P29" s="0" t="n">
        <v>517.102</v>
      </c>
      <c r="Q29" s="0" t="n">
        <v>0.0322386500549088</v>
      </c>
      <c r="R29" s="0" t="n">
        <v>140.99846</v>
      </c>
      <c r="S29" s="0" t="n">
        <v>136.95</v>
      </c>
      <c r="T29" s="0" t="n">
        <v>14.09</v>
      </c>
      <c r="U29" s="0" t="s">
        <v>79</v>
      </c>
    </row>
    <row r="30" customFormat="false" ht="15" hidden="false" customHeight="false" outlineLevel="0" collapsed="false">
      <c r="A30" s="0" t="s">
        <v>80</v>
      </c>
      <c r="B30" s="0" t="n">
        <v>0.2869</v>
      </c>
      <c r="C30" s="0" t="n">
        <v>0.1456</v>
      </c>
      <c r="D30" s="0" t="n">
        <v>0.0569</v>
      </c>
      <c r="E30" s="0" t="n">
        <v>0.0376</v>
      </c>
      <c r="F30" s="0" t="n">
        <v>0.114500020131351</v>
      </c>
      <c r="G30" s="0" t="n">
        <v>0.0847027306832866</v>
      </c>
      <c r="H30" s="0" t="n">
        <v>0.0592562941105641</v>
      </c>
      <c r="I30" s="0" t="n">
        <v>0.050802634584056</v>
      </c>
      <c r="J30" s="0" t="n">
        <v>108.95</v>
      </c>
      <c r="K30" s="0" t="n">
        <v>0.0895</v>
      </c>
      <c r="L30" s="0" t="n">
        <v>0</v>
      </c>
      <c r="N30" s="0" t="n">
        <v>0.448625</v>
      </c>
      <c r="O30" s="0" t="s">
        <v>25</v>
      </c>
      <c r="P30" s="0" t="n">
        <v>470.572</v>
      </c>
      <c r="Q30" s="0" t="n">
        <v>0.0644615237835122</v>
      </c>
      <c r="R30" s="0" t="n">
        <v>131.86567</v>
      </c>
      <c r="S30" s="0" t="n">
        <v>92.19</v>
      </c>
      <c r="T30" s="0" t="n">
        <v>16.11</v>
      </c>
      <c r="U30" s="0" t="s">
        <v>81</v>
      </c>
    </row>
    <row r="31" customFormat="false" ht="15" hidden="false" customHeight="false" outlineLevel="0" collapsed="false">
      <c r="A31" s="0" t="s">
        <v>82</v>
      </c>
      <c r="B31" s="0" t="n">
        <v>0.5594</v>
      </c>
      <c r="C31" s="0" t="n">
        <v>0.1008</v>
      </c>
      <c r="D31" s="0" t="n">
        <v>0.0511</v>
      </c>
      <c r="E31" s="0" t="n">
        <v>0.0662</v>
      </c>
      <c r="F31" s="0" t="n">
        <v>0.0608811094777386</v>
      </c>
      <c r="G31" s="0" t="n">
        <v>0.0405301776285594</v>
      </c>
      <c r="H31" s="0" t="n">
        <v>0.0249213077014441</v>
      </c>
      <c r="I31" s="0" t="n">
        <v>0.0340159620245257</v>
      </c>
      <c r="J31" s="0" t="n">
        <v>99.47</v>
      </c>
      <c r="K31" s="0" t="n">
        <v>-0.00530000000000001</v>
      </c>
      <c r="L31" s="0" t="n">
        <v>0.0175358340957608</v>
      </c>
      <c r="M31" s="0" t="n">
        <v>32.79</v>
      </c>
      <c r="N31" s="0" t="n">
        <v>2.656892</v>
      </c>
      <c r="O31" s="0" t="s">
        <v>40</v>
      </c>
      <c r="P31" s="0" t="n">
        <v>558.573</v>
      </c>
      <c r="Q31" s="0" t="n">
        <v>0.0362798515608067</v>
      </c>
      <c r="R31" s="0" t="n">
        <v>130.88883</v>
      </c>
      <c r="S31" s="0" t="n">
        <v>102.41</v>
      </c>
      <c r="T31" s="0" t="n">
        <v>20.25</v>
      </c>
      <c r="U31" s="0" t="s">
        <v>83</v>
      </c>
    </row>
    <row r="32" customFormat="false" ht="15" hidden="false" customHeight="false" outlineLevel="0" collapsed="false">
      <c r="A32" s="0" t="s">
        <v>84</v>
      </c>
      <c r="B32" s="0" t="n">
        <v>0.5545</v>
      </c>
      <c r="C32" s="0" t="n">
        <v>0.3826</v>
      </c>
      <c r="D32" s="0" t="n">
        <v>0.175</v>
      </c>
      <c r="E32" s="0" t="n">
        <v>0.0979</v>
      </c>
      <c r="F32" s="0" t="n">
        <v>0.136750959211768</v>
      </c>
      <c r="G32" s="0" t="n">
        <v>0.130844219336431</v>
      </c>
      <c r="H32" s="0" t="n">
        <v>0.108214646789544</v>
      </c>
      <c r="I32" s="0" t="n">
        <v>0.0914739868560177</v>
      </c>
      <c r="J32" s="0" t="n">
        <v>128.38</v>
      </c>
      <c r="K32" s="0" t="n">
        <v>0.2838</v>
      </c>
      <c r="L32" s="0" t="n">
        <v>-0.0039705428644246</v>
      </c>
      <c r="M32" s="0" t="n">
        <v>3.72745</v>
      </c>
      <c r="N32" s="0" t="n">
        <v>0.200188</v>
      </c>
      <c r="O32" s="0" t="s">
        <v>25</v>
      </c>
      <c r="P32" s="0" t="n">
        <v>1039.619</v>
      </c>
      <c r="Q32" s="0" t="n">
        <v>0.058458241626429</v>
      </c>
      <c r="R32" s="0" t="n">
        <v>123.93461</v>
      </c>
      <c r="S32" s="0" t="n">
        <v>106.79</v>
      </c>
      <c r="T32" s="0" t="n">
        <v>14.33</v>
      </c>
      <c r="U32" s="0" t="s">
        <v>85</v>
      </c>
    </row>
    <row r="33" customFormat="false" ht="15" hidden="false" customHeight="false" outlineLevel="0" collapsed="false">
      <c r="A33" s="0" t="s">
        <v>86</v>
      </c>
      <c r="B33" s="0" t="n">
        <v>0.1114</v>
      </c>
      <c r="C33" s="0" t="n">
        <v>-0.0583</v>
      </c>
      <c r="D33" s="0" t="n">
        <v>-0.0478</v>
      </c>
      <c r="E33" s="0" t="n">
        <v>-0.0085</v>
      </c>
      <c r="F33" s="0" t="n">
        <v>0.033628876315978</v>
      </c>
      <c r="G33" s="0" t="n">
        <v>0.0259499929864897</v>
      </c>
      <c r="H33" s="0" t="n">
        <v>0.0501902747570655</v>
      </c>
      <c r="I33" s="0" t="n">
        <v>0.0498068926553474</v>
      </c>
      <c r="J33" s="0" t="n">
        <v>91.17</v>
      </c>
      <c r="K33" s="0" t="n">
        <v>-0.0883</v>
      </c>
      <c r="L33" s="0" t="n">
        <v>-0.0123783431792982</v>
      </c>
      <c r="M33" s="0" t="n">
        <v>17045.9</v>
      </c>
      <c r="N33" s="0" t="n">
        <v>0.091834</v>
      </c>
      <c r="O33" s="0" t="s">
        <v>22</v>
      </c>
      <c r="P33" s="0" t="n">
        <v>1443.256</v>
      </c>
      <c r="Q33" s="0" t="n">
        <v>0.0747147910314754</v>
      </c>
      <c r="R33" s="0" t="n">
        <v>111.98327</v>
      </c>
      <c r="S33" s="0" t="n">
        <v>92.56</v>
      </c>
      <c r="T33" s="0" t="n">
        <v>16.06</v>
      </c>
      <c r="U33" s="0" t="s">
        <v>87</v>
      </c>
    </row>
    <row r="34" customFormat="false" ht="15" hidden="false" customHeight="false" outlineLevel="0" collapsed="false">
      <c r="A34" s="0" t="s">
        <v>88</v>
      </c>
      <c r="B34" s="0" t="n">
        <v>0.3189</v>
      </c>
      <c r="C34" s="0" t="n">
        <v>0.2425</v>
      </c>
      <c r="D34" s="0" t="n">
        <v>0.1278</v>
      </c>
      <c r="E34" s="0" t="n">
        <v>0.0961</v>
      </c>
      <c r="F34" s="0" t="n">
        <v>0.16387727554871</v>
      </c>
      <c r="G34" s="0" t="n">
        <v>0.117521480653626</v>
      </c>
      <c r="H34" s="0" t="n">
        <v>0.0749904297813164</v>
      </c>
      <c r="I34" s="0" t="n">
        <v>0.0980818115649891</v>
      </c>
      <c r="J34" s="0" t="n">
        <v>103.94</v>
      </c>
      <c r="K34" s="0" t="n">
        <v>0.0394</v>
      </c>
      <c r="P34" s="0" t="n">
        <v>708.771</v>
      </c>
      <c r="Q34" s="0" t="n">
        <v>0.0397204277563565</v>
      </c>
      <c r="R34" s="0" t="n">
        <v>97.99111</v>
      </c>
      <c r="S34" s="0" t="n">
        <v>97.99</v>
      </c>
      <c r="T34" s="0" t="n">
        <v>12.95</v>
      </c>
      <c r="U34" s="0" t="s">
        <v>89</v>
      </c>
    </row>
    <row r="35" customFormat="false" ht="15" hidden="false" customHeight="false" outlineLevel="0" collapsed="false">
      <c r="A35" s="0" t="s">
        <v>90</v>
      </c>
      <c r="B35" s="0" t="n">
        <v>0.1133</v>
      </c>
      <c r="C35" s="0" t="n">
        <v>0.0621</v>
      </c>
      <c r="D35" s="0" t="n">
        <v>0.0558</v>
      </c>
      <c r="E35" s="0" t="n">
        <v>0.0457</v>
      </c>
      <c r="F35" s="0" t="n">
        <v>0.0113280912075253</v>
      </c>
      <c r="G35" s="0" t="n">
        <v>0.021174578259646</v>
      </c>
      <c r="H35" s="0" t="n">
        <v>0.0543628021419578</v>
      </c>
      <c r="I35" s="0" t="n">
        <v>0.0432534662766113</v>
      </c>
      <c r="P35" s="0" t="n">
        <v>222.119</v>
      </c>
      <c r="Q35" s="0" t="n">
        <v>0.0686006357214208</v>
      </c>
      <c r="R35" s="0" t="n">
        <v>68.75168</v>
      </c>
      <c r="S35" s="0" t="n">
        <v>63.84</v>
      </c>
      <c r="T35" s="0" t="n">
        <v>12.45</v>
      </c>
      <c r="U35" s="0" t="s">
        <v>91</v>
      </c>
    </row>
    <row r="36" customFormat="false" ht="15" hidden="false" customHeight="false" outlineLevel="0" collapsed="false">
      <c r="A36" s="0" t="s">
        <v>92</v>
      </c>
      <c r="B36" s="0" t="n">
        <v>0.6053</v>
      </c>
      <c r="C36" s="0" t="n">
        <v>0.1802</v>
      </c>
      <c r="D36" s="0" t="n">
        <v>0.0976</v>
      </c>
      <c r="E36" s="0" t="n">
        <v>0.0567</v>
      </c>
      <c r="F36" s="0" t="n">
        <v>0.0513733684624935</v>
      </c>
      <c r="G36" s="0" t="n">
        <v>0.0170566671811572</v>
      </c>
      <c r="H36" s="0" t="n">
        <v>0.0242773978099555</v>
      </c>
      <c r="I36" s="0" t="n">
        <v>0.0374791671465131</v>
      </c>
      <c r="J36" s="0" t="n">
        <v>108.4</v>
      </c>
      <c r="K36" s="0" t="n">
        <v>0.0840000000000001</v>
      </c>
      <c r="P36" s="0" t="n">
        <v>347.174</v>
      </c>
      <c r="Q36" s="0" t="n">
        <v>0.0451388163187332</v>
      </c>
      <c r="R36" s="0" t="n">
        <v>61.89771</v>
      </c>
      <c r="S36" s="0" t="n">
        <v>58.38</v>
      </c>
      <c r="T36" s="0" t="n">
        <v>16.04</v>
      </c>
      <c r="U36" s="0" t="s">
        <v>93</v>
      </c>
    </row>
    <row r="37" customFormat="false" ht="15" hidden="false" customHeight="false" outlineLevel="0" collapsed="false">
      <c r="A37" s="0" t="s">
        <v>94</v>
      </c>
      <c r="B37" s="0" t="n">
        <v>0.7397</v>
      </c>
      <c r="C37" s="0" t="n">
        <v>0.3742</v>
      </c>
      <c r="D37" s="0" t="n">
        <v>0.2873</v>
      </c>
      <c r="E37" s="0" t="n">
        <v>0.1375</v>
      </c>
      <c r="F37" s="0" t="n">
        <v>0.0970641894914555</v>
      </c>
      <c r="G37" s="0" t="n">
        <v>0.0760394098337769</v>
      </c>
      <c r="H37" s="0" t="n">
        <v>0.0659383240636156</v>
      </c>
      <c r="I37" s="0" t="n">
        <v>0.0430168872559666</v>
      </c>
      <c r="J37" s="0" t="n">
        <v>100.48</v>
      </c>
      <c r="K37" s="0" t="n">
        <v>0.00480000000000004</v>
      </c>
      <c r="L37" s="0" t="n">
        <v>0.0142563295856103</v>
      </c>
      <c r="M37" s="0" t="n">
        <v>0.872174</v>
      </c>
      <c r="P37" s="0" t="n">
        <v>282.019</v>
      </c>
      <c r="Q37" s="0" t="n">
        <v>0.0371702786266424</v>
      </c>
      <c r="R37" s="0" t="n">
        <v>60.7903</v>
      </c>
      <c r="S37" s="0" t="n">
        <v>60.79</v>
      </c>
      <c r="T37" s="0" t="n">
        <v>10.55</v>
      </c>
      <c r="U37" s="0" t="s">
        <v>95</v>
      </c>
    </row>
    <row r="38" customFormat="false" ht="15" hidden="false" customHeight="false" outlineLevel="0" collapsed="false">
      <c r="A38" s="0" t="s">
        <v>96</v>
      </c>
      <c r="B38" s="0" t="n">
        <v>0.6677</v>
      </c>
      <c r="C38" s="0" t="n">
        <v>0.202</v>
      </c>
      <c r="D38" s="0" t="n">
        <v>0.027</v>
      </c>
      <c r="E38" s="0" t="n">
        <v>0.0807</v>
      </c>
      <c r="F38" s="0" t="n">
        <v>0.0549630880663021</v>
      </c>
      <c r="G38" s="0" t="n">
        <v>0.058035397244192</v>
      </c>
      <c r="H38" s="0" t="n">
        <v>0.0697969330026511</v>
      </c>
      <c r="I38" s="0" t="n">
        <v>0.0753212990708383</v>
      </c>
      <c r="L38" s="0" t="n">
        <v>-0.0351387305207146</v>
      </c>
      <c r="M38" s="0" t="n">
        <v>26310</v>
      </c>
      <c r="N38" s="0" t="n">
        <v>0.220276</v>
      </c>
      <c r="O38" s="0" t="s">
        <v>25</v>
      </c>
      <c r="P38" s="0" t="n">
        <v>484.726</v>
      </c>
      <c r="Q38" s="0" t="n">
        <v>0.0687370331030046</v>
      </c>
      <c r="R38" s="0" t="n">
        <v>59.92102</v>
      </c>
      <c r="S38" s="0" t="n">
        <v>37.5</v>
      </c>
      <c r="T38" s="0" t="n">
        <v>22.23</v>
      </c>
      <c r="U38" s="0" t="s">
        <v>97</v>
      </c>
    </row>
    <row r="39" customFormat="false" ht="15" hidden="false" customHeight="false" outlineLevel="0" collapsed="false">
      <c r="A39" s="0" t="s">
        <v>98</v>
      </c>
      <c r="B39" s="0" t="n">
        <v>0.6887</v>
      </c>
      <c r="C39" s="0" t="n">
        <v>0.3271</v>
      </c>
      <c r="D39" s="0" t="n">
        <v>0.214</v>
      </c>
      <c r="E39" s="0" t="n">
        <v>0.1639</v>
      </c>
      <c r="F39" s="0" t="n">
        <v>0.0811136813014832</v>
      </c>
      <c r="G39" s="0" t="n">
        <v>0.0520077737610283</v>
      </c>
      <c r="H39" s="0" t="n">
        <v>0.0418461521299411</v>
      </c>
      <c r="I39" s="0" t="n">
        <v>0.041287065337406</v>
      </c>
      <c r="J39" s="0" t="n">
        <v>105.87</v>
      </c>
      <c r="K39" s="0" t="n">
        <v>0.0587</v>
      </c>
      <c r="L39" s="0" t="n">
        <v>0.0142563295856103</v>
      </c>
      <c r="M39" s="0" t="n">
        <v>0.872174</v>
      </c>
      <c r="N39" s="0" t="n">
        <v>0.107334</v>
      </c>
      <c r="O39" s="0" t="s">
        <v>22</v>
      </c>
      <c r="P39" s="0" t="n">
        <v>566.456</v>
      </c>
      <c r="Q39" s="0" t="n">
        <v>0.0340728941598436</v>
      </c>
      <c r="R39" s="0" t="n">
        <v>57.54859</v>
      </c>
      <c r="S39" s="0" t="n">
        <v>57.55</v>
      </c>
      <c r="T39" s="0" t="n">
        <v>11.32</v>
      </c>
      <c r="U39" s="0" t="s">
        <v>99</v>
      </c>
    </row>
    <row r="40" customFormat="false" ht="15" hidden="false" customHeight="false" outlineLevel="0" collapsed="false">
      <c r="A40" s="0" t="s">
        <v>100</v>
      </c>
      <c r="B40" s="0" t="n">
        <v>0.2414</v>
      </c>
      <c r="C40" s="0" t="n">
        <v>0.115</v>
      </c>
      <c r="D40" s="0" t="n">
        <v>0.1445</v>
      </c>
      <c r="E40" s="0" t="n">
        <v>0.0312</v>
      </c>
      <c r="F40" s="0" t="n">
        <v>0.152563848655366</v>
      </c>
      <c r="G40" s="0" t="n">
        <v>0.165070776068373</v>
      </c>
      <c r="H40" s="0" t="n">
        <v>0.172726015869265</v>
      </c>
      <c r="I40" s="0" t="n">
        <v>0.0674032212967619</v>
      </c>
      <c r="J40" s="0" t="n">
        <v>104.32</v>
      </c>
      <c r="K40" s="0" t="n">
        <v>0.0431999999999999</v>
      </c>
      <c r="L40" s="0" t="n">
        <v>-0.35922198655174</v>
      </c>
      <c r="M40" s="0" t="n">
        <v>44.318</v>
      </c>
      <c r="N40" s="0" t="n">
        <v>0.166453</v>
      </c>
      <c r="O40" s="0" t="s">
        <v>22</v>
      </c>
      <c r="P40" s="0" t="n">
        <v>1565.471</v>
      </c>
      <c r="Q40" s="0" t="n">
        <v>0.0568576326336552</v>
      </c>
      <c r="R40" s="0" t="n">
        <v>52.34579</v>
      </c>
      <c r="S40" s="0" t="n">
        <v>47.89</v>
      </c>
      <c r="T40" s="0" t="n">
        <v>14.27</v>
      </c>
      <c r="U40" s="0" t="s">
        <v>101</v>
      </c>
    </row>
    <row r="41" customFormat="false" ht="15" hidden="false" customHeight="false" outlineLevel="0" collapsed="false">
      <c r="A41" s="0" t="s">
        <v>102</v>
      </c>
      <c r="B41" s="0" t="n">
        <v>1.3652</v>
      </c>
      <c r="C41" s="0" t="n">
        <v>0.5351</v>
      </c>
      <c r="D41" s="0" t="n">
        <v>0.2687</v>
      </c>
      <c r="E41" s="0" t="n">
        <v>0.2064</v>
      </c>
      <c r="F41" s="0" t="n">
        <v>0.0807839144820566</v>
      </c>
      <c r="G41" s="0" t="n">
        <v>0.0825110423198581</v>
      </c>
      <c r="H41" s="0" t="n">
        <v>0.0849704676456695</v>
      </c>
      <c r="I41" s="0" t="n">
        <v>0.0536749913545502</v>
      </c>
      <c r="J41" s="0" t="n">
        <v>108.92</v>
      </c>
      <c r="K41" s="0" t="n">
        <v>0.0892</v>
      </c>
      <c r="P41" s="0" t="n">
        <v>318.48</v>
      </c>
      <c r="Q41" s="0" t="n">
        <v>0.0506204529273842</v>
      </c>
      <c r="R41" s="0" t="n">
        <v>50.40508</v>
      </c>
      <c r="S41" s="0" t="n">
        <v>50.41</v>
      </c>
      <c r="T41" s="0" t="n">
        <v>20.84</v>
      </c>
      <c r="U41" s="0" t="s">
        <v>103</v>
      </c>
    </row>
    <row r="42" customFormat="false" ht="15" hidden="false" customHeight="false" outlineLevel="0" collapsed="false">
      <c r="A42" s="0" t="s">
        <v>104</v>
      </c>
      <c r="B42" s="0" t="n">
        <v>0.5442</v>
      </c>
      <c r="C42" s="0" t="n">
        <v>0.0971</v>
      </c>
      <c r="D42" s="0" t="n">
        <v>0.0679</v>
      </c>
      <c r="E42" s="0" t="n">
        <v>0.0947</v>
      </c>
      <c r="F42" s="0" t="n">
        <v>0.0951289936839923</v>
      </c>
      <c r="G42" s="0" t="n">
        <v>0.079896854605892</v>
      </c>
      <c r="H42" s="0" t="n">
        <v>0.0716496232368529</v>
      </c>
      <c r="I42" s="0" t="n">
        <v>0.0563965066970955</v>
      </c>
      <c r="J42" s="0" t="n">
        <v>98.13</v>
      </c>
      <c r="K42" s="0" t="n">
        <v>-0.0187000000000001</v>
      </c>
      <c r="P42" s="0" t="n">
        <v>337.936</v>
      </c>
      <c r="Q42" s="0" t="n">
        <v>0.0353333337201838</v>
      </c>
      <c r="R42" s="0" t="n">
        <v>46.07983</v>
      </c>
      <c r="S42" s="0" t="n">
        <v>46.08</v>
      </c>
      <c r="T42" s="0" t="n">
        <v>23.72</v>
      </c>
      <c r="U42" s="0" t="s">
        <v>105</v>
      </c>
    </row>
    <row r="43" customFormat="false" ht="15" hidden="false" customHeight="false" outlineLevel="0" collapsed="false">
      <c r="A43" s="0" t="s">
        <v>106</v>
      </c>
      <c r="B43" s="0" t="n">
        <v>0.2098</v>
      </c>
      <c r="C43" s="0" t="n">
        <v>0.0568</v>
      </c>
      <c r="D43" s="0" t="n">
        <v>0.01</v>
      </c>
      <c r="E43" s="0" t="n">
        <v>0.0102</v>
      </c>
      <c r="F43" s="0" t="n">
        <v>0.0704935043553423</v>
      </c>
      <c r="G43" s="0" t="n">
        <v>0.0633221697478643</v>
      </c>
      <c r="H43" s="0" t="n">
        <v>0.0582016404891772</v>
      </c>
      <c r="I43" s="0" t="n">
        <v>0.0499676473074606</v>
      </c>
      <c r="J43" s="0" t="n">
        <v>98.26</v>
      </c>
      <c r="K43" s="0" t="n">
        <v>-0.0174</v>
      </c>
      <c r="L43" s="0" t="n">
        <v>-0.0187865131029879</v>
      </c>
      <c r="M43" s="0" t="n">
        <v>59.91</v>
      </c>
      <c r="N43" s="0" t="n">
        <v>0.105809</v>
      </c>
      <c r="O43" s="0" t="s">
        <v>22</v>
      </c>
      <c r="P43" s="0" t="n">
        <v>494.158</v>
      </c>
      <c r="Q43" s="0" t="n">
        <v>0.0859090476186788</v>
      </c>
      <c r="R43" s="0" t="n">
        <v>42.63947</v>
      </c>
      <c r="S43" s="0" t="n">
        <v>40.8</v>
      </c>
      <c r="T43" s="0" t="n">
        <v>12.19</v>
      </c>
      <c r="U43" s="0" t="s">
        <v>107</v>
      </c>
    </row>
    <row r="44" customFormat="false" ht="15" hidden="false" customHeight="false" outlineLevel="0" collapsed="false">
      <c r="A44" s="0" t="s">
        <v>108</v>
      </c>
      <c r="B44" s="0" t="n">
        <v>0.2014</v>
      </c>
      <c r="C44" s="0" t="n">
        <v>0.0363</v>
      </c>
      <c r="D44" s="0" t="n">
        <v>-0.0146</v>
      </c>
      <c r="E44" s="0" t="n">
        <v>0.065</v>
      </c>
      <c r="F44" s="0" t="n">
        <v>0.0175875215296188</v>
      </c>
      <c r="G44" s="0" t="n">
        <v>0.0178090997966374</v>
      </c>
      <c r="H44" s="0" t="n">
        <v>0.012884148747055</v>
      </c>
      <c r="I44" s="0" t="n">
        <v>0.0391497991396752</v>
      </c>
      <c r="J44" s="0" t="n">
        <v>102.72</v>
      </c>
      <c r="K44" s="0" t="n">
        <v>0.0272</v>
      </c>
      <c r="P44" s="0" t="n">
        <v>262.909</v>
      </c>
      <c r="Q44" s="0" t="n">
        <v>0.038401437165005</v>
      </c>
      <c r="R44" s="0" t="n">
        <v>39.18256</v>
      </c>
      <c r="S44" s="0" t="n">
        <v>39.18</v>
      </c>
      <c r="T44" s="0" t="n">
        <v>47.8</v>
      </c>
      <c r="U44" s="0" t="s">
        <v>109</v>
      </c>
    </row>
    <row r="45" customFormat="false" ht="15" hidden="false" customHeight="false" outlineLevel="0" collapsed="false">
      <c r="A45" s="0" t="s">
        <v>110</v>
      </c>
      <c r="B45" s="0" t="n">
        <v>0.8771</v>
      </c>
      <c r="C45" s="0" t="n">
        <v>0.4956</v>
      </c>
      <c r="D45" s="0" t="n">
        <v>0.2184</v>
      </c>
      <c r="E45" s="0" t="n">
        <v>0.1811</v>
      </c>
      <c r="F45" s="0" t="n">
        <v>0.110728055231776</v>
      </c>
      <c r="G45" s="0" t="n">
        <v>0.0757427171416769</v>
      </c>
      <c r="H45" s="0" t="n">
        <v>0.0782682406130575</v>
      </c>
      <c r="I45" s="0" t="n">
        <v>0.0752248394080557</v>
      </c>
      <c r="J45" s="0" t="n">
        <v>116.39</v>
      </c>
      <c r="K45" s="0" t="n">
        <v>0.1639</v>
      </c>
      <c r="P45" s="0" t="n">
        <v>247.759</v>
      </c>
      <c r="Q45" s="0" t="n">
        <v>0.0517638120262696</v>
      </c>
      <c r="R45" s="0" t="n">
        <v>37.34841</v>
      </c>
      <c r="S45" s="0" t="n">
        <v>37.35</v>
      </c>
      <c r="T45" s="0" t="n">
        <v>9.71</v>
      </c>
      <c r="U45" s="0" t="s">
        <v>111</v>
      </c>
    </row>
    <row r="46" customFormat="false" ht="15" hidden="false" customHeight="false" outlineLevel="0" collapsed="false">
      <c r="A46" s="0" t="s">
        <v>112</v>
      </c>
      <c r="B46" s="0" t="n">
        <v>0.0184</v>
      </c>
      <c r="C46" s="0" t="n">
        <v>0.4239</v>
      </c>
      <c r="D46" s="0" t="n">
        <v>0.4054</v>
      </c>
      <c r="E46" s="0" t="n">
        <v>0.143</v>
      </c>
      <c r="F46" s="0" t="n">
        <v>0.0724019747847728</v>
      </c>
      <c r="G46" s="0" t="n">
        <v>0.0262213803788289</v>
      </c>
      <c r="H46" s="0" t="n">
        <v>0.0889203978405615</v>
      </c>
      <c r="I46" s="0" t="n">
        <v>0.0230253603301325</v>
      </c>
      <c r="J46" s="0" t="n">
        <v>131.91</v>
      </c>
      <c r="K46" s="0" t="n">
        <v>0.3191</v>
      </c>
      <c r="P46" s="0" t="n">
        <v>683.371</v>
      </c>
      <c r="Q46" s="0" t="n">
        <v>0.0626751942412123</v>
      </c>
      <c r="R46" s="0" t="n">
        <v>34.33111</v>
      </c>
      <c r="S46" s="0" t="n">
        <v>29.64</v>
      </c>
      <c r="T46" s="0" t="n">
        <v>16.22</v>
      </c>
      <c r="U46" s="0" t="s">
        <v>113</v>
      </c>
    </row>
    <row r="47" customFormat="false" ht="15" hidden="false" customHeight="false" outlineLevel="0" collapsed="false">
      <c r="A47" s="0" t="s">
        <v>114</v>
      </c>
      <c r="B47" s="0" t="n">
        <v>0.8438</v>
      </c>
      <c r="C47" s="0" t="n">
        <v>0.4299</v>
      </c>
      <c r="D47" s="0" t="n">
        <v>0.2774</v>
      </c>
      <c r="E47" s="0" t="n">
        <v>0.2297</v>
      </c>
      <c r="F47" s="0" t="n">
        <v>0.103574730837343</v>
      </c>
      <c r="G47" s="0" t="n">
        <v>0.0973839008456399</v>
      </c>
      <c r="H47" s="0" t="n">
        <v>0.101717843239399</v>
      </c>
      <c r="I47" s="0" t="n">
        <v>0.0958816256352586</v>
      </c>
      <c r="J47" s="0" t="n">
        <v>121.36</v>
      </c>
      <c r="K47" s="0" t="n">
        <v>0.2136</v>
      </c>
      <c r="P47" s="0" t="n">
        <v>422.508</v>
      </c>
      <c r="Q47" s="0" t="n">
        <v>0.0237914692337025</v>
      </c>
      <c r="R47" s="0" t="n">
        <v>25.17675</v>
      </c>
      <c r="S47" s="0" t="n">
        <v>23.47</v>
      </c>
      <c r="T47" s="0" t="n">
        <v>13.8</v>
      </c>
      <c r="U47" s="0" t="s">
        <v>115</v>
      </c>
    </row>
  </sheetData>
  <autoFilter ref="A1:U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D6" activeCellId="0" sqref="D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.93"/>
    <col collapsed="false" customWidth="true" hidden="true" outlineLevel="0" max="2" min="2" style="0" width="15.3"/>
    <col collapsed="false" customWidth="true" hidden="true" outlineLevel="0" max="3" min="3" style="0" width="22.51"/>
    <col collapsed="false" customWidth="true" hidden="false" outlineLevel="0" max="4" min="4" style="0" width="16.88"/>
    <col collapsed="false" customWidth="true" hidden="false" outlineLevel="0" max="5" min="5" style="0" width="16.69"/>
    <col collapsed="false" customWidth="true" hidden="true" outlineLevel="0" max="6" min="6" style="0" width="13.53"/>
    <col collapsed="false" customWidth="true" hidden="true" outlineLevel="0" max="7" min="7" style="0" width="32.6"/>
    <col collapsed="false" customWidth="true" hidden="true" outlineLevel="0" max="8" min="8" style="0" width="44.98"/>
    <col collapsed="false" customWidth="true" hidden="true" outlineLevel="0" max="9" min="9" style="0" width="19.09"/>
    <col collapsed="false" customWidth="true" hidden="false" outlineLevel="0" max="10" min="10" style="0" width="20.03"/>
    <col collapsed="false" customWidth="true" hidden="true" outlineLevel="0" max="11" min="11" style="2" width="18.59"/>
    <col collapsed="false" customWidth="true" hidden="false" outlineLevel="0" max="12" min="12" style="0" width="15.43"/>
    <col collapsed="false" customWidth="true" hidden="false" outlineLevel="0" max="13" min="13" style="0" width="11.53"/>
    <col collapsed="false" customWidth="true" hidden="false" outlineLevel="0" max="14" min="14" style="0" width="11.26"/>
    <col collapsed="false" customWidth="true" hidden="false" outlineLevel="0" max="15" min="15" style="0" width="21.76"/>
    <col collapsed="false" customWidth="true" hidden="true" outlineLevel="0" max="16" min="16" style="3" width="27.19"/>
    <col collapsed="false" customWidth="true" hidden="true" outlineLevel="0" max="17" min="17" style="4" width="53.32"/>
    <col collapsed="false" customWidth="true" hidden="false" outlineLevel="0" max="18" min="18" style="0" width="27.32"/>
    <col collapsed="false" customWidth="true" hidden="true" outlineLevel="0" max="19" min="19" style="0" width="27.19"/>
    <col collapsed="false" customWidth="true" hidden="true" outlineLevel="0" max="20" min="20" style="0" width="6.7"/>
    <col collapsed="false" customWidth="true" hidden="true" outlineLevel="0" max="21" min="21" style="0" width="40"/>
  </cols>
  <sheetData>
    <row r="1" customFormat="false" ht="15" hidden="false" customHeight="false" outlineLevel="0" collapsed="false">
      <c r="A1" s="0" t="s">
        <v>116</v>
      </c>
    </row>
    <row r="2" customFormat="false" ht="15" hidden="false" customHeight="false" outlineLevel="0" collapsed="false">
      <c r="A2" s="0" t="s">
        <v>117</v>
      </c>
    </row>
    <row r="3" customFormat="false" ht="15" hidden="false" customHeight="false" outlineLevel="0" collapsed="false">
      <c r="A3" s="1" t="s">
        <v>118</v>
      </c>
    </row>
    <row r="4" customFormat="false" ht="15" hidden="false" customHeight="false" outlineLevel="0" collapsed="false">
      <c r="A4" s="1" t="s">
        <v>119</v>
      </c>
      <c r="B4" s="1" t="s">
        <v>120</v>
      </c>
      <c r="C4" s="1" t="s">
        <v>121</v>
      </c>
      <c r="D4" s="1" t="s">
        <v>122</v>
      </c>
      <c r="E4" s="1" t="s">
        <v>123</v>
      </c>
      <c r="F4" s="1" t="s">
        <v>124</v>
      </c>
      <c r="G4" s="1" t="s">
        <v>125</v>
      </c>
      <c r="H4" s="1" t="s">
        <v>126</v>
      </c>
      <c r="I4" s="1" t="s">
        <v>127</v>
      </c>
      <c r="J4" s="1" t="s">
        <v>128</v>
      </c>
      <c r="K4" s="5" t="s">
        <v>129</v>
      </c>
      <c r="L4" s="1" t="s">
        <v>130</v>
      </c>
      <c r="M4" s="1"/>
      <c r="N4" s="1"/>
      <c r="O4" s="1" t="s">
        <v>131</v>
      </c>
      <c r="P4" s="6" t="s">
        <v>132</v>
      </c>
      <c r="Q4" s="7" t="s">
        <v>133</v>
      </c>
      <c r="R4" s="1" t="s">
        <v>134</v>
      </c>
      <c r="S4" s="1" t="s">
        <v>135</v>
      </c>
      <c r="T4" s="1" t="s">
        <v>136</v>
      </c>
      <c r="U4" s="1" t="s">
        <v>137</v>
      </c>
    </row>
    <row r="5" customFormat="false" ht="15" hidden="false" customHeight="false" outlineLevel="0" collapsed="false">
      <c r="A5" s="0" t="s">
        <v>86</v>
      </c>
      <c r="B5" s="8" t="n">
        <f aca="false">IFERROR(INDEX(Raw_Data!$F:$I, MATCH($A5, Raw_Data!$A:$A, 0), MATCH($A$3, {"1Y","3Y","5Y","10Y"}, 0)), NA())</f>
        <v>0.0498068926553474</v>
      </c>
      <c r="C5" s="8" t="n">
        <f aca="false">IFERROR(INDEX(Raw_Data!$B:$E, MATCH($A5, Raw_Data!$A:$A, 0), MATCH($A$3, {"1Y","3Y","5Y","10Y"}, 0)), NA())</f>
        <v>-0.0085</v>
      </c>
      <c r="D5" s="8" t="n">
        <f aca="false">IFERROR(B5-C5, NA())</f>
        <v>0.0583068926553474</v>
      </c>
      <c r="E5" s="8" t="n">
        <f aca="false">IFERROR(IF(OR(INDEX(Raw_Data!$Q:$Q, MATCH($A5, Raw_Data!$A:$A, 0))="", INDEX(Raw_Data!$Q:$Q, MATCH($A5, Raw_Data!$A:$A, 0))=0), NA(), INDEX(Raw_Data!$Q:$Q, MATCH($A5, Raw_Data!$A:$A, 0))), NA())</f>
        <v>0.0747147910314754</v>
      </c>
      <c r="F5" s="2" t="n">
        <f aca="false">IFERROR(IF(OR(INDEX(Raw_Data!$J:$J, MATCH($A5, Raw_Data!$A:$A, 0))="", INDEX(Raw_Data!$J:$J, MATCH($A5, Raw_Data!$A:$A, 0))=0), NA(), INDEX(Raw_Data!$J:$J, MATCH($A5, Raw_Data!$A:$A, 0))), NA())</f>
        <v>91.17</v>
      </c>
      <c r="G5" s="8" t="n">
        <f aca="false">IFERROR((100-F5)/100, NA())</f>
        <v>0.0883</v>
      </c>
      <c r="H5" s="8" t="n">
        <f aca="false">(P5/Q5)-1</f>
        <v>-0.0019964871194379</v>
      </c>
      <c r="I5" s="8" t="n">
        <f aca="false">IFERROR((G5+H5)/2, NA())</f>
        <v>0.0431517564402811</v>
      </c>
      <c r="J5" s="0" t="str">
        <f aca="false">IF(ISNA(I5), "", IF(I5&gt;0.05,"undervalued", IF(I5&lt;-0.05,"overvalued", "neutral")))</f>
        <v>neutral</v>
      </c>
      <c r="K5" s="2" t="n">
        <f aca="false">IFERROR(IF(OR(INDEX(Raw_Data!$N:$N, MATCH($A5, Raw_Data!$A:$A, 0))="", INDEX(Raw_Data!$N:$N, MATCH($A5, Raw_Data!$A:$A, 0))=0), NA(), INDEX(Raw_Data!$N:$N, MATCH($A5, Raw_Data!$A:$A, 0))), NA())</f>
        <v>0.091834</v>
      </c>
      <c r="L5" s="0" t="str">
        <f aca="false">IFERROR(INDEX(Raw_Data!$O:$O, MATCH($A5, Raw_Data!$A:$A, 0)), NA())</f>
        <v>low</v>
      </c>
      <c r="O5" s="2" t="n">
        <f aca="false">IFERROR(INDEX(Raw_Data!$P:$P, MATCH($A5, Raw_Data!$A:$A, 0)), NA())</f>
        <v>1443.256</v>
      </c>
      <c r="P5" s="3" t="n">
        <f aca="false">IFERROR(INDEX(Raw_Data!$M:$M, MATCH($A5, Raw_Data!$A:$A, 0)), NA())</f>
        <v>17045.9</v>
      </c>
      <c r="Q5" s="4" t="n">
        <v>17080</v>
      </c>
      <c r="R5" s="3" t="n">
        <f aca="false">IFERROR(INDEX(Raw_Data!$R:$R, MATCH($A5, Raw_Data!$A:$A, 0)), NA())</f>
        <v>111.98327</v>
      </c>
      <c r="S5" s="3" t="n">
        <f aca="false">IFERROR(INDEX(Raw_Data!$S:$S, MATCH($A5, Raw_Data!$A:$A, 0)), NA())</f>
        <v>92.56</v>
      </c>
      <c r="T5" s="2" t="n">
        <f aca="false">IFERROR(INDEX(Raw_Data!$T:$T, MATCH($A5, Raw_Data!$A:$A, 0)), NA())</f>
        <v>16.06</v>
      </c>
      <c r="U5" s="0" t="str">
        <f aca="false">IFERROR(INDEX(Raw_Data!$U:$U, MATCH($A5, Raw_Data!$A:$A, 0)), NA())</f>
        <v>https://www.msci.com/documents/10199/255599/msci-indonesia-index.pdf</v>
      </c>
    </row>
    <row r="6" customFormat="false" ht="15" hidden="false" customHeight="false" outlineLevel="0" collapsed="false">
      <c r="A6" s="0" t="s">
        <v>106</v>
      </c>
      <c r="B6" s="8" t="n">
        <f aca="false">IFERROR(INDEX(Raw_Data!$F:$I, MATCH($A6, Raw_Data!$A:$A, 0), MATCH($A$3, {"1Y","3Y","5Y","10Y"}, 0)), NA())</f>
        <v>0.0499676473074606</v>
      </c>
      <c r="C6" s="8" t="n">
        <f aca="false">IFERROR(INDEX(Raw_Data!$B:$E, MATCH($A6, Raw_Data!$A:$A, 0), MATCH($A$3, {"1Y","3Y","5Y","10Y"}, 0)), NA())</f>
        <v>0.0102</v>
      </c>
      <c r="D6" s="8" t="n">
        <f aca="false">IFERROR(B6-C6, NA())</f>
        <v>0.0397676473074606</v>
      </c>
      <c r="E6" s="8" t="n">
        <f aca="false">IFERROR(IF(OR(INDEX(Raw_Data!$Q:$Q, MATCH($A6, Raw_Data!$A:$A, 0))="", INDEX(Raw_Data!$Q:$Q, MATCH($A6, Raw_Data!$A:$A, 0))=0), NA(), INDEX(Raw_Data!$Q:$Q, MATCH($A6, Raw_Data!$A:$A, 0))), NA())</f>
        <v>0.0859090476186788</v>
      </c>
      <c r="F6" s="2" t="n">
        <f aca="false">IFERROR(IF(OR(INDEX(Raw_Data!$J:$J, MATCH($A6, Raw_Data!$A:$A, 0))="", INDEX(Raw_Data!$J:$J, MATCH($A6, Raw_Data!$A:$A, 0))=0), NA(), INDEX(Raw_Data!$J:$J, MATCH($A6, Raw_Data!$A:$A, 0))), NA())</f>
        <v>98.26</v>
      </c>
      <c r="G6" s="8" t="n">
        <f aca="false">IFERROR((100-F6)/100, NA())</f>
        <v>0.0174</v>
      </c>
      <c r="H6" s="8" t="n">
        <f aca="false">(P6/Q6)-1</f>
        <v>-0.0116878510685682</v>
      </c>
      <c r="I6" s="8" t="n">
        <f aca="false">IFERROR((G6+H6)/2, NA())</f>
        <v>0.00285607446571589</v>
      </c>
      <c r="J6" s="0" t="str">
        <f aca="false">IF(ISNA(I6), "", IF(I6&gt;0.05,"undervalued", IF(I6&lt;-0.05,"overvalued", "neutral")))</f>
        <v>neutral</v>
      </c>
      <c r="K6" s="2" t="n">
        <f aca="false">IFERROR(IF(OR(INDEX(Raw_Data!$N:$N, MATCH($A6, Raw_Data!$A:$A, 0))="", INDEX(Raw_Data!$N:$N, MATCH($A6, Raw_Data!$A:$A, 0))=0), NA(), INDEX(Raw_Data!$N:$N, MATCH($A6, Raw_Data!$A:$A, 0))), NA())</f>
        <v>0.105809</v>
      </c>
      <c r="L6" s="0" t="str">
        <f aca="false">IFERROR(INDEX(Raw_Data!$O:$O, MATCH($A6, Raw_Data!$A:$A, 0)), NA())</f>
        <v>low</v>
      </c>
      <c r="O6" s="2" t="n">
        <f aca="false">IFERROR(INDEX(Raw_Data!$P:$P, MATCH($A6, Raw_Data!$A:$A, 0)), NA())</f>
        <v>494.158</v>
      </c>
      <c r="P6" s="3" t="n">
        <f aca="false">IFERROR(INDEX(Raw_Data!$M:$M, MATCH($A6, Raw_Data!$A:$A, 0)), NA())</f>
        <v>59.91</v>
      </c>
      <c r="Q6" s="4" t="n">
        <v>60.6185</v>
      </c>
      <c r="R6" s="3" t="n">
        <f aca="false">IFERROR(INDEX(Raw_Data!$R:$R, MATCH($A6, Raw_Data!$A:$A, 0)), NA())</f>
        <v>42.63947</v>
      </c>
      <c r="S6" s="3" t="n">
        <f aca="false">IFERROR(INDEX(Raw_Data!$S:$S, MATCH($A6, Raw_Data!$A:$A, 0)), NA())</f>
        <v>40.8</v>
      </c>
      <c r="T6" s="2" t="n">
        <f aca="false">IFERROR(INDEX(Raw_Data!$T:$T, MATCH($A6, Raw_Data!$A:$A, 0)), NA())</f>
        <v>12.19</v>
      </c>
      <c r="U6" s="0" t="str">
        <f aca="false">IFERROR(INDEX(Raw_Data!$U:$U, MATCH($A6, Raw_Data!$A:$A, 0)), NA())</f>
        <v>https://www.msci.com/documents/10199/255599/msci-philippines-index.pdf</v>
      </c>
    </row>
    <row r="7" customFormat="false" ht="15" hidden="false" customHeight="false" outlineLevel="0" collapsed="false">
      <c r="A7" s="0" t="s">
        <v>100</v>
      </c>
      <c r="B7" s="8" t="n">
        <f aca="false">IFERROR(INDEX(Raw_Data!$F:$I, MATCH($A7, Raw_Data!$A:$A, 0), MATCH($A$3, {"1Y","3Y","5Y","10Y"}, 0)), NA())</f>
        <v>0.0674032212967619</v>
      </c>
      <c r="C7" s="8" t="n">
        <f aca="false">IFERROR(INDEX(Raw_Data!$B:$E, MATCH($A7, Raw_Data!$A:$A, 0), MATCH($A$3, {"1Y","3Y","5Y","10Y"}, 0)), NA())</f>
        <v>0.0312</v>
      </c>
      <c r="D7" s="8" t="n">
        <f aca="false">IFERROR(B7-C7, NA())</f>
        <v>0.0362032212967619</v>
      </c>
      <c r="E7" s="8" t="n">
        <f aca="false">IFERROR(IF(OR(INDEX(Raw_Data!$Q:$Q, MATCH($A7, Raw_Data!$A:$A, 0))="", INDEX(Raw_Data!$Q:$Q, MATCH($A7, Raw_Data!$A:$A, 0))=0), NA(), INDEX(Raw_Data!$Q:$Q, MATCH($A7, Raw_Data!$A:$A, 0))), NA())</f>
        <v>0.0568576326336552</v>
      </c>
      <c r="F7" s="2" t="n">
        <f aca="false">IFERROR(IF(OR(INDEX(Raw_Data!$J:$J, MATCH($A7, Raw_Data!$A:$A, 0))="", INDEX(Raw_Data!$J:$J, MATCH($A7, Raw_Data!$A:$A, 0))=0), NA(), INDEX(Raw_Data!$J:$J, MATCH($A7, Raw_Data!$A:$A, 0))), NA())</f>
        <v>104.32</v>
      </c>
      <c r="G7" s="8" t="n">
        <f aca="false">IFERROR((100-F7)/100, NA())</f>
        <v>-0.0431999999999999</v>
      </c>
      <c r="H7" s="8" t="n">
        <f aca="false">(P7/Q7)-1</f>
        <v>-0.270988404705232</v>
      </c>
      <c r="I7" s="8" t="n">
        <f aca="false">IFERROR((G7+H7)/2, NA())</f>
        <v>-0.157094202352616</v>
      </c>
      <c r="J7" s="0" t="str">
        <f aca="false">IF(ISNA(I7), "", IF(I7&gt;0.05,"undervalued", IF(I7&lt;-0.05,"overvalued", "neutral")))</f>
        <v>overvalued</v>
      </c>
      <c r="K7" s="2" t="n">
        <f aca="false">IFERROR(IF(OR(INDEX(Raw_Data!$N:$N, MATCH($A7, Raw_Data!$A:$A, 0))="", INDEX(Raw_Data!$N:$N, MATCH($A7, Raw_Data!$A:$A, 0))=0), NA(), INDEX(Raw_Data!$N:$N, MATCH($A7, Raw_Data!$A:$A, 0))), NA())</f>
        <v>0.166453</v>
      </c>
      <c r="L7" s="0" t="str">
        <f aca="false">IFERROR(INDEX(Raw_Data!$O:$O, MATCH($A7, Raw_Data!$A:$A, 0)), NA())</f>
        <v>low</v>
      </c>
      <c r="O7" s="2" t="n">
        <f aca="false">IFERROR(INDEX(Raw_Data!$P:$P, MATCH($A7, Raw_Data!$A:$A, 0)), NA())</f>
        <v>1565.471</v>
      </c>
      <c r="P7" s="3" t="n">
        <f aca="false">IFERROR(INDEX(Raw_Data!$M:$M, MATCH($A7, Raw_Data!$A:$A, 0)), NA())</f>
        <v>44.318</v>
      </c>
      <c r="Q7" s="4" t="n">
        <v>60.7919</v>
      </c>
      <c r="R7" s="3" t="n">
        <f aca="false">IFERROR(INDEX(Raw_Data!$R:$R, MATCH($A7, Raw_Data!$A:$A, 0)), NA())</f>
        <v>52.34579</v>
      </c>
      <c r="S7" s="3" t="n">
        <f aca="false">IFERROR(INDEX(Raw_Data!$S:$S, MATCH($A7, Raw_Data!$A:$A, 0)), NA())</f>
        <v>47.89</v>
      </c>
      <c r="T7" s="2" t="n">
        <f aca="false">IFERROR(INDEX(Raw_Data!$T:$T, MATCH($A7, Raw_Data!$A:$A, 0)), NA())</f>
        <v>14.27</v>
      </c>
      <c r="U7" s="0" t="str">
        <f aca="false">IFERROR(INDEX(Raw_Data!$U:$U, MATCH($A7, Raw_Data!$A:$A, 0)), NA())</f>
        <v>https://www.msci.com/documents/10199/255599/msci-turkey-index-gross-usd.pdf</v>
      </c>
    </row>
    <row r="8" customFormat="false" ht="15" hidden="false" customHeight="false" outlineLevel="0" collapsed="false">
      <c r="A8" s="0" t="s">
        <v>80</v>
      </c>
      <c r="B8" s="8" t="n">
        <f aca="false">IFERROR(INDEX(Raw_Data!$F:$I, MATCH($A8, Raw_Data!$A:$A, 0), MATCH($A$3, {"1Y","3Y","5Y","10Y"}, 0)), NA())</f>
        <v>0.050802634584056</v>
      </c>
      <c r="C8" s="8" t="n">
        <f aca="false">IFERROR(INDEX(Raw_Data!$B:$E, MATCH($A8, Raw_Data!$A:$A, 0), MATCH($A$3, {"1Y","3Y","5Y","10Y"}, 0)), NA())</f>
        <v>0.0376</v>
      </c>
      <c r="D8" s="8" t="n">
        <f aca="false">IFERROR(B8-C8, NA())</f>
        <v>0.013202634584056</v>
      </c>
      <c r="E8" s="8" t="n">
        <f aca="false">IFERROR(IF(OR(INDEX(Raw_Data!$Q:$Q, MATCH($A8, Raw_Data!$A:$A, 0))="", INDEX(Raw_Data!$Q:$Q, MATCH($A8, Raw_Data!$A:$A, 0))=0), NA(), INDEX(Raw_Data!$Q:$Q, MATCH($A8, Raw_Data!$A:$A, 0))), NA())</f>
        <v>0.0644615237835122</v>
      </c>
      <c r="F8" s="2" t="n">
        <f aca="false">IFERROR(IF(OR(INDEX(Raw_Data!$J:$J, MATCH($A8, Raw_Data!$A:$A, 0))="", INDEX(Raw_Data!$J:$J, MATCH($A8, Raw_Data!$A:$A, 0))=0), NA(), INDEX(Raw_Data!$J:$J, MATCH($A8, Raw_Data!$A:$A, 0))), NA())</f>
        <v>108.95</v>
      </c>
      <c r="G8" s="8" t="n">
        <f aca="false">IFERROR((100-F8)/100, NA())</f>
        <v>-0.0895</v>
      </c>
      <c r="H8" s="8" t="e">
        <f aca="false">(P8/Q8)-1</f>
        <v>#VALUE!</v>
      </c>
      <c r="I8" s="8" t="e">
        <f aca="false">IFERROR((G8+H8)/2, NA())</f>
        <v>#N/A</v>
      </c>
      <c r="J8" s="0" t="str">
        <f aca="false">IF(ISNA(I8), "", IF(I8&gt;0.05,"undervalued", IF(I8&lt;-0.05,"overvalued", "neutral")))</f>
        <v/>
      </c>
      <c r="K8" s="2" t="n">
        <f aca="false">IFERROR(IF(OR(INDEX(Raw_Data!$N:$N, MATCH($A8, Raw_Data!$A:$A, 0))="", INDEX(Raw_Data!$N:$N, MATCH($A8, Raw_Data!$A:$A, 0))=0), NA(), INDEX(Raw_Data!$N:$N, MATCH($A8, Raw_Data!$A:$A, 0))), NA())</f>
        <v>0.448625</v>
      </c>
      <c r="L8" s="0" t="str">
        <f aca="false">IFERROR(INDEX(Raw_Data!$O:$O, MATCH($A8, Raw_Data!$A:$A, 0)), NA())</f>
        <v>med</v>
      </c>
      <c r="O8" s="2" t="n">
        <f aca="false">IFERROR(INDEX(Raw_Data!$P:$P, MATCH($A8, Raw_Data!$A:$A, 0)), NA())</f>
        <v>470.572</v>
      </c>
      <c r="P8" s="3" t="s">
        <v>138</v>
      </c>
      <c r="Q8" s="3" t="s">
        <v>138</v>
      </c>
      <c r="R8" s="3" t="n">
        <f aca="false">IFERROR(INDEX(Raw_Data!$R:$R, MATCH($A8, Raw_Data!$A:$A, 0)), NA())</f>
        <v>131.86567</v>
      </c>
      <c r="S8" s="3" t="n">
        <f aca="false">IFERROR(INDEX(Raw_Data!$S:$S, MATCH($A8, Raw_Data!$A:$A, 0)), NA())</f>
        <v>92.19</v>
      </c>
      <c r="T8" s="2" t="n">
        <f aca="false">IFERROR(INDEX(Raw_Data!$T:$T, MATCH($A8, Raw_Data!$A:$A, 0)), NA())</f>
        <v>16.11</v>
      </c>
      <c r="U8" s="0" t="str">
        <f aca="false">IFERROR(INDEX(Raw_Data!$U:$U, MATCH($A8, Raw_Data!$A:$A, 0)), NA())</f>
        <v>https://www.msci.com/documents/10199/255599/msci-malaysia-index.pdf</v>
      </c>
    </row>
    <row r="9" customFormat="false" ht="15" hidden="false" customHeight="false" outlineLevel="0" collapsed="false">
      <c r="A9" s="0" t="s">
        <v>74</v>
      </c>
      <c r="B9" s="8" t="n">
        <f aca="false">IFERROR(INDEX(Raw_Data!$F:$I, MATCH($A9, Raw_Data!$A:$A, 0), MATCH($A$3, {"1Y","3Y","5Y","10Y"}, 0)), NA())</f>
        <v>0.0740574442268014</v>
      </c>
      <c r="C9" s="8" t="n">
        <f aca="false">IFERROR(INDEX(Raw_Data!$B:$E, MATCH($A9, Raw_Data!$A:$A, 0), MATCH($A$3, {"1Y","3Y","5Y","10Y"}, 0)), NA())</f>
        <v>0.0626</v>
      </c>
      <c r="D9" s="8" t="n">
        <f aca="false">IFERROR(B9-C9, NA())</f>
        <v>0.0114574442268014</v>
      </c>
      <c r="E9" s="8" t="n">
        <f aca="false">IFERROR(IF(OR(INDEX(Raw_Data!$Q:$Q, MATCH($A9, Raw_Data!$A:$A, 0))="", INDEX(Raw_Data!$Q:$Q, MATCH($A9, Raw_Data!$A:$A, 0))=0), NA(), INDEX(Raw_Data!$Q:$Q, MATCH($A9, Raw_Data!$A:$A, 0))), NA())</f>
        <v>0.0467216661667904</v>
      </c>
      <c r="F9" s="2" t="n">
        <f aca="false">IFERROR(IF(OR(INDEX(Raw_Data!$J:$J, MATCH($A9, Raw_Data!$A:$A, 0))="", INDEX(Raw_Data!$J:$J, MATCH($A9, Raw_Data!$A:$A, 0))=0), NA(), INDEX(Raw_Data!$J:$J, MATCH($A9, Raw_Data!$A:$A, 0))), NA())</f>
        <v>108.16</v>
      </c>
      <c r="G9" s="8" t="n">
        <f aca="false">IFERROR((100-F9)/100, NA())</f>
        <v>-0.0816</v>
      </c>
      <c r="H9" s="8" t="e">
        <f aca="false">(P9/Q9)-1</f>
        <v>#VALUE!</v>
      </c>
      <c r="I9" s="8" t="e">
        <f aca="false">IFERROR((G9+H9)/2, NA())</f>
        <v>#N/A</v>
      </c>
      <c r="J9" s="0" t="str">
        <f aca="false">IF(ISNA(I9), "", IF(I9&gt;0.05,"undervalued", IF(I9&lt;-0.05,"overvalued", "neutral")))</f>
        <v/>
      </c>
      <c r="K9" s="2" t="e">
        <f aca="false">IFERROR(IF(OR(INDEX(Raw_Data!$N:$N, MATCH($A9, Raw_Data!$A:$A, 0))="", INDEX(Raw_Data!$N:$N, MATCH($A9, Raw_Data!$A:$A, 0))=0), NA(), INDEX(Raw_Data!$N:$N, MATCH($A9, Raw_Data!$A:$A, 0))), NA())</f>
        <v>#N/A</v>
      </c>
      <c r="L9" s="0" t="n">
        <f aca="false">IFERROR(INDEX(Raw_Data!$O:$O, MATCH($A9, Raw_Data!$A:$A, 0)), NA())</f>
        <v>0</v>
      </c>
      <c r="O9" s="2" t="n">
        <f aca="false">IFERROR(INDEX(Raw_Data!$P:$P, MATCH($A9, Raw_Data!$A:$A, 0)), NA())</f>
        <v>610.752</v>
      </c>
      <c r="P9" s="3" t="s">
        <v>138</v>
      </c>
      <c r="Q9" s="3" t="s">
        <v>138</v>
      </c>
      <c r="R9" s="3" t="n">
        <f aca="false">IFERROR(INDEX(Raw_Data!$R:$R, MATCH($A9, Raw_Data!$A:$A, 0)), NA())</f>
        <v>215.51913</v>
      </c>
      <c r="S9" s="3" t="n">
        <f aca="false">IFERROR(INDEX(Raw_Data!$S:$S, MATCH($A9, Raw_Data!$A:$A, 0)), NA())</f>
        <v>198.71</v>
      </c>
      <c r="T9" s="2" t="n">
        <f aca="false">IFERROR(INDEX(Raw_Data!$T:$T, MATCH($A9, Raw_Data!$A:$A, 0)), NA())</f>
        <v>14.42</v>
      </c>
      <c r="U9" s="0" t="str">
        <f aca="false">IFERROR(INDEX(Raw_Data!$U:$U, MATCH($A9, Raw_Data!$A:$A, 0)), NA())</f>
        <v>https://www.msci.com/documents/10199/255599/msci-israel-index-usd-net.pdf</v>
      </c>
    </row>
    <row r="10" customFormat="false" ht="15" hidden="false" customHeight="false" outlineLevel="0" collapsed="false">
      <c r="A10" s="0" t="s">
        <v>70</v>
      </c>
      <c r="B10" s="8" t="n">
        <f aca="false">IFERROR(INDEX(Raw_Data!$F:$I, MATCH($A10, Raw_Data!$A:$A, 0), MATCH($A$3, {"1Y","3Y","5Y","10Y"}, 0)), NA())</f>
        <v>0.0470212675079216</v>
      </c>
      <c r="C10" s="8" t="n">
        <f aca="false">IFERROR(INDEX(Raw_Data!$B:$E, MATCH($A10, Raw_Data!$A:$A, 0), MATCH($A$3, {"1Y","3Y","5Y","10Y"}, 0)), NA())</f>
        <v>0.0407</v>
      </c>
      <c r="D10" s="8" t="n">
        <f aca="false">IFERROR(B10-C10, NA())</f>
        <v>0.00632126750792157</v>
      </c>
      <c r="E10" s="8" t="n">
        <f aca="false">IFERROR(IF(OR(INDEX(Raw_Data!$Q:$Q, MATCH($A10, Raw_Data!$A:$A, 0))="", INDEX(Raw_Data!$Q:$Q, MATCH($A10, Raw_Data!$A:$A, 0))=0), NA(), INDEX(Raw_Data!$Q:$Q, MATCH($A10, Raw_Data!$A:$A, 0))), NA())</f>
        <v>0.0264796781502816</v>
      </c>
      <c r="F10" s="2" t="n">
        <f aca="false">IFERROR(IF(OR(INDEX(Raw_Data!$J:$J, MATCH($A10, Raw_Data!$A:$A, 0))="", INDEX(Raw_Data!$J:$J, MATCH($A10, Raw_Data!$A:$A, 0))=0), NA(), INDEX(Raw_Data!$J:$J, MATCH($A10, Raw_Data!$A:$A, 0))), NA())</f>
        <v>104.11</v>
      </c>
      <c r="G10" s="8" t="n">
        <f aca="false">IFERROR((100-F10)/100, NA())</f>
        <v>-0.0411</v>
      </c>
      <c r="H10" s="8" t="n">
        <f aca="false">(P10/Q10)-1</f>
        <v>0.027091191506049</v>
      </c>
      <c r="I10" s="8" t="n">
        <f aca="false">IFERROR((G10+H10)/2, NA())</f>
        <v>-0.0070044042469755</v>
      </c>
      <c r="J10" s="0" t="str">
        <f aca="false">IF(ISNA(I10), "", IF(I10&gt;0.05,"undervalued", IF(I10&lt;-0.05,"overvalued", "neutral")))</f>
        <v>neutral</v>
      </c>
      <c r="K10" s="2" t="e">
        <f aca="false">IFERROR(IF(OR(INDEX(Raw_Data!$N:$N, MATCH($A10, Raw_Data!$A:$A, 0))="", INDEX(Raw_Data!$N:$N, MATCH($A10, Raw_Data!$A:$A, 0))=0), NA(), INDEX(Raw_Data!$N:$N, MATCH($A10, Raw_Data!$A:$A, 0))), NA())</f>
        <v>#N/A</v>
      </c>
      <c r="L10" s="0" t="n">
        <f aca="false">IFERROR(INDEX(Raw_Data!$O:$O, MATCH($A10, Raw_Data!$A:$A, 0)), NA())</f>
        <v>0</v>
      </c>
      <c r="O10" s="2" t="n">
        <f aca="false">IFERROR(INDEX(Raw_Data!$P:$P, MATCH($A10, Raw_Data!$A:$A, 0)), NA())</f>
        <v>716.98</v>
      </c>
      <c r="P10" s="3" t="n">
        <f aca="false">IFERROR(INDEX(Raw_Data!$M:$M, MATCH($A10, Raw_Data!$A:$A, 0)), NA())</f>
        <v>0.872174</v>
      </c>
      <c r="Q10" s="4" t="n">
        <v>0.849169</v>
      </c>
      <c r="R10" s="3" t="n">
        <f aca="false">IFERROR(INDEX(Raw_Data!$R:$R, MATCH($A10, Raw_Data!$A:$A, 0)), NA())</f>
        <v>247.08608</v>
      </c>
      <c r="S10" s="3" t="n">
        <f aca="false">IFERROR(INDEX(Raw_Data!$S:$S, MATCH($A10, Raw_Data!$A:$A, 0)), NA())</f>
        <v>238.28</v>
      </c>
      <c r="T10" s="2" t="n">
        <f aca="false">IFERROR(INDEX(Raw_Data!$T:$T, MATCH($A10, Raw_Data!$A:$A, 0)), NA())</f>
        <v>23.2</v>
      </c>
      <c r="U10" s="0" t="str">
        <f aca="false">IFERROR(INDEX(Raw_Data!$U:$U, MATCH($A10, Raw_Data!$A:$A, 0)), NA())</f>
        <v>https://www.msci.com/documents/10199/255599/msci-belgium-index-usd-net.pdf</v>
      </c>
    </row>
    <row r="11" customFormat="false" ht="15" hidden="false" customHeight="false" outlineLevel="0" collapsed="false">
      <c r="A11" s="0" t="s">
        <v>88</v>
      </c>
      <c r="B11" s="8" t="n">
        <f aca="false">IFERROR(INDEX(Raw_Data!$F:$I, MATCH($A11, Raw_Data!$A:$A, 0), MATCH($A$3, {"1Y","3Y","5Y","10Y"}, 0)), NA())</f>
        <v>0.0980818115649891</v>
      </c>
      <c r="C11" s="8" t="n">
        <f aca="false">IFERROR(INDEX(Raw_Data!$B:$E, MATCH($A11, Raw_Data!$A:$A, 0), MATCH($A$3, {"1Y","3Y","5Y","10Y"}, 0)), NA())</f>
        <v>0.0961</v>
      </c>
      <c r="D11" s="8" t="n">
        <f aca="false">IFERROR(B11-C11, NA())</f>
        <v>0.00198181156498907</v>
      </c>
      <c r="E11" s="8" t="n">
        <f aca="false">IFERROR(IF(OR(INDEX(Raw_Data!$Q:$Q, MATCH($A11, Raw_Data!$A:$A, 0))="", INDEX(Raw_Data!$Q:$Q, MATCH($A11, Raw_Data!$A:$A, 0))=0), NA(), INDEX(Raw_Data!$Q:$Q, MATCH($A11, Raw_Data!$A:$A, 0))), NA())</f>
        <v>0.0397204277563565</v>
      </c>
      <c r="F11" s="2" t="n">
        <f aca="false">IFERROR(IF(OR(INDEX(Raw_Data!$J:$J, MATCH($A11, Raw_Data!$A:$A, 0))="", INDEX(Raw_Data!$J:$J, MATCH($A11, Raw_Data!$A:$A, 0))=0), NA(), INDEX(Raw_Data!$J:$J, MATCH($A11, Raw_Data!$A:$A, 0))), NA())</f>
        <v>103.94</v>
      </c>
      <c r="G11" s="8" t="n">
        <f aca="false">IFERROR((100-F11)/100, NA())</f>
        <v>-0.0394</v>
      </c>
      <c r="H11" s="8" t="n">
        <f aca="false">(P11/Q11)-1</f>
        <v>0.0245310415241253</v>
      </c>
      <c r="I11" s="8" t="n">
        <f aca="false">IFERROR((G11+H11)/2, NA())</f>
        <v>-0.00743447923793732</v>
      </c>
      <c r="J11" s="0" t="str">
        <f aca="false">IF(ISNA(I11), "", IF(I11&gt;0.05,"undervalued", IF(I11&lt;-0.05,"overvalued", "neutral")))</f>
        <v>neutral</v>
      </c>
      <c r="K11" s="2" t="e">
        <f aca="false">IFERROR(IF(OR(INDEX(Raw_Data!$N:$N, MATCH($A11, Raw_Data!$A:$A, 0))="", INDEX(Raw_Data!$N:$N, MATCH($A11, Raw_Data!$A:$A, 0))=0), NA(), INDEX(Raw_Data!$N:$N, MATCH($A11, Raw_Data!$A:$A, 0))), NA())</f>
        <v>#N/A</v>
      </c>
      <c r="L11" s="0" t="n">
        <f aca="false">IFERROR(INDEX(Raw_Data!$O:$O, MATCH($A11, Raw_Data!$A:$A, 0)), NA())</f>
        <v>0</v>
      </c>
      <c r="O11" s="2" t="n">
        <f aca="false">IFERROR(INDEX(Raw_Data!$P:$P, MATCH($A11, Raw_Data!$A:$A, 0)), NA())</f>
        <v>708.771</v>
      </c>
      <c r="P11" s="3" t="n">
        <v>0.87</v>
      </c>
      <c r="Q11" s="4" t="n">
        <v>0.849169</v>
      </c>
      <c r="R11" s="3" t="n">
        <f aca="false">IFERROR(INDEX(Raw_Data!$R:$R, MATCH($A11, Raw_Data!$A:$A, 0)), NA())</f>
        <v>97.99111</v>
      </c>
      <c r="S11" s="3" t="n">
        <f aca="false">IFERROR(INDEX(Raw_Data!$S:$S, MATCH($A11, Raw_Data!$A:$A, 0)), NA())</f>
        <v>97.99</v>
      </c>
      <c r="T11" s="2" t="n">
        <f aca="false">IFERROR(INDEX(Raw_Data!$T:$T, MATCH($A11, Raw_Data!$A:$A, 0)), NA())</f>
        <v>12.95</v>
      </c>
      <c r="U11" s="0" t="str">
        <f aca="false">IFERROR(INDEX(Raw_Data!$U:$U, MATCH($A11, Raw_Data!$A:$A, 0)), NA())</f>
        <v>https://www.msci.com/documents/10199/255599/msci-ireland-index-usd-net.pdf</v>
      </c>
    </row>
    <row r="12" customFormat="false" ht="15" hidden="false" customHeight="false" outlineLevel="0" collapsed="false">
      <c r="A12" s="0" t="s">
        <v>90</v>
      </c>
      <c r="B12" s="8" t="n">
        <f aca="false">IFERROR(INDEX(Raw_Data!$F:$I, MATCH($A12, Raw_Data!$A:$A, 0), MATCH($A$3, {"1Y","3Y","5Y","10Y"}, 0)), NA())</f>
        <v>0.0432534662766113</v>
      </c>
      <c r="C12" s="8" t="n">
        <f aca="false">IFERROR(INDEX(Raw_Data!$B:$E, MATCH($A12, Raw_Data!$A:$A, 0), MATCH($A$3, {"1Y","3Y","5Y","10Y"}, 0)), NA())</f>
        <v>0.0457</v>
      </c>
      <c r="D12" s="8" t="n">
        <f aca="false">IFERROR(B12-C12, NA())</f>
        <v>-0.00244653372338869</v>
      </c>
      <c r="E12" s="8" t="n">
        <f aca="false">IFERROR(IF(OR(INDEX(Raw_Data!$Q:$Q, MATCH($A12, Raw_Data!$A:$A, 0))="", INDEX(Raw_Data!$Q:$Q, MATCH($A12, Raw_Data!$A:$A, 0))=0), NA(), INDEX(Raw_Data!$Q:$Q, MATCH($A12, Raw_Data!$A:$A, 0))), NA())</f>
        <v>0.0686006357214208</v>
      </c>
      <c r="F12" s="2" t="e">
        <f aca="false">IFERROR(IF(OR(INDEX(Raw_Data!$J:$J, MATCH($A12, Raw_Data!$A:$A, 0))="", INDEX(Raw_Data!$J:$J, MATCH($A12, Raw_Data!$A:$A, 0))=0), NA(), INDEX(Raw_Data!$J:$J, MATCH($A12, Raw_Data!$A:$A, 0))), NA())</f>
        <v>#N/A</v>
      </c>
      <c r="G12" s="8" t="e">
        <f aca="false">IFERROR((100-F12)/100, NA())</f>
        <v>#N/A</v>
      </c>
      <c r="H12" s="8" t="e">
        <f aca="false">(P12/Q12)-1</f>
        <v>#VALUE!</v>
      </c>
      <c r="I12" s="8" t="e">
        <f aca="false">IFERROR((G12+H12)/2, NA())</f>
        <v>#N/A</v>
      </c>
      <c r="J12" s="0" t="str">
        <f aca="false">IF(ISNA(I12), "", IF(I12&gt;0.05,"undervalued", IF(I12&lt;-0.05,"overvalued", "neutral")))</f>
        <v/>
      </c>
      <c r="K12" s="2" t="e">
        <f aca="false">IFERROR(IF(OR(INDEX(Raw_Data!$N:$N, MATCH($A12, Raw_Data!$A:$A, 0))="", INDEX(Raw_Data!$N:$N, MATCH($A12, Raw_Data!$A:$A, 0))=0), NA(), INDEX(Raw_Data!$N:$N, MATCH($A12, Raw_Data!$A:$A, 0))), NA())</f>
        <v>#N/A</v>
      </c>
      <c r="L12" s="0" t="n">
        <f aca="false">IFERROR(INDEX(Raw_Data!$O:$O, MATCH($A12, Raw_Data!$A:$A, 0)), NA())</f>
        <v>0</v>
      </c>
      <c r="O12" s="2" t="n">
        <f aca="false">IFERROR(INDEX(Raw_Data!$P:$P, MATCH($A12, Raw_Data!$A:$A, 0)), NA())</f>
        <v>222.119</v>
      </c>
      <c r="P12" s="3" t="s">
        <v>138</v>
      </c>
      <c r="Q12" s="3" t="s">
        <v>138</v>
      </c>
      <c r="R12" s="3" t="n">
        <f aca="false">IFERROR(INDEX(Raw_Data!$R:$R, MATCH($A12, Raw_Data!$A:$A, 0)), NA())</f>
        <v>68.75168</v>
      </c>
      <c r="S12" s="3" t="n">
        <f aca="false">IFERROR(INDEX(Raw_Data!$S:$S, MATCH($A12, Raw_Data!$A:$A, 0)), NA())</f>
        <v>63.84</v>
      </c>
      <c r="T12" s="2" t="n">
        <f aca="false">IFERROR(INDEX(Raw_Data!$T:$T, MATCH($A12, Raw_Data!$A:$A, 0)), NA())</f>
        <v>12.45</v>
      </c>
      <c r="U12" s="0" t="str">
        <f aca="false">IFERROR(INDEX(Raw_Data!$U:$U, MATCH($A12, Raw_Data!$A:$A, 0)), NA())</f>
        <v>https://www.msci.com/documents/10199/255599/msci-qatar-index-usd-net.pdf</v>
      </c>
    </row>
    <row r="13" customFormat="false" ht="15" hidden="false" customHeight="false" outlineLevel="0" collapsed="false">
      <c r="A13" s="0" t="s">
        <v>96</v>
      </c>
      <c r="B13" s="8" t="n">
        <f aca="false">IFERROR(INDEX(Raw_Data!$F:$I, MATCH($A13, Raw_Data!$A:$A, 0), MATCH($A$3, {"1Y","3Y","5Y","10Y"}, 0)), NA())</f>
        <v>0.0753212990708383</v>
      </c>
      <c r="C13" s="8" t="n">
        <f aca="false">IFERROR(INDEX(Raw_Data!$B:$E, MATCH($A13, Raw_Data!$A:$A, 0), MATCH($A$3, {"1Y","3Y","5Y","10Y"}, 0)), NA())</f>
        <v>0.0807</v>
      </c>
      <c r="D13" s="8" t="n">
        <f aca="false">IFERROR(B13-C13, NA())</f>
        <v>-0.00537870092916171</v>
      </c>
      <c r="E13" s="8" t="n">
        <f aca="false">IFERROR(IF(OR(INDEX(Raw_Data!$Q:$Q, MATCH($A13, Raw_Data!$A:$A, 0))="", INDEX(Raw_Data!$Q:$Q, MATCH($A13, Raw_Data!$A:$A, 0))=0), NA(), INDEX(Raw_Data!$Q:$Q, MATCH($A13, Raw_Data!$A:$A, 0))), NA())</f>
        <v>0.0687370331030046</v>
      </c>
      <c r="F13" s="2" t="e">
        <f aca="false">IFERROR(IF(OR(INDEX(Raw_Data!$J:$J, MATCH($A13, Raw_Data!$A:$A, 0))="", INDEX(Raw_Data!$J:$J, MATCH($A13, Raw_Data!$A:$A, 0))=0), NA(), INDEX(Raw_Data!$J:$J, MATCH($A13, Raw_Data!$A:$A, 0))), NA())</f>
        <v>#N/A</v>
      </c>
      <c r="G13" s="8" t="e">
        <f aca="false">IFERROR((100-F13)/100, NA())</f>
        <v>#N/A</v>
      </c>
      <c r="H13" s="8" t="n">
        <f aca="false">(P13/Q13)-1</f>
        <v>-0.0355925369304644</v>
      </c>
      <c r="I13" s="8" t="e">
        <f aca="false">IFERROR((G13+H13)/2, NA())</f>
        <v>#N/A</v>
      </c>
      <c r="J13" s="0" t="str">
        <f aca="false">IF(ISNA(I13), "", IF(I13&gt;0.05,"undervalued", IF(I13&lt;-0.05,"overvalued", "neutral")))</f>
        <v/>
      </c>
      <c r="K13" s="2" t="n">
        <f aca="false">IFERROR(IF(OR(INDEX(Raw_Data!$N:$N, MATCH($A13, Raw_Data!$A:$A, 0))="", INDEX(Raw_Data!$N:$N, MATCH($A13, Raw_Data!$A:$A, 0))=0), NA(), INDEX(Raw_Data!$N:$N, MATCH($A13, Raw_Data!$A:$A, 0))), NA())</f>
        <v>0.220276</v>
      </c>
      <c r="L13" s="0" t="str">
        <f aca="false">IFERROR(INDEX(Raw_Data!$O:$O, MATCH($A13, Raw_Data!$A:$A, 0)), NA())</f>
        <v>med</v>
      </c>
      <c r="O13" s="2" t="n">
        <f aca="false">IFERROR(INDEX(Raw_Data!$P:$P, MATCH($A13, Raw_Data!$A:$A, 0)), NA())</f>
        <v>484.726</v>
      </c>
      <c r="P13" s="3" t="n">
        <f aca="false">IFERROR(INDEX(Raw_Data!$M:$M, MATCH($A13, Raw_Data!$A:$A, 0)), NA())</f>
        <v>26310</v>
      </c>
      <c r="Q13" s="4" t="n">
        <v>27281</v>
      </c>
      <c r="R13" s="3" t="n">
        <f aca="false">IFERROR(INDEX(Raw_Data!$R:$R, MATCH($A13, Raw_Data!$A:$A, 0)), NA())</f>
        <v>59.92102</v>
      </c>
      <c r="S13" s="3" t="n">
        <f aca="false">IFERROR(INDEX(Raw_Data!$S:$S, MATCH($A13, Raw_Data!$A:$A, 0)), NA())</f>
        <v>37.5</v>
      </c>
      <c r="T13" s="2" t="n">
        <f aca="false">IFERROR(INDEX(Raw_Data!$T:$T, MATCH($A13, Raw_Data!$A:$A, 0)), NA())</f>
        <v>22.23</v>
      </c>
      <c r="U13" s="0" t="str">
        <f aca="false">IFERROR(INDEX(Raw_Data!$U:$U, MATCH($A13, Raw_Data!$A:$A, 0)), NA())</f>
        <v>https://www.msci.com/documents/10199/255599/msci-vietnam-index.pdf</v>
      </c>
    </row>
    <row r="14" customFormat="false" ht="15" hidden="false" customHeight="false" outlineLevel="0" collapsed="false">
      <c r="A14" s="0" t="s">
        <v>84</v>
      </c>
      <c r="B14" s="8" t="n">
        <f aca="false">IFERROR(INDEX(Raw_Data!$F:$I, MATCH($A14, Raw_Data!$A:$A, 0), MATCH($A$3, {"1Y","3Y","5Y","10Y"}, 0)), NA())</f>
        <v>0.0914739868560177</v>
      </c>
      <c r="C14" s="8" t="n">
        <f aca="false">IFERROR(INDEX(Raw_Data!$B:$E, MATCH($A14, Raw_Data!$A:$A, 0), MATCH($A$3, {"1Y","3Y","5Y","10Y"}, 0)), NA())</f>
        <v>0.0979</v>
      </c>
      <c r="D14" s="8" t="n">
        <f aca="false">IFERROR(B14-C14, NA())</f>
        <v>-0.00642601314398229</v>
      </c>
      <c r="E14" s="8" t="n">
        <f aca="false">IFERROR(IF(OR(INDEX(Raw_Data!$Q:$Q, MATCH($A14, Raw_Data!$A:$A, 0))="", INDEX(Raw_Data!$Q:$Q, MATCH($A14, Raw_Data!$A:$A, 0))=0), NA(), INDEX(Raw_Data!$Q:$Q, MATCH($A14, Raw_Data!$A:$A, 0))), NA())</f>
        <v>0.058458241626429</v>
      </c>
      <c r="F14" s="2" t="n">
        <f aca="false">IFERROR(IF(OR(INDEX(Raw_Data!$J:$J, MATCH($A14, Raw_Data!$A:$A, 0))="", INDEX(Raw_Data!$J:$J, MATCH($A14, Raw_Data!$A:$A, 0))=0), NA(), INDEX(Raw_Data!$J:$J, MATCH($A14, Raw_Data!$A:$A, 0))), NA())</f>
        <v>128.38</v>
      </c>
      <c r="G14" s="8" t="n">
        <f aca="false">IFERROR((100-F14)/100, NA())</f>
        <v>-0.2838</v>
      </c>
      <c r="H14" s="8" t="n">
        <f aca="false">(P14/Q14)-1</f>
        <v>0.0116514498496412</v>
      </c>
      <c r="I14" s="8" t="n">
        <f aca="false">IFERROR((G14+H14)/2, NA())</f>
        <v>-0.136074275075179</v>
      </c>
      <c r="J14" s="0" t="str">
        <f aca="false">IF(ISNA(I14), "", IF(I14&gt;0.05,"undervalued", IF(I14&lt;-0.05,"overvalued", "neutral")))</f>
        <v>overvalued</v>
      </c>
      <c r="K14" s="2" t="n">
        <f aca="false">IFERROR(IF(OR(INDEX(Raw_Data!$N:$N, MATCH($A14, Raw_Data!$A:$A, 0))="", INDEX(Raw_Data!$N:$N, MATCH($A14, Raw_Data!$A:$A, 0))=0), NA(), INDEX(Raw_Data!$N:$N, MATCH($A14, Raw_Data!$A:$A, 0))), NA())</f>
        <v>0.200188</v>
      </c>
      <c r="L14" s="0" t="str">
        <f aca="false">IFERROR(INDEX(Raw_Data!$O:$O, MATCH($A14, Raw_Data!$A:$A, 0)), NA())</f>
        <v>med</v>
      </c>
      <c r="O14" s="2" t="n">
        <f aca="false">IFERROR(INDEX(Raw_Data!$P:$P, MATCH($A14, Raw_Data!$A:$A, 0)), NA())</f>
        <v>1039.619</v>
      </c>
      <c r="P14" s="3" t="n">
        <f aca="false">IFERROR(INDEX(Raw_Data!$M:$M, MATCH($A14, Raw_Data!$A:$A, 0)), NA())</f>
        <v>3.72745</v>
      </c>
      <c r="Q14" s="4" t="n">
        <v>3.68452</v>
      </c>
      <c r="R14" s="3" t="n">
        <f aca="false">IFERROR(INDEX(Raw_Data!$R:$R, MATCH($A14, Raw_Data!$A:$A, 0)), NA())</f>
        <v>123.93461</v>
      </c>
      <c r="S14" s="3" t="n">
        <f aca="false">IFERROR(INDEX(Raw_Data!$S:$S, MATCH($A14, Raw_Data!$A:$A, 0)), NA())</f>
        <v>106.79</v>
      </c>
      <c r="T14" s="2" t="n">
        <f aca="false">IFERROR(INDEX(Raw_Data!$T:$T, MATCH($A14, Raw_Data!$A:$A, 0)), NA())</f>
        <v>14.33</v>
      </c>
      <c r="U14" s="0" t="str">
        <f aca="false">IFERROR(INDEX(Raw_Data!$U:$U, MATCH($A14, Raw_Data!$A:$A, 0)), NA())</f>
        <v>https://www.msci.com/documents/10199/255599/msci-poland-index-usd-gross.pdf</v>
      </c>
    </row>
    <row r="15" customFormat="false" ht="15" hidden="false" customHeight="false" outlineLevel="0" collapsed="false">
      <c r="A15" s="0" t="s">
        <v>31</v>
      </c>
      <c r="B15" s="8" t="n">
        <f aca="false">IFERROR(INDEX(Raw_Data!$F:$I, MATCH($A15, Raw_Data!$A:$A, 0), MATCH($A$3, {"1Y","3Y","5Y","10Y"}, 0)), NA())</f>
        <v>0.0603491785623118</v>
      </c>
      <c r="C15" s="8" t="n">
        <f aca="false">IFERROR(INDEX(Raw_Data!$B:$E, MATCH($A15, Raw_Data!$A:$A, 0), MATCH($A$3, {"1Y","3Y","5Y","10Y"}, 0)), NA())</f>
        <v>0.0729</v>
      </c>
      <c r="D15" s="8" t="n">
        <f aca="false">IFERROR(B15-C15, NA())</f>
        <v>-0.0125508214376882</v>
      </c>
      <c r="E15" s="8" t="n">
        <f aca="false">IFERROR(IF(OR(INDEX(Raw_Data!$Q:$Q, MATCH($A15, Raw_Data!$A:$A, 0))="", INDEX(Raw_Data!$Q:$Q, MATCH($A15, Raw_Data!$A:$A, 0))=0), NA(), INDEX(Raw_Data!$Q:$Q, MATCH($A15, Raw_Data!$A:$A, 0))), NA())</f>
        <v>0.0656539726980256</v>
      </c>
      <c r="F15" s="2" t="n">
        <f aca="false">IFERROR(IF(OR(INDEX(Raw_Data!$J:$J, MATCH($A15, Raw_Data!$A:$A, 0))="", INDEX(Raw_Data!$J:$J, MATCH($A15, Raw_Data!$A:$A, 0))=0), NA(), INDEX(Raw_Data!$J:$J, MATCH($A15, Raw_Data!$A:$A, 0))), NA())</f>
        <v>90.23</v>
      </c>
      <c r="G15" s="8" t="n">
        <f aca="false">IFERROR((100-F15)/100, NA())</f>
        <v>0.0977</v>
      </c>
      <c r="H15" s="8" t="n">
        <f aca="false">(P15/Q15)-1</f>
        <v>0.0264759721994852</v>
      </c>
      <c r="I15" s="8" t="n">
        <f aca="false">IFERROR((G15+H15)/2, NA())</f>
        <v>0.0620879860997426</v>
      </c>
      <c r="J15" s="0" t="str">
        <f aca="false">IF(ISNA(I15), "", IF(I15&gt;0.05,"undervalued", IF(I15&lt;-0.05,"overvalued", "neutral")))</f>
        <v>undervalued</v>
      </c>
      <c r="K15" s="2" t="n">
        <f aca="false">IFERROR(IF(OR(INDEX(Raw_Data!$N:$N, MATCH($A15, Raw_Data!$A:$A, 0))="", INDEX(Raw_Data!$N:$N, MATCH($A15, Raw_Data!$A:$A, 0))=0), NA(), INDEX(Raw_Data!$N:$N, MATCH($A15, Raw_Data!$A:$A, 0))), NA())</f>
        <v>0.250584</v>
      </c>
      <c r="L15" s="0" t="str">
        <f aca="false">IFERROR(INDEX(Raw_Data!$O:$O, MATCH($A15, Raw_Data!$A:$A, 0)), NA())</f>
        <v>med</v>
      </c>
      <c r="O15" s="2" t="n">
        <f aca="false">IFERROR(INDEX(Raw_Data!$P:$P, MATCH($A15, Raw_Data!$A:$A, 0)), NA())</f>
        <v>19398.577</v>
      </c>
      <c r="P15" s="3" t="n">
        <f aca="false">IFERROR(INDEX(Raw_Data!$M:$M, MATCH($A15, Raw_Data!$A:$A, 0)), NA())</f>
        <v>6.8972</v>
      </c>
      <c r="Q15" s="4" t="n">
        <v>6.7193</v>
      </c>
      <c r="R15" s="3" t="n">
        <f aca="false">IFERROR(INDEX(Raw_Data!$R:$R, MATCH($A15, Raw_Data!$A:$A, 0)), NA())</f>
        <v>2787.66186</v>
      </c>
      <c r="S15" s="3" t="n">
        <f aca="false">IFERROR(INDEX(Raw_Data!$S:$S, MATCH($A15, Raw_Data!$A:$A, 0)), NA())</f>
        <v>1237.28</v>
      </c>
      <c r="T15" s="2" t="n">
        <f aca="false">IFERROR(INDEX(Raw_Data!$T:$T, MATCH($A15, Raw_Data!$A:$A, 0)), NA())</f>
        <v>14.36</v>
      </c>
      <c r="U15" s="0" t="str">
        <f aca="false">IFERROR(INDEX(Raw_Data!$U:$U, MATCH($A15, Raw_Data!$A:$A, 0)), NA())</f>
        <v>https://www.msci.com/documents/10199/255599/msci-china-index.pdf</v>
      </c>
    </row>
    <row r="16" customFormat="false" ht="15" hidden="false" customHeight="false" outlineLevel="0" collapsed="false">
      <c r="A16" s="0" t="s">
        <v>92</v>
      </c>
      <c r="B16" s="8" t="n">
        <f aca="false">IFERROR(INDEX(Raw_Data!$F:$I, MATCH($A16, Raw_Data!$A:$A, 0), MATCH($A$3, {"1Y","3Y","5Y","10Y"}, 0)), NA())</f>
        <v>0.0374791671465131</v>
      </c>
      <c r="C16" s="8" t="n">
        <f aca="false">IFERROR(INDEX(Raw_Data!$B:$E, MATCH($A16, Raw_Data!$A:$A, 0), MATCH($A$3, {"1Y","3Y","5Y","10Y"}, 0)), NA())</f>
        <v>0.0567</v>
      </c>
      <c r="D16" s="8" t="n">
        <f aca="false">IFERROR(B16-C16, NA())</f>
        <v>-0.0192208328534869</v>
      </c>
      <c r="E16" s="8" t="n">
        <f aca="false">IFERROR(IF(OR(INDEX(Raw_Data!$Q:$Q, MATCH($A16, Raw_Data!$A:$A, 0))="", INDEX(Raw_Data!$Q:$Q, MATCH($A16, Raw_Data!$A:$A, 0))=0), NA(), INDEX(Raw_Data!$Q:$Q, MATCH($A16, Raw_Data!$A:$A, 0))), NA())</f>
        <v>0.0451388163187332</v>
      </c>
      <c r="F16" s="2" t="n">
        <f aca="false">IFERROR(IF(OR(INDEX(Raw_Data!$J:$J, MATCH($A16, Raw_Data!$A:$A, 0))="", INDEX(Raw_Data!$J:$J, MATCH($A16, Raw_Data!$A:$A, 0))=0), NA(), INDEX(Raw_Data!$J:$J, MATCH($A16, Raw_Data!$A:$A, 0))), NA())</f>
        <v>108.4</v>
      </c>
      <c r="G16" s="8" t="n">
        <f aca="false">IFERROR((100-F16)/100, NA())</f>
        <v>-0.0840000000000001</v>
      </c>
      <c r="H16" s="8" t="n">
        <f aca="false">(P16/Q16)-1</f>
        <v>0</v>
      </c>
      <c r="I16" s="8" t="n">
        <f aca="false">IFERROR((G16+H16)/2, NA())</f>
        <v>-0.042</v>
      </c>
      <c r="J16" s="0" t="str">
        <f aca="false">IF(ISNA(I16), "", IF(I16&gt;0.05,"undervalued", IF(I16&lt;-0.05,"overvalued", "neutral")))</f>
        <v>neutral</v>
      </c>
      <c r="K16" s="2" t="e">
        <f aca="false">IFERROR(IF(OR(INDEX(Raw_Data!$N:$N, MATCH($A16, Raw_Data!$A:$A, 0))="", INDEX(Raw_Data!$N:$N, MATCH($A16, Raw_Data!$A:$A, 0))=0), NA(), INDEX(Raw_Data!$N:$N, MATCH($A16, Raw_Data!$A:$A, 0))), NA())</f>
        <v>#N/A</v>
      </c>
      <c r="L16" s="0" t="n">
        <f aca="false">IFERROR(INDEX(Raw_Data!$O:$O, MATCH($A16, Raw_Data!$A:$A, 0)), NA())</f>
        <v>0</v>
      </c>
      <c r="O16" s="2" t="n">
        <f aca="false">IFERROR(INDEX(Raw_Data!$P:$P, MATCH($A16, Raw_Data!$A:$A, 0)), NA())</f>
        <v>347.174</v>
      </c>
      <c r="P16" s="3" t="n">
        <v>909.091</v>
      </c>
      <c r="Q16" s="4" t="n">
        <v>909.091</v>
      </c>
      <c r="R16" s="3" t="n">
        <f aca="false">IFERROR(INDEX(Raw_Data!$R:$R, MATCH($A16, Raw_Data!$A:$A, 0)), NA())</f>
        <v>61.89771</v>
      </c>
      <c r="S16" s="3" t="n">
        <f aca="false">IFERROR(INDEX(Raw_Data!$S:$S, MATCH($A16, Raw_Data!$A:$A, 0)), NA())</f>
        <v>58.38</v>
      </c>
      <c r="T16" s="2" t="n">
        <f aca="false">IFERROR(INDEX(Raw_Data!$T:$T, MATCH($A16, Raw_Data!$A:$A, 0)), NA())</f>
        <v>16.04</v>
      </c>
      <c r="U16" s="0" t="str">
        <f aca="false">IFERROR(INDEX(Raw_Data!$U:$U, MATCH($A16, Raw_Data!$A:$A, 0)), NA())</f>
        <v>https://www.msci.com/documents/10199/255599/msci-chile-index-net.pdf</v>
      </c>
    </row>
    <row r="17" customFormat="false" ht="15" hidden="false" customHeight="false" outlineLevel="0" collapsed="false">
      <c r="A17" s="0" t="s">
        <v>72</v>
      </c>
      <c r="B17" s="8" t="n">
        <f aca="false">IFERROR(INDEX(Raw_Data!$F:$I, MATCH($A17, Raw_Data!$A:$A, 0), MATCH($A$3, {"1Y","3Y","5Y","10Y"}, 0)), NA())</f>
        <v>0.0589709621713703</v>
      </c>
      <c r="C17" s="8" t="n">
        <f aca="false">IFERROR(INDEX(Raw_Data!$B:$E, MATCH($A17, Raw_Data!$A:$A, 0), MATCH($A$3, {"1Y","3Y","5Y","10Y"}, 0)), NA())</f>
        <v>0.0847</v>
      </c>
      <c r="D17" s="8" t="n">
        <f aca="false">IFERROR(B17-C17, NA())</f>
        <v>-0.0257290378286297</v>
      </c>
      <c r="E17" s="8" t="n">
        <f aca="false">IFERROR(IF(OR(INDEX(Raw_Data!$Q:$Q, MATCH($A17, Raw_Data!$A:$A, 0))="", INDEX(Raw_Data!$Q:$Q, MATCH($A17, Raw_Data!$A:$A, 0))=0), NA(), INDEX(Raw_Data!$Q:$Q, MATCH($A17, Raw_Data!$A:$A, 0))), NA())</f>
        <v>0.0471405101079006</v>
      </c>
      <c r="F17" s="2" t="n">
        <f aca="false">IFERROR(IF(OR(INDEX(Raw_Data!$J:$J, MATCH($A17, Raw_Data!$A:$A, 0))="", INDEX(Raw_Data!$J:$J, MATCH($A17, Raw_Data!$A:$A, 0))=0), NA(), INDEX(Raw_Data!$J:$J, MATCH($A17, Raw_Data!$A:$A, 0))), NA())</f>
        <v>139.69</v>
      </c>
      <c r="G17" s="8" t="n">
        <f aca="false">IFERROR((100-F17)/100, NA())</f>
        <v>-0.3969</v>
      </c>
      <c r="H17" s="8" t="n">
        <f aca="false">(P17/Q17)-1</f>
        <v>-0.0319081427323957</v>
      </c>
      <c r="I17" s="8" t="n">
        <f aca="false">IFERROR((G17+H17)/2, NA())</f>
        <v>-0.214404071366198</v>
      </c>
      <c r="J17" s="0" t="str">
        <f aca="false">IF(ISNA(I17), "", IF(I17&gt;0.05,"undervalued", IF(I17&lt;-0.05,"overvalued", "neutral")))</f>
        <v>overvalued</v>
      </c>
      <c r="K17" s="2" t="n">
        <f aca="false">IFERROR(IF(OR(INDEX(Raw_Data!$N:$N, MATCH($A17, Raw_Data!$A:$A, 0))="", INDEX(Raw_Data!$N:$N, MATCH($A17, Raw_Data!$A:$A, 0))=0), NA(), INDEX(Raw_Data!$N:$N, MATCH($A17, Raw_Data!$A:$A, 0))), NA())</f>
        <v>0.000779</v>
      </c>
      <c r="L17" s="0" t="str">
        <f aca="false">IFERROR(INDEX(Raw_Data!$O:$O, MATCH($A17, Raw_Data!$A:$A, 0)), NA())</f>
        <v>low</v>
      </c>
      <c r="O17" s="2" t="n">
        <f aca="false">IFERROR(INDEX(Raw_Data!$P:$P, MATCH($A17, Raw_Data!$A:$A, 0)), NA())</f>
        <v>1862.74</v>
      </c>
      <c r="P17" s="3" t="n">
        <f aca="false">IFERROR(INDEX(Raw_Data!$M:$M, MATCH($A17, Raw_Data!$A:$A, 0)), NA())</f>
        <v>17.849</v>
      </c>
      <c r="Q17" s="4" t="n">
        <v>18.4373</v>
      </c>
      <c r="R17" s="3" t="n">
        <f aca="false">IFERROR(INDEX(Raw_Data!$R:$R, MATCH($A17, Raw_Data!$A:$A, 0)), NA())</f>
        <v>232.14638</v>
      </c>
      <c r="S17" s="3" t="n">
        <f aca="false">IFERROR(INDEX(Raw_Data!$S:$S, MATCH($A17, Raw_Data!$A:$A, 0)), NA())</f>
        <v>182.72</v>
      </c>
      <c r="T17" s="2" t="n">
        <f aca="false">IFERROR(INDEX(Raw_Data!$T:$T, MATCH($A17, Raw_Data!$A:$A, 0)), NA())</f>
        <v>16.87</v>
      </c>
      <c r="U17" s="0" t="str">
        <f aca="false">IFERROR(INDEX(Raw_Data!$U:$U, MATCH($A17, Raw_Data!$A:$A, 0)), NA())</f>
        <v>https://www.msci.com/documents/10199/255599/msci-mexico-index-usd-net.pdf</v>
      </c>
    </row>
    <row r="18" customFormat="false" ht="15" hidden="false" customHeight="false" outlineLevel="0" collapsed="false">
      <c r="A18" s="0" t="s">
        <v>108</v>
      </c>
      <c r="B18" s="8" t="n">
        <f aca="false">IFERROR(INDEX(Raw_Data!$F:$I, MATCH($A18, Raw_Data!$A:$A, 0), MATCH($A$3, {"1Y","3Y","5Y","10Y"}, 0)), NA())</f>
        <v>0.0391497991396752</v>
      </c>
      <c r="C18" s="8" t="n">
        <f aca="false">IFERROR(INDEX(Raw_Data!$B:$E, MATCH($A18, Raw_Data!$A:$A, 0), MATCH($A$3, {"1Y","3Y","5Y","10Y"}, 0)), NA())</f>
        <v>0.065</v>
      </c>
      <c r="D18" s="8" t="n">
        <f aca="false">IFERROR(B18-C18, NA())</f>
        <v>-0.0258502008603248</v>
      </c>
      <c r="E18" s="8" t="n">
        <f aca="false">IFERROR(IF(OR(INDEX(Raw_Data!$Q:$Q, MATCH($A18, Raw_Data!$A:$A, 0))="", INDEX(Raw_Data!$Q:$Q, MATCH($A18, Raw_Data!$A:$A, 0))=0), NA(), INDEX(Raw_Data!$Q:$Q, MATCH($A18, Raw_Data!$A:$A, 0))), NA())</f>
        <v>0.038401437165005</v>
      </c>
      <c r="F18" s="2" t="n">
        <f aca="false">IFERROR(IF(OR(INDEX(Raw_Data!$J:$J, MATCH($A18, Raw_Data!$A:$A, 0))="", INDEX(Raw_Data!$J:$J, MATCH($A18, Raw_Data!$A:$A, 0))=0), NA(), INDEX(Raw_Data!$J:$J, MATCH($A18, Raw_Data!$A:$A, 0))), NA())</f>
        <v>102.72</v>
      </c>
      <c r="G18" s="8" t="n">
        <f aca="false">IFERROR((100-F18)/100, NA())</f>
        <v>-0.0272</v>
      </c>
      <c r="H18" s="8" t="n">
        <f aca="false">(P18/Q18)-1</f>
        <v>0.00946745562130169</v>
      </c>
      <c r="I18" s="8" t="n">
        <f aca="false">IFERROR((G18+H18)/2, NA())</f>
        <v>-0.00886627218934915</v>
      </c>
      <c r="J18" s="0" t="str">
        <f aca="false">IF(ISNA(I18), "", IF(I18&gt;0.05,"undervalued", IF(I18&lt;-0.05,"overvalued", "neutral")))</f>
        <v>neutral</v>
      </c>
      <c r="K18" s="2" t="e">
        <f aca="false">IFERROR(IF(OR(INDEX(Raw_Data!$N:$N, MATCH($A18, Raw_Data!$A:$A, 0))="", INDEX(Raw_Data!$N:$N, MATCH($A18, Raw_Data!$A:$A, 0))=0), NA(), INDEX(Raw_Data!$N:$N, MATCH($A18, Raw_Data!$A:$A, 0))), NA())</f>
        <v>#N/A</v>
      </c>
      <c r="L18" s="0" t="n">
        <f aca="false">IFERROR(INDEX(Raw_Data!$O:$O, MATCH($A18, Raw_Data!$A:$A, 0)), NA())</f>
        <v>0</v>
      </c>
      <c r="O18" s="2" t="n">
        <f aca="false">IFERROR(INDEX(Raw_Data!$P:$P, MATCH($A18, Raw_Data!$A:$A, 0)), NA())</f>
        <v>262.909</v>
      </c>
      <c r="P18" s="3" t="n">
        <v>1.706</v>
      </c>
      <c r="Q18" s="4" t="n">
        <v>1.69</v>
      </c>
      <c r="R18" s="3" t="n">
        <f aca="false">IFERROR(INDEX(Raw_Data!$R:$R, MATCH($A18, Raw_Data!$A:$A, 0)), NA())</f>
        <v>39.18256</v>
      </c>
      <c r="S18" s="3" t="n">
        <f aca="false">IFERROR(INDEX(Raw_Data!$S:$S, MATCH($A18, Raw_Data!$A:$A, 0)), NA())</f>
        <v>39.18</v>
      </c>
      <c r="T18" s="2" t="n">
        <f aca="false">IFERROR(INDEX(Raw_Data!$T:$T, MATCH($A18, Raw_Data!$A:$A, 0)), NA())</f>
        <v>47.8</v>
      </c>
      <c r="U18" s="0" t="str">
        <f aca="false">IFERROR(INDEX(Raw_Data!$U:$U, MATCH($A18, Raw_Data!$A:$A, 0)), NA())</f>
        <v>https://www.msci.com/documents/10199/255599/msci-new-zealand-index.pdf</v>
      </c>
    </row>
    <row r="19" customFormat="false" ht="15" hidden="false" customHeight="false" outlineLevel="0" collapsed="false">
      <c r="A19" s="0" t="s">
        <v>66</v>
      </c>
      <c r="B19" s="8" t="n">
        <f aca="false">IFERROR(INDEX(Raw_Data!$F:$I, MATCH($A19, Raw_Data!$A:$A, 0), MATCH($A$3, {"1Y","3Y","5Y","10Y"}, 0)), NA())</f>
        <v>0.0439142678136191</v>
      </c>
      <c r="C19" s="8" t="n">
        <f aca="false">IFERROR(INDEX(Raw_Data!$B:$E, MATCH($A19, Raw_Data!$A:$A, 0), MATCH($A$3, {"1Y","3Y","5Y","10Y"}, 0)), NA())</f>
        <v>0.0713</v>
      </c>
      <c r="D19" s="8" t="n">
        <f aca="false">IFERROR(B19-C19, NA())</f>
        <v>-0.0273857321863809</v>
      </c>
      <c r="E19" s="8" t="n">
        <f aca="false">IFERROR(IF(OR(INDEX(Raw_Data!$Q:$Q, MATCH($A19, Raw_Data!$A:$A, 0))="", INDEX(Raw_Data!$Q:$Q, MATCH($A19, Raw_Data!$A:$A, 0))=0), NA(), INDEX(Raw_Data!$Q:$Q, MATCH($A19, Raw_Data!$A:$A, 0))), NA())</f>
        <v>0.0415370134883601</v>
      </c>
      <c r="F19" s="2" t="n">
        <f aca="false">IFERROR(IF(OR(INDEX(Raw_Data!$J:$J, MATCH($A19, Raw_Data!$A:$A, 0))="", INDEX(Raw_Data!$J:$J, MATCH($A19, Raw_Data!$A:$A, 0))=0), NA(), INDEX(Raw_Data!$J:$J, MATCH($A19, Raw_Data!$A:$A, 0))), NA())</f>
        <v>97.97</v>
      </c>
      <c r="G19" s="8" t="n">
        <f aca="false">IFERROR((100-F19)/100, NA())</f>
        <v>0.0203</v>
      </c>
      <c r="H19" s="8" t="n">
        <f aca="false">(P19/Q19)-1</f>
        <v>0.0173979334418333</v>
      </c>
      <c r="I19" s="8" t="n">
        <f aca="false">IFERROR((G19+H19)/2, NA())</f>
        <v>0.0188489667209166</v>
      </c>
      <c r="J19" s="0" t="str">
        <f aca="false">IF(ISNA(I19), "", IF(I19&gt;0.05,"undervalued", IF(I19&lt;-0.05,"overvalued", "neutral")))</f>
        <v>neutral</v>
      </c>
      <c r="K19" s="2" t="e">
        <f aca="false">IFERROR(IF(OR(INDEX(Raw_Data!$N:$N, MATCH($A19, Raw_Data!$A:$A, 0))="", INDEX(Raw_Data!$N:$N, MATCH($A19, Raw_Data!$A:$A, 0))=0), NA(), INDEX(Raw_Data!$N:$N, MATCH($A19, Raw_Data!$A:$A, 0))), NA())</f>
        <v>#N/A</v>
      </c>
      <c r="L19" s="0" t="n">
        <f aca="false">IFERROR(INDEX(Raw_Data!$O:$O, MATCH($A19, Raw_Data!$A:$A, 0)), NA())</f>
        <v>0</v>
      </c>
      <c r="O19" s="2" t="n">
        <f aca="false">IFERROR(INDEX(Raw_Data!$P:$P, MATCH($A19, Raw_Data!$A:$A, 0)), NA())</f>
        <v>459.612</v>
      </c>
      <c r="P19" s="3" t="n">
        <v>6.43259</v>
      </c>
      <c r="Q19" s="4" t="n">
        <v>6.32259</v>
      </c>
      <c r="R19" s="3" t="n">
        <f aca="false">IFERROR(INDEX(Raw_Data!$R:$R, MATCH($A19, Raw_Data!$A:$A, 0)), NA())</f>
        <v>347.96321</v>
      </c>
      <c r="S19" s="3" t="n">
        <f aca="false">IFERROR(INDEX(Raw_Data!$S:$S, MATCH($A19, Raw_Data!$A:$A, 0)), NA())</f>
        <v>320.04</v>
      </c>
      <c r="T19" s="2" t="n">
        <f aca="false">IFERROR(INDEX(Raw_Data!$T:$T, MATCH($A19, Raw_Data!$A:$A, 0)), NA())</f>
        <v>13.95</v>
      </c>
      <c r="U19" s="0" t="str">
        <f aca="false">IFERROR(INDEX(Raw_Data!$U:$U, MATCH($A19, Raw_Data!$A:$A, 0)), NA())</f>
        <v>https://www.msci.com/documents/10199/255599/msci-denmark-index-usd-gross.pdf</v>
      </c>
    </row>
    <row r="20" customFormat="false" ht="15" hidden="false" customHeight="false" outlineLevel="0" collapsed="false">
      <c r="A20" s="0" t="s">
        <v>64</v>
      </c>
      <c r="B20" s="8" t="n">
        <f aca="false">IFERROR(INDEX(Raw_Data!$F:$I, MATCH($A20, Raw_Data!$A:$A, 0), MATCH($A$3, {"1Y","3Y","5Y","10Y"}, 0)), NA())</f>
        <v>0.0672464769771306</v>
      </c>
      <c r="C20" s="8" t="n">
        <f aca="false">IFERROR(INDEX(Raw_Data!$B:$E, MATCH($A20, Raw_Data!$A:$A, 0), MATCH($A$3, {"1Y","3Y","5Y","10Y"}, 0)), NA())</f>
        <v>0.099</v>
      </c>
      <c r="D20" s="8" t="n">
        <f aca="false">IFERROR(B20-C20, NA())</f>
        <v>-0.0317535230228694</v>
      </c>
      <c r="E20" s="8" t="n">
        <f aca="false">IFERROR(IF(OR(INDEX(Raw_Data!$Q:$Q, MATCH($A20, Raw_Data!$A:$A, 0))="", INDEX(Raw_Data!$Q:$Q, MATCH($A20, Raw_Data!$A:$A, 0))=0), NA(), INDEX(Raw_Data!$Q:$Q, MATCH($A20, Raw_Data!$A:$A, 0))), NA())</f>
        <v>0.0444743348450187</v>
      </c>
      <c r="F20" s="2" t="n">
        <f aca="false">IFERROR(IF(OR(INDEX(Raw_Data!$J:$J, MATCH($A20, Raw_Data!$A:$A, 0))="", INDEX(Raw_Data!$J:$J, MATCH($A20, Raw_Data!$A:$A, 0))=0), NA(), INDEX(Raw_Data!$J:$J, MATCH($A20, Raw_Data!$A:$A, 0))), NA())</f>
        <v>116.56</v>
      </c>
      <c r="G20" s="8" t="n">
        <f aca="false">IFERROR((100-F20)/100, NA())</f>
        <v>-0.1656</v>
      </c>
      <c r="H20" s="8" t="n">
        <f aca="false">(P20/Q20)-1</f>
        <v>0.0325264750378214</v>
      </c>
      <c r="I20" s="8" t="n">
        <f aca="false">IFERROR((G20+H20)/2, NA())</f>
        <v>-0.0665367624810893</v>
      </c>
      <c r="J20" s="0" t="str">
        <f aca="false">IF(ISNA(I20), "", IF(I20&gt;0.05,"undervalued", IF(I20&lt;-0.05,"overvalued", "neutral")))</f>
        <v>overvalued</v>
      </c>
      <c r="K20" s="2" t="n">
        <f aca="false">IFERROR(IF(OR(INDEX(Raw_Data!$N:$N, MATCH($A20, Raw_Data!$A:$A, 0))="", INDEX(Raw_Data!$N:$N, MATCH($A20, Raw_Data!$A:$A, 0))=0), NA(), INDEX(Raw_Data!$N:$N, MATCH($A20, Raw_Data!$A:$A, 0))), NA())</f>
        <v>0.686637</v>
      </c>
      <c r="L20" s="0" t="str">
        <f aca="false">IFERROR(INDEX(Raw_Data!$O:$O, MATCH($A20, Raw_Data!$A:$A, 0)), NA())</f>
        <v>high</v>
      </c>
      <c r="O20" s="2" t="n">
        <f aca="false">IFERROR(INDEX(Raw_Data!$P:$P, MATCH($A20, Raw_Data!$A:$A, 0)), NA())</f>
        <v>574.185</v>
      </c>
      <c r="P20" s="3" t="n">
        <f aca="false">IFERROR(INDEX(Raw_Data!$M:$M, MATCH($A20, Raw_Data!$A:$A, 0)), NA())</f>
        <v>1.2831</v>
      </c>
      <c r="Q20" s="4" t="n">
        <v>1.24268</v>
      </c>
      <c r="R20" s="3" t="n">
        <f aca="false">IFERROR(INDEX(Raw_Data!$R:$R, MATCH($A20, Raw_Data!$A:$A, 0)), NA())</f>
        <v>364.13812</v>
      </c>
      <c r="S20" s="3" t="n">
        <f aca="false">IFERROR(INDEX(Raw_Data!$S:$S, MATCH($A20, Raw_Data!$A:$A, 0)), NA())</f>
        <v>322.72</v>
      </c>
      <c r="T20" s="2" t="n">
        <f aca="false">IFERROR(INDEX(Raw_Data!$T:$T, MATCH($A20, Raw_Data!$A:$A, 0)), NA())</f>
        <v>17.02</v>
      </c>
      <c r="U20" s="0" t="str">
        <f aca="false">IFERROR(INDEX(Raw_Data!$U:$U, MATCH($A20, Raw_Data!$A:$A, 0)), NA())</f>
        <v>https://www.msci.com/documents/10199/255599/msci-singapore-index.pdf</v>
      </c>
    </row>
    <row r="21" customFormat="false" ht="15" hidden="false" customHeight="false" outlineLevel="0" collapsed="false">
      <c r="A21" s="0" t="s">
        <v>82</v>
      </c>
      <c r="B21" s="8" t="n">
        <f aca="false">IFERROR(INDEX(Raw_Data!$F:$I, MATCH($A21, Raw_Data!$A:$A, 0), MATCH($A$3, {"1Y","3Y","5Y","10Y"}, 0)), NA())</f>
        <v>0.0340159620245257</v>
      </c>
      <c r="C21" s="8" t="n">
        <f aca="false">IFERROR(INDEX(Raw_Data!$B:$E, MATCH($A21, Raw_Data!$A:$A, 0), MATCH($A$3, {"1Y","3Y","5Y","10Y"}, 0)), NA())</f>
        <v>0.0662</v>
      </c>
      <c r="D21" s="8" t="n">
        <f aca="false">IFERROR(B21-C21, NA())</f>
        <v>-0.0321840379754743</v>
      </c>
      <c r="E21" s="8" t="n">
        <f aca="false">IFERROR(IF(OR(INDEX(Raw_Data!$Q:$Q, MATCH($A21, Raw_Data!$A:$A, 0))="", INDEX(Raw_Data!$Q:$Q, MATCH($A21, Raw_Data!$A:$A, 0))=0), NA(), INDEX(Raw_Data!$Q:$Q, MATCH($A21, Raw_Data!$A:$A, 0))), NA())</f>
        <v>0.0362798515608067</v>
      </c>
      <c r="F21" s="2" t="n">
        <f aca="false">IFERROR(IF(OR(INDEX(Raw_Data!$J:$J, MATCH($A21, Raw_Data!$A:$A, 0))="", INDEX(Raw_Data!$J:$J, MATCH($A21, Raw_Data!$A:$A, 0))=0), NA(), INDEX(Raw_Data!$J:$J, MATCH($A21, Raw_Data!$A:$A, 0))), NA())</f>
        <v>99.47</v>
      </c>
      <c r="G21" s="8" t="n">
        <f aca="false">IFERROR((100-F21)/100, NA())</f>
        <v>0.00530000000000001</v>
      </c>
      <c r="H21" s="8" t="e">
        <f aca="false">(P21/Q21)-1</f>
        <v>#VALUE!</v>
      </c>
      <c r="I21" s="8" t="e">
        <f aca="false">IFERROR((G21+H21)/2, NA())</f>
        <v>#N/A</v>
      </c>
      <c r="J21" s="0" t="str">
        <f aca="false">IF(ISNA(I21), "", IF(I21&gt;0.05,"undervalued", IF(I21&lt;-0.05,"overvalued", "neutral")))</f>
        <v/>
      </c>
      <c r="K21" s="2" t="n">
        <f aca="false">IFERROR(IF(OR(INDEX(Raw_Data!$N:$N, MATCH($A21, Raw_Data!$A:$A, 0))="", INDEX(Raw_Data!$N:$N, MATCH($A21, Raw_Data!$A:$A, 0))=0), NA(), INDEX(Raw_Data!$N:$N, MATCH($A21, Raw_Data!$A:$A, 0))), NA())</f>
        <v>2.656892</v>
      </c>
      <c r="L21" s="0" t="str">
        <f aca="false">IFERROR(INDEX(Raw_Data!$O:$O, MATCH($A21, Raw_Data!$A:$A, 0)), NA())</f>
        <v>high</v>
      </c>
      <c r="O21" s="2" t="n">
        <f aca="false">IFERROR(INDEX(Raw_Data!$P:$P, MATCH($A21, Raw_Data!$A:$A, 0)), NA())</f>
        <v>558.573</v>
      </c>
      <c r="P21" s="3" t="s">
        <v>138</v>
      </c>
      <c r="Q21" s="3" t="s">
        <v>138</v>
      </c>
      <c r="R21" s="3" t="n">
        <f aca="false">IFERROR(INDEX(Raw_Data!$R:$R, MATCH($A21, Raw_Data!$A:$A, 0)), NA())</f>
        <v>130.88883</v>
      </c>
      <c r="S21" s="3" t="n">
        <f aca="false">IFERROR(INDEX(Raw_Data!$S:$S, MATCH($A21, Raw_Data!$A:$A, 0)), NA())</f>
        <v>102.41</v>
      </c>
      <c r="T21" s="2" t="n">
        <f aca="false">IFERROR(INDEX(Raw_Data!$T:$T, MATCH($A21, Raw_Data!$A:$A, 0)), NA())</f>
        <v>20.25</v>
      </c>
      <c r="U21" s="0" t="str">
        <f aca="false">IFERROR(INDEX(Raw_Data!$U:$U, MATCH($A21, Raw_Data!$A:$A, 0)), NA())</f>
        <v>https://www.msci.com/documents/10199/255599/msci-thailand-index.pdf</v>
      </c>
    </row>
    <row r="22" customFormat="false" ht="15" hidden="false" customHeight="false" outlineLevel="0" collapsed="false">
      <c r="A22" s="0" t="s">
        <v>62</v>
      </c>
      <c r="B22" s="8" t="n">
        <f aca="false">IFERROR(INDEX(Raw_Data!$F:$I, MATCH($A22, Raw_Data!$A:$A, 0), MATCH($A$3, {"1Y","3Y","5Y","10Y"}, 0)), NA())</f>
        <v>0.0701241284239773</v>
      </c>
      <c r="C22" s="8" t="n">
        <f aca="false">IFERROR(INDEX(Raw_Data!$B:$E, MATCH($A22, Raw_Data!$A:$A, 0), MATCH($A$3, {"1Y","3Y","5Y","10Y"}, 0)), NA())</f>
        <v>0.1072</v>
      </c>
      <c r="D22" s="8" t="n">
        <f aca="false">IFERROR(B22-C22, NA())</f>
        <v>-0.0370758715760227</v>
      </c>
      <c r="E22" s="8" t="n">
        <f aca="false">IFERROR(IF(OR(INDEX(Raw_Data!$Q:$Q, MATCH($A22, Raw_Data!$A:$A, 0))="", INDEX(Raw_Data!$Q:$Q, MATCH($A22, Raw_Data!$A:$A, 0))=0), NA(), INDEX(Raw_Data!$Q:$Q, MATCH($A22, Raw_Data!$A:$A, 0))), NA())</f>
        <v>0.0490348297716687</v>
      </c>
      <c r="F22" s="2" t="n">
        <f aca="false">IFERROR(IF(OR(INDEX(Raw_Data!$J:$J, MATCH($A22, Raw_Data!$A:$A, 0))="", INDEX(Raw_Data!$J:$J, MATCH($A22, Raw_Data!$A:$A, 0))=0), NA(), INDEX(Raw_Data!$J:$J, MATCH($A22, Raw_Data!$A:$A, 0))), NA())</f>
        <v>99.17</v>
      </c>
      <c r="G22" s="8" t="n">
        <f aca="false">IFERROR((100-F22)/100, NA())</f>
        <v>0.00829999999999998</v>
      </c>
      <c r="H22" s="8" t="n">
        <f aca="false">(P22/Q22)-1</f>
        <v>-0.00532494059114796</v>
      </c>
      <c r="I22" s="8" t="n">
        <f aca="false">IFERROR((G22+H22)/2, NA())</f>
        <v>0.00148752970442601</v>
      </c>
      <c r="J22" s="0" t="str">
        <f aca="false">IF(ISNA(I22), "", IF(I22&gt;0.05,"undervalued", IF(I22&lt;-0.05,"overvalued", "neutral")))</f>
        <v>neutral</v>
      </c>
      <c r="K22" s="2" t="e">
        <f aca="false">IFERROR(IF(OR(INDEX(Raw_Data!$N:$N, MATCH($A22, Raw_Data!$A:$A, 0))="", INDEX(Raw_Data!$N:$N, MATCH($A22, Raw_Data!$A:$A, 0))=0), NA(), INDEX(Raw_Data!$N:$N, MATCH($A22, Raw_Data!$A:$A, 0))), NA())</f>
        <v>#N/A</v>
      </c>
      <c r="L22" s="0" t="n">
        <f aca="false">IFERROR(INDEX(Raw_Data!$O:$O, MATCH($A22, Raw_Data!$A:$A, 0)), NA())</f>
        <v>0</v>
      </c>
      <c r="O22" s="2" t="n">
        <f aca="false">IFERROR(INDEX(Raw_Data!$P:$P, MATCH($A22, Raw_Data!$A:$A, 0)), NA())</f>
        <v>1268.535</v>
      </c>
      <c r="P22" s="3" t="n">
        <f aca="false">IFERROR(INDEX(Raw_Data!$M:$M, MATCH($A22, Raw_Data!$A:$A, 0)), NA())</f>
        <v>3.75459</v>
      </c>
      <c r="Q22" s="4" t="n">
        <v>3.77469</v>
      </c>
      <c r="R22" s="3" t="n">
        <f aca="false">IFERROR(INDEX(Raw_Data!$R:$R, MATCH($A22, Raw_Data!$A:$A, 0)), NA())</f>
        <v>394.06552</v>
      </c>
      <c r="S22" s="3" t="n">
        <f aca="false">IFERROR(INDEX(Raw_Data!$S:$S, MATCH($A22, Raw_Data!$A:$A, 0)), NA())</f>
        <v>299.81</v>
      </c>
      <c r="T22" s="2" t="n">
        <f aca="false">IFERROR(INDEX(Raw_Data!$T:$T, MATCH($A22, Raw_Data!$A:$A, 0)), NA())</f>
        <v>15.93</v>
      </c>
      <c r="U22" s="0" t="str">
        <f aca="false">IFERROR(INDEX(Raw_Data!$U:$U, MATCH($A22, Raw_Data!$A:$A, 0)), NA())</f>
        <v>https://www.msci.com/documents/10199/255599/msci-saudi-arabia-index-usd-gross.pdf</v>
      </c>
    </row>
    <row r="23" customFormat="false" ht="15" hidden="false" customHeight="false" outlineLevel="0" collapsed="false">
      <c r="A23" s="0" t="s">
        <v>60</v>
      </c>
      <c r="B23" s="8" t="n">
        <f aca="false">IFERROR(INDEX(Raw_Data!$F:$I, MATCH($A23, Raw_Data!$A:$A, 0), MATCH($A$3, {"1Y","3Y","5Y","10Y"}, 0)), NA())</f>
        <v>0.0325935184915287</v>
      </c>
      <c r="C23" s="8" t="n">
        <f aca="false">IFERROR(INDEX(Raw_Data!$B:$E, MATCH($A23, Raw_Data!$A:$A, 0), MATCH($A$3, {"1Y","3Y","5Y","10Y"}, 0)), NA())</f>
        <v>0.0703</v>
      </c>
      <c r="D23" s="8" t="n">
        <f aca="false">IFERROR(B23-C23, NA())</f>
        <v>-0.0377064815084713</v>
      </c>
      <c r="E23" s="8" t="n">
        <f aca="false">IFERROR(IF(OR(INDEX(Raw_Data!$Q:$Q, MATCH($A23, Raw_Data!$A:$A, 0))="", INDEX(Raw_Data!$Q:$Q, MATCH($A23, Raw_Data!$A:$A, 0))=0), NA(), INDEX(Raw_Data!$Q:$Q, MATCH($A23, Raw_Data!$A:$A, 0))), NA())</f>
        <v>0.0449168697843916</v>
      </c>
      <c r="F23" s="2" t="n">
        <f aca="false">IFERROR(IF(OR(INDEX(Raw_Data!$J:$J, MATCH($A23, Raw_Data!$A:$A, 0))="", INDEX(Raw_Data!$J:$J, MATCH($A23, Raw_Data!$A:$A, 0))=0), NA(), INDEX(Raw_Data!$J:$J, MATCH($A23, Raw_Data!$A:$A, 0))), NA())</f>
        <v>95.48</v>
      </c>
      <c r="G23" s="8" t="n">
        <f aca="false">IFERROR((100-F23)/100, NA())</f>
        <v>0.0452</v>
      </c>
      <c r="H23" s="8" t="n">
        <f aca="false">(P23/Q23)-1</f>
        <v>0.0123232727718967</v>
      </c>
      <c r="I23" s="8" t="n">
        <f aca="false">IFERROR((G23+H23)/2, NA())</f>
        <v>0.0287616363859483</v>
      </c>
      <c r="J23" s="0" t="str">
        <f aca="false">IF(ISNA(I23), "", IF(I23&gt;0.05,"undervalued", IF(I23&lt;-0.05,"overvalued", "neutral")))</f>
        <v>neutral</v>
      </c>
      <c r="K23" s="2" t="e">
        <f aca="false">IFERROR(IF(OR(INDEX(Raw_Data!$N:$N, MATCH($A23, Raw_Data!$A:$A, 0))="", INDEX(Raw_Data!$N:$N, MATCH($A23, Raw_Data!$A:$A, 0))=0), NA(), INDEX(Raw_Data!$N:$N, MATCH($A23, Raw_Data!$A:$A, 0))), NA())</f>
        <v>#N/A</v>
      </c>
      <c r="L23" s="0" t="n">
        <f aca="false">IFERROR(INDEX(Raw_Data!$O:$O, MATCH($A23, Raw_Data!$A:$A, 0)), NA())</f>
        <v>0</v>
      </c>
      <c r="O23" s="2" t="n">
        <f aca="false">IFERROR(INDEX(Raw_Data!$P:$P, MATCH($A23, Raw_Data!$A:$A, 0)), NA())</f>
        <v>428.233</v>
      </c>
      <c r="P23" s="3" t="n">
        <f aca="false">IFERROR(INDEX(Raw_Data!$M:$M, MATCH($A23, Raw_Data!$A:$A, 0)), NA())</f>
        <v>7.83685</v>
      </c>
      <c r="Q23" s="4" t="n">
        <v>7.74145</v>
      </c>
      <c r="R23" s="3" t="n">
        <f aca="false">IFERROR(INDEX(Raw_Data!$R:$R, MATCH($A23, Raw_Data!$A:$A, 0)), NA())</f>
        <v>446.52099</v>
      </c>
      <c r="S23" s="3" t="n">
        <f aca="false">IFERROR(INDEX(Raw_Data!$S:$S, MATCH($A23, Raw_Data!$A:$A, 0)), NA())</f>
        <v>329.45</v>
      </c>
      <c r="T23" s="2" t="n">
        <f aca="false">IFERROR(INDEX(Raw_Data!$T:$T, MATCH($A23, Raw_Data!$A:$A, 0)), NA())</f>
        <v>19.27</v>
      </c>
      <c r="U23" s="0" t="str">
        <f aca="false">IFERROR(INDEX(Raw_Data!$U:$U, MATCH($A23, Raw_Data!$A:$A, 0)), NA())</f>
        <v>https://www.msci.com/documents/10199/255599/msci-hong-kong-index.pdf</v>
      </c>
    </row>
    <row r="24" customFormat="false" ht="15" hidden="false" customHeight="false" outlineLevel="0" collapsed="false">
      <c r="A24" s="0" t="s">
        <v>104</v>
      </c>
      <c r="B24" s="8" t="n">
        <f aca="false">IFERROR(INDEX(Raw_Data!$F:$I, MATCH($A24, Raw_Data!$A:$A, 0), MATCH($A$3, {"1Y","3Y","5Y","10Y"}, 0)), NA())</f>
        <v>0.0563965066970955</v>
      </c>
      <c r="C24" s="8" t="n">
        <f aca="false">IFERROR(INDEX(Raw_Data!$B:$E, MATCH($A24, Raw_Data!$A:$A, 0), MATCH($A$3, {"1Y","3Y","5Y","10Y"}, 0)), NA())</f>
        <v>0.0947</v>
      </c>
      <c r="D24" s="8" t="n">
        <f aca="false">IFERROR(B24-C24, NA())</f>
        <v>-0.0383034933029045</v>
      </c>
      <c r="E24" s="8" t="n">
        <f aca="false">IFERROR(IF(OR(INDEX(Raw_Data!$Q:$Q, MATCH($A24, Raw_Data!$A:$A, 0))="", INDEX(Raw_Data!$Q:$Q, MATCH($A24, Raw_Data!$A:$A, 0))=0), NA(), INDEX(Raw_Data!$Q:$Q, MATCH($A24, Raw_Data!$A:$A, 0))), NA())</f>
        <v>0.0353333337201838</v>
      </c>
      <c r="F24" s="2" t="n">
        <f aca="false">IFERROR(IF(OR(INDEX(Raw_Data!$J:$J, MATCH($A24, Raw_Data!$A:$A, 0))="", INDEX(Raw_Data!$J:$J, MATCH($A24, Raw_Data!$A:$A, 0))=0), NA(), INDEX(Raw_Data!$J:$J, MATCH($A24, Raw_Data!$A:$A, 0))), NA())</f>
        <v>98.13</v>
      </c>
      <c r="G24" s="8" t="n">
        <f aca="false">IFERROR((100-F24)/100, NA())</f>
        <v>0.0187</v>
      </c>
      <c r="H24" s="8" t="n">
        <f aca="false">(P24/Q24)-1</f>
        <v>0.0245310415241253</v>
      </c>
      <c r="I24" s="8" t="n">
        <f aca="false">IFERROR((G24+H24)/2, NA())</f>
        <v>0.0216155207620627</v>
      </c>
      <c r="J24" s="0" t="str">
        <f aca="false">IF(ISNA(I24), "", IF(I24&gt;0.05,"undervalued", IF(I24&lt;-0.05,"overvalued", "neutral")))</f>
        <v>neutral</v>
      </c>
      <c r="K24" s="2" t="e">
        <f aca="false">IFERROR(IF(OR(INDEX(Raw_Data!$N:$N, MATCH($A24, Raw_Data!$A:$A, 0))="", INDEX(Raw_Data!$N:$N, MATCH($A24, Raw_Data!$A:$A, 0))=0), NA(), INDEX(Raw_Data!$N:$N, MATCH($A24, Raw_Data!$A:$A, 0))), NA())</f>
        <v>#N/A</v>
      </c>
      <c r="L24" s="0" t="n">
        <f aca="false">IFERROR(INDEX(Raw_Data!$O:$O, MATCH($A24, Raw_Data!$A:$A, 0)), NA())</f>
        <v>0</v>
      </c>
      <c r="O24" s="2" t="n">
        <f aca="false">IFERROR(INDEX(Raw_Data!$P:$P, MATCH($A24, Raw_Data!$A:$A, 0)), NA())</f>
        <v>337.936</v>
      </c>
      <c r="P24" s="3" t="n">
        <v>0.87</v>
      </c>
      <c r="Q24" s="4" t="n">
        <v>0.849169</v>
      </c>
      <c r="R24" s="3" t="n">
        <f aca="false">IFERROR(INDEX(Raw_Data!$R:$R, MATCH($A24, Raw_Data!$A:$A, 0)), NA())</f>
        <v>46.07983</v>
      </c>
      <c r="S24" s="3" t="n">
        <f aca="false">IFERROR(INDEX(Raw_Data!$S:$S, MATCH($A24, Raw_Data!$A:$A, 0)), NA())</f>
        <v>46.08</v>
      </c>
      <c r="T24" s="2" t="n">
        <f aca="false">IFERROR(INDEX(Raw_Data!$T:$T, MATCH($A24, Raw_Data!$A:$A, 0)), NA())</f>
        <v>23.72</v>
      </c>
      <c r="U24" s="0" t="str">
        <f aca="false">IFERROR(INDEX(Raw_Data!$U:$U, MATCH($A24, Raw_Data!$A:$A, 0)), NA())</f>
        <v>https://www.msci.com/documents/10199/255599/msci-portugal-index-usd-gross.pdf</v>
      </c>
    </row>
    <row r="25" customFormat="false" ht="15" hidden="false" customHeight="false" outlineLevel="0" collapsed="false">
      <c r="A25" s="0" t="s">
        <v>44</v>
      </c>
      <c r="B25" s="8" t="n">
        <f aca="false">IFERROR(INDEX(Raw_Data!$F:$I, MATCH($A25, Raw_Data!$A:$A, 0), MATCH($A$3, {"1Y","3Y","5Y","10Y"}, 0)), NA())</f>
        <v>0.0673337288655791</v>
      </c>
      <c r="C25" s="8" t="n">
        <f aca="false">IFERROR(INDEX(Raw_Data!$B:$E, MATCH($A25, Raw_Data!$A:$A, 0), MATCH($A$3, {"1Y","3Y","5Y","10Y"}, 0)), NA())</f>
        <v>0.1139</v>
      </c>
      <c r="D25" s="8" t="n">
        <f aca="false">IFERROR(B25-C25, NA())</f>
        <v>-0.0465662711344209</v>
      </c>
      <c r="E25" s="8" t="n">
        <f aca="false">IFERROR(IF(OR(INDEX(Raw_Data!$Q:$Q, MATCH($A25, Raw_Data!$A:$A, 0))="", INDEX(Raw_Data!$Q:$Q, MATCH($A25, Raw_Data!$A:$A, 0))=0), NA(), INDEX(Raw_Data!$Q:$Q, MATCH($A25, Raw_Data!$A:$A, 0))), NA())</f>
        <v>0.100994458484211</v>
      </c>
      <c r="F25" s="2" t="n">
        <f aca="false">IFERROR(IF(OR(INDEX(Raw_Data!$J:$J, MATCH($A25, Raw_Data!$A:$A, 0))="", INDEX(Raw_Data!$J:$J, MATCH($A25, Raw_Data!$A:$A, 0))=0), NA(), INDEX(Raw_Data!$J:$J, MATCH($A25, Raw_Data!$A:$A, 0))), NA())</f>
        <v>90.51</v>
      </c>
      <c r="G25" s="8" t="n">
        <f aca="false">IFERROR((100-F25)/100, NA())</f>
        <v>0.0948999999999999</v>
      </c>
      <c r="H25" s="8" t="n">
        <f aca="false">(P25/Q25)-1</f>
        <v>-0.0299248653703524</v>
      </c>
      <c r="I25" s="8" t="n">
        <f aca="false">IFERROR((G25+H25)/2, NA())</f>
        <v>0.0324875673148238</v>
      </c>
      <c r="J25" s="0" t="str">
        <f aca="false">IF(ISNA(I25), "", IF(I25&gt;0.05,"undervalued", IF(I25&lt;-0.05,"overvalued", "neutral")))</f>
        <v>neutral</v>
      </c>
      <c r="K25" s="2" t="n">
        <f aca="false">IFERROR(IF(OR(INDEX(Raw_Data!$N:$N, MATCH($A25, Raw_Data!$A:$A, 0))="", INDEX(Raw_Data!$N:$N, MATCH($A25, Raw_Data!$A:$A, 0))=0), NA(), INDEX(Raw_Data!$N:$N, MATCH($A25, Raw_Data!$A:$A, 0))), NA())</f>
        <v>0.512929</v>
      </c>
      <c r="L25" s="0" t="str">
        <f aca="false">IFERROR(INDEX(Raw_Data!$O:$O, MATCH($A25, Raw_Data!$A:$A, 0)), NA())</f>
        <v>high</v>
      </c>
      <c r="O25" s="2" t="n">
        <f aca="false">IFERROR(INDEX(Raw_Data!$P:$P, MATCH($A25, Raw_Data!$A:$A, 0)), NA())</f>
        <v>4125.213</v>
      </c>
      <c r="P25" s="3" t="n">
        <f aca="false">IFERROR(INDEX(Raw_Data!$M:$M, MATCH($A25, Raw_Data!$A:$A, 0)), NA())</f>
        <v>93.2573</v>
      </c>
      <c r="Q25" s="4" t="n">
        <v>96.1341</v>
      </c>
      <c r="R25" s="3" t="n">
        <f aca="false">IFERROR(INDEX(Raw_Data!$R:$R, MATCH($A25, Raw_Data!$A:$A, 0)), NA())</f>
        <v>1504.29162</v>
      </c>
      <c r="S25" s="3" t="n">
        <f aca="false">IFERROR(INDEX(Raw_Data!$S:$S, MATCH($A25, Raw_Data!$A:$A, 0)), NA())</f>
        <v>543.2</v>
      </c>
      <c r="T25" s="2" t="n">
        <f aca="false">IFERROR(INDEX(Raw_Data!$T:$T, MATCH($A25, Raw_Data!$A:$A, 0)), NA())</f>
        <v>25.36</v>
      </c>
      <c r="U25" s="0" t="str">
        <f aca="false">IFERROR(INDEX(Raw_Data!$U:$U, MATCH($A25, Raw_Data!$A:$A, 0)), NA())</f>
        <v>https://www.msci.com/documents/10199/255599/msci-india-index-gross-usd.pdf</v>
      </c>
    </row>
    <row r="26" customFormat="false" ht="15" hidden="false" customHeight="false" outlineLevel="0" collapsed="false">
      <c r="A26" s="0" t="s">
        <v>68</v>
      </c>
      <c r="B26" s="8" t="n">
        <f aca="false">IFERROR(INDEX(Raw_Data!$F:$I, MATCH($A26, Raw_Data!$A:$A, 0), MATCH($A$3, {"1Y","3Y","5Y","10Y"}, 0)), NA())</f>
        <v>0.0311919459120409</v>
      </c>
      <c r="C26" s="8" t="n">
        <f aca="false">IFERROR(INDEX(Raw_Data!$B:$E, MATCH($A26, Raw_Data!$A:$A, 0), MATCH($A$3, {"1Y","3Y","5Y","10Y"}, 0)), NA())</f>
        <v>0.085</v>
      </c>
      <c r="D26" s="8" t="n">
        <f aca="false">IFERROR(B26-C26, NA())</f>
        <v>-0.0538080540879591</v>
      </c>
      <c r="E26" s="8" t="n">
        <f aca="false">IFERROR(IF(OR(INDEX(Raw_Data!$Q:$Q, MATCH($A26, Raw_Data!$A:$A, 0))="", INDEX(Raw_Data!$Q:$Q, MATCH($A26, Raw_Data!$A:$A, 0))=0), NA(), INDEX(Raw_Data!$Q:$Q, MATCH($A26, Raw_Data!$A:$A, 0))), NA())</f>
        <v>0.0312463225672652</v>
      </c>
      <c r="F26" s="2" t="n">
        <f aca="false">IFERROR(IF(OR(INDEX(Raw_Data!$J:$J, MATCH($A26, Raw_Data!$A:$A, 0))="", INDEX(Raw_Data!$J:$J, MATCH($A26, Raw_Data!$A:$A, 0))=0), NA(), INDEX(Raw_Data!$J:$J, MATCH($A26, Raw_Data!$A:$A, 0))), NA())</f>
        <v>97.58</v>
      </c>
      <c r="G26" s="8" t="n">
        <f aca="false">IFERROR((100-F26)/100, NA())</f>
        <v>0.0242</v>
      </c>
      <c r="H26" s="8" t="n">
        <f aca="false">(P26/Q26)-1</f>
        <v>0.0245310415241253</v>
      </c>
      <c r="I26" s="8" t="n">
        <f aca="false">IFERROR((G26+H26)/2, NA())</f>
        <v>0.0243655207620627</v>
      </c>
      <c r="J26" s="0" t="str">
        <f aca="false">IF(ISNA(I26), "", IF(I26&gt;0.05,"undervalued", IF(I26&lt;-0.05,"overvalued", "neutral")))</f>
        <v>neutral</v>
      </c>
      <c r="K26" s="2" t="e">
        <f aca="false">IFERROR(IF(OR(INDEX(Raw_Data!$N:$N, MATCH($A26, Raw_Data!$A:$A, 0))="", INDEX(Raw_Data!$N:$N, MATCH($A26, Raw_Data!$A:$A, 0))=0), NA(), INDEX(Raw_Data!$N:$N, MATCH($A26, Raw_Data!$A:$A, 0))), NA())</f>
        <v>#N/A</v>
      </c>
      <c r="L26" s="0" t="n">
        <f aca="false">IFERROR(INDEX(Raw_Data!$O:$O, MATCH($A26, Raw_Data!$A:$A, 0)), NA())</f>
        <v>0</v>
      </c>
      <c r="O26" s="2" t="n">
        <f aca="false">IFERROR(INDEX(Raw_Data!$P:$P, MATCH($A26, Raw_Data!$A:$A, 0)), NA())</f>
        <v>314.724</v>
      </c>
      <c r="P26" s="3" t="n">
        <v>0.87</v>
      </c>
      <c r="Q26" s="4" t="n">
        <v>0.849169</v>
      </c>
      <c r="R26" s="3" t="n">
        <f aca="false">IFERROR(INDEX(Raw_Data!$R:$R, MATCH($A26, Raw_Data!$A:$A, 0)), NA())</f>
        <v>257.72566</v>
      </c>
      <c r="S26" s="3" t="n">
        <f aca="false">IFERROR(INDEX(Raw_Data!$S:$S, MATCH($A26, Raw_Data!$A:$A, 0)), NA())</f>
        <v>235.79</v>
      </c>
      <c r="T26" s="2" t="n">
        <f aca="false">IFERROR(INDEX(Raw_Data!$T:$T, MATCH($A26, Raw_Data!$A:$A, 0)), NA())</f>
        <v>19.31</v>
      </c>
      <c r="U26" s="0" t="str">
        <f aca="false">IFERROR(INDEX(Raw_Data!$U:$U, MATCH($A26, Raw_Data!$A:$A, 0)), NA())</f>
        <v>https://www.msci.com/documents/10199/255599/msci-finland-index-usd-net.pdf</v>
      </c>
    </row>
    <row r="27" customFormat="false" ht="15" hidden="false" customHeight="false" outlineLevel="0" collapsed="false">
      <c r="A27" s="0" t="s">
        <v>27</v>
      </c>
      <c r="B27" s="8" t="n">
        <f aca="false">IFERROR(INDEX(Raw_Data!$F:$I, MATCH($A27, Raw_Data!$A:$A, 0), MATCH($A$3, {"1Y","3Y","5Y","10Y"}, 0)), NA())</f>
        <v>0.0434766573972978</v>
      </c>
      <c r="C27" s="8" t="n">
        <f aca="false">IFERROR(INDEX(Raw_Data!$B:$E, MATCH($A27, Raw_Data!$A:$A, 0), MATCH($A$3, {"1Y","3Y","5Y","10Y"}, 0)), NA())</f>
        <v>0.0973</v>
      </c>
      <c r="D27" s="8" t="n">
        <f aca="false">IFERROR(B27-C27, NA())</f>
        <v>-0.0538233426027022</v>
      </c>
      <c r="E27" s="8" t="n">
        <f aca="false">IFERROR(IF(OR(INDEX(Raw_Data!$Q:$Q, MATCH($A27, Raw_Data!$A:$A, 0))="", INDEX(Raw_Data!$Q:$Q, MATCH($A27, Raw_Data!$A:$A, 0))=0), NA(), INDEX(Raw_Data!$Q:$Q, MATCH($A27, Raw_Data!$A:$A, 0))), NA())</f>
        <v>0.0516430982659855</v>
      </c>
      <c r="F27" s="2" t="n">
        <f aca="false">IFERROR(IF(OR(INDEX(Raw_Data!$J:$J, MATCH($A27, Raw_Data!$A:$A, 0))="", INDEX(Raw_Data!$J:$J, MATCH($A27, Raw_Data!$A:$A, 0))=0), NA(), INDEX(Raw_Data!$J:$J, MATCH($A27, Raw_Data!$A:$A, 0))), NA())</f>
        <v>111.25</v>
      </c>
      <c r="G27" s="8" t="n">
        <f aca="false">IFERROR((100-F27)/100, NA())</f>
        <v>-0.1125</v>
      </c>
      <c r="H27" s="8" t="n">
        <f aca="false">(P27/Q27)-1</f>
        <v>0.00785585643928566</v>
      </c>
      <c r="I27" s="8" t="n">
        <f aca="false">IFERROR((G27+H27)/2, NA())</f>
        <v>-0.0523220717803572</v>
      </c>
      <c r="J27" s="0" t="str">
        <f aca="false">IF(ISNA(I27), "", IF(I27&gt;0.05,"undervalued", IF(I27&lt;-0.05,"overvalued", "neutral")))</f>
        <v>overvalued</v>
      </c>
      <c r="K27" s="2" t="n">
        <f aca="false">IFERROR(IF(OR(INDEX(Raw_Data!$N:$N, MATCH($A27, Raw_Data!$A:$A, 0))="", INDEX(Raw_Data!$N:$N, MATCH($A27, Raw_Data!$A:$A, 0))=0), NA(), INDEX(Raw_Data!$N:$N, MATCH($A27, Raw_Data!$A:$A, 0))), NA())</f>
        <v>0.085493</v>
      </c>
      <c r="L27" s="0" t="str">
        <f aca="false">IFERROR(INDEX(Raw_Data!$O:$O, MATCH($A27, Raw_Data!$A:$A, 0)), NA())</f>
        <v>low</v>
      </c>
      <c r="O27" s="2" t="n">
        <f aca="false">IFERROR(INDEX(Raw_Data!$P:$P, MATCH($A27, Raw_Data!$A:$A, 0)), NA())</f>
        <v>3958.78</v>
      </c>
      <c r="P27" s="3" t="n">
        <f aca="false">IFERROR(INDEX(Raw_Data!$M:$M, MATCH($A27, Raw_Data!$A:$A, 0)), NA())</f>
        <v>0.753573823859654</v>
      </c>
      <c r="Q27" s="4" t="n">
        <v>0.7477</v>
      </c>
      <c r="R27" s="3" t="n">
        <f aca="false">IFERROR(INDEX(Raw_Data!$R:$R, MATCH($A27, Raw_Data!$A:$A, 0)), NA())</f>
        <v>3350.53447</v>
      </c>
      <c r="S27" s="3" t="n">
        <f aca="false">IFERROR(INDEX(Raw_Data!$S:$S, MATCH($A27, Raw_Data!$A:$A, 0)), NA())</f>
        <v>1758.78</v>
      </c>
      <c r="T27" s="2" t="n">
        <f aca="false">IFERROR(INDEX(Raw_Data!$T:$T, MATCH($A27, Raw_Data!$A:$A, 0)), NA())</f>
        <v>16.86</v>
      </c>
      <c r="U27" s="0" t="str">
        <f aca="false">IFERROR(INDEX(Raw_Data!$U:$U, MATCH($A27, Raw_Data!$A:$A, 0)), NA())</f>
        <v>https://www.msci.com/documents/10199/255599/msci-unitedkingdom-index.pdf</v>
      </c>
    </row>
    <row r="28" customFormat="false" ht="15" hidden="false" customHeight="false" outlineLevel="0" collapsed="false">
      <c r="A28" s="0" t="s">
        <v>76</v>
      </c>
      <c r="B28" s="8" t="n">
        <f aca="false">IFERROR(INDEX(Raw_Data!$F:$I, MATCH($A28, Raw_Data!$A:$A, 0), MATCH($A$3, {"1Y","3Y","5Y","10Y"}, 0)), NA())</f>
        <v>0.0453738783461604</v>
      </c>
      <c r="C28" s="8" t="n">
        <f aca="false">IFERROR(INDEX(Raw_Data!$B:$E, MATCH($A28, Raw_Data!$A:$A, 0), MATCH($A$3, {"1Y","3Y","5Y","10Y"}, 0)), NA())</f>
        <v>0.0992</v>
      </c>
      <c r="D28" s="8" t="n">
        <f aca="false">IFERROR(B28-C28, NA())</f>
        <v>-0.0538261216538396</v>
      </c>
      <c r="E28" s="8" t="n">
        <f aca="false">IFERROR(IF(OR(INDEX(Raw_Data!$Q:$Q, MATCH($A28, Raw_Data!$A:$A, 0))="", INDEX(Raw_Data!$Q:$Q, MATCH($A28, Raw_Data!$A:$A, 0))=0), NA(), INDEX(Raw_Data!$Q:$Q, MATCH($A28, Raw_Data!$A:$A, 0))), NA())</f>
        <v>0.0636480020468579</v>
      </c>
      <c r="F28" s="2" t="n">
        <f aca="false">IFERROR(IF(OR(INDEX(Raw_Data!$J:$J, MATCH($A28, Raw_Data!$A:$A, 0))="", INDEX(Raw_Data!$J:$J, MATCH($A28, Raw_Data!$A:$A, 0))=0), NA(), INDEX(Raw_Data!$J:$J, MATCH($A28, Raw_Data!$A:$A, 0))), NA())</f>
        <v>98.01</v>
      </c>
      <c r="G28" s="8" t="n">
        <f aca="false">IFERROR((100-F28)/100, NA())</f>
        <v>0.0199</v>
      </c>
      <c r="H28" s="8" t="n">
        <f aca="false">(P28/Q28)-1</f>
        <v>0.000408608008716893</v>
      </c>
      <c r="I28" s="8" t="n">
        <f aca="false">IFERROR((G28+H28)/2, NA())</f>
        <v>0.0101543040043584</v>
      </c>
      <c r="J28" s="0" t="str">
        <f aca="false">IF(ISNA(I28), "", IF(I28&gt;0.05,"undervalued", IF(I28&lt;-0.05,"overvalued", "neutral")))</f>
        <v>neutral</v>
      </c>
      <c r="K28" s="2" t="e">
        <f aca="false">IFERROR(IF(OR(INDEX(Raw_Data!$N:$N, MATCH($A28, Raw_Data!$A:$A, 0))="", INDEX(Raw_Data!$N:$N, MATCH($A28, Raw_Data!$A:$A, 0))=0), NA(), INDEX(Raw_Data!$N:$N, MATCH($A28, Raw_Data!$A:$A, 0))), NA())</f>
        <v>#N/A</v>
      </c>
      <c r="L28" s="0" t="n">
        <f aca="false">IFERROR(INDEX(Raw_Data!$O:$O, MATCH($A28, Raw_Data!$A:$A, 0)), NA())</f>
        <v>0</v>
      </c>
      <c r="O28" s="2" t="n">
        <f aca="false">IFERROR(INDEX(Raw_Data!$P:$P, MATCH($A28, Raw_Data!$A:$A, 0)), NA())</f>
        <v>569.097</v>
      </c>
      <c r="P28" s="3" t="n">
        <v>3.6725</v>
      </c>
      <c r="Q28" s="4" t="n">
        <v>3.671</v>
      </c>
      <c r="R28" s="3" t="n">
        <f aca="false">IFERROR(INDEX(Raw_Data!$R:$R, MATCH($A28, Raw_Data!$A:$A, 0)), NA())</f>
        <v>163.17436</v>
      </c>
      <c r="S28" s="3" t="n">
        <f aca="false">IFERROR(INDEX(Raw_Data!$S:$S, MATCH($A28, Raw_Data!$A:$A, 0)), NA())</f>
        <v>141.07</v>
      </c>
      <c r="T28" s="2" t="n">
        <f aca="false">IFERROR(INDEX(Raw_Data!$T:$T, MATCH($A28, Raw_Data!$A:$A, 0)), NA())</f>
        <v>10.72</v>
      </c>
      <c r="U28" s="0" t="str">
        <f aca="false">IFERROR(INDEX(Raw_Data!$U:$U, MATCH($A28, Raw_Data!$A:$A, 0)), NA())</f>
        <v>https://www.msci.com/documents/10199/255599/msci-uae-index.pdf</v>
      </c>
    </row>
    <row r="29" customFormat="false" ht="15" hidden="false" customHeight="false" outlineLevel="0" collapsed="false">
      <c r="A29" s="0" t="s">
        <v>42</v>
      </c>
      <c r="B29" s="8" t="n">
        <f aca="false">IFERROR(INDEX(Raw_Data!$F:$I, MATCH($A29, Raw_Data!$A:$A, 0), MATCH($A$3, {"1Y","3Y","5Y","10Y"}, 0)), NA())</f>
        <v>0.0395632500979577</v>
      </c>
      <c r="C29" s="8" t="n">
        <f aca="false">IFERROR(INDEX(Raw_Data!$B:$E, MATCH($A29, Raw_Data!$A:$A, 0), MATCH($A$3, {"1Y","3Y","5Y","10Y"}, 0)), NA())</f>
        <v>0.1014</v>
      </c>
      <c r="D29" s="8" t="n">
        <f aca="false">IFERROR(B29-C29, NA())</f>
        <v>-0.0618367499020423</v>
      </c>
      <c r="E29" s="8" t="n">
        <f aca="false">IFERROR(IF(OR(INDEX(Raw_Data!$Q:$Q, MATCH($A29, Raw_Data!$A:$A, 0))="", INDEX(Raw_Data!$Q:$Q, MATCH($A29, Raw_Data!$A:$A, 0))=0), NA(), INDEX(Raw_Data!$Q:$Q, MATCH($A29, Raw_Data!$A:$A, 0))), NA())</f>
        <v>0.0319736446013741</v>
      </c>
      <c r="F29" s="2" t="n">
        <f aca="false">IFERROR(IF(OR(INDEX(Raw_Data!$J:$J, MATCH($A29, Raw_Data!$A:$A, 0))="", INDEX(Raw_Data!$J:$J, MATCH($A29, Raw_Data!$A:$A, 0))=0), NA(), INDEX(Raw_Data!$J:$J, MATCH($A29, Raw_Data!$A:$A, 0))), NA())</f>
        <v>101.86</v>
      </c>
      <c r="G29" s="8" t="n">
        <f aca="false">IFERROR((100-F29)/100, NA())</f>
        <v>-0.0186</v>
      </c>
      <c r="H29" s="8" t="n">
        <f aca="false">(P29/Q29)-1</f>
        <v>0.027091191506049</v>
      </c>
      <c r="I29" s="8" t="n">
        <f aca="false">IFERROR((G29+H29)/2, NA())</f>
        <v>0.0042455957530245</v>
      </c>
      <c r="J29" s="0" t="str">
        <f aca="false">IF(ISNA(I29), "", IF(I29&gt;0.05,"undervalued", IF(I29&lt;-0.05,"overvalued", "neutral")))</f>
        <v>neutral</v>
      </c>
      <c r="K29" s="2" t="n">
        <f aca="false">IFERROR(IF(OR(INDEX(Raw_Data!$N:$N, MATCH($A29, Raw_Data!$A:$A, 0))="", INDEX(Raw_Data!$N:$N, MATCH($A29, Raw_Data!$A:$A, 0))=0), NA(), INDEX(Raw_Data!$N:$N, MATCH($A29, Raw_Data!$A:$A, 0))), NA())</f>
        <v>0.131487</v>
      </c>
      <c r="L29" s="0" t="str">
        <f aca="false">IFERROR(INDEX(Raw_Data!$O:$O, MATCH($A29, Raw_Data!$A:$A, 0)), NA())</f>
        <v>low</v>
      </c>
      <c r="O29" s="2" t="n">
        <f aca="false">IFERROR(INDEX(Raw_Data!$P:$P, MATCH($A29, Raw_Data!$A:$A, 0)), NA())</f>
        <v>5013.574</v>
      </c>
      <c r="P29" s="3" t="n">
        <f aca="false">IFERROR(INDEX(Raw_Data!$M:$M, MATCH($A29, Raw_Data!$A:$A, 0)), NA())</f>
        <v>0.872174</v>
      </c>
      <c r="Q29" s="4" t="n">
        <v>0.849169</v>
      </c>
      <c r="R29" s="3" t="n">
        <f aca="false">IFERROR(INDEX(Raw_Data!$R:$R, MATCH($A29, Raw_Data!$A:$A, 0)), NA())</f>
        <v>2073.81193</v>
      </c>
      <c r="S29" s="3" t="n">
        <f aca="false">IFERROR(INDEX(Raw_Data!$S:$S, MATCH($A29, Raw_Data!$A:$A, 0)), NA())</f>
        <v>1277.13</v>
      </c>
      <c r="T29" s="2" t="n">
        <f aca="false">IFERROR(INDEX(Raw_Data!$T:$T, MATCH($A29, Raw_Data!$A:$A, 0)), NA())</f>
        <v>18.77</v>
      </c>
      <c r="U29" s="0" t="str">
        <f aca="false">IFERROR(INDEX(Raw_Data!$U:$U, MATCH($A29, Raw_Data!$A:$A, 0)), NA())</f>
        <v>https://www.msci.com/documents/10199/255599/msci-germany-index.pdf</v>
      </c>
    </row>
    <row r="30" customFormat="false" ht="15" hidden="false" customHeight="false" outlineLevel="0" collapsed="false">
      <c r="A30" s="0" t="s">
        <v>46</v>
      </c>
      <c r="B30" s="8" t="n">
        <f aca="false">IFERROR(INDEX(Raw_Data!$F:$I, MATCH($A30, Raw_Data!$A:$A, 0), MATCH($A$3, {"1Y","3Y","5Y","10Y"}, 0)), NA())</f>
        <v>0.042064937287758</v>
      </c>
      <c r="C30" s="8" t="n">
        <f aca="false">IFERROR(INDEX(Raw_Data!$B:$E, MATCH($A30, Raw_Data!$A:$A, 0), MATCH($A$3, {"1Y","3Y","5Y","10Y"}, 0)), NA())</f>
        <v>0.1082</v>
      </c>
      <c r="D30" s="8" t="n">
        <f aca="false">IFERROR(B30-C30, NA())</f>
        <v>-0.0661350627122421</v>
      </c>
      <c r="E30" s="8" t="n">
        <f aca="false">IFERROR(IF(OR(INDEX(Raw_Data!$Q:$Q, MATCH($A30, Raw_Data!$A:$A, 0))="", INDEX(Raw_Data!$Q:$Q, MATCH($A30, Raw_Data!$A:$A, 0))=0), NA(), INDEX(Raw_Data!$Q:$Q, MATCH($A30, Raw_Data!$A:$A, 0))), NA())</f>
        <v>0.0461046807354535</v>
      </c>
      <c r="F30" s="2" t="n">
        <f aca="false">IFERROR(IF(OR(INDEX(Raw_Data!$J:$J, MATCH($A30, Raw_Data!$A:$A, 0))="", INDEX(Raw_Data!$J:$J, MATCH($A30, Raw_Data!$A:$A, 0))=0), NA(), INDEX(Raw_Data!$J:$J, MATCH($A30, Raw_Data!$A:$A, 0))), NA())</f>
        <v>114.14</v>
      </c>
      <c r="G30" s="8" t="n">
        <f aca="false">IFERROR((100-F30)/100, NA())</f>
        <v>-0.1414</v>
      </c>
      <c r="H30" s="8" t="n">
        <f aca="false">(P30/Q30)-1</f>
        <v>0.00131100397530237</v>
      </c>
      <c r="I30" s="8" t="n">
        <f aca="false">IFERROR((G30+H30)/2, NA())</f>
        <v>-0.0700444980123488</v>
      </c>
      <c r="J30" s="0" t="str">
        <f aca="false">IF(ISNA(I30), "", IF(I30&gt;0.05,"undervalued", IF(I30&lt;-0.05,"overvalued", "neutral")))</f>
        <v>overvalued</v>
      </c>
      <c r="K30" s="2" t="n">
        <f aca="false">IFERROR(IF(OR(INDEX(Raw_Data!$N:$N, MATCH($A30, Raw_Data!$A:$A, 0))="", INDEX(Raw_Data!$N:$N, MATCH($A30, Raw_Data!$A:$A, 0))=0), NA(), INDEX(Raw_Data!$N:$N, MATCH($A30, Raw_Data!$A:$A, 0))), NA())</f>
        <v>0.037565</v>
      </c>
      <c r="L30" s="0" t="str">
        <f aca="false">IFERROR(INDEX(Raw_Data!$O:$O, MATCH($A30, Raw_Data!$A:$A, 0)), NA())</f>
        <v>low</v>
      </c>
      <c r="O30" s="2" t="n">
        <f aca="false">IFERROR(INDEX(Raw_Data!$P:$P, MATCH($A30, Raw_Data!$A:$A, 0)), NA())</f>
        <v>1829.508</v>
      </c>
      <c r="P30" s="3" t="n">
        <f aca="false">IFERROR(INDEX(Raw_Data!$M:$M, MATCH($A30, Raw_Data!$A:$A, 0)), NA())</f>
        <v>1.42062</v>
      </c>
      <c r="Q30" s="4" t="n">
        <v>1.41876</v>
      </c>
      <c r="R30" s="3" t="n">
        <f aca="false">IFERROR(INDEX(Raw_Data!$R:$R, MATCH($A30, Raw_Data!$A:$A, 0)), NA())</f>
        <v>1492.80576</v>
      </c>
      <c r="S30" s="3" t="n">
        <f aca="false">IFERROR(INDEX(Raw_Data!$S:$S, MATCH($A30, Raw_Data!$A:$A, 0)), NA())</f>
        <v>972.15</v>
      </c>
      <c r="T30" s="2" t="n">
        <f aca="false">IFERROR(INDEX(Raw_Data!$T:$T, MATCH($A30, Raw_Data!$A:$A, 0)), NA())</f>
        <v>21.63</v>
      </c>
      <c r="U30" s="0" t="str">
        <f aca="false">IFERROR(INDEX(Raw_Data!$U:$U, MATCH($A30, Raw_Data!$A:$A, 0)), NA())</f>
        <v>https://www.msci.com/documents/10199/255599/msci-australia-index.pdf</v>
      </c>
    </row>
    <row r="31" customFormat="false" ht="15" hidden="false" customHeight="false" outlineLevel="0" collapsed="false">
      <c r="A31" s="0" t="s">
        <v>37</v>
      </c>
      <c r="B31" s="8" t="n">
        <f aca="false">IFERROR(INDEX(Raw_Data!$F:$I, MATCH($A31, Raw_Data!$A:$A, 0), MATCH($A$3, {"1Y","3Y","5Y","10Y"}, 0)), NA())</f>
        <v>0.0427750240817422</v>
      </c>
      <c r="C31" s="8" t="n">
        <f aca="false">IFERROR(INDEX(Raw_Data!$B:$E, MATCH($A31, Raw_Data!$A:$A, 0), MATCH($A$3, {"1Y","3Y","5Y","10Y"}, 0)), NA())</f>
        <v>0.1174</v>
      </c>
      <c r="D31" s="8" t="n">
        <f aca="false">IFERROR(B31-C31, NA())</f>
        <v>-0.0746249759182578</v>
      </c>
      <c r="E31" s="8" t="n">
        <f aca="false">IFERROR(IF(OR(INDEX(Raw_Data!$Q:$Q, MATCH($A31, Raw_Data!$A:$A, 0))="", INDEX(Raw_Data!$Q:$Q, MATCH($A31, Raw_Data!$A:$A, 0))=0), NA(), INDEX(Raw_Data!$Q:$Q, MATCH($A31, Raw_Data!$A:$A, 0))), NA())</f>
        <v>0.0403822852239331</v>
      </c>
      <c r="F31" s="2" t="n">
        <f aca="false">IFERROR(IF(OR(INDEX(Raw_Data!$J:$J, MATCH($A31, Raw_Data!$A:$A, 0))="", INDEX(Raw_Data!$J:$J, MATCH($A31, Raw_Data!$A:$A, 0))=0), NA(), INDEX(Raw_Data!$J:$J, MATCH($A31, Raw_Data!$A:$A, 0))), NA())</f>
        <v>105.64</v>
      </c>
      <c r="G31" s="8" t="n">
        <f aca="false">IFERROR((100-F31)/100, NA())</f>
        <v>-0.0564</v>
      </c>
      <c r="H31" s="8" t="n">
        <f aca="false">(P31/Q31)-1</f>
        <v>0.0472927151372382</v>
      </c>
      <c r="I31" s="8" t="n">
        <f aca="false">IFERROR((G31+H31)/2, NA())</f>
        <v>-0.0045536424313809</v>
      </c>
      <c r="J31" s="0" t="str">
        <f aca="false">IF(ISNA(I31), "", IF(I31&gt;0.05,"undervalued", IF(I31&lt;-0.05,"overvalued", "neutral")))</f>
        <v>neutral</v>
      </c>
      <c r="K31" s="2" t="n">
        <f aca="false">IFERROR(IF(OR(INDEX(Raw_Data!$N:$N, MATCH($A31, Raw_Data!$A:$A, 0))="", INDEX(Raw_Data!$N:$N, MATCH($A31, Raw_Data!$A:$A, 0))=0), NA(), INDEX(Raw_Data!$N:$N, MATCH($A31, Raw_Data!$A:$A, 0))), NA())</f>
        <v>0.020245</v>
      </c>
      <c r="L31" s="0" t="str">
        <f aca="false">IFERROR(INDEX(Raw_Data!$O:$O, MATCH($A31, Raw_Data!$A:$A, 0)), NA())</f>
        <v>low</v>
      </c>
      <c r="O31" s="2" t="n">
        <f aca="false">IFERROR(INDEX(Raw_Data!$P:$P, MATCH($A31, Raw_Data!$A:$A, 0)), NA())</f>
        <v>1002.666</v>
      </c>
      <c r="P31" s="3" t="n">
        <f aca="false">IFERROR(INDEX(Raw_Data!$M:$M, MATCH($A31, Raw_Data!$A:$A, 0)), NA())</f>
        <v>0.792234</v>
      </c>
      <c r="Q31" s="4" t="n">
        <v>0.756459</v>
      </c>
      <c r="R31" s="3" t="n">
        <f aca="false">IFERROR(INDEX(Raw_Data!$R:$R, MATCH($A31, Raw_Data!$A:$A, 0)), NA())</f>
        <v>2139.45487</v>
      </c>
      <c r="S31" s="3" t="n">
        <f aca="false">IFERROR(INDEX(Raw_Data!$S:$S, MATCH($A31, Raw_Data!$A:$A, 0)), NA())</f>
        <v>1586.95</v>
      </c>
      <c r="T31" s="2" t="n">
        <f aca="false">IFERROR(INDEX(Raw_Data!$T:$T, MATCH($A31, Raw_Data!$A:$A, 0)), NA())</f>
        <v>20.45</v>
      </c>
      <c r="U31" s="0" t="str">
        <f aca="false">IFERROR(INDEX(Raw_Data!$U:$U, MATCH($A31, Raw_Data!$A:$A, 0)), NA())</f>
        <v>https://www.msci.com/documents/10199/255599/msci-switzerland-index.pdf</v>
      </c>
    </row>
    <row r="32" customFormat="false" ht="15" hidden="false" customHeight="false" outlineLevel="0" collapsed="false">
      <c r="A32" s="0" t="s">
        <v>35</v>
      </c>
      <c r="B32" s="8" t="n">
        <f aca="false">IFERROR(INDEX(Raw_Data!$F:$I, MATCH($A32, Raw_Data!$A:$A, 0), MATCH($A$3, {"1Y","3Y","5Y","10Y"}, 0)), NA())</f>
        <v>0.0348486947196416</v>
      </c>
      <c r="C32" s="8" t="n">
        <f aca="false">IFERROR(INDEX(Raw_Data!$B:$E, MATCH($A32, Raw_Data!$A:$A, 0), MATCH($A$3, {"1Y","3Y","5Y","10Y"}, 0)), NA())</f>
        <v>0.112</v>
      </c>
      <c r="D32" s="8" t="n">
        <f aca="false">IFERROR(B32-C32, NA())</f>
        <v>-0.0771513052803584</v>
      </c>
      <c r="E32" s="8" t="n">
        <f aca="false">IFERROR(IF(OR(INDEX(Raw_Data!$Q:$Q, MATCH($A32, Raw_Data!$A:$A, 0))="", INDEX(Raw_Data!$Q:$Q, MATCH($A32, Raw_Data!$A:$A, 0))=0), NA(), INDEX(Raw_Data!$Q:$Q, MATCH($A32, Raw_Data!$A:$A, 0))), NA())</f>
        <v>0.0296667655592175</v>
      </c>
      <c r="F32" s="2" t="n">
        <f aca="false">IFERROR(IF(OR(INDEX(Raw_Data!$J:$J, MATCH($A32, Raw_Data!$A:$A, 0))="", INDEX(Raw_Data!$J:$J, MATCH($A32, Raw_Data!$A:$A, 0))=0), NA(), INDEX(Raw_Data!$J:$J, MATCH($A32, Raw_Data!$A:$A, 0))), NA())</f>
        <v>96.27</v>
      </c>
      <c r="G32" s="8" t="n">
        <f aca="false">IFERROR((100-F32)/100, NA())</f>
        <v>0.0373</v>
      </c>
      <c r="H32" s="8" t="n">
        <f aca="false">(P32/Q32)-1</f>
        <v>0.027091191506049</v>
      </c>
      <c r="I32" s="8" t="n">
        <f aca="false">IFERROR((G32+H32)/2, NA())</f>
        <v>0.0321955957530245</v>
      </c>
      <c r="J32" s="0" t="str">
        <f aca="false">IF(ISNA(I32), "", IF(I32&gt;0.05,"undervalued", IF(I32&lt;-0.05,"overvalued", "neutral")))</f>
        <v>neutral</v>
      </c>
      <c r="K32" s="2" t="n">
        <f aca="false">IFERROR(IF(OR(INDEX(Raw_Data!$N:$N, MATCH($A32, Raw_Data!$A:$A, 0))="", INDEX(Raw_Data!$N:$N, MATCH($A32, Raw_Data!$A:$A, 0))=0), NA(), INDEX(Raw_Data!$N:$N, MATCH($A32, Raw_Data!$A:$A, 0))), NA())</f>
        <v>0.164005</v>
      </c>
      <c r="L32" s="0" t="str">
        <f aca="false">IFERROR(INDEX(Raw_Data!$O:$O, MATCH($A32, Raw_Data!$A:$A, 0)), NA())</f>
        <v>low</v>
      </c>
      <c r="O32" s="2" t="n">
        <f aca="false">IFERROR(INDEX(Raw_Data!$P:$P, MATCH($A32, Raw_Data!$A:$A, 0)), NA())</f>
        <v>3361.557</v>
      </c>
      <c r="P32" s="3" t="n">
        <f aca="false">IFERROR(INDEX(Raw_Data!$M:$M, MATCH($A32, Raw_Data!$A:$A, 0)), NA())</f>
        <v>0.872174</v>
      </c>
      <c r="Q32" s="4" t="n">
        <v>0.849169</v>
      </c>
      <c r="R32" s="3" t="n">
        <f aca="false">IFERROR(INDEX(Raw_Data!$R:$R, MATCH($A32, Raw_Data!$A:$A, 0)), NA())</f>
        <v>2324.18743</v>
      </c>
      <c r="S32" s="3" t="n">
        <f aca="false">IFERROR(INDEX(Raw_Data!$S:$S, MATCH($A32, Raw_Data!$A:$A, 0)), NA())</f>
        <v>1311.25</v>
      </c>
      <c r="T32" s="2" t="n">
        <f aca="false">IFERROR(INDEX(Raw_Data!$T:$T, MATCH($A32, Raw_Data!$A:$A, 0)), NA())</f>
        <v>20.12</v>
      </c>
      <c r="U32" s="0" t="str">
        <f aca="false">IFERROR(INDEX(Raw_Data!$U:$U, MATCH($A32, Raw_Data!$A:$A, 0)), NA())</f>
        <v>https://www.msci.com/documents/10199/255599/msci-france-index.pdf</v>
      </c>
    </row>
    <row r="33" customFormat="false" ht="15" hidden="false" customHeight="false" outlineLevel="0" collapsed="false">
      <c r="A33" s="0" t="s">
        <v>78</v>
      </c>
      <c r="B33" s="8" t="n">
        <f aca="false">IFERROR(INDEX(Raw_Data!$F:$I, MATCH($A33, Raw_Data!$A:$A, 0), MATCH($A$3, {"1Y","3Y","5Y","10Y"}, 0)), NA())</f>
        <v>0.0375954816091411</v>
      </c>
      <c r="C33" s="8" t="n">
        <f aca="false">IFERROR(INDEX(Raw_Data!$B:$E, MATCH($A33, Raw_Data!$A:$A, 0), MATCH($A$3, {"1Y","3Y","5Y","10Y"}, 0)), NA())</f>
        <v>0.1217</v>
      </c>
      <c r="D33" s="8" t="n">
        <f aca="false">IFERROR(B33-C33, NA())</f>
        <v>-0.084104518390859</v>
      </c>
      <c r="E33" s="8" t="n">
        <f aca="false">IFERROR(IF(OR(INDEX(Raw_Data!$Q:$Q, MATCH($A33, Raw_Data!$A:$A, 0))="", INDEX(Raw_Data!$Q:$Q, MATCH($A33, Raw_Data!$A:$A, 0))=0), NA(), INDEX(Raw_Data!$Q:$Q, MATCH($A33, Raw_Data!$A:$A, 0))), NA())</f>
        <v>0.0322386500549088</v>
      </c>
      <c r="F33" s="2" t="n">
        <f aca="false">IFERROR(IF(OR(INDEX(Raw_Data!$J:$J, MATCH($A33, Raw_Data!$A:$A, 0))="", INDEX(Raw_Data!$J:$J, MATCH($A33, Raw_Data!$A:$A, 0))=0), NA(), INDEX(Raw_Data!$J:$J, MATCH($A33, Raw_Data!$A:$A, 0))), NA())</f>
        <v>100.22</v>
      </c>
      <c r="G33" s="8" t="n">
        <f aca="false">IFERROR((100-F33)/100, NA())</f>
        <v>-0.00219999999999999</v>
      </c>
      <c r="H33" s="8" t="n">
        <f aca="false">(P33/Q33)-1</f>
        <v>-0.00561202869323274</v>
      </c>
      <c r="I33" s="8" t="n">
        <f aca="false">IFERROR((G33+H33)/2, NA())</f>
        <v>-0.00390601434661636</v>
      </c>
      <c r="J33" s="0" t="str">
        <f aca="false">IF(ISNA(I33), "", IF(I33&gt;0.05,"undervalued", IF(I33&lt;-0.05,"overvalued", "neutral")))</f>
        <v>neutral</v>
      </c>
      <c r="K33" s="2" t="e">
        <f aca="false">IFERROR(IF(OR(INDEX(Raw_Data!$N:$N, MATCH($A33, Raw_Data!$A:$A, 0))="", INDEX(Raw_Data!$N:$N, MATCH($A33, Raw_Data!$A:$A, 0))=0), NA(), INDEX(Raw_Data!$N:$N, MATCH($A33, Raw_Data!$A:$A, 0))), NA())</f>
        <v>#N/A</v>
      </c>
      <c r="L33" s="0" t="n">
        <f aca="false">IFERROR(INDEX(Raw_Data!$O:$O, MATCH($A33, Raw_Data!$A:$A, 0)), NA())</f>
        <v>0</v>
      </c>
      <c r="O33" s="2" t="n">
        <f aca="false">IFERROR(INDEX(Raw_Data!$P:$P, MATCH($A33, Raw_Data!$A:$A, 0)), NA())</f>
        <v>517.102</v>
      </c>
      <c r="P33" s="3" t="n">
        <v>9.73829</v>
      </c>
      <c r="Q33" s="3" t="n">
        <v>9.79325</v>
      </c>
      <c r="R33" s="3" t="n">
        <f aca="false">IFERROR(INDEX(Raw_Data!$R:$R, MATCH($A33, Raw_Data!$A:$A, 0)), NA())</f>
        <v>140.99846</v>
      </c>
      <c r="S33" s="3" t="n">
        <f aca="false">IFERROR(INDEX(Raw_Data!$S:$S, MATCH($A33, Raw_Data!$A:$A, 0)), NA())</f>
        <v>136.95</v>
      </c>
      <c r="T33" s="2" t="n">
        <f aca="false">IFERROR(INDEX(Raw_Data!$T:$T, MATCH($A33, Raw_Data!$A:$A, 0)), NA())</f>
        <v>14.09</v>
      </c>
      <c r="U33" s="0" t="str">
        <f aca="false">IFERROR(INDEX(Raw_Data!$U:$U, MATCH($A33, Raw_Data!$A:$A, 0)), NA())</f>
        <v>https://www.msci.com/documents/10199/255599/msci-norway-index-usd-gross.pdf</v>
      </c>
    </row>
    <row r="34" customFormat="false" ht="15" hidden="false" customHeight="false" outlineLevel="0" collapsed="false">
      <c r="A34" s="0" t="s">
        <v>52</v>
      </c>
      <c r="B34" s="8" t="n">
        <f aca="false">IFERROR(INDEX(Raw_Data!$F:$I, MATCH($A34, Raw_Data!$A:$A, 0), MATCH($A$3, {"1Y","3Y","5Y","10Y"}, 0)), NA())</f>
        <v>0.0287793365786624</v>
      </c>
      <c r="C34" s="8" t="n">
        <f aca="false">IFERROR(INDEX(Raw_Data!$B:$E, MATCH($A34, Raw_Data!$A:$A, 0), MATCH($A$3, {"1Y","3Y","5Y","10Y"}, 0)), NA())</f>
        <v>0.1143</v>
      </c>
      <c r="D34" s="8" t="n">
        <f aca="false">IFERROR(B34-C34, NA())</f>
        <v>-0.0855206634213376</v>
      </c>
      <c r="E34" s="8" t="n">
        <f aca="false">IFERROR(IF(OR(INDEX(Raw_Data!$Q:$Q, MATCH($A34, Raw_Data!$A:$A, 0))="", INDEX(Raw_Data!$Q:$Q, MATCH($A34, Raw_Data!$A:$A, 0))=0), NA(), INDEX(Raw_Data!$Q:$Q, MATCH($A34, Raw_Data!$A:$A, 0))), NA())</f>
        <v>0.0403380397498268</v>
      </c>
      <c r="F34" s="2" t="n">
        <f aca="false">IFERROR(IF(OR(INDEX(Raw_Data!$J:$J, MATCH($A34, Raw_Data!$A:$A, 0))="", INDEX(Raw_Data!$J:$J, MATCH($A34, Raw_Data!$A:$A, 0))=0), NA(), INDEX(Raw_Data!$J:$J, MATCH($A34, Raw_Data!$A:$A, 0))), NA())</f>
        <v>102.5</v>
      </c>
      <c r="G34" s="8" t="n">
        <f aca="false">IFERROR((100-F34)/100, NA())</f>
        <v>-0.025</v>
      </c>
      <c r="H34" s="8" t="n">
        <f aca="false">(P34/Q34)-1</f>
        <v>0.0249745774627164</v>
      </c>
      <c r="I34" s="8" t="n">
        <f aca="false">IFERROR((G34+H34)/2, NA())</f>
        <v>-1.27112686418192E-005</v>
      </c>
      <c r="J34" s="0" t="str">
        <f aca="false">IF(ISNA(I34), "", IF(I34&gt;0.05,"undervalued", IF(I34&lt;-0.05,"overvalued", "neutral")))</f>
        <v>neutral</v>
      </c>
      <c r="K34" s="2" t="n">
        <f aca="false">IFERROR(IF(OR(INDEX(Raw_Data!$N:$N, MATCH($A34, Raw_Data!$A:$A, 0))="", INDEX(Raw_Data!$N:$N, MATCH($A34, Raw_Data!$A:$A, 0))=0), NA(), INDEX(Raw_Data!$N:$N, MATCH($A34, Raw_Data!$A:$A, 0))), NA())</f>
        <v>0.220601</v>
      </c>
      <c r="L34" s="0" t="str">
        <f aca="false">IFERROR(INDEX(Raw_Data!$O:$O, MATCH($A34, Raw_Data!$A:$A, 0)), NA())</f>
        <v>med</v>
      </c>
      <c r="O34" s="2" t="n">
        <f aca="false">IFERROR(INDEX(Raw_Data!$P:$P, MATCH($A34, Raw_Data!$A:$A, 0)), NA())</f>
        <v>662.318</v>
      </c>
      <c r="P34" s="3" t="n">
        <f aca="false">IFERROR(INDEX(Raw_Data!$M:$M, MATCH($A34, Raw_Data!$A:$A, 0)), NA())</f>
        <v>9.40407</v>
      </c>
      <c r="Q34" s="4" t="n">
        <v>9.17493</v>
      </c>
      <c r="R34" s="3" t="n">
        <f aca="false">IFERROR(INDEX(Raw_Data!$R:$R, MATCH($A34, Raw_Data!$A:$A, 0)), NA())</f>
        <v>840.38913</v>
      </c>
      <c r="S34" s="3" t="n">
        <f aca="false">IFERROR(INDEX(Raw_Data!$S:$S, MATCH($A34, Raw_Data!$A:$A, 0)), NA())</f>
        <v>493.74</v>
      </c>
      <c r="T34" s="2" t="n">
        <f aca="false">IFERROR(INDEX(Raw_Data!$T:$T, MATCH($A34, Raw_Data!$A:$A, 0)), NA())</f>
        <v>18.13</v>
      </c>
      <c r="U34" s="0" t="str">
        <f aca="false">IFERROR(INDEX(Raw_Data!$U:$U, MATCH($A34, Raw_Data!$A:$A, 0)), NA())</f>
        <v>https://www.msci.com/documents/10199/255599/msci-sweden-index.pdf</v>
      </c>
    </row>
    <row r="35" customFormat="false" ht="15" hidden="false" customHeight="false" outlineLevel="0" collapsed="false">
      <c r="A35" s="0" t="s">
        <v>50</v>
      </c>
      <c r="B35" s="8" t="n">
        <f aca="false">IFERROR(INDEX(Raw_Data!$F:$I, MATCH($A35, Raw_Data!$A:$A, 0), MATCH($A$3, {"1Y","3Y","5Y","10Y"}, 0)), NA())</f>
        <v>0.0477770308792882</v>
      </c>
      <c r="C35" s="8" t="n">
        <f aca="false">IFERROR(INDEX(Raw_Data!$B:$E, MATCH($A35, Raw_Data!$A:$A, 0), MATCH($A$3, {"1Y","3Y","5Y","10Y"}, 0)), NA())</f>
        <v>0.134</v>
      </c>
      <c r="D35" s="8" t="n">
        <f aca="false">IFERROR(B35-C35, NA())</f>
        <v>-0.0862229691207118</v>
      </c>
      <c r="E35" s="8" t="n">
        <f aca="false">IFERROR(IF(OR(INDEX(Raw_Data!$Q:$Q, MATCH($A35, Raw_Data!$A:$A, 0))="", INDEX(Raw_Data!$Q:$Q, MATCH($A35, Raw_Data!$A:$A, 0))=0), NA(), INDEX(Raw_Data!$Q:$Q, MATCH($A35, Raw_Data!$A:$A, 0))), NA())</f>
        <v>0.0400613760102637</v>
      </c>
      <c r="F35" s="2" t="n">
        <f aca="false">IFERROR(IF(OR(INDEX(Raw_Data!$J:$J, MATCH($A35, Raw_Data!$A:$A, 0))="", INDEX(Raw_Data!$J:$J, MATCH($A35, Raw_Data!$A:$A, 0))=0), NA(), INDEX(Raw_Data!$J:$J, MATCH($A35, Raw_Data!$A:$A, 0))), NA())</f>
        <v>103.66</v>
      </c>
      <c r="G35" s="8" t="n">
        <f aca="false">IFERROR((100-F35)/100, NA())</f>
        <v>-0.0366</v>
      </c>
      <c r="H35" s="8" t="n">
        <f aca="false">(P35/Q35)-1</f>
        <v>0.027091191506049</v>
      </c>
      <c r="I35" s="8" t="n">
        <f aca="false">IFERROR((G35+H35)/2, NA())</f>
        <v>-0.00475440424697549</v>
      </c>
      <c r="J35" s="0" t="str">
        <f aca="false">IF(ISNA(I35), "", IF(I35&gt;0.05,"undervalued", IF(I35&lt;-0.05,"overvalued", "neutral")))</f>
        <v>neutral</v>
      </c>
      <c r="K35" s="2" t="n">
        <f aca="false">IFERROR(IF(OR(INDEX(Raw_Data!$N:$N, MATCH($A35, Raw_Data!$A:$A, 0))="", INDEX(Raw_Data!$N:$N, MATCH($A35, Raw_Data!$A:$A, 0))=0), NA(), INDEX(Raw_Data!$N:$N, MATCH($A35, Raw_Data!$A:$A, 0))), NA())</f>
        <v>0.281916</v>
      </c>
      <c r="L35" s="0" t="str">
        <f aca="false">IFERROR(INDEX(Raw_Data!$O:$O, MATCH($A35, Raw_Data!$A:$A, 0)), NA())</f>
        <v>med</v>
      </c>
      <c r="O35" s="2" t="n">
        <f aca="false">IFERROR(INDEX(Raw_Data!$P:$P, MATCH($A35, Raw_Data!$A:$A, 0)), NA())</f>
        <v>1891.371</v>
      </c>
      <c r="P35" s="3" t="n">
        <f aca="false">IFERROR(INDEX(Raw_Data!$M:$M, MATCH($A35, Raw_Data!$A:$A, 0)), NA())</f>
        <v>0.872174</v>
      </c>
      <c r="Q35" s="4" t="n">
        <v>0.849169</v>
      </c>
      <c r="R35" s="3" t="n">
        <f aca="false">IFERROR(INDEX(Raw_Data!$R:$R, MATCH($A35, Raw_Data!$A:$A, 0)), NA())</f>
        <v>852.04876</v>
      </c>
      <c r="S35" s="3" t="n">
        <f aca="false">IFERROR(INDEX(Raw_Data!$S:$S, MATCH($A35, Raw_Data!$A:$A, 0)), NA())</f>
        <v>736.2</v>
      </c>
      <c r="T35" s="2" t="n">
        <f aca="false">IFERROR(INDEX(Raw_Data!$T:$T, MATCH($A35, Raw_Data!$A:$A, 0)), NA())</f>
        <v>14.55</v>
      </c>
      <c r="U35" s="0" t="str">
        <f aca="false">IFERROR(INDEX(Raw_Data!$U:$U, MATCH($A35, Raw_Data!$A:$A, 0)), NA())</f>
        <v>https://www.msci.com/documents/10199/255599/msci-spain-index.pdf</v>
      </c>
    </row>
    <row r="36" customFormat="false" ht="15" hidden="false" customHeight="false" outlineLevel="0" collapsed="false">
      <c r="A36" s="0" t="s">
        <v>29</v>
      </c>
      <c r="B36" s="8" t="n">
        <f aca="false">IFERROR(INDEX(Raw_Data!$F:$I, MATCH($A36, Raw_Data!$A:$A, 0), MATCH($A$3, {"1Y","3Y","5Y","10Y"}, 0)), NA())</f>
        <v>0.0456554977746444</v>
      </c>
      <c r="C36" s="8" t="n">
        <f aca="false">IFERROR(INDEX(Raw_Data!$B:$E, MATCH($A36, Raw_Data!$A:$A, 0), MATCH($A$3, {"1Y","3Y","5Y","10Y"}, 0)), NA())</f>
        <v>0.1354</v>
      </c>
      <c r="D36" s="8" t="n">
        <f aca="false">IFERROR(B36-C36, NA())</f>
        <v>-0.0897445022253556</v>
      </c>
      <c r="E36" s="8" t="n">
        <f aca="false">IFERROR(IF(OR(INDEX(Raw_Data!$Q:$Q, MATCH($A36, Raw_Data!$A:$A, 0))="", INDEX(Raw_Data!$Q:$Q, MATCH($A36, Raw_Data!$A:$A, 0))=0), NA(), INDEX(Raw_Data!$Q:$Q, MATCH($A36, Raw_Data!$A:$A, 0))), NA())</f>
        <v>0.0468109391451741</v>
      </c>
      <c r="F36" s="2" t="n">
        <f aca="false">IFERROR(IF(OR(INDEX(Raw_Data!$J:$J, MATCH($A36, Raw_Data!$A:$A, 0))="", INDEX(Raw_Data!$J:$J, MATCH($A36, Raw_Data!$A:$A, 0))=0), NA(), INDEX(Raw_Data!$J:$J, MATCH($A36, Raw_Data!$A:$A, 0))), NA())</f>
        <v>97.02</v>
      </c>
      <c r="G36" s="8" t="n">
        <f aca="false">IFERROR((100-F36)/100, NA())</f>
        <v>0.0298</v>
      </c>
      <c r="H36" s="8" t="n">
        <f aca="false">(P36/Q36)-1</f>
        <v>0.0116459913465863</v>
      </c>
      <c r="I36" s="8" t="n">
        <f aca="false">IFERROR((G36+H36)/2, NA())</f>
        <v>0.0207229956732932</v>
      </c>
      <c r="J36" s="0" t="str">
        <f aca="false">IF(ISNA(I36), "", IF(I36&gt;0.05,"undervalued", IF(I36&lt;-0.05,"overvalued", "neutral")))</f>
        <v>neutral</v>
      </c>
      <c r="K36" s="2" t="n">
        <f aca="false">IFERROR(IF(OR(INDEX(Raw_Data!$N:$N, MATCH($A36, Raw_Data!$A:$A, 0))="", INDEX(Raw_Data!$N:$N, MATCH($A36, Raw_Data!$A:$A, 0))=0), NA(), INDEX(Raw_Data!$N:$N, MATCH($A36, Raw_Data!$A:$A, 0))), NA())</f>
        <v>0.078615</v>
      </c>
      <c r="L36" s="0" t="str">
        <f aca="false">IFERROR(INDEX(Raw_Data!$O:$O, MATCH($A36, Raw_Data!$A:$A, 0)), NA())</f>
        <v>low</v>
      </c>
      <c r="O36" s="2" t="n">
        <f aca="false">IFERROR(INDEX(Raw_Data!$P:$P, MATCH($A36, Raw_Data!$A:$A, 0)), NA())</f>
        <v>2283.599</v>
      </c>
      <c r="P36" s="3" t="n">
        <f aca="false">IFERROR(INDEX(Raw_Data!$M:$M, MATCH($A36, Raw_Data!$A:$A, 0)), NA())</f>
        <v>1.37249</v>
      </c>
      <c r="Q36" s="4" t="n">
        <v>1.35669</v>
      </c>
      <c r="R36" s="3" t="n">
        <f aca="false">IFERROR(INDEX(Raw_Data!$R:$R, MATCH($A36, Raw_Data!$A:$A, 0)), NA())</f>
        <v>3031.37641</v>
      </c>
      <c r="S36" s="3" t="n">
        <f aca="false">IFERROR(INDEX(Raw_Data!$S:$S, MATCH($A36, Raw_Data!$A:$A, 0)), NA())</f>
        <v>1263.14</v>
      </c>
      <c r="T36" s="2" t="n">
        <f aca="false">IFERROR(INDEX(Raw_Data!$T:$T, MATCH($A36, Raw_Data!$A:$A, 0)), NA())</f>
        <v>21.56</v>
      </c>
      <c r="U36" s="0" t="str">
        <f aca="false">IFERROR(INDEX(Raw_Data!$U:$U, MATCH($A36, Raw_Data!$A:$A, 0)), NA())</f>
        <v>https://www.msci.com/documents/10199/255599/msci-canada-index-gross-usd.pdf</v>
      </c>
    </row>
    <row r="37" customFormat="false" ht="15" hidden="false" customHeight="false" outlineLevel="0" collapsed="false">
      <c r="A37" s="0" t="s">
        <v>48</v>
      </c>
      <c r="B37" s="8" t="n">
        <f aca="false">IFERROR(INDEX(Raw_Data!$F:$I, MATCH($A37, Raw_Data!$A:$A, 0), MATCH($A$3, {"1Y","3Y","5Y","10Y"}, 0)), NA())</f>
        <v>0.0577250200147299</v>
      </c>
      <c r="C37" s="8" t="n">
        <f aca="false">IFERROR(INDEX(Raw_Data!$B:$E, MATCH($A37, Raw_Data!$A:$A, 0), MATCH($A$3, {"1Y","3Y","5Y","10Y"}, 0)), NA())</f>
        <v>0.1477</v>
      </c>
      <c r="D37" s="8" t="n">
        <f aca="false">IFERROR(B37-C37, NA())</f>
        <v>-0.0899749799852701</v>
      </c>
      <c r="E37" s="8" t="n">
        <f aca="false">IFERROR(IF(OR(INDEX(Raw_Data!$Q:$Q, MATCH($A37, Raw_Data!$A:$A, 0))="", INDEX(Raw_Data!$Q:$Q, MATCH($A37, Raw_Data!$A:$A, 0))=0), NA(), INDEX(Raw_Data!$Q:$Q, MATCH($A37, Raw_Data!$A:$A, 0))), NA())</f>
        <v>0.0332206179850476</v>
      </c>
      <c r="F37" s="2" t="n">
        <f aca="false">IFERROR(IF(OR(INDEX(Raw_Data!$J:$J, MATCH($A37, Raw_Data!$A:$A, 0))="", INDEX(Raw_Data!$J:$J, MATCH($A37, Raw_Data!$A:$A, 0))=0), NA(), INDEX(Raw_Data!$J:$J, MATCH($A37, Raw_Data!$A:$A, 0))), NA())</f>
        <v>106.2</v>
      </c>
      <c r="G37" s="8" t="n">
        <f aca="false">IFERROR((100-F37)/100, NA())</f>
        <v>-0.062</v>
      </c>
      <c r="H37" s="8" t="n">
        <f aca="false">(P37/Q37)-1</f>
        <v>0.027091191506049</v>
      </c>
      <c r="I37" s="8" t="n">
        <f aca="false">IFERROR((G37+H37)/2, NA())</f>
        <v>-0.0174544042469755</v>
      </c>
      <c r="J37" s="0" t="str">
        <f aca="false">IF(ISNA(I37), "", IF(I37&gt;0.05,"undervalued", IF(I37&lt;-0.05,"overvalued", "neutral")))</f>
        <v>neutral</v>
      </c>
      <c r="K37" s="2" t="n">
        <f aca="false">IFERROR(IF(OR(INDEX(Raw_Data!$N:$N, MATCH($A37, Raw_Data!$A:$A, 0))="", INDEX(Raw_Data!$N:$N, MATCH($A37, Raw_Data!$A:$A, 0))=0), NA(), INDEX(Raw_Data!$N:$N, MATCH($A37, Raw_Data!$A:$A, 0))), NA())</f>
        <v>0.571043</v>
      </c>
      <c r="L37" s="0" t="str">
        <f aca="false">IFERROR(INDEX(Raw_Data!$O:$O, MATCH($A37, Raw_Data!$A:$A, 0)), NA())</f>
        <v>high</v>
      </c>
      <c r="O37" s="2" t="n">
        <f aca="false">IFERROR(INDEX(Raw_Data!$P:$P, MATCH($A37, Raw_Data!$A:$A, 0)), NA())</f>
        <v>1320.635</v>
      </c>
      <c r="P37" s="3" t="n">
        <f aca="false">IFERROR(INDEX(Raw_Data!$M:$M, MATCH($A37, Raw_Data!$A:$A, 0)), NA())</f>
        <v>0.872174</v>
      </c>
      <c r="Q37" s="4" t="n">
        <v>0.849169</v>
      </c>
      <c r="R37" s="3" t="n">
        <f aca="false">IFERROR(INDEX(Raw_Data!$R:$R, MATCH($A37, Raw_Data!$A:$A, 0)), NA())</f>
        <v>1180.79476</v>
      </c>
      <c r="S37" s="3" t="n">
        <f aca="false">IFERROR(INDEX(Raw_Data!$S:$S, MATCH($A37, Raw_Data!$A:$A, 0)), NA())</f>
        <v>936.25</v>
      </c>
      <c r="T37" s="2" t="n">
        <f aca="false">IFERROR(INDEX(Raw_Data!$T:$T, MATCH($A37, Raw_Data!$A:$A, 0)), NA())</f>
        <v>23.84</v>
      </c>
      <c r="U37" s="0" t="str">
        <f aca="false">IFERROR(INDEX(Raw_Data!$U:$U, MATCH($A37, Raw_Data!$A:$A, 0)), NA())</f>
        <v>https://www.msci.com/documents/10199/255599/msci-netherlands-index-usd-gross.pdf</v>
      </c>
    </row>
    <row r="38" customFormat="false" ht="15" hidden="false" customHeight="false" outlineLevel="0" collapsed="false">
      <c r="A38" s="0" t="s">
        <v>58</v>
      </c>
      <c r="B38" s="8" t="n">
        <f aca="false">IFERROR(INDEX(Raw_Data!$F:$I, MATCH($A38, Raw_Data!$A:$A, 0), MATCH($A$3, {"1Y","3Y","5Y","10Y"}, 0)), NA())</f>
        <v>0.0311601247513369</v>
      </c>
      <c r="C38" s="8" t="n">
        <f aca="false">IFERROR(INDEX(Raw_Data!$B:$E, MATCH($A38, Raw_Data!$A:$A, 0), MATCH($A$3, {"1Y","3Y","5Y","10Y"}, 0)), NA())</f>
        <v>0.1232</v>
      </c>
      <c r="D38" s="8" t="n">
        <f aca="false">IFERROR(B38-C38, NA())</f>
        <v>-0.0920398752486631</v>
      </c>
      <c r="E38" s="8" t="n">
        <f aca="false">IFERROR(IF(OR(INDEX(Raw_Data!$Q:$Q, MATCH($A38, Raw_Data!$A:$A, 0))="", INDEX(Raw_Data!$Q:$Q, MATCH($A38, Raw_Data!$A:$A, 0))=0), NA(), INDEX(Raw_Data!$Q:$Q, MATCH($A38, Raw_Data!$A:$A, 0))), NA())</f>
        <v>0.0352988951682327</v>
      </c>
      <c r="F38" s="2" t="n">
        <f aca="false">IFERROR(IF(OR(INDEX(Raw_Data!$J:$J, MATCH($A38, Raw_Data!$A:$A, 0))="", INDEX(Raw_Data!$J:$J, MATCH($A38, Raw_Data!$A:$A, 0))=0), NA(), INDEX(Raw_Data!$J:$J, MATCH($A38, Raw_Data!$A:$A, 0))), NA())</f>
        <v>113.96</v>
      </c>
      <c r="G38" s="8" t="n">
        <f aca="false">IFERROR((100-F38)/100, NA())</f>
        <v>-0.1396</v>
      </c>
      <c r="H38" s="8" t="n">
        <f aca="false">(P38/Q38)-1</f>
        <v>-0.0225166325854669</v>
      </c>
      <c r="I38" s="8" t="n">
        <f aca="false">IFERROR((G38+H38)/2, NA())</f>
        <v>-0.0810583162927334</v>
      </c>
      <c r="J38" s="0" t="str">
        <f aca="false">IF(ISNA(I38), "", IF(I38&gt;0.05,"undervalued", IF(I38&lt;-0.05,"overvalued", "neutral")))</f>
        <v>overvalued</v>
      </c>
      <c r="K38" s="2" t="n">
        <f aca="false">IFERROR(IF(OR(INDEX(Raw_Data!$N:$N, MATCH($A38, Raw_Data!$A:$A, 0))="", INDEX(Raw_Data!$N:$N, MATCH($A38, Raw_Data!$A:$A, 0))=0), NA(), INDEX(Raw_Data!$N:$N, MATCH($A38, Raw_Data!$A:$A, 0))), NA())</f>
        <v>0.211376</v>
      </c>
      <c r="L38" s="0" t="str">
        <f aca="false">IFERROR(INDEX(Raw_Data!$O:$O, MATCH($A38, Raw_Data!$A:$A, 0)), NA())</f>
        <v>med</v>
      </c>
      <c r="O38" s="2" t="n">
        <f aca="false">IFERROR(INDEX(Raw_Data!$P:$P, MATCH($A38, Raw_Data!$A:$A, 0)), NA())</f>
        <v>426.383</v>
      </c>
      <c r="P38" s="3" t="n">
        <f aca="false">IFERROR(INDEX(Raw_Data!$M:$M, MATCH($A38, Raw_Data!$A:$A, 0)), NA())</f>
        <v>16.9696</v>
      </c>
      <c r="Q38" s="4" t="n">
        <v>17.3605</v>
      </c>
      <c r="R38" s="3" t="n">
        <f aca="false">IFERROR(INDEX(Raw_Data!$R:$R, MATCH($A38, Raw_Data!$A:$A, 0)), NA())</f>
        <v>462.09177</v>
      </c>
      <c r="S38" s="3" t="n">
        <f aca="false">IFERROR(INDEX(Raw_Data!$S:$S, MATCH($A38, Raw_Data!$A:$A, 0)), NA())</f>
        <v>331.66</v>
      </c>
      <c r="T38" s="2" t="n">
        <f aca="false">IFERROR(INDEX(Raw_Data!$T:$T, MATCH($A38, Raw_Data!$A:$A, 0)), NA())</f>
        <v>16.93</v>
      </c>
      <c r="U38" s="0" t="str">
        <f aca="false">IFERROR(INDEX(Raw_Data!$U:$U, MATCH($A38, Raw_Data!$A:$A, 0)), NA())</f>
        <v>https://www.msci.com/documents/10199/255599/msci-south-africa-usd-gross.pdf</v>
      </c>
    </row>
    <row r="39" customFormat="false" ht="15" hidden="false" customHeight="false" outlineLevel="0" collapsed="false">
      <c r="A39" s="0" t="s">
        <v>94</v>
      </c>
      <c r="B39" s="8" t="n">
        <f aca="false">IFERROR(INDEX(Raw_Data!$F:$I, MATCH($A39, Raw_Data!$A:$A, 0), MATCH($A$3, {"1Y","3Y","5Y","10Y"}, 0)), NA())</f>
        <v>0.0430168872559666</v>
      </c>
      <c r="C39" s="8" t="n">
        <f aca="false">IFERROR(INDEX(Raw_Data!$B:$E, MATCH($A39, Raw_Data!$A:$A, 0), MATCH($A$3, {"1Y","3Y","5Y","10Y"}, 0)), NA())</f>
        <v>0.1375</v>
      </c>
      <c r="D39" s="8" t="n">
        <f aca="false">IFERROR(B39-C39, NA())</f>
        <v>-0.0944831127440334</v>
      </c>
      <c r="E39" s="8" t="n">
        <f aca="false">IFERROR(IF(OR(INDEX(Raw_Data!$Q:$Q, MATCH($A39, Raw_Data!$A:$A, 0))="", INDEX(Raw_Data!$Q:$Q, MATCH($A39, Raw_Data!$A:$A, 0))=0), NA(), INDEX(Raw_Data!$Q:$Q, MATCH($A39, Raw_Data!$A:$A, 0))), NA())</f>
        <v>0.0371702786266424</v>
      </c>
      <c r="F39" s="2" t="n">
        <f aca="false">IFERROR(IF(OR(INDEX(Raw_Data!$J:$J, MATCH($A39, Raw_Data!$A:$A, 0))="", INDEX(Raw_Data!$J:$J, MATCH($A39, Raw_Data!$A:$A, 0))=0), NA(), INDEX(Raw_Data!$J:$J, MATCH($A39, Raw_Data!$A:$A, 0))), NA())</f>
        <v>100.48</v>
      </c>
      <c r="G39" s="8" t="n">
        <f aca="false">IFERROR((100-F39)/100, NA())</f>
        <v>-0.00480000000000004</v>
      </c>
      <c r="H39" s="8" t="n">
        <f aca="false">(P39/Q39)-1</f>
        <v>0.027091191506049</v>
      </c>
      <c r="I39" s="8" t="n">
        <f aca="false">IFERROR((G39+H39)/2, NA())</f>
        <v>0.0111455957530245</v>
      </c>
      <c r="J39" s="0" t="str">
        <f aca="false">IF(ISNA(I39), "", IF(I39&gt;0.05,"undervalued", IF(I39&lt;-0.05,"overvalued", "neutral")))</f>
        <v>neutral</v>
      </c>
      <c r="K39" s="2" t="e">
        <f aca="false">IFERROR(IF(OR(INDEX(Raw_Data!$N:$N, MATCH($A39, Raw_Data!$A:$A, 0))="", INDEX(Raw_Data!$N:$N, MATCH($A39, Raw_Data!$A:$A, 0))=0), NA(), INDEX(Raw_Data!$N:$N, MATCH($A39, Raw_Data!$A:$A, 0))), NA())</f>
        <v>#N/A</v>
      </c>
      <c r="L39" s="0" t="n">
        <f aca="false">IFERROR(INDEX(Raw_Data!$O:$O, MATCH($A39, Raw_Data!$A:$A, 0)), NA())</f>
        <v>0</v>
      </c>
      <c r="O39" s="2" t="n">
        <f aca="false">IFERROR(INDEX(Raw_Data!$P:$P, MATCH($A39, Raw_Data!$A:$A, 0)), NA())</f>
        <v>282.019</v>
      </c>
      <c r="P39" s="3" t="n">
        <f aca="false">IFERROR(INDEX(Raw_Data!$M:$M, MATCH($A39, Raw_Data!$A:$A, 0)), NA())</f>
        <v>0.872174</v>
      </c>
      <c r="Q39" s="4" t="n">
        <v>0.849169</v>
      </c>
      <c r="R39" s="3" t="n">
        <f aca="false">IFERROR(INDEX(Raw_Data!$R:$R, MATCH($A39, Raw_Data!$A:$A, 0)), NA())</f>
        <v>60.7903</v>
      </c>
      <c r="S39" s="3" t="n">
        <f aca="false">IFERROR(INDEX(Raw_Data!$S:$S, MATCH($A39, Raw_Data!$A:$A, 0)), NA())</f>
        <v>60.79</v>
      </c>
      <c r="T39" s="2" t="n">
        <f aca="false">IFERROR(INDEX(Raw_Data!$T:$T, MATCH($A39, Raw_Data!$A:$A, 0)), NA())</f>
        <v>10.55</v>
      </c>
      <c r="U39" s="0" t="str">
        <f aca="false">IFERROR(INDEX(Raw_Data!$U:$U, MATCH($A39, Raw_Data!$A:$A, 0)), NA())</f>
        <v>https://www.msci.com/documents/10199/255599/msci-greece-index-usd-net.pdf</v>
      </c>
    </row>
    <row r="40" customFormat="false" ht="15" hidden="false" customHeight="false" outlineLevel="0" collapsed="false">
      <c r="A40" s="0" t="s">
        <v>21</v>
      </c>
      <c r="B40" s="8" t="n">
        <f aca="false">IFERROR(INDEX(Raw_Data!$F:$I, MATCH($A40, Raw_Data!$A:$A, 0), MATCH($A$3, {"1Y","3Y","5Y","10Y"}, 0)), NA())</f>
        <v>0.0556484354156588</v>
      </c>
      <c r="C40" s="8" t="n">
        <f aca="false">IFERROR(INDEX(Raw_Data!$B:$E, MATCH($A40, Raw_Data!$A:$A, 0), MATCH($A$3, {"1Y","3Y","5Y","10Y"}, 0)), NA())</f>
        <v>0.1549</v>
      </c>
      <c r="D40" s="8" t="n">
        <f aca="false">IFERROR(B40-C40, NA())</f>
        <v>-0.0992515645843412</v>
      </c>
      <c r="E40" s="8" t="n">
        <f aca="false">IFERROR(IF(OR(INDEX(Raw_Data!$Q:$Q, MATCH($A40, Raw_Data!$A:$A, 0))="", INDEX(Raw_Data!$Q:$Q, MATCH($A40, Raw_Data!$A:$A, 0))=0), NA(), INDEX(Raw_Data!$Q:$Q, MATCH($A40, Raw_Data!$A:$A, 0))), NA())</f>
        <v>0.0375872657986942</v>
      </c>
      <c r="F40" s="2" t="n">
        <f aca="false">IFERROR(IF(OR(INDEX(Raw_Data!$J:$J, MATCH($A40, Raw_Data!$A:$A, 0))="", INDEX(Raw_Data!$J:$J, MATCH($A40, Raw_Data!$A:$A, 0))=0), NA(), INDEX(Raw_Data!$J:$J, MATCH($A40, Raw_Data!$A:$A, 0))), NA())</f>
        <v>105.88</v>
      </c>
      <c r="G40" s="8" t="n">
        <f aca="false">IFERROR((100-F40)/100, NA())</f>
        <v>-0.0588</v>
      </c>
      <c r="H40" s="8" t="n">
        <f aca="false">(P40/Q40)-1</f>
        <v>0</v>
      </c>
      <c r="I40" s="8" t="n">
        <f aca="false">IFERROR((G40+H40)/2, NA())</f>
        <v>-0.0294</v>
      </c>
      <c r="J40" s="0" t="str">
        <f aca="false">IF(ISNA(I40), "", IF(I40&gt;0.05,"undervalued", IF(I40&lt;-0.05,"overvalued", "neutral")))</f>
        <v>neutral</v>
      </c>
      <c r="K40" s="2" t="n">
        <f aca="false">IFERROR(IF(OR(INDEX(Raw_Data!$N:$N, MATCH($A40, Raw_Data!$A:$A, 0))="", INDEX(Raw_Data!$N:$N, MATCH($A40, Raw_Data!$A:$A, 0))=0), NA(), INDEX(Raw_Data!$N:$N, MATCH($A40, Raw_Data!$A:$A, 0))), NA())</f>
        <v>0.094522</v>
      </c>
      <c r="L40" s="0" t="str">
        <f aca="false">IFERROR(INDEX(Raw_Data!$O:$O, MATCH($A40, Raw_Data!$A:$A, 0)), NA())</f>
        <v>low</v>
      </c>
      <c r="O40" s="2" t="n">
        <f aca="false">IFERROR(INDEX(Raw_Data!$P:$P, MATCH($A40, Raw_Data!$A:$A, 0)), NA())</f>
        <v>30615.743</v>
      </c>
      <c r="P40" s="3" t="n">
        <f aca="false">IFERROR(INDEX(Raw_Data!$M:$M, MATCH($A40, Raw_Data!$A:$A, 0)), NA())</f>
        <v>1</v>
      </c>
      <c r="Q40" s="4" t="n">
        <v>1</v>
      </c>
      <c r="R40" s="3" t="n">
        <f aca="false">IFERROR(INDEX(Raw_Data!$R:$R, MATCH($A40, Raw_Data!$A:$A, 0)), NA())</f>
        <v>59782.4572</v>
      </c>
      <c r="S40" s="3" t="n">
        <f aca="false">IFERROR(INDEX(Raw_Data!$S:$S, MATCH($A40, Raw_Data!$A:$A, 0)), NA())</f>
        <v>21174.69</v>
      </c>
      <c r="T40" s="2" t="n">
        <f aca="false">IFERROR(INDEX(Raw_Data!$T:$T, MATCH($A40, Raw_Data!$A:$A, 0)), NA())</f>
        <v>27.18</v>
      </c>
      <c r="U40" s="0" t="str">
        <f aca="false">IFERROR(INDEX(Raw_Data!$U:$U, MATCH($A40, Raw_Data!$A:$A, 0)), NA())</f>
        <v>https://www.msci.com/documents/10199/255599/msci-usa-index-gross.pdf</v>
      </c>
    </row>
    <row r="41" customFormat="false" ht="15" hidden="false" customHeight="false" outlineLevel="0" collapsed="false">
      <c r="A41" s="0" t="s">
        <v>110</v>
      </c>
      <c r="B41" s="8" t="n">
        <f aca="false">IFERROR(INDEX(Raw_Data!$F:$I, MATCH($A41, Raw_Data!$A:$A, 0), MATCH($A$3, {"1Y","3Y","5Y","10Y"}, 0)), NA())</f>
        <v>0.0752248394080557</v>
      </c>
      <c r="C41" s="8" t="n">
        <f aca="false">IFERROR(INDEX(Raw_Data!$B:$E, MATCH($A41, Raw_Data!$A:$A, 0), MATCH($A$3, {"1Y","3Y","5Y","10Y"}, 0)), NA())</f>
        <v>0.1811</v>
      </c>
      <c r="D41" s="8" t="n">
        <f aca="false">IFERROR(B41-C41, NA())</f>
        <v>-0.105875160591944</v>
      </c>
      <c r="E41" s="8" t="n">
        <f aca="false">IFERROR(IF(OR(INDEX(Raw_Data!$Q:$Q, MATCH($A41, Raw_Data!$A:$A, 0))="", INDEX(Raw_Data!$Q:$Q, MATCH($A41, Raw_Data!$A:$A, 0))=0), NA(), INDEX(Raw_Data!$Q:$Q, MATCH($A41, Raw_Data!$A:$A, 0))), NA())</f>
        <v>0.0517638120262696</v>
      </c>
      <c r="F41" s="2" t="n">
        <f aca="false">IFERROR(IF(OR(INDEX(Raw_Data!$J:$J, MATCH($A41, Raw_Data!$A:$A, 0))="", INDEX(Raw_Data!$J:$J, MATCH($A41, Raw_Data!$A:$A, 0))=0), NA(), INDEX(Raw_Data!$J:$J, MATCH($A41, Raw_Data!$A:$A, 0))), NA())</f>
        <v>116.39</v>
      </c>
      <c r="G41" s="8" t="n">
        <f aca="false">IFERROR((100-F41)/100, NA())</f>
        <v>-0.1639</v>
      </c>
      <c r="H41" s="8" t="n">
        <f aca="false">(P41/Q41)-1</f>
        <v>-0.0280768111725341</v>
      </c>
      <c r="I41" s="8" t="n">
        <f aca="false">IFERROR((G41+H41)/2, NA())</f>
        <v>-0.0959884055862671</v>
      </c>
      <c r="J41" s="0" t="str">
        <f aca="false">IF(ISNA(I41), "", IF(I41&gt;0.05,"undervalued", IF(I41&lt;-0.05,"overvalued", "neutral")))</f>
        <v>overvalued</v>
      </c>
      <c r="K41" s="2" t="e">
        <f aca="false">IFERROR(IF(OR(INDEX(Raw_Data!$N:$N, MATCH($A41, Raw_Data!$A:$A, 0))="", INDEX(Raw_Data!$N:$N, MATCH($A41, Raw_Data!$A:$A, 0))=0), NA(), INDEX(Raw_Data!$N:$N, MATCH($A41, Raw_Data!$A:$A, 0))), NA())</f>
        <v>#N/A</v>
      </c>
      <c r="L41" s="0" t="n">
        <f aca="false">IFERROR(INDEX(Raw_Data!$O:$O, MATCH($A41, Raw_Data!$A:$A, 0)), NA())</f>
        <v>0</v>
      </c>
      <c r="O41" s="2" t="n">
        <f aca="false">IFERROR(INDEX(Raw_Data!$P:$P, MATCH($A41, Raw_Data!$A:$A, 0)), NA())</f>
        <v>247.759</v>
      </c>
      <c r="P41" s="3" t="n">
        <v>334.05</v>
      </c>
      <c r="Q41" s="4" t="n">
        <v>343.7</v>
      </c>
      <c r="R41" s="3" t="n">
        <f aca="false">IFERROR(INDEX(Raw_Data!$R:$R, MATCH($A41, Raw_Data!$A:$A, 0)), NA())</f>
        <v>37.34841</v>
      </c>
      <c r="S41" s="3" t="n">
        <f aca="false">IFERROR(INDEX(Raw_Data!$S:$S, MATCH($A41, Raw_Data!$A:$A, 0)), NA())</f>
        <v>37.35</v>
      </c>
      <c r="T41" s="2" t="n">
        <f aca="false">IFERROR(INDEX(Raw_Data!$T:$T, MATCH($A41, Raw_Data!$A:$A, 0)), NA())</f>
        <v>9.71</v>
      </c>
      <c r="U41" s="0" t="str">
        <f aca="false">IFERROR(INDEX(Raw_Data!$U:$U, MATCH($A41, Raw_Data!$A:$A, 0)), NA())</f>
        <v>https://www.msci.com/documents/10199/255599/msci-hungary-index.pdf</v>
      </c>
    </row>
    <row r="42" customFormat="false" ht="15" hidden="false" customHeight="false" outlineLevel="0" collapsed="false">
      <c r="A42" s="0" t="s">
        <v>56</v>
      </c>
      <c r="B42" s="8" t="n">
        <f aca="false">IFERROR(INDEX(Raw_Data!$F:$I, MATCH($A42, Raw_Data!$A:$A, 0), MATCH($A$3, {"1Y","3Y","5Y","10Y"}, 0)), NA())</f>
        <v>0.025667021884991</v>
      </c>
      <c r="C42" s="8" t="n">
        <f aca="false">IFERROR(INDEX(Raw_Data!$B:$E, MATCH($A42, Raw_Data!$A:$A, 0), MATCH($A$3, {"1Y","3Y","5Y","10Y"}, 0)), NA())</f>
        <v>0.1343</v>
      </c>
      <c r="D42" s="8" t="n">
        <f aca="false">IFERROR(B42-C42, NA())</f>
        <v>-0.108632978115009</v>
      </c>
      <c r="E42" s="8" t="n">
        <f aca="false">IFERROR(IF(OR(INDEX(Raw_Data!$Q:$Q, MATCH($A42, Raw_Data!$A:$A, 0))="", INDEX(Raw_Data!$Q:$Q, MATCH($A42, Raw_Data!$A:$A, 0))=0), NA(), INDEX(Raw_Data!$Q:$Q, MATCH($A42, Raw_Data!$A:$A, 0))), NA())</f>
        <v>0.051667598052682</v>
      </c>
      <c r="F42" s="2" t="n">
        <f aca="false">IFERROR(IF(OR(INDEX(Raw_Data!$J:$J, MATCH($A42, Raw_Data!$A:$A, 0))="", INDEX(Raw_Data!$J:$J, MATCH($A42, Raw_Data!$A:$A, 0))=0), NA(), INDEX(Raw_Data!$J:$J, MATCH($A42, Raw_Data!$A:$A, 0))), NA())</f>
        <v>111.67</v>
      </c>
      <c r="G42" s="8" t="n">
        <f aca="false">IFERROR((100-F42)/100, NA())</f>
        <v>-0.1167</v>
      </c>
      <c r="H42" s="8" t="n">
        <f aca="false">(P42/Q42)-1</f>
        <v>-0.076271037714326</v>
      </c>
      <c r="I42" s="8" t="n">
        <f aca="false">IFERROR((G42+H42)/2, NA())</f>
        <v>-0.096485518857163</v>
      </c>
      <c r="J42" s="0" t="str">
        <f aca="false">IF(ISNA(I42), "", IF(I42&gt;0.05,"undervalued", IF(I42&lt;-0.05,"overvalued", "neutral")))</f>
        <v>overvalued</v>
      </c>
      <c r="K42" s="2" t="n">
        <f aca="false">IFERROR(IF(OR(INDEX(Raw_Data!$N:$N, MATCH($A42, Raw_Data!$A:$A, 0))="", INDEX(Raw_Data!$N:$N, MATCH($A42, Raw_Data!$A:$A, 0))=0), NA(), INDEX(Raw_Data!$N:$N, MATCH($A42, Raw_Data!$A:$A, 0))), NA())</f>
        <v>0.044557</v>
      </c>
      <c r="L42" s="0" t="str">
        <f aca="false">IFERROR(INDEX(Raw_Data!$O:$O, MATCH($A42, Raw_Data!$A:$A, 0)), NA())</f>
        <v>low</v>
      </c>
      <c r="O42" s="2" t="n">
        <f aca="false">IFERROR(INDEX(Raw_Data!$P:$P, MATCH($A42, Raw_Data!$A:$A, 0)), NA())</f>
        <v>2256.91</v>
      </c>
      <c r="P42" s="3" t="n">
        <f aca="false">IFERROR(INDEX(Raw_Data!$M:$M, MATCH($A42, Raw_Data!$A:$A, 0)), NA())</f>
        <v>5.2635</v>
      </c>
      <c r="Q42" s="4" t="n">
        <v>5.6981</v>
      </c>
      <c r="R42" s="3" t="n">
        <f aca="false">IFERROR(INDEX(Raw_Data!$R:$R, MATCH($A42, Raw_Data!$A:$A, 0)), NA())</f>
        <v>535.25636</v>
      </c>
      <c r="S42" s="3" t="n">
        <f aca="false">IFERROR(INDEX(Raw_Data!$S:$S, MATCH($A42, Raw_Data!$A:$A, 0)), NA())</f>
        <v>317.88</v>
      </c>
      <c r="T42" s="2" t="n">
        <f aca="false">IFERROR(INDEX(Raw_Data!$T:$T, MATCH($A42, Raw_Data!$A:$A, 0)), NA())</f>
        <v>12.2</v>
      </c>
      <c r="U42" s="0" t="str">
        <f aca="false">IFERROR(INDEX(Raw_Data!$U:$U, MATCH($A42, Raw_Data!$A:$A, 0)), NA())</f>
        <v>https://www.msci.com/documents/10199/255599/msci-brazil-index.pdf</v>
      </c>
    </row>
    <row r="43" customFormat="false" ht="15" hidden="false" customHeight="false" outlineLevel="0" collapsed="false">
      <c r="A43" s="0" t="s">
        <v>54</v>
      </c>
      <c r="B43" s="8" t="n">
        <f aca="false">IFERROR(INDEX(Raw_Data!$F:$I, MATCH($A43, Raw_Data!$A:$A, 0), MATCH($A$3, {"1Y","3Y","5Y","10Y"}, 0)), NA())</f>
        <v>0.0337618306619243</v>
      </c>
      <c r="C43" s="8" t="n">
        <f aca="false">IFERROR(INDEX(Raw_Data!$B:$E, MATCH($A43, Raw_Data!$A:$A, 0), MATCH($A$3, {"1Y","3Y","5Y","10Y"}, 0)), NA())</f>
        <v>0.1517</v>
      </c>
      <c r="D43" s="8" t="n">
        <f aca="false">IFERROR(B43-C43, NA())</f>
        <v>-0.117938169338076</v>
      </c>
      <c r="E43" s="8" t="n">
        <f aca="false">IFERROR(IF(OR(INDEX(Raw_Data!$Q:$Q, MATCH($A43, Raw_Data!$A:$A, 0))="", INDEX(Raw_Data!$Q:$Q, MATCH($A43, Raw_Data!$A:$A, 0))=0), NA(), INDEX(Raw_Data!$Q:$Q, MATCH($A43, Raw_Data!$A:$A, 0))), NA())</f>
        <v>0.0241505102587376</v>
      </c>
      <c r="F43" s="2" t="n">
        <f aca="false">IFERROR(IF(OR(INDEX(Raw_Data!$J:$J, MATCH($A43, Raw_Data!$A:$A, 0))="", INDEX(Raw_Data!$J:$J, MATCH($A43, Raw_Data!$A:$A, 0))=0), NA(), INDEX(Raw_Data!$J:$J, MATCH($A43, Raw_Data!$A:$A, 0))), NA())</f>
        <v>100.03</v>
      </c>
      <c r="G43" s="8" t="n">
        <f aca="false">IFERROR((100-F43)/100, NA())</f>
        <v>-0.000300000000000011</v>
      </c>
      <c r="H43" s="8" t="n">
        <f aca="false">(P43/Q43)-1</f>
        <v>0.027091191506049</v>
      </c>
      <c r="I43" s="8" t="n">
        <f aca="false">IFERROR((G43+H43)/2, NA())</f>
        <v>0.0133955957530245</v>
      </c>
      <c r="J43" s="0" t="str">
        <f aca="false">IF(ISNA(I43), "", IF(I43&gt;0.05,"undervalued", IF(I43&lt;-0.05,"overvalued", "neutral")))</f>
        <v>neutral</v>
      </c>
      <c r="K43" s="2" t="n">
        <f aca="false">IFERROR(IF(OR(INDEX(Raw_Data!$N:$N, MATCH($A43, Raw_Data!$A:$A, 0))="", INDEX(Raw_Data!$N:$N, MATCH($A43, Raw_Data!$A:$A, 0))=0), NA(), INDEX(Raw_Data!$N:$N, MATCH($A43, Raw_Data!$A:$A, 0))), NA())</f>
        <v>0.206035</v>
      </c>
      <c r="L43" s="0" t="str">
        <f aca="false">IFERROR(INDEX(Raw_Data!$O:$O, MATCH($A43, Raw_Data!$A:$A, 0)), NA())</f>
        <v>med</v>
      </c>
      <c r="O43" s="2" t="n">
        <f aca="false">IFERROR(INDEX(Raw_Data!$P:$P, MATCH($A43, Raw_Data!$A:$A, 0)), NA())</f>
        <v>2543.677</v>
      </c>
      <c r="P43" s="3" t="n">
        <f aca="false">IFERROR(INDEX(Raw_Data!$M:$M, MATCH($A43, Raw_Data!$A:$A, 0)), NA())</f>
        <v>0.872174</v>
      </c>
      <c r="Q43" s="4" t="n">
        <v>0.849169</v>
      </c>
      <c r="R43" s="3" t="n">
        <f aca="false">IFERROR(INDEX(Raw_Data!$R:$R, MATCH($A43, Raw_Data!$A:$A, 0)), NA())</f>
        <v>711.29059</v>
      </c>
      <c r="S43" s="3" t="n">
        <f aca="false">IFERROR(INDEX(Raw_Data!$S:$S, MATCH($A43, Raw_Data!$A:$A, 0)), NA())</f>
        <v>549.02</v>
      </c>
      <c r="T43" s="2" t="n">
        <f aca="false">IFERROR(INDEX(Raw_Data!$T:$T, MATCH($A43, Raw_Data!$A:$A, 0)), NA())</f>
        <v>13.92</v>
      </c>
      <c r="U43" s="0" t="str">
        <f aca="false">IFERROR(INDEX(Raw_Data!$U:$U, MATCH($A43, Raw_Data!$A:$A, 0)), NA())</f>
        <v>https://www.msci.com/documents/10199/255599/msci-italy-index.pdf</v>
      </c>
    </row>
    <row r="44" customFormat="false" ht="15" hidden="false" customHeight="false" outlineLevel="0" collapsed="false">
      <c r="A44" s="0" t="s">
        <v>112</v>
      </c>
      <c r="B44" s="8" t="n">
        <f aca="false">IFERROR(INDEX(Raw_Data!$F:$I, MATCH($A44, Raw_Data!$A:$A, 0), MATCH($A$3, {"1Y","3Y","5Y","10Y"}, 0)), NA())</f>
        <v>0.0230253603301325</v>
      </c>
      <c r="C44" s="8" t="n">
        <f aca="false">IFERROR(INDEX(Raw_Data!$B:$E, MATCH($A44, Raw_Data!$A:$A, 0), MATCH($A$3, {"1Y","3Y","5Y","10Y"}, 0)), NA())</f>
        <v>0.143</v>
      </c>
      <c r="D44" s="8" t="n">
        <f aca="false">IFERROR(B44-C44, NA())</f>
        <v>-0.119974639669868</v>
      </c>
      <c r="E44" s="8" t="n">
        <f aca="false">IFERROR(IF(OR(INDEX(Raw_Data!$Q:$Q, MATCH($A44, Raw_Data!$A:$A, 0))="", INDEX(Raw_Data!$Q:$Q, MATCH($A44, Raw_Data!$A:$A, 0))=0), NA(), INDEX(Raw_Data!$Q:$Q, MATCH($A44, Raw_Data!$A:$A, 0))), NA())</f>
        <v>0.0626751942412123</v>
      </c>
      <c r="F44" s="2" t="n">
        <f aca="false">IFERROR(IF(OR(INDEX(Raw_Data!$J:$J, MATCH($A44, Raw_Data!$A:$A, 0))="", INDEX(Raw_Data!$J:$J, MATCH($A44, Raw_Data!$A:$A, 0))=0), NA(), INDEX(Raw_Data!$J:$J, MATCH($A44, Raw_Data!$A:$A, 0))), NA())</f>
        <v>131.91</v>
      </c>
      <c r="G44" s="8" t="n">
        <f aca="false">IFERROR((100-F44)/100, NA())</f>
        <v>-0.3191</v>
      </c>
      <c r="H44" s="8" t="n">
        <f aca="false">(P44/Q44)-1</f>
        <v>-0.222663009308459</v>
      </c>
      <c r="I44" s="8" t="n">
        <f aca="false">IFERROR((G44+H44)/2, NA())</f>
        <v>-0.270881504654229</v>
      </c>
      <c r="J44" s="0" t="str">
        <f aca="false">IF(ISNA(I44), "", IF(I44&gt;0.05,"undervalued", IF(I44&lt;-0.05,"overvalued", "neutral")))</f>
        <v>overvalued</v>
      </c>
      <c r="K44" s="2" t="e">
        <f aca="false">IFERROR(IF(OR(INDEX(Raw_Data!$N:$N, MATCH($A44, Raw_Data!$A:$A, 0))="", INDEX(Raw_Data!$N:$N, MATCH($A44, Raw_Data!$A:$A, 0))=0), NA(), INDEX(Raw_Data!$N:$N, MATCH($A44, Raw_Data!$A:$A, 0))), NA())</f>
        <v>#N/A</v>
      </c>
      <c r="L44" s="0" t="n">
        <f aca="false">IFERROR(INDEX(Raw_Data!$O:$O, MATCH($A44, Raw_Data!$A:$A, 0)), NA())</f>
        <v>0</v>
      </c>
      <c r="O44" s="2" t="n">
        <f aca="false">IFERROR(INDEX(Raw_Data!$P:$P, MATCH($A44, Raw_Data!$A:$A, 0)), NA())</f>
        <v>683.371</v>
      </c>
      <c r="P44" s="3" t="n">
        <v>1397.1</v>
      </c>
      <c r="Q44" s="4" t="n">
        <v>1797.29</v>
      </c>
      <c r="R44" s="3" t="n">
        <f aca="false">IFERROR(INDEX(Raw_Data!$R:$R, MATCH($A44, Raw_Data!$A:$A, 0)), NA())</f>
        <v>34.33111</v>
      </c>
      <c r="S44" s="3" t="n">
        <f aca="false">IFERROR(INDEX(Raw_Data!$S:$S, MATCH($A44, Raw_Data!$A:$A, 0)), NA())</f>
        <v>29.64</v>
      </c>
      <c r="T44" s="2" t="n">
        <f aca="false">IFERROR(INDEX(Raw_Data!$T:$T, MATCH($A44, Raw_Data!$A:$A, 0)), NA())</f>
        <v>16.22</v>
      </c>
      <c r="U44" s="0" t="str">
        <f aca="false">IFERROR(INDEX(Raw_Data!$U:$U, MATCH($A44, Raw_Data!$A:$A, 0)), NA())</f>
        <v>https://www.msci.com/documents/10199/255599/msci-argentina-index-net.pdf</v>
      </c>
    </row>
    <row r="45" customFormat="false" ht="15" hidden="false" customHeight="false" outlineLevel="0" collapsed="false">
      <c r="A45" s="0" t="s">
        <v>98</v>
      </c>
      <c r="B45" s="8" t="n">
        <f aca="false">IFERROR(INDEX(Raw_Data!$F:$I, MATCH($A45, Raw_Data!$A:$A, 0), MATCH($A$3, {"1Y","3Y","5Y","10Y"}, 0)), NA())</f>
        <v>0.041287065337406</v>
      </c>
      <c r="C45" s="8" t="n">
        <f aca="false">IFERROR(INDEX(Raw_Data!$B:$E, MATCH($A45, Raw_Data!$A:$A, 0), MATCH($A$3, {"1Y","3Y","5Y","10Y"}, 0)), NA())</f>
        <v>0.1639</v>
      </c>
      <c r="D45" s="8" t="n">
        <f aca="false">IFERROR(B45-C45, NA())</f>
        <v>-0.122612934662594</v>
      </c>
      <c r="E45" s="8" t="n">
        <f aca="false">IFERROR(IF(OR(INDEX(Raw_Data!$Q:$Q, MATCH($A45, Raw_Data!$A:$A, 0))="", INDEX(Raw_Data!$Q:$Q, MATCH($A45, Raw_Data!$A:$A, 0))=0), NA(), INDEX(Raw_Data!$Q:$Q, MATCH($A45, Raw_Data!$A:$A, 0))), NA())</f>
        <v>0.0340728941598436</v>
      </c>
      <c r="F45" s="2" t="n">
        <f aca="false">IFERROR(IF(OR(INDEX(Raw_Data!$J:$J, MATCH($A45, Raw_Data!$A:$A, 0))="", INDEX(Raw_Data!$J:$J, MATCH($A45, Raw_Data!$A:$A, 0))=0), NA(), INDEX(Raw_Data!$J:$J, MATCH($A45, Raw_Data!$A:$A, 0))), NA())</f>
        <v>105.87</v>
      </c>
      <c r="G45" s="8" t="n">
        <f aca="false">IFERROR((100-F45)/100, NA())</f>
        <v>-0.0587</v>
      </c>
      <c r="H45" s="8" t="n">
        <f aca="false">(P45/Q45)-1</f>
        <v>0.027091191506049</v>
      </c>
      <c r="I45" s="8" t="n">
        <f aca="false">IFERROR((G45+H45)/2, NA())</f>
        <v>-0.0158044042469755</v>
      </c>
      <c r="J45" s="0" t="str">
        <f aca="false">IF(ISNA(I45), "", IF(I45&gt;0.05,"undervalued", IF(I45&lt;-0.05,"overvalued", "neutral")))</f>
        <v>neutral</v>
      </c>
      <c r="K45" s="2" t="n">
        <f aca="false">IFERROR(IF(OR(INDEX(Raw_Data!$N:$N, MATCH($A45, Raw_Data!$A:$A, 0))="", INDEX(Raw_Data!$N:$N, MATCH($A45, Raw_Data!$A:$A, 0))=0), NA(), INDEX(Raw_Data!$N:$N, MATCH($A45, Raw_Data!$A:$A, 0))), NA())</f>
        <v>0.107334</v>
      </c>
      <c r="L45" s="0" t="str">
        <f aca="false">IFERROR(INDEX(Raw_Data!$O:$O, MATCH($A45, Raw_Data!$A:$A, 0)), NA())</f>
        <v>low</v>
      </c>
      <c r="O45" s="2" t="n">
        <f aca="false">IFERROR(INDEX(Raw_Data!$P:$P, MATCH($A45, Raw_Data!$A:$A, 0)), NA())</f>
        <v>566.456</v>
      </c>
      <c r="P45" s="3" t="n">
        <f aca="false">IFERROR(INDEX(Raw_Data!$M:$M, MATCH($A45, Raw_Data!$A:$A, 0)), NA())</f>
        <v>0.872174</v>
      </c>
      <c r="Q45" s="4" t="n">
        <v>0.849169</v>
      </c>
      <c r="R45" s="3" t="n">
        <f aca="false">IFERROR(INDEX(Raw_Data!$R:$R, MATCH($A45, Raw_Data!$A:$A, 0)), NA())</f>
        <v>57.54859</v>
      </c>
      <c r="S45" s="3" t="n">
        <f aca="false">IFERROR(INDEX(Raw_Data!$S:$S, MATCH($A45, Raw_Data!$A:$A, 0)), NA())</f>
        <v>57.55</v>
      </c>
      <c r="T45" s="2" t="n">
        <f aca="false">IFERROR(INDEX(Raw_Data!$T:$T, MATCH($A45, Raw_Data!$A:$A, 0)), NA())</f>
        <v>11.32</v>
      </c>
      <c r="U45" s="0" t="str">
        <f aca="false">IFERROR(INDEX(Raw_Data!$U:$U, MATCH($A45, Raw_Data!$A:$A, 0)), NA())</f>
        <v>https://www.msci.com/documents/10199/255599/msci-austria-index-usd-gross.pdf</v>
      </c>
    </row>
    <row r="46" customFormat="false" ht="15" hidden="false" customHeight="false" outlineLevel="0" collapsed="false">
      <c r="A46" s="0" t="s">
        <v>24</v>
      </c>
      <c r="B46" s="8" t="n">
        <f aca="false">IFERROR(INDEX(Raw_Data!$F:$I, MATCH($A46, Raw_Data!$A:$A, 0), MATCH($A$3, {"1Y","3Y","5Y","10Y"}, 0)), NA())</f>
        <v>-0.0172124132454432</v>
      </c>
      <c r="C46" s="8" t="n">
        <f aca="false">IFERROR(INDEX(Raw_Data!$B:$E, MATCH($A46, Raw_Data!$A:$A, 0), MATCH($A$3, {"1Y","3Y","5Y","10Y"}, 0)), NA())</f>
        <v>0.1085</v>
      </c>
      <c r="D46" s="8" t="n">
        <f aca="false">IFERROR(B46-C46, NA())</f>
        <v>-0.125712413245443</v>
      </c>
      <c r="E46" s="8" t="n">
        <f aca="false">IFERROR(IF(OR(INDEX(Raw_Data!$Q:$Q, MATCH($A46, Raw_Data!$A:$A, 0))="", INDEX(Raw_Data!$Q:$Q, MATCH($A46, Raw_Data!$A:$A, 0))=0), NA(), INDEX(Raw_Data!$Q:$Q, MATCH($A46, Raw_Data!$A:$A, 0))), NA())</f>
        <v>0.0392180112639289</v>
      </c>
      <c r="F46" s="2" t="n">
        <f aca="false">IFERROR(IF(OR(INDEX(Raw_Data!$J:$J, MATCH($A46, Raw_Data!$A:$A, 0))="", INDEX(Raw_Data!$J:$J, MATCH($A46, Raw_Data!$A:$A, 0))=0), NA(), INDEX(Raw_Data!$J:$J, MATCH($A46, Raw_Data!$A:$A, 0))), NA())</f>
        <v>67.03</v>
      </c>
      <c r="G46" s="8" t="n">
        <f aca="false">IFERROR((100-F46)/100, NA())</f>
        <v>0.3297</v>
      </c>
      <c r="H46" s="8" t="n">
        <f aca="false">(P46/Q46)-1</f>
        <v>0.0398579013116802</v>
      </c>
      <c r="I46" s="8" t="n">
        <f aca="false">IFERROR((G46+H46)/2, NA())</f>
        <v>0.18477895065584</v>
      </c>
      <c r="J46" s="0" t="str">
        <f aca="false">IF(ISNA(I46), "", IF(I46&gt;0.05,"undervalued", IF(I46&lt;-0.05,"overvalued", "neutral")))</f>
        <v>undervalued</v>
      </c>
      <c r="K46" s="2" t="n">
        <f aca="false">IFERROR(IF(OR(INDEX(Raw_Data!$N:$N, MATCH($A46, Raw_Data!$A:$A, 0))="", INDEX(Raw_Data!$N:$N, MATCH($A46, Raw_Data!$A:$A, 0))=0), NA(), INDEX(Raw_Data!$N:$N, MATCH($A46, Raw_Data!$A:$A, 0))), NA())</f>
        <v>0.34735</v>
      </c>
      <c r="L46" s="0" t="str">
        <f aca="false">IFERROR(INDEX(Raw_Data!$O:$O, MATCH($A46, Raw_Data!$A:$A, 0)), NA())</f>
        <v>med</v>
      </c>
      <c r="O46" s="2" t="n">
        <f aca="false">IFERROR(INDEX(Raw_Data!$P:$P, MATCH($A46, Raw_Data!$A:$A, 0)), NA())</f>
        <v>4279.828</v>
      </c>
      <c r="P46" s="3" t="n">
        <f aca="false">IFERROR(INDEX(Raw_Data!$M:$M, MATCH($A46, Raw_Data!$A:$A, 0)), NA())</f>
        <v>159.822</v>
      </c>
      <c r="Q46" s="4" t="n">
        <v>153.696</v>
      </c>
      <c r="R46" s="3" t="n">
        <f aca="false">IFERROR(INDEX(Raw_Data!$R:$R, MATCH($A46, Raw_Data!$A:$A, 0)), NA())</f>
        <v>5230.52996</v>
      </c>
      <c r="S46" s="3" t="n">
        <f aca="false">IFERROR(INDEX(Raw_Data!$S:$S, MATCH($A46, Raw_Data!$A:$A, 0)), NA())</f>
        <v>1472.02</v>
      </c>
      <c r="T46" s="2" t="n">
        <f aca="false">IFERROR(INDEX(Raw_Data!$T:$T, MATCH($A46, Raw_Data!$A:$A, 0)), NA())</f>
        <v>20.45</v>
      </c>
      <c r="U46" s="0" t="str">
        <f aca="false">IFERROR(INDEX(Raw_Data!$U:$U, MATCH($A46, Raw_Data!$A:$A, 0)), NA())</f>
        <v>https://www.msci.com/documents/10199/255599/msci-japan-index.pdf</v>
      </c>
    </row>
    <row r="47" customFormat="false" ht="15" hidden="false" customHeight="false" outlineLevel="0" collapsed="false">
      <c r="A47" s="0" t="s">
        <v>114</v>
      </c>
      <c r="B47" s="8" t="n">
        <f aca="false">IFERROR(INDEX(Raw_Data!$F:$I, MATCH($A47, Raw_Data!$A:$A, 0), MATCH($A$3, {"1Y","3Y","5Y","10Y"}, 0)), NA())</f>
        <v>0.0958816256352586</v>
      </c>
      <c r="C47" s="8" t="n">
        <f aca="false">IFERROR(INDEX(Raw_Data!$B:$E, MATCH($A47, Raw_Data!$A:$A, 0), MATCH($A$3, {"1Y","3Y","5Y","10Y"}, 0)), NA())</f>
        <v>0.2297</v>
      </c>
      <c r="D47" s="8" t="n">
        <f aca="false">IFERROR(B47-C47, NA())</f>
        <v>-0.133818374364741</v>
      </c>
      <c r="E47" s="8" t="n">
        <f aca="false">IFERROR(IF(OR(INDEX(Raw_Data!$Q:$Q, MATCH($A47, Raw_Data!$A:$A, 0))="", INDEX(Raw_Data!$Q:$Q, MATCH($A47, Raw_Data!$A:$A, 0))=0), NA(), INDEX(Raw_Data!$Q:$Q, MATCH($A47, Raw_Data!$A:$A, 0))), NA())</f>
        <v>0.0237914692337025</v>
      </c>
      <c r="F47" s="2" t="n">
        <f aca="false">IFERROR(IF(OR(INDEX(Raw_Data!$J:$J, MATCH($A47, Raw_Data!$A:$A, 0))="", INDEX(Raw_Data!$J:$J, MATCH($A47, Raw_Data!$A:$A, 0))=0), NA(), INDEX(Raw_Data!$J:$J, MATCH($A47, Raw_Data!$A:$A, 0))), NA())</f>
        <v>121.36</v>
      </c>
      <c r="G47" s="8" t="n">
        <f aca="false">IFERROR((100-F47)/100, NA())</f>
        <v>-0.2136</v>
      </c>
      <c r="H47" s="8" t="n">
        <f aca="false">(P47/Q47)-1</f>
        <v>-0.0260262171619389</v>
      </c>
      <c r="I47" s="8" t="n">
        <f aca="false">IFERROR((G47+H47)/2, NA())</f>
        <v>-0.119813108580969</v>
      </c>
      <c r="J47" s="0" t="str">
        <f aca="false">IF(ISNA(I47), "", IF(I47&gt;0.05,"undervalued", IF(I47&lt;-0.05,"overvalued", "neutral")))</f>
        <v>overvalued</v>
      </c>
      <c r="K47" s="2" t="e">
        <f aca="false">IFERROR(IF(OR(INDEX(Raw_Data!$N:$N, MATCH($A47, Raw_Data!$A:$A, 0))="", INDEX(Raw_Data!$N:$N, MATCH($A47, Raw_Data!$A:$A, 0))=0), NA(), INDEX(Raw_Data!$N:$N, MATCH($A47, Raw_Data!$A:$A, 0))), NA())</f>
        <v>#N/A</v>
      </c>
      <c r="L47" s="0" t="n">
        <f aca="false">IFERROR(INDEX(Raw_Data!$O:$O, MATCH($A47, Raw_Data!$A:$A, 0)), NA())</f>
        <v>0</v>
      </c>
      <c r="O47" s="2" t="n">
        <f aca="false">IFERROR(INDEX(Raw_Data!$P:$P, MATCH($A47, Raw_Data!$A:$A, 0)), NA())</f>
        <v>422.508</v>
      </c>
      <c r="P47" s="3" t="n">
        <v>4.3867</v>
      </c>
      <c r="Q47" s="4" t="n">
        <v>4.50392</v>
      </c>
      <c r="R47" s="3" t="n">
        <f aca="false">IFERROR(INDEX(Raw_Data!$R:$R, MATCH($A47, Raw_Data!$A:$A, 0)), NA())</f>
        <v>25.17675</v>
      </c>
      <c r="S47" s="3" t="n">
        <f aca="false">IFERROR(INDEX(Raw_Data!$S:$S, MATCH($A47, Raw_Data!$A:$A, 0)), NA())</f>
        <v>23.47</v>
      </c>
      <c r="T47" s="2" t="n">
        <f aca="false">IFERROR(INDEX(Raw_Data!$T:$T, MATCH($A47, Raw_Data!$A:$A, 0)), NA())</f>
        <v>13.8</v>
      </c>
      <c r="U47" s="0" t="str">
        <f aca="false">IFERROR(INDEX(Raw_Data!$U:$U, MATCH($A47, Raw_Data!$A:$A, 0)), NA())</f>
        <v>https://www.msci.com/documents/10199/255599/msci-romania-index-usd-net.pdf</v>
      </c>
    </row>
    <row r="48" customFormat="false" ht="15" hidden="false" customHeight="false" outlineLevel="0" collapsed="false">
      <c r="A48" s="0" t="s">
        <v>39</v>
      </c>
      <c r="B48" s="8" t="n">
        <f aca="false">IFERROR(INDEX(Raw_Data!$F:$I, MATCH($A48, Raw_Data!$A:$A, 0), MATCH($A$3, {"1Y","3Y","5Y","10Y"}, 0)), NA())</f>
        <v>0.0182911883636259</v>
      </c>
      <c r="C48" s="8" t="n">
        <f aca="false">IFERROR(INDEX(Raw_Data!$B:$E, MATCH($A48, Raw_Data!$A:$A, 0), MATCH($A$3, {"1Y","3Y","5Y","10Y"}, 0)), NA())</f>
        <v>0.1615</v>
      </c>
      <c r="D48" s="8" t="n">
        <f aca="false">IFERROR(B48-C48, NA())</f>
        <v>-0.143208811636374</v>
      </c>
      <c r="E48" s="8" t="n">
        <f aca="false">IFERROR(IF(OR(INDEX(Raw_Data!$Q:$Q, MATCH($A48, Raw_Data!$A:$A, 0))="", INDEX(Raw_Data!$Q:$Q, MATCH($A48, Raw_Data!$A:$A, 0))=0), NA(), INDEX(Raw_Data!$Q:$Q, MATCH($A48, Raw_Data!$A:$A, 0))), NA())</f>
        <v>0.041254667138823</v>
      </c>
      <c r="F48" s="2" t="n">
        <f aca="false">IFERROR(IF(OR(INDEX(Raw_Data!$J:$J, MATCH($A48, Raw_Data!$A:$A, 0))="", INDEX(Raw_Data!$J:$J, MATCH($A48, Raw_Data!$A:$A, 0))=0), NA(), INDEX(Raw_Data!$J:$J, MATCH($A48, Raw_Data!$A:$A, 0))), NA())</f>
        <v>86.72</v>
      </c>
      <c r="G48" s="8" t="n">
        <f aca="false">IFERROR((100-F48)/100, NA())</f>
        <v>0.1328</v>
      </c>
      <c r="H48" s="8" t="n">
        <f aca="false">(P48/Q48)-1</f>
        <v>0.0219959710350086</v>
      </c>
      <c r="I48" s="8" t="n">
        <f aca="false">IFERROR((G48+H48)/2, NA())</f>
        <v>0.0773979855175043</v>
      </c>
      <c r="J48" s="0" t="str">
        <f aca="false">IF(ISNA(I48), "", IF(I48&gt;0.05,"undervalued", IF(I48&lt;-0.05,"overvalued", "neutral")))</f>
        <v>undervalued</v>
      </c>
      <c r="K48" s="2" t="n">
        <f aca="false">IFERROR(IF(OR(INDEX(Raw_Data!$N:$N, MATCH($A48, Raw_Data!$A:$A, 0))="", INDEX(Raw_Data!$N:$N, MATCH($A48, Raw_Data!$A:$A, 0))=0), NA(), INDEX(Raw_Data!$N:$N, MATCH($A48, Raw_Data!$A:$A, 0))), NA())</f>
        <v>0.743633</v>
      </c>
      <c r="L48" s="0" t="str">
        <f aca="false">IFERROR(INDEX(Raw_Data!$O:$O, MATCH($A48, Raw_Data!$A:$A, 0)), NA())</f>
        <v>high</v>
      </c>
      <c r="O48" s="2" t="n">
        <f aca="false">IFERROR(INDEX(Raw_Data!$P:$P, MATCH($A48, Raw_Data!$A:$A, 0)), NA())</f>
        <v>1858.572</v>
      </c>
      <c r="P48" s="3" t="n">
        <f aca="false">IFERROR(INDEX(Raw_Data!$M:$M, MATCH($A48, Raw_Data!$A:$A, 0)), NA())</f>
        <v>1501.68</v>
      </c>
      <c r="Q48" s="4" t="n">
        <v>1469.36</v>
      </c>
      <c r="R48" s="3" t="n">
        <f aca="false">IFERROR(INDEX(Raw_Data!$R:$R, MATCH($A48, Raw_Data!$A:$A, 0)), NA())</f>
        <v>2120.89292</v>
      </c>
      <c r="S48" s="3" t="n">
        <f aca="false">IFERROR(INDEX(Raw_Data!$S:$S, MATCH($A48, Raw_Data!$A:$A, 0)), NA())</f>
        <v>1465.21</v>
      </c>
      <c r="T48" s="2" t="n">
        <f aca="false">IFERROR(INDEX(Raw_Data!$T:$T, MATCH($A48, Raw_Data!$A:$A, 0)), NA())</f>
        <v>23.73</v>
      </c>
      <c r="U48" s="0" t="str">
        <f aca="false">IFERROR(INDEX(Raw_Data!$U:$U, MATCH($A48, Raw_Data!$A:$A, 0)), NA())</f>
        <v>https://www.msci.com/documents/10199/255599/msci-korea-index.pdf</v>
      </c>
    </row>
    <row r="49" customFormat="false" ht="15" hidden="false" customHeight="false" outlineLevel="0" collapsed="false">
      <c r="A49" s="0" t="s">
        <v>102</v>
      </c>
      <c r="B49" s="8" t="n">
        <f aca="false">IFERROR(INDEX(Raw_Data!$F:$I, MATCH($A49, Raw_Data!$A:$A, 0), MATCH($A$3, {"1Y","3Y","5Y","10Y"}, 0)), NA())</f>
        <v>0.0536749913545502</v>
      </c>
      <c r="C49" s="8" t="n">
        <f aca="false">IFERROR(INDEX(Raw_Data!$B:$E, MATCH($A49, Raw_Data!$A:$A, 0), MATCH($A$3, {"1Y","3Y","5Y","10Y"}, 0)), NA())</f>
        <v>0.2064</v>
      </c>
      <c r="D49" s="8" t="n">
        <f aca="false">IFERROR(B49-C49, NA())</f>
        <v>-0.15272500864545</v>
      </c>
      <c r="E49" s="8" t="n">
        <f aca="false">IFERROR(IF(OR(INDEX(Raw_Data!$Q:$Q, MATCH($A49, Raw_Data!$A:$A, 0))="", INDEX(Raw_Data!$Q:$Q, MATCH($A49, Raw_Data!$A:$A, 0))=0), NA(), INDEX(Raw_Data!$Q:$Q, MATCH($A49, Raw_Data!$A:$A, 0))), NA())</f>
        <v>0.0506204529273842</v>
      </c>
      <c r="F49" s="2" t="n">
        <f aca="false">IFERROR(IF(OR(INDEX(Raw_Data!$J:$J, MATCH($A49, Raw_Data!$A:$A, 0))="", INDEX(Raw_Data!$J:$J, MATCH($A49, Raw_Data!$A:$A, 0))=0), NA(), INDEX(Raw_Data!$J:$J, MATCH($A49, Raw_Data!$A:$A, 0))), NA())</f>
        <v>108.92</v>
      </c>
      <c r="G49" s="8" t="n">
        <f aca="false">IFERROR((100-F49)/100, NA())</f>
        <v>-0.0892</v>
      </c>
      <c r="H49" s="8" t="e">
        <f aca="false">(P49/Q49)-1</f>
        <v>#VALUE!</v>
      </c>
      <c r="I49" s="8" t="e">
        <f aca="false">IFERROR((G49+H49)/2, NA())</f>
        <v>#N/A</v>
      </c>
      <c r="J49" s="0" t="str">
        <f aca="false">IF(ISNA(I49), "", IF(I49&gt;0.05,"undervalued", IF(I49&lt;-0.05,"overvalued", "neutral")))</f>
        <v/>
      </c>
      <c r="K49" s="2" t="e">
        <f aca="false">IFERROR(IF(OR(INDEX(Raw_Data!$N:$N, MATCH($A49, Raw_Data!$A:$A, 0))="", INDEX(Raw_Data!$N:$N, MATCH($A49, Raw_Data!$A:$A, 0))=0), NA(), INDEX(Raw_Data!$N:$N, MATCH($A49, Raw_Data!$A:$A, 0))), NA())</f>
        <v>#N/A</v>
      </c>
      <c r="L49" s="0" t="n">
        <f aca="false">IFERROR(INDEX(Raw_Data!$O:$O, MATCH($A49, Raw_Data!$A:$A, 0)), NA())</f>
        <v>0</v>
      </c>
      <c r="O49" s="2" t="n">
        <f aca="false">IFERROR(INDEX(Raw_Data!$P:$P, MATCH($A49, Raw_Data!$A:$A, 0)), NA())</f>
        <v>318.48</v>
      </c>
      <c r="P49" s="3" t="s">
        <v>138</v>
      </c>
      <c r="Q49" s="3" t="s">
        <v>138</v>
      </c>
      <c r="R49" s="3" t="n">
        <f aca="false">IFERROR(INDEX(Raw_Data!$R:$R, MATCH($A49, Raw_Data!$A:$A, 0)), NA())</f>
        <v>50.40508</v>
      </c>
      <c r="S49" s="3" t="n">
        <f aca="false">IFERROR(INDEX(Raw_Data!$S:$S, MATCH($A49, Raw_Data!$A:$A, 0)), NA())</f>
        <v>50.41</v>
      </c>
      <c r="T49" s="2" t="n">
        <f aca="false">IFERROR(INDEX(Raw_Data!$T:$T, MATCH($A49, Raw_Data!$A:$A, 0)), NA())</f>
        <v>20.84</v>
      </c>
      <c r="U49" s="0" t="str">
        <f aca="false">IFERROR(INDEX(Raw_Data!$U:$U, MATCH($A49, Raw_Data!$A:$A, 0)), NA())</f>
        <v>https://www.msci.com/documents/10199/255599/msci-peru-index-net.pdf</v>
      </c>
    </row>
    <row r="50" customFormat="false" ht="15" hidden="false" customHeight="false" outlineLevel="0" collapsed="false">
      <c r="A50" s="0" t="s">
        <v>33</v>
      </c>
      <c r="B50" s="8" t="n">
        <f aca="false">IFERROR(INDEX(Raw_Data!$F:$I, MATCH($A50, Raw_Data!$A:$A, 0), MATCH($A$3, {"1Y","3Y","5Y","10Y"}, 0)), NA())</f>
        <v>0.0556765148590706</v>
      </c>
      <c r="C50" s="8" t="n">
        <f aca="false">IFERROR(INDEX(Raw_Data!$B:$E, MATCH($A50, Raw_Data!$A:$A, 0), MATCH($A$3, {"1Y","3Y","5Y","10Y"}, 0)), NA())</f>
        <v>0.2275</v>
      </c>
      <c r="D50" s="8" t="n">
        <f aca="false">IFERROR(B50-C50, NA())</f>
        <v>-0.171823485140929</v>
      </c>
      <c r="E50" s="8" t="n">
        <f aca="false">IFERROR(IF(OR(INDEX(Raw_Data!$Q:$Q, MATCH($A50, Raw_Data!$A:$A, 0))="", INDEX(Raw_Data!$Q:$Q, MATCH($A50, Raw_Data!$A:$A, 0))=0), NA(), INDEX(Raw_Data!$Q:$Q, MATCH($A50, Raw_Data!$A:$A, 0))), NA())</f>
        <v>0.0421050744635247</v>
      </c>
      <c r="F50" s="2" t="n">
        <f aca="false">IFERROR(IF(OR(INDEX(Raw_Data!$J:$J, MATCH($A50, Raw_Data!$A:$A, 0))="", INDEX(Raw_Data!$J:$J, MATCH($A50, Raw_Data!$A:$A, 0))=0), NA(), INDEX(Raw_Data!$J:$J, MATCH($A50, Raw_Data!$A:$A, 0))), NA())</f>
        <v>96.71</v>
      </c>
      <c r="G50" s="8" t="n">
        <f aca="false">IFERROR((100-F50)/100, NA())</f>
        <v>0.0329000000000001</v>
      </c>
      <c r="H50" s="8" t="n">
        <f aca="false">(P50/Q50)-1</f>
        <v>0.00543650457538503</v>
      </c>
      <c r="I50" s="8" t="n">
        <f aca="false">IFERROR((G50+H50)/2, NA())</f>
        <v>0.0191682522876925</v>
      </c>
      <c r="J50" s="0" t="str">
        <f aca="false">IF(ISNA(I50), "", IF(I50&gt;0.05,"undervalued", IF(I50&lt;-0.05,"overvalued", "neutral")))</f>
        <v>neutral</v>
      </c>
      <c r="K50" s="2" t="e">
        <f aca="false">IFERROR(IF(OR(INDEX(Raw_Data!$N:$N, MATCH($A50, Raw_Data!$A:$A, 0))="", INDEX(Raw_Data!$N:$N, MATCH($A50, Raw_Data!$A:$A, 0))=0), NA(), INDEX(Raw_Data!$N:$N, MATCH($A50, Raw_Data!$A:$A, 0))), NA())</f>
        <v>#N/A</v>
      </c>
      <c r="L50" s="0" t="n">
        <f aca="false">IFERROR(INDEX(Raw_Data!$O:$O, MATCH($A50, Raw_Data!$A:$A, 0)), NA())</f>
        <v>0</v>
      </c>
      <c r="O50" s="2" t="n">
        <f aca="false">IFERROR(INDEX(Raw_Data!$P:$P, MATCH($A50, Raw_Data!$A:$A, 0)), NA())</f>
        <v>884.387</v>
      </c>
      <c r="P50" s="3" t="n">
        <f aca="false">IFERROR(INDEX(Raw_Data!$M:$M, MATCH($A50, Raw_Data!$A:$A, 0)), NA())</f>
        <v>32.0504</v>
      </c>
      <c r="Q50" s="4" t="n">
        <v>31.8771</v>
      </c>
      <c r="R50" s="3" t="n">
        <f aca="false">IFERROR(INDEX(Raw_Data!$R:$R, MATCH($A50, Raw_Data!$A:$A, 0)), NA())</f>
        <v>2639.81659</v>
      </c>
      <c r="S50" s="3" t="n">
        <f aca="false">IFERROR(INDEX(Raw_Data!$S:$S, MATCH($A50, Raw_Data!$A:$A, 0)), NA())</f>
        <v>2026.53</v>
      </c>
      <c r="T50" s="2" t="n">
        <f aca="false">IFERROR(INDEX(Raw_Data!$T:$T, MATCH($A50, Raw_Data!$A:$A, 0)), NA())</f>
        <v>27.53</v>
      </c>
      <c r="U50" s="0" t="str">
        <f aca="false">IFERROR(INDEX(Raw_Data!$U:$U, MATCH($A50, Raw_Data!$A:$A, 0)), NA())</f>
        <v>https://www.msci.com/documents/10199/255599/msci-taiwan-index.pdf</v>
      </c>
    </row>
  </sheetData>
  <autoFilter ref="A4:U55"/>
  <conditionalFormatting sqref="B5:B50 C5:C50 D5:D50 E5:E50 I5:I50">
    <cfRule type="cellIs" priority="2" operator="greaterThanOrEqual" aboveAverage="0" equalAverage="0" bottom="0" percent="0" rank="0" text="" dxfId="6">
      <formula>0</formula>
    </cfRule>
    <cfRule type="cellIs" priority="3" operator="greaterThanOrEqual" aboveAverage="0" equalAverage="0" bottom="0" percent="0" rank="0" text="" dxfId="7">
      <formula>5</formula>
    </cfRule>
    <cfRule type="cellIs" priority="4" operator="lessThan" aboveAverage="0" equalAverage="0" bottom="0" percent="0" rank="0" text="" dxfId="8">
      <formula>0</formula>
    </cfRule>
  </conditionalFormatting>
  <conditionalFormatting sqref="K5:K50">
    <cfRule type="containsErrors" priority="5" aboveAverage="0" equalAverage="0" bottom="0" percent="0" rank="0" text="" dxfId="9">
      <formula>ISERROR(K5)</formula>
    </cfRule>
    <cfRule type="cellIs" priority="6" operator="lessThanOrEqual" aboveAverage="0" equalAverage="0" bottom="0" percent="0" rank="0" text="" dxfId="6">
      <formula>0.2</formula>
    </cfRule>
    <cfRule type="cellIs" priority="7" operator="lessThanOrEqual" aboveAverage="0" equalAverage="0" bottom="0" percent="0" rank="0" text="" dxfId="10">
      <formula>0.5</formula>
    </cfRule>
    <cfRule type="cellIs" priority="8" operator="greaterThan" aboveAverage="0" equalAverage="0" bottom="0" percent="0" rank="0" text="" dxfId="8">
      <formula>0.5</formula>
    </cfRule>
  </conditionalFormatting>
  <conditionalFormatting sqref="J5:J55">
    <cfRule type="cellIs" priority="9" operator="equal" aboveAverage="0" equalAverage="0" bottom="0" percent="0" rank="0" text="" dxfId="10">
      <formula>"neutral"</formula>
    </cfRule>
    <cfRule type="cellIs" priority="10" operator="equal" aboveAverage="0" equalAverage="0" bottom="0" percent="0" rank="0" text="" dxfId="8">
      <formula>"overvalued"</formula>
    </cfRule>
    <cfRule type="cellIs" priority="11" operator="equal" aboveAverage="0" equalAverage="0" bottom="0" percent="0" rank="0" text="" dxfId="6">
      <formula>"undervalued"</formula>
    </cfRule>
  </conditionalFormatting>
  <conditionalFormatting sqref="L5:L55">
    <cfRule type="cellIs" priority="12" operator="equal" aboveAverage="0" equalAverage="0" bottom="0" percent="0" rank="0" text="" dxfId="6">
      <formula>"low"</formula>
    </cfRule>
    <cfRule type="cellIs" priority="13" operator="equal" aboveAverage="0" equalAverage="0" bottom="0" percent="0" rank="0" text="" dxfId="10">
      <formula>"med"</formula>
    </cfRule>
    <cfRule type="cellIs" priority="14" operator="equal" aboveAverage="0" equalAverage="0" bottom="0" percent="0" rank="0" text="" dxfId="8">
      <formula>"high"</formula>
    </cfRule>
  </conditionalFormatting>
  <dataValidations count="1">
    <dataValidation allowBlank="false" error="Please select a valid time period" errorStyle="stop" errorTitle="Invalid Time Period" operator="between" showDropDown="false" showErrorMessage="false" showInputMessage="false" sqref="A3" type="list">
      <formula1>"1Y,3Y,5Y,10Y"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60" zoomScaleNormal="16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24"/>
    <col collapsed="false" customWidth="true" hidden="false" outlineLevel="0" max="3" min="3" style="0" width="31"/>
    <col collapsed="false" customWidth="true" hidden="false" outlineLevel="0" max="4" min="4" style="0" width="13"/>
    <col collapsed="false" customWidth="true" hidden="false" outlineLevel="0" max="5" min="5" style="0" width="48"/>
  </cols>
  <sheetData>
    <row r="1" customFormat="false" ht="15" hidden="false" customHeight="false" outlineLevel="0" collapsed="false">
      <c r="A1" s="9" t="s">
        <v>139</v>
      </c>
      <c r="B1" s="9" t="s">
        <v>140</v>
      </c>
      <c r="C1" s="9" t="s">
        <v>141</v>
      </c>
      <c r="D1" s="9" t="s">
        <v>142</v>
      </c>
      <c r="E1" s="9" t="s">
        <v>143</v>
      </c>
    </row>
    <row r="2" customFormat="false" ht="15" hidden="false" customHeight="false" outlineLevel="0" collapsed="false">
      <c r="A2" s="0" t="s">
        <v>120</v>
      </c>
      <c r="B2" s="0" t="s">
        <v>144</v>
      </c>
      <c r="C2" s="0" t="s">
        <v>145</v>
      </c>
      <c r="D2" s="0" t="s">
        <v>146</v>
      </c>
      <c r="E2" s="0" t="s">
        <v>147</v>
      </c>
    </row>
    <row r="3" customFormat="false" ht="15" hidden="false" customHeight="false" outlineLevel="0" collapsed="false">
      <c r="A3" s="0" t="s">
        <v>148</v>
      </c>
      <c r="B3" s="0" t="s">
        <v>149</v>
      </c>
      <c r="C3" s="0" t="s">
        <v>150</v>
      </c>
      <c r="D3" s="0" t="s">
        <v>151</v>
      </c>
      <c r="E3" s="0" t="s">
        <v>23</v>
      </c>
    </row>
    <row r="4" customFormat="false" ht="15" hidden="false" customHeight="false" outlineLevel="0" collapsed="false">
      <c r="A4" s="0" t="s">
        <v>122</v>
      </c>
      <c r="B4" s="0" t="s">
        <v>152</v>
      </c>
    </row>
    <row r="5" customFormat="false" ht="15" hidden="false" customHeight="false" outlineLevel="0" collapsed="false">
      <c r="A5" s="0" t="s">
        <v>153</v>
      </c>
      <c r="B5" s="0" t="s">
        <v>154</v>
      </c>
      <c r="C5" s="0" t="s">
        <v>145</v>
      </c>
      <c r="D5" s="0" t="s">
        <v>146</v>
      </c>
      <c r="E5" s="0" t="s">
        <v>147</v>
      </c>
    </row>
    <row r="6" customFormat="false" ht="15" hidden="false" customHeight="false" outlineLevel="0" collapsed="false">
      <c r="A6" s="0" t="s">
        <v>124</v>
      </c>
      <c r="B6" s="0" t="s">
        <v>155</v>
      </c>
      <c r="C6" s="0" t="s">
        <v>156</v>
      </c>
      <c r="D6" s="0" t="s">
        <v>157</v>
      </c>
      <c r="E6" s="0" t="s">
        <v>158</v>
      </c>
    </row>
    <row r="7" customFormat="false" ht="15" hidden="false" customHeight="false" outlineLevel="0" collapsed="false">
      <c r="A7" s="0" t="s">
        <v>125</v>
      </c>
      <c r="B7" s="0" t="s">
        <v>159</v>
      </c>
    </row>
    <row r="8" customFormat="false" ht="15" hidden="false" customHeight="false" outlineLevel="0" collapsed="false">
      <c r="A8" s="0" t="s">
        <v>126</v>
      </c>
      <c r="B8" s="0" t="s">
        <v>160</v>
      </c>
      <c r="C8" s="0" t="s">
        <v>161</v>
      </c>
      <c r="D8" s="0" t="s">
        <v>162</v>
      </c>
    </row>
    <row r="9" customFormat="false" ht="15" hidden="false" customHeight="false" outlineLevel="0" collapsed="false">
      <c r="A9" s="0" t="s">
        <v>127</v>
      </c>
      <c r="B9" s="0" t="s">
        <v>163</v>
      </c>
    </row>
    <row r="10" customFormat="false" ht="15" hidden="false" customHeight="false" outlineLevel="0" collapsed="false">
      <c r="A10" s="0" t="s">
        <v>164</v>
      </c>
      <c r="B10" s="0" t="s">
        <v>165</v>
      </c>
    </row>
    <row r="11" customFormat="false" ht="15" hidden="false" customHeight="false" outlineLevel="0" collapsed="false">
      <c r="A11" s="0" t="s">
        <v>129</v>
      </c>
      <c r="B11" s="0" t="s">
        <v>166</v>
      </c>
      <c r="C11" s="0" t="s">
        <v>167</v>
      </c>
      <c r="D11" s="0" t="s">
        <v>168</v>
      </c>
      <c r="E11" s="0" t="s">
        <v>169</v>
      </c>
    </row>
    <row r="12" customFormat="false" ht="15" hidden="false" customHeight="false" outlineLevel="0" collapsed="false">
      <c r="A12" s="0" t="s">
        <v>130</v>
      </c>
      <c r="B12" s="0" t="s">
        <v>170</v>
      </c>
    </row>
    <row r="13" customFormat="false" ht="15" hidden="false" customHeight="false" outlineLevel="0" collapsed="false">
      <c r="A13" s="0" t="s">
        <v>131</v>
      </c>
      <c r="B13" s="0" t="s">
        <v>171</v>
      </c>
      <c r="C13" s="0" t="s">
        <v>145</v>
      </c>
      <c r="D13" s="0" t="s">
        <v>146</v>
      </c>
      <c r="E13" s="0" t="s">
        <v>147</v>
      </c>
    </row>
    <row r="14" customFormat="false" ht="15" hidden="false" customHeight="false" outlineLevel="0" collapsed="false">
      <c r="A14" s="0" t="s">
        <v>172</v>
      </c>
      <c r="B14" s="0" t="s">
        <v>173</v>
      </c>
      <c r="C14" s="0" t="s">
        <v>161</v>
      </c>
      <c r="D14" s="0" t="s">
        <v>162</v>
      </c>
    </row>
    <row r="15" customFormat="false" ht="15" hidden="false" customHeight="false" outlineLevel="0" collapsed="false">
      <c r="A15" s="0" t="s">
        <v>133</v>
      </c>
      <c r="B15" s="0" t="s">
        <v>174</v>
      </c>
      <c r="C15" s="0" t="s">
        <v>161</v>
      </c>
      <c r="D15" s="0" t="s">
        <v>162</v>
      </c>
    </row>
    <row r="16" customFormat="false" ht="15" hidden="false" customHeight="false" outlineLevel="0" collapsed="false">
      <c r="A16" s="0" t="s">
        <v>134</v>
      </c>
      <c r="B16" s="0" t="s">
        <v>175</v>
      </c>
      <c r="C16" s="0" t="s">
        <v>150</v>
      </c>
      <c r="D16" s="0" t="s">
        <v>151</v>
      </c>
    </row>
    <row r="17" customFormat="false" ht="15" hidden="false" customHeight="false" outlineLevel="0" collapsed="false">
      <c r="A17" s="0" t="s">
        <v>135</v>
      </c>
      <c r="B17" s="0" t="s">
        <v>176</v>
      </c>
      <c r="C17" s="0" t="s">
        <v>150</v>
      </c>
      <c r="D17" s="0" t="s">
        <v>151</v>
      </c>
    </row>
    <row r="18" customFormat="false" ht="15" hidden="false" customHeight="false" outlineLevel="0" collapsed="false">
      <c r="A18" s="0" t="s">
        <v>136</v>
      </c>
      <c r="B18" s="0" t="s">
        <v>177</v>
      </c>
      <c r="C18" s="0" t="s">
        <v>150</v>
      </c>
      <c r="D18" s="0" t="s">
        <v>151</v>
      </c>
    </row>
    <row r="19" customFormat="false" ht="15" hidden="false" customHeight="false" outlineLevel="0" collapsed="false">
      <c r="A19" s="0" t="s">
        <v>137</v>
      </c>
      <c r="B19" s="0" t="s">
        <v>178</v>
      </c>
      <c r="C19" s="0" t="s">
        <v>150</v>
      </c>
      <c r="D19" s="0" t="s">
        <v>151</v>
      </c>
    </row>
  </sheetData>
  <autoFilter ref="A1:E2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2026-03-23T22:45:16Z</dcterms:created>
  <dc:creator>openpyxl</dc:creator>
  <dc:description/>
  <dc:language>en-US</dc:language>
  <cp:lastModifiedBy/>
  <dcterms:modified xsi:type="dcterms:W3CDTF">2026-03-24T05:12:38Z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