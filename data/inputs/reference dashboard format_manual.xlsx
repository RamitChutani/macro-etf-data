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ng Countries" sheetId="1" state="visible" r:id="rId3"/>
    <sheet name="Country Focu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<sst xmlns="http://schemas.openxmlformats.org/spreadsheetml/2006/main" count="218" uniqueCount="178">
  <si>
    <t xml:space="preserve">Country Disconnect Dashboard (As of Feb 27, 2026)</t>
  </si>
  <si>
    <t xml:space="preserve">Horizon (choice between 1Y, 3Y, 5Y, 10Y)</t>
  </si>
  <si>
    <t xml:space="preserve">10Y</t>
  </si>
  <si>
    <t xml:space="preserve">Region Filter (using hidden reference columns)</t>
  </si>
  <si>
    <t xml:space="preserve">(asia, europe, etc.)</t>
  </si>
  <si>
    <t xml:space="preserve">Sort by (choice of GDP size)</t>
  </si>
  <si>
    <t xml:space="preserve">nGDP</t>
  </si>
  <si>
    <t xml:space="preserve">GDP Metrics</t>
  </si>
  <si>
    <t xml:space="preserve">Exchange Rate Metrics</t>
  </si>
  <si>
    <t xml:space="preserve">Inflation Metrics</t>
  </si>
  <si>
    <t xml:space="preserve">Differential</t>
  </si>
  <si>
    <t xml:space="preserve">Country Info</t>
  </si>
  <si>
    <t xml:space="preserve">ETF Info</t>
  </si>
  <si>
    <t xml:space="preserve">Country</t>
  </si>
  <si>
    <t xml:space="preserve">ETF Ticker</t>
  </si>
  <si>
    <t xml:space="preserve">nGDP (USD) CAGR (%)</t>
  </si>
  <si>
    <t xml:space="preserve">ETF Return (USD) CAGR (%)</t>
  </si>
  <si>
    <t xml:space="preserve">MSCI Index Retrun (USD) CAGR (%)</t>
  </si>
  <si>
    <t xml:space="preserve">Macro Gap (%)</t>
  </si>
  <si>
    <t xml:space="preserve">Projected Growth (2026-28) CAGR (%)</t>
  </si>
  <si>
    <t xml:space="preserve">Impact of $10 Oil Price change relative to GDP (%)</t>
  </si>
  <si>
    <t xml:space="preserve">REER Index</t>
  </si>
  <si>
    <t xml:space="preserve">REER vs 10Y</t>
  </si>
  <si>
    <t xml:space="preserve">Futures rate for USD/LCU 2 years out (%)</t>
  </si>
  <si>
    <t xml:space="preserve">nGDP (USD) 2025</t>
  </si>
  <si>
    <t xml:space="preserve">nGDP (LCU) CAGR (%)</t>
  </si>
  <si>
    <t xml:space="preserve">rGDP (LCU) CAGR (%)</t>
  </si>
  <si>
    <t xml:space="preserve">FX CAGR %</t>
  </si>
  <si>
    <t xml:space="preserve">FX Jan 1st CAGR %</t>
  </si>
  <si>
    <t xml:space="preserve">USD/LCU spot rate as of “today”</t>
  </si>
  <si>
    <t xml:space="preserve">Futures rate for USD/LCU (2 years out from “today”)</t>
  </si>
  <si>
    <t xml:space="preserve">Inf. Diff CAGR %</t>
  </si>
  <si>
    <t xml:space="preserve">Currency Gap %</t>
  </si>
  <si>
    <t xml:space="preserve">Region</t>
  </si>
  <si>
    <t xml:space="preserve">Local Currency Unit (LCU)</t>
  </si>
  <si>
    <t xml:space="preserve">Exchange name for ETF ticker</t>
  </si>
  <si>
    <t xml:space="preserve">ETF ticker currency</t>
  </si>
  <si>
    <t xml:space="preserve">Saudi Arabia</t>
  </si>
  <si>
    <t xml:space="preserve">IKSA.L</t>
  </si>
  <si>
    <t xml:space="preserve">Middle East</t>
  </si>
  <si>
    <t xml:space="preserve">Philippines</t>
  </si>
  <si>
    <t xml:space="preserve">XPHG.L</t>
  </si>
  <si>
    <t xml:space="preserve">Asia</t>
  </si>
  <si>
    <t xml:space="preserve">Turkey</t>
  </si>
  <si>
    <t xml:space="preserve">TUR*</t>
  </si>
  <si>
    <t xml:space="preserve">Europe</t>
  </si>
  <si>
    <t xml:space="preserve">Indonesia</t>
  </si>
  <si>
    <t xml:space="preserve">INDO.PA</t>
  </si>
  <si>
    <t xml:space="preserve">Pakistan</t>
  </si>
  <si>
    <t xml:space="preserve">XBAK.L</t>
  </si>
  <si>
    <t xml:space="preserve">Malaysia</t>
  </si>
  <si>
    <t xml:space="preserve">XCX3.L</t>
  </si>
  <si>
    <t xml:space="preserve">China</t>
  </si>
  <si>
    <t xml:space="preserve">IASH.L</t>
  </si>
  <si>
    <t xml:space="preserve">Vietnam</t>
  </si>
  <si>
    <t xml:space="preserve">XFVT.L</t>
  </si>
  <si>
    <t xml:space="preserve">Poland</t>
  </si>
  <si>
    <t xml:space="preserve">IPOL.L</t>
  </si>
  <si>
    <t xml:space="preserve">Thailand</t>
  </si>
  <si>
    <t xml:space="preserve">XCX4.L</t>
  </si>
  <si>
    <t xml:space="preserve">Hong Kong</t>
  </si>
  <si>
    <t xml:space="preserve">EWH*</t>
  </si>
  <si>
    <t xml:space="preserve">Belgium</t>
  </si>
  <si>
    <t xml:space="preserve">EWK*</t>
  </si>
  <si>
    <t xml:space="preserve">Singapore</t>
  </si>
  <si>
    <t xml:space="preserve">EWS*</t>
  </si>
  <si>
    <t xml:space="preserve">India</t>
  </si>
  <si>
    <t xml:space="preserve">LYINR.SW</t>
  </si>
  <si>
    <t xml:space="preserve">Mexico</t>
  </si>
  <si>
    <t xml:space="preserve">XMEX.L</t>
  </si>
  <si>
    <t xml:space="preserve">Latin America</t>
  </si>
  <si>
    <t xml:space="preserve">Australia</t>
  </si>
  <si>
    <t xml:space="preserve">SAUS.L</t>
  </si>
  <si>
    <t xml:space="preserve">Oceania</t>
  </si>
  <si>
    <t xml:space="preserve">United Kingdom</t>
  </si>
  <si>
    <t xml:space="preserve">CUKX.L</t>
  </si>
  <si>
    <t xml:space="preserve">Germany</t>
  </si>
  <si>
    <t xml:space="preserve">EXS1.DE</t>
  </si>
  <si>
    <t xml:space="preserve">Switzerland</t>
  </si>
  <si>
    <t xml:space="preserve">EWL*</t>
  </si>
  <si>
    <t xml:space="preserve">France</t>
  </si>
  <si>
    <t xml:space="preserve">ISFR.L</t>
  </si>
  <si>
    <t xml:space="preserve">Netherlands</t>
  </si>
  <si>
    <t xml:space="preserve">EWN*</t>
  </si>
  <si>
    <t xml:space="preserve">Sweden</t>
  </si>
  <si>
    <t xml:space="preserve">EWD*</t>
  </si>
  <si>
    <t xml:space="preserve">Spain</t>
  </si>
  <si>
    <t xml:space="preserve">XESP.DE</t>
  </si>
  <si>
    <t xml:space="preserve">South Africa</t>
  </si>
  <si>
    <t xml:space="preserve">IRSA.L</t>
  </si>
  <si>
    <t xml:space="preserve">Africa</t>
  </si>
  <si>
    <t xml:space="preserve">Italy</t>
  </si>
  <si>
    <t xml:space="preserve">EWI*</t>
  </si>
  <si>
    <t xml:space="preserve">Canada</t>
  </si>
  <si>
    <t xml:space="preserve">CSCA.L</t>
  </si>
  <si>
    <t xml:space="preserve">North America</t>
  </si>
  <si>
    <t xml:space="preserve">Brazil</t>
  </si>
  <si>
    <t xml:space="preserve">XMBR.L</t>
  </si>
  <si>
    <t xml:space="preserve">South Korea</t>
  </si>
  <si>
    <t xml:space="preserve">CSKR.L</t>
  </si>
  <si>
    <t xml:space="preserve">Japan</t>
  </si>
  <si>
    <t xml:space="preserve">CJPU.L</t>
  </si>
  <si>
    <t xml:space="preserve">Austria</t>
  </si>
  <si>
    <t xml:space="preserve">EWO*</t>
  </si>
  <si>
    <t xml:space="preserve">United States</t>
  </si>
  <si>
    <t xml:space="preserve">CSUS.L</t>
  </si>
  <si>
    <t xml:space="preserve">Greece</t>
  </si>
  <si>
    <t xml:space="preserve">GREK*</t>
  </si>
  <si>
    <t xml:space="preserve">Taiwan</t>
  </si>
  <si>
    <t xml:space="preserve">XMTW.L</t>
  </si>
  <si>
    <t xml:space="preserve">Metric Definitions &amp; Interpretation</t>
  </si>
  <si>
    <t xml:space="preserve">Main Columns:</t>
  </si>
  <si>
    <t xml:space="preserve">Columns Name</t>
  </si>
  <si>
    <t xml:space="preserve">Definition/Interpretation</t>
  </si>
  <si>
    <t xml:space="preserve">Data Source</t>
  </si>
  <si>
    <t xml:space="preserve">As of</t>
  </si>
  <si>
    <t xml:space="preserve">Next Data Update</t>
  </si>
  <si>
    <t xml:space="preserve">An asterisk (*) next to the ticker indicates a Distributing ETF. Adjusted Close price is used for comparability with Accumulating ETFs.</t>
  </si>
  <si>
    <t xml:space="preserve">yfinance</t>
  </si>
  <si>
    <t xml:space="preserve">Feb 27, 2026</t>
  </si>
  <si>
    <t xml:space="preserve">Mar 31, 2026</t>
  </si>
  <si>
    <t xml:space="preserve">Annualized growth of the country's economy in US Dollar terms.</t>
  </si>
  <si>
    <t xml:space="preserve">WEO Database, IMF</t>
  </si>
  <si>
    <t xml:space="preserve">Oct, 2025 </t>
  </si>
  <si>
    <t xml:space="preserve">Apr, 2026</t>
  </si>
  <si>
    <t xml:space="preserve">ETF CAGR (USD)</t>
  </si>
  <si>
    <t xml:space="preserve">Annualized price return of the selected ETF in US Dollar terms. Includes both local price movement and currency effects.</t>
  </si>
  <si>
    <t xml:space="preserve">Macro Gap %</t>
  </si>
  <si>
    <t xml:space="preserve">The difference between GDP growth and ETF performance (GDP CAGR minus ETF CAGR). Positive values suggest the economy grew faster than the market.</t>
  </si>
  <si>
    <t xml:space="preserve">Oil Impact %</t>
  </si>
  <si>
    <t xml:space="preserve">Value of a $10/barrel price change in crude oil imports as a percentage of nominal GDP. Lower values indicate less sensitivity to oil prices (closer to 0 is better).</t>
  </si>
  <si>
    <t xml:space="preserve">Proj. 3Y (26-28)</t>
  </si>
  <si>
    <t xml:space="preserve">IMF's forecasted nominal GDP growth (USD) for the 2026-2028 period.</t>
  </si>
  <si>
    <t xml:space="preserve">Real Effective Exchange Rate deviation from its 10-year mean. Positive = Currency is stronger than its 10Y historical average.</t>
  </si>
  <si>
    <t xml:space="preserve">Current Real Effective Exchange Rate level. 100 = at 10-year average. Above 100 = currency stronger than average; Below 100 = weaker than average.</t>
  </si>
  <si>
    <t xml:space="preserve">Reference Columns:</t>
  </si>
  <si>
    <t xml:space="preserve">Annualized rate of currency appreciation/depreciation against the USD. Positive = Local Currency strengthened against USD.</t>
  </si>
  <si>
    <t xml:space="preserve">Annualized rate of currency movement calculated using point-to-point 1st January FX rates. More consistent with standard asset return windows.</t>
  </si>
  <si>
    <t xml:space="preserve">Annualized simple difference between country inflation CAGR and USA inflation CAGR. Positive = Local inflation was higher than USA.</t>
  </si>
  <si>
    <t xml:space="preserve">The sum of FX CAGR and Inflation Differential. Near zero suggests currency movement offsets inflation. Positive = Currency is 'stronger' than PPP suggests.</t>
  </si>
  <si>
    <t xml:space="preserve">Country Focus Dashboard</t>
  </si>
  <si>
    <t xml:space="preserve">Ticker</t>
  </si>
  <si>
    <t xml:space="preserve">As-of Date</t>
  </si>
  <si>
    <t xml:space="preserve">Ticker Currency</t>
  </si>
  <si>
    <t xml:space="preserve">Ticker Exchange</t>
  </si>
  <si>
    <t xml:space="preserve">ETF Cumulative returns</t>
  </si>
  <si>
    <t xml:space="preserve">Timeframe</t>
  </si>
  <si>
    <t xml:space="preserve">ETF Return (USD) %</t>
  </si>
  <si>
    <t xml:space="preserve">ETF Return () %</t>
  </si>
  <si>
    <t xml:space="preserve">Start Date</t>
  </si>
  <si>
    <t xml:space="preserve">YTD</t>
  </si>
  <si>
    <t xml:space="preserve">1 Month</t>
  </si>
  <si>
    <t xml:space="preserve">3 Months</t>
  </si>
  <si>
    <t xml:space="preserve">6 Months</t>
  </si>
  <si>
    <t xml:space="preserve">1 Year</t>
  </si>
  <si>
    <t xml:space="preserve">3 Years</t>
  </si>
  <si>
    <t xml:space="preserve">5 Years</t>
  </si>
  <si>
    <t xml:space="preserve">10 Years</t>
  </si>
  <si>
    <t xml:space="preserve">MAX</t>
  </si>
  <si>
    <t xml:space="preserve">Annual ETF vs GDP + FX Decomposition (Last 10 Years, %)</t>
  </si>
  <si>
    <t xml:space="preserve">Year</t>
  </si>
  <si>
    <t xml:space="preserve">Nominal GDP Growth (USD) %</t>
  </si>
  <si>
    <t xml:space="preserve">Macro Disconnect %</t>
  </si>
  <si>
    <t xml:space="preserve">Real GDP Growth %</t>
  </si>
  <si>
    <t xml:space="preserve">Nominal GDP Growth (LCU) %</t>
  </si>
  <si>
    <t xml:space="preserve">FX Change (vs USD) %</t>
  </si>
  <si>
    <t xml:space="preserve">WEO LCU Return vs USD %</t>
  </si>
  <si>
    <t xml:space="preserve">Jan 1st FX Change %</t>
  </si>
  <si>
    <t xml:space="preserve">2026 (Proj GDP / ETF YTD)</t>
  </si>
  <si>
    <t xml:space="preserve">* 2026 row: GDP is IMF projection; ETF is YTD return (USD).</t>
  </si>
  <si>
    <t xml:space="preserve">CAGR Comparison (%)</t>
  </si>
  <si>
    <t xml:space="preserve">Horizon</t>
  </si>
  <si>
    <t xml:space="preserve">Nominal GDP CAGR % (USD)</t>
  </si>
  <si>
    <t xml:space="preserve">ETF CAGR % (USD)</t>
  </si>
  <si>
    <t xml:space="preserve">Real GDP CAGR %</t>
  </si>
  <si>
    <t xml:space="preserve">Nominal GDP CAGR % (LCU)</t>
  </si>
  <si>
    <t xml:space="preserve">3Y</t>
  </si>
  <si>
    <t xml:space="preserve">5Y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</si>
</sst>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%"/>
    <numFmt numFmtId="168" formatCode="yyyy\-mm\-dd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</font>
    <font>
      <b val="true"/>
      <sz val="11"/>
      <name val="Cambria"/>
      <family val="0"/>
    </font>
    <font>
      <sz val="11"/>
      <color theme="1"/>
      <name val="Calibri"/>
      <family val="2"/>
    </font>
    <font>
      <b val="true"/>
      <sz val="10"/>
      <name val="Arial"/>
      <family val="2"/>
    </font>
    <font>
      <b val="true"/>
      <sz val="11"/>
      <color theme="1"/>
      <name val="Calibri"/>
      <family val="2"/>
    </font>
    <font>
      <b val="true"/>
      <sz val="12"/>
      <name val="Cambria"/>
      <family val="0"/>
    </font>
    <font>
      <sz val="12"/>
      <name val="Cambria"/>
      <family val="0"/>
    </font>
    <font>
      <i val="true"/>
      <sz val="11"/>
      <name val="Cambria"/>
      <family val="0"/>
    </font>
    <font>
      <sz val="11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A9D08E"/>
        </patternFill>
      </fill>
    </dxf>
    <dxf>
      <fill>
        <patternFill>
          <bgColor rgb="FFC6E0B4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13"/>
    <col collapsed="false" customWidth="true" hidden="false" outlineLevel="0" max="2" min="2" style="1" width="16.91"/>
    <col collapsed="false" customWidth="true" hidden="false" outlineLevel="0" max="3" min="3" style="1" width="13.57"/>
    <col collapsed="false" customWidth="true" hidden="false" outlineLevel="0" max="4" min="4" style="1" width="18.14"/>
    <col collapsed="false" customWidth="true" hidden="false" outlineLevel="0" max="5" min="5" style="1" width="13.23"/>
    <col collapsed="false" customWidth="true" hidden="false" outlineLevel="0" max="6" min="6" style="1" width="15.53"/>
    <col collapsed="false" customWidth="true" hidden="false" outlineLevel="0" max="7" min="7" style="1" width="20.25"/>
    <col collapsed="false" customWidth="true" hidden="false" outlineLevel="0" max="8" min="8" style="1" width="20.7"/>
    <col collapsed="false" customWidth="true" hidden="false" outlineLevel="0" max="9" min="9" style="1" width="14.14"/>
    <col collapsed="false" customWidth="true" hidden="false" outlineLevel="0" max="10" min="10" style="1" width="14.84"/>
    <col collapsed="false" customWidth="true" hidden="false" outlineLevel="0" max="13" min="12" style="0" width="8.5"/>
    <col collapsed="false" customWidth="true" hidden="false" outlineLevel="0" max="15" min="15" style="1" width="12"/>
    <col collapsed="false" customWidth="true" hidden="false" outlineLevel="0" max="16" min="16" style="1" width="13"/>
    <col collapsed="false" customWidth="true" hidden="false" outlineLevel="0" max="17" min="17" style="1" width="9"/>
    <col collapsed="false" customWidth="true" hidden="false" outlineLevel="0" max="18" min="18" style="1" width="17"/>
    <col collapsed="false" customWidth="true" hidden="false" outlineLevel="0" max="21" min="19" style="1" width="16"/>
    <col collapsed="false" customWidth="true" hidden="false" outlineLevel="0" max="22" min="22" style="1" width="14"/>
    <col collapsed="false" customWidth="true" hidden="false" outlineLevel="0" max="23" min="23" style="1" width="12.81"/>
    <col collapsed="false" customWidth="true" hidden="false" outlineLevel="0" max="24" min="24" style="1" width="9.23"/>
    <col collapsed="false" customWidth="false" hidden="false" outlineLevel="0" max="26" min="25" style="1" width="11.53"/>
    <col collapsed="false" customWidth="true" hidden="false" outlineLevel="0" max="27" min="27" style="0" width="9.23"/>
    <col collapsed="false" customWidth="true" hidden="false" outlineLevel="0" max="28" min="28" style="0" width="13"/>
    <col collapsed="false" customWidth="true" hidden="false" outlineLevel="0" max="29" min="29" style="0" width="12"/>
  </cols>
  <sheetData>
    <row r="1" customFormat="false" ht="17.35" hidden="false" customHeight="false" outlineLevel="0" collapsed="false">
      <c r="A1" s="2" t="s">
        <v>0</v>
      </c>
    </row>
    <row r="2" customFormat="false" ht="13.8" hidden="false" customHeight="false" outlineLevel="0" collapsed="false">
      <c r="A2" s="3" t="s">
        <v>1</v>
      </c>
      <c r="B2" s="4" t="s">
        <v>2</v>
      </c>
      <c r="D2" s="0"/>
      <c r="E2" s="0"/>
    </row>
    <row r="3" customFormat="false" ht="12.8" hidden="false" customHeight="false" outlineLevel="0" collapsed="false">
      <c r="A3" s="5" t="s">
        <v>3</v>
      </c>
      <c r="B3" s="1" t="s">
        <v>4</v>
      </c>
    </row>
    <row r="4" customFormat="false" ht="12.8" hidden="false" customHeight="false" outlineLevel="0" collapsed="false">
      <c r="A4" s="5" t="s">
        <v>5</v>
      </c>
      <c r="B4" s="1" t="s">
        <v>6</v>
      </c>
      <c r="N4" s="6" t="s">
        <v>7</v>
      </c>
      <c r="O4" s="6"/>
      <c r="P4" s="6"/>
      <c r="Q4" s="7" t="s">
        <v>8</v>
      </c>
      <c r="R4" s="7"/>
      <c r="S4" s="7"/>
      <c r="T4" s="7"/>
      <c r="U4" s="1" t="s">
        <v>9</v>
      </c>
      <c r="V4" s="1" t="s">
        <v>10</v>
      </c>
      <c r="W4" s="7" t="s">
        <v>11</v>
      </c>
      <c r="X4" s="7"/>
      <c r="Y4" s="7" t="s">
        <v>12</v>
      </c>
      <c r="Z4" s="7"/>
    </row>
    <row r="5" customFormat="false" ht="52.8" hidden="false" customHeight="false" outlineLevel="0" collapsed="false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8" t="s">
        <v>22</v>
      </c>
      <c r="K5" s="9" t="s">
        <v>23</v>
      </c>
      <c r="L5" s="10"/>
      <c r="M5" s="10"/>
      <c r="N5" s="11" t="s">
        <v>24</v>
      </c>
      <c r="O5" s="8" t="s">
        <v>25</v>
      </c>
      <c r="P5" s="8" t="s">
        <v>26</v>
      </c>
      <c r="Q5" s="8" t="s">
        <v>27</v>
      </c>
      <c r="R5" s="8" t="s">
        <v>28</v>
      </c>
      <c r="S5" s="8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8" t="s">
        <v>34</v>
      </c>
      <c r="Y5" s="8" t="s">
        <v>35</v>
      </c>
      <c r="Z5" s="8" t="s">
        <v>36</v>
      </c>
    </row>
    <row r="6" customFormat="false" ht="13.8" hidden="false" customHeight="false" outlineLevel="0" collapsed="false">
      <c r="A6" s="1" t="s">
        <v>37</v>
      </c>
      <c r="B6" s="4" t="s">
        <v>38</v>
      </c>
      <c r="C6" s="12" t="n">
        <v>6.22602308534386</v>
      </c>
      <c r="D6" s="12" t="e">
        <f aca="false">#N/A</f>
        <v>#N/A</v>
      </c>
      <c r="E6" s="12"/>
      <c r="F6" s="12" t="e">
        <f aca="false">#N/A</f>
        <v>#N/A</v>
      </c>
      <c r="G6" s="12" t="n">
        <v>4.52140738144502</v>
      </c>
      <c r="H6" s="13" t="e">
        <f aca="false">#N/A</f>
        <v>#N/A</v>
      </c>
      <c r="I6" s="12" t="n">
        <v>100.08</v>
      </c>
      <c r="J6" s="14" t="n">
        <v>-0.00238659158967434</v>
      </c>
      <c r="O6" s="12" t="n">
        <v>6.22602349612125</v>
      </c>
      <c r="P6" s="12" t="n">
        <v>2.83042592565341</v>
      </c>
      <c r="Q6" s="12" t="n">
        <v>-4.35884628391392E-007</v>
      </c>
      <c r="R6" s="12" t="n">
        <v>0.0190993383766047</v>
      </c>
      <c r="S6" s="12"/>
      <c r="T6" s="12"/>
      <c r="U6" s="12" t="n">
        <v>-1.46361480769608</v>
      </c>
      <c r="V6" s="12" t="n">
        <v>-1.46361524358071</v>
      </c>
      <c r="W6" s="1" t="s">
        <v>39</v>
      </c>
    </row>
    <row r="7" customFormat="false" ht="13.8" hidden="false" customHeight="false" outlineLevel="0" collapsed="false">
      <c r="A7" s="1" t="s">
        <v>40</v>
      </c>
      <c r="B7" s="4" t="s">
        <v>41</v>
      </c>
      <c r="C7" s="12" t="n">
        <v>4.89413051311505</v>
      </c>
      <c r="D7" s="12" t="n">
        <v>-2.10643679124649</v>
      </c>
      <c r="E7" s="12"/>
      <c r="F7" s="12" t="n">
        <v>7.00056730436154</v>
      </c>
      <c r="G7" s="12" t="n">
        <v>8.40923886475082</v>
      </c>
      <c r="H7" s="15" t="n">
        <v>0.105809</v>
      </c>
      <c r="I7" s="12" t="n">
        <v>97.47</v>
      </c>
      <c r="J7" s="14" t="n">
        <v>-0.00202744497086183</v>
      </c>
      <c r="O7" s="12" t="n">
        <v>7.33854758519872</v>
      </c>
      <c r="P7" s="12" t="n">
        <v>4.57738085638928</v>
      </c>
      <c r="Q7" s="12" t="n">
        <v>-2.27729661066979</v>
      </c>
      <c r="R7" s="12" t="n">
        <v>-2.29235130522857</v>
      </c>
      <c r="S7" s="12"/>
      <c r="T7" s="12"/>
      <c r="U7" s="12" t="n">
        <v>0.340914290048988</v>
      </c>
      <c r="V7" s="12" t="n">
        <v>-1.9363823206208</v>
      </c>
      <c r="W7" s="1" t="s">
        <v>42</v>
      </c>
    </row>
    <row r="8" customFormat="false" ht="13.8" hidden="false" customHeight="false" outlineLevel="0" collapsed="false">
      <c r="A8" s="1" t="s">
        <v>43</v>
      </c>
      <c r="B8" s="4" t="s">
        <v>44</v>
      </c>
      <c r="C8" s="12" t="n">
        <v>6.0723826726492</v>
      </c>
      <c r="D8" s="12" t="n">
        <v>2.64526878268088</v>
      </c>
      <c r="E8" s="12"/>
      <c r="F8" s="12" t="n">
        <v>3.42711388996833</v>
      </c>
      <c r="G8" s="12" t="n">
        <v>3.98997923997735</v>
      </c>
      <c r="H8" s="15" t="n">
        <v>0.166453</v>
      </c>
      <c r="I8" s="12" t="n">
        <v>103.63</v>
      </c>
      <c r="J8" s="14" t="n">
        <v>-0.0184171591843124</v>
      </c>
      <c r="O8" s="12" t="n">
        <v>38.7337739966562</v>
      </c>
      <c r="P8" s="12" t="n">
        <v>4.64324494324067</v>
      </c>
      <c r="Q8" s="12" t="n">
        <v>-23.5424945946352</v>
      </c>
      <c r="R8" s="12" t="n">
        <v>-23.6029019766162</v>
      </c>
      <c r="S8" s="12"/>
      <c r="T8" s="12"/>
      <c r="U8" s="12" t="n">
        <v>25.3190009517388</v>
      </c>
      <c r="V8" s="12" t="n">
        <v>1.77650635710358</v>
      </c>
      <c r="W8" s="1" t="s">
        <v>45</v>
      </c>
    </row>
    <row r="9" customFormat="false" ht="13.8" hidden="false" customHeight="false" outlineLevel="0" collapsed="false">
      <c r="A9" s="1" t="s">
        <v>46</v>
      </c>
      <c r="B9" s="4" t="s">
        <v>47</v>
      </c>
      <c r="C9" s="12" t="n">
        <v>5.30315601251614</v>
      </c>
      <c r="D9" s="12" t="n">
        <v>2.17398565010361</v>
      </c>
      <c r="E9" s="12"/>
      <c r="F9" s="12" t="n">
        <v>3.12917036241254</v>
      </c>
      <c r="G9" s="12" t="n">
        <v>7.45178423076156</v>
      </c>
      <c r="H9" s="15" t="n">
        <v>0.091834</v>
      </c>
      <c r="I9" s="12" t="n">
        <v>92.06</v>
      </c>
      <c r="J9" s="14" t="n">
        <v>-0.0811534023091473</v>
      </c>
      <c r="O9" s="12" t="n">
        <v>7.4717268434559</v>
      </c>
      <c r="P9" s="12" t="n">
        <v>4.19531955941692</v>
      </c>
      <c r="Q9" s="12" t="n">
        <v>-2.01780599700515</v>
      </c>
      <c r="R9" s="12" t="n">
        <v>-1.88829716711949</v>
      </c>
      <c r="S9" s="12"/>
      <c r="T9" s="12"/>
      <c r="U9" s="12" t="n">
        <v>-0.219552727341466</v>
      </c>
      <c r="V9" s="12" t="n">
        <v>-2.23735872434662</v>
      </c>
      <c r="W9" s="1" t="s">
        <v>42</v>
      </c>
    </row>
    <row r="10" customFormat="false" ht="13.8" hidden="false" customHeight="false" outlineLevel="0" collapsed="false">
      <c r="A10" s="1" t="s">
        <v>48</v>
      </c>
      <c r="B10" s="4" t="s">
        <v>49</v>
      </c>
      <c r="C10" s="12" t="n">
        <v>3.18790546992007</v>
      </c>
      <c r="D10" s="12" t="n">
        <v>0.142343516419641</v>
      </c>
      <c r="E10" s="12"/>
      <c r="F10" s="12" t="n">
        <v>3.04556195350043</v>
      </c>
      <c r="G10" s="12" t="n">
        <v>0</v>
      </c>
      <c r="H10" s="13" t="n">
        <v>0.36303</v>
      </c>
      <c r="I10" s="12" t="e">
        <f aca="false">#N/A</f>
        <v>#N/A</v>
      </c>
      <c r="J10" s="14" t="e">
        <f aca="false">#N/A</f>
        <v>#N/A</v>
      </c>
      <c r="O10" s="12" t="n">
        <v>14.1902245735162</v>
      </c>
      <c r="P10" s="12" t="n">
        <v>3.36056521946184</v>
      </c>
      <c r="Q10" s="12" t="n">
        <v>-9.6350797975423</v>
      </c>
      <c r="R10" s="12" t="n">
        <v>-9.32321536498407</v>
      </c>
      <c r="S10" s="12"/>
      <c r="T10" s="12"/>
      <c r="U10" s="12" t="n">
        <v>7.38582970927539</v>
      </c>
      <c r="V10" s="12" t="n">
        <v>-2.24925008826691</v>
      </c>
      <c r="W10" s="1" t="s">
        <v>42</v>
      </c>
    </row>
    <row r="11" customFormat="false" ht="13.8" hidden="false" customHeight="false" outlineLevel="0" collapsed="false">
      <c r="A11" s="1" t="s">
        <v>50</v>
      </c>
      <c r="B11" s="4" t="s">
        <v>51</v>
      </c>
      <c r="C11" s="12" t="n">
        <v>4.55739817222143</v>
      </c>
      <c r="D11" s="12" t="n">
        <v>2.70779654230726</v>
      </c>
      <c r="E11" s="12"/>
      <c r="F11" s="12" t="n">
        <v>1.84960162991417</v>
      </c>
      <c r="G11" s="12" t="n">
        <v>6.76102092584714</v>
      </c>
      <c r="H11" s="13" t="n">
        <v>0.448625</v>
      </c>
      <c r="I11" s="12" t="n">
        <v>106.47</v>
      </c>
      <c r="J11" s="14" t="n">
        <v>0.0619547154133776</v>
      </c>
      <c r="O11" s="12" t="n">
        <v>5.65776121789077</v>
      </c>
      <c r="P11" s="12" t="n">
        <v>3.89444961245704</v>
      </c>
      <c r="Q11" s="12" t="n">
        <v>-1.04144076558623</v>
      </c>
      <c r="R11" s="12" t="n">
        <v>0.606730234831154</v>
      </c>
      <c r="S11" s="12"/>
      <c r="T11" s="12"/>
      <c r="U11" s="12" t="n">
        <v>-1.31472497029357</v>
      </c>
      <c r="V11" s="12" t="n">
        <v>-2.3561657358798</v>
      </c>
      <c r="W11" s="1" t="s">
        <v>42</v>
      </c>
    </row>
    <row r="12" customFormat="false" ht="13.8" hidden="false" customHeight="false" outlineLevel="0" collapsed="false">
      <c r="A12" s="1" t="s">
        <v>52</v>
      </c>
      <c r="B12" s="4" t="s">
        <v>53</v>
      </c>
      <c r="C12" s="12" t="n">
        <v>5.54590323533735</v>
      </c>
      <c r="D12" s="12" t="n">
        <v>3.90083068310145</v>
      </c>
      <c r="E12" s="12"/>
      <c r="F12" s="12" t="n">
        <v>1.64507255223589</v>
      </c>
      <c r="G12" s="12" t="n">
        <v>6.52858358376784</v>
      </c>
      <c r="H12" s="13" t="n">
        <v>0.250584</v>
      </c>
      <c r="I12" s="12" t="n">
        <v>89.85</v>
      </c>
      <c r="J12" s="14" t="n">
        <v>-0.0752068309064835</v>
      </c>
      <c r="O12" s="12" t="n">
        <v>7.10153009562631</v>
      </c>
      <c r="P12" s="12" t="n">
        <v>5.55235683676152</v>
      </c>
      <c r="Q12" s="12" t="n">
        <v>-1.45247878383683</v>
      </c>
      <c r="R12" s="12" t="n">
        <v>-0.757730407503132</v>
      </c>
      <c r="S12" s="12"/>
      <c r="T12" s="12"/>
      <c r="U12" s="12" t="n">
        <v>-1.68337395050817</v>
      </c>
      <c r="V12" s="12" t="n">
        <v>-3.135852734345</v>
      </c>
      <c r="W12" s="1" t="s">
        <v>42</v>
      </c>
    </row>
    <row r="13" customFormat="false" ht="13.8" hidden="false" customHeight="false" outlineLevel="0" collapsed="false">
      <c r="A13" s="1" t="s">
        <v>54</v>
      </c>
      <c r="B13" s="4" t="s">
        <v>55</v>
      </c>
      <c r="C13" s="12" t="n">
        <v>7.4267355779162</v>
      </c>
      <c r="D13" s="12" t="n">
        <v>6.03440363983321</v>
      </c>
      <c r="E13" s="12"/>
      <c r="F13" s="12" t="n">
        <v>1.39233193808299</v>
      </c>
      <c r="G13" s="12" t="n">
        <v>6.39114476947322</v>
      </c>
      <c r="H13" s="15" t="n">
        <v>0.220276</v>
      </c>
      <c r="I13" s="12" t="e">
        <f aca="false">#N/A</f>
        <v>#N/A</v>
      </c>
      <c r="J13" s="14" t="e">
        <f aca="false">#N/A</f>
        <v>#N/A</v>
      </c>
      <c r="O13" s="12" t="n">
        <v>9.32580259401012</v>
      </c>
      <c r="P13" s="12" t="n">
        <v>6.08541281346757</v>
      </c>
      <c r="Q13" s="12" t="n">
        <v>-1.7370712221633</v>
      </c>
      <c r="R13" s="12" t="n">
        <v>-1.68747825070256</v>
      </c>
      <c r="S13" s="12"/>
      <c r="T13" s="12"/>
      <c r="U13" s="12" t="n">
        <v>-0.0180415832548686</v>
      </c>
      <c r="V13" s="12" t="n">
        <v>-1.75511280541817</v>
      </c>
      <c r="W13" s="1" t="s">
        <v>42</v>
      </c>
    </row>
    <row r="14" customFormat="false" ht="13.8" hidden="false" customHeight="false" outlineLevel="0" collapsed="false">
      <c r="A14" s="1" t="s">
        <v>56</v>
      </c>
      <c r="B14" s="4" t="s">
        <v>57</v>
      </c>
      <c r="C14" s="12" t="n">
        <v>8.04080786481942</v>
      </c>
      <c r="D14" s="12" t="n">
        <v>8.18897546557529</v>
      </c>
      <c r="E14" s="12"/>
      <c r="F14" s="12" t="n">
        <v>-0.148167600755867</v>
      </c>
      <c r="G14" s="12" t="n">
        <v>6.15174064270962</v>
      </c>
      <c r="H14" s="13" t="n">
        <v>0.200188</v>
      </c>
      <c r="I14" s="12" t="n">
        <v>128.8</v>
      </c>
      <c r="J14" s="14" t="n">
        <v>0.217293364045293</v>
      </c>
      <c r="O14" s="12" t="n">
        <v>7.96691638350615</v>
      </c>
      <c r="P14" s="12" t="n">
        <v>3.52386773197417</v>
      </c>
      <c r="Q14" s="12" t="n">
        <v>0.0684391742759916</v>
      </c>
      <c r="R14" s="12" t="n">
        <v>0.97479935084055</v>
      </c>
      <c r="S14" s="12"/>
      <c r="T14" s="12"/>
      <c r="U14" s="12" t="n">
        <v>1.50224398996022</v>
      </c>
      <c r="V14" s="12" t="n">
        <v>1.57068316423621</v>
      </c>
      <c r="W14" s="1" t="s">
        <v>45</v>
      </c>
    </row>
    <row r="15" customFormat="false" ht="13.8" hidden="false" customHeight="false" outlineLevel="0" collapsed="false">
      <c r="A15" s="1" t="s">
        <v>58</v>
      </c>
      <c r="B15" s="4" t="s">
        <v>59</v>
      </c>
      <c r="C15" s="12" t="n">
        <v>3.36214452307169</v>
      </c>
      <c r="D15" s="12" t="n">
        <v>4.14332502085868</v>
      </c>
      <c r="E15" s="12"/>
      <c r="F15" s="12" t="n">
        <v>-0.781180497786993</v>
      </c>
      <c r="G15" s="12" t="n">
        <v>2.58337029805233</v>
      </c>
      <c r="H15" s="13" t="n">
        <v>2.656892</v>
      </c>
      <c r="I15" s="12" t="n">
        <v>100.98</v>
      </c>
      <c r="J15" s="14" t="n">
        <v>0.0496574901164378</v>
      </c>
      <c r="O15" s="12" t="n">
        <v>3.28713913909304</v>
      </c>
      <c r="P15" s="12" t="n">
        <v>1.82238731634576</v>
      </c>
      <c r="Q15" s="12" t="n">
        <v>0.072618201810748</v>
      </c>
      <c r="R15" s="12" t="n">
        <v>1.18008285142082</v>
      </c>
      <c r="S15" s="12"/>
      <c r="T15" s="12"/>
      <c r="U15" s="12" t="n">
        <v>-2.04779903672847</v>
      </c>
      <c r="V15" s="12" t="n">
        <v>-1.97518083491772</v>
      </c>
      <c r="W15" s="1" t="s">
        <v>42</v>
      </c>
    </row>
    <row r="16" customFormat="false" ht="13.8" hidden="false" customHeight="false" outlineLevel="0" collapsed="false">
      <c r="A16" s="1" t="s">
        <v>60</v>
      </c>
      <c r="B16" s="4" t="s">
        <v>61</v>
      </c>
      <c r="C16" s="12" t="n">
        <v>3.30419239887669</v>
      </c>
      <c r="D16" s="12" t="n">
        <v>4.48229230793573</v>
      </c>
      <c r="E16" s="12"/>
      <c r="F16" s="12" t="n">
        <v>-1.17809990905904</v>
      </c>
      <c r="G16" s="12" t="n">
        <v>4.42767290045278</v>
      </c>
      <c r="H16" s="13" t="e">
        <f aca="false">#N/A</f>
        <v>#N/A</v>
      </c>
      <c r="I16" s="12" t="n">
        <v>97.38</v>
      </c>
      <c r="J16" s="14" t="n">
        <v>-0.00983777379086642</v>
      </c>
      <c r="O16" s="12" t="n">
        <v>3.32051229564503</v>
      </c>
      <c r="P16" s="12" t="n">
        <v>1.08445843862379</v>
      </c>
      <c r="Q16" s="12" t="n">
        <v>-0.0157953090392571</v>
      </c>
      <c r="R16" s="12" t="n">
        <v>-0.0453431478066202</v>
      </c>
      <c r="S16" s="12"/>
      <c r="T16" s="12"/>
      <c r="U16" s="12" t="n">
        <v>-1.27438876163297</v>
      </c>
      <c r="V16" s="12" t="n">
        <v>-1.29018407067223</v>
      </c>
      <c r="W16" s="1" t="s">
        <v>42</v>
      </c>
    </row>
    <row r="17" customFormat="false" ht="13.8" hidden="false" customHeight="false" outlineLevel="0" collapsed="false">
      <c r="A17" s="1" t="s">
        <v>62</v>
      </c>
      <c r="B17" s="4" t="s">
        <v>63</v>
      </c>
      <c r="C17" s="12" t="n">
        <v>4.51341518586059</v>
      </c>
      <c r="D17" s="12" t="n">
        <v>5.71166846785096</v>
      </c>
      <c r="E17" s="12"/>
      <c r="F17" s="12" t="n">
        <v>-1.19825328199037</v>
      </c>
      <c r="G17" s="12" t="n">
        <v>3.80681638056453</v>
      </c>
      <c r="H17" s="13" t="e">
        <f aca="false">#N/A</f>
        <v>#N/A</v>
      </c>
      <c r="I17" s="12" t="n">
        <v>104.96</v>
      </c>
      <c r="J17" s="14" t="n">
        <v>0.0501137746732287</v>
      </c>
      <c r="O17" s="12" t="n">
        <v>4.32757878708117</v>
      </c>
      <c r="P17" s="12" t="n">
        <v>1.55948533275321</v>
      </c>
      <c r="Q17" s="12" t="n">
        <v>0.178127927233751</v>
      </c>
      <c r="R17" s="12" t="n">
        <v>0.792052151823208</v>
      </c>
      <c r="S17" s="12"/>
      <c r="T17" s="12"/>
      <c r="U17" s="12" t="n">
        <v>-0.0798995313749717</v>
      </c>
      <c r="V17" s="12" t="n">
        <v>0.0982283958587793</v>
      </c>
      <c r="W17" s="1" t="s">
        <v>45</v>
      </c>
    </row>
    <row r="18" customFormat="false" ht="13.8" hidden="false" customHeight="false" outlineLevel="0" collapsed="false">
      <c r="A18" s="1" t="s">
        <v>64</v>
      </c>
      <c r="B18" s="4" t="s">
        <v>65</v>
      </c>
      <c r="C18" s="12" t="n">
        <v>6.42661601616978</v>
      </c>
      <c r="D18" s="12" t="n">
        <v>7.64772889042424</v>
      </c>
      <c r="E18" s="12"/>
      <c r="F18" s="12" t="n">
        <v>-1.22111287425446</v>
      </c>
      <c r="G18" s="12" t="n">
        <v>4.82362690806129</v>
      </c>
      <c r="H18" s="13" t="n">
        <v>0.686637</v>
      </c>
      <c r="I18" s="12" t="n">
        <v>115.62</v>
      </c>
      <c r="J18" s="14" t="n">
        <v>0.088447303743273</v>
      </c>
      <c r="O18" s="12" t="n">
        <v>5.85791414621373</v>
      </c>
      <c r="P18" s="12" t="n">
        <v>3.09689941272042</v>
      </c>
      <c r="Q18" s="12" t="n">
        <v>0.537231233200397</v>
      </c>
      <c r="R18" s="12" t="n">
        <v>1.0012241859177</v>
      </c>
      <c r="S18" s="12"/>
      <c r="T18" s="12"/>
      <c r="U18" s="12" t="n">
        <v>-1.39214859660524</v>
      </c>
      <c r="V18" s="12" t="n">
        <v>-0.854917363404839</v>
      </c>
      <c r="W18" s="1" t="s">
        <v>42</v>
      </c>
    </row>
    <row r="19" customFormat="false" ht="13.8" hidden="false" customHeight="false" outlineLevel="0" collapsed="false">
      <c r="A19" s="1" t="s">
        <v>66</v>
      </c>
      <c r="B19" s="4" t="s">
        <v>67</v>
      </c>
      <c r="C19" s="12" t="n">
        <v>6.9666928460034</v>
      </c>
      <c r="D19" s="12" t="n">
        <v>8.29152257280621</v>
      </c>
      <c r="E19" s="12"/>
      <c r="F19" s="12" t="n">
        <v>-1.32482972680281</v>
      </c>
      <c r="G19" s="12" t="n">
        <v>9.80609299628581</v>
      </c>
      <c r="H19" s="13" t="n">
        <v>0.512929</v>
      </c>
      <c r="I19" s="12" t="n">
        <v>90.65</v>
      </c>
      <c r="J19" s="14" t="n">
        <v>-0.0885578745578294</v>
      </c>
      <c r="O19" s="12" t="n">
        <v>10.0502333970022</v>
      </c>
      <c r="P19" s="12" t="n">
        <v>5.83486925696819</v>
      </c>
      <c r="Q19" s="12" t="n">
        <v>-2.80193913135095</v>
      </c>
      <c r="R19" s="12" t="n">
        <v>-3.02152569189389</v>
      </c>
      <c r="S19" s="12"/>
      <c r="T19" s="12"/>
      <c r="U19" s="12" t="n">
        <v>1.61720643263046</v>
      </c>
      <c r="V19" s="12" t="n">
        <v>-1.18473269872049</v>
      </c>
      <c r="W19" s="1" t="s">
        <v>42</v>
      </c>
    </row>
    <row r="20" customFormat="false" ht="13.8" hidden="false" customHeight="false" outlineLevel="0" collapsed="false">
      <c r="A20" s="1" t="s">
        <v>68</v>
      </c>
      <c r="B20" s="4" t="s">
        <v>69</v>
      </c>
      <c r="C20" s="12" t="n">
        <v>4.38031876960645</v>
      </c>
      <c r="D20" s="12" t="n">
        <v>5.90496249378008</v>
      </c>
      <c r="E20" s="12"/>
      <c r="F20" s="12" t="n">
        <v>-1.52464372417362</v>
      </c>
      <c r="G20" s="12" t="n">
        <v>6.13430911733286</v>
      </c>
      <c r="H20" s="15" t="n">
        <v>0.000779</v>
      </c>
      <c r="I20" s="12" t="n">
        <v>136.8</v>
      </c>
      <c r="J20" s="14" t="n">
        <v>0.213460313364353</v>
      </c>
      <c r="O20" s="12" t="n">
        <v>6.49721611632816</v>
      </c>
      <c r="P20" s="12" t="n">
        <v>1.17308228711242</v>
      </c>
      <c r="Q20" s="12" t="n">
        <v>-1.98774903809013</v>
      </c>
      <c r="R20" s="12" t="n">
        <v>-0.404799355773289</v>
      </c>
      <c r="S20" s="12"/>
      <c r="T20" s="12"/>
      <c r="U20" s="12" t="n">
        <v>1.72593527495883</v>
      </c>
      <c r="V20" s="12" t="n">
        <v>-0.261813763131291</v>
      </c>
      <c r="W20" s="1" t="s">
        <v>70</v>
      </c>
    </row>
    <row r="21" customFormat="false" ht="13.8" hidden="false" customHeight="false" outlineLevel="0" collapsed="false">
      <c r="A21" s="1" t="s">
        <v>71</v>
      </c>
      <c r="B21" s="4" t="s">
        <v>72</v>
      </c>
      <c r="C21" s="12" t="n">
        <v>4.01714805316831</v>
      </c>
      <c r="D21" s="12" t="n">
        <v>7.60235101140896</v>
      </c>
      <c r="E21" s="12"/>
      <c r="F21" s="12" t="n">
        <v>-3.58520295824065</v>
      </c>
      <c r="G21" s="12" t="n">
        <v>5.23297413989625</v>
      </c>
      <c r="H21" s="13" t="n">
        <v>0.037565</v>
      </c>
      <c r="I21" s="12" t="n">
        <v>110.52</v>
      </c>
      <c r="J21" s="14" t="n">
        <v>0.0437775717215993</v>
      </c>
      <c r="O21" s="12" t="n">
        <v>5.68770141827799</v>
      </c>
      <c r="P21" s="12" t="n">
        <v>2.2130551204659</v>
      </c>
      <c r="Q21" s="12" t="n">
        <v>-1.58065067685447</v>
      </c>
      <c r="R21" s="12" t="n">
        <v>-0.84761192904711</v>
      </c>
      <c r="S21" s="12"/>
      <c r="T21" s="12"/>
      <c r="U21" s="12" t="n">
        <v>-0.283903834066779</v>
      </c>
      <c r="V21" s="12" t="n">
        <v>-1.86455451092125</v>
      </c>
      <c r="W21" s="1" t="s">
        <v>73</v>
      </c>
    </row>
    <row r="22" customFormat="false" ht="13.8" hidden="false" customHeight="false" outlineLevel="0" collapsed="false">
      <c r="A22" s="1" t="s">
        <v>74</v>
      </c>
      <c r="B22" s="4" t="s">
        <v>75</v>
      </c>
      <c r="C22" s="12" t="n">
        <v>3.06014611353314</v>
      </c>
      <c r="D22" s="12" t="n">
        <v>7.68833370027924</v>
      </c>
      <c r="E22" s="12"/>
      <c r="F22" s="12" t="n">
        <v>-4.6281875867461</v>
      </c>
      <c r="G22" s="12" t="n">
        <v>5.68724861023466</v>
      </c>
      <c r="H22" s="15" t="n">
        <v>0.085493</v>
      </c>
      <c r="I22" s="12" t="n">
        <v>111.8</v>
      </c>
      <c r="J22" s="14" t="n">
        <v>0.0768578022000766</v>
      </c>
      <c r="O22" s="12" t="n">
        <v>4.54948723142359</v>
      </c>
      <c r="P22" s="12" t="n">
        <v>1.24872813924162</v>
      </c>
      <c r="Q22" s="12" t="n">
        <v>-1.4245322902572</v>
      </c>
      <c r="R22" s="12" t="n">
        <v>-0.893195788090595</v>
      </c>
      <c r="S22" s="12"/>
      <c r="T22" s="12"/>
      <c r="U22" s="12" t="n">
        <v>0.184514907241518</v>
      </c>
      <c r="V22" s="12" t="n">
        <v>-1.24001738301568</v>
      </c>
      <c r="W22" s="1" t="s">
        <v>45</v>
      </c>
    </row>
    <row r="23" customFormat="false" ht="13.8" hidden="false" customHeight="false" outlineLevel="0" collapsed="false">
      <c r="A23" s="1" t="s">
        <v>76</v>
      </c>
      <c r="B23" s="4" t="s">
        <v>77</v>
      </c>
      <c r="C23" s="12" t="n">
        <v>3.88265256460685</v>
      </c>
      <c r="D23" s="12" t="n">
        <v>9.23682000979254</v>
      </c>
      <c r="E23" s="12"/>
      <c r="F23" s="12" t="n">
        <v>-5.35416744518569</v>
      </c>
      <c r="G23" s="12" t="n">
        <v>4.21326408492793</v>
      </c>
      <c r="H23" s="13" t="n">
        <v>0.131487</v>
      </c>
      <c r="I23" s="12" t="n">
        <v>102.04</v>
      </c>
      <c r="J23" s="14" t="n">
        <v>0.0243585956970905</v>
      </c>
      <c r="O23" s="12" t="n">
        <v>3.69795749585034</v>
      </c>
      <c r="P23" s="12" t="n">
        <v>0.731411087434952</v>
      </c>
      <c r="Q23" s="12" t="n">
        <v>0.178108560729617</v>
      </c>
      <c r="R23" s="12" t="n">
        <v>0.792052151823208</v>
      </c>
      <c r="S23" s="12"/>
      <c r="T23" s="12"/>
      <c r="U23" s="12" t="n">
        <v>-0.324432250407369</v>
      </c>
      <c r="V23" s="12" t="n">
        <v>-0.146323689677752</v>
      </c>
      <c r="W23" s="1" t="s">
        <v>45</v>
      </c>
    </row>
    <row r="24" customFormat="false" ht="13.8" hidden="false" customHeight="false" outlineLevel="0" collapsed="false">
      <c r="A24" s="1" t="s">
        <v>78</v>
      </c>
      <c r="B24" s="4" t="s">
        <v>79</v>
      </c>
      <c r="C24" s="12" t="n">
        <v>3.75076879167791</v>
      </c>
      <c r="D24" s="12" t="n">
        <v>9.18392772226902</v>
      </c>
      <c r="E24" s="12"/>
      <c r="F24" s="12" t="n">
        <v>-5.43315893059111</v>
      </c>
      <c r="G24" s="12" t="n">
        <v>5.07285458190205</v>
      </c>
      <c r="H24" s="13" t="n">
        <v>0.020245</v>
      </c>
      <c r="I24" s="12" t="n">
        <v>103.82</v>
      </c>
      <c r="J24" s="14" t="n">
        <v>0.0494788620847522</v>
      </c>
      <c r="O24" s="12" t="n">
        <v>2.25487036017904</v>
      </c>
      <c r="P24" s="12" t="n">
        <v>1.68216009840916</v>
      </c>
      <c r="Q24" s="12" t="n">
        <v>1.46291159328249</v>
      </c>
      <c r="R24" s="12" t="n">
        <v>2.37286674081529</v>
      </c>
      <c r="S24" s="12"/>
      <c r="T24" s="12"/>
      <c r="U24" s="12" t="n">
        <v>-2.38147134851574</v>
      </c>
      <c r="V24" s="12" t="n">
        <v>-0.91855975523325</v>
      </c>
      <c r="W24" s="1" t="s">
        <v>45</v>
      </c>
    </row>
    <row r="25" customFormat="false" ht="13.8" hidden="false" customHeight="false" outlineLevel="0" collapsed="false">
      <c r="A25" s="1" t="s">
        <v>80</v>
      </c>
      <c r="B25" s="4" t="s">
        <v>81</v>
      </c>
      <c r="C25" s="12" t="n">
        <v>3.24439500595144</v>
      </c>
      <c r="D25" s="12" t="n">
        <v>9.49306534077972</v>
      </c>
      <c r="E25" s="12"/>
      <c r="F25" s="12" t="n">
        <v>-6.24867033482828</v>
      </c>
      <c r="G25" s="12" t="n">
        <v>3.92239528297906</v>
      </c>
      <c r="H25" s="13" t="n">
        <v>0.164005</v>
      </c>
      <c r="I25" s="12" t="n">
        <v>96.52</v>
      </c>
      <c r="J25" s="14" t="n">
        <v>-0.0165790796585666</v>
      </c>
      <c r="O25" s="12" t="n">
        <v>3.06083666318733</v>
      </c>
      <c r="P25" s="12" t="n">
        <v>1.14892013425676</v>
      </c>
      <c r="Q25" s="12" t="n">
        <v>0.178106827408109</v>
      </c>
      <c r="R25" s="12" t="n">
        <v>0.792052151823208</v>
      </c>
      <c r="S25" s="12"/>
      <c r="T25" s="12"/>
      <c r="U25" s="12" t="n">
        <v>-0.887097027994721</v>
      </c>
      <c r="V25" s="12" t="n">
        <v>-0.708990200586612</v>
      </c>
      <c r="W25" s="1" t="s">
        <v>45</v>
      </c>
    </row>
    <row r="26" customFormat="false" ht="13.8" hidden="false" customHeight="false" outlineLevel="0" collapsed="false">
      <c r="A26" s="1" t="s">
        <v>82</v>
      </c>
      <c r="B26" s="4" t="s">
        <v>83</v>
      </c>
      <c r="C26" s="12" t="n">
        <v>5.46347350435099</v>
      </c>
      <c r="D26" s="12" t="n">
        <v>11.7432520603905</v>
      </c>
      <c r="E26" s="12"/>
      <c r="F26" s="12" t="n">
        <v>-6.27977855603947</v>
      </c>
      <c r="G26" s="12" t="n">
        <v>4.53369022758081</v>
      </c>
      <c r="H26" s="13" t="n">
        <v>0.571043</v>
      </c>
      <c r="I26" s="12" t="n">
        <v>105.38</v>
      </c>
      <c r="J26" s="14" t="n">
        <v>0.0534595845474728</v>
      </c>
      <c r="O26" s="12" t="n">
        <v>5.27596988664363</v>
      </c>
      <c r="P26" s="12" t="n">
        <v>1.87377848903982</v>
      </c>
      <c r="Q26" s="12" t="n">
        <v>0.178106738849193</v>
      </c>
      <c r="R26" s="12" t="n">
        <v>0.792052151823208</v>
      </c>
      <c r="S26" s="12"/>
      <c r="T26" s="12"/>
      <c r="U26" s="12" t="n">
        <v>-0.0173723897148648</v>
      </c>
      <c r="V26" s="12" t="n">
        <v>0.160734349134328</v>
      </c>
      <c r="W26" s="1" t="s">
        <v>45</v>
      </c>
    </row>
    <row r="27" customFormat="false" ht="13.8" hidden="false" customHeight="false" outlineLevel="0" collapsed="false">
      <c r="A27" s="1" t="s">
        <v>84</v>
      </c>
      <c r="B27" s="4" t="s">
        <v>85</v>
      </c>
      <c r="C27" s="12" t="n">
        <v>2.81837355813022</v>
      </c>
      <c r="D27" s="12" t="n">
        <v>9.17276056911947</v>
      </c>
      <c r="E27" s="12"/>
      <c r="F27" s="12" t="n">
        <v>-6.35438701098925</v>
      </c>
      <c r="G27" s="12" t="n">
        <v>5.15252636267827</v>
      </c>
      <c r="H27" s="13" t="n">
        <v>0.220601</v>
      </c>
      <c r="I27" s="12" t="n">
        <v>101.8</v>
      </c>
      <c r="J27" s="14" t="n">
        <v>0.0168302250633982</v>
      </c>
      <c r="O27" s="12" t="n">
        <v>4.44339325615979</v>
      </c>
      <c r="P27" s="12" t="n">
        <v>1.41502893702057</v>
      </c>
      <c r="Q27" s="12" t="n">
        <v>-1.55588559315968</v>
      </c>
      <c r="R27" s="12" t="n">
        <v>-0.854421616289203</v>
      </c>
      <c r="S27" s="12"/>
      <c r="T27" s="12"/>
      <c r="U27" s="12" t="n">
        <v>-0.306792971704284</v>
      </c>
      <c r="V27" s="12" t="n">
        <v>-1.86267856486396</v>
      </c>
      <c r="W27" s="1" t="s">
        <v>45</v>
      </c>
    </row>
    <row r="28" customFormat="false" ht="13.8" hidden="false" customHeight="false" outlineLevel="0" collapsed="false">
      <c r="A28" s="1" t="s">
        <v>86</v>
      </c>
      <c r="B28" s="4" t="s">
        <v>87</v>
      </c>
      <c r="C28" s="12" t="n">
        <v>4.60022232560635</v>
      </c>
      <c r="D28" s="12" t="n">
        <v>11.3694919422805</v>
      </c>
      <c r="E28" s="12"/>
      <c r="F28" s="12" t="n">
        <v>-6.76926961667417</v>
      </c>
      <c r="G28" s="12" t="n">
        <v>5.30611673080474</v>
      </c>
      <c r="H28" s="15" t="n">
        <v>0.281916</v>
      </c>
      <c r="I28" s="12" t="n">
        <v>103.63</v>
      </c>
      <c r="J28" s="14" t="n">
        <v>0.0319249792203304</v>
      </c>
      <c r="O28" s="12" t="n">
        <v>4.41425375852782</v>
      </c>
      <c r="P28" s="12" t="n">
        <v>1.99869821861827</v>
      </c>
      <c r="Q28" s="12" t="n">
        <v>0.17810643855094</v>
      </c>
      <c r="R28" s="12" t="n">
        <v>0.792052151823208</v>
      </c>
      <c r="S28" s="12"/>
      <c r="T28" s="12"/>
      <c r="U28" s="12" t="n">
        <v>-0.761936934757124</v>
      </c>
      <c r="V28" s="12" t="n">
        <v>-0.583830496206184</v>
      </c>
      <c r="W28" s="1" t="s">
        <v>45</v>
      </c>
    </row>
    <row r="29" customFormat="false" ht="13.8" hidden="false" customHeight="false" outlineLevel="0" collapsed="false">
      <c r="A29" s="1" t="s">
        <v>88</v>
      </c>
      <c r="B29" s="4" t="s">
        <v>89</v>
      </c>
      <c r="C29" s="12" t="n">
        <v>2.09141850160466</v>
      </c>
      <c r="D29" s="12" t="n">
        <v>9.68717017122369</v>
      </c>
      <c r="E29" s="12"/>
      <c r="F29" s="12" t="n">
        <v>-7.59575166961903</v>
      </c>
      <c r="G29" s="12" t="n">
        <v>3.70230711997215</v>
      </c>
      <c r="H29" s="13" t="n">
        <v>0.211376</v>
      </c>
      <c r="I29" s="12" t="n">
        <v>112.14</v>
      </c>
      <c r="J29" s="14" t="n">
        <v>0.0571102253994272</v>
      </c>
      <c r="O29" s="12" t="n">
        <v>5.70368305566849</v>
      </c>
      <c r="P29" s="12" t="n">
        <v>0.653311172166338</v>
      </c>
      <c r="Q29" s="12" t="n">
        <v>-3.4173495121461</v>
      </c>
      <c r="R29" s="12" t="n">
        <v>-0.679944118789555</v>
      </c>
      <c r="S29" s="12"/>
      <c r="T29" s="12"/>
      <c r="U29" s="12" t="n">
        <v>1.74643567654425</v>
      </c>
      <c r="V29" s="12" t="n">
        <v>-1.67091383560185</v>
      </c>
      <c r="W29" s="1" t="s">
        <v>90</v>
      </c>
    </row>
    <row r="30" customFormat="false" ht="13.8" hidden="false" customHeight="false" outlineLevel="0" collapsed="false">
      <c r="A30" s="1" t="s">
        <v>91</v>
      </c>
      <c r="B30" s="4" t="s">
        <v>92</v>
      </c>
      <c r="C30" s="12" t="n">
        <v>3.25999154699563</v>
      </c>
      <c r="D30" s="12" t="n">
        <v>10.8903734447555</v>
      </c>
      <c r="E30" s="12"/>
      <c r="F30" s="12" t="n">
        <v>-7.63038189775985</v>
      </c>
      <c r="G30" s="12" t="n">
        <v>3.66350396897965</v>
      </c>
      <c r="H30" s="13" t="n">
        <v>0.206035</v>
      </c>
      <c r="I30" s="12" t="n">
        <v>99.77</v>
      </c>
      <c r="J30" s="14" t="n">
        <v>-0.000788796278669451</v>
      </c>
      <c r="O30" s="12" t="n">
        <v>3.07640767700248</v>
      </c>
      <c r="P30" s="12" t="n">
        <v>1.00789022451036</v>
      </c>
      <c r="Q30" s="12" t="n">
        <v>0.1781046938514</v>
      </c>
      <c r="R30" s="12" t="n">
        <v>0.792052151823208</v>
      </c>
      <c r="S30" s="12"/>
      <c r="T30" s="12"/>
      <c r="U30" s="12" t="n">
        <v>-0.920423434213702</v>
      </c>
      <c r="V30" s="12" t="n">
        <v>-0.742318740362302</v>
      </c>
      <c r="W30" s="1" t="s">
        <v>45</v>
      </c>
    </row>
    <row r="31" customFormat="false" ht="13.8" hidden="false" customHeight="false" outlineLevel="0" collapsed="false">
      <c r="A31" s="1" t="s">
        <v>93</v>
      </c>
      <c r="B31" s="4" t="s">
        <v>94</v>
      </c>
      <c r="C31" s="12" t="n">
        <v>3.90748881677163</v>
      </c>
      <c r="D31" s="12" t="n">
        <v>11.6063250495176</v>
      </c>
      <c r="E31" s="12"/>
      <c r="F31" s="12" t="n">
        <v>-7.69883623274599</v>
      </c>
      <c r="G31" s="12" t="n">
        <v>5.12211007169265</v>
      </c>
      <c r="H31" s="13" t="n">
        <v>0.078615</v>
      </c>
      <c r="I31" s="12" t="n">
        <v>96.52</v>
      </c>
      <c r="J31" s="14" t="n">
        <v>-0.046181186797535</v>
      </c>
      <c r="O31" s="12" t="n">
        <v>4.80414801181937</v>
      </c>
      <c r="P31" s="12" t="n">
        <v>1.76951597941728</v>
      </c>
      <c r="Q31" s="12" t="n">
        <v>-0.855556966330973</v>
      </c>
      <c r="R31" s="12" t="n">
        <v>0.133129439484647</v>
      </c>
      <c r="S31" s="12"/>
      <c r="T31" s="12"/>
      <c r="U31" s="12" t="n">
        <v>-0.493936232374748</v>
      </c>
      <c r="V31" s="12" t="n">
        <v>-1.34949319870572</v>
      </c>
      <c r="W31" s="1" t="s">
        <v>95</v>
      </c>
    </row>
    <row r="32" customFormat="false" ht="13.8" hidden="false" customHeight="false" outlineLevel="0" collapsed="false">
      <c r="A32" s="1" t="s">
        <v>96</v>
      </c>
      <c r="B32" s="4" t="s">
        <v>97</v>
      </c>
      <c r="C32" s="12" t="n">
        <v>2.28761778464299</v>
      </c>
      <c r="D32" s="12" t="n">
        <v>10.0379995512476</v>
      </c>
      <c r="E32" s="12"/>
      <c r="F32" s="12" t="n">
        <v>-7.75038176660457</v>
      </c>
      <c r="G32" s="12" t="n">
        <v>3.95914364042658</v>
      </c>
      <c r="H32" s="15" t="n">
        <v>0.044557</v>
      </c>
      <c r="I32" s="12" t="n">
        <v>109.71</v>
      </c>
      <c r="J32" s="14" t="n">
        <v>-0.0572921696842989</v>
      </c>
      <c r="O32" s="12" t="n">
        <v>7.76902155323047</v>
      </c>
      <c r="P32" s="12" t="n">
        <v>1.42614316351772</v>
      </c>
      <c r="Q32" s="12" t="n">
        <v>-5.08625190671275</v>
      </c>
      <c r="R32" s="12" t="n">
        <v>-3.28598613234997</v>
      </c>
      <c r="S32" s="12"/>
      <c r="T32" s="12"/>
      <c r="U32" s="12" t="n">
        <v>2.30962046218184</v>
      </c>
      <c r="V32" s="12" t="n">
        <v>-2.77663144453091</v>
      </c>
      <c r="W32" s="1" t="s">
        <v>70</v>
      </c>
    </row>
    <row r="33" customFormat="false" ht="13.8" hidden="false" customHeight="false" outlineLevel="0" collapsed="false">
      <c r="A33" s="1" t="s">
        <v>98</v>
      </c>
      <c r="B33" s="4" t="s">
        <v>99</v>
      </c>
      <c r="C33" s="12" t="n">
        <v>1.90326389493289</v>
      </c>
      <c r="D33" s="12" t="n">
        <v>9.78675418367239</v>
      </c>
      <c r="E33" s="12"/>
      <c r="F33" s="12" t="n">
        <v>-7.88349028873949</v>
      </c>
      <c r="G33" s="12" t="n">
        <v>4.15003608156233</v>
      </c>
      <c r="H33" s="13" t="n">
        <v>0.743633</v>
      </c>
      <c r="I33" s="12" t="n">
        <v>86.86</v>
      </c>
      <c r="J33" s="14" t="n">
        <v>-0.124670087457535</v>
      </c>
      <c r="O33" s="12" t="n">
        <v>4.13734268545711</v>
      </c>
      <c r="P33" s="12" t="n">
        <v>2.3121154835499</v>
      </c>
      <c r="Q33" s="12" t="n">
        <v>-2.14531941373154</v>
      </c>
      <c r="R33" s="12" t="n">
        <v>-2.04536615006293</v>
      </c>
      <c r="S33" s="12"/>
      <c r="T33" s="12"/>
      <c r="U33" s="12" t="n">
        <v>-1.04703712870669</v>
      </c>
      <c r="V33" s="12" t="n">
        <v>-3.19235654243822</v>
      </c>
      <c r="W33" s="1" t="s">
        <v>42</v>
      </c>
    </row>
    <row r="34" customFormat="false" ht="13.8" hidden="false" customHeight="false" outlineLevel="0" collapsed="false">
      <c r="A34" s="1" t="s">
        <v>100</v>
      </c>
      <c r="B34" s="4" t="s">
        <v>101</v>
      </c>
      <c r="C34" s="12" t="n">
        <v>-0.3777999050533</v>
      </c>
      <c r="D34" s="12" t="n">
        <v>7.64772137287921</v>
      </c>
      <c r="E34" s="12"/>
      <c r="F34" s="12" t="n">
        <v>-8.02552127793251</v>
      </c>
      <c r="G34" s="12" t="n">
        <v>4.04595423992784</v>
      </c>
      <c r="H34" s="13" t="n">
        <v>0.34735</v>
      </c>
      <c r="I34" s="12" t="n">
        <v>67.73</v>
      </c>
      <c r="J34" s="14" t="n">
        <v>-0.231076037372234</v>
      </c>
      <c r="O34" s="12" t="n">
        <v>1.62358819245192</v>
      </c>
      <c r="P34" s="12" t="n">
        <v>0.443002208074717</v>
      </c>
      <c r="Q34" s="12" t="n">
        <v>-1.96941282169112</v>
      </c>
      <c r="R34" s="12" t="n">
        <v>-2.61170994625668</v>
      </c>
      <c r="S34" s="12"/>
      <c r="T34" s="12"/>
      <c r="U34" s="12" t="n">
        <v>-1.79345344400688</v>
      </c>
      <c r="V34" s="12" t="n">
        <v>-3.762866265698</v>
      </c>
      <c r="W34" s="1" t="s">
        <v>42</v>
      </c>
    </row>
    <row r="35" customFormat="false" ht="13.8" hidden="false" customHeight="false" outlineLevel="0" collapsed="false">
      <c r="A35" s="1" t="s">
        <v>102</v>
      </c>
      <c r="B35" s="4" t="s">
        <v>103</v>
      </c>
      <c r="C35" s="12" t="n">
        <v>4.08444437901003</v>
      </c>
      <c r="D35" s="12" t="n">
        <v>12.5038231971539</v>
      </c>
      <c r="E35" s="12"/>
      <c r="F35" s="12" t="n">
        <v>-8.41937881814388</v>
      </c>
      <c r="G35" s="12" t="n">
        <v>4.48127661202311</v>
      </c>
      <c r="H35" s="13" t="n">
        <v>0.107334</v>
      </c>
      <c r="I35" s="12" t="n">
        <v>107.49</v>
      </c>
      <c r="J35" s="14" t="n">
        <v>0.0704571604464776</v>
      </c>
      <c r="O35" s="12" t="n">
        <v>3.89935826046448</v>
      </c>
      <c r="P35" s="12" t="n">
        <v>1.02033358436364</v>
      </c>
      <c r="Q35" s="12" t="n">
        <v>0.178139873968664</v>
      </c>
      <c r="R35" s="12" t="n">
        <v>0.792052151823208</v>
      </c>
      <c r="S35" s="12"/>
      <c r="T35" s="12"/>
      <c r="U35" s="12" t="n">
        <v>0.228828551805282</v>
      </c>
      <c r="V35" s="12" t="n">
        <v>0.406968425773946</v>
      </c>
      <c r="W35" s="1" t="s">
        <v>45</v>
      </c>
    </row>
    <row r="36" customFormat="false" ht="13.8" hidden="false" customHeight="false" outlineLevel="0" collapsed="false">
      <c r="A36" s="1" t="s">
        <v>104</v>
      </c>
      <c r="B36" s="4" t="s">
        <v>105</v>
      </c>
      <c r="C36" s="12" t="n">
        <v>5.2837240606842</v>
      </c>
      <c r="D36" s="12" t="n">
        <v>14.595624383799</v>
      </c>
      <c r="E36" s="12"/>
      <c r="F36" s="12" t="n">
        <v>-9.31190032311476</v>
      </c>
      <c r="G36" s="12" t="n">
        <v>3.81834318970995</v>
      </c>
      <c r="H36" s="13" t="n">
        <v>0.094522</v>
      </c>
      <c r="I36" s="12" t="n">
        <v>106.94</v>
      </c>
      <c r="J36" s="14" t="n">
        <v>0.0477904053184123</v>
      </c>
      <c r="O36" s="12" t="n">
        <v>5.2837240606842</v>
      </c>
      <c r="P36" s="12" t="n">
        <v>2.3994562790661</v>
      </c>
      <c r="Q36" s="12" t="n">
        <v>0</v>
      </c>
      <c r="R36" s="12" t="n">
        <v>0</v>
      </c>
      <c r="S36" s="12"/>
      <c r="T36" s="12"/>
      <c r="U36" s="12" t="n">
        <v>0</v>
      </c>
      <c r="V36" s="12" t="n">
        <v>0</v>
      </c>
      <c r="W36" s="1" t="s">
        <v>95</v>
      </c>
    </row>
    <row r="37" customFormat="false" ht="13.8" hidden="false" customHeight="false" outlineLevel="0" collapsed="false">
      <c r="A37" s="1" t="s">
        <v>106</v>
      </c>
      <c r="B37" s="4" t="s">
        <v>107</v>
      </c>
      <c r="C37" s="12" t="n">
        <v>3.78066626760696</v>
      </c>
      <c r="D37" s="12" t="n">
        <v>13.592974653823</v>
      </c>
      <c r="E37" s="12"/>
      <c r="F37" s="12" t="n">
        <v>-9.81230838621603</v>
      </c>
      <c r="G37" s="12" t="n">
        <v>5.15508705054264</v>
      </c>
      <c r="H37" s="13" t="e">
        <f aca="false">#N/A</f>
        <v>#N/A</v>
      </c>
      <c r="I37" s="12" t="n">
        <v>101.05</v>
      </c>
      <c r="J37" s="14" t="n">
        <v>0.00473068693156981</v>
      </c>
      <c r="O37" s="12" t="n">
        <v>3.59613087868436</v>
      </c>
      <c r="P37" s="12" t="n">
        <v>1.65969054285919</v>
      </c>
      <c r="Q37" s="12" t="n">
        <v>0.178129713798869</v>
      </c>
      <c r="R37" s="12" t="n">
        <v>0.792052151823208</v>
      </c>
      <c r="S37" s="12"/>
      <c r="T37" s="12"/>
      <c r="U37" s="12" t="n">
        <v>-1.02676813582414</v>
      </c>
      <c r="V37" s="12" t="n">
        <v>-0.848638422025272</v>
      </c>
      <c r="W37" s="1" t="s">
        <v>45</v>
      </c>
    </row>
    <row r="38" customFormat="false" ht="13.8" hidden="false" customHeight="false" outlineLevel="0" collapsed="false">
      <c r="A38" s="1" t="s">
        <v>108</v>
      </c>
      <c r="B38" s="4" t="s">
        <v>109</v>
      </c>
      <c r="C38" s="12" t="n">
        <v>5.16427809321134</v>
      </c>
      <c r="D38" s="12" t="n">
        <v>17.0977898112201</v>
      </c>
      <c r="E38" s="12"/>
      <c r="F38" s="12" t="n">
        <v>-11.9335117180088</v>
      </c>
      <c r="G38" s="12" t="n">
        <v>6.05555234998381</v>
      </c>
      <c r="H38" s="13" t="e">
        <f aca="false">#N/A</f>
        <v>#N/A</v>
      </c>
      <c r="I38" s="12" t="n">
        <v>98.05</v>
      </c>
      <c r="J38" s="14" t="n">
        <v>-0.00774962343320188</v>
      </c>
      <c r="O38" s="12" t="n">
        <v>4.69807269618427</v>
      </c>
      <c r="P38" s="12" t="n">
        <v>3.41440762717999</v>
      </c>
      <c r="Q38" s="12" t="n">
        <v>0.445285645229387</v>
      </c>
      <c r="R38" s="12" t="n">
        <v>0.241267036018233</v>
      </c>
      <c r="S38" s="12"/>
      <c r="T38" s="12"/>
      <c r="U38" s="12" t="n">
        <v>-1.62266098251236</v>
      </c>
      <c r="V38" s="12" t="n">
        <v>-1.17737533728297</v>
      </c>
      <c r="W38" s="1" t="s">
        <v>42</v>
      </c>
    </row>
    <row r="40" customFormat="false" ht="15" hidden="false" customHeight="false" outlineLevel="0" collapsed="false">
      <c r="A40" s="16" t="s">
        <v>110</v>
      </c>
    </row>
    <row r="41" customFormat="false" ht="15" hidden="false" customHeight="false" outlineLevel="0" collapsed="false">
      <c r="A41" s="17" t="s">
        <v>111</v>
      </c>
    </row>
    <row r="42" s="18" customFormat="true" ht="15" hidden="false" customHeight="false" outlineLevel="0" collapsed="false">
      <c r="A42" s="16" t="s">
        <v>112</v>
      </c>
      <c r="B42" s="5" t="s">
        <v>113</v>
      </c>
      <c r="C42" s="5" t="s">
        <v>114</v>
      </c>
      <c r="D42" s="5" t="s">
        <v>115</v>
      </c>
      <c r="E42" s="5"/>
      <c r="F42" s="5" t="s">
        <v>116</v>
      </c>
      <c r="G42" s="5"/>
      <c r="H42" s="5"/>
      <c r="I42" s="5"/>
      <c r="J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3.8" hidden="false" customHeight="false" outlineLevel="0" collapsed="false">
      <c r="A43" s="19" t="s">
        <v>14</v>
      </c>
      <c r="B43" s="4" t="s">
        <v>117</v>
      </c>
      <c r="C43" s="1" t="s">
        <v>118</v>
      </c>
      <c r="D43" s="1" t="s">
        <v>119</v>
      </c>
      <c r="F43" s="1" t="s">
        <v>120</v>
      </c>
    </row>
    <row r="44" customFormat="false" ht="26.95" hidden="false" customHeight="false" outlineLevel="0" collapsed="false">
      <c r="A44" s="20" t="s">
        <v>15</v>
      </c>
      <c r="B44" s="4" t="s">
        <v>121</v>
      </c>
      <c r="C44" s="1" t="s">
        <v>122</v>
      </c>
      <c r="D44" s="1" t="s">
        <v>123</v>
      </c>
      <c r="F44" s="1" t="s">
        <v>124</v>
      </c>
    </row>
    <row r="45" customFormat="false" ht="13.8" hidden="false" customHeight="false" outlineLevel="0" collapsed="false">
      <c r="A45" s="19" t="s">
        <v>125</v>
      </c>
      <c r="B45" s="4" t="s">
        <v>126</v>
      </c>
    </row>
    <row r="46" customFormat="false" ht="13.8" hidden="false" customHeight="false" outlineLevel="0" collapsed="false">
      <c r="A46" s="19" t="s">
        <v>127</v>
      </c>
      <c r="B46" s="4" t="s">
        <v>128</v>
      </c>
    </row>
    <row r="47" customFormat="false" ht="13.8" hidden="false" customHeight="false" outlineLevel="0" collapsed="false">
      <c r="A47" s="19" t="s">
        <v>129</v>
      </c>
      <c r="B47" s="4" t="s">
        <v>130</v>
      </c>
    </row>
    <row r="48" customFormat="false" ht="13.8" hidden="false" customHeight="false" outlineLevel="0" collapsed="false">
      <c r="A48" s="19" t="s">
        <v>131</v>
      </c>
      <c r="B48" s="4" t="s">
        <v>132</v>
      </c>
    </row>
    <row r="49" customFormat="false" ht="13.8" hidden="false" customHeight="false" outlineLevel="0" collapsed="false">
      <c r="A49" s="19" t="s">
        <v>22</v>
      </c>
      <c r="B49" s="4" t="s">
        <v>133</v>
      </c>
    </row>
    <row r="50" customFormat="false" ht="13.8" hidden="false" customHeight="false" outlineLevel="0" collapsed="false">
      <c r="A50" s="19" t="s">
        <v>21</v>
      </c>
      <c r="B50" s="4" t="s">
        <v>134</v>
      </c>
    </row>
    <row r="51" customFormat="false" ht="13.8" hidden="false" customHeight="false" outlineLevel="0" collapsed="false">
      <c r="A51" s="19"/>
      <c r="B51" s="4"/>
    </row>
    <row r="52" customFormat="false" ht="13.8" hidden="false" customHeight="false" outlineLevel="0" collapsed="false">
      <c r="A52" s="19" t="s">
        <v>135</v>
      </c>
      <c r="B52" s="4"/>
    </row>
    <row r="53" customFormat="false" ht="13.8" hidden="false" customHeight="false" outlineLevel="0" collapsed="false">
      <c r="A53" s="19" t="s">
        <v>27</v>
      </c>
      <c r="B53" s="4" t="s">
        <v>136</v>
      </c>
    </row>
    <row r="54" customFormat="false" ht="13.8" hidden="false" customHeight="false" outlineLevel="0" collapsed="false">
      <c r="A54" s="19" t="s">
        <v>28</v>
      </c>
      <c r="B54" s="4" t="s">
        <v>137</v>
      </c>
    </row>
    <row r="55" customFormat="false" ht="13.8" hidden="false" customHeight="false" outlineLevel="0" collapsed="false">
      <c r="A55" s="19" t="s">
        <v>31</v>
      </c>
      <c r="B55" s="4" t="s">
        <v>138</v>
      </c>
    </row>
    <row r="56" customFormat="false" ht="13.8" hidden="false" customHeight="false" outlineLevel="0" collapsed="false">
      <c r="A56" s="19" t="s">
        <v>32</v>
      </c>
      <c r="B56" s="4" t="s">
        <v>139</v>
      </c>
    </row>
    <row r="58" customFormat="false" ht="12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</row>
    <row r="59" customFormat="false" ht="12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</row>
    <row r="60" customFormat="false" ht="12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</row>
    <row r="61" customFormat="false" ht="12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</row>
    <row r="62" customFormat="false" ht="12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</row>
    <row r="63" customFormat="false" ht="12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</row>
    <row r="64" customFormat="false" ht="12.8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</row>
    <row r="65" customFormat="false" ht="12.8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</row>
    <row r="66" customFormat="false" ht="12.8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</row>
    <row r="67" customFormat="false" ht="12.8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</row>
    <row r="68" customFormat="false" ht="12.8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</row>
    <row r="69" customFormat="false" ht="12.8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</row>
    <row r="70" customFormat="false" ht="12.8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</row>
    <row r="71" customFormat="false" ht="12.8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</row>
    <row r="72" customFormat="false" ht="12.8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</row>
    <row r="73" customFormat="false" ht="12.8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</row>
    <row r="74" customFormat="false" ht="12.8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</row>
    <row r="75" customFormat="false" ht="12.8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</row>
    <row r="76" customFormat="false" ht="12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</row>
    <row r="77" customFormat="false" ht="12.8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</row>
    <row r="78" customFormat="false" ht="12.8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</row>
    <row r="79" customFormat="false" ht="12.8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</row>
    <row r="80" customFormat="false" ht="12.8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</row>
    <row r="81" customFormat="false" ht="12.8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</row>
    <row r="82" customFormat="false" ht="12.8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</row>
    <row r="83" customFormat="false" ht="12.8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</row>
    <row r="84" customFormat="false" ht="12.8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</row>
    <row r="85" customFormat="false" ht="12.8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</row>
    <row r="86" customFormat="false" ht="12.8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</row>
    <row r="87" customFormat="false" ht="12.8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</row>
    <row r="88" customFormat="false" ht="12.8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</row>
    <row r="89" customFormat="false" ht="12.8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</row>
    <row r="90" customFormat="false" ht="12.8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</row>
    <row r="91" customFormat="false" ht="12.8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</row>
    <row r="92" customFormat="false" ht="12.8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</row>
    <row r="93" customFormat="false" ht="12.8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</row>
    <row r="94" customFormat="false" ht="12.8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</row>
    <row r="95" customFormat="false" ht="12.8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</row>
    <row r="96" customFormat="false" ht="12.8" hidden="false" customHeight="false" outlineLevel="0" collapsed="false">
      <c r="A96" s="0"/>
      <c r="B96" s="0"/>
      <c r="C96" s="0"/>
      <c r="D96" s="0"/>
      <c r="E96" s="0"/>
      <c r="F96" s="0"/>
      <c r="G96" s="0"/>
      <c r="H96" s="0"/>
      <c r="I96" s="0"/>
      <c r="J96" s="0"/>
    </row>
    <row r="97" customFormat="false" ht="12.8" hidden="false" customHeight="false" outlineLevel="0" collapsed="false">
      <c r="A97" s="0"/>
      <c r="B97" s="0"/>
      <c r="C97" s="0"/>
      <c r="D97" s="0"/>
      <c r="E97" s="0"/>
      <c r="F97" s="0"/>
      <c r="G97" s="0"/>
      <c r="H97" s="0"/>
      <c r="I97" s="0"/>
      <c r="J97" s="0"/>
    </row>
    <row r="98" customFormat="false" ht="12.8" hidden="false" customHeight="false" outlineLevel="0" collapsed="false">
      <c r="A98" s="0"/>
      <c r="B98" s="0"/>
      <c r="C98" s="0"/>
      <c r="D98" s="0"/>
      <c r="E98" s="0"/>
      <c r="F98" s="0"/>
      <c r="G98" s="0"/>
      <c r="H98" s="0"/>
      <c r="I98" s="0"/>
      <c r="J98" s="0"/>
    </row>
    <row r="99" customFormat="false" ht="12.8" hidden="false" customHeight="false" outlineLevel="0" collapsed="false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 customFormat="false" ht="12.8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</row>
    <row r="101" customFormat="false" ht="12.8" hidden="false" customHeight="fals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</row>
  </sheetData>
  <mergeCells count="4">
    <mergeCell ref="N4:P4"/>
    <mergeCell ref="Q4:T4"/>
    <mergeCell ref="W4:X4"/>
    <mergeCell ref="Y4:Z4"/>
  </mergeCells>
  <conditionalFormatting sqref="J6:J38 C6:H38 O6:P38">
    <cfRule type="cellIs" priority="2" operator="greaterThanOrEqual" aboveAverage="0" equalAverage="0" bottom="0" percent="0" rank="0" text="" dxfId="0">
      <formula>10</formula>
    </cfRule>
    <cfRule type="cellIs" priority="3" operator="greaterThanOrEqual" aboveAverage="0" equalAverage="0" bottom="0" percent="0" rank="0" text="" dxfId="1">
      <formula>5</formula>
    </cfRule>
    <cfRule type="cellIs" priority="4" operator="greaterThanOrEqual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H6:H38">
    <cfRule type="cellIs" priority="6" operator="lessThanOrEqual" aboveAverage="0" equalAverage="0" bottom="0" percent="0" rank="0" text="" dxfId="0">
      <formula>1</formula>
    </cfRule>
    <cfRule type="cellIs" priority="7" operator="lessThanOrEqual" aboveAverage="0" equalAverage="0" bottom="0" percent="0" rank="0" text="" dxfId="2">
      <formula>3</formula>
    </cfRule>
    <cfRule type="cellIs" priority="8" operator="greaterThan" aboveAverage="0" equalAverage="0" bottom="0" percent="0" rank="0" text="" dxfId="3">
      <formula>3</formula>
    </cfRule>
    <cfRule type="cellIs" priority="9" operator="greaterThan" aboveAverage="0" equalAverage="0" bottom="0" percent="0" rank="0" text="" dxfId="4">
      <formula>6</formula>
    </cfRule>
  </conditionalFormatting>
  <conditionalFormatting sqref="I6:I38">
    <cfRule type="cellIs" priority="10" operator="greaterThanOrEqual" aboveAverage="0" equalAverage="0" bottom="0" percent="0" rank="0" text="" dxfId="0">
      <formula>110</formula>
    </cfRule>
    <cfRule type="cellIs" priority="11" operator="between" aboveAverage="0" equalAverage="0" bottom="0" percent="0" rank="0" text="" dxfId="2">
      <formula>100</formula>
      <formula>110</formula>
    </cfRule>
    <cfRule type="cellIs" priority="12" operator="between" aboveAverage="0" equalAverage="0" bottom="0" percent="0" rank="0" text="" dxfId="3">
      <formula>90</formula>
      <formula>100</formula>
    </cfRule>
    <cfRule type="cellIs" priority="13" operator="lessThan" aboveAverage="0" equalAverage="0" bottom="0" percent="0" rank="0" text="" dxfId="4">
      <formula>90</formula>
    </cfRule>
  </conditionalFormatting>
  <dataValidations count="34">
    <dataValidation allowBlank="false" errorStyle="stop" operator="equal" showDropDown="false" showErrorMessage="false" showInputMessage="false" sqref="B2" type="list">
      <formula1>"1Y,3Y,5Y,10Y"</formula1>
      <formula2>0</formula2>
    </dataValidation>
    <dataValidation allowBlank="false" errorStyle="stop" operator="equal" showDropDown="false" showErrorMessage="false" showInputMessage="false" sqref="B6" type="list">
      <formula1>OFFSET(#REF!,IFERROR(MATCH($A23,#REF!,0)-1,0),0,COUNTIF(#REF!,$A23),1)</formula1>
      <formula2>0</formula2>
    </dataValidation>
    <dataValidation allowBlank="false" errorStyle="stop" operator="equal" showDropDown="false" showErrorMessage="false" showInputMessage="false" sqref="B7" type="list">
      <formula1>OFFSET(#REF!,IFERROR(MATCH($A30,#REF!,0)-1,0),0,COUNTIF(#REF!,$A30),1)</formula1>
      <formula2>0</formula2>
    </dataValidation>
    <dataValidation allowBlank="false" errorStyle="stop" operator="equal" showDropDown="false" showErrorMessage="false" showInputMessage="false" sqref="B8" type="list">
      <formula1>OFFSET(#REF!,IFERROR(MATCH($A21,#REF!,0)-1,0),0,COUNTIF(#REF!,$A21),1)</formula1>
      <formula2>0</formula2>
    </dataValidation>
    <dataValidation allowBlank="false" errorStyle="stop" operator="equal" showDropDown="false" showErrorMessage="false" showInputMessage="false" sqref="B9" type="list">
      <formula1>OFFSET(#REF!,IFERROR(MATCH($A20,#REF!,0)-1,0),0,COUNTIF(#REF!,$A20),1)</formula1>
      <formula2>0</formula2>
    </dataValidation>
    <dataValidation allowBlank="false" errorStyle="stop" operator="equal" showDropDown="false" showErrorMessage="false" showInputMessage="false" sqref="B10" type="list">
      <formula1>OFFSET(#REF!,IFERROR(MATCH($A37,#REF!,0)-1,0),0,COUNTIF(#REF!,$A37),1)</formula1>
      <formula2>0</formula2>
    </dataValidation>
    <dataValidation allowBlank="false" errorStyle="stop" operator="equal" showDropDown="false" showErrorMessage="false" showInputMessage="false" sqref="B11" type="list">
      <formula1>OFFSET(#REF!,IFERROR(MATCH($A34,#REF!,0)-1,0),0,COUNTIF(#REF!,$A34),1)</formula1>
      <formula2>0</formula2>
    </dataValidation>
    <dataValidation allowBlank="false" errorStyle="stop" operator="equal" showDropDown="false" showErrorMessage="false" showInputMessage="false" sqref="B12" type="list">
      <formula1>OFFSET(#REF!,IFERROR(MATCH($A7,#REF!,0)-1,0),0,COUNTIF(#REF!,$A7),1)</formula1>
      <formula2>0</formula2>
    </dataValidation>
    <dataValidation allowBlank="false" errorStyle="stop" operator="equal" showDropDown="false" showErrorMessage="false" showInputMessage="false" sqref="B13" type="list">
      <formula1>OFFSET(#REF!,IFERROR(MATCH($A33,#REF!,0)-1,0),0,COUNTIF(#REF!,$A33),1)</formula1>
      <formula2>0</formula2>
    </dataValidation>
    <dataValidation allowBlank="false" errorStyle="stop" operator="equal" showDropDown="false" showErrorMessage="false" showInputMessage="false" sqref="B14" type="list">
      <formula1>OFFSET(#REF!,IFERROR(MATCH($A24,#REF!,0)-1,0),0,COUNTIF(#REF!,$A24),1)</formula1>
      <formula2>0</formula2>
    </dataValidation>
    <dataValidation allowBlank="false" errorStyle="stop" operator="equal" showDropDown="false" showErrorMessage="false" showInputMessage="false" sqref="B15" type="list">
      <formula1>OFFSET(#REF!,IFERROR(MATCH($A32,#REF!,0)-1,0),0,COUNTIF(#REF!,$A32),1)</formula1>
      <formula2>0</formula2>
    </dataValidation>
    <dataValidation allowBlank="false" errorStyle="stop" operator="equal" showDropDown="false" showErrorMessage="false" showInputMessage="false" sqref="B16" type="list">
      <formula1>OFFSET(#REF!,IFERROR(MATCH($A35,#REF!,0)-1,0),0,COUNTIF(#REF!,$A35),1)</formula1>
      <formula2>0</formula2>
    </dataValidation>
    <dataValidation allowBlank="false" errorStyle="stop" operator="equal" showDropDown="false" showErrorMessage="false" showInputMessage="false" sqref="B17" type="list">
      <formula1>OFFSET(#REF!,IFERROR(MATCH($A27,#REF!,0)-1,0),0,COUNTIF(#REF!,$A27),1)</formula1>
      <formula2>0</formula2>
    </dataValidation>
    <dataValidation allowBlank="false" errorStyle="stop" operator="equal" showDropDown="false" showErrorMessage="false" showInputMessage="false" sqref="B18" type="list">
      <formula1>OFFSET(#REF!,IFERROR(MATCH($A29,#REF!,0)-1,0),0,COUNTIF(#REF!,$A29),1)</formula1>
      <formula2>0</formula2>
    </dataValidation>
    <dataValidation allowBlank="false" errorStyle="stop" operator="equal" showDropDown="false" showErrorMessage="false" showInputMessage="false" sqref="B19" type="list">
      <formula1>OFFSET(#REF!,IFERROR(MATCH($A8,#REF!,0)-1,0),0,COUNTIF(#REF!,$A8),1)</formula1>
      <formula2>0</formula2>
    </dataValidation>
    <dataValidation allowBlank="false" errorStyle="stop" operator="equal" showDropDown="false" showErrorMessage="false" showInputMessage="false" sqref="B20" type="list">
      <formula1>OFFSET(#REF!,IFERROR(MATCH($A16,#REF!,0)-1,0),0,COUNTIF(#REF!,$A16),1)</formula1>
      <formula2>0</formula2>
    </dataValidation>
    <dataValidation allowBlank="false" errorStyle="stop" operator="equal" showDropDown="false" showErrorMessage="false" showInputMessage="false" sqref="B21" type="list">
      <formula1>OFFSET(#REF!,IFERROR(MATCH($A18,#REF!,0)-1,0),0,COUNTIF(#REF!,$A18),1)</formula1>
      <formula2>0</formula2>
    </dataValidation>
    <dataValidation allowBlank="false" errorStyle="stop" operator="equal" showDropDown="false" showErrorMessage="false" showInputMessage="false" sqref="B22" type="list">
      <formula1>OFFSET(#REF!,IFERROR(MATCH($A11,#REF!,0)-1,0),0,COUNTIF(#REF!,$A11),1)</formula1>
      <formula2>0</formula2>
    </dataValidation>
    <dataValidation allowBlank="false" errorStyle="stop" operator="equal" showDropDown="false" showErrorMessage="false" showInputMessage="false" sqref="B23" type="list">
      <formula1>OFFSET(#REF!,IFERROR(MATCH($A9,#REF!,0)-1,0),0,COUNTIF(#REF!,$A9),1)</formula1>
      <formula2>0</formula2>
    </dataValidation>
    <dataValidation allowBlank="false" errorStyle="stop" operator="equal" showDropDown="false" showErrorMessage="false" showInputMessage="false" sqref="B24" type="list">
      <formula1>OFFSET(#REF!,IFERROR(MATCH($A25,#REF!,0)-1,0),0,COUNTIF(#REF!,$A25),1)</formula1>
      <formula2>0</formula2>
    </dataValidation>
    <dataValidation allowBlank="false" errorStyle="stop" operator="equal" showDropDown="false" showErrorMessage="false" showInputMessage="false" sqref="B25" type="list">
      <formula1>OFFSET(#REF!,IFERROR(MATCH($A12,#REF!,0)-1,0),0,COUNTIF(#REF!,$A12),1)</formula1>
      <formula2>0</formula2>
    </dataValidation>
    <dataValidation allowBlank="false" errorStyle="stop" operator="equal" showDropDown="false" showErrorMessage="false" showInputMessage="false" sqref="B26" type="list">
      <formula1>OFFSET(#REF!,IFERROR(MATCH($A22,#REF!,0)-1,0),0,COUNTIF(#REF!,$A22),1)</formula1>
      <formula2>0</formula2>
    </dataValidation>
    <dataValidation allowBlank="false" errorStyle="stop" operator="equal" showDropDown="false" showErrorMessage="false" showInputMessage="false" sqref="B27" type="list">
      <formula1>OFFSET(#REF!,IFERROR(MATCH($A28,#REF!,0)-1,0),0,COUNTIF(#REF!,$A28),1)</formula1>
      <formula2>0</formula2>
    </dataValidation>
    <dataValidation allowBlank="false" errorStyle="stop" operator="equal" showDropDown="false" showErrorMessage="false" showInputMessage="false" sqref="B28" type="list">
      <formula1>OFFSET(#REF!,IFERROR(MATCH($A17,#REF!,0)-1,0),0,COUNTIF(#REF!,$A17),1)</formula1>
      <formula2>0</formula2>
    </dataValidation>
    <dataValidation allowBlank="false" errorStyle="stop" operator="equal" showDropDown="false" showErrorMessage="false" showInputMessage="false" sqref="B29" type="list">
      <formula1>OFFSET(#REF!,IFERROR(MATCH($A36,#REF!,0)-1,0),0,COUNTIF(#REF!,$A36),1)</formula1>
      <formula2>0</formula2>
    </dataValidation>
    <dataValidation allowBlank="false" errorStyle="stop" operator="equal" showDropDown="false" showErrorMessage="false" showInputMessage="false" sqref="B30" type="list">
      <formula1>OFFSET(#REF!,IFERROR(MATCH($A13,#REF!,0)-1,0),0,COUNTIF(#REF!,$A13),1)</formula1>
      <formula2>0</formula2>
    </dataValidation>
    <dataValidation allowBlank="false" errorStyle="stop" operator="equal" showDropDown="false" showErrorMessage="false" showInputMessage="false" sqref="B31" type="list">
      <formula1>OFFSET(#REF!,IFERROR(MATCH($A14,#REF!,0)-1,0),0,COUNTIF(#REF!,$A14),1)</formula1>
      <formula2>0</formula2>
    </dataValidation>
    <dataValidation allowBlank="false" errorStyle="stop" operator="equal" showDropDown="false" showErrorMessage="false" showInputMessage="false" sqref="B32" type="list">
      <formula1>OFFSET(#REF!,IFERROR(MATCH($A15,#REF!,0)-1,0),0,COUNTIF(#REF!,$A15),1)</formula1>
      <formula2>0</formula2>
    </dataValidation>
    <dataValidation allowBlank="false" errorStyle="stop" operator="equal" showDropDown="false" showErrorMessage="false" showInputMessage="false" sqref="B33" type="list">
      <formula1>OFFSET(#REF!,IFERROR(MATCH($A19,#REF!,0)-1,0),0,COUNTIF(#REF!,$A19),1)</formula1>
      <formula2>0</formula2>
    </dataValidation>
    <dataValidation allowBlank="false" errorStyle="stop" operator="equal" showDropDown="false" showErrorMessage="false" showInputMessage="false" sqref="B34" type="list">
      <formula1>OFFSET(#REF!,IFERROR(MATCH($A10,#REF!,0)-1,0),0,COUNTIF(#REF!,$A10),1)</formula1>
      <formula2>0</formula2>
    </dataValidation>
    <dataValidation allowBlank="false" errorStyle="stop" operator="equal" showDropDown="false" showErrorMessage="false" showInputMessage="false" sqref="B35" type="list">
      <formula1>OFFSET(#REF!,IFERROR(MATCH($A31,#REF!,0)-1,0),0,COUNTIF(#REF!,$A31),1)</formula1>
      <formula2>0</formula2>
    </dataValidation>
    <dataValidation allowBlank="false" errorStyle="stop" operator="equal" showDropDown="false" showErrorMessage="false" showInputMessage="false" sqref="B36" type="list">
      <formula1>OFFSET(#REF!,IFERROR(MATCH($A6,#REF!,0)-1,0),0,COUNTIF(#REF!,$A6),1)</formula1>
      <formula2>0</formula2>
    </dataValidation>
    <dataValidation allowBlank="false" errorStyle="stop" operator="equal" showDropDown="false" showErrorMessage="false" showInputMessage="false" sqref="B37" type="list">
      <formula1>OFFSET(#REF!,IFERROR(MATCH($A38,#REF!,0)-1,0),0,COUNTIF(#REF!,$A38),1)</formula1>
      <formula2>0</formula2>
    </dataValidation>
    <dataValidation allowBlank="false" errorStyle="stop" operator="equal" showDropDown="false" showErrorMessage="false" showInputMessage="false" sqref="B38" type="list">
      <formula1>OFFSET(#REF!,IFERROR(MATCH($A26,#REF!,0)-1,0),0,COUNTIF(#REF!,$A26),1)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7.35" hidden="false" customHeight="false" outlineLevel="0" collapsed="false">
      <c r="A1" s="2" t="s">
        <v>140</v>
      </c>
      <c r="B1" s="1"/>
      <c r="C1" s="1"/>
      <c r="D1" s="1"/>
      <c r="E1" s="1"/>
      <c r="F1" s="1"/>
      <c r="G1" s="1"/>
      <c r="H1" s="1"/>
      <c r="I1" s="1"/>
      <c r="M1" s="1"/>
    </row>
    <row r="2" customFormat="false" ht="13.8" hidden="false" customHeight="false" outlineLevel="0" collapsed="false">
      <c r="A2" s="1" t="s">
        <v>13</v>
      </c>
      <c r="B2" s="4" t="s">
        <v>71</v>
      </c>
      <c r="C2" s="1"/>
      <c r="D2" s="1"/>
      <c r="E2" s="1"/>
      <c r="F2" s="1"/>
      <c r="G2" s="1"/>
      <c r="H2" s="1"/>
      <c r="I2" s="1"/>
      <c r="M2" s="1"/>
    </row>
    <row r="3" customFormat="false" ht="12.8" hidden="false" customHeight="false" outlineLevel="0" collapsed="false">
      <c r="A3" s="1" t="s">
        <v>141</v>
      </c>
      <c r="B3" s="21" t="s">
        <v>72</v>
      </c>
      <c r="C3" s="1"/>
      <c r="D3" s="1"/>
      <c r="E3" s="1"/>
      <c r="F3" s="1"/>
      <c r="G3" s="1"/>
      <c r="H3" s="1"/>
      <c r="I3" s="1"/>
      <c r="M3" s="1"/>
    </row>
    <row r="4" customFormat="false" ht="12.8" hidden="false" customHeight="false" outlineLevel="0" collapsed="false">
      <c r="A4" s="1" t="s">
        <v>142</v>
      </c>
      <c r="B4" s="22" t="n">
        <v>46094</v>
      </c>
      <c r="C4" s="1"/>
      <c r="D4" s="1"/>
      <c r="E4" s="1"/>
      <c r="F4" s="1"/>
      <c r="G4" s="1"/>
      <c r="H4" s="1"/>
      <c r="I4" s="1"/>
      <c r="M4" s="1"/>
    </row>
    <row r="5" customFormat="false" ht="12.8" hidden="false" customHeight="false" outlineLevel="0" collapsed="false">
      <c r="A5" s="1" t="s">
        <v>143</v>
      </c>
      <c r="B5" s="1"/>
      <c r="C5" s="1"/>
      <c r="D5" s="1"/>
      <c r="E5" s="1"/>
      <c r="F5" s="1"/>
      <c r="G5" s="1"/>
      <c r="H5" s="1"/>
      <c r="I5" s="1"/>
      <c r="M5" s="1"/>
    </row>
    <row r="6" customFormat="false" ht="12.8" hidden="false" customHeight="false" outlineLevel="0" collapsed="false">
      <c r="A6" s="1" t="s">
        <v>144</v>
      </c>
      <c r="B6" s="1"/>
      <c r="C6" s="1"/>
      <c r="D6" s="1"/>
      <c r="E6" s="1"/>
      <c r="F6" s="1"/>
      <c r="G6" s="1"/>
      <c r="H6" s="1"/>
      <c r="I6" s="1"/>
      <c r="M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M7" s="1"/>
    </row>
    <row r="8" customFormat="false" ht="13.8" hidden="false" customHeight="false" outlineLevel="0" collapsed="false">
      <c r="A8" s="3" t="s">
        <v>145</v>
      </c>
      <c r="B8" s="1"/>
      <c r="C8" s="1"/>
      <c r="D8" s="1"/>
      <c r="E8" s="1"/>
      <c r="F8" s="1"/>
      <c r="G8" s="1"/>
      <c r="H8" s="1"/>
      <c r="I8" s="1"/>
      <c r="M8" s="1"/>
    </row>
    <row r="9" customFormat="false" ht="13.8" hidden="false" customHeight="false" outlineLevel="0" collapsed="false">
      <c r="A9" s="3" t="s">
        <v>146</v>
      </c>
      <c r="B9" s="3" t="s">
        <v>147</v>
      </c>
      <c r="C9" s="3" t="s">
        <v>148</v>
      </c>
      <c r="D9" s="3" t="s">
        <v>149</v>
      </c>
      <c r="E9" s="1"/>
      <c r="F9" s="1"/>
      <c r="G9" s="1"/>
      <c r="H9" s="1"/>
      <c r="I9" s="1"/>
      <c r="M9" s="1"/>
    </row>
    <row r="10" customFormat="false" ht="12.8" hidden="false" customHeight="false" outlineLevel="0" collapsed="false">
      <c r="A10" s="1" t="s">
        <v>150</v>
      </c>
      <c r="B10" s="12" t="n">
        <v>7.18456165971588</v>
      </c>
      <c r="C10" s="12" t="n">
        <v>8.10521304451322</v>
      </c>
      <c r="D10" s="22" t="n">
        <v>46022</v>
      </c>
      <c r="E10" s="1"/>
      <c r="F10" s="1"/>
      <c r="G10" s="1"/>
      <c r="H10" s="1"/>
      <c r="I10" s="1"/>
      <c r="M10" s="1"/>
    </row>
    <row r="11" customFormat="false" ht="12.8" hidden="false" customHeight="false" outlineLevel="0" collapsed="false">
      <c r="A11" s="1" t="s">
        <v>151</v>
      </c>
      <c r="B11" s="12" t="n">
        <v>-2.74750822321074</v>
      </c>
      <c r="C11" s="12" t="n">
        <v>-0.797291393621669</v>
      </c>
      <c r="D11" s="22" t="n">
        <v>46066</v>
      </c>
      <c r="E11" s="1"/>
      <c r="F11" s="1"/>
      <c r="G11" s="1"/>
      <c r="H11" s="1"/>
      <c r="I11" s="1"/>
      <c r="M11" s="1"/>
    </row>
    <row r="12" customFormat="false" ht="12.8" hidden="false" customHeight="false" outlineLevel="0" collapsed="false">
      <c r="A12" s="1" t="s">
        <v>152</v>
      </c>
      <c r="B12" s="12" t="n">
        <v>8.43112614305082</v>
      </c>
      <c r="C12" s="12" t="n">
        <v>8.73937507482341</v>
      </c>
      <c r="D12" s="22" t="n">
        <v>46003</v>
      </c>
      <c r="E12" s="1"/>
      <c r="F12" s="1"/>
      <c r="G12" s="1"/>
      <c r="H12" s="1"/>
      <c r="I12" s="1"/>
      <c r="M12" s="1"/>
    </row>
    <row r="13" customFormat="false" ht="12.8" hidden="false" customHeight="false" outlineLevel="0" collapsed="false">
      <c r="A13" s="1" t="s">
        <v>153</v>
      </c>
      <c r="B13" s="12" t="n">
        <v>5.6416768879918</v>
      </c>
      <c r="C13" s="12" t="n">
        <v>7.41485335856196</v>
      </c>
      <c r="D13" s="22" t="n">
        <v>45912</v>
      </c>
      <c r="E13" s="1"/>
      <c r="F13" s="1"/>
      <c r="G13" s="1"/>
      <c r="H13" s="1"/>
      <c r="I13" s="1"/>
      <c r="M13" s="1"/>
    </row>
    <row r="14" customFormat="false" ht="12.8" hidden="false" customHeight="false" outlineLevel="0" collapsed="false">
      <c r="A14" s="1" t="s">
        <v>154</v>
      </c>
      <c r="B14" s="12" t="n">
        <v>26.3505740802429</v>
      </c>
      <c r="C14" s="12" t="n">
        <v>22.6769313884387</v>
      </c>
      <c r="D14" s="22" t="n">
        <v>45729</v>
      </c>
      <c r="E14" s="1"/>
      <c r="F14" s="1"/>
      <c r="G14" s="1"/>
      <c r="H14" s="1"/>
      <c r="I14" s="1"/>
      <c r="M14" s="1"/>
    </row>
    <row r="15" customFormat="false" ht="12.8" hidden="false" customHeight="false" outlineLevel="0" collapsed="false">
      <c r="A15" s="1" t="s">
        <v>155</v>
      </c>
      <c r="B15" s="12" t="n">
        <v>18.107924801125</v>
      </c>
      <c r="C15" s="12" t="n">
        <v>6.84625338195506</v>
      </c>
      <c r="D15" s="22" t="n">
        <v>44998</v>
      </c>
      <c r="E15" s="1"/>
      <c r="F15" s="1"/>
      <c r="G15" s="1"/>
      <c r="H15" s="1"/>
      <c r="I15" s="1"/>
      <c r="M15" s="1"/>
    </row>
    <row r="16" customFormat="false" ht="12.8" hidden="false" customHeight="false" outlineLevel="0" collapsed="false">
      <c r="A16" s="1" t="s">
        <v>156</v>
      </c>
      <c r="B16" s="12" t="n">
        <v>38.0878145904901</v>
      </c>
      <c r="C16" s="12" t="n">
        <v>44.6798343421472</v>
      </c>
      <c r="D16" s="22" t="n">
        <v>44267</v>
      </c>
      <c r="E16" s="1"/>
      <c r="F16" s="1"/>
      <c r="G16" s="1"/>
      <c r="H16" s="1"/>
      <c r="I16" s="1"/>
      <c r="M16" s="1"/>
    </row>
    <row r="17" customFormat="false" ht="12.8" hidden="false" customHeight="false" outlineLevel="0" collapsed="false">
      <c r="A17" s="1" t="s">
        <v>157</v>
      </c>
      <c r="B17" s="12" t="n">
        <v>119.084909921034</v>
      </c>
      <c r="C17" s="12" t="n">
        <v>134.430249064395</v>
      </c>
      <c r="D17" s="22" t="n">
        <v>42440</v>
      </c>
      <c r="E17" s="1"/>
      <c r="F17" s="1"/>
      <c r="G17" s="1"/>
      <c r="H17" s="1"/>
      <c r="I17" s="1"/>
      <c r="M17" s="1"/>
    </row>
    <row r="18" customFormat="false" ht="12.8" hidden="false" customHeight="false" outlineLevel="0" collapsed="false">
      <c r="A18" s="1" t="s">
        <v>158</v>
      </c>
      <c r="B18" s="12" t="n">
        <v>154.295847698871</v>
      </c>
      <c r="C18" s="12" t="n">
        <v>209.480334788734</v>
      </c>
      <c r="D18" s="22" t="n">
        <v>40203</v>
      </c>
      <c r="E18" s="1"/>
      <c r="F18" s="1"/>
      <c r="G18" s="1"/>
      <c r="H18" s="1"/>
      <c r="I18" s="1"/>
      <c r="M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M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M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M21" s="1"/>
    </row>
    <row r="22" customFormat="false" ht="13.8" hidden="false" customHeight="false" outlineLevel="0" collapsed="false">
      <c r="A22" s="3" t="s">
        <v>159</v>
      </c>
      <c r="B22" s="1"/>
      <c r="C22" s="1"/>
      <c r="D22" s="1"/>
      <c r="E22" s="1"/>
      <c r="F22" s="1"/>
      <c r="G22" s="1"/>
      <c r="H22" s="1"/>
      <c r="I22" s="1"/>
      <c r="M22" s="1"/>
    </row>
    <row r="23" customFormat="false" ht="13.8" hidden="false" customHeight="false" outlineLevel="0" collapsed="false">
      <c r="A23" s="3" t="s">
        <v>160</v>
      </c>
      <c r="B23" s="3" t="s">
        <v>161</v>
      </c>
      <c r="C23" s="3" t="s">
        <v>147</v>
      </c>
      <c r="D23" s="3" t="s">
        <v>162</v>
      </c>
      <c r="E23" s="3"/>
      <c r="F23" s="3" t="s">
        <v>163</v>
      </c>
      <c r="G23" s="3" t="s">
        <v>164</v>
      </c>
      <c r="H23" s="3" t="s">
        <v>148</v>
      </c>
      <c r="I23" s="3" t="s">
        <v>165</v>
      </c>
      <c r="J23" s="3" t="s">
        <v>166</v>
      </c>
      <c r="K23" s="3" t="s">
        <v>167</v>
      </c>
      <c r="M23" s="1"/>
    </row>
    <row r="24" customFormat="false" ht="12.8" hidden="false" customHeight="false" outlineLevel="0" collapsed="false">
      <c r="A24" s="1" t="n">
        <v>2016</v>
      </c>
      <c r="B24" s="12" t="n">
        <v>2.328444</v>
      </c>
      <c r="C24" s="12" t="n">
        <v>13.5202681953072</v>
      </c>
      <c r="D24" s="12" t="n">
        <v>-11.1918241953072</v>
      </c>
      <c r="E24" s="1"/>
      <c r="F24" s="12" t="n">
        <v>2.694</v>
      </c>
      <c r="G24" s="12" t="n">
        <v>3.528437</v>
      </c>
      <c r="H24" s="12" t="n">
        <v>36.1574009242403</v>
      </c>
      <c r="I24" s="12" t="n">
        <v>-16.6257086102346</v>
      </c>
      <c r="J24" s="12" t="n">
        <v>-1.15909438565763</v>
      </c>
      <c r="K24" s="1" t="n">
        <v>-16.2118115631214</v>
      </c>
      <c r="M24" s="1"/>
    </row>
    <row r="25" customFormat="false" ht="12.8" hidden="false" customHeight="false" outlineLevel="0" collapsed="false">
      <c r="A25" s="1" t="n">
        <v>2017</v>
      </c>
      <c r="B25" s="12" t="n">
        <v>9.381972</v>
      </c>
      <c r="C25" s="12" t="n">
        <v>17.110334693705</v>
      </c>
      <c r="D25" s="12" t="n">
        <v>-7.72836269370495</v>
      </c>
      <c r="E25" s="1"/>
      <c r="F25" s="12" t="n">
        <v>2.38</v>
      </c>
      <c r="G25" s="12" t="n">
        <v>6.117511</v>
      </c>
      <c r="H25" s="12" t="n">
        <v>7.59724473257699</v>
      </c>
      <c r="I25" s="12" t="n">
        <v>8.84138807157364</v>
      </c>
      <c r="J25" s="12" t="n">
        <v>3.07626989428138</v>
      </c>
      <c r="K25" s="1" t="n">
        <v>9.45043594436592</v>
      </c>
      <c r="M25" s="1"/>
    </row>
    <row r="26" customFormat="false" ht="12.8" hidden="false" customHeight="false" outlineLevel="0" collapsed="false">
      <c r="A26" s="1" t="n">
        <v>2018</v>
      </c>
      <c r="B26" s="12" t="n">
        <v>2.610372</v>
      </c>
      <c r="C26" s="12" t="n">
        <v>-12.5808707504976</v>
      </c>
      <c r="D26" s="12" t="n">
        <v>15.1912427504976</v>
      </c>
      <c r="E26" s="1"/>
      <c r="F26" s="12" t="n">
        <v>2.791</v>
      </c>
      <c r="G26" s="12" t="n">
        <v>5.165909</v>
      </c>
      <c r="H26" s="12" t="n">
        <v>-6.91645377992242</v>
      </c>
      <c r="I26" s="12" t="n">
        <v>-6.08530422464007</v>
      </c>
      <c r="J26" s="12" t="n">
        <v>-2.43000589094177</v>
      </c>
      <c r="K26" s="1" t="n">
        <v>-5.75631618060942</v>
      </c>
      <c r="M26" s="1"/>
    </row>
    <row r="27" customFormat="false" ht="12.8" hidden="false" customHeight="false" outlineLevel="0" collapsed="false">
      <c r="A27" s="1" t="n">
        <v>2019</v>
      </c>
      <c r="B27" s="12" t="n">
        <v>-2.178233</v>
      </c>
      <c r="C27" s="12" t="n">
        <v>20.9155438715795</v>
      </c>
      <c r="D27" s="12" t="n">
        <v>-23.0937768715795</v>
      </c>
      <c r="E27" s="1"/>
      <c r="F27" s="12" t="n">
        <v>1.936</v>
      </c>
      <c r="G27" s="12" t="n">
        <v>5.237084</v>
      </c>
      <c r="H27" s="12" t="n">
        <v>17.4577471915798</v>
      </c>
      <c r="I27" s="12" t="n">
        <v>2.94386429390634</v>
      </c>
      <c r="J27" s="12" t="n">
        <v>-7.04629667349626</v>
      </c>
      <c r="K27" s="1" t="n">
        <v>4.1180315840847</v>
      </c>
      <c r="M27" s="1"/>
    </row>
    <row r="28" customFormat="false" ht="12.8" hidden="false" customHeight="false" outlineLevel="0" collapsed="false">
      <c r="A28" s="1" t="n">
        <v>2020</v>
      </c>
      <c r="B28" s="12" t="n">
        <v>-1.704118</v>
      </c>
      <c r="C28" s="12" t="n">
        <v>7.59826654484908</v>
      </c>
      <c r="D28" s="12" t="n">
        <v>-9.30238454484907</v>
      </c>
      <c r="E28" s="1"/>
      <c r="F28" s="12" t="n">
        <v>-1.953</v>
      </c>
      <c r="G28" s="12" t="n">
        <v>-0.992052</v>
      </c>
      <c r="H28" s="12" t="n">
        <v>4.69283276450512</v>
      </c>
      <c r="I28" s="12" t="n">
        <v>2.77519836231712</v>
      </c>
      <c r="J28" s="12" t="n">
        <v>-0.71920087248839</v>
      </c>
      <c r="K28" s="1" t="n">
        <v>3.09447461793766</v>
      </c>
      <c r="M28" s="1"/>
    </row>
    <row r="29" customFormat="false" ht="12.8" hidden="false" customHeight="false" outlineLevel="0" collapsed="false">
      <c r="A29" s="1" t="n">
        <v>2021</v>
      </c>
      <c r="B29" s="12" t="n">
        <v>21.514679</v>
      </c>
      <c r="C29" s="12" t="n">
        <v>44.9062602795875</v>
      </c>
      <c r="D29" s="12" t="n">
        <v>-23.3915812795875</v>
      </c>
      <c r="E29" s="1"/>
      <c r="F29" s="12" t="n">
        <v>5.418</v>
      </c>
      <c r="G29" s="12" t="n">
        <v>11.597189</v>
      </c>
      <c r="H29" s="12" t="n">
        <v>46.7809770300873</v>
      </c>
      <c r="I29" s="12" t="n">
        <v>-1.27722051483249</v>
      </c>
      <c r="J29" s="12" t="n">
        <v>8.8868639946563</v>
      </c>
      <c r="K29" s="1" t="n">
        <v>-1.10234311994595</v>
      </c>
      <c r="M29" s="1"/>
    </row>
    <row r="30" customFormat="false" ht="12.8" hidden="false" customHeight="false" outlineLevel="0" collapsed="false">
      <c r="A30" s="1" t="n">
        <v>2022</v>
      </c>
      <c r="B30" s="12" t="n">
        <v>4.203008</v>
      </c>
      <c r="C30" s="12" t="n">
        <v>-17.3561753179584</v>
      </c>
      <c r="D30" s="12" t="n">
        <v>21.5591833179584</v>
      </c>
      <c r="E30" s="1"/>
      <c r="F30" s="12" t="n">
        <v>4.132</v>
      </c>
      <c r="G30" s="12" t="n">
        <v>12.723343</v>
      </c>
      <c r="H30" s="12" t="n">
        <v>-7.30731812776998</v>
      </c>
      <c r="I30" s="12" t="n">
        <v>-10.8410469815082</v>
      </c>
      <c r="J30" s="12" t="n">
        <v>-7.55862504479272</v>
      </c>
      <c r="K30" s="1" t="n">
        <v>-10.367728513907</v>
      </c>
      <c r="M30" s="1"/>
    </row>
    <row r="31" customFormat="false" ht="12.8" hidden="false" customHeight="false" outlineLevel="0" collapsed="false">
      <c r="A31" s="1" t="n">
        <v>2023</v>
      </c>
      <c r="B31" s="12" t="n">
        <v>0.978189</v>
      </c>
      <c r="C31" s="12" t="n">
        <v>21.1769162853967</v>
      </c>
      <c r="D31" s="12" t="n">
        <v>-20.1987272853967</v>
      </c>
      <c r="E31" s="1"/>
      <c r="F31" s="12" t="n">
        <v>2.066</v>
      </c>
      <c r="G31" s="12" t="n">
        <v>5.55426</v>
      </c>
      <c r="H31" s="12" t="n">
        <v>15.3373508212218</v>
      </c>
      <c r="I31" s="12" t="n">
        <v>5.06303068571996</v>
      </c>
      <c r="J31" s="12" t="n">
        <v>-4.3352781137758</v>
      </c>
      <c r="K31" s="1" t="n">
        <v>5.03013099878336</v>
      </c>
      <c r="M31" s="1"/>
    </row>
    <row r="32" customFormat="false" ht="12.8" hidden="false" customHeight="false" outlineLevel="0" collapsed="false">
      <c r="A32" s="1" t="n">
        <v>2024</v>
      </c>
      <c r="B32" s="12" t="n">
        <v>3.052325</v>
      </c>
      <c r="C32" s="12" t="n">
        <v>-19.771466589696</v>
      </c>
      <c r="D32" s="12" t="n">
        <v>22.823791589696</v>
      </c>
      <c r="E32" s="1"/>
      <c r="F32" s="12" t="n">
        <v>1.023</v>
      </c>
      <c r="G32" s="12" t="n">
        <v>3.792081</v>
      </c>
      <c r="H32" s="12" t="n">
        <v>-18.614941345956</v>
      </c>
      <c r="I32" s="12" t="n">
        <v>-1.42105352366492</v>
      </c>
      <c r="J32" s="12" t="n">
        <v>-0.712728760754922</v>
      </c>
      <c r="K32" s="1" t="n">
        <v>-1.65553906061761</v>
      </c>
      <c r="M32" s="1"/>
    </row>
    <row r="33" customFormat="false" ht="12.8" hidden="false" customHeight="false" outlineLevel="0" collapsed="false">
      <c r="A33" s="1" t="n">
        <v>2025</v>
      </c>
      <c r="B33" s="12" t="n">
        <v>1.894523</v>
      </c>
      <c r="C33" s="12" t="n">
        <v>12.1085775394916</v>
      </c>
      <c r="D33" s="12" t="n">
        <v>-10.2140545394916</v>
      </c>
      <c r="E33" s="1"/>
      <c r="F33" s="12" t="n">
        <v>1.809</v>
      </c>
      <c r="G33" s="12" t="n">
        <v>4.803761</v>
      </c>
      <c r="H33" s="12" t="n">
        <v>4.21731580253038</v>
      </c>
      <c r="I33" s="12" t="n">
        <v>7.57192955527029</v>
      </c>
      <c r="J33" s="12" t="n">
        <v>-2.77589137656795</v>
      </c>
      <c r="K33" s="1" t="n">
        <v>7.62337735422718</v>
      </c>
      <c r="M33" s="1"/>
    </row>
    <row r="34" customFormat="false" ht="12.8" hidden="false" customHeight="false" outlineLevel="0" collapsed="false">
      <c r="A34" s="1" t="s">
        <v>168</v>
      </c>
      <c r="B34" s="12" t="n">
        <v>6.489122</v>
      </c>
      <c r="C34" s="12" t="n">
        <v>7.18456165971588</v>
      </c>
      <c r="D34" s="12" t="n">
        <v>-0.695439659715882</v>
      </c>
      <c r="E34" s="1"/>
      <c r="F34" s="12" t="n">
        <v>2.149</v>
      </c>
      <c r="G34" s="12" t="n">
        <v>5.21892</v>
      </c>
      <c r="H34" s="12" t="n">
        <v>8.59636537541846</v>
      </c>
      <c r="I34" s="12" t="n">
        <v>-1.52987297419944</v>
      </c>
      <c r="J34" s="12" t="n">
        <v>1.20719880409699</v>
      </c>
      <c r="K34" s="1" t="n">
        <v>0</v>
      </c>
      <c r="M34" s="1"/>
    </row>
    <row r="35" customFormat="false" ht="12.8" hidden="false" customHeight="false" outlineLevel="0" collapsed="false">
      <c r="A35" s="1" t="s">
        <v>169</v>
      </c>
      <c r="B35" s="1"/>
      <c r="C35" s="1"/>
      <c r="D35" s="1"/>
      <c r="E35" s="1"/>
      <c r="F35" s="1"/>
      <c r="G35" s="1"/>
      <c r="H35" s="1"/>
      <c r="I35" s="1"/>
      <c r="M35" s="1"/>
    </row>
    <row r="36" customFormat="false" ht="12.8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M36" s="1"/>
    </row>
    <row r="37" customFormat="false" ht="13.8" hidden="false" customHeight="false" outlineLevel="0" collapsed="false">
      <c r="A37" s="3" t="s">
        <v>170</v>
      </c>
      <c r="B37" s="1"/>
      <c r="C37" s="1"/>
      <c r="D37" s="1"/>
      <c r="E37" s="1"/>
      <c r="F37" s="1"/>
      <c r="G37" s="1"/>
      <c r="H37" s="1"/>
      <c r="I37" s="1"/>
      <c r="M37" s="1"/>
    </row>
    <row r="38" customFormat="false" ht="13.8" hidden="false" customHeight="false" outlineLevel="0" collapsed="false">
      <c r="A38" s="3" t="s">
        <v>171</v>
      </c>
      <c r="B38" s="3" t="s">
        <v>172</v>
      </c>
      <c r="C38" s="3" t="s">
        <v>173</v>
      </c>
      <c r="D38" s="3"/>
      <c r="E38" s="3"/>
      <c r="F38" s="3" t="s">
        <v>174</v>
      </c>
      <c r="G38" s="3" t="s">
        <v>175</v>
      </c>
      <c r="H38" s="1"/>
      <c r="I38" s="1"/>
      <c r="M38" s="1"/>
    </row>
    <row r="39" customFormat="false" ht="12.8" hidden="false" customHeight="false" outlineLevel="0" collapsed="false">
      <c r="A39" s="1" t="s">
        <v>176</v>
      </c>
      <c r="B39" s="12" t="n">
        <v>1.97148349934879</v>
      </c>
      <c r="C39" s="12" t="n">
        <v>3.41823717411587</v>
      </c>
      <c r="D39" s="1"/>
      <c r="E39" s="1"/>
      <c r="F39" s="12" t="n">
        <v>1.63169669137884</v>
      </c>
      <c r="G39" s="12" t="n">
        <v>4.71420929137643</v>
      </c>
      <c r="H39" s="1"/>
      <c r="I39" s="1"/>
      <c r="M39" s="1"/>
    </row>
    <row r="40" customFormat="false" ht="12.8" hidden="false" customHeight="false" outlineLevel="0" collapsed="false">
      <c r="A40" s="1" t="s">
        <v>177</v>
      </c>
      <c r="B40" s="12" t="n">
        <v>6.06913873965211</v>
      </c>
      <c r="C40" s="12" t="n">
        <v>5.91410807358801</v>
      </c>
      <c r="D40" s="1"/>
      <c r="E40" s="1"/>
      <c r="F40" s="12" t="n">
        <v>2.87676565968422</v>
      </c>
      <c r="G40" s="12" t="n">
        <v>7.63085585154442</v>
      </c>
      <c r="H40" s="1"/>
      <c r="I40" s="1"/>
      <c r="M40" s="1"/>
    </row>
    <row r="41" customFormat="false" ht="12.8" hidden="false" customHeight="false" outlineLevel="0" collapsed="false">
      <c r="A41" s="1" t="s">
        <v>2</v>
      </c>
      <c r="B41" s="12" t="n">
        <v>4.01714805316831</v>
      </c>
      <c r="C41" s="12" t="n">
        <v>7.60235101140896</v>
      </c>
      <c r="D41" s="1"/>
      <c r="E41" s="1"/>
      <c r="F41" s="12" t="n">
        <v>2.2130551204659</v>
      </c>
      <c r="G41" s="12" t="n">
        <v>5.68770141827799</v>
      </c>
      <c r="H41" s="1"/>
      <c r="I41" s="1"/>
      <c r="M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M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M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M44" s="1"/>
    </row>
    <row r="45" customFormat="false" ht="12.8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M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M46" s="1"/>
    </row>
  </sheetData>
  <conditionalFormatting sqref="B10:C18 B24:D34 F24:G34 B39:C41 F39:G41">
    <cfRule type="cellIs" priority="2" operator="greaterThanOrEqual" aboveAverage="0" equalAverage="0" bottom="0" percent="0" rank="0" text="" dxfId="0">
      <formula>10</formula>
    </cfRule>
    <cfRule type="cellIs" priority="3" operator="greaterThanOrEqual" aboveAverage="0" equalAverage="0" bottom="0" percent="0" rank="0" text="" dxfId="1">
      <formula>5</formula>
    </cfRule>
    <cfRule type="cellIs" priority="4" operator="greaterThanOrEqual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dataValidations count="2">
    <dataValidation allowBlank="false" errorStyle="stop" operator="equal" showDropDown="false" showErrorMessage="false" showInputMessage="false" sqref="B2" type="list">
      <formula1>#REF!</formula1>
      <formula2>0</formula2>
    </dataValidation>
    <dataValidation allowBlank="false" errorStyle="stop" operator="equal" showDropDown="false" showErrorMessage="false" showInputMessage="false" sqref="B3" type="list">
      <formula1>OFFSET(#REF!,IFERROR(MATCH($B$55,#REF!,0)-1,0),0,COUNTIF(#REF!,$B$55),1)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LibreOffice/26.2.1.2$MacOSX_X86_64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2026-03-18T11:54:19Z</dcterms:created>
  <dc:creator/>
  <dc:description/>
  <dc:language>en-IN</dc:language>
  <cp:lastModifiedBy/>
  <dcterms:modified xsi:type="dcterms:W3CDTF">2026-03-19T00:29:52Z</dcterms:modified>
  <cp:revision>3</cp:revision>
  <dc:subject/>
  <dc:title/>
</cp:coreProperties>
</file>